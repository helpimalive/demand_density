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okfield-my.sharepoint.com/personal/matt_larriva_brookfield_com/Documents/Documents/Github/demand_density/Data/"/>
    </mc:Choice>
  </mc:AlternateContent>
  <xr:revisionPtr revIDLastSave="1" documentId="8_{407E6334-D1F9-4A2E-99BC-5006B440526A}" xr6:coauthVersionLast="47" xr6:coauthVersionMax="47" xr10:uidLastSave="{DFE7B092-045B-458E-9CF1-BA0F481EBE2A}"/>
  <bookViews>
    <workbookView xWindow="-108" yWindow="-108" windowWidth="41496" windowHeight="16776" xr2:uid="{E77CAD8E-6745-49C6-92EA-58DD26FF6501}"/>
  </bookViews>
  <sheets>
    <sheet name="sample_data" sheetId="1" r:id="rId1"/>
  </sheets>
  <definedNames>
    <definedName name="_xlnm._FilterDatabase" localSheetId="0" hidden="1">sample_data!$A$1:$T$2654</definedName>
    <definedName name="_xlchart.v1.0" hidden="1">sample_data!#REF!</definedName>
  </definedNames>
  <calcPr calcId="0"/>
</workbook>
</file>

<file path=xl/calcChain.xml><?xml version="1.0" encoding="utf-8"?>
<calcChain xmlns="http://schemas.openxmlformats.org/spreadsheetml/2006/main">
  <c r="H1318" i="1" l="1"/>
  <c r="H1193" i="1"/>
  <c r="G2654" i="1"/>
  <c r="H2654" i="1" s="1"/>
  <c r="G2653" i="1"/>
  <c r="H2653" i="1" s="1"/>
  <c r="G2652" i="1"/>
  <c r="H2652" i="1" s="1"/>
  <c r="G2651" i="1"/>
  <c r="H2651" i="1" s="1"/>
  <c r="G2650" i="1"/>
  <c r="H2650" i="1" s="1"/>
  <c r="G2649" i="1"/>
  <c r="H2649" i="1" s="1"/>
  <c r="G2648" i="1"/>
  <c r="H2648" i="1" s="1"/>
  <c r="G2647" i="1"/>
  <c r="H2647" i="1" s="1"/>
  <c r="G2646" i="1"/>
  <c r="H2646" i="1" s="1"/>
  <c r="G2645" i="1"/>
  <c r="H2645" i="1" s="1"/>
  <c r="G2644" i="1"/>
  <c r="H2644" i="1" s="1"/>
  <c r="G2643" i="1"/>
  <c r="H2643" i="1" s="1"/>
  <c r="G2642" i="1"/>
  <c r="H2642" i="1" s="1"/>
  <c r="G2641" i="1"/>
  <c r="H2641" i="1" s="1"/>
  <c r="G2640" i="1"/>
  <c r="H2640" i="1" s="1"/>
  <c r="G2639" i="1"/>
  <c r="H2639" i="1" s="1"/>
  <c r="G2638" i="1"/>
  <c r="H2638" i="1" s="1"/>
  <c r="G2637" i="1"/>
  <c r="H2637" i="1" s="1"/>
  <c r="G2636" i="1"/>
  <c r="H2636" i="1" s="1"/>
  <c r="G2635" i="1"/>
  <c r="H2635" i="1" s="1"/>
  <c r="G2634" i="1"/>
  <c r="H2634" i="1" s="1"/>
  <c r="G2633" i="1"/>
  <c r="H2633" i="1" s="1"/>
  <c r="G2632" i="1"/>
  <c r="H2632" i="1" s="1"/>
  <c r="G2631" i="1"/>
  <c r="H2631" i="1" s="1"/>
  <c r="G2630" i="1"/>
  <c r="H2630" i="1" s="1"/>
  <c r="G2629" i="1"/>
  <c r="H2629" i="1" s="1"/>
  <c r="G2628" i="1"/>
  <c r="H2628" i="1" s="1"/>
  <c r="G2627" i="1"/>
  <c r="H2627" i="1" s="1"/>
  <c r="G2626" i="1"/>
  <c r="H2626" i="1" s="1"/>
  <c r="G2625" i="1"/>
  <c r="H2625" i="1" s="1"/>
  <c r="G2624" i="1"/>
  <c r="H2624" i="1" s="1"/>
  <c r="G2623" i="1"/>
  <c r="H2623" i="1" s="1"/>
  <c r="G2622" i="1"/>
  <c r="H2622" i="1" s="1"/>
  <c r="G2621" i="1"/>
  <c r="H2621" i="1" s="1"/>
  <c r="G2620" i="1"/>
  <c r="H2620" i="1" s="1"/>
  <c r="G2619" i="1"/>
  <c r="H2619" i="1" s="1"/>
  <c r="G2618" i="1"/>
  <c r="H2618" i="1" s="1"/>
  <c r="G2617" i="1"/>
  <c r="H2617" i="1" s="1"/>
  <c r="G2616" i="1"/>
  <c r="H2616" i="1" s="1"/>
  <c r="G2615" i="1"/>
  <c r="H2615" i="1" s="1"/>
  <c r="G2614" i="1"/>
  <c r="H2614" i="1" s="1"/>
  <c r="G2613" i="1"/>
  <c r="H2613" i="1" s="1"/>
  <c r="G2612" i="1"/>
  <c r="H2612" i="1" s="1"/>
  <c r="G2611" i="1"/>
  <c r="H2611" i="1" s="1"/>
  <c r="G2610" i="1"/>
  <c r="H2610" i="1" s="1"/>
  <c r="G2609" i="1"/>
  <c r="H2609" i="1" s="1"/>
  <c r="G2608" i="1"/>
  <c r="H2608" i="1" s="1"/>
  <c r="G2607" i="1"/>
  <c r="H2607" i="1" s="1"/>
  <c r="G2606" i="1"/>
  <c r="H2606" i="1" s="1"/>
  <c r="G2605" i="1"/>
  <c r="H2605" i="1" s="1"/>
  <c r="G2604" i="1"/>
  <c r="H2604" i="1" s="1"/>
  <c r="G2603" i="1"/>
  <c r="H2603" i="1" s="1"/>
  <c r="G2602" i="1"/>
  <c r="H2602" i="1" s="1"/>
  <c r="G2601" i="1"/>
  <c r="H2601" i="1" s="1"/>
  <c r="G2600" i="1"/>
  <c r="H2600" i="1" s="1"/>
  <c r="G2599" i="1"/>
  <c r="H2599" i="1" s="1"/>
  <c r="G2598" i="1"/>
  <c r="H2598" i="1" s="1"/>
  <c r="G2597" i="1"/>
  <c r="H2597" i="1" s="1"/>
  <c r="G2596" i="1"/>
  <c r="H2596" i="1" s="1"/>
  <c r="G2595" i="1"/>
  <c r="H2595" i="1" s="1"/>
  <c r="G2594" i="1"/>
  <c r="H2594" i="1" s="1"/>
  <c r="G2593" i="1"/>
  <c r="H2593" i="1" s="1"/>
  <c r="G2592" i="1"/>
  <c r="H2592" i="1" s="1"/>
  <c r="G2591" i="1"/>
  <c r="H2591" i="1" s="1"/>
  <c r="G2590" i="1"/>
  <c r="H2590" i="1" s="1"/>
  <c r="G2589" i="1"/>
  <c r="H2589" i="1" s="1"/>
  <c r="G2588" i="1"/>
  <c r="H2588" i="1" s="1"/>
  <c r="G2587" i="1"/>
  <c r="H2587" i="1" s="1"/>
  <c r="G2586" i="1"/>
  <c r="H2586" i="1" s="1"/>
  <c r="G2585" i="1"/>
  <c r="H2585" i="1" s="1"/>
  <c r="G2584" i="1"/>
  <c r="H2584" i="1" s="1"/>
  <c r="G2583" i="1"/>
  <c r="H2583" i="1" s="1"/>
  <c r="G2582" i="1"/>
  <c r="H2582" i="1" s="1"/>
  <c r="G2581" i="1"/>
  <c r="H2581" i="1" s="1"/>
  <c r="G2580" i="1"/>
  <c r="H2580" i="1" s="1"/>
  <c r="G2579" i="1"/>
  <c r="H2579" i="1" s="1"/>
  <c r="G2578" i="1"/>
  <c r="H2578" i="1" s="1"/>
  <c r="G2577" i="1"/>
  <c r="H2577" i="1" s="1"/>
  <c r="G2576" i="1"/>
  <c r="H2576" i="1" s="1"/>
  <c r="G2575" i="1"/>
  <c r="H2575" i="1" s="1"/>
  <c r="G2574" i="1"/>
  <c r="H2574" i="1" s="1"/>
  <c r="G2573" i="1"/>
  <c r="H2573" i="1" s="1"/>
  <c r="G2572" i="1"/>
  <c r="H2572" i="1" s="1"/>
  <c r="G2571" i="1"/>
  <c r="H2571" i="1" s="1"/>
  <c r="G2570" i="1"/>
  <c r="H2570" i="1" s="1"/>
  <c r="G2569" i="1"/>
  <c r="H2569" i="1" s="1"/>
  <c r="G2568" i="1"/>
  <c r="H2568" i="1" s="1"/>
  <c r="G2567" i="1"/>
  <c r="H2567" i="1" s="1"/>
  <c r="G2566" i="1"/>
  <c r="H2566" i="1" s="1"/>
  <c r="G2565" i="1"/>
  <c r="H2565" i="1" s="1"/>
  <c r="G2564" i="1"/>
  <c r="H2564" i="1" s="1"/>
  <c r="G2563" i="1"/>
  <c r="H2563" i="1" s="1"/>
  <c r="G2562" i="1"/>
  <c r="H2562" i="1" s="1"/>
  <c r="G2561" i="1"/>
  <c r="H2561" i="1" s="1"/>
  <c r="G2560" i="1"/>
  <c r="H2560" i="1" s="1"/>
  <c r="G2559" i="1"/>
  <c r="H2559" i="1" s="1"/>
  <c r="G2558" i="1"/>
  <c r="H2558" i="1" s="1"/>
  <c r="G2557" i="1"/>
  <c r="H2557" i="1" s="1"/>
  <c r="G2556" i="1"/>
  <c r="H2556" i="1" s="1"/>
  <c r="G2555" i="1"/>
  <c r="H2555" i="1" s="1"/>
  <c r="G2554" i="1"/>
  <c r="H2554" i="1" s="1"/>
  <c r="G2553" i="1"/>
  <c r="H2553" i="1" s="1"/>
  <c r="G2552" i="1"/>
  <c r="H2552" i="1" s="1"/>
  <c r="G2551" i="1"/>
  <c r="H2551" i="1" s="1"/>
  <c r="G2550" i="1"/>
  <c r="H2550" i="1" s="1"/>
  <c r="G2549" i="1"/>
  <c r="H2549" i="1" s="1"/>
  <c r="G2548" i="1"/>
  <c r="H2548" i="1" s="1"/>
  <c r="G2547" i="1"/>
  <c r="H2547" i="1" s="1"/>
  <c r="G2546" i="1"/>
  <c r="H2546" i="1" s="1"/>
  <c r="G2545" i="1"/>
  <c r="H2545" i="1" s="1"/>
  <c r="G2544" i="1"/>
  <c r="H2544" i="1" s="1"/>
  <c r="G2543" i="1"/>
  <c r="H2543" i="1" s="1"/>
  <c r="G2542" i="1"/>
  <c r="H2542" i="1" s="1"/>
  <c r="G2541" i="1"/>
  <c r="H2541" i="1" s="1"/>
  <c r="G2540" i="1"/>
  <c r="H2540" i="1" s="1"/>
  <c r="G2539" i="1"/>
  <c r="H2539" i="1" s="1"/>
  <c r="G2538" i="1"/>
  <c r="H2538" i="1" s="1"/>
  <c r="G2537" i="1"/>
  <c r="H2537" i="1" s="1"/>
  <c r="G2536" i="1"/>
  <c r="H2536" i="1" s="1"/>
  <c r="G2535" i="1"/>
  <c r="H2535" i="1" s="1"/>
  <c r="G2534" i="1"/>
  <c r="H2534" i="1" s="1"/>
  <c r="G2533" i="1"/>
  <c r="H2533" i="1" s="1"/>
  <c r="G2532" i="1"/>
  <c r="H2532" i="1" s="1"/>
  <c r="G2531" i="1"/>
  <c r="H2531" i="1" s="1"/>
  <c r="G2530" i="1"/>
  <c r="H2530" i="1" s="1"/>
  <c r="G2529" i="1"/>
  <c r="H2529" i="1" s="1"/>
  <c r="G2528" i="1"/>
  <c r="H2528" i="1" s="1"/>
  <c r="G2527" i="1"/>
  <c r="H2527" i="1" s="1"/>
  <c r="G2526" i="1"/>
  <c r="H2526" i="1" s="1"/>
  <c r="G2525" i="1"/>
  <c r="H2525" i="1" s="1"/>
  <c r="G2524" i="1"/>
  <c r="H2524" i="1" s="1"/>
  <c r="G2523" i="1"/>
  <c r="H2523" i="1" s="1"/>
  <c r="G2522" i="1"/>
  <c r="H2522" i="1" s="1"/>
  <c r="G2521" i="1"/>
  <c r="H2521" i="1" s="1"/>
  <c r="G2520" i="1"/>
  <c r="H2520" i="1" s="1"/>
  <c r="G2519" i="1"/>
  <c r="H2519" i="1" s="1"/>
  <c r="G2518" i="1"/>
  <c r="H2518" i="1" s="1"/>
  <c r="G2517" i="1"/>
  <c r="H2517" i="1" s="1"/>
  <c r="G2516" i="1"/>
  <c r="H2516" i="1" s="1"/>
  <c r="G2515" i="1"/>
  <c r="H2515" i="1" s="1"/>
  <c r="G2514" i="1"/>
  <c r="H2514" i="1" s="1"/>
  <c r="G2513" i="1"/>
  <c r="H2513" i="1" s="1"/>
  <c r="G2512" i="1"/>
  <c r="H2512" i="1" s="1"/>
  <c r="G2511" i="1"/>
  <c r="H2511" i="1" s="1"/>
  <c r="G2510" i="1"/>
  <c r="H2510" i="1" s="1"/>
  <c r="G2509" i="1"/>
  <c r="H2509" i="1" s="1"/>
  <c r="G2508" i="1"/>
  <c r="H2508" i="1" s="1"/>
  <c r="G2507" i="1"/>
  <c r="H2507" i="1" s="1"/>
  <c r="G2506" i="1"/>
  <c r="H2506" i="1" s="1"/>
  <c r="G2505" i="1"/>
  <c r="H2505" i="1" s="1"/>
  <c r="G2504" i="1"/>
  <c r="H2504" i="1" s="1"/>
  <c r="G2503" i="1"/>
  <c r="H2503" i="1" s="1"/>
  <c r="G2502" i="1"/>
  <c r="H2502" i="1" s="1"/>
  <c r="G2501" i="1"/>
  <c r="H2501" i="1" s="1"/>
  <c r="G2500" i="1"/>
  <c r="H2500" i="1" s="1"/>
  <c r="G2499" i="1"/>
  <c r="H2499" i="1" s="1"/>
  <c r="G2498" i="1"/>
  <c r="H2498" i="1" s="1"/>
  <c r="G2497" i="1"/>
  <c r="H2497" i="1" s="1"/>
  <c r="G2496" i="1"/>
  <c r="H2496" i="1" s="1"/>
  <c r="G2495" i="1"/>
  <c r="H2495" i="1" s="1"/>
  <c r="G2494" i="1"/>
  <c r="H2494" i="1" s="1"/>
  <c r="G2493" i="1"/>
  <c r="H2493" i="1" s="1"/>
  <c r="G2492" i="1"/>
  <c r="H2492" i="1" s="1"/>
  <c r="G2491" i="1"/>
  <c r="H2491" i="1" s="1"/>
  <c r="G2490" i="1"/>
  <c r="H2490" i="1" s="1"/>
  <c r="G2489" i="1"/>
  <c r="H2489" i="1" s="1"/>
  <c r="G2488" i="1"/>
  <c r="H2488" i="1" s="1"/>
  <c r="G2487" i="1"/>
  <c r="H2487" i="1" s="1"/>
  <c r="G2486" i="1"/>
  <c r="H2486" i="1" s="1"/>
  <c r="G2485" i="1"/>
  <c r="H2485" i="1" s="1"/>
  <c r="G2484" i="1"/>
  <c r="H2484" i="1" s="1"/>
  <c r="G2483" i="1"/>
  <c r="H2483" i="1" s="1"/>
  <c r="G2482" i="1"/>
  <c r="H2482" i="1" s="1"/>
  <c r="G2481" i="1"/>
  <c r="H2481" i="1" s="1"/>
  <c r="G2480" i="1"/>
  <c r="H2480" i="1" s="1"/>
  <c r="G2479" i="1"/>
  <c r="H2479" i="1" s="1"/>
  <c r="G2478" i="1"/>
  <c r="H2478" i="1" s="1"/>
  <c r="G2477" i="1"/>
  <c r="H2477" i="1" s="1"/>
  <c r="G2476" i="1"/>
  <c r="H2476" i="1" s="1"/>
  <c r="G2475" i="1"/>
  <c r="H2475" i="1" s="1"/>
  <c r="G2474" i="1"/>
  <c r="H2474" i="1" s="1"/>
  <c r="G2473" i="1"/>
  <c r="H2473" i="1" s="1"/>
  <c r="G2472" i="1"/>
  <c r="H2472" i="1" s="1"/>
  <c r="G2471" i="1"/>
  <c r="H2471" i="1" s="1"/>
  <c r="G2470" i="1"/>
  <c r="H2470" i="1" s="1"/>
  <c r="G2469" i="1"/>
  <c r="H2469" i="1" s="1"/>
  <c r="G2468" i="1"/>
  <c r="H2468" i="1" s="1"/>
  <c r="G2467" i="1"/>
  <c r="H2467" i="1" s="1"/>
  <c r="G2466" i="1"/>
  <c r="H2466" i="1" s="1"/>
  <c r="G2465" i="1"/>
  <c r="H2465" i="1" s="1"/>
  <c r="G2464" i="1"/>
  <c r="H2464" i="1" s="1"/>
  <c r="G2463" i="1"/>
  <c r="H2463" i="1" s="1"/>
  <c r="G2462" i="1"/>
  <c r="H2462" i="1" s="1"/>
  <c r="G2461" i="1"/>
  <c r="H2461" i="1" s="1"/>
  <c r="G2460" i="1"/>
  <c r="H2460" i="1" s="1"/>
  <c r="G2459" i="1"/>
  <c r="H2459" i="1" s="1"/>
  <c r="G2458" i="1"/>
  <c r="H2458" i="1" s="1"/>
  <c r="G2457" i="1"/>
  <c r="H2457" i="1" s="1"/>
  <c r="G2456" i="1"/>
  <c r="H2456" i="1" s="1"/>
  <c r="G2455" i="1"/>
  <c r="H2455" i="1" s="1"/>
  <c r="G2454" i="1"/>
  <c r="H2454" i="1" s="1"/>
  <c r="G2453" i="1"/>
  <c r="H2453" i="1" s="1"/>
  <c r="G2452" i="1"/>
  <c r="H2452" i="1" s="1"/>
  <c r="G2451" i="1"/>
  <c r="H2451" i="1" s="1"/>
  <c r="G2450" i="1"/>
  <c r="H2450" i="1" s="1"/>
  <c r="G2449" i="1"/>
  <c r="H2449" i="1" s="1"/>
  <c r="G2448" i="1"/>
  <c r="H2448" i="1" s="1"/>
  <c r="G2447" i="1"/>
  <c r="H2447" i="1" s="1"/>
  <c r="G2446" i="1"/>
  <c r="H2446" i="1" s="1"/>
  <c r="G2445" i="1"/>
  <c r="H2445" i="1" s="1"/>
  <c r="G2444" i="1"/>
  <c r="H2444" i="1" s="1"/>
  <c r="G2443" i="1"/>
  <c r="H2443" i="1" s="1"/>
  <c r="G2442" i="1"/>
  <c r="H2442" i="1" s="1"/>
  <c r="G2441" i="1"/>
  <c r="H2441" i="1" s="1"/>
  <c r="G2440" i="1"/>
  <c r="H2440" i="1" s="1"/>
  <c r="G2439" i="1"/>
  <c r="H2439" i="1" s="1"/>
  <c r="G2438" i="1"/>
  <c r="H2438" i="1" s="1"/>
  <c r="G2437" i="1"/>
  <c r="H2437" i="1" s="1"/>
  <c r="G2436" i="1"/>
  <c r="H2436" i="1" s="1"/>
  <c r="G2435" i="1"/>
  <c r="H2435" i="1" s="1"/>
  <c r="G2434" i="1"/>
  <c r="H2434" i="1" s="1"/>
  <c r="G2433" i="1"/>
  <c r="H2433" i="1" s="1"/>
  <c r="G2432" i="1"/>
  <c r="H2432" i="1" s="1"/>
  <c r="G2431" i="1"/>
  <c r="H2431" i="1" s="1"/>
  <c r="G2430" i="1"/>
  <c r="H2430" i="1" s="1"/>
  <c r="G2429" i="1"/>
  <c r="H2429" i="1" s="1"/>
  <c r="G2428" i="1"/>
  <c r="H2428" i="1" s="1"/>
  <c r="G2427" i="1"/>
  <c r="H2427" i="1" s="1"/>
  <c r="G2426" i="1"/>
  <c r="H2426" i="1" s="1"/>
  <c r="G2425" i="1"/>
  <c r="H2425" i="1" s="1"/>
  <c r="G2424" i="1"/>
  <c r="H2424" i="1" s="1"/>
  <c r="G2423" i="1"/>
  <c r="H2423" i="1" s="1"/>
  <c r="G2422" i="1"/>
  <c r="H2422" i="1" s="1"/>
  <c r="G2421" i="1"/>
  <c r="H2421" i="1" s="1"/>
  <c r="G2420" i="1"/>
  <c r="H2420" i="1" s="1"/>
  <c r="G2419" i="1"/>
  <c r="H2419" i="1" s="1"/>
  <c r="G2418" i="1"/>
  <c r="H2418" i="1" s="1"/>
  <c r="G2417" i="1"/>
  <c r="H2417" i="1" s="1"/>
  <c r="G2416" i="1"/>
  <c r="H2416" i="1" s="1"/>
  <c r="G2415" i="1"/>
  <c r="H2415" i="1" s="1"/>
  <c r="G2414" i="1"/>
  <c r="H2414" i="1" s="1"/>
  <c r="G2413" i="1"/>
  <c r="H2413" i="1" s="1"/>
  <c r="G2412" i="1"/>
  <c r="H2412" i="1" s="1"/>
  <c r="G2411" i="1"/>
  <c r="H2411" i="1" s="1"/>
  <c r="G2410" i="1"/>
  <c r="H2410" i="1" s="1"/>
  <c r="G2409" i="1"/>
  <c r="H2409" i="1" s="1"/>
  <c r="G2408" i="1"/>
  <c r="H2408" i="1" s="1"/>
  <c r="G2407" i="1"/>
  <c r="H2407" i="1" s="1"/>
  <c r="G2406" i="1"/>
  <c r="H2406" i="1" s="1"/>
  <c r="G2405" i="1"/>
  <c r="H2405" i="1" s="1"/>
  <c r="G2404" i="1"/>
  <c r="H2404" i="1" s="1"/>
  <c r="G2403" i="1"/>
  <c r="H2403" i="1" s="1"/>
  <c r="G2402" i="1"/>
  <c r="H2402" i="1" s="1"/>
  <c r="G2401" i="1"/>
  <c r="H2401" i="1" s="1"/>
  <c r="G2400" i="1"/>
  <c r="H2400" i="1" s="1"/>
  <c r="G2399" i="1"/>
  <c r="H2399" i="1" s="1"/>
  <c r="G2398" i="1"/>
  <c r="H2398" i="1" s="1"/>
  <c r="G2397" i="1"/>
  <c r="H2397" i="1" s="1"/>
  <c r="G2396" i="1"/>
  <c r="H2396" i="1" s="1"/>
  <c r="G2395" i="1"/>
  <c r="H2395" i="1" s="1"/>
  <c r="G2394" i="1"/>
  <c r="H2394" i="1" s="1"/>
  <c r="G2393" i="1"/>
  <c r="H2393" i="1" s="1"/>
  <c r="G2392" i="1"/>
  <c r="H2392" i="1" s="1"/>
  <c r="G2391" i="1"/>
  <c r="H2391" i="1" s="1"/>
  <c r="G2390" i="1"/>
  <c r="H2390" i="1" s="1"/>
  <c r="G2389" i="1"/>
  <c r="H2389" i="1" s="1"/>
  <c r="G2388" i="1"/>
  <c r="H2388" i="1" s="1"/>
  <c r="G2387" i="1"/>
  <c r="H2387" i="1" s="1"/>
  <c r="G2386" i="1"/>
  <c r="H2386" i="1" s="1"/>
  <c r="G2385" i="1"/>
  <c r="H2385" i="1" s="1"/>
  <c r="G2384" i="1"/>
  <c r="H2384" i="1" s="1"/>
  <c r="G2383" i="1"/>
  <c r="H2383" i="1" s="1"/>
  <c r="G2382" i="1"/>
  <c r="H2382" i="1" s="1"/>
  <c r="G2381" i="1"/>
  <c r="H2381" i="1" s="1"/>
  <c r="G2380" i="1"/>
  <c r="H2380" i="1" s="1"/>
  <c r="G2379" i="1"/>
  <c r="H2379" i="1" s="1"/>
  <c r="G2378" i="1"/>
  <c r="H2378" i="1" s="1"/>
  <c r="G2377" i="1"/>
  <c r="H2377" i="1" s="1"/>
  <c r="G2376" i="1"/>
  <c r="H2376" i="1" s="1"/>
  <c r="G2375" i="1"/>
  <c r="H2375" i="1" s="1"/>
  <c r="G2374" i="1"/>
  <c r="H2374" i="1" s="1"/>
  <c r="G2373" i="1"/>
  <c r="H2373" i="1" s="1"/>
  <c r="G2372" i="1"/>
  <c r="H2372" i="1" s="1"/>
  <c r="G2371" i="1"/>
  <c r="H2371" i="1" s="1"/>
  <c r="G2370" i="1"/>
  <c r="H2370" i="1" s="1"/>
  <c r="G2369" i="1"/>
  <c r="H2369" i="1" s="1"/>
  <c r="G2368" i="1"/>
  <c r="H2368" i="1" s="1"/>
  <c r="G2367" i="1"/>
  <c r="H2367" i="1" s="1"/>
  <c r="G2366" i="1"/>
  <c r="H2366" i="1" s="1"/>
  <c r="G2365" i="1"/>
  <c r="H2365" i="1" s="1"/>
  <c r="G2364" i="1"/>
  <c r="H2364" i="1" s="1"/>
  <c r="G2363" i="1"/>
  <c r="H2363" i="1" s="1"/>
  <c r="G2362" i="1"/>
  <c r="H2362" i="1" s="1"/>
  <c r="G2361" i="1"/>
  <c r="H2361" i="1" s="1"/>
  <c r="G2360" i="1"/>
  <c r="H2360" i="1" s="1"/>
  <c r="G2359" i="1"/>
  <c r="H2359" i="1" s="1"/>
  <c r="G2358" i="1"/>
  <c r="H2358" i="1" s="1"/>
  <c r="G2357" i="1"/>
  <c r="H2357" i="1" s="1"/>
  <c r="G2356" i="1"/>
  <c r="H2356" i="1" s="1"/>
  <c r="G2355" i="1"/>
  <c r="H2355" i="1" s="1"/>
  <c r="G2354" i="1"/>
  <c r="H2354" i="1" s="1"/>
  <c r="G2353" i="1"/>
  <c r="H2353" i="1" s="1"/>
  <c r="G2352" i="1"/>
  <c r="H2352" i="1" s="1"/>
  <c r="G2351" i="1"/>
  <c r="H2351" i="1" s="1"/>
  <c r="G2350" i="1"/>
  <c r="H2350" i="1" s="1"/>
  <c r="G2349" i="1"/>
  <c r="H2349" i="1" s="1"/>
  <c r="G2348" i="1"/>
  <c r="H2348" i="1" s="1"/>
  <c r="G2347" i="1"/>
  <c r="H2347" i="1" s="1"/>
  <c r="G2346" i="1"/>
  <c r="H2346" i="1" s="1"/>
  <c r="G2345" i="1"/>
  <c r="H2345" i="1" s="1"/>
  <c r="G2344" i="1"/>
  <c r="H2344" i="1" s="1"/>
  <c r="G2343" i="1"/>
  <c r="H2343" i="1" s="1"/>
  <c r="G2342" i="1"/>
  <c r="H2342" i="1" s="1"/>
  <c r="G2341" i="1"/>
  <c r="H2341" i="1" s="1"/>
  <c r="G2340" i="1"/>
  <c r="H2340" i="1" s="1"/>
  <c r="G2339" i="1"/>
  <c r="H2339" i="1" s="1"/>
  <c r="G2338" i="1"/>
  <c r="H2338" i="1" s="1"/>
  <c r="G2337" i="1"/>
  <c r="H2337" i="1" s="1"/>
  <c r="G2336" i="1"/>
  <c r="H2336" i="1" s="1"/>
  <c r="G2335" i="1"/>
  <c r="H2335" i="1" s="1"/>
  <c r="G2334" i="1"/>
  <c r="H2334" i="1" s="1"/>
  <c r="G2333" i="1"/>
  <c r="H2333" i="1" s="1"/>
  <c r="G2332" i="1"/>
  <c r="H2332" i="1" s="1"/>
  <c r="G2331" i="1"/>
  <c r="H2331" i="1" s="1"/>
  <c r="G2330" i="1"/>
  <c r="H2330" i="1" s="1"/>
  <c r="G2329" i="1"/>
  <c r="H2329" i="1" s="1"/>
  <c r="G2328" i="1"/>
  <c r="H2328" i="1" s="1"/>
  <c r="G2327" i="1"/>
  <c r="H2327" i="1" s="1"/>
  <c r="G2326" i="1"/>
  <c r="H2326" i="1" s="1"/>
  <c r="G2325" i="1"/>
  <c r="H2325" i="1" s="1"/>
  <c r="G2324" i="1"/>
  <c r="H2324" i="1" s="1"/>
  <c r="G2323" i="1"/>
  <c r="H2323" i="1" s="1"/>
  <c r="G2322" i="1"/>
  <c r="H2322" i="1" s="1"/>
  <c r="G2321" i="1"/>
  <c r="H2321" i="1" s="1"/>
  <c r="G2320" i="1"/>
  <c r="H2320" i="1" s="1"/>
  <c r="G2319" i="1"/>
  <c r="H2319" i="1" s="1"/>
  <c r="G2318" i="1"/>
  <c r="H2318" i="1" s="1"/>
  <c r="G2317" i="1"/>
  <c r="H2317" i="1" s="1"/>
  <c r="G2316" i="1"/>
  <c r="H2316" i="1" s="1"/>
  <c r="G2315" i="1"/>
  <c r="H2315" i="1" s="1"/>
  <c r="G2314" i="1"/>
  <c r="H2314" i="1" s="1"/>
  <c r="G2313" i="1"/>
  <c r="H2313" i="1" s="1"/>
  <c r="G2312" i="1"/>
  <c r="H2312" i="1" s="1"/>
  <c r="G2311" i="1"/>
  <c r="H2311" i="1" s="1"/>
  <c r="G2310" i="1"/>
  <c r="H2310" i="1" s="1"/>
  <c r="G2309" i="1"/>
  <c r="H2309" i="1" s="1"/>
  <c r="G2308" i="1"/>
  <c r="H2308" i="1" s="1"/>
  <c r="G2307" i="1"/>
  <c r="H2307" i="1" s="1"/>
  <c r="G2306" i="1"/>
  <c r="H2306" i="1" s="1"/>
  <c r="G2305" i="1"/>
  <c r="H2305" i="1" s="1"/>
  <c r="G2304" i="1"/>
  <c r="H2304" i="1" s="1"/>
  <c r="G2303" i="1"/>
  <c r="H2303" i="1" s="1"/>
  <c r="G2302" i="1"/>
  <c r="H2302" i="1" s="1"/>
  <c r="G2301" i="1"/>
  <c r="H2301" i="1" s="1"/>
  <c r="G2300" i="1"/>
  <c r="H2300" i="1" s="1"/>
  <c r="G2299" i="1"/>
  <c r="H2299" i="1" s="1"/>
  <c r="G2298" i="1"/>
  <c r="H2298" i="1" s="1"/>
  <c r="G2297" i="1"/>
  <c r="H2297" i="1" s="1"/>
  <c r="G2296" i="1"/>
  <c r="H2296" i="1" s="1"/>
  <c r="G2295" i="1"/>
  <c r="H2295" i="1" s="1"/>
  <c r="G2294" i="1"/>
  <c r="H2294" i="1" s="1"/>
  <c r="G2293" i="1"/>
  <c r="H2293" i="1" s="1"/>
  <c r="G2292" i="1"/>
  <c r="H2292" i="1" s="1"/>
  <c r="G2291" i="1"/>
  <c r="H2291" i="1" s="1"/>
  <c r="G2290" i="1"/>
  <c r="H2290" i="1" s="1"/>
  <c r="G2289" i="1"/>
  <c r="H2289" i="1" s="1"/>
  <c r="G2288" i="1"/>
  <c r="H2288" i="1" s="1"/>
  <c r="G2287" i="1"/>
  <c r="H2287" i="1" s="1"/>
  <c r="G2286" i="1"/>
  <c r="H2286" i="1" s="1"/>
  <c r="G2285" i="1"/>
  <c r="H2285" i="1" s="1"/>
  <c r="G2284" i="1"/>
  <c r="H2284" i="1" s="1"/>
  <c r="G2283" i="1"/>
  <c r="H2283" i="1" s="1"/>
  <c r="G2282" i="1"/>
  <c r="H2282" i="1" s="1"/>
  <c r="G2281" i="1"/>
  <c r="H2281" i="1" s="1"/>
  <c r="G2280" i="1"/>
  <c r="H2280" i="1" s="1"/>
  <c r="G2279" i="1"/>
  <c r="H2279" i="1" s="1"/>
  <c r="G2278" i="1"/>
  <c r="H2278" i="1" s="1"/>
  <c r="G2277" i="1"/>
  <c r="H2277" i="1" s="1"/>
  <c r="G2276" i="1"/>
  <c r="H2276" i="1" s="1"/>
  <c r="G2275" i="1"/>
  <c r="H2275" i="1" s="1"/>
  <c r="G2274" i="1"/>
  <c r="H2274" i="1" s="1"/>
  <c r="G2273" i="1"/>
  <c r="H2273" i="1" s="1"/>
  <c r="G2272" i="1"/>
  <c r="H2272" i="1" s="1"/>
  <c r="G2271" i="1"/>
  <c r="H2271" i="1" s="1"/>
  <c r="G2270" i="1"/>
  <c r="H2270" i="1" s="1"/>
  <c r="G2269" i="1"/>
  <c r="H2269" i="1" s="1"/>
  <c r="G2268" i="1"/>
  <c r="H2268" i="1" s="1"/>
  <c r="G2267" i="1"/>
  <c r="H2267" i="1" s="1"/>
  <c r="G2266" i="1"/>
  <c r="H2266" i="1" s="1"/>
  <c r="G2265" i="1"/>
  <c r="H2265" i="1" s="1"/>
  <c r="G2264" i="1"/>
  <c r="H2264" i="1" s="1"/>
  <c r="G2263" i="1"/>
  <c r="H2263" i="1" s="1"/>
  <c r="G2262" i="1"/>
  <c r="H2262" i="1" s="1"/>
  <c r="G2261" i="1"/>
  <c r="H2261" i="1" s="1"/>
  <c r="G2260" i="1"/>
  <c r="H2260" i="1" s="1"/>
  <c r="G2259" i="1"/>
  <c r="H2259" i="1" s="1"/>
  <c r="G2258" i="1"/>
  <c r="H2258" i="1" s="1"/>
  <c r="G2257" i="1"/>
  <c r="H2257" i="1" s="1"/>
  <c r="G2256" i="1"/>
  <c r="H2256" i="1" s="1"/>
  <c r="G2255" i="1"/>
  <c r="H2255" i="1" s="1"/>
  <c r="G2254" i="1"/>
  <c r="H2254" i="1" s="1"/>
  <c r="G2253" i="1"/>
  <c r="H2253" i="1" s="1"/>
  <c r="G2252" i="1"/>
  <c r="H2252" i="1" s="1"/>
  <c r="G2251" i="1"/>
  <c r="H2251" i="1" s="1"/>
  <c r="G2250" i="1"/>
  <c r="H2250" i="1" s="1"/>
  <c r="G2249" i="1"/>
  <c r="H2249" i="1" s="1"/>
  <c r="G2248" i="1"/>
  <c r="H2248" i="1" s="1"/>
  <c r="G2247" i="1"/>
  <c r="H2247" i="1" s="1"/>
  <c r="G2246" i="1"/>
  <c r="H2246" i="1" s="1"/>
  <c r="G2245" i="1"/>
  <c r="H2245" i="1" s="1"/>
  <c r="G2244" i="1"/>
  <c r="H2244" i="1" s="1"/>
  <c r="G2243" i="1"/>
  <c r="H2243" i="1" s="1"/>
  <c r="G2242" i="1"/>
  <c r="H2242" i="1" s="1"/>
  <c r="G2241" i="1"/>
  <c r="H2241" i="1" s="1"/>
  <c r="G2240" i="1"/>
  <c r="H2240" i="1" s="1"/>
  <c r="G2239" i="1"/>
  <c r="H2239" i="1" s="1"/>
  <c r="G2238" i="1"/>
  <c r="H2238" i="1" s="1"/>
  <c r="G2237" i="1"/>
  <c r="H2237" i="1" s="1"/>
  <c r="G2236" i="1"/>
  <c r="H2236" i="1" s="1"/>
  <c r="G2235" i="1"/>
  <c r="H2235" i="1" s="1"/>
  <c r="G2234" i="1"/>
  <c r="H2234" i="1" s="1"/>
  <c r="G2233" i="1"/>
  <c r="H2233" i="1" s="1"/>
  <c r="G2232" i="1"/>
  <c r="H2232" i="1" s="1"/>
  <c r="G2231" i="1"/>
  <c r="H2231" i="1" s="1"/>
  <c r="G2230" i="1"/>
  <c r="H2230" i="1" s="1"/>
  <c r="G2229" i="1"/>
  <c r="H2229" i="1" s="1"/>
  <c r="G2228" i="1"/>
  <c r="H2228" i="1" s="1"/>
  <c r="G2227" i="1"/>
  <c r="H2227" i="1" s="1"/>
  <c r="G2226" i="1"/>
  <c r="H2226" i="1" s="1"/>
  <c r="G2225" i="1"/>
  <c r="H2225" i="1" s="1"/>
  <c r="G2224" i="1"/>
  <c r="H2224" i="1" s="1"/>
  <c r="G2223" i="1"/>
  <c r="H2223" i="1" s="1"/>
  <c r="G2222" i="1"/>
  <c r="H2222" i="1" s="1"/>
  <c r="G2221" i="1"/>
  <c r="H2221" i="1" s="1"/>
  <c r="G2220" i="1"/>
  <c r="H2220" i="1" s="1"/>
  <c r="G2219" i="1"/>
  <c r="H2219" i="1" s="1"/>
  <c r="G2218" i="1"/>
  <c r="H2218" i="1" s="1"/>
  <c r="G2217" i="1"/>
  <c r="H2217" i="1" s="1"/>
  <c r="G2216" i="1"/>
  <c r="H2216" i="1" s="1"/>
  <c r="G2215" i="1"/>
  <c r="H2215" i="1" s="1"/>
  <c r="G2214" i="1"/>
  <c r="H2214" i="1" s="1"/>
  <c r="G2213" i="1"/>
  <c r="H2213" i="1" s="1"/>
  <c r="G2212" i="1"/>
  <c r="H2212" i="1" s="1"/>
  <c r="G2211" i="1"/>
  <c r="H2211" i="1" s="1"/>
  <c r="G2210" i="1"/>
  <c r="H2210" i="1" s="1"/>
  <c r="G2209" i="1"/>
  <c r="H2209" i="1" s="1"/>
  <c r="G2208" i="1"/>
  <c r="H2208" i="1" s="1"/>
  <c r="G2207" i="1"/>
  <c r="H2207" i="1" s="1"/>
  <c r="G2206" i="1"/>
  <c r="H2206" i="1" s="1"/>
  <c r="G2205" i="1"/>
  <c r="H2205" i="1" s="1"/>
  <c r="G2204" i="1"/>
  <c r="H2204" i="1" s="1"/>
  <c r="G2203" i="1"/>
  <c r="H2203" i="1" s="1"/>
  <c r="G2202" i="1"/>
  <c r="H2202" i="1" s="1"/>
  <c r="G2201" i="1"/>
  <c r="H2201" i="1" s="1"/>
  <c r="G2200" i="1"/>
  <c r="H2200" i="1" s="1"/>
  <c r="G2199" i="1"/>
  <c r="H2199" i="1" s="1"/>
  <c r="G2198" i="1"/>
  <c r="H2198" i="1" s="1"/>
  <c r="G2197" i="1"/>
  <c r="H2197" i="1" s="1"/>
  <c r="G2196" i="1"/>
  <c r="H2196" i="1" s="1"/>
  <c r="G2195" i="1"/>
  <c r="H2195" i="1" s="1"/>
  <c r="G2194" i="1"/>
  <c r="H2194" i="1" s="1"/>
  <c r="G2193" i="1"/>
  <c r="H2193" i="1" s="1"/>
  <c r="G2192" i="1"/>
  <c r="H2192" i="1" s="1"/>
  <c r="G2191" i="1"/>
  <c r="H2191" i="1" s="1"/>
  <c r="G2190" i="1"/>
  <c r="H2190" i="1" s="1"/>
  <c r="G2189" i="1"/>
  <c r="H2189" i="1" s="1"/>
  <c r="G2188" i="1"/>
  <c r="H2188" i="1" s="1"/>
  <c r="G2187" i="1"/>
  <c r="H2187" i="1" s="1"/>
  <c r="G2186" i="1"/>
  <c r="H2186" i="1" s="1"/>
  <c r="G2185" i="1"/>
  <c r="H2185" i="1" s="1"/>
  <c r="G2184" i="1"/>
  <c r="H2184" i="1" s="1"/>
  <c r="G2183" i="1"/>
  <c r="H2183" i="1" s="1"/>
  <c r="G2182" i="1"/>
  <c r="H2182" i="1" s="1"/>
  <c r="G2181" i="1"/>
  <c r="H2181" i="1" s="1"/>
  <c r="G2180" i="1"/>
  <c r="H2180" i="1" s="1"/>
  <c r="G2179" i="1"/>
  <c r="H2179" i="1" s="1"/>
  <c r="G2178" i="1"/>
  <c r="H2178" i="1" s="1"/>
  <c r="G2177" i="1"/>
  <c r="H2177" i="1" s="1"/>
  <c r="G2176" i="1"/>
  <c r="H2176" i="1" s="1"/>
  <c r="G2175" i="1"/>
  <c r="H2175" i="1" s="1"/>
  <c r="G2174" i="1"/>
  <c r="H2174" i="1" s="1"/>
  <c r="G2173" i="1"/>
  <c r="H2173" i="1" s="1"/>
  <c r="G2172" i="1"/>
  <c r="H2172" i="1" s="1"/>
  <c r="G2171" i="1"/>
  <c r="H2171" i="1" s="1"/>
  <c r="G2170" i="1"/>
  <c r="H2170" i="1" s="1"/>
  <c r="G2169" i="1"/>
  <c r="H2169" i="1" s="1"/>
  <c r="G2168" i="1"/>
  <c r="H2168" i="1" s="1"/>
  <c r="G2167" i="1"/>
  <c r="H2167" i="1" s="1"/>
  <c r="G2166" i="1"/>
  <c r="H2166" i="1" s="1"/>
  <c r="G2165" i="1"/>
  <c r="H2165" i="1" s="1"/>
  <c r="G2164" i="1"/>
  <c r="H2164" i="1" s="1"/>
  <c r="G2163" i="1"/>
  <c r="H2163" i="1" s="1"/>
  <c r="G2162" i="1"/>
  <c r="H2162" i="1" s="1"/>
  <c r="G2161" i="1"/>
  <c r="H2161" i="1" s="1"/>
  <c r="G2160" i="1"/>
  <c r="H2160" i="1" s="1"/>
  <c r="G2159" i="1"/>
  <c r="H2159" i="1" s="1"/>
  <c r="G2158" i="1"/>
  <c r="H2158" i="1" s="1"/>
  <c r="G2157" i="1"/>
  <c r="H2157" i="1" s="1"/>
  <c r="G2156" i="1"/>
  <c r="H2156" i="1" s="1"/>
  <c r="G2155" i="1"/>
  <c r="H2155" i="1" s="1"/>
  <c r="G2154" i="1"/>
  <c r="H2154" i="1" s="1"/>
  <c r="G2153" i="1"/>
  <c r="H2153" i="1" s="1"/>
  <c r="G2152" i="1"/>
  <c r="H2152" i="1" s="1"/>
  <c r="G2151" i="1"/>
  <c r="H2151" i="1" s="1"/>
  <c r="G2150" i="1"/>
  <c r="H2150" i="1" s="1"/>
  <c r="G2149" i="1"/>
  <c r="H2149" i="1" s="1"/>
  <c r="G2148" i="1"/>
  <c r="H2148" i="1" s="1"/>
  <c r="G2147" i="1"/>
  <c r="H2147" i="1" s="1"/>
  <c r="G2146" i="1"/>
  <c r="H2146" i="1" s="1"/>
  <c r="G2145" i="1"/>
  <c r="H2145" i="1" s="1"/>
  <c r="G2144" i="1"/>
  <c r="H2144" i="1" s="1"/>
  <c r="G2143" i="1"/>
  <c r="H2143" i="1" s="1"/>
  <c r="G2142" i="1"/>
  <c r="H2142" i="1" s="1"/>
  <c r="G2141" i="1"/>
  <c r="H2141" i="1" s="1"/>
  <c r="G2140" i="1"/>
  <c r="H2140" i="1" s="1"/>
  <c r="G2139" i="1"/>
  <c r="H2139" i="1" s="1"/>
  <c r="G2138" i="1"/>
  <c r="H2138" i="1" s="1"/>
  <c r="G2137" i="1"/>
  <c r="H2137" i="1" s="1"/>
  <c r="G2136" i="1"/>
  <c r="H2136" i="1" s="1"/>
  <c r="G2135" i="1"/>
  <c r="H2135" i="1" s="1"/>
  <c r="G2134" i="1"/>
  <c r="H2134" i="1" s="1"/>
  <c r="G2133" i="1"/>
  <c r="H2133" i="1" s="1"/>
  <c r="G2132" i="1"/>
  <c r="H2132" i="1" s="1"/>
  <c r="G2131" i="1"/>
  <c r="H2131" i="1" s="1"/>
  <c r="G2130" i="1"/>
  <c r="H2130" i="1" s="1"/>
  <c r="G2129" i="1"/>
  <c r="H2129" i="1" s="1"/>
  <c r="G2128" i="1"/>
  <c r="H2128" i="1" s="1"/>
  <c r="G2127" i="1"/>
  <c r="H2127" i="1" s="1"/>
  <c r="G2126" i="1"/>
  <c r="H2126" i="1" s="1"/>
  <c r="G2125" i="1"/>
  <c r="H2125" i="1" s="1"/>
  <c r="G2124" i="1"/>
  <c r="H2124" i="1" s="1"/>
  <c r="G2123" i="1"/>
  <c r="H2123" i="1" s="1"/>
  <c r="G2122" i="1"/>
  <c r="H2122" i="1" s="1"/>
  <c r="G2121" i="1"/>
  <c r="H2121" i="1" s="1"/>
  <c r="G2120" i="1"/>
  <c r="H2120" i="1" s="1"/>
  <c r="G2119" i="1"/>
  <c r="H2119" i="1" s="1"/>
  <c r="G2118" i="1"/>
  <c r="H2118" i="1" s="1"/>
  <c r="G2117" i="1"/>
  <c r="H2117" i="1" s="1"/>
  <c r="G2116" i="1"/>
  <c r="H2116" i="1" s="1"/>
  <c r="G2115" i="1"/>
  <c r="H2115" i="1" s="1"/>
  <c r="G2114" i="1"/>
  <c r="H2114" i="1" s="1"/>
  <c r="G2113" i="1"/>
  <c r="H2113" i="1" s="1"/>
  <c r="G2112" i="1"/>
  <c r="H2112" i="1" s="1"/>
  <c r="G2111" i="1"/>
  <c r="H2111" i="1" s="1"/>
  <c r="G2110" i="1"/>
  <c r="H2110" i="1" s="1"/>
  <c r="G2109" i="1"/>
  <c r="H2109" i="1" s="1"/>
  <c r="G2108" i="1"/>
  <c r="H2108" i="1" s="1"/>
  <c r="G2107" i="1"/>
  <c r="H2107" i="1" s="1"/>
  <c r="G2106" i="1"/>
  <c r="H2106" i="1" s="1"/>
  <c r="G2105" i="1"/>
  <c r="H2105" i="1" s="1"/>
  <c r="G2104" i="1"/>
  <c r="H2104" i="1" s="1"/>
  <c r="G2103" i="1"/>
  <c r="H2103" i="1" s="1"/>
  <c r="G2102" i="1"/>
  <c r="H2102" i="1" s="1"/>
  <c r="G2101" i="1"/>
  <c r="H2101" i="1" s="1"/>
  <c r="G2100" i="1"/>
  <c r="H2100" i="1" s="1"/>
  <c r="G2099" i="1"/>
  <c r="H2099" i="1" s="1"/>
  <c r="G2098" i="1"/>
  <c r="H2098" i="1" s="1"/>
  <c r="G2097" i="1"/>
  <c r="H2097" i="1" s="1"/>
  <c r="G2096" i="1"/>
  <c r="H2096" i="1" s="1"/>
  <c r="G2095" i="1"/>
  <c r="H2095" i="1" s="1"/>
  <c r="G2094" i="1"/>
  <c r="H2094" i="1" s="1"/>
  <c r="G2093" i="1"/>
  <c r="H2093" i="1" s="1"/>
  <c r="G2092" i="1"/>
  <c r="H2092" i="1" s="1"/>
  <c r="G2091" i="1"/>
  <c r="H2091" i="1" s="1"/>
  <c r="G2090" i="1"/>
  <c r="H2090" i="1" s="1"/>
  <c r="G2089" i="1"/>
  <c r="H2089" i="1" s="1"/>
  <c r="G2088" i="1"/>
  <c r="H2088" i="1" s="1"/>
  <c r="G2087" i="1"/>
  <c r="H2087" i="1" s="1"/>
  <c r="G2086" i="1"/>
  <c r="H2086" i="1" s="1"/>
  <c r="G2085" i="1"/>
  <c r="H2085" i="1" s="1"/>
  <c r="G2084" i="1"/>
  <c r="H2084" i="1" s="1"/>
  <c r="G2083" i="1"/>
  <c r="H2083" i="1" s="1"/>
  <c r="G2082" i="1"/>
  <c r="H2082" i="1" s="1"/>
  <c r="G2081" i="1"/>
  <c r="H2081" i="1" s="1"/>
  <c r="G2080" i="1"/>
  <c r="H2080" i="1" s="1"/>
  <c r="G2079" i="1"/>
  <c r="H2079" i="1" s="1"/>
  <c r="G2078" i="1"/>
  <c r="H2078" i="1" s="1"/>
  <c r="G2077" i="1"/>
  <c r="H2077" i="1" s="1"/>
  <c r="G2076" i="1"/>
  <c r="H2076" i="1" s="1"/>
  <c r="G2075" i="1"/>
  <c r="H2075" i="1" s="1"/>
  <c r="G2074" i="1"/>
  <c r="H2074" i="1" s="1"/>
  <c r="G2073" i="1"/>
  <c r="H2073" i="1" s="1"/>
  <c r="G2072" i="1"/>
  <c r="H2072" i="1" s="1"/>
  <c r="G2071" i="1"/>
  <c r="H2071" i="1" s="1"/>
  <c r="G2070" i="1"/>
  <c r="H2070" i="1" s="1"/>
  <c r="G2069" i="1"/>
  <c r="H2069" i="1" s="1"/>
  <c r="G2068" i="1"/>
  <c r="H2068" i="1" s="1"/>
  <c r="G2067" i="1"/>
  <c r="H2067" i="1" s="1"/>
  <c r="G2066" i="1"/>
  <c r="H2066" i="1" s="1"/>
  <c r="G2065" i="1"/>
  <c r="H2065" i="1" s="1"/>
  <c r="G2064" i="1"/>
  <c r="H2064" i="1" s="1"/>
  <c r="G2063" i="1"/>
  <c r="H2063" i="1" s="1"/>
  <c r="G2062" i="1"/>
  <c r="H2062" i="1" s="1"/>
  <c r="G2061" i="1"/>
  <c r="H2061" i="1" s="1"/>
  <c r="G2060" i="1"/>
  <c r="H2060" i="1" s="1"/>
  <c r="G2059" i="1"/>
  <c r="H2059" i="1" s="1"/>
  <c r="G2058" i="1"/>
  <c r="H2058" i="1" s="1"/>
  <c r="G2057" i="1"/>
  <c r="H2057" i="1" s="1"/>
  <c r="G2056" i="1"/>
  <c r="H2056" i="1" s="1"/>
  <c r="G2055" i="1"/>
  <c r="H2055" i="1" s="1"/>
  <c r="G2054" i="1"/>
  <c r="H2054" i="1" s="1"/>
  <c r="G2053" i="1"/>
  <c r="H2053" i="1" s="1"/>
  <c r="G2052" i="1"/>
  <c r="H2052" i="1" s="1"/>
  <c r="G2051" i="1"/>
  <c r="H2051" i="1" s="1"/>
  <c r="G2050" i="1"/>
  <c r="H2050" i="1" s="1"/>
  <c r="G2049" i="1"/>
  <c r="H2049" i="1" s="1"/>
  <c r="G2048" i="1"/>
  <c r="H2048" i="1" s="1"/>
  <c r="G2047" i="1"/>
  <c r="H2047" i="1" s="1"/>
  <c r="G2046" i="1"/>
  <c r="H2046" i="1" s="1"/>
  <c r="G2045" i="1"/>
  <c r="H2045" i="1" s="1"/>
  <c r="G2044" i="1"/>
  <c r="H2044" i="1" s="1"/>
  <c r="G2043" i="1"/>
  <c r="H2043" i="1" s="1"/>
  <c r="G2042" i="1"/>
  <c r="H2042" i="1" s="1"/>
  <c r="G2041" i="1"/>
  <c r="H2041" i="1" s="1"/>
  <c r="G2040" i="1"/>
  <c r="H2040" i="1" s="1"/>
  <c r="G2039" i="1"/>
  <c r="H2039" i="1" s="1"/>
  <c r="G2038" i="1"/>
  <c r="H2038" i="1" s="1"/>
  <c r="G2037" i="1"/>
  <c r="H2037" i="1" s="1"/>
  <c r="G2036" i="1"/>
  <c r="H2036" i="1" s="1"/>
  <c r="G2035" i="1"/>
  <c r="H2035" i="1" s="1"/>
  <c r="G2034" i="1"/>
  <c r="H2034" i="1" s="1"/>
  <c r="G2033" i="1"/>
  <c r="H2033" i="1" s="1"/>
  <c r="G2032" i="1"/>
  <c r="H2032" i="1" s="1"/>
  <c r="G2031" i="1"/>
  <c r="H2031" i="1" s="1"/>
  <c r="G2030" i="1"/>
  <c r="H2030" i="1" s="1"/>
  <c r="G2029" i="1"/>
  <c r="H2029" i="1" s="1"/>
  <c r="G2028" i="1"/>
  <c r="H2028" i="1" s="1"/>
  <c r="G2027" i="1"/>
  <c r="H2027" i="1" s="1"/>
  <c r="G2026" i="1"/>
  <c r="H2026" i="1" s="1"/>
  <c r="G2025" i="1"/>
  <c r="H2025" i="1" s="1"/>
  <c r="G2024" i="1"/>
  <c r="H2024" i="1" s="1"/>
  <c r="G2023" i="1"/>
  <c r="H2023" i="1" s="1"/>
  <c r="G2022" i="1"/>
  <c r="H2022" i="1" s="1"/>
  <c r="G2021" i="1"/>
  <c r="H2021" i="1" s="1"/>
  <c r="G2020" i="1"/>
  <c r="H2020" i="1" s="1"/>
  <c r="G2019" i="1"/>
  <c r="H2019" i="1" s="1"/>
  <c r="G2018" i="1"/>
  <c r="H2018" i="1" s="1"/>
  <c r="G2017" i="1"/>
  <c r="H2017" i="1" s="1"/>
  <c r="G2016" i="1"/>
  <c r="H2016" i="1" s="1"/>
  <c r="G2015" i="1"/>
  <c r="H2015" i="1" s="1"/>
  <c r="G2014" i="1"/>
  <c r="H2014" i="1" s="1"/>
  <c r="G2013" i="1"/>
  <c r="H2013" i="1" s="1"/>
  <c r="G2012" i="1"/>
  <c r="H2012" i="1" s="1"/>
  <c r="G2011" i="1"/>
  <c r="H2011" i="1" s="1"/>
  <c r="G2010" i="1"/>
  <c r="H2010" i="1" s="1"/>
  <c r="G2009" i="1"/>
  <c r="H2009" i="1" s="1"/>
  <c r="G2008" i="1"/>
  <c r="H2008" i="1" s="1"/>
  <c r="G2007" i="1"/>
  <c r="H2007" i="1" s="1"/>
  <c r="G2006" i="1"/>
  <c r="H2006" i="1" s="1"/>
  <c r="G2005" i="1"/>
  <c r="H2005" i="1" s="1"/>
  <c r="G2004" i="1"/>
  <c r="H2004" i="1" s="1"/>
  <c r="G2003" i="1"/>
  <c r="H2003" i="1" s="1"/>
  <c r="G2002" i="1"/>
  <c r="H2002" i="1" s="1"/>
  <c r="G2001" i="1"/>
  <c r="H2001" i="1" s="1"/>
  <c r="G2000" i="1"/>
  <c r="H2000" i="1" s="1"/>
  <c r="G1999" i="1"/>
  <c r="H1999" i="1" s="1"/>
  <c r="G1998" i="1"/>
  <c r="H1998" i="1" s="1"/>
  <c r="G1997" i="1"/>
  <c r="H1997" i="1" s="1"/>
  <c r="G1996" i="1"/>
  <c r="H1996" i="1" s="1"/>
  <c r="G1995" i="1"/>
  <c r="H1995" i="1" s="1"/>
  <c r="G1994" i="1"/>
  <c r="H1994" i="1" s="1"/>
  <c r="G1993" i="1"/>
  <c r="H1993" i="1" s="1"/>
  <c r="G1992" i="1"/>
  <c r="H1992" i="1" s="1"/>
  <c r="G1991" i="1"/>
  <c r="H1991" i="1" s="1"/>
  <c r="G1990" i="1"/>
  <c r="H1990" i="1" s="1"/>
  <c r="G1989" i="1"/>
  <c r="H1989" i="1" s="1"/>
  <c r="G1988" i="1"/>
  <c r="H1988" i="1" s="1"/>
  <c r="G1987" i="1"/>
  <c r="H1987" i="1" s="1"/>
  <c r="G1986" i="1"/>
  <c r="H1986" i="1" s="1"/>
  <c r="G1985" i="1"/>
  <c r="H1985" i="1" s="1"/>
  <c r="G1984" i="1"/>
  <c r="H1984" i="1" s="1"/>
  <c r="G1983" i="1"/>
  <c r="H1983" i="1" s="1"/>
  <c r="G1982" i="1"/>
  <c r="H1982" i="1" s="1"/>
  <c r="G1981" i="1"/>
  <c r="H1981" i="1" s="1"/>
  <c r="G1980" i="1"/>
  <c r="H1980" i="1" s="1"/>
  <c r="G1979" i="1"/>
  <c r="H1979" i="1" s="1"/>
  <c r="G1978" i="1"/>
  <c r="H1978" i="1" s="1"/>
  <c r="G1977" i="1"/>
  <c r="H1977" i="1" s="1"/>
  <c r="G1976" i="1"/>
  <c r="H1976" i="1" s="1"/>
  <c r="G1975" i="1"/>
  <c r="H1975" i="1" s="1"/>
  <c r="G1974" i="1"/>
  <c r="H1974" i="1" s="1"/>
  <c r="G1973" i="1"/>
  <c r="H1973" i="1" s="1"/>
  <c r="G1972" i="1"/>
  <c r="H1972" i="1" s="1"/>
  <c r="G1971" i="1"/>
  <c r="H1971" i="1" s="1"/>
  <c r="G1970" i="1"/>
  <c r="H1970" i="1" s="1"/>
  <c r="G1969" i="1"/>
  <c r="H1969" i="1" s="1"/>
  <c r="G1968" i="1"/>
  <c r="H1968" i="1" s="1"/>
  <c r="G1967" i="1"/>
  <c r="H1967" i="1" s="1"/>
  <c r="G1966" i="1"/>
  <c r="H1966" i="1" s="1"/>
  <c r="G1965" i="1"/>
  <c r="H1965" i="1" s="1"/>
  <c r="G1964" i="1"/>
  <c r="H1964" i="1" s="1"/>
  <c r="G1963" i="1"/>
  <c r="H1963" i="1" s="1"/>
  <c r="G1962" i="1"/>
  <c r="H1962" i="1" s="1"/>
  <c r="G1961" i="1"/>
  <c r="H1961" i="1" s="1"/>
  <c r="G1960" i="1"/>
  <c r="H1960" i="1" s="1"/>
  <c r="G1959" i="1"/>
  <c r="H1959" i="1" s="1"/>
  <c r="G1958" i="1"/>
  <c r="H1958" i="1" s="1"/>
  <c r="G1957" i="1"/>
  <c r="H1957" i="1" s="1"/>
  <c r="G1956" i="1"/>
  <c r="H1956" i="1" s="1"/>
  <c r="G1955" i="1"/>
  <c r="H1955" i="1" s="1"/>
  <c r="G1954" i="1"/>
  <c r="H1954" i="1" s="1"/>
  <c r="G1953" i="1"/>
  <c r="H1953" i="1" s="1"/>
  <c r="G1952" i="1"/>
  <c r="H1952" i="1" s="1"/>
  <c r="G1951" i="1"/>
  <c r="H1951" i="1" s="1"/>
  <c r="G1950" i="1"/>
  <c r="H1950" i="1" s="1"/>
  <c r="G1949" i="1"/>
  <c r="H1949" i="1" s="1"/>
  <c r="G1948" i="1"/>
  <c r="H1948" i="1" s="1"/>
  <c r="G1947" i="1"/>
  <c r="H1947" i="1" s="1"/>
  <c r="G1946" i="1"/>
  <c r="H1946" i="1" s="1"/>
  <c r="G1945" i="1"/>
  <c r="H1945" i="1" s="1"/>
  <c r="G1944" i="1"/>
  <c r="H1944" i="1" s="1"/>
  <c r="G1943" i="1"/>
  <c r="H1943" i="1" s="1"/>
  <c r="G1942" i="1"/>
  <c r="H1942" i="1" s="1"/>
  <c r="G1941" i="1"/>
  <c r="H1941" i="1" s="1"/>
  <c r="G1940" i="1"/>
  <c r="H1940" i="1" s="1"/>
  <c r="G1939" i="1"/>
  <c r="H1939" i="1" s="1"/>
  <c r="G1938" i="1"/>
  <c r="H1938" i="1" s="1"/>
  <c r="G1937" i="1"/>
  <c r="H1937" i="1" s="1"/>
  <c r="G1936" i="1"/>
  <c r="H1936" i="1" s="1"/>
  <c r="G1935" i="1"/>
  <c r="H1935" i="1" s="1"/>
  <c r="G1934" i="1"/>
  <c r="H1934" i="1" s="1"/>
  <c r="G1933" i="1"/>
  <c r="H1933" i="1" s="1"/>
  <c r="G1932" i="1"/>
  <c r="H1932" i="1" s="1"/>
  <c r="G1931" i="1"/>
  <c r="H1931" i="1" s="1"/>
  <c r="G1930" i="1"/>
  <c r="H1930" i="1" s="1"/>
  <c r="G1929" i="1"/>
  <c r="H1929" i="1" s="1"/>
  <c r="G1928" i="1"/>
  <c r="H1928" i="1" s="1"/>
  <c r="G1927" i="1"/>
  <c r="H1927" i="1" s="1"/>
  <c r="G1926" i="1"/>
  <c r="H1926" i="1" s="1"/>
  <c r="G1925" i="1"/>
  <c r="H1925" i="1" s="1"/>
  <c r="G1924" i="1"/>
  <c r="H1924" i="1" s="1"/>
  <c r="G1923" i="1"/>
  <c r="H1923" i="1" s="1"/>
  <c r="G1922" i="1"/>
  <c r="H1922" i="1" s="1"/>
  <c r="G1921" i="1"/>
  <c r="H1921" i="1" s="1"/>
  <c r="G1920" i="1"/>
  <c r="H1920" i="1" s="1"/>
  <c r="G1919" i="1"/>
  <c r="H1919" i="1" s="1"/>
  <c r="G1918" i="1"/>
  <c r="H1918" i="1" s="1"/>
  <c r="G1917" i="1"/>
  <c r="H1917" i="1" s="1"/>
  <c r="G1916" i="1"/>
  <c r="H1916" i="1" s="1"/>
  <c r="G1915" i="1"/>
  <c r="H1915" i="1" s="1"/>
  <c r="G1914" i="1"/>
  <c r="H1914" i="1" s="1"/>
  <c r="G1913" i="1"/>
  <c r="H1913" i="1" s="1"/>
  <c r="G1912" i="1"/>
  <c r="H1912" i="1" s="1"/>
  <c r="G1911" i="1"/>
  <c r="H1911" i="1" s="1"/>
  <c r="G1910" i="1"/>
  <c r="H1910" i="1" s="1"/>
  <c r="G1909" i="1"/>
  <c r="H1909" i="1" s="1"/>
  <c r="G1908" i="1"/>
  <c r="H1908" i="1" s="1"/>
  <c r="G1907" i="1"/>
  <c r="H1907" i="1" s="1"/>
  <c r="G1906" i="1"/>
  <c r="H1906" i="1" s="1"/>
  <c r="G1905" i="1"/>
  <c r="H1905" i="1" s="1"/>
  <c r="G1904" i="1"/>
  <c r="H1904" i="1" s="1"/>
  <c r="G1903" i="1"/>
  <c r="H1903" i="1" s="1"/>
  <c r="G1902" i="1"/>
  <c r="H1902" i="1" s="1"/>
  <c r="G1901" i="1"/>
  <c r="H1901" i="1" s="1"/>
  <c r="G1900" i="1"/>
  <c r="H1900" i="1" s="1"/>
  <c r="G1899" i="1"/>
  <c r="H1899" i="1" s="1"/>
  <c r="G1898" i="1"/>
  <c r="H1898" i="1" s="1"/>
  <c r="G1897" i="1"/>
  <c r="H1897" i="1" s="1"/>
  <c r="G1896" i="1"/>
  <c r="H1896" i="1" s="1"/>
  <c r="G1895" i="1"/>
  <c r="H1895" i="1" s="1"/>
  <c r="G1894" i="1"/>
  <c r="H1894" i="1" s="1"/>
  <c r="G1893" i="1"/>
  <c r="H1893" i="1" s="1"/>
  <c r="G1892" i="1"/>
  <c r="H1892" i="1" s="1"/>
  <c r="G1891" i="1"/>
  <c r="H1891" i="1" s="1"/>
  <c r="G1890" i="1"/>
  <c r="H1890" i="1" s="1"/>
  <c r="G1889" i="1"/>
  <c r="H1889" i="1" s="1"/>
  <c r="G1888" i="1"/>
  <c r="H1888" i="1" s="1"/>
  <c r="G1887" i="1"/>
  <c r="H1887" i="1" s="1"/>
  <c r="G1886" i="1"/>
  <c r="H1886" i="1" s="1"/>
  <c r="G1885" i="1"/>
  <c r="H1885" i="1" s="1"/>
  <c r="G1884" i="1"/>
  <c r="H1884" i="1" s="1"/>
  <c r="G1883" i="1"/>
  <c r="H1883" i="1" s="1"/>
  <c r="G1882" i="1"/>
  <c r="H1882" i="1" s="1"/>
  <c r="G1881" i="1"/>
  <c r="H1881" i="1" s="1"/>
  <c r="G1880" i="1"/>
  <c r="H1880" i="1" s="1"/>
  <c r="G1879" i="1"/>
  <c r="H1879" i="1" s="1"/>
  <c r="G1878" i="1"/>
  <c r="H1878" i="1" s="1"/>
  <c r="G1877" i="1"/>
  <c r="H1877" i="1" s="1"/>
  <c r="G1876" i="1"/>
  <c r="H1876" i="1" s="1"/>
  <c r="G1875" i="1"/>
  <c r="H1875" i="1" s="1"/>
  <c r="G1874" i="1"/>
  <c r="H1874" i="1" s="1"/>
  <c r="G1873" i="1"/>
  <c r="H1873" i="1" s="1"/>
  <c r="G1872" i="1"/>
  <c r="H1872" i="1" s="1"/>
  <c r="G1871" i="1"/>
  <c r="H1871" i="1" s="1"/>
  <c r="G1870" i="1"/>
  <c r="H1870" i="1" s="1"/>
  <c r="G1869" i="1"/>
  <c r="H1869" i="1" s="1"/>
  <c r="G1868" i="1"/>
  <c r="H1868" i="1" s="1"/>
  <c r="G1867" i="1"/>
  <c r="H1867" i="1" s="1"/>
  <c r="G1866" i="1"/>
  <c r="H1866" i="1" s="1"/>
  <c r="G1865" i="1"/>
  <c r="H1865" i="1" s="1"/>
  <c r="G1864" i="1"/>
  <c r="H1864" i="1" s="1"/>
  <c r="G1863" i="1"/>
  <c r="H1863" i="1" s="1"/>
  <c r="G1862" i="1"/>
  <c r="H1862" i="1" s="1"/>
  <c r="G1861" i="1"/>
  <c r="H1861" i="1" s="1"/>
  <c r="G1860" i="1"/>
  <c r="H1860" i="1" s="1"/>
  <c r="G1859" i="1"/>
  <c r="H1859" i="1" s="1"/>
  <c r="G1858" i="1"/>
  <c r="H1858" i="1" s="1"/>
  <c r="G1857" i="1"/>
  <c r="H1857" i="1" s="1"/>
  <c r="G1856" i="1"/>
  <c r="H1856" i="1" s="1"/>
  <c r="G1855" i="1"/>
  <c r="H1855" i="1" s="1"/>
  <c r="G1854" i="1"/>
  <c r="H1854" i="1" s="1"/>
  <c r="G1853" i="1"/>
  <c r="H1853" i="1" s="1"/>
  <c r="G1852" i="1"/>
  <c r="H1852" i="1" s="1"/>
  <c r="G1851" i="1"/>
  <c r="H1851" i="1" s="1"/>
  <c r="G1850" i="1"/>
  <c r="H1850" i="1" s="1"/>
  <c r="G1849" i="1"/>
  <c r="H1849" i="1" s="1"/>
  <c r="G1848" i="1"/>
  <c r="H1848" i="1" s="1"/>
  <c r="G1847" i="1"/>
  <c r="H1847" i="1" s="1"/>
  <c r="G1846" i="1"/>
  <c r="H1846" i="1" s="1"/>
  <c r="G1845" i="1"/>
  <c r="H1845" i="1" s="1"/>
  <c r="G1844" i="1"/>
  <c r="H1844" i="1" s="1"/>
  <c r="G1843" i="1"/>
  <c r="H1843" i="1" s="1"/>
  <c r="G1842" i="1"/>
  <c r="H1842" i="1" s="1"/>
  <c r="G1841" i="1"/>
  <c r="H1841" i="1" s="1"/>
  <c r="G1840" i="1"/>
  <c r="H1840" i="1" s="1"/>
  <c r="G1839" i="1"/>
  <c r="H1839" i="1" s="1"/>
  <c r="G1838" i="1"/>
  <c r="H1838" i="1" s="1"/>
  <c r="G1837" i="1"/>
  <c r="H1837" i="1" s="1"/>
  <c r="G1836" i="1"/>
  <c r="H1836" i="1" s="1"/>
  <c r="G1835" i="1"/>
  <c r="H1835" i="1" s="1"/>
  <c r="G1834" i="1"/>
  <c r="H1834" i="1" s="1"/>
  <c r="G1833" i="1"/>
  <c r="H1833" i="1" s="1"/>
  <c r="G1832" i="1"/>
  <c r="H1832" i="1" s="1"/>
  <c r="G1831" i="1"/>
  <c r="H1831" i="1" s="1"/>
  <c r="G1830" i="1"/>
  <c r="H1830" i="1" s="1"/>
  <c r="G1829" i="1"/>
  <c r="H1829" i="1" s="1"/>
  <c r="G1828" i="1"/>
  <c r="H1828" i="1" s="1"/>
  <c r="G1827" i="1"/>
  <c r="H1827" i="1" s="1"/>
  <c r="G1826" i="1"/>
  <c r="H1826" i="1" s="1"/>
  <c r="G1825" i="1"/>
  <c r="H1825" i="1" s="1"/>
  <c r="G1824" i="1"/>
  <c r="H1824" i="1" s="1"/>
  <c r="G1823" i="1"/>
  <c r="H1823" i="1" s="1"/>
  <c r="G1822" i="1"/>
  <c r="H1822" i="1" s="1"/>
  <c r="G1821" i="1"/>
  <c r="H1821" i="1" s="1"/>
  <c r="G1820" i="1"/>
  <c r="H1820" i="1" s="1"/>
  <c r="G1819" i="1"/>
  <c r="H1819" i="1" s="1"/>
  <c r="G1818" i="1"/>
  <c r="H1818" i="1" s="1"/>
  <c r="G1817" i="1"/>
  <c r="H1817" i="1" s="1"/>
  <c r="G1816" i="1"/>
  <c r="H1816" i="1" s="1"/>
  <c r="G1815" i="1"/>
  <c r="H1815" i="1" s="1"/>
  <c r="G1814" i="1"/>
  <c r="H1814" i="1" s="1"/>
  <c r="G1813" i="1"/>
  <c r="H1813" i="1" s="1"/>
  <c r="G1812" i="1"/>
  <c r="H1812" i="1" s="1"/>
  <c r="G1811" i="1"/>
  <c r="H1811" i="1" s="1"/>
  <c r="G1810" i="1"/>
  <c r="H1810" i="1" s="1"/>
  <c r="G1809" i="1"/>
  <c r="H1809" i="1" s="1"/>
  <c r="G1808" i="1"/>
  <c r="H1808" i="1" s="1"/>
  <c r="G1807" i="1"/>
  <c r="H1807" i="1" s="1"/>
  <c r="G1806" i="1"/>
  <c r="H1806" i="1" s="1"/>
  <c r="G1805" i="1"/>
  <c r="H1805" i="1" s="1"/>
  <c r="G1804" i="1"/>
  <c r="H1804" i="1" s="1"/>
  <c r="G1803" i="1"/>
  <c r="H1803" i="1" s="1"/>
  <c r="G1802" i="1"/>
  <c r="H1802" i="1" s="1"/>
  <c r="G1801" i="1"/>
  <c r="H1801" i="1" s="1"/>
  <c r="G1800" i="1"/>
  <c r="H1800" i="1" s="1"/>
  <c r="G1799" i="1"/>
  <c r="H1799" i="1" s="1"/>
  <c r="G1798" i="1"/>
  <c r="H1798" i="1" s="1"/>
  <c r="G1797" i="1"/>
  <c r="H1797" i="1" s="1"/>
  <c r="G1796" i="1"/>
  <c r="H1796" i="1" s="1"/>
  <c r="G1795" i="1"/>
  <c r="H1795" i="1" s="1"/>
  <c r="G1794" i="1"/>
  <c r="H1794" i="1" s="1"/>
  <c r="G1793" i="1"/>
  <c r="H1793" i="1" s="1"/>
  <c r="G1792" i="1"/>
  <c r="H1792" i="1" s="1"/>
  <c r="G1791" i="1"/>
  <c r="H1791" i="1" s="1"/>
  <c r="G1790" i="1"/>
  <c r="H1790" i="1" s="1"/>
  <c r="G1789" i="1"/>
  <c r="H1789" i="1" s="1"/>
  <c r="G1788" i="1"/>
  <c r="H1788" i="1" s="1"/>
  <c r="G1787" i="1"/>
  <c r="H1787" i="1" s="1"/>
  <c r="G1786" i="1"/>
  <c r="H1786" i="1" s="1"/>
  <c r="G1785" i="1"/>
  <c r="H1785" i="1" s="1"/>
  <c r="G1784" i="1"/>
  <c r="H1784" i="1" s="1"/>
  <c r="G1783" i="1"/>
  <c r="H1783" i="1" s="1"/>
  <c r="G1782" i="1"/>
  <c r="H1782" i="1" s="1"/>
  <c r="G1781" i="1"/>
  <c r="H1781" i="1" s="1"/>
  <c r="G1780" i="1"/>
  <c r="H1780" i="1" s="1"/>
  <c r="G1779" i="1"/>
  <c r="H1779" i="1" s="1"/>
  <c r="G1778" i="1"/>
  <c r="H1778" i="1" s="1"/>
  <c r="G1777" i="1"/>
  <c r="H1777" i="1" s="1"/>
  <c r="G1776" i="1"/>
  <c r="H1776" i="1" s="1"/>
  <c r="G1775" i="1"/>
  <c r="H1775" i="1" s="1"/>
  <c r="G1774" i="1"/>
  <c r="H1774" i="1" s="1"/>
  <c r="G1773" i="1"/>
  <c r="H1773" i="1" s="1"/>
  <c r="G1772" i="1"/>
  <c r="H1772" i="1" s="1"/>
  <c r="G1771" i="1"/>
  <c r="H1771" i="1" s="1"/>
  <c r="G1770" i="1"/>
  <c r="H1770" i="1" s="1"/>
  <c r="G1769" i="1"/>
  <c r="H1769" i="1" s="1"/>
  <c r="G1768" i="1"/>
  <c r="H1768" i="1" s="1"/>
  <c r="G1767" i="1"/>
  <c r="H1767" i="1" s="1"/>
  <c r="G1766" i="1"/>
  <c r="H1766" i="1" s="1"/>
  <c r="G1765" i="1"/>
  <c r="H1765" i="1" s="1"/>
  <c r="G1764" i="1"/>
  <c r="H1764" i="1" s="1"/>
  <c r="G1763" i="1"/>
  <c r="H1763" i="1" s="1"/>
  <c r="G1762" i="1"/>
  <c r="H1762" i="1" s="1"/>
  <c r="G1761" i="1"/>
  <c r="H1761" i="1" s="1"/>
  <c r="G1760" i="1"/>
  <c r="H1760" i="1" s="1"/>
  <c r="G1759" i="1"/>
  <c r="H1759" i="1" s="1"/>
  <c r="G1758" i="1"/>
  <c r="H1758" i="1" s="1"/>
  <c r="G1757" i="1"/>
  <c r="H1757" i="1" s="1"/>
  <c r="G1756" i="1"/>
  <c r="H1756" i="1" s="1"/>
  <c r="G1755" i="1"/>
  <c r="H1755" i="1" s="1"/>
  <c r="G1754" i="1"/>
  <c r="H1754" i="1" s="1"/>
  <c r="G1753" i="1"/>
  <c r="H1753" i="1" s="1"/>
  <c r="G1752" i="1"/>
  <c r="H1752" i="1" s="1"/>
  <c r="G1751" i="1"/>
  <c r="H1751" i="1" s="1"/>
  <c r="G1750" i="1"/>
  <c r="H1750" i="1" s="1"/>
  <c r="G1749" i="1"/>
  <c r="H1749" i="1" s="1"/>
  <c r="G1748" i="1"/>
  <c r="H1748" i="1" s="1"/>
  <c r="G1747" i="1"/>
  <c r="H1747" i="1" s="1"/>
  <c r="G1746" i="1"/>
  <c r="H1746" i="1" s="1"/>
  <c r="G1745" i="1"/>
  <c r="H1745" i="1" s="1"/>
  <c r="G1744" i="1"/>
  <c r="H1744" i="1" s="1"/>
  <c r="G1743" i="1"/>
  <c r="H1743" i="1" s="1"/>
  <c r="G1742" i="1"/>
  <c r="H1742" i="1" s="1"/>
  <c r="G1741" i="1"/>
  <c r="H1741" i="1" s="1"/>
  <c r="G1740" i="1"/>
  <c r="H1740" i="1" s="1"/>
  <c r="G1739" i="1"/>
  <c r="H1739" i="1" s="1"/>
  <c r="G1738" i="1"/>
  <c r="H1738" i="1" s="1"/>
  <c r="G1737" i="1"/>
  <c r="H1737" i="1" s="1"/>
  <c r="G1736" i="1"/>
  <c r="H1736" i="1" s="1"/>
  <c r="G1735" i="1"/>
  <c r="H1735" i="1" s="1"/>
  <c r="G1734" i="1"/>
  <c r="H1734" i="1" s="1"/>
  <c r="G1733" i="1"/>
  <c r="H1733" i="1" s="1"/>
  <c r="G1732" i="1"/>
  <c r="H1732" i="1" s="1"/>
  <c r="G1731" i="1"/>
  <c r="H1731" i="1" s="1"/>
  <c r="G1730" i="1"/>
  <c r="H1730" i="1" s="1"/>
  <c r="G1729" i="1"/>
  <c r="H1729" i="1" s="1"/>
  <c r="G1728" i="1"/>
  <c r="H1728" i="1" s="1"/>
  <c r="G1727" i="1"/>
  <c r="H1727" i="1" s="1"/>
  <c r="G1726" i="1"/>
  <c r="H1726" i="1" s="1"/>
  <c r="G1725" i="1"/>
  <c r="H1725" i="1" s="1"/>
  <c r="G1724" i="1"/>
  <c r="H1724" i="1" s="1"/>
  <c r="G1723" i="1"/>
  <c r="H1723" i="1" s="1"/>
  <c r="G1722" i="1"/>
  <c r="H1722" i="1" s="1"/>
  <c r="G1721" i="1"/>
  <c r="H1721" i="1" s="1"/>
  <c r="G1720" i="1"/>
  <c r="H1720" i="1" s="1"/>
  <c r="G1719" i="1"/>
  <c r="H1719" i="1" s="1"/>
  <c r="G1718" i="1"/>
  <c r="H1718" i="1" s="1"/>
  <c r="G1717" i="1"/>
  <c r="H1717" i="1" s="1"/>
  <c r="G1716" i="1"/>
  <c r="H1716" i="1" s="1"/>
  <c r="G1715" i="1"/>
  <c r="H1715" i="1" s="1"/>
  <c r="G1714" i="1"/>
  <c r="H1714" i="1" s="1"/>
  <c r="G1713" i="1"/>
  <c r="H1713" i="1" s="1"/>
  <c r="G1712" i="1"/>
  <c r="H1712" i="1" s="1"/>
  <c r="G1711" i="1"/>
  <c r="H1711" i="1" s="1"/>
  <c r="G1710" i="1"/>
  <c r="H1710" i="1" s="1"/>
  <c r="G1709" i="1"/>
  <c r="H1709" i="1" s="1"/>
  <c r="G1708" i="1"/>
  <c r="H1708" i="1" s="1"/>
  <c r="G1707" i="1"/>
  <c r="H1707" i="1" s="1"/>
  <c r="G1706" i="1"/>
  <c r="H1706" i="1" s="1"/>
  <c r="G1705" i="1"/>
  <c r="H1705" i="1" s="1"/>
  <c r="G1704" i="1"/>
  <c r="H1704" i="1" s="1"/>
  <c r="G1703" i="1"/>
  <c r="H1703" i="1" s="1"/>
  <c r="G1702" i="1"/>
  <c r="H1702" i="1" s="1"/>
  <c r="G1701" i="1"/>
  <c r="H1701" i="1" s="1"/>
  <c r="G1700" i="1"/>
  <c r="H1700" i="1" s="1"/>
  <c r="G1699" i="1"/>
  <c r="H1699" i="1" s="1"/>
  <c r="G1698" i="1"/>
  <c r="H1698" i="1" s="1"/>
  <c r="G1697" i="1"/>
  <c r="H1697" i="1" s="1"/>
  <c r="G1696" i="1"/>
  <c r="H1696" i="1" s="1"/>
  <c r="G1695" i="1"/>
  <c r="H1695" i="1" s="1"/>
  <c r="G1694" i="1"/>
  <c r="H1694" i="1" s="1"/>
  <c r="G1693" i="1"/>
  <c r="H1693" i="1" s="1"/>
  <c r="G1692" i="1"/>
  <c r="H1692" i="1" s="1"/>
  <c r="G1691" i="1"/>
  <c r="H1691" i="1" s="1"/>
  <c r="G1690" i="1"/>
  <c r="H1690" i="1" s="1"/>
  <c r="G1689" i="1"/>
  <c r="H1689" i="1" s="1"/>
  <c r="G1688" i="1"/>
  <c r="H1688" i="1" s="1"/>
  <c r="G1687" i="1"/>
  <c r="H1687" i="1" s="1"/>
  <c r="G1686" i="1"/>
  <c r="H1686" i="1" s="1"/>
  <c r="G1685" i="1"/>
  <c r="H1685" i="1" s="1"/>
  <c r="G1684" i="1"/>
  <c r="H1684" i="1" s="1"/>
  <c r="G1683" i="1"/>
  <c r="H1683" i="1" s="1"/>
  <c r="G1682" i="1"/>
  <c r="H1682" i="1" s="1"/>
  <c r="G1681" i="1"/>
  <c r="H1681" i="1" s="1"/>
  <c r="G1680" i="1"/>
  <c r="H1680" i="1" s="1"/>
  <c r="G1679" i="1"/>
  <c r="H1679" i="1" s="1"/>
  <c r="G1678" i="1"/>
  <c r="H1678" i="1" s="1"/>
  <c r="G1677" i="1"/>
  <c r="H1677" i="1" s="1"/>
  <c r="G1676" i="1"/>
  <c r="H1676" i="1" s="1"/>
  <c r="G1675" i="1"/>
  <c r="H1675" i="1" s="1"/>
  <c r="G1674" i="1"/>
  <c r="H1674" i="1" s="1"/>
  <c r="G1673" i="1"/>
  <c r="H1673" i="1" s="1"/>
  <c r="G1672" i="1"/>
  <c r="H1672" i="1" s="1"/>
  <c r="G1671" i="1"/>
  <c r="H1671" i="1" s="1"/>
  <c r="G1670" i="1"/>
  <c r="H1670" i="1" s="1"/>
  <c r="G1669" i="1"/>
  <c r="H1669" i="1" s="1"/>
  <c r="G1668" i="1"/>
  <c r="H1668" i="1" s="1"/>
  <c r="G1667" i="1"/>
  <c r="H1667" i="1" s="1"/>
  <c r="G1666" i="1"/>
  <c r="H1666" i="1" s="1"/>
  <c r="G1665" i="1"/>
  <c r="H1665" i="1" s="1"/>
  <c r="G1664" i="1"/>
  <c r="H1664" i="1" s="1"/>
  <c r="G1663" i="1"/>
  <c r="H1663" i="1" s="1"/>
  <c r="G1662" i="1"/>
  <c r="H1662" i="1" s="1"/>
  <c r="G1661" i="1"/>
  <c r="H1661" i="1" s="1"/>
  <c r="G1660" i="1"/>
  <c r="H1660" i="1" s="1"/>
  <c r="G1659" i="1"/>
  <c r="H1659" i="1" s="1"/>
  <c r="G1658" i="1"/>
  <c r="H1658" i="1" s="1"/>
  <c r="G1657" i="1"/>
  <c r="H1657" i="1" s="1"/>
  <c r="G1656" i="1"/>
  <c r="H1656" i="1" s="1"/>
  <c r="G1655" i="1"/>
  <c r="H1655" i="1" s="1"/>
  <c r="G1654" i="1"/>
  <c r="H1654" i="1" s="1"/>
  <c r="G1653" i="1"/>
  <c r="H1653" i="1" s="1"/>
  <c r="G1652" i="1"/>
  <c r="H1652" i="1" s="1"/>
  <c r="G1651" i="1"/>
  <c r="H1651" i="1" s="1"/>
  <c r="G1650" i="1"/>
  <c r="H1650" i="1" s="1"/>
  <c r="G1649" i="1"/>
  <c r="H1649" i="1" s="1"/>
  <c r="G1648" i="1"/>
  <c r="H1648" i="1" s="1"/>
  <c r="G1647" i="1"/>
  <c r="H1647" i="1" s="1"/>
  <c r="G1646" i="1"/>
  <c r="H1646" i="1" s="1"/>
  <c r="G1645" i="1"/>
  <c r="H1645" i="1" s="1"/>
  <c r="G1644" i="1"/>
  <c r="H1644" i="1" s="1"/>
  <c r="G1643" i="1"/>
  <c r="H1643" i="1" s="1"/>
  <c r="G1642" i="1"/>
  <c r="H1642" i="1" s="1"/>
  <c r="G1641" i="1"/>
  <c r="H1641" i="1" s="1"/>
  <c r="G1640" i="1"/>
  <c r="H1640" i="1" s="1"/>
  <c r="G1639" i="1"/>
  <c r="H1639" i="1" s="1"/>
  <c r="G1638" i="1"/>
  <c r="H1638" i="1" s="1"/>
  <c r="G1637" i="1"/>
  <c r="H1637" i="1" s="1"/>
  <c r="G1636" i="1"/>
  <c r="H1636" i="1" s="1"/>
  <c r="G1635" i="1"/>
  <c r="H1635" i="1" s="1"/>
  <c r="G1634" i="1"/>
  <c r="H1634" i="1" s="1"/>
  <c r="G1633" i="1"/>
  <c r="H1633" i="1" s="1"/>
  <c r="G1632" i="1"/>
  <c r="H1632" i="1" s="1"/>
  <c r="G1631" i="1"/>
  <c r="H1631" i="1" s="1"/>
  <c r="G1630" i="1"/>
  <c r="H1630" i="1" s="1"/>
  <c r="G1629" i="1"/>
  <c r="H1629" i="1" s="1"/>
  <c r="G1628" i="1"/>
  <c r="H1628" i="1" s="1"/>
  <c r="G1627" i="1"/>
  <c r="H1627" i="1" s="1"/>
  <c r="G1626" i="1"/>
  <c r="H1626" i="1" s="1"/>
  <c r="G1625" i="1"/>
  <c r="H1625" i="1" s="1"/>
  <c r="G1624" i="1"/>
  <c r="H1624" i="1" s="1"/>
  <c r="G1623" i="1"/>
  <c r="H1623" i="1" s="1"/>
  <c r="G1622" i="1"/>
  <c r="H1622" i="1" s="1"/>
  <c r="G1621" i="1"/>
  <c r="H1621" i="1" s="1"/>
  <c r="G1620" i="1"/>
  <c r="H1620" i="1" s="1"/>
  <c r="G1619" i="1"/>
  <c r="H1619" i="1" s="1"/>
  <c r="G1618" i="1"/>
  <c r="H1618" i="1" s="1"/>
  <c r="G1617" i="1"/>
  <c r="H1617" i="1" s="1"/>
  <c r="G1616" i="1"/>
  <c r="H1616" i="1" s="1"/>
  <c r="G1615" i="1"/>
  <c r="H1615" i="1" s="1"/>
  <c r="G1614" i="1"/>
  <c r="H1614" i="1" s="1"/>
  <c r="G1613" i="1"/>
  <c r="H1613" i="1" s="1"/>
  <c r="G1612" i="1"/>
  <c r="H1612" i="1" s="1"/>
  <c r="G1611" i="1"/>
  <c r="H1611" i="1" s="1"/>
  <c r="G1610" i="1"/>
  <c r="H1610" i="1" s="1"/>
  <c r="G1609" i="1"/>
  <c r="H1609" i="1" s="1"/>
  <c r="G1608" i="1"/>
  <c r="H1608" i="1" s="1"/>
  <c r="G1607" i="1"/>
  <c r="H1607" i="1" s="1"/>
  <c r="G1606" i="1"/>
  <c r="H1606" i="1" s="1"/>
  <c r="G1605" i="1"/>
  <c r="H1605" i="1" s="1"/>
  <c r="G1604" i="1"/>
  <c r="H1604" i="1" s="1"/>
  <c r="G1603" i="1"/>
  <c r="H1603" i="1" s="1"/>
  <c r="G1602" i="1"/>
  <c r="H1602" i="1" s="1"/>
  <c r="G1601" i="1"/>
  <c r="H1601" i="1" s="1"/>
  <c r="G1600" i="1"/>
  <c r="H1600" i="1" s="1"/>
  <c r="G1599" i="1"/>
  <c r="H1599" i="1" s="1"/>
  <c r="G1598" i="1"/>
  <c r="H1598" i="1" s="1"/>
  <c r="G1597" i="1"/>
  <c r="H1597" i="1" s="1"/>
  <c r="G1596" i="1"/>
  <c r="H1596" i="1" s="1"/>
  <c r="G1595" i="1"/>
  <c r="H1595" i="1" s="1"/>
  <c r="G1594" i="1"/>
  <c r="H1594" i="1" s="1"/>
  <c r="G1593" i="1"/>
  <c r="H1593" i="1" s="1"/>
  <c r="G1592" i="1"/>
  <c r="H1592" i="1" s="1"/>
  <c r="G1591" i="1"/>
  <c r="H1591" i="1" s="1"/>
  <c r="G1590" i="1"/>
  <c r="H1590" i="1" s="1"/>
  <c r="G1589" i="1"/>
  <c r="H1589" i="1" s="1"/>
  <c r="G1588" i="1"/>
  <c r="H1588" i="1" s="1"/>
  <c r="G1587" i="1"/>
  <c r="H1587" i="1" s="1"/>
  <c r="G1586" i="1"/>
  <c r="H1586" i="1" s="1"/>
  <c r="G1585" i="1"/>
  <c r="H1585" i="1" s="1"/>
  <c r="G1584" i="1"/>
  <c r="H1584" i="1" s="1"/>
  <c r="G1583" i="1"/>
  <c r="H1583" i="1" s="1"/>
  <c r="G1582" i="1"/>
  <c r="H1582" i="1" s="1"/>
  <c r="G1581" i="1"/>
  <c r="H1581" i="1" s="1"/>
  <c r="G1580" i="1"/>
  <c r="H1580" i="1" s="1"/>
  <c r="G1579" i="1"/>
  <c r="H1579" i="1" s="1"/>
  <c r="G1578" i="1"/>
  <c r="H1578" i="1" s="1"/>
  <c r="G1577" i="1"/>
  <c r="H1577" i="1" s="1"/>
  <c r="G1576" i="1"/>
  <c r="H1576" i="1" s="1"/>
  <c r="G1575" i="1"/>
  <c r="H1575" i="1" s="1"/>
  <c r="G1574" i="1"/>
  <c r="H1574" i="1" s="1"/>
  <c r="G1573" i="1"/>
  <c r="H1573" i="1" s="1"/>
  <c r="G1572" i="1"/>
  <c r="H1572" i="1" s="1"/>
  <c r="G1571" i="1"/>
  <c r="H1571" i="1" s="1"/>
  <c r="G1570" i="1"/>
  <c r="H1570" i="1" s="1"/>
  <c r="G1569" i="1"/>
  <c r="H1569" i="1" s="1"/>
  <c r="G1568" i="1"/>
  <c r="H1568" i="1" s="1"/>
  <c r="G1567" i="1"/>
  <c r="H1567" i="1" s="1"/>
  <c r="G1566" i="1"/>
  <c r="H1566" i="1" s="1"/>
  <c r="G1565" i="1"/>
  <c r="H1565" i="1" s="1"/>
  <c r="G1564" i="1"/>
  <c r="H1564" i="1" s="1"/>
  <c r="G1563" i="1"/>
  <c r="H1563" i="1" s="1"/>
  <c r="G1562" i="1"/>
  <c r="H1562" i="1" s="1"/>
  <c r="G1561" i="1"/>
  <c r="H1561" i="1" s="1"/>
  <c r="G1560" i="1"/>
  <c r="H1560" i="1" s="1"/>
  <c r="G1559" i="1"/>
  <c r="H1559" i="1" s="1"/>
  <c r="G1558" i="1"/>
  <c r="H1558" i="1" s="1"/>
  <c r="G1557" i="1"/>
  <c r="H1557" i="1" s="1"/>
  <c r="G1556" i="1"/>
  <c r="H1556" i="1" s="1"/>
  <c r="G1555" i="1"/>
  <c r="H1555" i="1" s="1"/>
  <c r="G1554" i="1"/>
  <c r="H1554" i="1" s="1"/>
  <c r="G1553" i="1"/>
  <c r="H1553" i="1" s="1"/>
  <c r="G1552" i="1"/>
  <c r="H1552" i="1" s="1"/>
  <c r="G1551" i="1"/>
  <c r="H1551" i="1" s="1"/>
  <c r="G1550" i="1"/>
  <c r="H1550" i="1" s="1"/>
  <c r="G1549" i="1"/>
  <c r="H1549" i="1" s="1"/>
  <c r="G1548" i="1"/>
  <c r="H1548" i="1" s="1"/>
  <c r="G1547" i="1"/>
  <c r="H1547" i="1" s="1"/>
  <c r="G1546" i="1"/>
  <c r="H1546" i="1" s="1"/>
  <c r="G1545" i="1"/>
  <c r="H1545" i="1" s="1"/>
  <c r="G1544" i="1"/>
  <c r="H1544" i="1" s="1"/>
  <c r="G1543" i="1"/>
  <c r="H1543" i="1" s="1"/>
  <c r="G1542" i="1"/>
  <c r="H1542" i="1" s="1"/>
  <c r="G1541" i="1"/>
  <c r="H1541" i="1" s="1"/>
  <c r="G1540" i="1"/>
  <c r="H1540" i="1" s="1"/>
  <c r="G1539" i="1"/>
  <c r="H1539" i="1" s="1"/>
  <c r="G1538" i="1"/>
  <c r="H1538" i="1" s="1"/>
  <c r="G1537" i="1"/>
  <c r="H1537" i="1" s="1"/>
  <c r="G1536" i="1"/>
  <c r="H1536" i="1" s="1"/>
  <c r="G1535" i="1"/>
  <c r="H1535" i="1" s="1"/>
  <c r="G1534" i="1"/>
  <c r="H1534" i="1" s="1"/>
  <c r="G1533" i="1"/>
  <c r="H1533" i="1" s="1"/>
  <c r="G1532" i="1"/>
  <c r="H1532" i="1" s="1"/>
  <c r="G1531" i="1"/>
  <c r="H1531" i="1" s="1"/>
  <c r="G1530" i="1"/>
  <c r="H1530" i="1" s="1"/>
  <c r="G1529" i="1"/>
  <c r="H1529" i="1" s="1"/>
  <c r="G1528" i="1"/>
  <c r="H1528" i="1" s="1"/>
  <c r="G1527" i="1"/>
  <c r="H1527" i="1" s="1"/>
  <c r="G1526" i="1"/>
  <c r="H1526" i="1" s="1"/>
  <c r="G1525" i="1"/>
  <c r="H1525" i="1" s="1"/>
  <c r="G1524" i="1"/>
  <c r="H1524" i="1" s="1"/>
  <c r="G1523" i="1"/>
  <c r="H1523" i="1" s="1"/>
  <c r="G1522" i="1"/>
  <c r="H1522" i="1" s="1"/>
  <c r="G1521" i="1"/>
  <c r="H1521" i="1" s="1"/>
  <c r="G1520" i="1"/>
  <c r="H1520" i="1" s="1"/>
  <c r="G1519" i="1"/>
  <c r="H1519" i="1" s="1"/>
  <c r="G1518" i="1"/>
  <c r="H1518" i="1" s="1"/>
  <c r="G1517" i="1"/>
  <c r="H1517" i="1" s="1"/>
  <c r="G1516" i="1"/>
  <c r="H1516" i="1" s="1"/>
  <c r="G1515" i="1"/>
  <c r="H1515" i="1" s="1"/>
  <c r="G1514" i="1"/>
  <c r="H1514" i="1" s="1"/>
  <c r="G1513" i="1"/>
  <c r="H1513" i="1" s="1"/>
  <c r="G1512" i="1"/>
  <c r="H1512" i="1" s="1"/>
  <c r="G1511" i="1"/>
  <c r="H1511" i="1" s="1"/>
  <c r="G1510" i="1"/>
  <c r="H1510" i="1" s="1"/>
  <c r="G1509" i="1"/>
  <c r="H1509" i="1" s="1"/>
  <c r="G1508" i="1"/>
  <c r="H1508" i="1" s="1"/>
  <c r="G1507" i="1"/>
  <c r="H1507" i="1" s="1"/>
  <c r="G1506" i="1"/>
  <c r="H1506" i="1" s="1"/>
  <c r="G1505" i="1"/>
  <c r="H1505" i="1" s="1"/>
  <c r="G1504" i="1"/>
  <c r="H1504" i="1" s="1"/>
  <c r="G1503" i="1"/>
  <c r="H1503" i="1" s="1"/>
  <c r="G1502" i="1"/>
  <c r="H1502" i="1" s="1"/>
  <c r="G1501" i="1"/>
  <c r="H1501" i="1" s="1"/>
  <c r="G1500" i="1"/>
  <c r="H1500" i="1" s="1"/>
  <c r="G1499" i="1"/>
  <c r="H1499" i="1" s="1"/>
  <c r="G1498" i="1"/>
  <c r="H1498" i="1" s="1"/>
  <c r="G1497" i="1"/>
  <c r="H1497" i="1" s="1"/>
  <c r="G1496" i="1"/>
  <c r="H1496" i="1" s="1"/>
  <c r="G1495" i="1"/>
  <c r="H1495" i="1" s="1"/>
  <c r="G1494" i="1"/>
  <c r="H1494" i="1" s="1"/>
  <c r="G1493" i="1"/>
  <c r="H1493" i="1" s="1"/>
  <c r="G1492" i="1"/>
  <c r="H1492" i="1" s="1"/>
  <c r="G1491" i="1"/>
  <c r="H1491" i="1" s="1"/>
  <c r="G1490" i="1"/>
  <c r="H1490" i="1" s="1"/>
  <c r="G1489" i="1"/>
  <c r="H1489" i="1" s="1"/>
  <c r="G1488" i="1"/>
  <c r="H1488" i="1" s="1"/>
  <c r="G1487" i="1"/>
  <c r="H1487" i="1" s="1"/>
  <c r="G1486" i="1"/>
  <c r="H1486" i="1" s="1"/>
  <c r="G1485" i="1"/>
  <c r="H1485" i="1" s="1"/>
  <c r="G1484" i="1"/>
  <c r="H1484" i="1" s="1"/>
  <c r="G1483" i="1"/>
  <c r="H1483" i="1" s="1"/>
  <c r="G1482" i="1"/>
  <c r="H1482" i="1" s="1"/>
  <c r="G1481" i="1"/>
  <c r="H1481" i="1" s="1"/>
  <c r="G1480" i="1"/>
  <c r="H1480" i="1" s="1"/>
  <c r="G1479" i="1"/>
  <c r="H1479" i="1" s="1"/>
  <c r="G1478" i="1"/>
  <c r="H1478" i="1" s="1"/>
  <c r="G1477" i="1"/>
  <c r="H1477" i="1" s="1"/>
  <c r="G1476" i="1"/>
  <c r="H1476" i="1" s="1"/>
  <c r="G1475" i="1"/>
  <c r="H1475" i="1" s="1"/>
  <c r="G1474" i="1"/>
  <c r="H1474" i="1" s="1"/>
  <c r="G1473" i="1"/>
  <c r="H1473" i="1" s="1"/>
  <c r="G1472" i="1"/>
  <c r="H1472" i="1" s="1"/>
  <c r="G1471" i="1"/>
  <c r="H1471" i="1" s="1"/>
  <c r="G1470" i="1"/>
  <c r="H1470" i="1" s="1"/>
  <c r="G1469" i="1"/>
  <c r="H1469" i="1" s="1"/>
  <c r="G1468" i="1"/>
  <c r="H1468" i="1" s="1"/>
  <c r="G1467" i="1"/>
  <c r="H1467" i="1" s="1"/>
  <c r="G1466" i="1"/>
  <c r="H1466" i="1" s="1"/>
  <c r="G1465" i="1"/>
  <c r="H1465" i="1" s="1"/>
  <c r="G1464" i="1"/>
  <c r="H1464" i="1" s="1"/>
  <c r="G1463" i="1"/>
  <c r="H1463" i="1" s="1"/>
  <c r="G1462" i="1"/>
  <c r="H1462" i="1" s="1"/>
  <c r="G1461" i="1"/>
  <c r="H1461" i="1" s="1"/>
  <c r="G1460" i="1"/>
  <c r="H1460" i="1" s="1"/>
  <c r="G1459" i="1"/>
  <c r="H1459" i="1" s="1"/>
  <c r="G1458" i="1"/>
  <c r="H1458" i="1" s="1"/>
  <c r="G1457" i="1"/>
  <c r="H1457" i="1" s="1"/>
  <c r="G1456" i="1"/>
  <c r="H1456" i="1" s="1"/>
  <c r="G1455" i="1"/>
  <c r="H1455" i="1" s="1"/>
  <c r="G1454" i="1"/>
  <c r="H1454" i="1" s="1"/>
  <c r="G1453" i="1"/>
  <c r="H1453" i="1" s="1"/>
  <c r="G1452" i="1"/>
  <c r="H1452" i="1" s="1"/>
  <c r="G1451" i="1"/>
  <c r="H1451" i="1" s="1"/>
  <c r="G1450" i="1"/>
  <c r="H1450" i="1" s="1"/>
  <c r="G1449" i="1"/>
  <c r="H1449" i="1" s="1"/>
  <c r="G1448" i="1"/>
  <c r="H1448" i="1" s="1"/>
  <c r="G1447" i="1"/>
  <c r="H1447" i="1" s="1"/>
  <c r="G1446" i="1"/>
  <c r="H1446" i="1" s="1"/>
  <c r="G1445" i="1"/>
  <c r="H1445" i="1" s="1"/>
  <c r="G1444" i="1"/>
  <c r="H1444" i="1" s="1"/>
  <c r="G1443" i="1"/>
  <c r="H1443" i="1" s="1"/>
  <c r="G1442" i="1"/>
  <c r="H1442" i="1" s="1"/>
  <c r="G1441" i="1"/>
  <c r="H1441" i="1" s="1"/>
  <c r="G1440" i="1"/>
  <c r="H1440" i="1" s="1"/>
  <c r="G1439" i="1"/>
  <c r="H1439" i="1" s="1"/>
  <c r="G1438" i="1"/>
  <c r="H1438" i="1" s="1"/>
  <c r="G1437" i="1"/>
  <c r="H1437" i="1" s="1"/>
  <c r="G1436" i="1"/>
  <c r="H1436" i="1" s="1"/>
  <c r="G1435" i="1"/>
  <c r="H1435" i="1" s="1"/>
  <c r="G1434" i="1"/>
  <c r="H1434" i="1" s="1"/>
  <c r="G1433" i="1"/>
  <c r="H1433" i="1" s="1"/>
  <c r="G1432" i="1"/>
  <c r="H1432" i="1" s="1"/>
  <c r="G1431" i="1"/>
  <c r="H1431" i="1" s="1"/>
  <c r="G1430" i="1"/>
  <c r="H1430" i="1" s="1"/>
  <c r="G1429" i="1"/>
  <c r="H1429" i="1" s="1"/>
  <c r="G1428" i="1"/>
  <c r="H1428" i="1" s="1"/>
  <c r="G1427" i="1"/>
  <c r="H1427" i="1" s="1"/>
  <c r="G1426" i="1"/>
  <c r="H1426" i="1" s="1"/>
  <c r="G1425" i="1"/>
  <c r="H1425" i="1" s="1"/>
  <c r="G1424" i="1"/>
  <c r="H1424" i="1" s="1"/>
  <c r="G1423" i="1"/>
  <c r="H1423" i="1" s="1"/>
  <c r="G1422" i="1"/>
  <c r="H1422" i="1" s="1"/>
  <c r="G1421" i="1"/>
  <c r="H1421" i="1" s="1"/>
  <c r="G1420" i="1"/>
  <c r="H1420" i="1" s="1"/>
  <c r="G1419" i="1"/>
  <c r="H1419" i="1" s="1"/>
  <c r="G1418" i="1"/>
  <c r="H1418" i="1" s="1"/>
  <c r="G1417" i="1"/>
  <c r="H1417" i="1" s="1"/>
  <c r="G1416" i="1"/>
  <c r="H1416" i="1" s="1"/>
  <c r="G1415" i="1"/>
  <c r="H1415" i="1" s="1"/>
  <c r="G1414" i="1"/>
  <c r="H1414" i="1" s="1"/>
  <c r="G1413" i="1"/>
  <c r="H1413" i="1" s="1"/>
  <c r="G1412" i="1"/>
  <c r="H1412" i="1" s="1"/>
  <c r="G1411" i="1"/>
  <c r="H1411" i="1" s="1"/>
  <c r="G1410" i="1"/>
  <c r="H1410" i="1" s="1"/>
  <c r="G1409" i="1"/>
  <c r="H1409" i="1" s="1"/>
  <c r="G1408" i="1"/>
  <c r="H1408" i="1" s="1"/>
  <c r="G1407" i="1"/>
  <c r="H1407" i="1" s="1"/>
  <c r="G1406" i="1"/>
  <c r="H1406" i="1" s="1"/>
  <c r="G1405" i="1"/>
  <c r="H1405" i="1" s="1"/>
  <c r="G1404" i="1"/>
  <c r="H1404" i="1" s="1"/>
  <c r="G1403" i="1"/>
  <c r="H1403" i="1" s="1"/>
  <c r="G1402" i="1"/>
  <c r="H1402" i="1" s="1"/>
  <c r="G1401" i="1"/>
  <c r="H1401" i="1" s="1"/>
  <c r="G1400" i="1"/>
  <c r="H1400" i="1" s="1"/>
  <c r="G1399" i="1"/>
  <c r="H1399" i="1" s="1"/>
  <c r="G1398" i="1"/>
  <c r="H1398" i="1" s="1"/>
  <c r="G1397" i="1"/>
  <c r="H1397" i="1" s="1"/>
  <c r="G1396" i="1"/>
  <c r="H1396" i="1" s="1"/>
  <c r="G1395" i="1"/>
  <c r="H1395" i="1" s="1"/>
  <c r="G1394" i="1"/>
  <c r="H1394" i="1" s="1"/>
  <c r="G1393" i="1"/>
  <c r="H1393" i="1" s="1"/>
  <c r="G1392" i="1"/>
  <c r="H1392" i="1" s="1"/>
  <c r="G1391" i="1"/>
  <c r="H1391" i="1" s="1"/>
  <c r="G1390" i="1"/>
  <c r="H1390" i="1" s="1"/>
  <c r="G1389" i="1"/>
  <c r="H1389" i="1" s="1"/>
  <c r="G1388" i="1"/>
  <c r="H1388" i="1" s="1"/>
  <c r="G1387" i="1"/>
  <c r="H1387" i="1" s="1"/>
  <c r="G1386" i="1"/>
  <c r="H1386" i="1" s="1"/>
  <c r="G1385" i="1"/>
  <c r="H1385" i="1" s="1"/>
  <c r="G1384" i="1"/>
  <c r="H1384" i="1" s="1"/>
  <c r="G1383" i="1"/>
  <c r="H1383" i="1" s="1"/>
  <c r="G1382" i="1"/>
  <c r="H1382" i="1" s="1"/>
  <c r="G1381" i="1"/>
  <c r="H1381" i="1" s="1"/>
  <c r="G1380" i="1"/>
  <c r="H1380" i="1" s="1"/>
  <c r="G1379" i="1"/>
  <c r="H1379" i="1" s="1"/>
  <c r="G1378" i="1"/>
  <c r="H1378" i="1" s="1"/>
  <c r="G1377" i="1"/>
  <c r="H1377" i="1" s="1"/>
  <c r="G1376" i="1"/>
  <c r="H1376" i="1" s="1"/>
  <c r="G1375" i="1"/>
  <c r="H1375" i="1" s="1"/>
  <c r="G1374" i="1"/>
  <c r="H1374" i="1" s="1"/>
  <c r="G1373" i="1"/>
  <c r="H1373" i="1" s="1"/>
  <c r="G1372" i="1"/>
  <c r="H1372" i="1" s="1"/>
  <c r="G1371" i="1"/>
  <c r="H1371" i="1" s="1"/>
  <c r="G1370" i="1"/>
  <c r="H1370" i="1" s="1"/>
  <c r="G1369" i="1"/>
  <c r="H1369" i="1" s="1"/>
  <c r="G1368" i="1"/>
  <c r="H1368" i="1" s="1"/>
  <c r="G1367" i="1"/>
  <c r="H1367" i="1" s="1"/>
  <c r="G1366" i="1"/>
  <c r="H1366" i="1" s="1"/>
  <c r="G1365" i="1"/>
  <c r="H1365" i="1" s="1"/>
  <c r="G1364" i="1"/>
  <c r="H1364" i="1" s="1"/>
  <c r="G1363" i="1"/>
  <c r="H1363" i="1" s="1"/>
  <c r="G1362" i="1"/>
  <c r="H1362" i="1" s="1"/>
  <c r="G1361" i="1"/>
  <c r="H1361" i="1" s="1"/>
  <c r="G1360" i="1"/>
  <c r="H1360" i="1" s="1"/>
  <c r="G1359" i="1"/>
  <c r="H1359" i="1" s="1"/>
  <c r="G1358" i="1"/>
  <c r="H1358" i="1" s="1"/>
  <c r="G1357" i="1"/>
  <c r="H1357" i="1" s="1"/>
  <c r="G1356" i="1"/>
  <c r="H1356" i="1" s="1"/>
  <c r="G1355" i="1"/>
  <c r="H1355" i="1" s="1"/>
  <c r="G1354" i="1"/>
  <c r="H1354" i="1" s="1"/>
  <c r="G1353" i="1"/>
  <c r="H1353" i="1" s="1"/>
  <c r="G1352" i="1"/>
  <c r="H1352" i="1" s="1"/>
  <c r="G1351" i="1"/>
  <c r="H1351" i="1" s="1"/>
  <c r="G1350" i="1"/>
  <c r="H1350" i="1" s="1"/>
  <c r="G1349" i="1"/>
  <c r="H1349" i="1" s="1"/>
  <c r="G1348" i="1"/>
  <c r="H1348" i="1" s="1"/>
  <c r="G1347" i="1"/>
  <c r="H1347" i="1" s="1"/>
  <c r="G1346" i="1"/>
  <c r="H1346" i="1" s="1"/>
  <c r="G1345" i="1"/>
  <c r="H1345" i="1" s="1"/>
  <c r="G1344" i="1"/>
  <c r="H1344" i="1" s="1"/>
  <c r="G1343" i="1"/>
  <c r="H1343" i="1" s="1"/>
  <c r="G1342" i="1"/>
  <c r="H1342" i="1" s="1"/>
  <c r="G1341" i="1"/>
  <c r="H1341" i="1" s="1"/>
  <c r="G1340" i="1"/>
  <c r="H1340" i="1" s="1"/>
  <c r="G1339" i="1"/>
  <c r="H1339" i="1" s="1"/>
  <c r="G1338" i="1"/>
  <c r="H1338" i="1" s="1"/>
  <c r="G1337" i="1"/>
  <c r="H1337" i="1" s="1"/>
  <c r="G1336" i="1"/>
  <c r="H1336" i="1" s="1"/>
  <c r="G1335" i="1"/>
  <c r="H1335" i="1" s="1"/>
  <c r="G1334" i="1"/>
  <c r="H1334" i="1" s="1"/>
  <c r="G1333" i="1"/>
  <c r="H1333" i="1" s="1"/>
  <c r="G1332" i="1"/>
  <c r="H1332" i="1" s="1"/>
  <c r="G1331" i="1"/>
  <c r="H1331" i="1" s="1"/>
  <c r="G1330" i="1"/>
  <c r="H1330" i="1" s="1"/>
  <c r="G1329" i="1"/>
  <c r="H1329" i="1" s="1"/>
  <c r="G1328" i="1"/>
  <c r="H1328" i="1" s="1"/>
  <c r="G1327" i="1"/>
  <c r="H1327" i="1" s="1"/>
  <c r="G1326" i="1"/>
  <c r="H1326" i="1" s="1"/>
  <c r="G1325" i="1"/>
  <c r="H1325" i="1" s="1"/>
  <c r="G1324" i="1"/>
  <c r="H1324" i="1" s="1"/>
  <c r="G1323" i="1"/>
  <c r="H1323" i="1" s="1"/>
  <c r="G1322" i="1"/>
  <c r="H1322" i="1" s="1"/>
  <c r="G1321" i="1"/>
  <c r="H1321" i="1" s="1"/>
  <c r="G1320" i="1"/>
  <c r="H1320" i="1" s="1"/>
  <c r="G1319" i="1"/>
  <c r="H1319" i="1" s="1"/>
  <c r="G1318" i="1"/>
  <c r="G1317" i="1"/>
  <c r="H1317" i="1" s="1"/>
  <c r="G1316" i="1"/>
  <c r="H1316" i="1" s="1"/>
  <c r="G1315" i="1"/>
  <c r="H1315" i="1" s="1"/>
  <c r="G1314" i="1"/>
  <c r="H1314" i="1" s="1"/>
  <c r="G1313" i="1"/>
  <c r="H1313" i="1" s="1"/>
  <c r="G1312" i="1"/>
  <c r="H1312" i="1" s="1"/>
  <c r="G1311" i="1"/>
  <c r="H1311" i="1" s="1"/>
  <c r="G1310" i="1"/>
  <c r="H1310" i="1" s="1"/>
  <c r="G1309" i="1"/>
  <c r="H1309" i="1" s="1"/>
  <c r="G1308" i="1"/>
  <c r="H1308" i="1" s="1"/>
  <c r="G1307" i="1"/>
  <c r="H1307" i="1" s="1"/>
  <c r="G1306" i="1"/>
  <c r="H1306" i="1" s="1"/>
  <c r="G1305" i="1"/>
  <c r="H1305" i="1" s="1"/>
  <c r="G1304" i="1"/>
  <c r="H1304" i="1" s="1"/>
  <c r="G1303" i="1"/>
  <c r="H1303" i="1" s="1"/>
  <c r="G1302" i="1"/>
  <c r="H1302" i="1" s="1"/>
  <c r="G1301" i="1"/>
  <c r="H1301" i="1" s="1"/>
  <c r="G1300" i="1"/>
  <c r="H1300" i="1" s="1"/>
  <c r="G1299" i="1"/>
  <c r="H1299" i="1" s="1"/>
  <c r="G1298" i="1"/>
  <c r="H1298" i="1" s="1"/>
  <c r="G1297" i="1"/>
  <c r="H1297" i="1" s="1"/>
  <c r="G1296" i="1"/>
  <c r="H1296" i="1" s="1"/>
  <c r="G1295" i="1"/>
  <c r="H1295" i="1" s="1"/>
  <c r="G1294" i="1"/>
  <c r="H1294" i="1" s="1"/>
  <c r="G1293" i="1"/>
  <c r="H1293" i="1" s="1"/>
  <c r="G1292" i="1"/>
  <c r="H1292" i="1" s="1"/>
  <c r="G1291" i="1"/>
  <c r="H1291" i="1" s="1"/>
  <c r="G1290" i="1"/>
  <c r="H1290" i="1" s="1"/>
  <c r="G1289" i="1"/>
  <c r="H1289" i="1" s="1"/>
  <c r="G1288" i="1"/>
  <c r="H1288" i="1" s="1"/>
  <c r="G1287" i="1"/>
  <c r="H1287" i="1" s="1"/>
  <c r="G1286" i="1"/>
  <c r="H1286" i="1" s="1"/>
  <c r="G1285" i="1"/>
  <c r="H1285" i="1" s="1"/>
  <c r="G1284" i="1"/>
  <c r="H1284" i="1" s="1"/>
  <c r="G1283" i="1"/>
  <c r="H1283" i="1" s="1"/>
  <c r="G1282" i="1"/>
  <c r="H1282" i="1" s="1"/>
  <c r="G1281" i="1"/>
  <c r="H1281" i="1" s="1"/>
  <c r="G1280" i="1"/>
  <c r="H1280" i="1" s="1"/>
  <c r="G1279" i="1"/>
  <c r="H1279" i="1" s="1"/>
  <c r="G1278" i="1"/>
  <c r="H1278" i="1" s="1"/>
  <c r="G1277" i="1"/>
  <c r="H1277" i="1" s="1"/>
  <c r="G1276" i="1"/>
  <c r="H1276" i="1" s="1"/>
  <c r="G1275" i="1"/>
  <c r="H1275" i="1" s="1"/>
  <c r="G1274" i="1"/>
  <c r="H1274" i="1" s="1"/>
  <c r="G1273" i="1"/>
  <c r="H1273" i="1" s="1"/>
  <c r="G1272" i="1"/>
  <c r="H1272" i="1" s="1"/>
  <c r="G1271" i="1"/>
  <c r="H1271" i="1" s="1"/>
  <c r="G1270" i="1"/>
  <c r="H1270" i="1" s="1"/>
  <c r="G1269" i="1"/>
  <c r="H1269" i="1" s="1"/>
  <c r="G1268" i="1"/>
  <c r="H1268" i="1" s="1"/>
  <c r="G1267" i="1"/>
  <c r="H1267" i="1" s="1"/>
  <c r="G1266" i="1"/>
  <c r="H1266" i="1" s="1"/>
  <c r="G1265" i="1"/>
  <c r="H1265" i="1" s="1"/>
  <c r="G1264" i="1"/>
  <c r="H1264" i="1" s="1"/>
  <c r="G1263" i="1"/>
  <c r="H1263" i="1" s="1"/>
  <c r="G1262" i="1"/>
  <c r="H1262" i="1" s="1"/>
  <c r="G1261" i="1"/>
  <c r="H1261" i="1" s="1"/>
  <c r="G1260" i="1"/>
  <c r="H1260" i="1" s="1"/>
  <c r="G1259" i="1"/>
  <c r="H1259" i="1" s="1"/>
  <c r="G1258" i="1"/>
  <c r="H1258" i="1" s="1"/>
  <c r="G1257" i="1"/>
  <c r="H1257" i="1" s="1"/>
  <c r="G1256" i="1"/>
  <c r="H1256" i="1" s="1"/>
  <c r="G1255" i="1"/>
  <c r="H1255" i="1" s="1"/>
  <c r="G1254" i="1"/>
  <c r="H1254" i="1" s="1"/>
  <c r="G1253" i="1"/>
  <c r="H1253" i="1" s="1"/>
  <c r="G1252" i="1"/>
  <c r="H1252" i="1" s="1"/>
  <c r="G1251" i="1"/>
  <c r="H1251" i="1" s="1"/>
  <c r="G1250" i="1"/>
  <c r="H1250" i="1" s="1"/>
  <c r="G1249" i="1"/>
  <c r="H1249" i="1" s="1"/>
  <c r="G1248" i="1"/>
  <c r="H1248" i="1" s="1"/>
  <c r="G1247" i="1"/>
  <c r="H1247" i="1" s="1"/>
  <c r="G1246" i="1"/>
  <c r="H1246" i="1" s="1"/>
  <c r="G1245" i="1"/>
  <c r="H1245" i="1" s="1"/>
  <c r="G1244" i="1"/>
  <c r="H1244" i="1" s="1"/>
  <c r="G1243" i="1"/>
  <c r="H1243" i="1" s="1"/>
  <c r="G1242" i="1"/>
  <c r="H1242" i="1" s="1"/>
  <c r="G1241" i="1"/>
  <c r="H1241" i="1" s="1"/>
  <c r="G1240" i="1"/>
  <c r="H1240" i="1" s="1"/>
  <c r="G1239" i="1"/>
  <c r="H1239" i="1" s="1"/>
  <c r="G1238" i="1"/>
  <c r="H1238" i="1" s="1"/>
  <c r="G1237" i="1"/>
  <c r="H1237" i="1" s="1"/>
  <c r="G1236" i="1"/>
  <c r="H1236" i="1" s="1"/>
  <c r="G1235" i="1"/>
  <c r="H1235" i="1" s="1"/>
  <c r="G1234" i="1"/>
  <c r="H1234" i="1" s="1"/>
  <c r="G1233" i="1"/>
  <c r="H1233" i="1" s="1"/>
  <c r="G1232" i="1"/>
  <c r="H1232" i="1" s="1"/>
  <c r="G1231" i="1"/>
  <c r="H1231" i="1" s="1"/>
  <c r="G1230" i="1"/>
  <c r="H1230" i="1" s="1"/>
  <c r="G1229" i="1"/>
  <c r="H1229" i="1" s="1"/>
  <c r="G1228" i="1"/>
  <c r="H1228" i="1" s="1"/>
  <c r="G1227" i="1"/>
  <c r="H1227" i="1" s="1"/>
  <c r="G1226" i="1"/>
  <c r="H1226" i="1" s="1"/>
  <c r="G1225" i="1"/>
  <c r="H1225" i="1" s="1"/>
  <c r="G1224" i="1"/>
  <c r="H1224" i="1" s="1"/>
  <c r="G1223" i="1"/>
  <c r="H1223" i="1" s="1"/>
  <c r="G1222" i="1"/>
  <c r="H1222" i="1" s="1"/>
  <c r="G1221" i="1"/>
  <c r="H1221" i="1" s="1"/>
  <c r="G1220" i="1"/>
  <c r="H1220" i="1" s="1"/>
  <c r="G1219" i="1"/>
  <c r="H1219" i="1" s="1"/>
  <c r="G1218" i="1"/>
  <c r="H1218" i="1" s="1"/>
  <c r="G1217" i="1"/>
  <c r="H1217" i="1" s="1"/>
  <c r="G1216" i="1"/>
  <c r="H1216" i="1" s="1"/>
  <c r="G1215" i="1"/>
  <c r="H1215" i="1" s="1"/>
  <c r="G1214" i="1"/>
  <c r="H1214" i="1" s="1"/>
  <c r="G1213" i="1"/>
  <c r="H1213" i="1" s="1"/>
  <c r="G1212" i="1"/>
  <c r="H1212" i="1" s="1"/>
  <c r="G1211" i="1"/>
  <c r="H1211" i="1" s="1"/>
  <c r="G1210" i="1"/>
  <c r="H1210" i="1" s="1"/>
  <c r="G1209" i="1"/>
  <c r="H1209" i="1" s="1"/>
  <c r="G1208" i="1"/>
  <c r="H1208" i="1" s="1"/>
  <c r="G1207" i="1"/>
  <c r="H1207" i="1" s="1"/>
  <c r="G1206" i="1"/>
  <c r="H1206" i="1" s="1"/>
  <c r="G1205" i="1"/>
  <c r="H1205" i="1" s="1"/>
  <c r="G1204" i="1"/>
  <c r="H1204" i="1" s="1"/>
  <c r="G1203" i="1"/>
  <c r="H1203" i="1" s="1"/>
  <c r="G1202" i="1"/>
  <c r="H1202" i="1" s="1"/>
  <c r="G1201" i="1"/>
  <c r="H1201" i="1" s="1"/>
  <c r="G1200" i="1"/>
  <c r="H1200" i="1" s="1"/>
  <c r="G1199" i="1"/>
  <c r="H1199" i="1" s="1"/>
  <c r="G1198" i="1"/>
  <c r="H1198" i="1" s="1"/>
  <c r="G1197" i="1"/>
  <c r="H1197" i="1" s="1"/>
  <c r="G1196" i="1"/>
  <c r="H1196" i="1" s="1"/>
  <c r="G1195" i="1"/>
  <c r="H1195" i="1" s="1"/>
  <c r="G1194" i="1"/>
  <c r="H1194" i="1" s="1"/>
  <c r="G1193" i="1"/>
  <c r="G1192" i="1"/>
  <c r="H1192" i="1" s="1"/>
  <c r="G1191" i="1"/>
  <c r="H1191" i="1" s="1"/>
  <c r="G1190" i="1"/>
  <c r="H1190" i="1" s="1"/>
  <c r="G1189" i="1"/>
  <c r="H1189" i="1" s="1"/>
  <c r="G1188" i="1"/>
  <c r="H1188" i="1" s="1"/>
  <c r="G1187" i="1"/>
  <c r="H1187" i="1" s="1"/>
  <c r="G1186" i="1"/>
  <c r="H1186" i="1" s="1"/>
  <c r="G1185" i="1"/>
  <c r="H1185" i="1" s="1"/>
  <c r="G1184" i="1"/>
  <c r="H1184" i="1" s="1"/>
  <c r="G1183" i="1"/>
  <c r="H1183" i="1" s="1"/>
  <c r="G1182" i="1"/>
  <c r="H1182" i="1" s="1"/>
  <c r="G1181" i="1"/>
  <c r="H1181" i="1" s="1"/>
  <c r="G1180" i="1"/>
  <c r="H1180" i="1" s="1"/>
  <c r="G1179" i="1"/>
  <c r="H1179" i="1" s="1"/>
  <c r="G1178" i="1"/>
  <c r="H1178" i="1" s="1"/>
  <c r="G1177" i="1"/>
  <c r="H1177" i="1" s="1"/>
  <c r="G1176" i="1"/>
  <c r="H1176" i="1" s="1"/>
  <c r="G1175" i="1"/>
  <c r="H1175" i="1" s="1"/>
  <c r="G1174" i="1"/>
  <c r="H1174" i="1" s="1"/>
  <c r="G1173" i="1"/>
  <c r="H1173" i="1" s="1"/>
  <c r="G1172" i="1"/>
  <c r="H1172" i="1" s="1"/>
  <c r="G1171" i="1"/>
  <c r="H1171" i="1" s="1"/>
  <c r="G1170" i="1"/>
  <c r="H1170" i="1" s="1"/>
  <c r="G1169" i="1"/>
  <c r="H1169" i="1" s="1"/>
  <c r="G1168" i="1"/>
  <c r="H1168" i="1" s="1"/>
  <c r="G1167" i="1"/>
  <c r="H1167" i="1" s="1"/>
  <c r="G1166" i="1"/>
  <c r="H1166" i="1" s="1"/>
  <c r="G1165" i="1"/>
  <c r="H1165" i="1" s="1"/>
  <c r="G1164" i="1"/>
  <c r="H1164" i="1" s="1"/>
  <c r="G1163" i="1"/>
  <c r="H1163" i="1" s="1"/>
  <c r="G1162" i="1"/>
  <c r="H1162" i="1" s="1"/>
  <c r="G1161" i="1"/>
  <c r="H1161" i="1" s="1"/>
  <c r="G1160" i="1"/>
  <c r="H1160" i="1" s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G1153" i="1"/>
  <c r="H1153" i="1" s="1"/>
  <c r="G1152" i="1"/>
  <c r="H1152" i="1" s="1"/>
  <c r="G1151" i="1"/>
  <c r="H1151" i="1" s="1"/>
  <c r="G1150" i="1"/>
  <c r="H1150" i="1" s="1"/>
  <c r="G1149" i="1"/>
  <c r="H1149" i="1" s="1"/>
  <c r="G1148" i="1"/>
  <c r="H1148" i="1" s="1"/>
  <c r="G1147" i="1"/>
  <c r="H1147" i="1" s="1"/>
  <c r="G1146" i="1"/>
  <c r="H1146" i="1" s="1"/>
  <c r="G1145" i="1"/>
  <c r="H1145" i="1" s="1"/>
  <c r="G1144" i="1"/>
  <c r="H1144" i="1" s="1"/>
  <c r="G1143" i="1"/>
  <c r="H1143" i="1" s="1"/>
  <c r="G1142" i="1"/>
  <c r="H1142" i="1" s="1"/>
  <c r="G1141" i="1"/>
  <c r="H1141" i="1" s="1"/>
  <c r="G1140" i="1"/>
  <c r="H1140" i="1" s="1"/>
  <c r="G1139" i="1"/>
  <c r="H1139" i="1" s="1"/>
  <c r="G1138" i="1"/>
  <c r="H1138" i="1" s="1"/>
  <c r="G1137" i="1"/>
  <c r="H1137" i="1" s="1"/>
  <c r="G1136" i="1"/>
  <c r="H1136" i="1" s="1"/>
  <c r="G1135" i="1"/>
  <c r="H1135" i="1" s="1"/>
  <c r="G1134" i="1"/>
  <c r="H1134" i="1" s="1"/>
  <c r="G1133" i="1"/>
  <c r="H1133" i="1" s="1"/>
  <c r="G1132" i="1"/>
  <c r="H1132" i="1" s="1"/>
  <c r="G1131" i="1"/>
  <c r="H1131" i="1" s="1"/>
  <c r="G1130" i="1"/>
  <c r="H1130" i="1" s="1"/>
  <c r="G1129" i="1"/>
  <c r="H1129" i="1" s="1"/>
  <c r="G1128" i="1"/>
  <c r="H1128" i="1" s="1"/>
  <c r="G1127" i="1"/>
  <c r="H1127" i="1" s="1"/>
  <c r="G1126" i="1"/>
  <c r="H1126" i="1" s="1"/>
  <c r="G1125" i="1"/>
  <c r="H1125" i="1" s="1"/>
  <c r="G1124" i="1"/>
  <c r="H1124" i="1" s="1"/>
  <c r="G1123" i="1"/>
  <c r="H1123" i="1" s="1"/>
  <c r="G1122" i="1"/>
  <c r="H1122" i="1" s="1"/>
  <c r="G1121" i="1"/>
  <c r="H1121" i="1" s="1"/>
  <c r="G1120" i="1"/>
  <c r="H1120" i="1" s="1"/>
  <c r="G1119" i="1"/>
  <c r="H1119" i="1" s="1"/>
  <c r="G1118" i="1"/>
  <c r="H1118" i="1" s="1"/>
  <c r="G1117" i="1"/>
  <c r="H1117" i="1" s="1"/>
  <c r="G1116" i="1"/>
  <c r="H1116" i="1" s="1"/>
  <c r="G1115" i="1"/>
  <c r="H1115" i="1" s="1"/>
  <c r="G1114" i="1"/>
  <c r="H1114" i="1" s="1"/>
  <c r="G1113" i="1"/>
  <c r="H1113" i="1" s="1"/>
  <c r="G1112" i="1"/>
  <c r="H1112" i="1" s="1"/>
  <c r="G1111" i="1"/>
  <c r="H1111" i="1" s="1"/>
  <c r="G1110" i="1"/>
  <c r="H1110" i="1" s="1"/>
  <c r="G1109" i="1"/>
  <c r="H1109" i="1" s="1"/>
  <c r="G1108" i="1"/>
  <c r="H1108" i="1" s="1"/>
  <c r="G1107" i="1"/>
  <c r="H1107" i="1" s="1"/>
  <c r="G1106" i="1"/>
  <c r="H1106" i="1" s="1"/>
  <c r="G1105" i="1"/>
  <c r="H1105" i="1" s="1"/>
  <c r="G1104" i="1"/>
  <c r="H1104" i="1" s="1"/>
  <c r="G1103" i="1"/>
  <c r="H1103" i="1" s="1"/>
  <c r="G1102" i="1"/>
  <c r="H1102" i="1" s="1"/>
  <c r="G1101" i="1"/>
  <c r="H1101" i="1" s="1"/>
  <c r="G1100" i="1"/>
  <c r="H1100" i="1" s="1"/>
  <c r="G1099" i="1"/>
  <c r="H1099" i="1" s="1"/>
  <c r="G1098" i="1"/>
  <c r="H1098" i="1" s="1"/>
  <c r="G1097" i="1"/>
  <c r="H1097" i="1" s="1"/>
  <c r="G1096" i="1"/>
  <c r="H1096" i="1" s="1"/>
  <c r="G1095" i="1"/>
  <c r="H1095" i="1" s="1"/>
  <c r="G1094" i="1"/>
  <c r="H1094" i="1" s="1"/>
  <c r="G1093" i="1"/>
  <c r="H1093" i="1" s="1"/>
  <c r="G1092" i="1"/>
  <c r="H1092" i="1" s="1"/>
  <c r="G1091" i="1"/>
  <c r="H1091" i="1" s="1"/>
  <c r="G1090" i="1"/>
  <c r="H1090" i="1" s="1"/>
  <c r="G1089" i="1"/>
  <c r="H1089" i="1" s="1"/>
  <c r="G1088" i="1"/>
  <c r="H1088" i="1" s="1"/>
  <c r="G1087" i="1"/>
  <c r="H1087" i="1" s="1"/>
  <c r="G1086" i="1"/>
  <c r="H1086" i="1" s="1"/>
  <c r="G1085" i="1"/>
  <c r="H1085" i="1" s="1"/>
  <c r="G1084" i="1"/>
  <c r="H1084" i="1" s="1"/>
  <c r="G1083" i="1"/>
  <c r="H1083" i="1" s="1"/>
  <c r="G1082" i="1"/>
  <c r="H1082" i="1" s="1"/>
  <c r="G1081" i="1"/>
  <c r="H1081" i="1" s="1"/>
  <c r="G1080" i="1"/>
  <c r="H1080" i="1" s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G1065" i="1"/>
  <c r="H1065" i="1" s="1"/>
  <c r="G1064" i="1"/>
  <c r="H1064" i="1" s="1"/>
  <c r="G1063" i="1"/>
  <c r="H1063" i="1" s="1"/>
  <c r="G1062" i="1"/>
  <c r="H1062" i="1" s="1"/>
  <c r="G1061" i="1"/>
  <c r="H1061" i="1" s="1"/>
  <c r="G1060" i="1"/>
  <c r="H1060" i="1" s="1"/>
  <c r="G1059" i="1"/>
  <c r="H1059" i="1" s="1"/>
  <c r="G1058" i="1"/>
  <c r="H1058" i="1" s="1"/>
  <c r="G1057" i="1"/>
  <c r="H1057" i="1" s="1"/>
  <c r="G1056" i="1"/>
  <c r="H1056" i="1" s="1"/>
  <c r="G1055" i="1"/>
  <c r="H1055" i="1" s="1"/>
  <c r="G1054" i="1"/>
  <c r="H1054" i="1" s="1"/>
  <c r="G1053" i="1"/>
  <c r="H1053" i="1" s="1"/>
  <c r="G1052" i="1"/>
  <c r="H1052" i="1" s="1"/>
  <c r="G1051" i="1"/>
  <c r="H1051" i="1" s="1"/>
  <c r="G1050" i="1"/>
  <c r="H1050" i="1" s="1"/>
  <c r="G1049" i="1"/>
  <c r="H1049" i="1" s="1"/>
  <c r="G1048" i="1"/>
  <c r="H1048" i="1" s="1"/>
  <c r="G1047" i="1"/>
  <c r="H1047" i="1" s="1"/>
  <c r="G1046" i="1"/>
  <c r="H1046" i="1" s="1"/>
  <c r="G1045" i="1"/>
  <c r="H1045" i="1" s="1"/>
  <c r="G1044" i="1"/>
  <c r="H1044" i="1" s="1"/>
  <c r="G1043" i="1"/>
  <c r="H1043" i="1" s="1"/>
  <c r="G1042" i="1"/>
  <c r="H1042" i="1" s="1"/>
  <c r="G1041" i="1"/>
  <c r="H1041" i="1" s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G1033" i="1"/>
  <c r="H1033" i="1" s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G1026" i="1"/>
  <c r="H1026" i="1" s="1"/>
  <c r="G1025" i="1"/>
  <c r="H1025" i="1" s="1"/>
  <c r="G1024" i="1"/>
  <c r="H1024" i="1" s="1"/>
  <c r="G1023" i="1"/>
  <c r="H1023" i="1" s="1"/>
  <c r="G1022" i="1"/>
  <c r="H1022" i="1" s="1"/>
  <c r="G1021" i="1"/>
  <c r="H1021" i="1" s="1"/>
  <c r="G1020" i="1"/>
  <c r="H1020" i="1" s="1"/>
  <c r="G1019" i="1"/>
  <c r="H1019" i="1" s="1"/>
  <c r="G1018" i="1"/>
  <c r="H1018" i="1" s="1"/>
  <c r="G1017" i="1"/>
  <c r="H1017" i="1" s="1"/>
  <c r="G1016" i="1"/>
  <c r="H1016" i="1" s="1"/>
  <c r="G1015" i="1"/>
  <c r="H1015" i="1" s="1"/>
  <c r="G1014" i="1"/>
  <c r="H1014" i="1" s="1"/>
  <c r="G1013" i="1"/>
  <c r="H1013" i="1" s="1"/>
  <c r="G1012" i="1"/>
  <c r="H1012" i="1" s="1"/>
  <c r="G1011" i="1"/>
  <c r="H1011" i="1" s="1"/>
  <c r="G1010" i="1"/>
  <c r="H1010" i="1" s="1"/>
  <c r="G1009" i="1"/>
  <c r="H1009" i="1" s="1"/>
  <c r="G1008" i="1"/>
  <c r="H1008" i="1" s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G997" i="1"/>
  <c r="H997" i="1" s="1"/>
  <c r="G996" i="1"/>
  <c r="H996" i="1" s="1"/>
  <c r="G995" i="1"/>
  <c r="H995" i="1" s="1"/>
  <c r="G994" i="1"/>
  <c r="H994" i="1" s="1"/>
  <c r="G993" i="1"/>
  <c r="H993" i="1" s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G856" i="1"/>
  <c r="H856" i="1" s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G829" i="1"/>
  <c r="H829" i="1" s="1"/>
  <c r="G828" i="1"/>
  <c r="H828" i="1" s="1"/>
  <c r="G827" i="1"/>
  <c r="H827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G681" i="1"/>
  <c r="H681" i="1" s="1"/>
  <c r="G680" i="1"/>
  <c r="H680" i="1" s="1"/>
  <c r="G679" i="1"/>
  <c r="H679" i="1" s="1"/>
  <c r="G678" i="1"/>
  <c r="H678" i="1" s="1"/>
  <c r="G677" i="1"/>
  <c r="H677" i="1" s="1"/>
  <c r="G676" i="1"/>
  <c r="H676" i="1" s="1"/>
  <c r="G675" i="1"/>
  <c r="H675" i="1" s="1"/>
  <c r="G674" i="1"/>
  <c r="H674" i="1" s="1"/>
  <c r="G673" i="1"/>
  <c r="H673" i="1" s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H666" i="1" s="1"/>
  <c r="G665" i="1"/>
  <c r="H665" i="1" s="1"/>
  <c r="G664" i="1"/>
  <c r="H664" i="1" s="1"/>
  <c r="G663" i="1"/>
  <c r="H663" i="1" s="1"/>
  <c r="G662" i="1"/>
  <c r="H662" i="1" s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30" i="1"/>
  <c r="H630" i="1" s="1"/>
  <c r="G629" i="1"/>
  <c r="H629" i="1" s="1"/>
  <c r="G628" i="1"/>
  <c r="H628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5" i="1"/>
  <c r="H595" i="1" s="1"/>
  <c r="G594" i="1"/>
  <c r="H594" i="1" s="1"/>
  <c r="G593" i="1"/>
  <c r="H593" i="1" s="1"/>
  <c r="G592" i="1"/>
  <c r="H592" i="1" s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G578" i="1"/>
  <c r="H578" i="1" s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G570" i="1"/>
  <c r="H570" i="1" s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H562" i="1" s="1"/>
  <c r="G561" i="1"/>
  <c r="H561" i="1" s="1"/>
  <c r="G560" i="1"/>
  <c r="H560" i="1" s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G538" i="1"/>
  <c r="H538" i="1" s="1"/>
  <c r="G537" i="1"/>
  <c r="H537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H506" i="1" s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H498" i="1" s="1"/>
  <c r="G497" i="1"/>
  <c r="H497" i="1" s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8" i="1"/>
  <c r="H418" i="1" s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392" i="1"/>
  <c r="H392" i="1" s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H344" i="1" s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H322" i="1" s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G304" i="1"/>
  <c r="H304" i="1" s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J3" i="1"/>
  <c r="L3" i="1" s="1"/>
  <c r="J4" i="1"/>
  <c r="L4" i="1" s="1"/>
  <c r="J5" i="1"/>
  <c r="L5" i="1" s="1"/>
  <c r="J6" i="1"/>
  <c r="J7" i="1"/>
  <c r="N7" i="1" s="1"/>
  <c r="J8" i="1"/>
  <c r="L8" i="1" s="1"/>
  <c r="J9" i="1"/>
  <c r="J10" i="1"/>
  <c r="J11" i="1"/>
  <c r="J12" i="1"/>
  <c r="J13" i="1"/>
  <c r="L13" i="1" s="1"/>
  <c r="J14" i="1"/>
  <c r="N14" i="1" s="1"/>
  <c r="J15" i="1"/>
  <c r="N15" i="1" s="1"/>
  <c r="J16" i="1"/>
  <c r="L16" i="1" s="1"/>
  <c r="J17" i="1"/>
  <c r="N17" i="1" s="1"/>
  <c r="J18" i="1"/>
  <c r="J19" i="1"/>
  <c r="N19" i="1" s="1"/>
  <c r="J20" i="1"/>
  <c r="J21" i="1"/>
  <c r="N21" i="1" s="1"/>
  <c r="J22" i="1"/>
  <c r="L22" i="1" s="1"/>
  <c r="J23" i="1"/>
  <c r="J24" i="1"/>
  <c r="J25" i="1"/>
  <c r="J26" i="1"/>
  <c r="L26" i="1" s="1"/>
  <c r="J27" i="1"/>
  <c r="N27" i="1" s="1"/>
  <c r="J28" i="1"/>
  <c r="L28" i="1" s="1"/>
  <c r="J29" i="1"/>
  <c r="J30" i="1"/>
  <c r="L30" i="1" s="1"/>
  <c r="J31" i="1"/>
  <c r="L31" i="1" s="1"/>
  <c r="J32" i="1"/>
  <c r="J33" i="1"/>
  <c r="N33" i="1" s="1"/>
  <c r="J34" i="1"/>
  <c r="N34" i="1" s="1"/>
  <c r="J35" i="1"/>
  <c r="L35" i="1" s="1"/>
  <c r="J36" i="1"/>
  <c r="L36" i="1" s="1"/>
  <c r="J37" i="1"/>
  <c r="J38" i="1"/>
  <c r="J39" i="1"/>
  <c r="J40" i="1"/>
  <c r="J41" i="1"/>
  <c r="J42" i="1"/>
  <c r="L42" i="1" s="1"/>
  <c r="J43" i="1"/>
  <c r="L43" i="1" s="1"/>
  <c r="J44" i="1"/>
  <c r="L44" i="1" s="1"/>
  <c r="J45" i="1"/>
  <c r="N45" i="1" s="1"/>
  <c r="J46" i="1"/>
  <c r="J47" i="1"/>
  <c r="L47" i="1" s="1"/>
  <c r="J48" i="1"/>
  <c r="N48" i="1" s="1"/>
  <c r="J49" i="1"/>
  <c r="L49" i="1" s="1"/>
  <c r="J50" i="1"/>
  <c r="J51" i="1"/>
  <c r="J52" i="1"/>
  <c r="J53" i="1"/>
  <c r="J54" i="1"/>
  <c r="J55" i="1"/>
  <c r="L55" i="1" s="1"/>
  <c r="J56" i="1"/>
  <c r="N56" i="1" s="1"/>
  <c r="J57" i="1"/>
  <c r="J58" i="1"/>
  <c r="N58" i="1" s="1"/>
  <c r="J59" i="1"/>
  <c r="L59" i="1" s="1"/>
  <c r="J60" i="1"/>
  <c r="N60" i="1" s="1"/>
  <c r="J61" i="1"/>
  <c r="N61" i="1" s="1"/>
  <c r="J62" i="1"/>
  <c r="L62" i="1" s="1"/>
  <c r="J63" i="1"/>
  <c r="J64" i="1"/>
  <c r="J65" i="1"/>
  <c r="J66" i="1"/>
  <c r="J67" i="1"/>
  <c r="J68" i="1"/>
  <c r="J69" i="1"/>
  <c r="L69" i="1" s="1"/>
  <c r="J70" i="1"/>
  <c r="L70" i="1" s="1"/>
  <c r="J71" i="1"/>
  <c r="L71" i="1" s="1"/>
  <c r="J72" i="1"/>
  <c r="N72" i="1" s="1"/>
  <c r="J73" i="1"/>
  <c r="N73" i="1" s="1"/>
  <c r="J74" i="1"/>
  <c r="L74" i="1" s="1"/>
  <c r="J75" i="1"/>
  <c r="L75" i="1" s="1"/>
  <c r="J76" i="1"/>
  <c r="L76" i="1" s="1"/>
  <c r="J77" i="1"/>
  <c r="L77" i="1" s="1"/>
  <c r="J78" i="1"/>
  <c r="J79" i="1"/>
  <c r="J80" i="1"/>
  <c r="J81" i="1"/>
  <c r="J82" i="1"/>
  <c r="L82" i="1" s="1"/>
  <c r="J83" i="1"/>
  <c r="L83" i="1" s="1"/>
  <c r="J84" i="1"/>
  <c r="J85" i="1"/>
  <c r="L85" i="1" s="1"/>
  <c r="J86" i="1"/>
  <c r="J87" i="1"/>
  <c r="N87" i="1" s="1"/>
  <c r="J88" i="1"/>
  <c r="N88" i="1" s="1"/>
  <c r="J89" i="1"/>
  <c r="L89" i="1" s="1"/>
  <c r="J90" i="1"/>
  <c r="J91" i="1"/>
  <c r="J92" i="1"/>
  <c r="N92" i="1" s="1"/>
  <c r="J93" i="1"/>
  <c r="J94" i="1"/>
  <c r="J95" i="1"/>
  <c r="J96" i="1"/>
  <c r="J97" i="1"/>
  <c r="L97" i="1" s="1"/>
  <c r="J98" i="1"/>
  <c r="J99" i="1"/>
  <c r="J100" i="1"/>
  <c r="J101" i="1"/>
  <c r="J102" i="1"/>
  <c r="N102" i="1" s="1"/>
  <c r="J103" i="1"/>
  <c r="N103" i="1" s="1"/>
  <c r="J104" i="1"/>
  <c r="N104" i="1" s="1"/>
  <c r="J105" i="1"/>
  <c r="J106" i="1"/>
  <c r="L106" i="1" s="1"/>
  <c r="J107" i="1"/>
  <c r="J108" i="1"/>
  <c r="J109" i="1"/>
  <c r="J110" i="1"/>
  <c r="J111" i="1"/>
  <c r="N111" i="1" s="1"/>
  <c r="J112" i="1"/>
  <c r="L112" i="1" s="1"/>
  <c r="J113" i="1"/>
  <c r="J114" i="1"/>
  <c r="J115" i="1"/>
  <c r="L115" i="1" s="1"/>
  <c r="J116" i="1"/>
  <c r="N116" i="1" s="1"/>
  <c r="J117" i="1"/>
  <c r="N117" i="1" s="1"/>
  <c r="J118" i="1"/>
  <c r="L118" i="1" s="1"/>
  <c r="J119" i="1"/>
  <c r="J120" i="1"/>
  <c r="J121" i="1"/>
  <c r="J122" i="1"/>
  <c r="J123" i="1"/>
  <c r="J124" i="1"/>
  <c r="J125" i="1"/>
  <c r="L125" i="1" s="1"/>
  <c r="J126" i="1"/>
  <c r="J127" i="1"/>
  <c r="N127" i="1" s="1"/>
  <c r="J128" i="1"/>
  <c r="J129" i="1"/>
  <c r="J130" i="1"/>
  <c r="N130" i="1" s="1"/>
  <c r="J131" i="1"/>
  <c r="J132" i="1"/>
  <c r="L132" i="1" s="1"/>
  <c r="J133" i="1"/>
  <c r="N133" i="1" s="1"/>
  <c r="J134" i="1"/>
  <c r="J135" i="1"/>
  <c r="J136" i="1"/>
  <c r="J137" i="1"/>
  <c r="J138" i="1"/>
  <c r="J139" i="1"/>
  <c r="L139" i="1" s="1"/>
  <c r="J140" i="1"/>
  <c r="L140" i="1" s="1"/>
  <c r="J141" i="1"/>
  <c r="L141" i="1" s="1"/>
  <c r="J142" i="1"/>
  <c r="N142" i="1" s="1"/>
  <c r="J143" i="1"/>
  <c r="N143" i="1" s="1"/>
  <c r="J144" i="1"/>
  <c r="J145" i="1"/>
  <c r="L145" i="1" s="1"/>
  <c r="J146" i="1"/>
  <c r="L146" i="1" s="1"/>
  <c r="J147" i="1"/>
  <c r="N147" i="1" s="1"/>
  <c r="J148" i="1"/>
  <c r="J149" i="1"/>
  <c r="J150" i="1"/>
  <c r="J151" i="1"/>
  <c r="J152" i="1"/>
  <c r="J153" i="1"/>
  <c r="J154" i="1"/>
  <c r="N154" i="1" s="1"/>
  <c r="J155" i="1"/>
  <c r="N155" i="1" s="1"/>
  <c r="J156" i="1"/>
  <c r="N156" i="1" s="1"/>
  <c r="J157" i="1"/>
  <c r="J158" i="1"/>
  <c r="N158" i="1" s="1"/>
  <c r="J159" i="1"/>
  <c r="L159" i="1" s="1"/>
  <c r="J160" i="1"/>
  <c r="L160" i="1" s="1"/>
  <c r="J161" i="1"/>
  <c r="N161" i="1" s="1"/>
  <c r="J162" i="1"/>
  <c r="J163" i="1"/>
  <c r="J164" i="1"/>
  <c r="J165" i="1"/>
  <c r="L165" i="1" s="1"/>
  <c r="J166" i="1"/>
  <c r="L166" i="1" s="1"/>
  <c r="J167" i="1"/>
  <c r="J168" i="1"/>
  <c r="L168" i="1" s="1"/>
  <c r="J169" i="1"/>
  <c r="L169" i="1" s="1"/>
  <c r="J170" i="1"/>
  <c r="L170" i="1" s="1"/>
  <c r="J171" i="1"/>
  <c r="L171" i="1" s="1"/>
  <c r="J172" i="1"/>
  <c r="N172" i="1" s="1"/>
  <c r="J173" i="1"/>
  <c r="N173" i="1" s="1"/>
  <c r="J174" i="1"/>
  <c r="J175" i="1"/>
  <c r="L175" i="1" s="1"/>
  <c r="J176" i="1"/>
  <c r="J177" i="1"/>
  <c r="J178" i="1"/>
  <c r="J179" i="1"/>
  <c r="N179" i="1" s="1"/>
  <c r="J180" i="1"/>
  <c r="N180" i="1" s="1"/>
  <c r="J181" i="1"/>
  <c r="J182" i="1"/>
  <c r="J183" i="1"/>
  <c r="J184" i="1"/>
  <c r="J185" i="1"/>
  <c r="N185" i="1" s="1"/>
  <c r="J186" i="1"/>
  <c r="L186" i="1" s="1"/>
  <c r="J187" i="1"/>
  <c r="N187" i="1" s="1"/>
  <c r="J188" i="1"/>
  <c r="J189" i="1"/>
  <c r="J190" i="1"/>
  <c r="J191" i="1"/>
  <c r="J192" i="1"/>
  <c r="J193" i="1"/>
  <c r="J194" i="1"/>
  <c r="J195" i="1"/>
  <c r="J196" i="1"/>
  <c r="L196" i="1" s="1"/>
  <c r="J197" i="1"/>
  <c r="L197" i="1" s="1"/>
  <c r="J198" i="1"/>
  <c r="J199" i="1"/>
  <c r="L199" i="1" s="1"/>
  <c r="J200" i="1"/>
  <c r="N200" i="1" s="1"/>
  <c r="J201" i="1"/>
  <c r="L201" i="1" s="1"/>
  <c r="J202" i="1"/>
  <c r="L202" i="1" s="1"/>
  <c r="J203" i="1"/>
  <c r="L203" i="1" s="1"/>
  <c r="J204" i="1"/>
  <c r="L204" i="1" s="1"/>
  <c r="J205" i="1"/>
  <c r="J206" i="1"/>
  <c r="J207" i="1"/>
  <c r="J208" i="1"/>
  <c r="J209" i="1"/>
  <c r="L209" i="1" s="1"/>
  <c r="J210" i="1"/>
  <c r="L210" i="1" s="1"/>
  <c r="J211" i="1"/>
  <c r="N211" i="1" s="1"/>
  <c r="J212" i="1"/>
  <c r="L212" i="1" s="1"/>
  <c r="J213" i="1"/>
  <c r="J214" i="1"/>
  <c r="N214" i="1" s="1"/>
  <c r="J215" i="1"/>
  <c r="L215" i="1" s="1"/>
  <c r="J216" i="1"/>
  <c r="L216" i="1" s="1"/>
  <c r="J217" i="1"/>
  <c r="J218" i="1"/>
  <c r="N218" i="1" s="1"/>
  <c r="J219" i="1"/>
  <c r="J220" i="1"/>
  <c r="J221" i="1"/>
  <c r="L221" i="1" s="1"/>
  <c r="J222" i="1"/>
  <c r="J223" i="1"/>
  <c r="N223" i="1" s="1"/>
  <c r="J224" i="1"/>
  <c r="J225" i="1"/>
  <c r="J226" i="1"/>
  <c r="L226" i="1" s="1"/>
  <c r="J227" i="1"/>
  <c r="L227" i="1" s="1"/>
  <c r="J228" i="1"/>
  <c r="L228" i="1" s="1"/>
  <c r="J229" i="1"/>
  <c r="N229" i="1" s="1"/>
  <c r="J230" i="1"/>
  <c r="N230" i="1" s="1"/>
  <c r="J231" i="1"/>
  <c r="J232" i="1"/>
  <c r="J233" i="1"/>
  <c r="J234" i="1"/>
  <c r="J235" i="1"/>
  <c r="N235" i="1" s="1"/>
  <c r="J236" i="1"/>
  <c r="J237" i="1"/>
  <c r="N237" i="1" s="1"/>
  <c r="J238" i="1"/>
  <c r="L238" i="1" s="1"/>
  <c r="J239" i="1"/>
  <c r="J240" i="1"/>
  <c r="L240" i="1" s="1"/>
  <c r="J241" i="1"/>
  <c r="J242" i="1"/>
  <c r="N242" i="1" s="1"/>
  <c r="J243" i="1"/>
  <c r="J244" i="1"/>
  <c r="N244" i="1" s="1"/>
  <c r="J245" i="1"/>
  <c r="N245" i="1" s="1"/>
  <c r="J246" i="1"/>
  <c r="J247" i="1"/>
  <c r="J248" i="1"/>
  <c r="J249" i="1"/>
  <c r="J250" i="1"/>
  <c r="J251" i="1"/>
  <c r="L251" i="1" s="1"/>
  <c r="J252" i="1"/>
  <c r="J253" i="1"/>
  <c r="N253" i="1" s="1"/>
  <c r="J254" i="1"/>
  <c r="N254" i="1" s="1"/>
  <c r="J255" i="1"/>
  <c r="L255" i="1" s="1"/>
  <c r="J256" i="1"/>
  <c r="N256" i="1" s="1"/>
  <c r="J257" i="1"/>
  <c r="L257" i="1" s="1"/>
  <c r="J258" i="1"/>
  <c r="L258" i="1" s="1"/>
  <c r="J259" i="1"/>
  <c r="L259" i="1" s="1"/>
  <c r="J260" i="1"/>
  <c r="J261" i="1"/>
  <c r="J262" i="1"/>
  <c r="J263" i="1"/>
  <c r="J264" i="1"/>
  <c r="J265" i="1"/>
  <c r="J266" i="1"/>
  <c r="L266" i="1" s="1"/>
  <c r="J267" i="1"/>
  <c r="J268" i="1"/>
  <c r="L268" i="1" s="1"/>
  <c r="J269" i="1"/>
  <c r="L269" i="1" s="1"/>
  <c r="J270" i="1"/>
  <c r="N270" i="1" s="1"/>
  <c r="J271" i="1"/>
  <c r="L271" i="1" s="1"/>
  <c r="J272" i="1"/>
  <c r="N272" i="1" s="1"/>
  <c r="J273" i="1"/>
  <c r="J274" i="1"/>
  <c r="N274" i="1" s="1"/>
  <c r="J275" i="1"/>
  <c r="J276" i="1"/>
  <c r="J277" i="1"/>
  <c r="J278" i="1"/>
  <c r="J279" i="1"/>
  <c r="N279" i="1" s="1"/>
  <c r="J280" i="1"/>
  <c r="N280" i="1" s="1"/>
  <c r="J281" i="1"/>
  <c r="J282" i="1"/>
  <c r="N282" i="1" s="1"/>
  <c r="J283" i="1"/>
  <c r="J284" i="1"/>
  <c r="L284" i="1" s="1"/>
  <c r="J285" i="1"/>
  <c r="J286" i="1"/>
  <c r="J287" i="1"/>
  <c r="J288" i="1"/>
  <c r="J289" i="1"/>
  <c r="J290" i="1"/>
  <c r="J291" i="1"/>
  <c r="J292" i="1"/>
  <c r="J293" i="1"/>
  <c r="N293" i="1" s="1"/>
  <c r="J294" i="1"/>
  <c r="J295" i="1"/>
  <c r="J296" i="1"/>
  <c r="J297" i="1"/>
  <c r="L297" i="1" s="1"/>
  <c r="J298" i="1"/>
  <c r="L298" i="1" s="1"/>
  <c r="J299" i="1"/>
  <c r="N299" i="1" s="1"/>
  <c r="J300" i="1"/>
  <c r="J301" i="1"/>
  <c r="N301" i="1" s="1"/>
  <c r="J302" i="1"/>
  <c r="L302" i="1" s="1"/>
  <c r="J303" i="1"/>
  <c r="J304" i="1"/>
  <c r="J305" i="1"/>
  <c r="J306" i="1"/>
  <c r="J307" i="1"/>
  <c r="L307" i="1" s="1"/>
  <c r="J308" i="1"/>
  <c r="J309" i="1"/>
  <c r="L309" i="1" s="1"/>
  <c r="J310" i="1"/>
  <c r="N310" i="1" s="1"/>
  <c r="J311" i="1"/>
  <c r="N311" i="1" s="1"/>
  <c r="J312" i="1"/>
  <c r="L312" i="1" s="1"/>
  <c r="J313" i="1"/>
  <c r="J314" i="1"/>
  <c r="J315" i="1"/>
  <c r="J316" i="1"/>
  <c r="N316" i="1" s="1"/>
  <c r="J317" i="1"/>
  <c r="J318" i="1"/>
  <c r="J319" i="1"/>
  <c r="J320" i="1"/>
  <c r="J321" i="1"/>
  <c r="J322" i="1"/>
  <c r="L322" i="1" s="1"/>
  <c r="J323" i="1"/>
  <c r="L323" i="1" s="1"/>
  <c r="J324" i="1"/>
  <c r="J325" i="1"/>
  <c r="N325" i="1" s="1"/>
  <c r="J326" i="1"/>
  <c r="L326" i="1" s="1"/>
  <c r="J327" i="1"/>
  <c r="L327" i="1" s="1"/>
  <c r="J328" i="1"/>
  <c r="J329" i="1"/>
  <c r="N329" i="1" s="1"/>
  <c r="J330" i="1"/>
  <c r="N330" i="1" s="1"/>
  <c r="J331" i="1"/>
  <c r="J332" i="1"/>
  <c r="J333" i="1"/>
  <c r="J334" i="1"/>
  <c r="J335" i="1"/>
  <c r="L335" i="1" s="1"/>
  <c r="J336" i="1"/>
  <c r="J337" i="1"/>
  <c r="J338" i="1"/>
  <c r="J339" i="1"/>
  <c r="L339" i="1" s="1"/>
  <c r="J340" i="1"/>
  <c r="L340" i="1" s="1"/>
  <c r="J341" i="1"/>
  <c r="N341" i="1" s="1"/>
  <c r="J342" i="1"/>
  <c r="J343" i="1"/>
  <c r="J344" i="1"/>
  <c r="L344" i="1" s="1"/>
  <c r="J345" i="1"/>
  <c r="J346" i="1"/>
  <c r="J347" i="1"/>
  <c r="J348" i="1"/>
  <c r="J349" i="1"/>
  <c r="J350" i="1"/>
  <c r="J351" i="1"/>
  <c r="L351" i="1" s="1"/>
  <c r="J352" i="1"/>
  <c r="L352" i="1" s="1"/>
  <c r="J353" i="1"/>
  <c r="L353" i="1" s="1"/>
  <c r="J354" i="1"/>
  <c r="L354" i="1" s="1"/>
  <c r="J355" i="1"/>
  <c r="N355" i="1" s="1"/>
  <c r="J356" i="1"/>
  <c r="N356" i="1" s="1"/>
  <c r="J357" i="1"/>
  <c r="J358" i="1"/>
  <c r="J359" i="1"/>
  <c r="J360" i="1"/>
  <c r="J361" i="1"/>
  <c r="J362" i="1"/>
  <c r="J363" i="1"/>
  <c r="J364" i="1"/>
  <c r="L364" i="1" s="1"/>
  <c r="J365" i="1"/>
  <c r="J366" i="1"/>
  <c r="L366" i="1" s="1"/>
  <c r="J367" i="1"/>
  <c r="L367" i="1" s="1"/>
  <c r="J368" i="1"/>
  <c r="J369" i="1"/>
  <c r="L369" i="1" s="1"/>
  <c r="J370" i="1"/>
  <c r="J371" i="1"/>
  <c r="J372" i="1"/>
  <c r="L372" i="1" s="1"/>
  <c r="J373" i="1"/>
  <c r="J374" i="1"/>
  <c r="J375" i="1"/>
  <c r="J376" i="1"/>
  <c r="J377" i="1"/>
  <c r="J378" i="1"/>
  <c r="L378" i="1" s="1"/>
  <c r="J379" i="1"/>
  <c r="J380" i="1"/>
  <c r="L380" i="1" s="1"/>
  <c r="J381" i="1"/>
  <c r="L381" i="1" s="1"/>
  <c r="J382" i="1"/>
  <c r="L382" i="1" s="1"/>
  <c r="J383" i="1"/>
  <c r="L383" i="1" s="1"/>
  <c r="J384" i="1"/>
  <c r="N384" i="1" s="1"/>
  <c r="J385" i="1"/>
  <c r="J386" i="1"/>
  <c r="J387" i="1"/>
  <c r="J388" i="1"/>
  <c r="J389" i="1"/>
  <c r="J390" i="1"/>
  <c r="J391" i="1"/>
  <c r="J392" i="1"/>
  <c r="J393" i="1"/>
  <c r="N393" i="1" s="1"/>
  <c r="J394" i="1"/>
  <c r="J395" i="1"/>
  <c r="J396" i="1"/>
  <c r="J397" i="1"/>
  <c r="L397" i="1" s="1"/>
  <c r="J398" i="1"/>
  <c r="L398" i="1" s="1"/>
  <c r="J399" i="1"/>
  <c r="N399" i="1" s="1"/>
  <c r="J400" i="1"/>
  <c r="J401" i="1"/>
  <c r="J402" i="1"/>
  <c r="J403" i="1"/>
  <c r="N403" i="1" s="1"/>
  <c r="J404" i="1"/>
  <c r="J405" i="1"/>
  <c r="N405" i="1" s="1"/>
  <c r="J406" i="1"/>
  <c r="J407" i="1"/>
  <c r="L407" i="1" s="1"/>
  <c r="J408" i="1"/>
  <c r="J409" i="1"/>
  <c r="L409" i="1" s="1"/>
  <c r="J410" i="1"/>
  <c r="L410" i="1" s="1"/>
  <c r="J411" i="1"/>
  <c r="L411" i="1" s="1"/>
  <c r="J412" i="1"/>
  <c r="J413" i="1"/>
  <c r="N413" i="1" s="1"/>
  <c r="J414" i="1"/>
  <c r="J415" i="1"/>
  <c r="J416" i="1"/>
  <c r="J417" i="1"/>
  <c r="L417" i="1" s="1"/>
  <c r="J418" i="1"/>
  <c r="J419" i="1"/>
  <c r="L419" i="1" s="1"/>
  <c r="J420" i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J428" i="1"/>
  <c r="J429" i="1"/>
  <c r="J430" i="1"/>
  <c r="J431" i="1"/>
  <c r="J432" i="1"/>
  <c r="J433" i="1"/>
  <c r="J434" i="1"/>
  <c r="L434" i="1" s="1"/>
  <c r="J435" i="1"/>
  <c r="L435" i="1" s="1"/>
  <c r="J436" i="1"/>
  <c r="N436" i="1" s="1"/>
  <c r="J437" i="1"/>
  <c r="N437" i="1" s="1"/>
  <c r="J438" i="1"/>
  <c r="L438" i="1" s="1"/>
  <c r="J439" i="1"/>
  <c r="J440" i="1"/>
  <c r="L440" i="1" s="1"/>
  <c r="J441" i="1"/>
  <c r="J442" i="1"/>
  <c r="J443" i="1"/>
  <c r="J444" i="1"/>
  <c r="J445" i="1"/>
  <c r="J446" i="1"/>
  <c r="J447" i="1"/>
  <c r="J448" i="1"/>
  <c r="N448" i="1" s="1"/>
  <c r="J449" i="1"/>
  <c r="L449" i="1" s="1"/>
  <c r="J450" i="1"/>
  <c r="L450" i="1" s="1"/>
  <c r="J451" i="1"/>
  <c r="N451" i="1" s="1"/>
  <c r="J452" i="1"/>
  <c r="L452" i="1" s="1"/>
  <c r="J453" i="1"/>
  <c r="L453" i="1" s="1"/>
  <c r="J454" i="1"/>
  <c r="J455" i="1"/>
  <c r="J456" i="1"/>
  <c r="L456" i="1" s="1"/>
  <c r="J457" i="1"/>
  <c r="J458" i="1"/>
  <c r="J459" i="1"/>
  <c r="J460" i="1"/>
  <c r="J461" i="1"/>
  <c r="N461" i="1" s="1"/>
  <c r="J462" i="1"/>
  <c r="N462" i="1" s="1"/>
  <c r="J463" i="1"/>
  <c r="L463" i="1" s="1"/>
  <c r="J464" i="1"/>
  <c r="L464" i="1" s="1"/>
  <c r="J465" i="1"/>
  <c r="N465" i="1" s="1"/>
  <c r="J466" i="1"/>
  <c r="L466" i="1" s="1"/>
  <c r="J467" i="1"/>
  <c r="N467" i="1" s="1"/>
  <c r="J468" i="1"/>
  <c r="J469" i="1"/>
  <c r="J470" i="1"/>
  <c r="L470" i="1" s="1"/>
  <c r="J471" i="1"/>
  <c r="J472" i="1"/>
  <c r="J473" i="1"/>
  <c r="J474" i="1"/>
  <c r="J475" i="1"/>
  <c r="L475" i="1" s="1"/>
  <c r="J476" i="1"/>
  <c r="N476" i="1" s="1"/>
  <c r="J477" i="1"/>
  <c r="J478" i="1"/>
  <c r="J479" i="1"/>
  <c r="L479" i="1" s="1"/>
  <c r="J480" i="1"/>
  <c r="L480" i="1" s="1"/>
  <c r="J481" i="1"/>
  <c r="L481" i="1" s="1"/>
  <c r="J482" i="1"/>
  <c r="J483" i="1"/>
  <c r="L483" i="1" s="1"/>
  <c r="J484" i="1"/>
  <c r="L484" i="1" s="1"/>
  <c r="J485" i="1"/>
  <c r="J486" i="1"/>
  <c r="J487" i="1"/>
  <c r="J488" i="1"/>
  <c r="J489" i="1"/>
  <c r="J490" i="1"/>
  <c r="L490" i="1" s="1"/>
  <c r="J491" i="1"/>
  <c r="N491" i="1" s="1"/>
  <c r="J492" i="1"/>
  <c r="J493" i="1"/>
  <c r="J494" i="1"/>
  <c r="N494" i="1" s="1"/>
  <c r="J495" i="1"/>
  <c r="J496" i="1"/>
  <c r="L496" i="1" s="1"/>
  <c r="J497" i="1"/>
  <c r="L497" i="1" s="1"/>
  <c r="J498" i="1"/>
  <c r="J499" i="1"/>
  <c r="J500" i="1"/>
  <c r="J501" i="1"/>
  <c r="J502" i="1"/>
  <c r="L502" i="1" s="1"/>
  <c r="J503" i="1"/>
  <c r="L503" i="1" s="1"/>
  <c r="J504" i="1"/>
  <c r="N504" i="1" s="1"/>
  <c r="J505" i="1"/>
  <c r="L505" i="1" s="1"/>
  <c r="J506" i="1"/>
  <c r="N506" i="1" s="1"/>
  <c r="J507" i="1"/>
  <c r="L507" i="1" s="1"/>
  <c r="J508" i="1"/>
  <c r="L508" i="1" s="1"/>
  <c r="J509" i="1"/>
  <c r="J510" i="1"/>
  <c r="J511" i="1"/>
  <c r="J512" i="1"/>
  <c r="N512" i="1" s="1"/>
  <c r="J513" i="1"/>
  <c r="J514" i="1"/>
  <c r="J515" i="1"/>
  <c r="J516" i="1"/>
  <c r="J517" i="1"/>
  <c r="J518" i="1"/>
  <c r="J519" i="1"/>
  <c r="J520" i="1"/>
  <c r="L520" i="1" s="1"/>
  <c r="J521" i="1"/>
  <c r="L521" i="1" s="1"/>
  <c r="J522" i="1"/>
  <c r="N522" i="1" s="1"/>
  <c r="J523" i="1"/>
  <c r="L523" i="1" s="1"/>
  <c r="J524" i="1"/>
  <c r="L524" i="1" s="1"/>
  <c r="J525" i="1"/>
  <c r="J526" i="1"/>
  <c r="J527" i="1"/>
  <c r="J528" i="1"/>
  <c r="J529" i="1"/>
  <c r="N529" i="1" s="1"/>
  <c r="J530" i="1"/>
  <c r="N530" i="1" s="1"/>
  <c r="J531" i="1"/>
  <c r="N531" i="1" s="1"/>
  <c r="J532" i="1"/>
  <c r="N532" i="1" s="1"/>
  <c r="J533" i="1"/>
  <c r="J534" i="1"/>
  <c r="J535" i="1"/>
  <c r="J536" i="1"/>
  <c r="N536" i="1" s="1"/>
  <c r="J537" i="1"/>
  <c r="N537" i="1" s="1"/>
  <c r="J538" i="1"/>
  <c r="L538" i="1" s="1"/>
  <c r="J539" i="1"/>
  <c r="J540" i="1"/>
  <c r="J541" i="1"/>
  <c r="J542" i="1"/>
  <c r="J543" i="1"/>
  <c r="J544" i="1"/>
  <c r="J545" i="1"/>
  <c r="J546" i="1"/>
  <c r="L546" i="1" s="1"/>
  <c r="J547" i="1"/>
  <c r="J548" i="1"/>
  <c r="L548" i="1" s="1"/>
  <c r="J549" i="1"/>
  <c r="L549" i="1" s="1"/>
  <c r="J550" i="1"/>
  <c r="J551" i="1"/>
  <c r="N551" i="1" s="1"/>
  <c r="J552" i="1"/>
  <c r="J553" i="1"/>
  <c r="J554" i="1"/>
  <c r="J555" i="1"/>
  <c r="J556" i="1"/>
  <c r="J557" i="1"/>
  <c r="J558" i="1"/>
  <c r="J559" i="1"/>
  <c r="L559" i="1" s="1"/>
  <c r="J560" i="1"/>
  <c r="J561" i="1"/>
  <c r="L561" i="1" s="1"/>
  <c r="J562" i="1"/>
  <c r="J563" i="1"/>
  <c r="L563" i="1" s="1"/>
  <c r="J564" i="1"/>
  <c r="J565" i="1"/>
  <c r="N565" i="1" s="1"/>
  <c r="J566" i="1"/>
  <c r="J567" i="1"/>
  <c r="J568" i="1"/>
  <c r="J569" i="1"/>
  <c r="J570" i="1"/>
  <c r="J571" i="1"/>
  <c r="J572" i="1"/>
  <c r="J573" i="1"/>
  <c r="L573" i="1" s="1"/>
  <c r="J574" i="1"/>
  <c r="J575" i="1"/>
  <c r="L575" i="1" s="1"/>
  <c r="J576" i="1"/>
  <c r="J577" i="1"/>
  <c r="J578" i="1"/>
  <c r="N578" i="1" s="1"/>
  <c r="J579" i="1"/>
  <c r="N579" i="1" s="1"/>
  <c r="J580" i="1"/>
  <c r="J581" i="1"/>
  <c r="L581" i="1" s="1"/>
  <c r="J582" i="1"/>
  <c r="L582" i="1" s="1"/>
  <c r="J583" i="1"/>
  <c r="J584" i="1"/>
  <c r="J585" i="1"/>
  <c r="J586" i="1"/>
  <c r="J587" i="1"/>
  <c r="L587" i="1" s="1"/>
  <c r="J588" i="1"/>
  <c r="L588" i="1" s="1"/>
  <c r="J589" i="1"/>
  <c r="J590" i="1"/>
  <c r="L590" i="1" s="1"/>
  <c r="J591" i="1"/>
  <c r="L591" i="1" s="1"/>
  <c r="J592" i="1"/>
  <c r="L592" i="1" s="1"/>
  <c r="J593" i="1"/>
  <c r="L593" i="1" s="1"/>
  <c r="J594" i="1"/>
  <c r="J595" i="1"/>
  <c r="J596" i="1"/>
  <c r="J597" i="1"/>
  <c r="J598" i="1"/>
  <c r="L598" i="1" s="1"/>
  <c r="J599" i="1"/>
  <c r="J600" i="1"/>
  <c r="J601" i="1"/>
  <c r="J602" i="1"/>
  <c r="J603" i="1"/>
  <c r="J604" i="1"/>
  <c r="N604" i="1" s="1"/>
  <c r="J605" i="1"/>
  <c r="N605" i="1" s="1"/>
  <c r="J606" i="1"/>
  <c r="N606" i="1" s="1"/>
  <c r="J607" i="1"/>
  <c r="L607" i="1" s="1"/>
  <c r="J608" i="1"/>
  <c r="J609" i="1"/>
  <c r="N609" i="1" s="1"/>
  <c r="J610" i="1"/>
  <c r="N610" i="1" s="1"/>
  <c r="J611" i="1"/>
  <c r="L611" i="1" s="1"/>
  <c r="J612" i="1"/>
  <c r="J613" i="1"/>
  <c r="J614" i="1"/>
  <c r="J615" i="1"/>
  <c r="L615" i="1" s="1"/>
  <c r="J616" i="1"/>
  <c r="J617" i="1"/>
  <c r="J618" i="1"/>
  <c r="J619" i="1"/>
  <c r="J620" i="1"/>
  <c r="J621" i="1"/>
  <c r="J622" i="1"/>
  <c r="N622" i="1" s="1"/>
  <c r="J623" i="1"/>
  <c r="J624" i="1"/>
  <c r="J625" i="1"/>
  <c r="J626" i="1"/>
  <c r="J627" i="1"/>
  <c r="J628" i="1"/>
  <c r="J629" i="1"/>
  <c r="L629" i="1" s="1"/>
  <c r="J630" i="1"/>
  <c r="J631" i="1"/>
  <c r="L631" i="1" s="1"/>
  <c r="J632" i="1"/>
  <c r="L632" i="1" s="1"/>
  <c r="J633" i="1"/>
  <c r="J634" i="1"/>
  <c r="N634" i="1" s="1"/>
  <c r="J635" i="1"/>
  <c r="J636" i="1"/>
  <c r="J637" i="1"/>
  <c r="N637" i="1" s="1"/>
  <c r="J638" i="1"/>
  <c r="J639" i="1"/>
  <c r="J640" i="1"/>
  <c r="J641" i="1"/>
  <c r="L641" i="1" s="1"/>
  <c r="J642" i="1"/>
  <c r="J643" i="1"/>
  <c r="J644" i="1"/>
  <c r="L644" i="1" s="1"/>
  <c r="J645" i="1"/>
  <c r="J646" i="1"/>
  <c r="J647" i="1"/>
  <c r="L647" i="1" s="1"/>
  <c r="J648" i="1"/>
  <c r="N648" i="1" s="1"/>
  <c r="J649" i="1"/>
  <c r="J650" i="1"/>
  <c r="J651" i="1"/>
  <c r="J652" i="1"/>
  <c r="L652" i="1" s="1"/>
  <c r="J653" i="1"/>
  <c r="J654" i="1"/>
  <c r="J655" i="1"/>
  <c r="N655" i="1" s="1"/>
  <c r="J656" i="1"/>
  <c r="J657" i="1"/>
  <c r="L657" i="1" s="1"/>
  <c r="J658" i="1"/>
  <c r="J659" i="1"/>
  <c r="N659" i="1" s="1"/>
  <c r="J660" i="1"/>
  <c r="N660" i="1" s="1"/>
  <c r="J661" i="1"/>
  <c r="N661" i="1" s="1"/>
  <c r="J662" i="1"/>
  <c r="L662" i="1" s="1"/>
  <c r="J663" i="1"/>
  <c r="J664" i="1"/>
  <c r="J665" i="1"/>
  <c r="J666" i="1"/>
  <c r="J667" i="1"/>
  <c r="J668" i="1"/>
  <c r="J669" i="1"/>
  <c r="L669" i="1" s="1"/>
  <c r="J670" i="1"/>
  <c r="J671" i="1"/>
  <c r="J672" i="1"/>
  <c r="J673" i="1"/>
  <c r="N673" i="1" s="1"/>
  <c r="J674" i="1"/>
  <c r="L674" i="1" s="1"/>
  <c r="J675" i="1"/>
  <c r="L675" i="1" s="1"/>
  <c r="J676" i="1"/>
  <c r="N676" i="1" s="1"/>
  <c r="J677" i="1"/>
  <c r="N677" i="1" s="1"/>
  <c r="J678" i="1"/>
  <c r="L678" i="1" s="1"/>
  <c r="J679" i="1"/>
  <c r="J680" i="1"/>
  <c r="L680" i="1" s="1"/>
  <c r="J681" i="1"/>
  <c r="J682" i="1"/>
  <c r="J683" i="1"/>
  <c r="J684" i="1"/>
  <c r="J685" i="1"/>
  <c r="L685" i="1" s="1"/>
  <c r="J686" i="1"/>
  <c r="L686" i="1" s="1"/>
  <c r="J687" i="1"/>
  <c r="L687" i="1" s="1"/>
  <c r="J688" i="1"/>
  <c r="J689" i="1"/>
  <c r="J690" i="1"/>
  <c r="L690" i="1" s="1"/>
  <c r="J691" i="1"/>
  <c r="L691" i="1" s="1"/>
  <c r="J692" i="1"/>
  <c r="N692" i="1" s="1"/>
  <c r="J693" i="1"/>
  <c r="J694" i="1"/>
  <c r="J695" i="1"/>
  <c r="J696" i="1"/>
  <c r="J697" i="1"/>
  <c r="N697" i="1" s="1"/>
  <c r="J698" i="1"/>
  <c r="J699" i="1"/>
  <c r="N699" i="1" s="1"/>
  <c r="J700" i="1"/>
  <c r="L700" i="1" s="1"/>
  <c r="J701" i="1"/>
  <c r="N701" i="1" s="1"/>
  <c r="J702" i="1"/>
  <c r="N702" i="1" s="1"/>
  <c r="J703" i="1"/>
  <c r="J704" i="1"/>
  <c r="J705" i="1"/>
  <c r="N705" i="1" s="1"/>
  <c r="J706" i="1"/>
  <c r="J707" i="1"/>
  <c r="N707" i="1" s="1"/>
  <c r="J708" i="1"/>
  <c r="L708" i="1" s="1"/>
  <c r="J709" i="1"/>
  <c r="J710" i="1"/>
  <c r="J711" i="1"/>
  <c r="L711" i="1" s="1"/>
  <c r="J712" i="1"/>
  <c r="J713" i="1"/>
  <c r="J714" i="1"/>
  <c r="J715" i="1"/>
  <c r="L715" i="1" s="1"/>
  <c r="J716" i="1"/>
  <c r="L716" i="1" s="1"/>
  <c r="J717" i="1"/>
  <c r="L717" i="1" s="1"/>
  <c r="J718" i="1"/>
  <c r="J719" i="1"/>
  <c r="J720" i="1"/>
  <c r="J721" i="1"/>
  <c r="N721" i="1" s="1"/>
  <c r="J722" i="1"/>
  <c r="L722" i="1" s="1"/>
  <c r="J723" i="1"/>
  <c r="J724" i="1"/>
  <c r="J725" i="1"/>
  <c r="J726" i="1"/>
  <c r="J727" i="1"/>
  <c r="L727" i="1" s="1"/>
  <c r="J728" i="1"/>
  <c r="J729" i="1"/>
  <c r="N729" i="1" s="1"/>
  <c r="J730" i="1"/>
  <c r="J731" i="1"/>
  <c r="N731" i="1" s="1"/>
  <c r="J732" i="1"/>
  <c r="L732" i="1" s="1"/>
  <c r="J733" i="1"/>
  <c r="J734" i="1"/>
  <c r="J735" i="1"/>
  <c r="N735" i="1" s="1"/>
  <c r="J736" i="1"/>
  <c r="J737" i="1"/>
  <c r="J738" i="1"/>
  <c r="J739" i="1"/>
  <c r="J740" i="1"/>
  <c r="J741" i="1"/>
  <c r="L741" i="1" s="1"/>
  <c r="J742" i="1"/>
  <c r="J743" i="1"/>
  <c r="N743" i="1" s="1"/>
  <c r="J744" i="1"/>
  <c r="N744" i="1" s="1"/>
  <c r="J745" i="1"/>
  <c r="J746" i="1"/>
  <c r="N746" i="1" s="1"/>
  <c r="J747" i="1"/>
  <c r="N747" i="1" s="1"/>
  <c r="J748" i="1"/>
  <c r="J749" i="1"/>
  <c r="L749" i="1" s="1"/>
  <c r="J750" i="1"/>
  <c r="N750" i="1" s="1"/>
  <c r="J751" i="1"/>
  <c r="J752" i="1"/>
  <c r="J753" i="1"/>
  <c r="J754" i="1"/>
  <c r="L754" i="1" s="1"/>
  <c r="J755" i="1"/>
  <c r="L755" i="1" s="1"/>
  <c r="J756" i="1"/>
  <c r="L756" i="1" s="1"/>
  <c r="J757" i="1"/>
  <c r="J758" i="1"/>
  <c r="J759" i="1"/>
  <c r="L759" i="1" s="1"/>
  <c r="J760" i="1"/>
  <c r="L760" i="1" s="1"/>
  <c r="J761" i="1"/>
  <c r="N761" i="1" s="1"/>
  <c r="J762" i="1"/>
  <c r="L762" i="1" s="1"/>
  <c r="J763" i="1"/>
  <c r="L763" i="1" s="1"/>
  <c r="J764" i="1"/>
  <c r="J765" i="1"/>
  <c r="J766" i="1"/>
  <c r="J767" i="1"/>
  <c r="J768" i="1"/>
  <c r="J769" i="1"/>
  <c r="L769" i="1" s="1"/>
  <c r="J770" i="1"/>
  <c r="L770" i="1" s="1"/>
  <c r="J771" i="1"/>
  <c r="L771" i="1" s="1"/>
  <c r="J772" i="1"/>
  <c r="N772" i="1" s="1"/>
  <c r="J773" i="1"/>
  <c r="L773" i="1" s="1"/>
  <c r="J774" i="1"/>
  <c r="J775" i="1"/>
  <c r="J776" i="1"/>
  <c r="J777" i="1"/>
  <c r="J778" i="1"/>
  <c r="J779" i="1"/>
  <c r="J780" i="1"/>
  <c r="L780" i="1" s="1"/>
  <c r="J781" i="1"/>
  <c r="L781" i="1" s="1"/>
  <c r="J782" i="1"/>
  <c r="L782" i="1" s="1"/>
  <c r="J783" i="1"/>
  <c r="J784" i="1"/>
  <c r="L784" i="1" s="1"/>
  <c r="J785" i="1"/>
  <c r="N785" i="1" s="1"/>
  <c r="J786" i="1"/>
  <c r="L786" i="1" s="1"/>
  <c r="J787" i="1"/>
  <c r="L787" i="1" s="1"/>
  <c r="J788" i="1"/>
  <c r="J789" i="1"/>
  <c r="L789" i="1" s="1"/>
  <c r="J790" i="1"/>
  <c r="J791" i="1"/>
  <c r="L791" i="1" s="1"/>
  <c r="J792" i="1"/>
  <c r="J793" i="1"/>
  <c r="J794" i="1"/>
  <c r="J795" i="1"/>
  <c r="L795" i="1" s="1"/>
  <c r="J796" i="1"/>
  <c r="L796" i="1" s="1"/>
  <c r="J797" i="1"/>
  <c r="N797" i="1" s="1"/>
  <c r="J798" i="1"/>
  <c r="N798" i="1" s="1"/>
  <c r="J799" i="1"/>
  <c r="N799" i="1" s="1"/>
  <c r="J800" i="1"/>
  <c r="N800" i="1" s="1"/>
  <c r="J801" i="1"/>
  <c r="N801" i="1" s="1"/>
  <c r="J802" i="1"/>
  <c r="N802" i="1" s="1"/>
  <c r="J803" i="1"/>
  <c r="L803" i="1" s="1"/>
  <c r="J804" i="1"/>
  <c r="J805" i="1"/>
  <c r="N805" i="1" s="1"/>
  <c r="J806" i="1"/>
  <c r="L806" i="1" s="1"/>
  <c r="J807" i="1"/>
  <c r="J808" i="1"/>
  <c r="J809" i="1"/>
  <c r="N809" i="1" s="1"/>
  <c r="J810" i="1"/>
  <c r="J811" i="1"/>
  <c r="L811" i="1" s="1"/>
  <c r="J812" i="1"/>
  <c r="J813" i="1"/>
  <c r="J814" i="1"/>
  <c r="N814" i="1" s="1"/>
  <c r="J815" i="1"/>
  <c r="J816" i="1"/>
  <c r="L816" i="1" s="1"/>
  <c r="J817" i="1"/>
  <c r="J818" i="1"/>
  <c r="J819" i="1"/>
  <c r="J820" i="1"/>
  <c r="J821" i="1"/>
  <c r="J822" i="1"/>
  <c r="J823" i="1"/>
  <c r="L823" i="1" s="1"/>
  <c r="J824" i="1"/>
  <c r="L824" i="1" s="1"/>
  <c r="J825" i="1"/>
  <c r="J826" i="1"/>
  <c r="L826" i="1" s="1"/>
  <c r="J827" i="1"/>
  <c r="J828" i="1"/>
  <c r="L828" i="1" s="1"/>
  <c r="J829" i="1"/>
  <c r="N829" i="1" s="1"/>
  <c r="J830" i="1"/>
  <c r="L830" i="1" s="1"/>
  <c r="J831" i="1"/>
  <c r="L831" i="1" s="1"/>
  <c r="J832" i="1"/>
  <c r="J833" i="1"/>
  <c r="N833" i="1" s="1"/>
  <c r="J834" i="1"/>
  <c r="J835" i="1"/>
  <c r="L835" i="1" s="1"/>
  <c r="J836" i="1"/>
  <c r="J837" i="1"/>
  <c r="J838" i="1"/>
  <c r="J839" i="1"/>
  <c r="L839" i="1" s="1"/>
  <c r="J840" i="1"/>
  <c r="J841" i="1"/>
  <c r="N841" i="1" s="1"/>
  <c r="J842" i="1"/>
  <c r="L842" i="1" s="1"/>
  <c r="J843" i="1"/>
  <c r="J844" i="1"/>
  <c r="J845" i="1"/>
  <c r="N845" i="1" s="1"/>
  <c r="J846" i="1"/>
  <c r="J847" i="1"/>
  <c r="J848" i="1"/>
  <c r="L848" i="1" s="1"/>
  <c r="J849" i="1"/>
  <c r="J850" i="1"/>
  <c r="J851" i="1"/>
  <c r="L851" i="1" s="1"/>
  <c r="J852" i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N859" i="1" s="1"/>
  <c r="J860" i="1"/>
  <c r="L860" i="1" s="1"/>
  <c r="J861" i="1"/>
  <c r="N861" i="1" s="1"/>
  <c r="J862" i="1"/>
  <c r="J863" i="1"/>
  <c r="J864" i="1"/>
  <c r="J865" i="1"/>
  <c r="J866" i="1"/>
  <c r="L866" i="1" s="1"/>
  <c r="J867" i="1"/>
  <c r="L867" i="1" s="1"/>
  <c r="J868" i="1"/>
  <c r="J869" i="1"/>
  <c r="J870" i="1"/>
  <c r="J871" i="1"/>
  <c r="L871" i="1" s="1"/>
  <c r="J872" i="1"/>
  <c r="J873" i="1"/>
  <c r="N873" i="1" s="1"/>
  <c r="J874" i="1"/>
  <c r="J875" i="1"/>
  <c r="J876" i="1"/>
  <c r="N876" i="1" s="1"/>
  <c r="J877" i="1"/>
  <c r="J878" i="1"/>
  <c r="J879" i="1"/>
  <c r="J880" i="1"/>
  <c r="J881" i="1"/>
  <c r="L881" i="1" s="1"/>
  <c r="J882" i="1"/>
  <c r="J883" i="1"/>
  <c r="L883" i="1" s="1"/>
  <c r="J884" i="1"/>
  <c r="J885" i="1"/>
  <c r="J886" i="1"/>
  <c r="J887" i="1"/>
  <c r="J888" i="1"/>
  <c r="N888" i="1" s="1"/>
  <c r="J889" i="1"/>
  <c r="J890" i="1"/>
  <c r="J891" i="1"/>
  <c r="J892" i="1"/>
  <c r="J893" i="1"/>
  <c r="L893" i="1" s="1"/>
  <c r="J894" i="1"/>
  <c r="J895" i="1"/>
  <c r="N895" i="1" s="1"/>
  <c r="J896" i="1"/>
  <c r="N896" i="1" s="1"/>
  <c r="J897" i="1"/>
  <c r="J898" i="1"/>
  <c r="L898" i="1" s="1"/>
  <c r="J899" i="1"/>
  <c r="J900" i="1"/>
  <c r="J901" i="1"/>
  <c r="J902" i="1"/>
  <c r="J903" i="1"/>
  <c r="J904" i="1"/>
  <c r="J905" i="1"/>
  <c r="J906" i="1"/>
  <c r="J907" i="1"/>
  <c r="J908" i="1"/>
  <c r="J909" i="1"/>
  <c r="L909" i="1" s="1"/>
  <c r="J910" i="1"/>
  <c r="J911" i="1"/>
  <c r="L911" i="1" s="1"/>
  <c r="J912" i="1"/>
  <c r="J913" i="1"/>
  <c r="J914" i="1"/>
  <c r="N914" i="1" s="1"/>
  <c r="J915" i="1"/>
  <c r="J916" i="1"/>
  <c r="J917" i="1"/>
  <c r="J918" i="1"/>
  <c r="N918" i="1" s="1"/>
  <c r="J919" i="1"/>
  <c r="J920" i="1"/>
  <c r="J921" i="1"/>
  <c r="N921" i="1" s="1"/>
  <c r="J922" i="1"/>
  <c r="J923" i="1"/>
  <c r="L923" i="1" s="1"/>
  <c r="J924" i="1"/>
  <c r="L924" i="1" s="1"/>
  <c r="J925" i="1"/>
  <c r="J926" i="1"/>
  <c r="N926" i="1" s="1"/>
  <c r="J927" i="1"/>
  <c r="J928" i="1"/>
  <c r="J929" i="1"/>
  <c r="L929" i="1" s="1"/>
  <c r="J930" i="1"/>
  <c r="J931" i="1"/>
  <c r="J932" i="1"/>
  <c r="N932" i="1" s="1"/>
  <c r="J933" i="1"/>
  <c r="J934" i="1"/>
  <c r="J935" i="1"/>
  <c r="L935" i="1" s="1"/>
  <c r="J936" i="1"/>
  <c r="L936" i="1" s="1"/>
  <c r="J937" i="1"/>
  <c r="L937" i="1" s="1"/>
  <c r="J938" i="1"/>
  <c r="J939" i="1"/>
  <c r="L939" i="1" s="1"/>
  <c r="J940" i="1"/>
  <c r="J941" i="1"/>
  <c r="N941" i="1" s="1"/>
  <c r="J942" i="1"/>
  <c r="J943" i="1"/>
  <c r="N943" i="1" s="1"/>
  <c r="J944" i="1"/>
  <c r="J945" i="1"/>
  <c r="J946" i="1"/>
  <c r="L946" i="1" s="1"/>
  <c r="J947" i="1"/>
  <c r="J948" i="1"/>
  <c r="L948" i="1" s="1"/>
  <c r="J949" i="1"/>
  <c r="J950" i="1"/>
  <c r="J951" i="1"/>
  <c r="L951" i="1" s="1"/>
  <c r="J952" i="1"/>
  <c r="J953" i="1"/>
  <c r="J954" i="1"/>
  <c r="L954" i="1" s="1"/>
  <c r="J955" i="1"/>
  <c r="N955" i="1" s="1"/>
  <c r="J956" i="1"/>
  <c r="L956" i="1" s="1"/>
  <c r="J957" i="1"/>
  <c r="N957" i="1" s="1"/>
  <c r="J958" i="1"/>
  <c r="J959" i="1"/>
  <c r="L959" i="1" s="1"/>
  <c r="J960" i="1"/>
  <c r="L960" i="1" s="1"/>
  <c r="J961" i="1"/>
  <c r="J962" i="1"/>
  <c r="J963" i="1"/>
  <c r="J964" i="1"/>
  <c r="J965" i="1"/>
  <c r="L965" i="1" s="1"/>
  <c r="J966" i="1"/>
  <c r="J967" i="1"/>
  <c r="J968" i="1"/>
  <c r="L968" i="1" s="1"/>
  <c r="J969" i="1"/>
  <c r="L969" i="1" s="1"/>
  <c r="J970" i="1"/>
  <c r="L970" i="1" s="1"/>
  <c r="J971" i="1"/>
  <c r="N971" i="1" s="1"/>
  <c r="J972" i="1"/>
  <c r="J973" i="1"/>
  <c r="N973" i="1" s="1"/>
  <c r="J974" i="1"/>
  <c r="J975" i="1"/>
  <c r="J976" i="1"/>
  <c r="J977" i="1"/>
  <c r="N977" i="1" s="1"/>
  <c r="J978" i="1"/>
  <c r="L978" i="1" s="1"/>
  <c r="J979" i="1"/>
  <c r="L979" i="1" s="1"/>
  <c r="J980" i="1"/>
  <c r="L980" i="1" s="1"/>
  <c r="J981" i="1"/>
  <c r="J982" i="1"/>
  <c r="J983" i="1"/>
  <c r="N983" i="1" s="1"/>
  <c r="J984" i="1"/>
  <c r="N984" i="1" s="1"/>
  <c r="J985" i="1"/>
  <c r="J986" i="1"/>
  <c r="J987" i="1"/>
  <c r="N987" i="1" s="1"/>
  <c r="J988" i="1"/>
  <c r="N988" i="1" s="1"/>
  <c r="J989" i="1"/>
  <c r="J990" i="1"/>
  <c r="J991" i="1"/>
  <c r="L991" i="1" s="1"/>
  <c r="J992" i="1"/>
  <c r="J993" i="1"/>
  <c r="N993" i="1" s="1"/>
  <c r="J994" i="1"/>
  <c r="L994" i="1" s="1"/>
  <c r="J995" i="1"/>
  <c r="J996" i="1"/>
  <c r="J997" i="1"/>
  <c r="L997" i="1" s="1"/>
  <c r="J998" i="1"/>
  <c r="N998" i="1" s="1"/>
  <c r="J999" i="1"/>
  <c r="N999" i="1" s="1"/>
  <c r="J1000" i="1"/>
  <c r="N1000" i="1" s="1"/>
  <c r="J1001" i="1"/>
  <c r="J1002" i="1"/>
  <c r="J1003" i="1"/>
  <c r="J1004" i="1"/>
  <c r="J1005" i="1"/>
  <c r="N1005" i="1" s="1"/>
  <c r="J1006" i="1"/>
  <c r="J1007" i="1"/>
  <c r="L1007" i="1" s="1"/>
  <c r="J1008" i="1"/>
  <c r="L1008" i="1" s="1"/>
  <c r="J1009" i="1"/>
  <c r="L1009" i="1" s="1"/>
  <c r="J1010" i="1"/>
  <c r="J1011" i="1"/>
  <c r="L1011" i="1" s="1"/>
  <c r="J1012" i="1"/>
  <c r="L1012" i="1" s="1"/>
  <c r="J1013" i="1"/>
  <c r="N1013" i="1" s="1"/>
  <c r="J1014" i="1"/>
  <c r="J1015" i="1"/>
  <c r="L1015" i="1" s="1"/>
  <c r="J1016" i="1"/>
  <c r="J1017" i="1"/>
  <c r="J1018" i="1"/>
  <c r="J1019" i="1"/>
  <c r="J1020" i="1"/>
  <c r="J1021" i="1"/>
  <c r="N1021" i="1" s="1"/>
  <c r="J1022" i="1"/>
  <c r="J1023" i="1"/>
  <c r="J1024" i="1"/>
  <c r="J1025" i="1"/>
  <c r="J1026" i="1"/>
  <c r="L1026" i="1" s="1"/>
  <c r="J1027" i="1"/>
  <c r="N1027" i="1" s="1"/>
  <c r="J1028" i="1"/>
  <c r="L1028" i="1" s="1"/>
  <c r="J1029" i="1"/>
  <c r="J1030" i="1"/>
  <c r="J1031" i="1"/>
  <c r="J1032" i="1"/>
  <c r="J1033" i="1"/>
  <c r="J1034" i="1"/>
  <c r="L1034" i="1" s="1"/>
  <c r="J1035" i="1"/>
  <c r="J1036" i="1"/>
  <c r="L1036" i="1" s="1"/>
  <c r="J1037" i="1"/>
  <c r="L1037" i="1" s="1"/>
  <c r="J1038" i="1"/>
  <c r="J1039" i="1"/>
  <c r="J1040" i="1"/>
  <c r="L1040" i="1" s="1"/>
  <c r="J1041" i="1"/>
  <c r="L1041" i="1" s="1"/>
  <c r="J1042" i="1"/>
  <c r="L1042" i="1" s="1"/>
  <c r="J1043" i="1"/>
  <c r="L1043" i="1" s="1"/>
  <c r="J1044" i="1"/>
  <c r="N1044" i="1" s="1"/>
  <c r="J1045" i="1"/>
  <c r="J1046" i="1"/>
  <c r="J1047" i="1"/>
  <c r="L1047" i="1" s="1"/>
  <c r="J1048" i="1"/>
  <c r="J1049" i="1"/>
  <c r="L1049" i="1" s="1"/>
  <c r="J1050" i="1"/>
  <c r="J1051" i="1"/>
  <c r="N1051" i="1" s="1"/>
  <c r="J1052" i="1"/>
  <c r="J1053" i="1"/>
  <c r="J1054" i="1"/>
  <c r="N1054" i="1" s="1"/>
  <c r="J1055" i="1"/>
  <c r="L1055" i="1" s="1"/>
  <c r="J1056" i="1"/>
  <c r="J1057" i="1"/>
  <c r="N1057" i="1" s="1"/>
  <c r="J1058" i="1"/>
  <c r="N1058" i="1" s="1"/>
  <c r="J1059" i="1"/>
  <c r="J1060" i="1"/>
  <c r="J1061" i="1"/>
  <c r="J1062" i="1"/>
  <c r="J1063" i="1"/>
  <c r="L1063" i="1" s="1"/>
  <c r="J1064" i="1"/>
  <c r="L1064" i="1" s="1"/>
  <c r="J1065" i="1"/>
  <c r="J1066" i="1"/>
  <c r="J1067" i="1"/>
  <c r="J1068" i="1"/>
  <c r="N1068" i="1" s="1"/>
  <c r="J1069" i="1"/>
  <c r="L1069" i="1" s="1"/>
  <c r="J1070" i="1"/>
  <c r="L1070" i="1" s="1"/>
  <c r="J1071" i="1"/>
  <c r="J1072" i="1"/>
  <c r="N1072" i="1" s="1"/>
  <c r="J1073" i="1"/>
  <c r="J1074" i="1"/>
  <c r="J1075" i="1"/>
  <c r="L1075" i="1" s="1"/>
  <c r="J1076" i="1"/>
  <c r="J1077" i="1"/>
  <c r="J1078" i="1"/>
  <c r="L1078" i="1" s="1"/>
  <c r="J1079" i="1"/>
  <c r="L1079" i="1" s="1"/>
  <c r="J1080" i="1"/>
  <c r="N1080" i="1" s="1"/>
  <c r="J1081" i="1"/>
  <c r="J1082" i="1"/>
  <c r="J1083" i="1"/>
  <c r="N1083" i="1" s="1"/>
  <c r="J1084" i="1"/>
  <c r="J1085" i="1"/>
  <c r="J1086" i="1"/>
  <c r="L1086" i="1" s="1"/>
  <c r="J1087" i="1"/>
  <c r="J1088" i="1"/>
  <c r="J1089" i="1"/>
  <c r="J1090" i="1"/>
  <c r="L1090" i="1" s="1"/>
  <c r="J1091" i="1"/>
  <c r="J1092" i="1"/>
  <c r="L1092" i="1" s="1"/>
  <c r="J1093" i="1"/>
  <c r="N1093" i="1" s="1"/>
  <c r="J1094" i="1"/>
  <c r="J1095" i="1"/>
  <c r="L1095" i="1" s="1"/>
  <c r="J1096" i="1"/>
  <c r="L1096" i="1" s="1"/>
  <c r="J1097" i="1"/>
  <c r="J1098" i="1"/>
  <c r="L1098" i="1" s="1"/>
  <c r="J1099" i="1"/>
  <c r="J1100" i="1"/>
  <c r="J1101" i="1"/>
  <c r="J1102" i="1"/>
  <c r="J1103" i="1"/>
  <c r="J1104" i="1"/>
  <c r="J1105" i="1"/>
  <c r="N1105" i="1" s="1"/>
  <c r="J1106" i="1"/>
  <c r="J1107" i="1"/>
  <c r="L1107" i="1" s="1"/>
  <c r="J1108" i="1"/>
  <c r="L1108" i="1" s="1"/>
  <c r="J1109" i="1"/>
  <c r="L1109" i="1" s="1"/>
  <c r="J1110" i="1"/>
  <c r="L1110" i="1" s="1"/>
  <c r="J1111" i="1"/>
  <c r="J1112" i="1"/>
  <c r="J1113" i="1"/>
  <c r="J1114" i="1"/>
  <c r="J1115" i="1"/>
  <c r="J1116" i="1"/>
  <c r="L1116" i="1" s="1"/>
  <c r="J1117" i="1"/>
  <c r="J1118" i="1"/>
  <c r="J1119" i="1"/>
  <c r="L1119" i="1" s="1"/>
  <c r="J1120" i="1"/>
  <c r="N1120" i="1" s="1"/>
  <c r="J1121" i="1"/>
  <c r="L1121" i="1" s="1"/>
  <c r="J1122" i="1"/>
  <c r="N1122" i="1" s="1"/>
  <c r="J1123" i="1"/>
  <c r="N1123" i="1" s="1"/>
  <c r="J1124" i="1"/>
  <c r="L1124" i="1" s="1"/>
  <c r="J1125" i="1"/>
  <c r="L1125" i="1" s="1"/>
  <c r="J1126" i="1"/>
  <c r="J1127" i="1"/>
  <c r="N1127" i="1" s="1"/>
  <c r="J1128" i="1"/>
  <c r="N1128" i="1" s="1"/>
  <c r="J1129" i="1"/>
  <c r="J1130" i="1"/>
  <c r="J1131" i="1"/>
  <c r="J1132" i="1"/>
  <c r="J1133" i="1"/>
  <c r="L1133" i="1" s="1"/>
  <c r="J1134" i="1"/>
  <c r="J1135" i="1"/>
  <c r="J1136" i="1"/>
  <c r="J1137" i="1"/>
  <c r="J1138" i="1"/>
  <c r="L1138" i="1" s="1"/>
  <c r="J1139" i="1"/>
  <c r="L1139" i="1" s="1"/>
  <c r="J1140" i="1"/>
  <c r="J1141" i="1"/>
  <c r="J1142" i="1"/>
  <c r="N1142" i="1" s="1"/>
  <c r="J1143" i="1"/>
  <c r="J1144" i="1"/>
  <c r="J1145" i="1"/>
  <c r="N1145" i="1" s="1"/>
  <c r="J1146" i="1"/>
  <c r="N1146" i="1" s="1"/>
  <c r="J1147" i="1"/>
  <c r="L1147" i="1" s="1"/>
  <c r="J1148" i="1"/>
  <c r="J1149" i="1"/>
  <c r="N1149" i="1" s="1"/>
  <c r="J1150" i="1"/>
  <c r="N1150" i="1" s="1"/>
  <c r="J1151" i="1"/>
  <c r="N1151" i="1" s="1"/>
  <c r="J1152" i="1"/>
  <c r="N1152" i="1" s="1"/>
  <c r="J1153" i="1"/>
  <c r="L1153" i="1" s="1"/>
  <c r="J1154" i="1"/>
  <c r="L1154" i="1" s="1"/>
  <c r="J1155" i="1"/>
  <c r="N1155" i="1" s="1"/>
  <c r="J1156" i="1"/>
  <c r="L1156" i="1" s="1"/>
  <c r="J1157" i="1"/>
  <c r="J1158" i="1"/>
  <c r="J1159" i="1"/>
  <c r="J1160" i="1"/>
  <c r="J1161" i="1"/>
  <c r="J1162" i="1"/>
  <c r="J1163" i="1"/>
  <c r="L1163" i="1" s="1"/>
  <c r="J1164" i="1"/>
  <c r="L1164" i="1" s="1"/>
  <c r="J1165" i="1"/>
  <c r="L1165" i="1" s="1"/>
  <c r="J1166" i="1"/>
  <c r="L1166" i="1" s="1"/>
  <c r="J1167" i="1"/>
  <c r="N1167" i="1" s="1"/>
  <c r="J1168" i="1"/>
  <c r="L1168" i="1" s="1"/>
  <c r="J1169" i="1"/>
  <c r="J1170" i="1"/>
  <c r="J1171" i="1"/>
  <c r="J1172" i="1"/>
  <c r="L1172" i="1" s="1"/>
  <c r="J1173" i="1"/>
  <c r="N1173" i="1" s="1"/>
  <c r="J1174" i="1"/>
  <c r="L1174" i="1" s="1"/>
  <c r="J1175" i="1"/>
  <c r="J1176" i="1"/>
  <c r="J1177" i="1"/>
  <c r="J1178" i="1"/>
  <c r="N1178" i="1" s="1"/>
  <c r="J1179" i="1"/>
  <c r="N1179" i="1" s="1"/>
  <c r="J1180" i="1"/>
  <c r="L1180" i="1" s="1"/>
  <c r="J1181" i="1"/>
  <c r="L1181" i="1" s="1"/>
  <c r="J1182" i="1"/>
  <c r="N1182" i="1" s="1"/>
  <c r="J1183" i="1"/>
  <c r="N1183" i="1" s="1"/>
  <c r="J1184" i="1"/>
  <c r="J1185" i="1"/>
  <c r="J1186" i="1"/>
  <c r="J1187" i="1"/>
  <c r="J1188" i="1"/>
  <c r="J1189" i="1"/>
  <c r="J1190" i="1"/>
  <c r="L1190" i="1" s="1"/>
  <c r="J1191" i="1"/>
  <c r="J1192" i="1"/>
  <c r="J1193" i="1"/>
  <c r="L1193" i="1" s="1"/>
  <c r="J1194" i="1"/>
  <c r="J1195" i="1"/>
  <c r="J1196" i="1"/>
  <c r="L1196" i="1" s="1"/>
  <c r="J1197" i="1"/>
  <c r="J1198" i="1"/>
  <c r="L1198" i="1" s="1"/>
  <c r="J1199" i="1"/>
  <c r="J1200" i="1"/>
  <c r="J1201" i="1"/>
  <c r="J1202" i="1"/>
  <c r="J1203" i="1"/>
  <c r="L1203" i="1" s="1"/>
  <c r="J1204" i="1"/>
  <c r="N1204" i="1" s="1"/>
  <c r="J1205" i="1"/>
  <c r="J1206" i="1"/>
  <c r="J1207" i="1"/>
  <c r="L1207" i="1" s="1"/>
  <c r="J1208" i="1"/>
  <c r="N1208" i="1" s="1"/>
  <c r="J1209" i="1"/>
  <c r="L1209" i="1" s="1"/>
  <c r="J1210" i="1"/>
  <c r="L1210" i="1" s="1"/>
  <c r="J1211" i="1"/>
  <c r="J1212" i="1"/>
  <c r="J1213" i="1"/>
  <c r="J1214" i="1"/>
  <c r="J1215" i="1"/>
  <c r="J1216" i="1"/>
  <c r="J1217" i="1"/>
  <c r="N1217" i="1" s="1"/>
  <c r="J1218" i="1"/>
  <c r="J1219" i="1"/>
  <c r="J1220" i="1"/>
  <c r="L1220" i="1" s="1"/>
  <c r="J1221" i="1"/>
  <c r="L1221" i="1" s="1"/>
  <c r="J1222" i="1"/>
  <c r="L1222" i="1" s="1"/>
  <c r="J1223" i="1"/>
  <c r="L1223" i="1" s="1"/>
  <c r="J1224" i="1"/>
  <c r="N1224" i="1" s="1"/>
  <c r="J1225" i="1"/>
  <c r="N1225" i="1" s="1"/>
  <c r="J1226" i="1"/>
  <c r="N1226" i="1" s="1"/>
  <c r="J1227" i="1"/>
  <c r="J1228" i="1"/>
  <c r="J1229" i="1"/>
  <c r="J1230" i="1"/>
  <c r="J1231" i="1"/>
  <c r="J1232" i="1"/>
  <c r="J1233" i="1"/>
  <c r="N1233" i="1" s="1"/>
  <c r="J1234" i="1"/>
  <c r="L1234" i="1" s="1"/>
  <c r="J1235" i="1"/>
  <c r="N1235" i="1" s="1"/>
  <c r="J1236" i="1"/>
  <c r="J1237" i="1"/>
  <c r="L1237" i="1" s="1"/>
  <c r="J1238" i="1"/>
  <c r="L1238" i="1" s="1"/>
  <c r="J1239" i="1"/>
  <c r="J1240" i="1"/>
  <c r="L1240" i="1" s="1"/>
  <c r="J1241" i="1"/>
  <c r="N1241" i="1" s="1"/>
  <c r="J1242" i="1"/>
  <c r="J1243" i="1"/>
  <c r="N1243" i="1" s="1"/>
  <c r="J1244" i="1"/>
  <c r="L1244" i="1" s="1"/>
  <c r="J1245" i="1"/>
  <c r="J1246" i="1"/>
  <c r="J1247" i="1"/>
  <c r="J1248" i="1"/>
  <c r="L1248" i="1" s="1"/>
  <c r="J1249" i="1"/>
  <c r="J1250" i="1"/>
  <c r="J1251" i="1"/>
  <c r="L1251" i="1" s="1"/>
  <c r="J1252" i="1"/>
  <c r="J1253" i="1"/>
  <c r="J1254" i="1"/>
  <c r="J1255" i="1"/>
  <c r="L1255" i="1" s="1"/>
  <c r="J1256" i="1"/>
  <c r="J1257" i="1"/>
  <c r="J1258" i="1"/>
  <c r="J1259" i="1"/>
  <c r="N1259" i="1" s="1"/>
  <c r="J1260" i="1"/>
  <c r="N1260" i="1" s="1"/>
  <c r="J1261" i="1"/>
  <c r="L1261" i="1" s="1"/>
  <c r="J1262" i="1"/>
  <c r="L1262" i="1" s="1"/>
  <c r="J1263" i="1"/>
  <c r="J1264" i="1"/>
  <c r="L1264" i="1" s="1"/>
  <c r="J1265" i="1"/>
  <c r="L1265" i="1" s="1"/>
  <c r="J1266" i="1"/>
  <c r="L1266" i="1" s="1"/>
  <c r="J1267" i="1"/>
  <c r="N1267" i="1" s="1"/>
  <c r="J1268" i="1"/>
  <c r="J1269" i="1"/>
  <c r="J1270" i="1"/>
  <c r="J1271" i="1"/>
  <c r="N1271" i="1" s="1"/>
  <c r="J1272" i="1"/>
  <c r="J1273" i="1"/>
  <c r="L1273" i="1" s="1"/>
  <c r="J1274" i="1"/>
  <c r="N1274" i="1" s="1"/>
  <c r="J1275" i="1"/>
  <c r="N1275" i="1" s="1"/>
  <c r="J1276" i="1"/>
  <c r="L1276" i="1" s="1"/>
  <c r="J1277" i="1"/>
  <c r="L1277" i="1" s="1"/>
  <c r="J1278" i="1"/>
  <c r="L1278" i="1" s="1"/>
  <c r="J1279" i="1"/>
  <c r="N1279" i="1" s="1"/>
  <c r="J1280" i="1"/>
  <c r="N1280" i="1" s="1"/>
  <c r="J1281" i="1"/>
  <c r="N1281" i="1" s="1"/>
  <c r="J1282" i="1"/>
  <c r="J1283" i="1"/>
  <c r="J1284" i="1"/>
  <c r="L1284" i="1" s="1"/>
  <c r="J1285" i="1"/>
  <c r="J1286" i="1"/>
  <c r="L1286" i="1" s="1"/>
  <c r="J1287" i="1"/>
  <c r="J1288" i="1"/>
  <c r="J1289" i="1"/>
  <c r="L1289" i="1" s="1"/>
  <c r="J1290" i="1"/>
  <c r="L1290" i="1" s="1"/>
  <c r="J1291" i="1"/>
  <c r="L1291" i="1" s="1"/>
  <c r="J1292" i="1"/>
  <c r="L1292" i="1" s="1"/>
  <c r="J1293" i="1"/>
  <c r="N1293" i="1" s="1"/>
  <c r="J1294" i="1"/>
  <c r="J1295" i="1"/>
  <c r="L1295" i="1" s="1"/>
  <c r="J1296" i="1"/>
  <c r="L1296" i="1" s="1"/>
  <c r="J1297" i="1"/>
  <c r="J1298" i="1"/>
  <c r="J1299" i="1"/>
  <c r="N1299" i="1" s="1"/>
  <c r="J1300" i="1"/>
  <c r="J1301" i="1"/>
  <c r="L1301" i="1" s="1"/>
  <c r="J1302" i="1"/>
  <c r="N1302" i="1" s="1"/>
  <c r="J1303" i="1"/>
  <c r="L1303" i="1" s="1"/>
  <c r="J1304" i="1"/>
  <c r="N1304" i="1" s="1"/>
  <c r="J1305" i="1"/>
  <c r="L1305" i="1" s="1"/>
  <c r="J1306" i="1"/>
  <c r="N1306" i="1" s="1"/>
  <c r="J1307" i="1"/>
  <c r="L1307" i="1" s="1"/>
  <c r="J1308" i="1"/>
  <c r="J1309" i="1"/>
  <c r="J1310" i="1"/>
  <c r="N1310" i="1" s="1"/>
  <c r="J1311" i="1"/>
  <c r="L1311" i="1" s="1"/>
  <c r="J1312" i="1"/>
  <c r="J1313" i="1"/>
  <c r="J1314" i="1"/>
  <c r="J1315" i="1"/>
  <c r="N1315" i="1" s="1"/>
  <c r="J1316" i="1"/>
  <c r="J1317" i="1"/>
  <c r="J1318" i="1"/>
  <c r="J1319" i="1"/>
  <c r="L1319" i="1" s="1"/>
  <c r="J1320" i="1"/>
  <c r="N1320" i="1" s="1"/>
  <c r="J1321" i="1"/>
  <c r="N1321" i="1" s="1"/>
  <c r="J1322" i="1"/>
  <c r="J1323" i="1"/>
  <c r="J1324" i="1"/>
  <c r="N1324" i="1" s="1"/>
  <c r="J1325" i="1"/>
  <c r="N1325" i="1" s="1"/>
  <c r="J1326" i="1"/>
  <c r="J1327" i="1"/>
  <c r="N1327" i="1" s="1"/>
  <c r="J1328" i="1"/>
  <c r="N1328" i="1" s="1"/>
  <c r="J1329" i="1"/>
  <c r="J1330" i="1"/>
  <c r="J1331" i="1"/>
  <c r="L1331" i="1" s="1"/>
  <c r="J1332" i="1"/>
  <c r="J1333" i="1"/>
  <c r="J1334" i="1"/>
  <c r="N1334" i="1" s="1"/>
  <c r="J1335" i="1"/>
  <c r="N1335" i="1" s="1"/>
  <c r="J1336" i="1"/>
  <c r="L1336" i="1" s="1"/>
  <c r="J1337" i="1"/>
  <c r="N1337" i="1" s="1"/>
  <c r="J1338" i="1"/>
  <c r="N1338" i="1" s="1"/>
  <c r="J1339" i="1"/>
  <c r="J1340" i="1"/>
  <c r="J1341" i="1"/>
  <c r="N1341" i="1" s="1"/>
  <c r="J1342" i="1"/>
  <c r="J1343" i="1"/>
  <c r="J1344" i="1"/>
  <c r="J1345" i="1"/>
  <c r="J1346" i="1"/>
  <c r="L1346" i="1" s="1"/>
  <c r="J1347" i="1"/>
  <c r="N1347" i="1" s="1"/>
  <c r="J1348" i="1"/>
  <c r="N1348" i="1" s="1"/>
  <c r="J1349" i="1"/>
  <c r="J1350" i="1"/>
  <c r="J1351" i="1"/>
  <c r="L1351" i="1" s="1"/>
  <c r="J1352" i="1"/>
  <c r="J1353" i="1"/>
  <c r="J1354" i="1"/>
  <c r="J1355" i="1"/>
  <c r="J1356" i="1"/>
  <c r="J1357" i="1"/>
  <c r="J1358" i="1"/>
  <c r="J1359" i="1"/>
  <c r="L1359" i="1" s="1"/>
  <c r="J1360" i="1"/>
  <c r="N1360" i="1" s="1"/>
  <c r="J1361" i="1"/>
  <c r="L1361" i="1" s="1"/>
  <c r="J1362" i="1"/>
  <c r="J1363" i="1"/>
  <c r="L1363" i="1" s="1"/>
  <c r="J1364" i="1"/>
  <c r="L1364" i="1" s="1"/>
  <c r="J1365" i="1"/>
  <c r="J1366" i="1"/>
  <c r="L1366" i="1" s="1"/>
  <c r="J1367" i="1"/>
  <c r="J1368" i="1"/>
  <c r="J1369" i="1"/>
  <c r="L1369" i="1" s="1"/>
  <c r="J1370" i="1"/>
  <c r="J1371" i="1"/>
  <c r="L1371" i="1" s="1"/>
  <c r="J1372" i="1"/>
  <c r="N1372" i="1" s="1"/>
  <c r="J1373" i="1"/>
  <c r="L1373" i="1" s="1"/>
  <c r="J1374" i="1"/>
  <c r="J1375" i="1"/>
  <c r="J1376" i="1"/>
  <c r="N1376" i="1" s="1"/>
  <c r="J1377" i="1"/>
  <c r="L1377" i="1" s="1"/>
  <c r="J1378" i="1"/>
  <c r="J1379" i="1"/>
  <c r="N1379" i="1" s="1"/>
  <c r="J1380" i="1"/>
  <c r="N1380" i="1" s="1"/>
  <c r="J1381" i="1"/>
  <c r="L1381" i="1" s="1"/>
  <c r="J1382" i="1"/>
  <c r="J1383" i="1"/>
  <c r="N1383" i="1" s="1"/>
  <c r="J1384" i="1"/>
  <c r="J1385" i="1"/>
  <c r="L1385" i="1" s="1"/>
  <c r="J1386" i="1"/>
  <c r="J1387" i="1"/>
  <c r="L1387" i="1" s="1"/>
  <c r="J1388" i="1"/>
  <c r="J1389" i="1"/>
  <c r="L1389" i="1" s="1"/>
  <c r="J1390" i="1"/>
  <c r="L1390" i="1" s="1"/>
  <c r="J1391" i="1"/>
  <c r="L1391" i="1" s="1"/>
  <c r="J1392" i="1"/>
  <c r="J1393" i="1"/>
  <c r="J1394" i="1"/>
  <c r="J1395" i="1"/>
  <c r="L1395" i="1" s="1"/>
  <c r="J1396" i="1"/>
  <c r="J1397" i="1"/>
  <c r="J1398" i="1"/>
  <c r="J1399" i="1"/>
  <c r="J1400" i="1"/>
  <c r="J1401" i="1"/>
  <c r="J1402" i="1"/>
  <c r="N1402" i="1" s="1"/>
  <c r="J1403" i="1"/>
  <c r="J1404" i="1"/>
  <c r="L1404" i="1" s="1"/>
  <c r="J1405" i="1"/>
  <c r="N1405" i="1" s="1"/>
  <c r="J1406" i="1"/>
  <c r="L1406" i="1" s="1"/>
  <c r="J1407" i="1"/>
  <c r="J1408" i="1"/>
  <c r="J1409" i="1"/>
  <c r="N1409" i="1" s="1"/>
  <c r="J1410" i="1"/>
  <c r="J1411" i="1"/>
  <c r="J1412" i="1"/>
  <c r="J1413" i="1"/>
  <c r="N1413" i="1" s="1"/>
  <c r="J1414" i="1"/>
  <c r="J1415" i="1"/>
  <c r="N1415" i="1" s="1"/>
  <c r="J1416" i="1"/>
  <c r="J1417" i="1"/>
  <c r="N1417" i="1" s="1"/>
  <c r="J1418" i="1"/>
  <c r="J1419" i="1"/>
  <c r="L1419" i="1" s="1"/>
  <c r="J1420" i="1"/>
  <c r="J1421" i="1"/>
  <c r="J1422" i="1"/>
  <c r="L1422" i="1" s="1"/>
  <c r="J1423" i="1"/>
  <c r="J1424" i="1"/>
  <c r="J1425" i="1"/>
  <c r="J1426" i="1"/>
  <c r="J1427" i="1"/>
  <c r="J1428" i="1"/>
  <c r="J1429" i="1"/>
  <c r="J1430" i="1"/>
  <c r="J1431" i="1"/>
  <c r="L1431" i="1" s="1"/>
  <c r="J1432" i="1"/>
  <c r="N1432" i="1" s="1"/>
  <c r="J1433" i="1"/>
  <c r="L1433" i="1" s="1"/>
  <c r="J1434" i="1"/>
  <c r="L1434" i="1" s="1"/>
  <c r="J1435" i="1"/>
  <c r="L1435" i="1" s="1"/>
  <c r="J1436" i="1"/>
  <c r="N1436" i="1" s="1"/>
  <c r="J1437" i="1"/>
  <c r="J1438" i="1"/>
  <c r="L1438" i="1" s="1"/>
  <c r="J1439" i="1"/>
  <c r="N1439" i="1" s="1"/>
  <c r="J1440" i="1"/>
  <c r="J1441" i="1"/>
  <c r="L1441" i="1" s="1"/>
  <c r="J1442" i="1"/>
  <c r="N1442" i="1" s="1"/>
  <c r="J1443" i="1"/>
  <c r="L1443" i="1" s="1"/>
  <c r="J1444" i="1"/>
  <c r="N1444" i="1" s="1"/>
  <c r="J1445" i="1"/>
  <c r="N1445" i="1" s="1"/>
  <c r="J1446" i="1"/>
  <c r="J1447" i="1"/>
  <c r="J1448" i="1"/>
  <c r="J1449" i="1"/>
  <c r="L1449" i="1" s="1"/>
  <c r="J1450" i="1"/>
  <c r="J1451" i="1"/>
  <c r="J1452" i="1"/>
  <c r="L1452" i="1" s="1"/>
  <c r="J1453" i="1"/>
  <c r="J1454" i="1"/>
  <c r="L1454" i="1" s="1"/>
  <c r="J1455" i="1"/>
  <c r="L1455" i="1" s="1"/>
  <c r="J1456" i="1"/>
  <c r="L1456" i="1" s="1"/>
  <c r="J1457" i="1"/>
  <c r="L1457" i="1" s="1"/>
  <c r="J1458" i="1"/>
  <c r="J1459" i="1"/>
  <c r="J1460" i="1"/>
  <c r="L1460" i="1" s="1"/>
  <c r="J1461" i="1"/>
  <c r="L1461" i="1" s="1"/>
  <c r="J1462" i="1"/>
  <c r="L1462" i="1" s="1"/>
  <c r="J1463" i="1"/>
  <c r="L1463" i="1" s="1"/>
  <c r="J1464" i="1"/>
  <c r="J1465" i="1"/>
  <c r="J1466" i="1"/>
  <c r="J1467" i="1"/>
  <c r="N1467" i="1" s="1"/>
  <c r="J1468" i="1"/>
  <c r="J1469" i="1"/>
  <c r="J1470" i="1"/>
  <c r="L1470" i="1" s="1"/>
  <c r="J1471" i="1"/>
  <c r="L1471" i="1" s="1"/>
  <c r="J1472" i="1"/>
  <c r="J1473" i="1"/>
  <c r="L1473" i="1" s="1"/>
  <c r="J1474" i="1"/>
  <c r="J1475" i="1"/>
  <c r="N1475" i="1" s="1"/>
  <c r="J1476" i="1"/>
  <c r="J1477" i="1"/>
  <c r="N1477" i="1" s="1"/>
  <c r="J1478" i="1"/>
  <c r="J1479" i="1"/>
  <c r="J1480" i="1"/>
  <c r="J1481" i="1"/>
  <c r="L1481" i="1" s="1"/>
  <c r="J1482" i="1"/>
  <c r="J1483" i="1"/>
  <c r="L1483" i="1" s="1"/>
  <c r="J1484" i="1"/>
  <c r="L1484" i="1" s="1"/>
  <c r="J1485" i="1"/>
  <c r="L1485" i="1" s="1"/>
  <c r="J1486" i="1"/>
  <c r="L1486" i="1" s="1"/>
  <c r="J1487" i="1"/>
  <c r="J1488" i="1"/>
  <c r="N1488" i="1" s="1"/>
  <c r="J1489" i="1"/>
  <c r="J1490" i="1"/>
  <c r="L1490" i="1" s="1"/>
  <c r="J1491" i="1"/>
  <c r="L1491" i="1" s="1"/>
  <c r="J1492" i="1"/>
  <c r="L1492" i="1" s="1"/>
  <c r="J1493" i="1"/>
  <c r="N1493" i="1" s="1"/>
  <c r="J1494" i="1"/>
  <c r="J1495" i="1"/>
  <c r="N1495" i="1" s="1"/>
  <c r="J1496" i="1"/>
  <c r="J1497" i="1"/>
  <c r="J1498" i="1"/>
  <c r="J1499" i="1"/>
  <c r="J1500" i="1"/>
  <c r="L1500" i="1" s="1"/>
  <c r="J1501" i="1"/>
  <c r="J1502" i="1"/>
  <c r="N1502" i="1" s="1"/>
  <c r="J1503" i="1"/>
  <c r="L1503" i="1" s="1"/>
  <c r="J1504" i="1"/>
  <c r="J1505" i="1"/>
  <c r="L1505" i="1" s="1"/>
  <c r="J1506" i="1"/>
  <c r="J1507" i="1"/>
  <c r="J1508" i="1"/>
  <c r="J1509" i="1"/>
  <c r="L1509" i="1" s="1"/>
  <c r="J1510" i="1"/>
  <c r="L1510" i="1" s="1"/>
  <c r="J1511" i="1"/>
  <c r="J1512" i="1"/>
  <c r="L1512" i="1" s="1"/>
  <c r="J1513" i="1"/>
  <c r="J1514" i="1"/>
  <c r="L1514" i="1" s="1"/>
  <c r="J1515" i="1"/>
  <c r="J1516" i="1"/>
  <c r="L1516" i="1" s="1"/>
  <c r="J1517" i="1"/>
  <c r="L1517" i="1" s="1"/>
  <c r="J1518" i="1"/>
  <c r="J1519" i="1"/>
  <c r="J1520" i="1"/>
  <c r="J1521" i="1"/>
  <c r="J1522" i="1"/>
  <c r="J1523" i="1"/>
  <c r="J1524" i="1"/>
  <c r="N1524" i="1" s="1"/>
  <c r="J1525" i="1"/>
  <c r="L1525" i="1" s="1"/>
  <c r="J1526" i="1"/>
  <c r="J1527" i="1"/>
  <c r="J1528" i="1"/>
  <c r="J1529" i="1"/>
  <c r="J1530" i="1"/>
  <c r="J1531" i="1"/>
  <c r="L1531" i="1" s="1"/>
  <c r="J1532" i="1"/>
  <c r="L1532" i="1" s="1"/>
  <c r="J1533" i="1"/>
  <c r="J1534" i="1"/>
  <c r="J1535" i="1"/>
  <c r="J1536" i="1"/>
  <c r="J1537" i="1"/>
  <c r="J1538" i="1"/>
  <c r="J1539" i="1"/>
  <c r="L1539" i="1" s="1"/>
  <c r="J1540" i="1"/>
  <c r="N1540" i="1" s="1"/>
  <c r="J1541" i="1"/>
  <c r="N1541" i="1" s="1"/>
  <c r="J1542" i="1"/>
  <c r="L1542" i="1" s="1"/>
  <c r="J1543" i="1"/>
  <c r="J1544" i="1"/>
  <c r="L1544" i="1" s="1"/>
  <c r="J1545" i="1"/>
  <c r="N1545" i="1" s="1"/>
  <c r="J1546" i="1"/>
  <c r="L1546" i="1" s="1"/>
  <c r="J1547" i="1"/>
  <c r="L1547" i="1" s="1"/>
  <c r="J1548" i="1"/>
  <c r="J1549" i="1"/>
  <c r="J1550" i="1"/>
  <c r="J1551" i="1"/>
  <c r="L1551" i="1" s="1"/>
  <c r="J1552" i="1"/>
  <c r="J1553" i="1"/>
  <c r="J1554" i="1"/>
  <c r="N1554" i="1" s="1"/>
  <c r="J1555" i="1"/>
  <c r="L1555" i="1" s="1"/>
  <c r="J1556" i="1"/>
  <c r="J1557" i="1"/>
  <c r="N1557" i="1" s="1"/>
  <c r="J1558" i="1"/>
  <c r="J1559" i="1"/>
  <c r="N1559" i="1" s="1"/>
  <c r="J1560" i="1"/>
  <c r="J1561" i="1"/>
  <c r="N1561" i="1" s="1"/>
  <c r="J1562" i="1"/>
  <c r="J1563" i="1"/>
  <c r="J1564" i="1"/>
  <c r="J1565" i="1"/>
  <c r="J1566" i="1"/>
  <c r="N1566" i="1" s="1"/>
  <c r="J1567" i="1"/>
  <c r="J1568" i="1"/>
  <c r="L1568" i="1" s="1"/>
  <c r="J1569" i="1"/>
  <c r="J1570" i="1"/>
  <c r="L1570" i="1" s="1"/>
  <c r="J1571" i="1"/>
  <c r="L1571" i="1" s="1"/>
  <c r="J1572" i="1"/>
  <c r="L1572" i="1" s="1"/>
  <c r="J1573" i="1"/>
  <c r="L1573" i="1" s="1"/>
  <c r="J1574" i="1"/>
  <c r="J1575" i="1"/>
  <c r="J1576" i="1"/>
  <c r="J1577" i="1"/>
  <c r="J1578" i="1"/>
  <c r="J1579" i="1"/>
  <c r="L1579" i="1" s="1"/>
  <c r="J1580" i="1"/>
  <c r="J1581" i="1"/>
  <c r="N1581" i="1" s="1"/>
  <c r="J1582" i="1"/>
  <c r="N1582" i="1" s="1"/>
  <c r="J1583" i="1"/>
  <c r="J1584" i="1"/>
  <c r="N1584" i="1" s="1"/>
  <c r="J1585" i="1"/>
  <c r="J1586" i="1"/>
  <c r="L1586" i="1" s="1"/>
  <c r="J1587" i="1"/>
  <c r="J1588" i="1"/>
  <c r="N1588" i="1" s="1"/>
  <c r="J1589" i="1"/>
  <c r="J1590" i="1"/>
  <c r="N1590" i="1" s="1"/>
  <c r="J1591" i="1"/>
  <c r="J1592" i="1"/>
  <c r="J1593" i="1"/>
  <c r="J1594" i="1"/>
  <c r="J1595" i="1"/>
  <c r="N1595" i="1" s="1"/>
  <c r="J1596" i="1"/>
  <c r="J1597" i="1"/>
  <c r="L1597" i="1" s="1"/>
  <c r="J1598" i="1"/>
  <c r="L1598" i="1" s="1"/>
  <c r="J1599" i="1"/>
  <c r="J1600" i="1"/>
  <c r="J1601" i="1"/>
  <c r="L1601" i="1" s="1"/>
  <c r="J1602" i="1"/>
  <c r="N1602" i="1" s="1"/>
  <c r="J1603" i="1"/>
  <c r="N1603" i="1" s="1"/>
  <c r="J1604" i="1"/>
  <c r="N1604" i="1" s="1"/>
  <c r="J1605" i="1"/>
  <c r="J1606" i="1"/>
  <c r="J1607" i="1"/>
  <c r="J1608" i="1"/>
  <c r="J1609" i="1"/>
  <c r="L1609" i="1" s="1"/>
  <c r="J1610" i="1"/>
  <c r="N1610" i="1" s="1"/>
  <c r="J1611" i="1"/>
  <c r="J1612" i="1"/>
  <c r="N1612" i="1" s="1"/>
  <c r="J1613" i="1"/>
  <c r="N1613" i="1" s="1"/>
  <c r="J1614" i="1"/>
  <c r="L1614" i="1" s="1"/>
  <c r="J1615" i="1"/>
  <c r="L1615" i="1" s="1"/>
  <c r="J1616" i="1"/>
  <c r="L1616" i="1" s="1"/>
  <c r="J1617" i="1"/>
  <c r="J1618" i="1"/>
  <c r="L1618" i="1" s="1"/>
  <c r="J1619" i="1"/>
  <c r="J1620" i="1"/>
  <c r="J1621" i="1"/>
  <c r="J1622" i="1"/>
  <c r="J1623" i="1"/>
  <c r="L1623" i="1" s="1"/>
  <c r="J1624" i="1"/>
  <c r="N1624" i="1" s="1"/>
  <c r="J1625" i="1"/>
  <c r="J1626" i="1"/>
  <c r="J1627" i="1"/>
  <c r="J1628" i="1"/>
  <c r="J1629" i="1"/>
  <c r="N1629" i="1" s="1"/>
  <c r="J1630" i="1"/>
  <c r="J1631" i="1"/>
  <c r="J1632" i="1"/>
  <c r="J1633" i="1"/>
  <c r="J1634" i="1"/>
  <c r="J1635" i="1"/>
  <c r="J1636" i="1"/>
  <c r="J1637" i="1"/>
  <c r="L1637" i="1" s="1"/>
  <c r="J1638" i="1"/>
  <c r="L1638" i="1" s="1"/>
  <c r="J1639" i="1"/>
  <c r="J1640" i="1"/>
  <c r="N1640" i="1" s="1"/>
  <c r="J1641" i="1"/>
  <c r="J1642" i="1"/>
  <c r="L1642" i="1" s="1"/>
  <c r="J1643" i="1"/>
  <c r="J1644" i="1"/>
  <c r="L1644" i="1" s="1"/>
  <c r="J1645" i="1"/>
  <c r="J1646" i="1"/>
  <c r="L1646" i="1" s="1"/>
  <c r="J1647" i="1"/>
  <c r="J1648" i="1"/>
  <c r="J1649" i="1"/>
  <c r="L1649" i="1" s="1"/>
  <c r="J1650" i="1"/>
  <c r="J1651" i="1"/>
  <c r="N1651" i="1" s="1"/>
  <c r="J1652" i="1"/>
  <c r="J1653" i="1"/>
  <c r="L1653" i="1" s="1"/>
  <c r="J1654" i="1"/>
  <c r="J1655" i="1"/>
  <c r="N1655" i="1" s="1"/>
  <c r="J1656" i="1"/>
  <c r="N1656" i="1" s="1"/>
  <c r="J1657" i="1"/>
  <c r="L1657" i="1" s="1"/>
  <c r="J1658" i="1"/>
  <c r="J1659" i="1"/>
  <c r="J1660" i="1"/>
  <c r="L1660" i="1" s="1"/>
  <c r="J1661" i="1"/>
  <c r="J1662" i="1"/>
  <c r="L1662" i="1" s="1"/>
  <c r="J1663" i="1"/>
  <c r="J1664" i="1"/>
  <c r="J1665" i="1"/>
  <c r="J1666" i="1"/>
  <c r="L1666" i="1" s="1"/>
  <c r="J1667" i="1"/>
  <c r="J1668" i="1"/>
  <c r="L1668" i="1" s="1"/>
  <c r="J1669" i="1"/>
  <c r="L1669" i="1" s="1"/>
  <c r="J1670" i="1"/>
  <c r="J1671" i="1"/>
  <c r="N1671" i="1" s="1"/>
  <c r="J1672" i="1"/>
  <c r="J1673" i="1"/>
  <c r="J1674" i="1"/>
  <c r="L1674" i="1" s="1"/>
  <c r="J1675" i="1"/>
  <c r="J1676" i="1"/>
  <c r="J1677" i="1"/>
  <c r="L1677" i="1" s="1"/>
  <c r="J1678" i="1"/>
  <c r="J1679" i="1"/>
  <c r="J1680" i="1"/>
  <c r="J1681" i="1"/>
  <c r="J1682" i="1"/>
  <c r="J1683" i="1"/>
  <c r="N1683" i="1" s="1"/>
  <c r="J1684" i="1"/>
  <c r="L1684" i="1" s="1"/>
  <c r="J1685" i="1"/>
  <c r="L1685" i="1" s="1"/>
  <c r="J1686" i="1"/>
  <c r="N1686" i="1" s="1"/>
  <c r="J1687" i="1"/>
  <c r="N1687" i="1" s="1"/>
  <c r="J1688" i="1"/>
  <c r="J1689" i="1"/>
  <c r="J1690" i="1"/>
  <c r="J1691" i="1"/>
  <c r="L1691" i="1" s="1"/>
  <c r="J1692" i="1"/>
  <c r="J1693" i="1"/>
  <c r="L1693" i="1" s="1"/>
  <c r="J1694" i="1"/>
  <c r="L1694" i="1" s="1"/>
  <c r="J1695" i="1"/>
  <c r="L1695" i="1" s="1"/>
  <c r="J1696" i="1"/>
  <c r="J1697" i="1"/>
  <c r="J1698" i="1"/>
  <c r="L1698" i="1" s="1"/>
  <c r="J1699" i="1"/>
  <c r="N1699" i="1" s="1"/>
  <c r="J1700" i="1"/>
  <c r="L1700" i="1" s="1"/>
  <c r="J1701" i="1"/>
  <c r="L1701" i="1" s="1"/>
  <c r="J1702" i="1"/>
  <c r="J1703" i="1"/>
  <c r="J1704" i="1"/>
  <c r="J1705" i="1"/>
  <c r="J1706" i="1"/>
  <c r="J1707" i="1"/>
  <c r="L1707" i="1" s="1"/>
  <c r="J1708" i="1"/>
  <c r="N1708" i="1" s="1"/>
  <c r="J1709" i="1"/>
  <c r="L1709" i="1" s="1"/>
  <c r="J1710" i="1"/>
  <c r="J1711" i="1"/>
  <c r="J1712" i="1"/>
  <c r="L1712" i="1" s="1"/>
  <c r="J1713" i="1"/>
  <c r="J1714" i="1"/>
  <c r="N1714" i="1" s="1"/>
  <c r="J1715" i="1"/>
  <c r="J1716" i="1"/>
  <c r="J1717" i="1"/>
  <c r="J1718" i="1"/>
  <c r="L1718" i="1" s="1"/>
  <c r="J1719" i="1"/>
  <c r="L1719" i="1" s="1"/>
  <c r="J1720" i="1"/>
  <c r="J1721" i="1"/>
  <c r="L1721" i="1" s="1"/>
  <c r="J1722" i="1"/>
  <c r="L1722" i="1" s="1"/>
  <c r="J1723" i="1"/>
  <c r="J1724" i="1"/>
  <c r="L1724" i="1" s="1"/>
  <c r="J1725" i="1"/>
  <c r="L1725" i="1" s="1"/>
  <c r="J1726" i="1"/>
  <c r="L1726" i="1" s="1"/>
  <c r="J1727" i="1"/>
  <c r="J1728" i="1"/>
  <c r="L1728" i="1" s="1"/>
  <c r="J1729" i="1"/>
  <c r="N1729" i="1" s="1"/>
  <c r="J1730" i="1"/>
  <c r="J1731" i="1"/>
  <c r="J1732" i="1"/>
  <c r="J1733" i="1"/>
  <c r="L1733" i="1" s="1"/>
  <c r="J1734" i="1"/>
  <c r="J1735" i="1"/>
  <c r="L1735" i="1" s="1"/>
  <c r="J1736" i="1"/>
  <c r="J1737" i="1"/>
  <c r="J1738" i="1"/>
  <c r="L1738" i="1" s="1"/>
  <c r="J1739" i="1"/>
  <c r="J1740" i="1"/>
  <c r="N1740" i="1" s="1"/>
  <c r="J1741" i="1"/>
  <c r="N1741" i="1" s="1"/>
  <c r="J1742" i="1"/>
  <c r="J1743" i="1"/>
  <c r="N1743" i="1" s="1"/>
  <c r="J1744" i="1"/>
  <c r="J1745" i="1"/>
  <c r="J1746" i="1"/>
  <c r="N1746" i="1" s="1"/>
  <c r="J1747" i="1"/>
  <c r="L1747" i="1" s="1"/>
  <c r="J1748" i="1"/>
  <c r="N1748" i="1" s="1"/>
  <c r="J1749" i="1"/>
  <c r="J1750" i="1"/>
  <c r="N1750" i="1" s="1"/>
  <c r="J1751" i="1"/>
  <c r="L1751" i="1" s="1"/>
  <c r="J1752" i="1"/>
  <c r="L1752" i="1" s="1"/>
  <c r="J1753" i="1"/>
  <c r="J1754" i="1"/>
  <c r="L1754" i="1" s="1"/>
  <c r="J1755" i="1"/>
  <c r="J1756" i="1"/>
  <c r="J1757" i="1"/>
  <c r="L1757" i="1" s="1"/>
  <c r="J1758" i="1"/>
  <c r="N1758" i="1" s="1"/>
  <c r="J1759" i="1"/>
  <c r="J1760" i="1"/>
  <c r="J1761" i="1"/>
  <c r="J1762" i="1"/>
  <c r="J1763" i="1"/>
  <c r="L1763" i="1" s="1"/>
  <c r="J1764" i="1"/>
  <c r="J1765" i="1"/>
  <c r="L1765" i="1" s="1"/>
  <c r="J1766" i="1"/>
  <c r="N1766" i="1" s="1"/>
  <c r="J1767" i="1"/>
  <c r="L1767" i="1" s="1"/>
  <c r="J1768" i="1"/>
  <c r="L1768" i="1" s="1"/>
  <c r="J1769" i="1"/>
  <c r="N1769" i="1" s="1"/>
  <c r="J1770" i="1"/>
  <c r="N1770" i="1" s="1"/>
  <c r="J1771" i="1"/>
  <c r="N1771" i="1" s="1"/>
  <c r="J1772" i="1"/>
  <c r="J1773" i="1"/>
  <c r="J1774" i="1"/>
  <c r="J1775" i="1"/>
  <c r="L1775" i="1" s="1"/>
  <c r="J1776" i="1"/>
  <c r="J1777" i="1"/>
  <c r="J1778" i="1"/>
  <c r="L1778" i="1" s="1"/>
  <c r="J1779" i="1"/>
  <c r="L1779" i="1" s="1"/>
  <c r="J1780" i="1"/>
  <c r="N1780" i="1" s="1"/>
  <c r="J1781" i="1"/>
  <c r="N1781" i="1" s="1"/>
  <c r="J1782" i="1"/>
  <c r="N1782" i="1" s="1"/>
  <c r="J1783" i="1"/>
  <c r="J1784" i="1"/>
  <c r="N1784" i="1" s="1"/>
  <c r="J1785" i="1"/>
  <c r="J1786" i="1"/>
  <c r="N1786" i="1" s="1"/>
  <c r="J1787" i="1"/>
  <c r="J1788" i="1"/>
  <c r="J1789" i="1"/>
  <c r="J1790" i="1"/>
  <c r="L1790" i="1" s="1"/>
  <c r="J1791" i="1"/>
  <c r="J1792" i="1"/>
  <c r="J1793" i="1"/>
  <c r="J1794" i="1"/>
  <c r="J1795" i="1"/>
  <c r="L1795" i="1" s="1"/>
  <c r="J1796" i="1"/>
  <c r="N1796" i="1" s="1"/>
  <c r="J1797" i="1"/>
  <c r="J1798" i="1"/>
  <c r="J1799" i="1"/>
  <c r="J1800" i="1"/>
  <c r="J1801" i="1"/>
  <c r="N1801" i="1" s="1"/>
  <c r="J1802" i="1"/>
  <c r="J1803" i="1"/>
  <c r="J1804" i="1"/>
  <c r="J1805" i="1"/>
  <c r="J1806" i="1"/>
  <c r="J1807" i="1"/>
  <c r="J1808" i="1"/>
  <c r="J1809" i="1"/>
  <c r="N1809" i="1" s="1"/>
  <c r="J1810" i="1"/>
  <c r="L1810" i="1" s="1"/>
  <c r="J1811" i="1"/>
  <c r="L1811" i="1" s="1"/>
  <c r="J1812" i="1"/>
  <c r="J1813" i="1"/>
  <c r="J1814" i="1"/>
  <c r="L1814" i="1" s="1"/>
  <c r="J1815" i="1"/>
  <c r="J1816" i="1"/>
  <c r="J1817" i="1"/>
  <c r="N1817" i="1" s="1"/>
  <c r="J1818" i="1"/>
  <c r="J1819" i="1"/>
  <c r="L1819" i="1" s="1"/>
  <c r="J1820" i="1"/>
  <c r="J1821" i="1"/>
  <c r="L1821" i="1" s="1"/>
  <c r="J1822" i="1"/>
  <c r="L1822" i="1" s="1"/>
  <c r="J1823" i="1"/>
  <c r="J1824" i="1"/>
  <c r="L1824" i="1" s="1"/>
  <c r="J1825" i="1"/>
  <c r="L1825" i="1" s="1"/>
  <c r="J1826" i="1"/>
  <c r="J1827" i="1"/>
  <c r="J1828" i="1"/>
  <c r="L1828" i="1" s="1"/>
  <c r="J1829" i="1"/>
  <c r="N1829" i="1" s="1"/>
  <c r="J1830" i="1"/>
  <c r="N1830" i="1" s="1"/>
  <c r="J1831" i="1"/>
  <c r="J1832" i="1"/>
  <c r="J1833" i="1"/>
  <c r="L1833" i="1" s="1"/>
  <c r="J1834" i="1"/>
  <c r="J1835" i="1"/>
  <c r="J1836" i="1"/>
  <c r="L1836" i="1" s="1"/>
  <c r="J1837" i="1"/>
  <c r="J1838" i="1"/>
  <c r="N1838" i="1" s="1"/>
  <c r="J1839" i="1"/>
  <c r="J1840" i="1"/>
  <c r="J1841" i="1"/>
  <c r="L1841" i="1" s="1"/>
  <c r="J1842" i="1"/>
  <c r="N1842" i="1" s="1"/>
  <c r="J1843" i="1"/>
  <c r="J1844" i="1"/>
  <c r="J1845" i="1"/>
  <c r="J1846" i="1"/>
  <c r="L1846" i="1" s="1"/>
  <c r="J1847" i="1"/>
  <c r="J1848" i="1"/>
  <c r="N1848" i="1" s="1"/>
  <c r="J1849" i="1"/>
  <c r="N1849" i="1" s="1"/>
  <c r="J1850" i="1"/>
  <c r="L1850" i="1" s="1"/>
  <c r="J1851" i="1"/>
  <c r="J1852" i="1"/>
  <c r="L1852" i="1" s="1"/>
  <c r="J1853" i="1"/>
  <c r="J1854" i="1"/>
  <c r="J1855" i="1"/>
  <c r="J1856" i="1"/>
  <c r="J1857" i="1"/>
  <c r="J1858" i="1"/>
  <c r="J1859" i="1"/>
  <c r="L1859" i="1" s="1"/>
  <c r="J1860" i="1"/>
  <c r="J1861" i="1"/>
  <c r="J1862" i="1"/>
  <c r="J1863" i="1"/>
  <c r="N1863" i="1" s="1"/>
  <c r="J1864" i="1"/>
  <c r="J1865" i="1"/>
  <c r="N1865" i="1" s="1"/>
  <c r="J1866" i="1"/>
  <c r="N1866" i="1" s="1"/>
  <c r="J1867" i="1"/>
  <c r="N1867" i="1" s="1"/>
  <c r="J1868" i="1"/>
  <c r="N1868" i="1" s="1"/>
  <c r="J1869" i="1"/>
  <c r="N1869" i="1" s="1"/>
  <c r="J1870" i="1"/>
  <c r="N1870" i="1" s="1"/>
  <c r="J1871" i="1"/>
  <c r="J1872" i="1"/>
  <c r="J1873" i="1"/>
  <c r="J1874" i="1"/>
  <c r="N1874" i="1" s="1"/>
  <c r="J1875" i="1"/>
  <c r="L1875" i="1" s="1"/>
  <c r="J1876" i="1"/>
  <c r="N1876" i="1" s="1"/>
  <c r="J1877" i="1"/>
  <c r="L1877" i="1" s="1"/>
  <c r="J1878" i="1"/>
  <c r="J1879" i="1"/>
  <c r="L1879" i="1" s="1"/>
  <c r="J1880" i="1"/>
  <c r="L1880" i="1" s="1"/>
  <c r="J1881" i="1"/>
  <c r="L1881" i="1" s="1"/>
  <c r="J1882" i="1"/>
  <c r="N1882" i="1" s="1"/>
  <c r="J1883" i="1"/>
  <c r="J1884" i="1"/>
  <c r="J1885" i="1"/>
  <c r="J1886" i="1"/>
  <c r="J1887" i="1"/>
  <c r="J1888" i="1"/>
  <c r="L1888" i="1" s="1"/>
  <c r="J1889" i="1"/>
  <c r="L1889" i="1" s="1"/>
  <c r="J1890" i="1"/>
  <c r="N1890" i="1" s="1"/>
  <c r="J1891" i="1"/>
  <c r="J1892" i="1"/>
  <c r="J1893" i="1"/>
  <c r="J1894" i="1"/>
  <c r="L1894" i="1" s="1"/>
  <c r="J1895" i="1"/>
  <c r="J1896" i="1"/>
  <c r="L1896" i="1" s="1"/>
  <c r="J1897" i="1"/>
  <c r="L1897" i="1" s="1"/>
  <c r="J1898" i="1"/>
  <c r="L1898" i="1" s="1"/>
  <c r="J1899" i="1"/>
  <c r="J1900" i="1"/>
  <c r="J1901" i="1"/>
  <c r="J1902" i="1"/>
  <c r="J1903" i="1"/>
  <c r="J1904" i="1"/>
  <c r="L1904" i="1" s="1"/>
  <c r="J1905" i="1"/>
  <c r="J1906" i="1"/>
  <c r="J1907" i="1"/>
  <c r="L1907" i="1" s="1"/>
  <c r="J1908" i="1"/>
  <c r="L1908" i="1" s="1"/>
  <c r="J1909" i="1"/>
  <c r="L1909" i="1" s="1"/>
  <c r="J1910" i="1"/>
  <c r="N1910" i="1" s="1"/>
  <c r="J1911" i="1"/>
  <c r="J1912" i="1"/>
  <c r="N1912" i="1" s="1"/>
  <c r="J1913" i="1"/>
  <c r="J1914" i="1"/>
  <c r="J1915" i="1"/>
  <c r="J1916" i="1"/>
  <c r="J1917" i="1"/>
  <c r="J1918" i="1"/>
  <c r="J1919" i="1"/>
  <c r="N1919" i="1" s="1"/>
  <c r="J1920" i="1"/>
  <c r="J1921" i="1"/>
  <c r="J1922" i="1"/>
  <c r="J1923" i="1"/>
  <c r="J1924" i="1"/>
  <c r="J1925" i="1"/>
  <c r="J1926" i="1"/>
  <c r="L1926" i="1" s="1"/>
  <c r="J1927" i="1"/>
  <c r="L1927" i="1" s="1"/>
  <c r="J1928" i="1"/>
  <c r="J1929" i="1"/>
  <c r="J1930" i="1"/>
  <c r="J1931" i="1"/>
  <c r="L1931" i="1" s="1"/>
  <c r="J1932" i="1"/>
  <c r="L1932" i="1" s="1"/>
  <c r="J1933" i="1"/>
  <c r="L1933" i="1" s="1"/>
  <c r="J1934" i="1"/>
  <c r="L1934" i="1" s="1"/>
  <c r="J1935" i="1"/>
  <c r="L1935" i="1" s="1"/>
  <c r="J1936" i="1"/>
  <c r="J1937" i="1"/>
  <c r="N1937" i="1" s="1"/>
  <c r="J1938" i="1"/>
  <c r="L1938" i="1" s="1"/>
  <c r="J1939" i="1"/>
  <c r="N1939" i="1" s="1"/>
  <c r="J1940" i="1"/>
  <c r="L1940" i="1" s="1"/>
  <c r="J1941" i="1"/>
  <c r="J1942" i="1"/>
  <c r="J1943" i="1"/>
  <c r="N1943" i="1" s="1"/>
  <c r="J1944" i="1"/>
  <c r="J1945" i="1"/>
  <c r="J1946" i="1"/>
  <c r="J1947" i="1"/>
  <c r="N1947" i="1" s="1"/>
  <c r="J1948" i="1"/>
  <c r="J1949" i="1"/>
  <c r="J1950" i="1"/>
  <c r="L1950" i="1" s="1"/>
  <c r="J1951" i="1"/>
  <c r="J1952" i="1"/>
  <c r="L1952" i="1" s="1"/>
  <c r="J1953" i="1"/>
  <c r="J1954" i="1"/>
  <c r="J1955" i="1"/>
  <c r="J1956" i="1"/>
  <c r="J1957" i="1"/>
  <c r="L1957" i="1" s="1"/>
  <c r="J1958" i="1"/>
  <c r="J1959" i="1"/>
  <c r="J1960" i="1"/>
  <c r="J1961" i="1"/>
  <c r="N1961" i="1" s="1"/>
  <c r="J1962" i="1"/>
  <c r="J1963" i="1"/>
  <c r="L1963" i="1" s="1"/>
  <c r="J1964" i="1"/>
  <c r="J1965" i="1"/>
  <c r="J1966" i="1"/>
  <c r="J1967" i="1"/>
  <c r="J1968" i="1"/>
  <c r="L1968" i="1" s="1"/>
  <c r="J1969" i="1"/>
  <c r="J1970" i="1"/>
  <c r="J1971" i="1"/>
  <c r="J1972" i="1"/>
  <c r="J1973" i="1"/>
  <c r="J1974" i="1"/>
  <c r="J1975" i="1"/>
  <c r="J1976" i="1"/>
  <c r="J1977" i="1"/>
  <c r="J1978" i="1"/>
  <c r="N1978" i="1" s="1"/>
  <c r="J1979" i="1"/>
  <c r="L1979" i="1" s="1"/>
  <c r="J1980" i="1"/>
  <c r="L1980" i="1" s="1"/>
  <c r="J1981" i="1"/>
  <c r="J1982" i="1"/>
  <c r="J1983" i="1"/>
  <c r="J1984" i="1"/>
  <c r="L1984" i="1" s="1"/>
  <c r="J1985" i="1"/>
  <c r="L1985" i="1" s="1"/>
  <c r="J1986" i="1"/>
  <c r="J1987" i="1"/>
  <c r="J1988" i="1"/>
  <c r="J1989" i="1"/>
  <c r="L1989" i="1" s="1"/>
  <c r="J1990" i="1"/>
  <c r="N1990" i="1" s="1"/>
  <c r="J1991" i="1"/>
  <c r="L1991" i="1" s="1"/>
  <c r="J1992" i="1"/>
  <c r="N1992" i="1" s="1"/>
  <c r="J1993" i="1"/>
  <c r="J1994" i="1"/>
  <c r="J1995" i="1"/>
  <c r="L1995" i="1" s="1"/>
  <c r="J1996" i="1"/>
  <c r="N1996" i="1" s="1"/>
  <c r="J1997" i="1"/>
  <c r="J1998" i="1"/>
  <c r="L1998" i="1" s="1"/>
  <c r="J1999" i="1"/>
  <c r="J2000" i="1"/>
  <c r="L2000" i="1" s="1"/>
  <c r="J2001" i="1"/>
  <c r="J2002" i="1"/>
  <c r="J2003" i="1"/>
  <c r="J2004" i="1"/>
  <c r="J2005" i="1"/>
  <c r="L2005" i="1" s="1"/>
  <c r="J2006" i="1"/>
  <c r="L2006" i="1" s="1"/>
  <c r="J2007" i="1"/>
  <c r="L2007" i="1" s="1"/>
  <c r="J2008" i="1"/>
  <c r="J2009" i="1"/>
  <c r="L2009" i="1" s="1"/>
  <c r="J2010" i="1"/>
  <c r="L2010" i="1" s="1"/>
  <c r="J2011" i="1"/>
  <c r="J2012" i="1"/>
  <c r="J2013" i="1"/>
  <c r="L2013" i="1" s="1"/>
  <c r="J2014" i="1"/>
  <c r="J2015" i="1"/>
  <c r="J2016" i="1"/>
  <c r="J2017" i="1"/>
  <c r="N2017" i="1" s="1"/>
  <c r="J2018" i="1"/>
  <c r="J2019" i="1"/>
  <c r="L2019" i="1" s="1"/>
  <c r="J2020" i="1"/>
  <c r="L2020" i="1" s="1"/>
  <c r="J2021" i="1"/>
  <c r="L2021" i="1" s="1"/>
  <c r="J2022" i="1"/>
  <c r="J2023" i="1"/>
  <c r="J2024" i="1"/>
  <c r="L2024" i="1" s="1"/>
  <c r="J2025" i="1"/>
  <c r="J2026" i="1"/>
  <c r="J2027" i="1"/>
  <c r="J2028" i="1"/>
  <c r="L2028" i="1" s="1"/>
  <c r="J2029" i="1"/>
  <c r="L2029" i="1" s="1"/>
  <c r="J2030" i="1"/>
  <c r="L2030" i="1" s="1"/>
  <c r="J2031" i="1"/>
  <c r="J2032" i="1"/>
  <c r="N2032" i="1" s="1"/>
  <c r="J2033" i="1"/>
  <c r="J2034" i="1"/>
  <c r="L2034" i="1" s="1"/>
  <c r="J2035" i="1"/>
  <c r="L2035" i="1" s="1"/>
  <c r="J2036" i="1"/>
  <c r="L2036" i="1" s="1"/>
  <c r="J2037" i="1"/>
  <c r="J2038" i="1"/>
  <c r="J2039" i="1"/>
  <c r="J2040" i="1"/>
  <c r="N2040" i="1" s="1"/>
  <c r="J2041" i="1"/>
  <c r="J2042" i="1"/>
  <c r="J2043" i="1"/>
  <c r="J2044" i="1"/>
  <c r="J2045" i="1"/>
  <c r="J2046" i="1"/>
  <c r="L2046" i="1" s="1"/>
  <c r="J2047" i="1"/>
  <c r="J2048" i="1"/>
  <c r="L2048" i="1" s="1"/>
  <c r="J2049" i="1"/>
  <c r="N2049" i="1" s="1"/>
  <c r="J2050" i="1"/>
  <c r="L2050" i="1" s="1"/>
  <c r="J2051" i="1"/>
  <c r="L2051" i="1" s="1"/>
  <c r="J2052" i="1"/>
  <c r="J2053" i="1"/>
  <c r="J2054" i="1"/>
  <c r="L2054" i="1" s="1"/>
  <c r="J2055" i="1"/>
  <c r="J2056" i="1"/>
  <c r="J2057" i="1"/>
  <c r="J2058" i="1"/>
  <c r="J2059" i="1"/>
  <c r="J2060" i="1"/>
  <c r="J2061" i="1"/>
  <c r="L2061" i="1" s="1"/>
  <c r="J2062" i="1"/>
  <c r="L2062" i="1" s="1"/>
  <c r="J2063" i="1"/>
  <c r="N2063" i="1" s="1"/>
  <c r="J2064" i="1"/>
  <c r="N2064" i="1" s="1"/>
  <c r="J2065" i="1"/>
  <c r="L2065" i="1" s="1"/>
  <c r="J2066" i="1"/>
  <c r="J2067" i="1"/>
  <c r="J2068" i="1"/>
  <c r="J2069" i="1"/>
  <c r="L2069" i="1" s="1"/>
  <c r="J2070" i="1"/>
  <c r="N2070" i="1" s="1"/>
  <c r="J2071" i="1"/>
  <c r="L2071" i="1" s="1"/>
  <c r="J2072" i="1"/>
  <c r="J2073" i="1"/>
  <c r="J2074" i="1"/>
  <c r="N2074" i="1" s="1"/>
  <c r="J2075" i="1"/>
  <c r="L2075" i="1" s="1"/>
  <c r="J2076" i="1"/>
  <c r="N2076" i="1" s="1"/>
  <c r="J2077" i="1"/>
  <c r="J2078" i="1"/>
  <c r="L2078" i="1" s="1"/>
  <c r="J2079" i="1"/>
  <c r="N2079" i="1" s="1"/>
  <c r="J2080" i="1"/>
  <c r="L2080" i="1" s="1"/>
  <c r="J2081" i="1"/>
  <c r="J2082" i="1"/>
  <c r="J2083" i="1"/>
  <c r="J2084" i="1"/>
  <c r="J2085" i="1"/>
  <c r="J2086" i="1"/>
  <c r="N2086" i="1" s="1"/>
  <c r="J2087" i="1"/>
  <c r="J2088" i="1"/>
  <c r="L2088" i="1" s="1"/>
  <c r="J2089" i="1"/>
  <c r="L2089" i="1" s="1"/>
  <c r="J2090" i="1"/>
  <c r="L2090" i="1" s="1"/>
  <c r="J2091" i="1"/>
  <c r="N2091" i="1" s="1"/>
  <c r="J2092" i="1"/>
  <c r="J2093" i="1"/>
  <c r="N2093" i="1" s="1"/>
  <c r="J2094" i="1"/>
  <c r="J2095" i="1"/>
  <c r="J2096" i="1"/>
  <c r="J2097" i="1"/>
  <c r="J2098" i="1"/>
  <c r="J2099" i="1"/>
  <c r="J2100" i="1"/>
  <c r="J2101" i="1"/>
  <c r="L2101" i="1" s="1"/>
  <c r="J2102" i="1"/>
  <c r="N2102" i="1" s="1"/>
  <c r="J2103" i="1"/>
  <c r="J2104" i="1"/>
  <c r="L2104" i="1" s="1"/>
  <c r="J2105" i="1"/>
  <c r="J2106" i="1"/>
  <c r="L2106" i="1" s="1"/>
  <c r="J2107" i="1"/>
  <c r="J2108" i="1"/>
  <c r="J2109" i="1"/>
  <c r="J2110" i="1"/>
  <c r="J2111" i="1"/>
  <c r="J2112" i="1"/>
  <c r="N2112" i="1" s="1"/>
  <c r="J2113" i="1"/>
  <c r="L2113" i="1" s="1"/>
  <c r="J2114" i="1"/>
  <c r="J2115" i="1"/>
  <c r="J2116" i="1"/>
  <c r="L2116" i="1" s="1"/>
  <c r="J2117" i="1"/>
  <c r="L2117" i="1" s="1"/>
  <c r="J2118" i="1"/>
  <c r="J2119" i="1"/>
  <c r="J2120" i="1"/>
  <c r="L2120" i="1" s="1"/>
  <c r="J2121" i="1"/>
  <c r="J2122" i="1"/>
  <c r="J2123" i="1"/>
  <c r="J2124" i="1"/>
  <c r="J2125" i="1"/>
  <c r="J2126" i="1"/>
  <c r="J2127" i="1"/>
  <c r="J2128" i="1"/>
  <c r="J2129" i="1"/>
  <c r="J2130" i="1"/>
  <c r="J2131" i="1"/>
  <c r="N2131" i="1" s="1"/>
  <c r="J2132" i="1"/>
  <c r="N2132" i="1" s="1"/>
  <c r="J2133" i="1"/>
  <c r="N2133" i="1" s="1"/>
  <c r="J2134" i="1"/>
  <c r="J2135" i="1"/>
  <c r="J2136" i="1"/>
  <c r="N2136" i="1" s="1"/>
  <c r="J2137" i="1"/>
  <c r="J2138" i="1"/>
  <c r="J2139" i="1"/>
  <c r="J2140" i="1"/>
  <c r="J2141" i="1"/>
  <c r="J2142" i="1"/>
  <c r="J2143" i="1"/>
  <c r="L2143" i="1" s="1"/>
  <c r="J2144" i="1"/>
  <c r="N2144" i="1" s="1"/>
  <c r="J2145" i="1"/>
  <c r="J2146" i="1"/>
  <c r="L2146" i="1" s="1"/>
  <c r="J2147" i="1"/>
  <c r="J2148" i="1"/>
  <c r="N2148" i="1" s="1"/>
  <c r="J2149" i="1"/>
  <c r="L2149" i="1" s="1"/>
  <c r="J2150" i="1"/>
  <c r="L2150" i="1" s="1"/>
  <c r="J2151" i="1"/>
  <c r="J2152" i="1"/>
  <c r="J2153" i="1"/>
  <c r="N2153" i="1" s="1"/>
  <c r="J2154" i="1"/>
  <c r="J2155" i="1"/>
  <c r="N2155" i="1" s="1"/>
  <c r="J2156" i="1"/>
  <c r="J2157" i="1"/>
  <c r="J2158" i="1"/>
  <c r="J2159" i="1"/>
  <c r="J2160" i="1"/>
  <c r="J2161" i="1"/>
  <c r="L2161" i="1" s="1"/>
  <c r="J2162" i="1"/>
  <c r="J2163" i="1"/>
  <c r="J2164" i="1"/>
  <c r="L2164" i="1" s="1"/>
  <c r="J2165" i="1"/>
  <c r="J2166" i="1"/>
  <c r="J2167" i="1"/>
  <c r="J2168" i="1"/>
  <c r="L2168" i="1" s="1"/>
  <c r="J2169" i="1"/>
  <c r="L2169" i="1" s="1"/>
  <c r="J2170" i="1"/>
  <c r="L2170" i="1" s="1"/>
  <c r="J2171" i="1"/>
  <c r="L2171" i="1" s="1"/>
  <c r="J2172" i="1"/>
  <c r="J2173" i="1"/>
  <c r="L2173" i="1" s="1"/>
  <c r="J2174" i="1"/>
  <c r="L2174" i="1" s="1"/>
  <c r="J2175" i="1"/>
  <c r="L2175" i="1" s="1"/>
  <c r="J2176" i="1"/>
  <c r="J2177" i="1"/>
  <c r="N2177" i="1" s="1"/>
  <c r="J2178" i="1"/>
  <c r="L2178" i="1" s="1"/>
  <c r="J2179" i="1"/>
  <c r="L2179" i="1" s="1"/>
  <c r="J2180" i="1"/>
  <c r="J2181" i="1"/>
  <c r="N2181" i="1" s="1"/>
  <c r="J2182" i="1"/>
  <c r="J2183" i="1"/>
  <c r="L2183" i="1" s="1"/>
  <c r="J2184" i="1"/>
  <c r="N2184" i="1" s="1"/>
  <c r="J2185" i="1"/>
  <c r="L2185" i="1" s="1"/>
  <c r="J2186" i="1"/>
  <c r="J2187" i="1"/>
  <c r="J2188" i="1"/>
  <c r="L2188" i="1" s="1"/>
  <c r="J2189" i="1"/>
  <c r="J2190" i="1"/>
  <c r="L2190" i="1" s="1"/>
  <c r="J2191" i="1"/>
  <c r="J2192" i="1"/>
  <c r="L2192" i="1" s="1"/>
  <c r="J2193" i="1"/>
  <c r="J2194" i="1"/>
  <c r="J2195" i="1"/>
  <c r="J2196" i="1"/>
  <c r="J2197" i="1"/>
  <c r="J2198" i="1"/>
  <c r="L2198" i="1" s="1"/>
  <c r="J2199" i="1"/>
  <c r="L2199" i="1" s="1"/>
  <c r="J2200" i="1"/>
  <c r="L2200" i="1" s="1"/>
  <c r="J2201" i="1"/>
  <c r="L2201" i="1" s="1"/>
  <c r="J2202" i="1"/>
  <c r="J2203" i="1"/>
  <c r="L2203" i="1" s="1"/>
  <c r="J2204" i="1"/>
  <c r="J2205" i="1"/>
  <c r="J2206" i="1"/>
  <c r="N2206" i="1" s="1"/>
  <c r="J2207" i="1"/>
  <c r="J2208" i="1"/>
  <c r="J2209" i="1"/>
  <c r="J2210" i="1"/>
  <c r="J2211" i="1"/>
  <c r="J2212" i="1"/>
  <c r="J2213" i="1"/>
  <c r="J2214" i="1"/>
  <c r="J2215" i="1"/>
  <c r="N2215" i="1" s="1"/>
  <c r="J2216" i="1"/>
  <c r="N2216" i="1" s="1"/>
  <c r="J2217" i="1"/>
  <c r="L2217" i="1" s="1"/>
  <c r="J2218" i="1"/>
  <c r="J2219" i="1"/>
  <c r="J2220" i="1"/>
  <c r="N2220" i="1" s="1"/>
  <c r="J2221" i="1"/>
  <c r="J2222" i="1"/>
  <c r="J2223" i="1"/>
  <c r="L2223" i="1" s="1"/>
  <c r="J2224" i="1"/>
  <c r="J2225" i="1"/>
  <c r="L2225" i="1" s="1"/>
  <c r="J2226" i="1"/>
  <c r="N2226" i="1" s="1"/>
  <c r="J2227" i="1"/>
  <c r="L2227" i="1" s="1"/>
  <c r="J2228" i="1"/>
  <c r="L2228" i="1" s="1"/>
  <c r="J2229" i="1"/>
  <c r="L2229" i="1" s="1"/>
  <c r="J2230" i="1"/>
  <c r="J2231" i="1"/>
  <c r="L2231" i="1" s="1"/>
  <c r="J2232" i="1"/>
  <c r="J2233" i="1"/>
  <c r="N2233" i="1" s="1"/>
  <c r="J2234" i="1"/>
  <c r="J2235" i="1"/>
  <c r="J2236" i="1"/>
  <c r="J2237" i="1"/>
  <c r="J2238" i="1"/>
  <c r="J2239" i="1"/>
  <c r="J2240" i="1"/>
  <c r="J2241" i="1"/>
  <c r="L2241" i="1" s="1"/>
  <c r="J2242" i="1"/>
  <c r="L2242" i="1" s="1"/>
  <c r="J2243" i="1"/>
  <c r="J2244" i="1"/>
  <c r="J2245" i="1"/>
  <c r="N2245" i="1" s="1"/>
  <c r="J2246" i="1"/>
  <c r="N2246" i="1" s="1"/>
  <c r="J2247" i="1"/>
  <c r="L2247" i="1" s="1"/>
  <c r="J2248" i="1"/>
  <c r="J2249" i="1"/>
  <c r="J2250" i="1"/>
  <c r="J2251" i="1"/>
  <c r="N2251" i="1" s="1"/>
  <c r="J2252" i="1"/>
  <c r="J2253" i="1"/>
  <c r="J2254" i="1"/>
  <c r="J2255" i="1"/>
  <c r="J2256" i="1"/>
  <c r="N2256" i="1" s="1"/>
  <c r="J2257" i="1"/>
  <c r="L2257" i="1" s="1"/>
  <c r="J2258" i="1"/>
  <c r="L2258" i="1" s="1"/>
  <c r="J2259" i="1"/>
  <c r="J2260" i="1"/>
  <c r="J2261" i="1"/>
  <c r="J2262" i="1"/>
  <c r="N2262" i="1" s="1"/>
  <c r="J2263" i="1"/>
  <c r="L2263" i="1" s="1"/>
  <c r="J2264" i="1"/>
  <c r="J2265" i="1"/>
  <c r="L2265" i="1" s="1"/>
  <c r="J2266" i="1"/>
  <c r="L2266" i="1" s="1"/>
  <c r="J2267" i="1"/>
  <c r="N2267" i="1" s="1"/>
  <c r="J2268" i="1"/>
  <c r="J2269" i="1"/>
  <c r="J2270" i="1"/>
  <c r="L2270" i="1" s="1"/>
  <c r="J2271" i="1"/>
  <c r="J2272" i="1"/>
  <c r="L2272" i="1" s="1"/>
  <c r="J2273" i="1"/>
  <c r="N2273" i="1" s="1"/>
  <c r="J2274" i="1"/>
  <c r="N2274" i="1" s="1"/>
  <c r="J2275" i="1"/>
  <c r="L2275" i="1" s="1"/>
  <c r="J2276" i="1"/>
  <c r="L2276" i="1" s="1"/>
  <c r="J2277" i="1"/>
  <c r="L2277" i="1" s="1"/>
  <c r="J2278" i="1"/>
  <c r="J2279" i="1"/>
  <c r="J2280" i="1"/>
  <c r="J2281" i="1"/>
  <c r="J2282" i="1"/>
  <c r="J2283" i="1"/>
  <c r="J2284" i="1"/>
  <c r="J2285" i="1"/>
  <c r="J2286" i="1"/>
  <c r="J2287" i="1"/>
  <c r="J2288" i="1"/>
  <c r="L2288" i="1" s="1"/>
  <c r="J2289" i="1"/>
  <c r="L2289" i="1" s="1"/>
  <c r="J2290" i="1"/>
  <c r="L2290" i="1" s="1"/>
  <c r="J2291" i="1"/>
  <c r="J2292" i="1"/>
  <c r="J2293" i="1"/>
  <c r="J2294" i="1"/>
  <c r="J2295" i="1"/>
  <c r="L2295" i="1" s="1"/>
  <c r="J2296" i="1"/>
  <c r="J2297" i="1"/>
  <c r="J2298" i="1"/>
  <c r="L2298" i="1" s="1"/>
  <c r="J2299" i="1"/>
  <c r="J2300" i="1"/>
  <c r="N2300" i="1" s="1"/>
  <c r="J2301" i="1"/>
  <c r="N2301" i="1" s="1"/>
  <c r="J2302" i="1"/>
  <c r="J2303" i="1"/>
  <c r="N2303" i="1" s="1"/>
  <c r="J2304" i="1"/>
  <c r="L2304" i="1" s="1"/>
  <c r="J2305" i="1"/>
  <c r="J2306" i="1"/>
  <c r="J2307" i="1"/>
  <c r="J2308" i="1"/>
  <c r="J2309" i="1"/>
  <c r="L2309" i="1" s="1"/>
  <c r="J2310" i="1"/>
  <c r="J2311" i="1"/>
  <c r="L2311" i="1" s="1"/>
  <c r="J2312" i="1"/>
  <c r="J2313" i="1"/>
  <c r="J2314" i="1"/>
  <c r="L2314" i="1" s="1"/>
  <c r="J2315" i="1"/>
  <c r="L2315" i="1" s="1"/>
  <c r="J2316" i="1"/>
  <c r="J2317" i="1"/>
  <c r="L2317" i="1" s="1"/>
  <c r="J2318" i="1"/>
  <c r="J2319" i="1"/>
  <c r="L2319" i="1" s="1"/>
  <c r="J2320" i="1"/>
  <c r="J2321" i="1"/>
  <c r="J2322" i="1"/>
  <c r="L2322" i="1" s="1"/>
  <c r="J2323" i="1"/>
  <c r="J2324" i="1"/>
  <c r="N2324" i="1" s="1"/>
  <c r="J2325" i="1"/>
  <c r="J2326" i="1"/>
  <c r="J2327" i="1"/>
  <c r="J2328" i="1"/>
  <c r="L2328" i="1" s="1"/>
  <c r="J2329" i="1"/>
  <c r="J2330" i="1"/>
  <c r="J2331" i="1"/>
  <c r="J2332" i="1"/>
  <c r="J2333" i="1"/>
  <c r="J2334" i="1"/>
  <c r="J2335" i="1"/>
  <c r="J2336" i="1"/>
  <c r="J2337" i="1"/>
  <c r="L2337" i="1" s="1"/>
  <c r="J2338" i="1"/>
  <c r="J2339" i="1"/>
  <c r="J2340" i="1"/>
  <c r="J2341" i="1"/>
  <c r="N2341" i="1" s="1"/>
  <c r="J2342" i="1"/>
  <c r="N2342" i="1" s="1"/>
  <c r="J2343" i="1"/>
  <c r="L2343" i="1" s="1"/>
  <c r="J2344" i="1"/>
  <c r="J2345" i="1"/>
  <c r="N2345" i="1" s="1"/>
  <c r="J2346" i="1"/>
  <c r="J2347" i="1"/>
  <c r="J2348" i="1"/>
  <c r="J2349" i="1"/>
  <c r="L2349" i="1" s="1"/>
  <c r="J2350" i="1"/>
  <c r="J2351" i="1"/>
  <c r="J2352" i="1"/>
  <c r="L2352" i="1" s="1"/>
  <c r="J2353" i="1"/>
  <c r="N2353" i="1" s="1"/>
  <c r="J2354" i="1"/>
  <c r="J2355" i="1"/>
  <c r="N2355" i="1" s="1"/>
  <c r="J2356" i="1"/>
  <c r="J2357" i="1"/>
  <c r="J2358" i="1"/>
  <c r="J2359" i="1"/>
  <c r="J2360" i="1"/>
  <c r="L2360" i="1" s="1"/>
  <c r="J2361" i="1"/>
  <c r="J2362" i="1"/>
  <c r="L2362" i="1" s="1"/>
  <c r="J2363" i="1"/>
  <c r="L2363" i="1" s="1"/>
  <c r="J2364" i="1"/>
  <c r="J2365" i="1"/>
  <c r="J2366" i="1"/>
  <c r="L2366" i="1" s="1"/>
  <c r="J2367" i="1"/>
  <c r="L2367" i="1" s="1"/>
  <c r="J2368" i="1"/>
  <c r="J2369" i="1"/>
  <c r="L2369" i="1" s="1"/>
  <c r="J2370" i="1"/>
  <c r="J2371" i="1"/>
  <c r="J2372" i="1"/>
  <c r="J2373" i="1"/>
  <c r="N2373" i="1" s="1"/>
  <c r="J2374" i="1"/>
  <c r="J2375" i="1"/>
  <c r="L2375" i="1" s="1"/>
  <c r="J2376" i="1"/>
  <c r="J2377" i="1"/>
  <c r="N2377" i="1" s="1"/>
  <c r="J2378" i="1"/>
  <c r="J2379" i="1"/>
  <c r="J2380" i="1"/>
  <c r="J2381" i="1"/>
  <c r="N2381" i="1" s="1"/>
  <c r="J2382" i="1"/>
  <c r="L2382" i="1" s="1"/>
  <c r="J2383" i="1"/>
  <c r="J2384" i="1"/>
  <c r="L2384" i="1" s="1"/>
  <c r="J2385" i="1"/>
  <c r="N2385" i="1" s="1"/>
  <c r="J2386" i="1"/>
  <c r="J2387" i="1"/>
  <c r="L2387" i="1" s="1"/>
  <c r="J2388" i="1"/>
  <c r="J2389" i="1"/>
  <c r="J2390" i="1"/>
  <c r="J2391" i="1"/>
  <c r="N2391" i="1" s="1"/>
  <c r="J2392" i="1"/>
  <c r="J2393" i="1"/>
  <c r="N2393" i="1" s="1"/>
  <c r="J2394" i="1"/>
  <c r="J2395" i="1"/>
  <c r="J2396" i="1"/>
  <c r="L2396" i="1" s="1"/>
  <c r="J2397" i="1"/>
  <c r="L2397" i="1" s="1"/>
  <c r="J2398" i="1"/>
  <c r="J2399" i="1"/>
  <c r="J2400" i="1"/>
  <c r="J2401" i="1"/>
  <c r="N2401" i="1" s="1"/>
  <c r="J2402" i="1"/>
  <c r="J2403" i="1"/>
  <c r="J2404" i="1"/>
  <c r="J2405" i="1"/>
  <c r="N2405" i="1" s="1"/>
  <c r="J2406" i="1"/>
  <c r="J2407" i="1"/>
  <c r="J2408" i="1"/>
  <c r="N2408" i="1" s="1"/>
  <c r="J2409" i="1"/>
  <c r="L2409" i="1" s="1"/>
  <c r="J2410" i="1"/>
  <c r="N2410" i="1" s="1"/>
  <c r="J2411" i="1"/>
  <c r="L2411" i="1" s="1"/>
  <c r="J2412" i="1"/>
  <c r="N2412" i="1" s="1"/>
  <c r="J2413" i="1"/>
  <c r="J2414" i="1"/>
  <c r="J2415" i="1"/>
  <c r="J2416" i="1"/>
  <c r="L2416" i="1" s="1"/>
  <c r="J2417" i="1"/>
  <c r="J2418" i="1"/>
  <c r="J2419" i="1"/>
  <c r="L2419" i="1" s="1"/>
  <c r="J2420" i="1"/>
  <c r="J2421" i="1"/>
  <c r="J2422" i="1"/>
  <c r="J2423" i="1"/>
  <c r="J2424" i="1"/>
  <c r="N2424" i="1" s="1"/>
  <c r="J2425" i="1"/>
  <c r="L2425" i="1" s="1"/>
  <c r="J2426" i="1"/>
  <c r="L2426" i="1" s="1"/>
  <c r="J2427" i="1"/>
  <c r="J2428" i="1"/>
  <c r="L2428" i="1" s="1"/>
  <c r="J2429" i="1"/>
  <c r="L2429" i="1" s="1"/>
  <c r="J2430" i="1"/>
  <c r="J2431" i="1"/>
  <c r="N2431" i="1" s="1"/>
  <c r="J2432" i="1"/>
  <c r="L2432" i="1" s="1"/>
  <c r="J2433" i="1"/>
  <c r="J2434" i="1"/>
  <c r="N2434" i="1" s="1"/>
  <c r="J2435" i="1"/>
  <c r="J2436" i="1"/>
  <c r="L2436" i="1" s="1"/>
  <c r="J2437" i="1"/>
  <c r="J2438" i="1"/>
  <c r="L2438" i="1" s="1"/>
  <c r="J2439" i="1"/>
  <c r="L2439" i="1" s="1"/>
  <c r="J2440" i="1"/>
  <c r="J2441" i="1"/>
  <c r="J2442" i="1"/>
  <c r="N2442" i="1" s="1"/>
  <c r="J2443" i="1"/>
  <c r="J2444" i="1"/>
  <c r="J2445" i="1"/>
  <c r="L2445" i="1" s="1"/>
  <c r="J2446" i="1"/>
  <c r="J2447" i="1"/>
  <c r="N2447" i="1" s="1"/>
  <c r="J2448" i="1"/>
  <c r="J2449" i="1"/>
  <c r="J2450" i="1"/>
  <c r="L2450" i="1" s="1"/>
  <c r="J2451" i="1"/>
  <c r="J2452" i="1"/>
  <c r="N2452" i="1" s="1"/>
  <c r="J2453" i="1"/>
  <c r="J2454" i="1"/>
  <c r="N2454" i="1" s="1"/>
  <c r="J2455" i="1"/>
  <c r="L2455" i="1" s="1"/>
  <c r="J2456" i="1"/>
  <c r="N2456" i="1" s="1"/>
  <c r="J2457" i="1"/>
  <c r="J2458" i="1"/>
  <c r="N2458" i="1" s="1"/>
  <c r="J2459" i="1"/>
  <c r="J2460" i="1"/>
  <c r="J2461" i="1"/>
  <c r="J2462" i="1"/>
  <c r="L2462" i="1" s="1"/>
  <c r="J2463" i="1"/>
  <c r="J2464" i="1"/>
  <c r="J2465" i="1"/>
  <c r="L2465" i="1" s="1"/>
  <c r="J2466" i="1"/>
  <c r="J2467" i="1"/>
  <c r="L2467" i="1" s="1"/>
  <c r="J2468" i="1"/>
  <c r="J2469" i="1"/>
  <c r="L2469" i="1" s="1"/>
  <c r="J2470" i="1"/>
  <c r="J2471" i="1"/>
  <c r="L2471" i="1" s="1"/>
  <c r="J2472" i="1"/>
  <c r="J2473" i="1"/>
  <c r="J2474" i="1"/>
  <c r="J2475" i="1"/>
  <c r="J2476" i="1"/>
  <c r="L2476" i="1" s="1"/>
  <c r="J2477" i="1"/>
  <c r="L2477" i="1" s="1"/>
  <c r="J2478" i="1"/>
  <c r="L2478" i="1" s="1"/>
  <c r="J2479" i="1"/>
  <c r="L2479" i="1" s="1"/>
  <c r="J2480" i="1"/>
  <c r="N2480" i="1" s="1"/>
  <c r="J2481" i="1"/>
  <c r="N2481" i="1" s="1"/>
  <c r="J2482" i="1"/>
  <c r="N2482" i="1" s="1"/>
  <c r="J2483" i="1"/>
  <c r="L2483" i="1" s="1"/>
  <c r="J2484" i="1"/>
  <c r="L2484" i="1" s="1"/>
  <c r="J2485" i="1"/>
  <c r="L2485" i="1" s="1"/>
  <c r="J2486" i="1"/>
  <c r="J2487" i="1"/>
  <c r="J2488" i="1"/>
  <c r="J2489" i="1"/>
  <c r="J2490" i="1"/>
  <c r="J2491" i="1"/>
  <c r="J2492" i="1"/>
  <c r="N2492" i="1" s="1"/>
  <c r="J2493" i="1"/>
  <c r="J2494" i="1"/>
  <c r="J2495" i="1"/>
  <c r="L2495" i="1" s="1"/>
  <c r="J2496" i="1"/>
  <c r="L2496" i="1" s="1"/>
  <c r="J2497" i="1"/>
  <c r="J2498" i="1"/>
  <c r="J2499" i="1"/>
  <c r="J2500" i="1"/>
  <c r="N2500" i="1" s="1"/>
  <c r="J2501" i="1"/>
  <c r="N2501" i="1" s="1"/>
  <c r="J2502" i="1"/>
  <c r="J2503" i="1"/>
  <c r="J2504" i="1"/>
  <c r="N2504" i="1" s="1"/>
  <c r="J2505" i="1"/>
  <c r="J2506" i="1"/>
  <c r="J2507" i="1"/>
  <c r="J2508" i="1"/>
  <c r="L2508" i="1" s="1"/>
  <c r="J2509" i="1"/>
  <c r="J2510" i="1"/>
  <c r="L2510" i="1" s="1"/>
  <c r="J2511" i="1"/>
  <c r="L2511" i="1" s="1"/>
  <c r="J2512" i="1"/>
  <c r="N2512" i="1" s="1"/>
  <c r="J2513" i="1"/>
  <c r="L2513" i="1" s="1"/>
  <c r="J2514" i="1"/>
  <c r="N2514" i="1" s="1"/>
  <c r="J2515" i="1"/>
  <c r="J2516" i="1"/>
  <c r="L2516" i="1" s="1"/>
  <c r="J2517" i="1"/>
  <c r="L2517" i="1" s="1"/>
  <c r="J2518" i="1"/>
  <c r="J2519" i="1"/>
  <c r="L2519" i="1" s="1"/>
  <c r="J2520" i="1"/>
  <c r="J2521" i="1"/>
  <c r="N2521" i="1" s="1"/>
  <c r="J2522" i="1"/>
  <c r="N2522" i="1" s="1"/>
  <c r="J2523" i="1"/>
  <c r="N2523" i="1" s="1"/>
  <c r="J2524" i="1"/>
  <c r="L2524" i="1" s="1"/>
  <c r="J2525" i="1"/>
  <c r="J2526" i="1"/>
  <c r="J2527" i="1"/>
  <c r="J2528" i="1"/>
  <c r="L2528" i="1" s="1"/>
  <c r="J2529" i="1"/>
  <c r="J2530" i="1"/>
  <c r="J2531" i="1"/>
  <c r="J2532" i="1"/>
  <c r="J2533" i="1"/>
  <c r="J2534" i="1"/>
  <c r="L2534" i="1" s="1"/>
  <c r="J2535" i="1"/>
  <c r="J2536" i="1"/>
  <c r="N2536" i="1" s="1"/>
  <c r="J2537" i="1"/>
  <c r="L2537" i="1" s="1"/>
  <c r="J2538" i="1"/>
  <c r="L2538" i="1" s="1"/>
  <c r="J2539" i="1"/>
  <c r="N2539" i="1" s="1"/>
  <c r="J2540" i="1"/>
  <c r="J2541" i="1"/>
  <c r="J2542" i="1"/>
  <c r="J2543" i="1"/>
  <c r="J2544" i="1"/>
  <c r="J2545" i="1"/>
  <c r="J2546" i="1"/>
  <c r="N2546" i="1" s="1"/>
  <c r="J2547" i="1"/>
  <c r="J2548" i="1"/>
  <c r="L2548" i="1" s="1"/>
  <c r="J2549" i="1"/>
  <c r="L2549" i="1" s="1"/>
  <c r="J2550" i="1"/>
  <c r="J2551" i="1"/>
  <c r="J2552" i="1"/>
  <c r="J2553" i="1"/>
  <c r="N2553" i="1" s="1"/>
  <c r="J2554" i="1"/>
  <c r="J2555" i="1"/>
  <c r="N2555" i="1" s="1"/>
  <c r="J2556" i="1"/>
  <c r="L2556" i="1" s="1"/>
  <c r="J2557" i="1"/>
  <c r="J2558" i="1"/>
  <c r="J2559" i="1"/>
  <c r="J2560" i="1"/>
  <c r="L2560" i="1" s="1"/>
  <c r="J2561" i="1"/>
  <c r="J2562" i="1"/>
  <c r="J2563" i="1"/>
  <c r="J2564" i="1"/>
  <c r="L2564" i="1" s="1"/>
  <c r="J2565" i="1"/>
  <c r="L2565" i="1" s="1"/>
  <c r="J2566" i="1"/>
  <c r="N2566" i="1" s="1"/>
  <c r="J2567" i="1"/>
  <c r="L2567" i="1" s="1"/>
  <c r="J2568" i="1"/>
  <c r="L2568" i="1" s="1"/>
  <c r="J2569" i="1"/>
  <c r="N2569" i="1" s="1"/>
  <c r="J2570" i="1"/>
  <c r="N2570" i="1" s="1"/>
  <c r="J2571" i="1"/>
  <c r="J2572" i="1"/>
  <c r="J2573" i="1"/>
  <c r="J2574" i="1"/>
  <c r="J2575" i="1"/>
  <c r="N2575" i="1" s="1"/>
  <c r="J2576" i="1"/>
  <c r="J2577" i="1"/>
  <c r="L2577" i="1" s="1"/>
  <c r="J2578" i="1"/>
  <c r="N2578" i="1" s="1"/>
  <c r="J2579" i="1"/>
  <c r="N2579" i="1" s="1"/>
  <c r="J2580" i="1"/>
  <c r="L2580" i="1" s="1"/>
  <c r="J2581" i="1"/>
  <c r="L2581" i="1" s="1"/>
  <c r="J2582" i="1"/>
  <c r="J2583" i="1"/>
  <c r="J2584" i="1"/>
  <c r="J2585" i="1"/>
  <c r="J2586" i="1"/>
  <c r="L2586" i="1" s="1"/>
  <c r="J2587" i="1"/>
  <c r="J2588" i="1"/>
  <c r="J2589" i="1"/>
  <c r="L2589" i="1" s="1"/>
  <c r="J2590" i="1"/>
  <c r="J2591" i="1"/>
  <c r="J2592" i="1"/>
  <c r="J2593" i="1"/>
  <c r="J2594" i="1"/>
  <c r="L2594" i="1" s="1"/>
  <c r="J2595" i="1"/>
  <c r="L2595" i="1" s="1"/>
  <c r="J2596" i="1"/>
  <c r="J2597" i="1"/>
  <c r="L2597" i="1" s="1"/>
  <c r="J2598" i="1"/>
  <c r="L2598" i="1" s="1"/>
  <c r="J2599" i="1"/>
  <c r="J2600" i="1"/>
  <c r="J2601" i="1"/>
  <c r="J2602" i="1"/>
  <c r="L2602" i="1" s="1"/>
  <c r="J2603" i="1"/>
  <c r="J2604" i="1"/>
  <c r="L2604" i="1" s="1"/>
  <c r="J2605" i="1"/>
  <c r="J2606" i="1"/>
  <c r="N2606" i="1" s="1"/>
  <c r="J2607" i="1"/>
  <c r="N2607" i="1" s="1"/>
  <c r="J2608" i="1"/>
  <c r="N2608" i="1" s="1"/>
  <c r="J2609" i="1"/>
  <c r="N2609" i="1" s="1"/>
  <c r="J2610" i="1"/>
  <c r="J2611" i="1"/>
  <c r="N2611" i="1" s="1"/>
  <c r="J2612" i="1"/>
  <c r="J2613" i="1"/>
  <c r="J2614" i="1"/>
  <c r="J2615" i="1"/>
  <c r="L2615" i="1" s="1"/>
  <c r="J2616" i="1"/>
  <c r="J2617" i="1"/>
  <c r="N2617" i="1" s="1"/>
  <c r="J2618" i="1"/>
  <c r="J2619" i="1"/>
  <c r="J2620" i="1"/>
  <c r="L2620" i="1" s="1"/>
  <c r="J2621" i="1"/>
  <c r="N2621" i="1" s="1"/>
  <c r="J2622" i="1"/>
  <c r="L2622" i="1" s="1"/>
  <c r="J2623" i="1"/>
  <c r="L2623" i="1" s="1"/>
  <c r="J2624" i="1"/>
  <c r="J2625" i="1"/>
  <c r="N2625" i="1" s="1"/>
  <c r="J2626" i="1"/>
  <c r="J2627" i="1"/>
  <c r="J2628" i="1"/>
  <c r="J2629" i="1"/>
  <c r="J2630" i="1"/>
  <c r="J2631" i="1"/>
  <c r="L2631" i="1" s="1"/>
  <c r="J2632" i="1"/>
  <c r="J2633" i="1"/>
  <c r="N2633" i="1" s="1"/>
  <c r="J2634" i="1"/>
  <c r="J2635" i="1"/>
  <c r="N2635" i="1" s="1"/>
  <c r="J2636" i="1"/>
  <c r="L2636" i="1" s="1"/>
  <c r="J2637" i="1"/>
  <c r="L2637" i="1" s="1"/>
  <c r="J2638" i="1"/>
  <c r="J2639" i="1"/>
  <c r="L2639" i="1" s="1"/>
  <c r="J2640" i="1"/>
  <c r="N2640" i="1" s="1"/>
  <c r="J2641" i="1"/>
  <c r="J2642" i="1"/>
  <c r="L2642" i="1" s="1"/>
  <c r="J2643" i="1"/>
  <c r="J2644" i="1"/>
  <c r="L2644" i="1" s="1"/>
  <c r="J2645" i="1"/>
  <c r="L2645" i="1" s="1"/>
  <c r="J2646" i="1"/>
  <c r="J2647" i="1"/>
  <c r="J2648" i="1"/>
  <c r="N2648" i="1" s="1"/>
  <c r="J2649" i="1"/>
  <c r="J2650" i="1"/>
  <c r="L2650" i="1" s="1"/>
  <c r="J2651" i="1"/>
  <c r="J2652" i="1"/>
  <c r="N2652" i="1" s="1"/>
  <c r="J2653" i="1"/>
  <c r="J2654" i="1"/>
  <c r="M1" i="1"/>
  <c r="K1" i="1"/>
  <c r="Z5" i="1" l="1"/>
  <c r="Z4" i="1"/>
  <c r="N1503" i="1"/>
  <c r="N1223" i="1"/>
  <c r="W2" i="1"/>
  <c r="L907" i="1"/>
  <c r="L2323" i="1"/>
  <c r="L2093" i="1"/>
  <c r="L1405" i="1"/>
  <c r="L2133" i="1"/>
  <c r="L999" i="1"/>
  <c r="N1825" i="1"/>
  <c r="L2553" i="1"/>
  <c r="N1041" i="1"/>
  <c r="L636" i="1"/>
  <c r="L2385" i="1"/>
  <c r="L1083" i="1"/>
  <c r="L1475" i="1"/>
  <c r="L2273" i="1"/>
  <c r="L1321" i="1"/>
  <c r="N2455" i="1"/>
  <c r="L1279" i="1"/>
  <c r="L1671" i="1"/>
  <c r="N2175" i="1"/>
  <c r="L2076" i="1"/>
  <c r="N678" i="1"/>
  <c r="L1293" i="1"/>
  <c r="N1516" i="1"/>
  <c r="L1839" i="1"/>
  <c r="N1839" i="1"/>
  <c r="N1531" i="1"/>
  <c r="N1265" i="1"/>
  <c r="N1979" i="1"/>
  <c r="N1447" i="1"/>
  <c r="L1447" i="1"/>
  <c r="L1769" i="1"/>
  <c r="N1181" i="1"/>
  <c r="L705" i="1"/>
  <c r="N1391" i="1"/>
  <c r="N803" i="1"/>
  <c r="N2484" i="1"/>
  <c r="L2091" i="1"/>
  <c r="N1657" i="1"/>
  <c r="N2469" i="1"/>
  <c r="L2049" i="1"/>
  <c r="N354" i="1"/>
  <c r="L971" i="1"/>
  <c r="N1461" i="1"/>
  <c r="N1390" i="1"/>
  <c r="L1545" i="1"/>
  <c r="N1517" i="1"/>
  <c r="N1811" i="1"/>
  <c r="N1069" i="1"/>
  <c r="L1699" i="1"/>
  <c r="L1937" i="1"/>
  <c r="L1867" i="1"/>
  <c r="N1055" i="1"/>
  <c r="L1027" i="1"/>
  <c r="N620" i="1"/>
  <c r="L620" i="1"/>
  <c r="N1195" i="1"/>
  <c r="L1195" i="1"/>
  <c r="L1951" i="1"/>
  <c r="N1951" i="1"/>
  <c r="N1965" i="1"/>
  <c r="L1965" i="1"/>
  <c r="N1993" i="1"/>
  <c r="L1993" i="1"/>
  <c r="N2119" i="1"/>
  <c r="L2119" i="1"/>
  <c r="L2189" i="1"/>
  <c r="N2189" i="1"/>
  <c r="L2371" i="1"/>
  <c r="N2371" i="1"/>
  <c r="N2413" i="1"/>
  <c r="L2413" i="1"/>
  <c r="N2483" i="1"/>
  <c r="N2637" i="1"/>
  <c r="N1419" i="1"/>
  <c r="L1741" i="1"/>
  <c r="N1377" i="1"/>
  <c r="N1251" i="1"/>
  <c r="L1518" i="1"/>
  <c r="N1518" i="1"/>
  <c r="L2063" i="1"/>
  <c r="N425" i="1"/>
  <c r="L103" i="1"/>
  <c r="L117" i="1"/>
  <c r="L2625" i="1"/>
  <c r="N1336" i="1"/>
  <c r="L761" i="1"/>
  <c r="N411" i="1"/>
  <c r="L649" i="1"/>
  <c r="N649" i="1"/>
  <c r="N201" i="1"/>
  <c r="N523" i="1"/>
  <c r="N159" i="1"/>
  <c r="N5" i="1"/>
  <c r="L244" i="1"/>
  <c r="L243" i="1"/>
  <c r="N243" i="1"/>
  <c r="L313" i="1"/>
  <c r="N313" i="1"/>
  <c r="L509" i="1"/>
  <c r="N509" i="1"/>
  <c r="L635" i="1"/>
  <c r="N635" i="1"/>
  <c r="L775" i="1"/>
  <c r="N775" i="1"/>
  <c r="L873" i="1"/>
  <c r="N1742" i="1"/>
  <c r="L1742" i="1"/>
  <c r="N397" i="1"/>
  <c r="L845" i="1"/>
  <c r="L2079" i="1"/>
  <c r="L355" i="1"/>
  <c r="L19" i="1"/>
  <c r="N607" i="1"/>
  <c r="L467" i="1"/>
  <c r="N789" i="1"/>
  <c r="L1784" i="1"/>
  <c r="N257" i="1"/>
  <c r="L173" i="1"/>
  <c r="L1868" i="1"/>
  <c r="L747" i="1"/>
  <c r="L2500" i="1"/>
  <c r="N439" i="1"/>
  <c r="L439" i="1"/>
  <c r="N621" i="1"/>
  <c r="L621" i="1"/>
  <c r="L663" i="1"/>
  <c r="N663" i="1"/>
  <c r="L719" i="1"/>
  <c r="N719" i="1"/>
  <c r="L817" i="1"/>
  <c r="N817" i="1"/>
  <c r="L61" i="1"/>
  <c r="N343" i="1"/>
  <c r="L343" i="1"/>
  <c r="L2415" i="1"/>
  <c r="N2415" i="1"/>
  <c r="N1042" i="1"/>
  <c r="N593" i="1"/>
  <c r="L1870" i="1"/>
  <c r="N1700" i="1"/>
  <c r="N1210" i="1"/>
  <c r="N2078" i="1"/>
  <c r="N75" i="1"/>
  <c r="J1" i="1"/>
  <c r="N2581" i="1"/>
  <c r="L1167" i="1"/>
  <c r="N2595" i="1"/>
  <c r="N4" i="1"/>
  <c r="N3" i="1"/>
  <c r="L245" i="1"/>
  <c r="L341" i="1"/>
  <c r="N2428" i="1"/>
  <c r="L522" i="1"/>
  <c r="L2401" i="1"/>
  <c r="L2626" i="1"/>
  <c r="N2626" i="1"/>
  <c r="L1730" i="1"/>
  <c r="N1730" i="1"/>
  <c r="N1688" i="1"/>
  <c r="L1688" i="1"/>
  <c r="N78" i="1"/>
  <c r="L78" i="1"/>
  <c r="L2583" i="1"/>
  <c r="N2583" i="1"/>
  <c r="L2191" i="1"/>
  <c r="N2191" i="1"/>
  <c r="N2121" i="1"/>
  <c r="L2121" i="1"/>
  <c r="L1715" i="1"/>
  <c r="N1715" i="1"/>
  <c r="L1617" i="1"/>
  <c r="N1617" i="1"/>
  <c r="L1519" i="1"/>
  <c r="N1519" i="1"/>
  <c r="L1239" i="1"/>
  <c r="N1239" i="1"/>
  <c r="N903" i="1"/>
  <c r="L903" i="1"/>
  <c r="N889" i="1"/>
  <c r="L889" i="1"/>
  <c r="N595" i="1"/>
  <c r="L595" i="1"/>
  <c r="L553" i="1"/>
  <c r="N553" i="1"/>
  <c r="L427" i="1"/>
  <c r="N427" i="1"/>
  <c r="L385" i="1"/>
  <c r="N385" i="1"/>
  <c r="N287" i="1"/>
  <c r="L287" i="1"/>
  <c r="N105" i="1"/>
  <c r="L105" i="1"/>
  <c r="L91" i="1"/>
  <c r="N91" i="1"/>
  <c r="N2163" i="1"/>
  <c r="L2163" i="1"/>
  <c r="L2108" i="1"/>
  <c r="N2108" i="1"/>
  <c r="N1856" i="1"/>
  <c r="L1856" i="1"/>
  <c r="L2359" i="1"/>
  <c r="N2359" i="1"/>
  <c r="N2653" i="1"/>
  <c r="L2653" i="1"/>
  <c r="L2541" i="1"/>
  <c r="N2541" i="1"/>
  <c r="N2219" i="1"/>
  <c r="L2219" i="1"/>
  <c r="N2205" i="1"/>
  <c r="L2205" i="1"/>
  <c r="L2107" i="1"/>
  <c r="N2107" i="1"/>
  <c r="N1911" i="1"/>
  <c r="L1911" i="1"/>
  <c r="L1561" i="1"/>
  <c r="L92" i="1"/>
  <c r="N106" i="1"/>
  <c r="L1000" i="1"/>
  <c r="L494" i="1"/>
  <c r="N1726" i="1"/>
  <c r="N1852" i="1"/>
  <c r="N956" i="1"/>
  <c r="L676" i="1"/>
  <c r="L270" i="1"/>
  <c r="N298" i="1"/>
  <c r="L1348" i="1"/>
  <c r="L1072" i="1"/>
  <c r="N581" i="1"/>
  <c r="L2611" i="1"/>
  <c r="N1505" i="1"/>
  <c r="N693" i="1"/>
  <c r="L693" i="1"/>
  <c r="L1322" i="1"/>
  <c r="N1322" i="1"/>
  <c r="L1057" i="1"/>
  <c r="L2555" i="1"/>
  <c r="N2485" i="1"/>
  <c r="N1015" i="1"/>
  <c r="L1182" i="1"/>
  <c r="L232" i="1"/>
  <c r="N232" i="1"/>
  <c r="N2499" i="1"/>
  <c r="L2499" i="1"/>
  <c r="N2261" i="1"/>
  <c r="L2261" i="1"/>
  <c r="N2135" i="1"/>
  <c r="L2135" i="1"/>
  <c r="N2149" i="1"/>
  <c r="N2429" i="1"/>
  <c r="N36" i="1"/>
  <c r="N2597" i="1"/>
  <c r="L1324" i="1"/>
  <c r="L2245" i="1"/>
  <c r="L242" i="1"/>
  <c r="L2202" i="1"/>
  <c r="N2202" i="1"/>
  <c r="N2286" i="1"/>
  <c r="L2286" i="1"/>
  <c r="N424" i="1"/>
  <c r="N872" i="1"/>
  <c r="L872" i="1"/>
  <c r="L1474" i="1"/>
  <c r="N1474" i="1"/>
  <c r="L1670" i="1"/>
  <c r="N1670" i="1"/>
  <c r="N47" i="1"/>
  <c r="L551" i="1"/>
  <c r="L172" i="1"/>
  <c r="N732" i="1"/>
  <c r="L1376" i="1"/>
  <c r="N1824" i="1"/>
  <c r="L1992" i="1"/>
  <c r="L648" i="1"/>
  <c r="N18" i="1"/>
  <c r="L18" i="1"/>
  <c r="N886" i="1"/>
  <c r="L886" i="1"/>
  <c r="L942" i="1"/>
  <c r="N942" i="1"/>
  <c r="L1194" i="1"/>
  <c r="N1194" i="1"/>
  <c r="N1418" i="1"/>
  <c r="L1418" i="1"/>
  <c r="N1446" i="1"/>
  <c r="L1446" i="1"/>
  <c r="L2160" i="1"/>
  <c r="N2160" i="1"/>
  <c r="L2356" i="1"/>
  <c r="N2356" i="1"/>
  <c r="L2370" i="1"/>
  <c r="N2370" i="1"/>
  <c r="L2468" i="1"/>
  <c r="N2468" i="1"/>
  <c r="N2552" i="1"/>
  <c r="L2552" i="1"/>
  <c r="N2384" i="1"/>
  <c r="N1642" i="1"/>
  <c r="L1838" i="1"/>
  <c r="L788" i="1"/>
  <c r="N788" i="1"/>
  <c r="N1110" i="1"/>
  <c r="L1600" i="1"/>
  <c r="N1600" i="1"/>
  <c r="L1964" i="1"/>
  <c r="N1964" i="1"/>
  <c r="N32" i="1"/>
  <c r="L32" i="1"/>
  <c r="N1264" i="1"/>
  <c r="N970" i="1"/>
  <c r="N1950" i="1"/>
  <c r="N2203" i="1"/>
  <c r="N2511" i="1"/>
  <c r="L187" i="1"/>
  <c r="L2301" i="1"/>
  <c r="N383" i="1"/>
  <c r="L2609" i="1"/>
  <c r="N327" i="1"/>
  <c r="N1139" i="1"/>
  <c r="N1881" i="1"/>
  <c r="L229" i="1"/>
  <c r="N831" i="1"/>
  <c r="N1601" i="1"/>
  <c r="L1559" i="1"/>
  <c r="L565" i="1"/>
  <c r="L957" i="1"/>
  <c r="L943" i="1"/>
  <c r="N370" i="1"/>
  <c r="L370" i="1"/>
  <c r="N510" i="1"/>
  <c r="L510" i="1"/>
  <c r="N664" i="1"/>
  <c r="L664" i="1"/>
  <c r="L692" i="1"/>
  <c r="L1602" i="1"/>
  <c r="L1882" i="1"/>
  <c r="N76" i="1"/>
  <c r="N483" i="1"/>
  <c r="N1952" i="1"/>
  <c r="N440" i="1"/>
  <c r="L1224" i="1"/>
  <c r="N77" i="1"/>
  <c r="N1028" i="1"/>
  <c r="N1616" i="1"/>
  <c r="N1896" i="1"/>
  <c r="L1869" i="1"/>
  <c r="L147" i="1"/>
  <c r="N749" i="1"/>
  <c r="N1938" i="1"/>
  <c r="N426" i="1"/>
  <c r="L329" i="1"/>
  <c r="L1729" i="1"/>
  <c r="L1477" i="1"/>
  <c r="N1196" i="1"/>
  <c r="N791" i="1"/>
  <c r="N1070" i="1"/>
  <c r="N1435" i="1"/>
  <c r="N1701" i="1"/>
  <c r="N524" i="1"/>
  <c r="L1225" i="1"/>
  <c r="L1771" i="1"/>
  <c r="N2120" i="1"/>
  <c r="N538" i="1"/>
  <c r="N2288" i="1"/>
  <c r="N2568" i="1"/>
  <c r="L7" i="1"/>
  <c r="L2274" i="1"/>
  <c r="L1770" i="1"/>
  <c r="N636" i="1"/>
  <c r="L21" i="1"/>
  <c r="L888" i="1"/>
  <c r="L1267" i="1"/>
  <c r="L2512" i="1"/>
  <c r="N1897" i="1"/>
  <c r="L2456" i="1"/>
  <c r="L1155" i="1"/>
  <c r="N202" i="1"/>
  <c r="N860" i="1"/>
  <c r="N1168" i="1"/>
  <c r="N1462" i="1"/>
  <c r="L1281" i="1"/>
  <c r="L1743" i="1"/>
  <c r="N1366" i="1"/>
  <c r="L133" i="1"/>
  <c r="N20" i="1"/>
  <c r="L20" i="1"/>
  <c r="N90" i="1"/>
  <c r="L90" i="1"/>
  <c r="N482" i="1"/>
  <c r="L482" i="1"/>
  <c r="N594" i="1"/>
  <c r="L594" i="1"/>
  <c r="L790" i="1"/>
  <c r="N790" i="1"/>
  <c r="L1252" i="1"/>
  <c r="N1252" i="1"/>
  <c r="L1308" i="1"/>
  <c r="N1308" i="1"/>
  <c r="L1350" i="1"/>
  <c r="N1350" i="1"/>
  <c r="L1378" i="1"/>
  <c r="N1378" i="1"/>
  <c r="L1392" i="1"/>
  <c r="N1392" i="1"/>
  <c r="N1420" i="1"/>
  <c r="L1420" i="1"/>
  <c r="N1448" i="1"/>
  <c r="L1448" i="1"/>
  <c r="L1574" i="1"/>
  <c r="N1574" i="1"/>
  <c r="L1672" i="1"/>
  <c r="N1672" i="1"/>
  <c r="L1756" i="1"/>
  <c r="N1756" i="1"/>
  <c r="N1798" i="1"/>
  <c r="L1798" i="1"/>
  <c r="L1966" i="1"/>
  <c r="N1966" i="1"/>
  <c r="L6" i="1"/>
  <c r="N6" i="1"/>
  <c r="L174" i="1"/>
  <c r="N174" i="1"/>
  <c r="L188" i="1"/>
  <c r="N188" i="1"/>
  <c r="N286" i="1"/>
  <c r="L286" i="1"/>
  <c r="N314" i="1"/>
  <c r="L314" i="1"/>
  <c r="N454" i="1"/>
  <c r="L454" i="1"/>
  <c r="N552" i="1"/>
  <c r="L552" i="1"/>
  <c r="N580" i="1"/>
  <c r="L580" i="1"/>
  <c r="L650" i="1"/>
  <c r="N650" i="1"/>
  <c r="L720" i="1"/>
  <c r="N720" i="1"/>
  <c r="L734" i="1"/>
  <c r="N734" i="1"/>
  <c r="N776" i="1"/>
  <c r="L776" i="1"/>
  <c r="L804" i="1"/>
  <c r="N804" i="1"/>
  <c r="N818" i="1"/>
  <c r="L818" i="1"/>
  <c r="N832" i="1"/>
  <c r="L832" i="1"/>
  <c r="L846" i="1"/>
  <c r="N846" i="1"/>
  <c r="L874" i="1"/>
  <c r="N874" i="1"/>
  <c r="L902" i="1"/>
  <c r="N902" i="1"/>
  <c r="L916" i="1"/>
  <c r="N916" i="1"/>
  <c r="L930" i="1"/>
  <c r="N930" i="1"/>
  <c r="L944" i="1"/>
  <c r="N944" i="1"/>
  <c r="L1014" i="1"/>
  <c r="N1014" i="1"/>
  <c r="N1084" i="1"/>
  <c r="L1084" i="1"/>
  <c r="N1112" i="1"/>
  <c r="L1112" i="1"/>
  <c r="L1126" i="1"/>
  <c r="N1126" i="1"/>
  <c r="L1140" i="1"/>
  <c r="N1140" i="1"/>
  <c r="L1294" i="1"/>
  <c r="N1294" i="1"/>
  <c r="N1504" i="1"/>
  <c r="L1504" i="1"/>
  <c r="N1560" i="1"/>
  <c r="L1560" i="1"/>
  <c r="L1630" i="1"/>
  <c r="N1630" i="1"/>
  <c r="L1658" i="1"/>
  <c r="N1658" i="1"/>
  <c r="N1812" i="1"/>
  <c r="L1812" i="1"/>
  <c r="L1826" i="1"/>
  <c r="N1826" i="1"/>
  <c r="N1840" i="1"/>
  <c r="L1840" i="1"/>
  <c r="L1854" i="1"/>
  <c r="N1854" i="1"/>
  <c r="L1994" i="1"/>
  <c r="N1994" i="1"/>
  <c r="L2008" i="1"/>
  <c r="N2008" i="1"/>
  <c r="L2022" i="1"/>
  <c r="N2022" i="1"/>
  <c r="L2176" i="1"/>
  <c r="N2176" i="1"/>
  <c r="L2204" i="1"/>
  <c r="N2204" i="1"/>
  <c r="N2218" i="1"/>
  <c r="L2218" i="1"/>
  <c r="L2232" i="1"/>
  <c r="N2232" i="1"/>
  <c r="N2260" i="1"/>
  <c r="L2260" i="1"/>
  <c r="N2302" i="1"/>
  <c r="L2302" i="1"/>
  <c r="L2316" i="1"/>
  <c r="N2316" i="1"/>
  <c r="L2330" i="1"/>
  <c r="N2330" i="1"/>
  <c r="L2344" i="1"/>
  <c r="N2344" i="1"/>
  <c r="L2358" i="1"/>
  <c r="N2358" i="1"/>
  <c r="N2372" i="1"/>
  <c r="L2372" i="1"/>
  <c r="L2386" i="1"/>
  <c r="N2386" i="1"/>
  <c r="L2400" i="1"/>
  <c r="N2400" i="1"/>
  <c r="L2414" i="1"/>
  <c r="N2414" i="1"/>
  <c r="N2470" i="1"/>
  <c r="L2470" i="1"/>
  <c r="N2526" i="1"/>
  <c r="L2526" i="1"/>
  <c r="N2540" i="1"/>
  <c r="L2540" i="1"/>
  <c r="N2582" i="1"/>
  <c r="L2582" i="1"/>
  <c r="L2596" i="1"/>
  <c r="N2596" i="1"/>
  <c r="L2624" i="1"/>
  <c r="N2624" i="1"/>
  <c r="N2638" i="1"/>
  <c r="L2638" i="1"/>
  <c r="L622" i="1"/>
  <c r="L2148" i="1"/>
  <c r="L63" i="1"/>
  <c r="N63" i="1"/>
  <c r="N189" i="1"/>
  <c r="L189" i="1"/>
  <c r="L217" i="1"/>
  <c r="N217" i="1"/>
  <c r="N231" i="1"/>
  <c r="L231" i="1"/>
  <c r="N273" i="1"/>
  <c r="L273" i="1"/>
  <c r="N315" i="1"/>
  <c r="L315" i="1"/>
  <c r="L357" i="1"/>
  <c r="N357" i="1"/>
  <c r="L371" i="1"/>
  <c r="N371" i="1"/>
  <c r="L441" i="1"/>
  <c r="N441" i="1"/>
  <c r="N455" i="1"/>
  <c r="L455" i="1"/>
  <c r="N469" i="1"/>
  <c r="L469" i="1"/>
  <c r="N511" i="1"/>
  <c r="L511" i="1"/>
  <c r="N525" i="1"/>
  <c r="L525" i="1"/>
  <c r="L539" i="1"/>
  <c r="N539" i="1"/>
  <c r="L567" i="1"/>
  <c r="N567" i="1"/>
  <c r="L623" i="1"/>
  <c r="N623" i="1"/>
  <c r="L665" i="1"/>
  <c r="N665" i="1"/>
  <c r="N679" i="1"/>
  <c r="L679" i="1"/>
  <c r="L777" i="1"/>
  <c r="N777" i="1"/>
  <c r="N819" i="1"/>
  <c r="L819" i="1"/>
  <c r="N847" i="1"/>
  <c r="L847" i="1"/>
  <c r="L875" i="1"/>
  <c r="N875" i="1"/>
  <c r="N917" i="1"/>
  <c r="L917" i="1"/>
  <c r="N931" i="1"/>
  <c r="L931" i="1"/>
  <c r="L945" i="1"/>
  <c r="N945" i="1"/>
  <c r="L1029" i="1"/>
  <c r="N1029" i="1"/>
  <c r="N1071" i="1"/>
  <c r="L1071" i="1"/>
  <c r="N1085" i="1"/>
  <c r="L1085" i="1"/>
  <c r="N1099" i="1"/>
  <c r="L1099" i="1"/>
  <c r="N1113" i="1"/>
  <c r="L1113" i="1"/>
  <c r="L1141" i="1"/>
  <c r="N1141" i="1"/>
  <c r="L1169" i="1"/>
  <c r="N1169" i="1"/>
  <c r="L1197" i="1"/>
  <c r="N1197" i="1"/>
  <c r="N1211" i="1"/>
  <c r="L1211" i="1"/>
  <c r="N1253" i="1"/>
  <c r="L1253" i="1"/>
  <c r="N1309" i="1"/>
  <c r="L1309" i="1"/>
  <c r="L1323" i="1"/>
  <c r="N1323" i="1"/>
  <c r="L1365" i="1"/>
  <c r="N1365" i="1"/>
  <c r="L1393" i="1"/>
  <c r="N1393" i="1"/>
  <c r="L1407" i="1"/>
  <c r="N1407" i="1"/>
  <c r="L1421" i="1"/>
  <c r="N1421" i="1"/>
  <c r="N1533" i="1"/>
  <c r="L1533" i="1"/>
  <c r="L1575" i="1"/>
  <c r="N1575" i="1"/>
  <c r="N1589" i="1"/>
  <c r="L1589" i="1"/>
  <c r="N1631" i="1"/>
  <c r="L1631" i="1"/>
  <c r="L1659" i="1"/>
  <c r="N1659" i="1"/>
  <c r="L1673" i="1"/>
  <c r="N1673" i="1"/>
  <c r="L1785" i="1"/>
  <c r="N1785" i="1"/>
  <c r="L1799" i="1"/>
  <c r="N1799" i="1"/>
  <c r="L1813" i="1"/>
  <c r="N1813" i="1"/>
  <c r="N1827" i="1"/>
  <c r="L1827" i="1"/>
  <c r="N1855" i="1"/>
  <c r="L1855" i="1"/>
  <c r="L1925" i="1"/>
  <c r="N1925" i="1"/>
  <c r="N1953" i="1"/>
  <c r="L1953" i="1"/>
  <c r="N1967" i="1"/>
  <c r="L1967" i="1"/>
  <c r="L2023" i="1"/>
  <c r="N2023" i="1"/>
  <c r="L2037" i="1"/>
  <c r="N2037" i="1"/>
  <c r="N49" i="1"/>
  <c r="N1532" i="1"/>
  <c r="L637" i="1"/>
  <c r="L707" i="1"/>
  <c r="L1588" i="1"/>
  <c r="L384" i="1"/>
  <c r="N398" i="1"/>
  <c r="N50" i="1"/>
  <c r="L50" i="1"/>
  <c r="L134" i="1"/>
  <c r="N134" i="1"/>
  <c r="L148" i="1"/>
  <c r="N148" i="1"/>
  <c r="N246" i="1"/>
  <c r="L246" i="1"/>
  <c r="L260" i="1"/>
  <c r="N260" i="1"/>
  <c r="L428" i="1"/>
  <c r="N428" i="1"/>
  <c r="N442" i="1"/>
  <c r="L442" i="1"/>
  <c r="L568" i="1"/>
  <c r="N568" i="1"/>
  <c r="L596" i="1"/>
  <c r="N596" i="1"/>
  <c r="L638" i="1"/>
  <c r="N638" i="1"/>
  <c r="L666" i="1"/>
  <c r="N666" i="1"/>
  <c r="N778" i="1"/>
  <c r="L778" i="1"/>
  <c r="N820" i="1"/>
  <c r="L820" i="1"/>
  <c r="N862" i="1"/>
  <c r="L862" i="1"/>
  <c r="L974" i="1"/>
  <c r="N974" i="1"/>
  <c r="L1100" i="1"/>
  <c r="N1100" i="1"/>
  <c r="N1254" i="1"/>
  <c r="L1254" i="1"/>
  <c r="N1352" i="1"/>
  <c r="L1352" i="1"/>
  <c r="L1464" i="1"/>
  <c r="N1464" i="1"/>
  <c r="L1506" i="1"/>
  <c r="N1506" i="1"/>
  <c r="N1632" i="1"/>
  <c r="L1632" i="1"/>
  <c r="N2052" i="1"/>
  <c r="L2052" i="1"/>
  <c r="N2094" i="1"/>
  <c r="L2094" i="1"/>
  <c r="L2234" i="1"/>
  <c r="N2234" i="1"/>
  <c r="N2388" i="1"/>
  <c r="L2388" i="1"/>
  <c r="L2542" i="1"/>
  <c r="N2542" i="1"/>
  <c r="L2584" i="1"/>
  <c r="N2584" i="1"/>
  <c r="N900" i="1"/>
  <c r="L900" i="1"/>
  <c r="N2457" i="1"/>
  <c r="L2457" i="1"/>
  <c r="N1521" i="1"/>
  <c r="L2137" i="1"/>
  <c r="L2613" i="1"/>
  <c r="N2543" i="1"/>
  <c r="L1269" i="1"/>
  <c r="N1213" i="1"/>
  <c r="N1451" i="1"/>
  <c r="L1605" i="1"/>
  <c r="N1619" i="1"/>
  <c r="L1689" i="1"/>
  <c r="N1913" i="1"/>
  <c r="L1773" i="1"/>
  <c r="L1843" i="1"/>
  <c r="L1885" i="1"/>
  <c r="L1199" i="1"/>
  <c r="N1745" i="1"/>
  <c r="N2221" i="1"/>
  <c r="L2252" i="1"/>
  <c r="N1399" i="1"/>
  <c r="L1805" i="1"/>
  <c r="N1861" i="1"/>
  <c r="L1929" i="1"/>
  <c r="L1720" i="1"/>
  <c r="L1567" i="1"/>
  <c r="L670" i="1"/>
  <c r="N1333" i="1"/>
  <c r="N1585" i="1"/>
  <c r="L2451" i="1"/>
  <c r="N1530" i="1"/>
  <c r="L1530" i="1"/>
  <c r="N62" i="1"/>
  <c r="L34" i="1"/>
  <c r="L746" i="1"/>
  <c r="N452" i="1"/>
  <c r="N1056" i="1"/>
  <c r="L1056" i="1"/>
  <c r="N74" i="1"/>
  <c r="L2482" i="1"/>
  <c r="L200" i="1"/>
  <c r="N1894" i="1"/>
  <c r="L88" i="1"/>
  <c r="L272" i="1"/>
  <c r="N1012" i="1"/>
  <c r="N326" i="1"/>
  <c r="N816" i="1"/>
  <c r="N2104" i="1"/>
  <c r="L2216" i="1"/>
  <c r="L1068" i="1"/>
  <c r="L116" i="1"/>
  <c r="N1096" i="1"/>
  <c r="N312" i="1"/>
  <c r="N2006" i="1"/>
  <c r="N662" i="1"/>
  <c r="L2342" i="1"/>
  <c r="N1698" i="1"/>
  <c r="N1810" i="1"/>
  <c r="N1768" i="1"/>
  <c r="L1782" i="1"/>
  <c r="N2622" i="1"/>
  <c r="N858" i="1"/>
  <c r="N2594" i="1"/>
  <c r="L2132" i="1"/>
  <c r="N2174" i="1"/>
  <c r="L2608" i="1"/>
  <c r="L2300" i="1"/>
  <c r="N438" i="1"/>
  <c r="L1502" i="1"/>
  <c r="N2510" i="1"/>
  <c r="L984" i="1"/>
  <c r="N1586" i="1"/>
  <c r="L2412" i="1"/>
  <c r="N1908" i="1"/>
  <c r="L60" i="1"/>
  <c r="N456" i="1"/>
  <c r="N1198" i="1"/>
  <c r="L1380" i="1"/>
  <c r="L2220" i="1"/>
  <c r="L610" i="1"/>
  <c r="L2640" i="1"/>
  <c r="N1646" i="1"/>
  <c r="N1968" i="1"/>
  <c r="N2513" i="1"/>
  <c r="N2024" i="1"/>
  <c r="N848" i="1"/>
  <c r="N1061" i="1"/>
  <c r="L1061" i="1"/>
  <c r="N344" i="1"/>
  <c r="N2639" i="1"/>
  <c r="L2514" i="1"/>
  <c r="L1142" i="1"/>
  <c r="N1422" i="1"/>
  <c r="N652" i="1"/>
  <c r="L1226" i="1"/>
  <c r="L1996" i="1"/>
  <c r="L1912" i="1"/>
  <c r="L988" i="1"/>
  <c r="L2654" i="1"/>
  <c r="N2654" i="1"/>
  <c r="N2444" i="1"/>
  <c r="L2444" i="1"/>
  <c r="L2374" i="1"/>
  <c r="N2374" i="1"/>
  <c r="L1520" i="1"/>
  <c r="N1520" i="1"/>
  <c r="L1184" i="1"/>
  <c r="N1184" i="1"/>
  <c r="L1016" i="1"/>
  <c r="N1016" i="1"/>
  <c r="N834" i="1"/>
  <c r="L834" i="1"/>
  <c r="N540" i="1"/>
  <c r="L540" i="1"/>
  <c r="L414" i="1"/>
  <c r="N414" i="1"/>
  <c r="L386" i="1"/>
  <c r="N386" i="1"/>
  <c r="N288" i="1"/>
  <c r="L288" i="1"/>
  <c r="N190" i="1"/>
  <c r="L190" i="1"/>
  <c r="N680" i="1"/>
  <c r="L1436" i="1"/>
  <c r="N1240" i="1"/>
  <c r="N2178" i="1"/>
  <c r="N1898" i="1"/>
  <c r="L2136" i="1"/>
  <c r="L932" i="1"/>
  <c r="L983" i="1"/>
  <c r="L2430" i="1"/>
  <c r="N2430" i="1"/>
  <c r="L2332" i="1"/>
  <c r="N2332" i="1"/>
  <c r="L2318" i="1"/>
  <c r="N2318" i="1"/>
  <c r="L2248" i="1"/>
  <c r="N2248" i="1"/>
  <c r="N1772" i="1"/>
  <c r="L1772" i="1"/>
  <c r="L1716" i="1"/>
  <c r="N1716" i="1"/>
  <c r="N1576" i="1"/>
  <c r="L1576" i="1"/>
  <c r="L1562" i="1"/>
  <c r="N1562" i="1"/>
  <c r="N1478" i="1"/>
  <c r="L1478" i="1"/>
  <c r="N1394" i="1"/>
  <c r="L1394" i="1"/>
  <c r="L1170" i="1"/>
  <c r="N1170" i="1"/>
  <c r="N1030" i="1"/>
  <c r="L1030" i="1"/>
  <c r="L890" i="1"/>
  <c r="N890" i="1"/>
  <c r="L792" i="1"/>
  <c r="N792" i="1"/>
  <c r="N498" i="1"/>
  <c r="L498" i="1"/>
  <c r="L358" i="1"/>
  <c r="N358" i="1"/>
  <c r="N176" i="1"/>
  <c r="L176" i="1"/>
  <c r="N120" i="1"/>
  <c r="L120" i="1"/>
  <c r="N2290" i="1"/>
  <c r="L918" i="1"/>
  <c r="L1758" i="1"/>
  <c r="N960" i="1"/>
  <c r="N1156" i="1"/>
  <c r="N1296" i="1"/>
  <c r="L512" i="1"/>
  <c r="L2569" i="1"/>
  <c r="N708" i="1"/>
  <c r="N1926" i="1"/>
  <c r="N22" i="1"/>
  <c r="N1814" i="1"/>
  <c r="N2556" i="1"/>
  <c r="N470" i="1"/>
  <c r="N160" i="1"/>
  <c r="N258" i="1"/>
  <c r="N497" i="1"/>
  <c r="N1295" i="1"/>
  <c r="N1406" i="1"/>
  <c r="N2106" i="1"/>
  <c r="N496" i="1"/>
  <c r="N1434" i="1"/>
  <c r="N2050" i="1"/>
  <c r="L104" i="1"/>
  <c r="L230" i="1"/>
  <c r="L356" i="1"/>
  <c r="L805" i="1"/>
  <c r="L1686" i="1"/>
  <c r="L2373" i="1"/>
  <c r="N2275" i="1"/>
  <c r="L301" i="1"/>
  <c r="N1098" i="1"/>
  <c r="N1644" i="1"/>
  <c r="N35" i="1"/>
  <c r="N175" i="1"/>
  <c r="N763" i="1"/>
  <c r="N2036" i="1"/>
  <c r="N2247" i="1"/>
  <c r="L1183" i="1"/>
  <c r="L1280" i="1"/>
  <c r="L2064" i="1"/>
  <c r="L2246" i="1"/>
  <c r="L2442" i="1"/>
  <c r="L2345" i="1"/>
  <c r="N762" i="1"/>
  <c r="L651" i="1"/>
  <c r="N651" i="1"/>
  <c r="L119" i="1"/>
  <c r="N119" i="1"/>
  <c r="L413" i="1"/>
  <c r="L609" i="1"/>
  <c r="L2233" i="1"/>
  <c r="N2610" i="1"/>
  <c r="L2610" i="1"/>
  <c r="N118" i="1"/>
  <c r="N1463" i="1"/>
  <c r="N1546" i="1"/>
  <c r="N1841" i="1"/>
  <c r="N1757" i="1"/>
  <c r="L735" i="1"/>
  <c r="L833" i="1"/>
  <c r="L973" i="1"/>
  <c r="L1603" i="1"/>
  <c r="L2652" i="1"/>
  <c r="N1491" i="1"/>
  <c r="N259" i="1"/>
  <c r="N1266" i="1"/>
  <c r="N2331" i="1"/>
  <c r="L2331" i="1"/>
  <c r="N1001" i="1"/>
  <c r="L1001" i="1"/>
  <c r="L1924" i="1"/>
  <c r="N1924" i="1"/>
  <c r="N468" i="1"/>
  <c r="L468" i="1"/>
  <c r="N132" i="1"/>
  <c r="N1154" i="1"/>
  <c r="N1364" i="1"/>
  <c r="N2387" i="1"/>
  <c r="L1379" i="1"/>
  <c r="L1910" i="1"/>
  <c r="L1745" i="1"/>
  <c r="N1605" i="1"/>
  <c r="N369" i="1"/>
  <c r="N1209" i="1"/>
  <c r="N2231" i="1"/>
  <c r="N1040" i="1"/>
  <c r="N1404" i="1"/>
  <c r="L1013" i="1"/>
  <c r="L1306" i="1"/>
  <c r="L1656" i="1"/>
  <c r="L1866" i="1"/>
  <c r="L2539" i="1"/>
  <c r="L130" i="1"/>
  <c r="N340" i="1"/>
  <c r="L1320" i="1"/>
  <c r="L1467" i="1"/>
  <c r="L368" i="1"/>
  <c r="N368" i="1"/>
  <c r="L1236" i="1"/>
  <c r="N1236" i="1"/>
  <c r="L1628" i="1"/>
  <c r="N1628" i="1"/>
  <c r="L1922" i="1"/>
  <c r="N1922" i="1"/>
  <c r="L2118" i="1"/>
  <c r="N2118" i="1"/>
  <c r="N2230" i="1"/>
  <c r="L2230" i="1"/>
  <c r="N1166" i="1"/>
  <c r="L733" i="1"/>
  <c r="N733" i="1"/>
  <c r="L915" i="1"/>
  <c r="N915" i="1"/>
  <c r="L1097" i="1"/>
  <c r="N1097" i="1"/>
  <c r="L1349" i="1"/>
  <c r="N1349" i="1"/>
  <c r="N1587" i="1"/>
  <c r="L1587" i="1"/>
  <c r="N1713" i="1"/>
  <c r="L1713" i="1"/>
  <c r="L1797" i="1"/>
  <c r="N1797" i="1"/>
  <c r="N1853" i="1"/>
  <c r="L1853" i="1"/>
  <c r="N2147" i="1"/>
  <c r="L2147" i="1"/>
  <c r="N2329" i="1"/>
  <c r="L2329" i="1"/>
  <c r="N2427" i="1"/>
  <c r="L2427" i="1"/>
  <c r="N396" i="1"/>
  <c r="L396" i="1"/>
  <c r="N1082" i="1"/>
  <c r="L1082" i="1"/>
  <c r="L914" i="1"/>
  <c r="L285" i="1"/>
  <c r="N285" i="1"/>
  <c r="L1727" i="1"/>
  <c r="N1727" i="1"/>
  <c r="N1026" i="1"/>
  <c r="N2034" i="1"/>
  <c r="L300" i="1"/>
  <c r="N300" i="1"/>
  <c r="N328" i="1"/>
  <c r="L328" i="1"/>
  <c r="N342" i="1"/>
  <c r="L342" i="1"/>
  <c r="L412" i="1"/>
  <c r="N412" i="1"/>
  <c r="L566" i="1"/>
  <c r="N566" i="1"/>
  <c r="L608" i="1"/>
  <c r="N608" i="1"/>
  <c r="N706" i="1"/>
  <c r="L706" i="1"/>
  <c r="L748" i="1"/>
  <c r="N748" i="1"/>
  <c r="L958" i="1"/>
  <c r="N958" i="1"/>
  <c r="L972" i="1"/>
  <c r="N972" i="1"/>
  <c r="L986" i="1"/>
  <c r="N986" i="1"/>
  <c r="N144" i="1"/>
  <c r="L144" i="1"/>
  <c r="N550" i="1"/>
  <c r="L550" i="1"/>
  <c r="L704" i="1"/>
  <c r="N704" i="1"/>
  <c r="N774" i="1"/>
  <c r="L774" i="1"/>
  <c r="N382" i="1"/>
  <c r="N1124" i="1"/>
  <c r="N592" i="1"/>
  <c r="L1054" i="1"/>
  <c r="N2314" i="1"/>
  <c r="L1619" i="1"/>
  <c r="L2377" i="1"/>
  <c r="L46" i="1"/>
  <c r="N46" i="1"/>
  <c r="N564" i="1"/>
  <c r="L564" i="1"/>
  <c r="N718" i="1"/>
  <c r="L718" i="1"/>
  <c r="L844" i="1"/>
  <c r="N844" i="1"/>
  <c r="L928" i="1"/>
  <c r="N928" i="1"/>
  <c r="L1250" i="1"/>
  <c r="N1250" i="1"/>
  <c r="N1362" i="1"/>
  <c r="L1362" i="1"/>
  <c r="N1558" i="1"/>
  <c r="L1558" i="1"/>
  <c r="N1936" i="1"/>
  <c r="L1936" i="1"/>
  <c r="L2244" i="1"/>
  <c r="N2244" i="1"/>
  <c r="L2398" i="1"/>
  <c r="N2398" i="1"/>
  <c r="L2440" i="1"/>
  <c r="N2440" i="1"/>
  <c r="N480" i="1"/>
  <c r="N1572" i="1"/>
  <c r="N2328" i="1"/>
  <c r="N2636" i="1"/>
  <c r="N228" i="1"/>
  <c r="N690" i="1"/>
  <c r="L495" i="1"/>
  <c r="N495" i="1"/>
  <c r="N887" i="1"/>
  <c r="L887" i="1"/>
  <c r="L901" i="1"/>
  <c r="N901" i="1"/>
  <c r="L985" i="1"/>
  <c r="N985" i="1"/>
  <c r="L1111" i="1"/>
  <c r="N1111" i="1"/>
  <c r="N89" i="1"/>
  <c r="N145" i="1"/>
  <c r="N481" i="1"/>
  <c r="N691" i="1"/>
  <c r="N929" i="1"/>
  <c r="N1222" i="1"/>
  <c r="N1573" i="1"/>
  <c r="N1909" i="1"/>
  <c r="N1125" i="1"/>
  <c r="L1334" i="1"/>
  <c r="N2343" i="1"/>
  <c r="L299" i="1"/>
  <c r="N146" i="1"/>
  <c r="N215" i="1"/>
  <c r="N1237" i="1"/>
  <c r="N1433" i="1"/>
  <c r="N2020" i="1"/>
  <c r="N453" i="1"/>
  <c r="N1138" i="1"/>
  <c r="N2524" i="1"/>
  <c r="L48" i="1"/>
  <c r="L158" i="1"/>
  <c r="L1335" i="1"/>
  <c r="L2566" i="1"/>
  <c r="N2315" i="1"/>
  <c r="N1615" i="1"/>
  <c r="N216" i="1"/>
  <c r="N830" i="1"/>
  <c r="N1238" i="1"/>
  <c r="N1685" i="1"/>
  <c r="N2021" i="1"/>
  <c r="N2567" i="1"/>
  <c r="L579" i="1"/>
  <c r="L1796" i="1"/>
  <c r="N2007" i="1"/>
  <c r="L1173" i="1"/>
  <c r="L537" i="1"/>
  <c r="N1544" i="1"/>
  <c r="N2048" i="1"/>
  <c r="L1476" i="1"/>
  <c r="N1476" i="1"/>
  <c r="L2092" i="1"/>
  <c r="N2092" i="1"/>
  <c r="N2134" i="1"/>
  <c r="L2134" i="1"/>
  <c r="N2162" i="1"/>
  <c r="L2162" i="1"/>
  <c r="L2498" i="1"/>
  <c r="N2498" i="1"/>
  <c r="L2554" i="1"/>
  <c r="N2554" i="1"/>
  <c r="N1490" i="1"/>
  <c r="N1728" i="1"/>
  <c r="N2190" i="1"/>
  <c r="N1980" i="1"/>
  <c r="L1714" i="1"/>
  <c r="N1703" i="1"/>
  <c r="L1703" i="1"/>
  <c r="L2627" i="1"/>
  <c r="N2627" i="1"/>
  <c r="N1257" i="1"/>
  <c r="L1257" i="1"/>
  <c r="L1887" i="1"/>
  <c r="N1887" i="1"/>
  <c r="L1439" i="1"/>
  <c r="N2319" i="1"/>
  <c r="L1943" i="1"/>
  <c r="L1913" i="1"/>
  <c r="N2445" i="1"/>
  <c r="N1460" i="1"/>
  <c r="N1754" i="1"/>
  <c r="N2090" i="1"/>
  <c r="N2146" i="1"/>
  <c r="N2258" i="1"/>
  <c r="N186" i="1"/>
  <c r="N760" i="1"/>
  <c r="L256" i="1"/>
  <c r="L578" i="1"/>
  <c r="L634" i="1"/>
  <c r="L802" i="1"/>
  <c r="L1978" i="1"/>
  <c r="L2454" i="1"/>
  <c r="L2181" i="1"/>
  <c r="N410" i="1"/>
  <c r="N508" i="1"/>
  <c r="N1712" i="1"/>
  <c r="N1880" i="1"/>
  <c r="N2426" i="1"/>
  <c r="N2580" i="1"/>
  <c r="N2650" i="1"/>
  <c r="N1292" i="1"/>
  <c r="N2062" i="1"/>
  <c r="L102" i="1"/>
  <c r="L214" i="1"/>
  <c r="L536" i="1"/>
  <c r="L1152" i="1"/>
  <c r="L1208" i="1"/>
  <c r="N284" i="1"/>
  <c r="N1614" i="1"/>
  <c r="N2538" i="1"/>
  <c r="N2188" i="1"/>
  <c r="L1488" i="1"/>
  <c r="L1740" i="1"/>
  <c r="N1278" i="1"/>
  <c r="N1684" i="1"/>
  <c r="N1180" i="1"/>
  <c r="N2496" i="1"/>
  <c r="L606" i="1"/>
  <c r="L998" i="1"/>
  <c r="L1432" i="1"/>
  <c r="N466" i="1"/>
  <c r="N2272" i="1"/>
  <c r="L2453" i="1"/>
  <c r="N2453" i="1"/>
  <c r="L2072" i="1"/>
  <c r="N2072" i="1"/>
  <c r="N1974" i="1"/>
  <c r="L1974" i="1"/>
  <c r="N1599" i="1"/>
  <c r="L1599" i="1"/>
  <c r="N1039" i="1"/>
  <c r="L1039" i="1"/>
  <c r="L633" i="1"/>
  <c r="N633" i="1"/>
  <c r="N787" i="1"/>
  <c r="N1472" i="1"/>
  <c r="L1472" i="1"/>
  <c r="L1430" i="1"/>
  <c r="N1430" i="1"/>
  <c r="L1318" i="1"/>
  <c r="N1318" i="1"/>
  <c r="L1052" i="1"/>
  <c r="N1052" i="1"/>
  <c r="L912" i="1"/>
  <c r="N912" i="1"/>
  <c r="N324" i="1"/>
  <c r="L324" i="1"/>
  <c r="L114" i="1"/>
  <c r="N114" i="1"/>
  <c r="N2269" i="1"/>
  <c r="L2269" i="1"/>
  <c r="N1569" i="1"/>
  <c r="L1569" i="1"/>
  <c r="L142" i="1"/>
  <c r="N2254" i="1"/>
  <c r="L2254" i="1"/>
  <c r="N2425" i="1"/>
  <c r="L1122" i="1"/>
  <c r="N2116" i="1"/>
  <c r="N167" i="1"/>
  <c r="L167" i="1"/>
  <c r="N2366" i="1"/>
  <c r="N1473" i="1"/>
  <c r="L1080" i="1"/>
  <c r="N505" i="1"/>
  <c r="N2046" i="1"/>
  <c r="L841" i="1"/>
  <c r="N911" i="1"/>
  <c r="L814" i="1"/>
  <c r="L2285" i="1"/>
  <c r="N2285" i="1"/>
  <c r="L1487" i="1"/>
  <c r="N1487" i="1"/>
  <c r="L2115" i="1"/>
  <c r="N2115" i="1"/>
  <c r="N1934" i="1"/>
  <c r="N867" i="1"/>
  <c r="L1590" i="1"/>
  <c r="L1495" i="1"/>
  <c r="L750" i="1"/>
  <c r="N1677" i="1"/>
  <c r="N2363" i="1"/>
  <c r="L1873" i="1"/>
  <c r="N1873" i="1"/>
  <c r="L1607" i="1"/>
  <c r="N1607" i="1"/>
  <c r="L291" i="1"/>
  <c r="N291" i="1"/>
  <c r="N711" i="1"/>
  <c r="N1719" i="1"/>
  <c r="N1775" i="1"/>
  <c r="L2612" i="1"/>
  <c r="N2612" i="1"/>
  <c r="L2472" i="1"/>
  <c r="N2472" i="1"/>
  <c r="N2402" i="1"/>
  <c r="L2402" i="1"/>
  <c r="N2346" i="1"/>
  <c r="L2346" i="1"/>
  <c r="N2122" i="1"/>
  <c r="L2122" i="1"/>
  <c r="L2066" i="1"/>
  <c r="N2066" i="1"/>
  <c r="N2038" i="1"/>
  <c r="L2038" i="1"/>
  <c r="L1954" i="1"/>
  <c r="N1954" i="1"/>
  <c r="L1884" i="1"/>
  <c r="N1884" i="1"/>
  <c r="L1800" i="1"/>
  <c r="N1800" i="1"/>
  <c r="L1744" i="1"/>
  <c r="N1744" i="1"/>
  <c r="L1702" i="1"/>
  <c r="N1702" i="1"/>
  <c r="L1548" i="1"/>
  <c r="N1548" i="1"/>
  <c r="L1534" i="1"/>
  <c r="N1534" i="1"/>
  <c r="L1450" i="1"/>
  <c r="N1450" i="1"/>
  <c r="L1408" i="1"/>
  <c r="N1408" i="1"/>
  <c r="N1282" i="1"/>
  <c r="L1282" i="1"/>
  <c r="L1268" i="1"/>
  <c r="N1268" i="1"/>
  <c r="L1212" i="1"/>
  <c r="N1212" i="1"/>
  <c r="N1114" i="1"/>
  <c r="L1114" i="1"/>
  <c r="L1002" i="1"/>
  <c r="N1002" i="1"/>
  <c r="L904" i="1"/>
  <c r="N904" i="1"/>
  <c r="L764" i="1"/>
  <c r="N764" i="1"/>
  <c r="L694" i="1"/>
  <c r="N694" i="1"/>
  <c r="N624" i="1"/>
  <c r="L624" i="1"/>
  <c r="N554" i="1"/>
  <c r="L554" i="1"/>
  <c r="N526" i="1"/>
  <c r="L526" i="1"/>
  <c r="L400" i="1"/>
  <c r="N400" i="1"/>
  <c r="L162" i="1"/>
  <c r="N162" i="1"/>
  <c r="L64" i="1"/>
  <c r="N64" i="1"/>
  <c r="N8" i="1"/>
  <c r="N722" i="1"/>
  <c r="N1492" i="1"/>
  <c r="N1618" i="1"/>
  <c r="N1674" i="1"/>
  <c r="L876" i="1"/>
  <c r="L2262" i="1"/>
  <c r="N2276" i="1"/>
  <c r="N2164" i="1"/>
  <c r="L1327" i="1"/>
  <c r="L2527" i="1"/>
  <c r="N2527" i="1"/>
  <c r="L2443" i="1"/>
  <c r="N2443" i="1"/>
  <c r="N302" i="1"/>
  <c r="N806" i="1"/>
  <c r="N946" i="1"/>
  <c r="N2150" i="1"/>
  <c r="N2471" i="1"/>
  <c r="N582" i="1"/>
  <c r="L218" i="1"/>
  <c r="L316" i="1"/>
  <c r="L1786" i="1"/>
  <c r="L1842" i="1"/>
  <c r="L2570" i="1"/>
  <c r="N2601" i="1"/>
  <c r="L2601" i="1"/>
  <c r="N2531" i="1"/>
  <c r="L2531" i="1"/>
  <c r="N795" i="1"/>
  <c r="L2206" i="1"/>
  <c r="L2251" i="1"/>
  <c r="N484" i="1"/>
  <c r="N2360" i="1"/>
  <c r="N2416" i="1"/>
  <c r="N2615" i="1"/>
  <c r="L1058" i="1"/>
  <c r="L1604" i="1"/>
  <c r="L2458" i="1"/>
  <c r="L274" i="1"/>
  <c r="N203" i="1"/>
  <c r="N1043" i="1"/>
  <c r="N1995" i="1"/>
  <c r="N2051" i="1"/>
  <c r="N1449" i="1"/>
  <c r="L987" i="1"/>
  <c r="L1127" i="1"/>
  <c r="L1337" i="1"/>
  <c r="L1687" i="1"/>
  <c r="L2177" i="1"/>
  <c r="L2303" i="1"/>
  <c r="L1883" i="1"/>
  <c r="N1883" i="1"/>
  <c r="N1547" i="1"/>
  <c r="N2065" i="1"/>
  <c r="N2317" i="1"/>
  <c r="L161" i="1"/>
  <c r="L399" i="1"/>
  <c r="L721" i="1"/>
  <c r="L1939" i="1"/>
  <c r="L1981" i="1"/>
  <c r="N1981" i="1"/>
  <c r="L1645" i="1"/>
  <c r="N1645" i="1"/>
  <c r="N2009" i="1"/>
  <c r="N959" i="1"/>
  <c r="N1351" i="1"/>
  <c r="N2289" i="1"/>
  <c r="L861" i="1"/>
  <c r="N1465" i="1"/>
  <c r="L1465" i="1"/>
  <c r="N1227" i="1"/>
  <c r="L1227" i="1"/>
  <c r="L1283" i="1"/>
  <c r="N1283" i="1"/>
  <c r="N1353" i="1"/>
  <c r="L1353" i="1"/>
  <c r="N1367" i="1"/>
  <c r="L1367" i="1"/>
  <c r="L1423" i="1"/>
  <c r="N1423" i="1"/>
  <c r="N1479" i="1"/>
  <c r="L1479" i="1"/>
  <c r="N1535" i="1"/>
  <c r="L1535" i="1"/>
  <c r="L1647" i="1"/>
  <c r="N1647" i="1"/>
  <c r="L1731" i="1"/>
  <c r="N1731" i="1"/>
  <c r="L1787" i="1"/>
  <c r="N1787" i="1"/>
  <c r="N1899" i="1"/>
  <c r="L1899" i="1"/>
  <c r="N1955" i="1"/>
  <c r="L1955" i="1"/>
  <c r="L1997" i="1"/>
  <c r="N1997" i="1"/>
  <c r="N2053" i="1"/>
  <c r="L2053" i="1"/>
  <c r="N2067" i="1"/>
  <c r="L2067" i="1"/>
  <c r="L2123" i="1"/>
  <c r="N2123" i="1"/>
  <c r="N2193" i="1"/>
  <c r="L2193" i="1"/>
  <c r="N2291" i="1"/>
  <c r="L2291" i="1"/>
  <c r="L2333" i="1"/>
  <c r="N2333" i="1"/>
  <c r="N2389" i="1"/>
  <c r="L2389" i="1"/>
  <c r="N2487" i="1"/>
  <c r="L2487" i="1"/>
  <c r="L2557" i="1"/>
  <c r="N2557" i="1"/>
  <c r="L2641" i="1"/>
  <c r="N2641" i="1"/>
  <c r="N855" i="1"/>
  <c r="L2431" i="1"/>
  <c r="L2543" i="1"/>
  <c r="L2324" i="1"/>
  <c r="L2086" i="1"/>
  <c r="L293" i="1"/>
  <c r="N1568" i="1"/>
  <c r="N1904" i="1"/>
  <c r="L2501" i="1"/>
  <c r="L1241" i="1"/>
  <c r="L1861" i="1"/>
  <c r="L1384" i="1"/>
  <c r="N1384" i="1"/>
  <c r="N2042" i="1"/>
  <c r="L2042" i="1"/>
  <c r="L2336" i="1"/>
  <c r="N2336" i="1"/>
  <c r="L825" i="1"/>
  <c r="N825" i="1"/>
  <c r="L1175" i="1"/>
  <c r="N1175" i="1"/>
  <c r="N1903" i="1"/>
  <c r="L1903" i="1"/>
  <c r="N2057" i="1"/>
  <c r="L2057" i="1"/>
  <c r="L1022" i="1"/>
  <c r="N1022" i="1"/>
  <c r="L1148" i="1"/>
  <c r="N1148" i="1"/>
  <c r="L1344" i="1"/>
  <c r="N1344" i="1"/>
  <c r="N2380" i="1"/>
  <c r="L2380" i="1"/>
  <c r="N2632" i="1"/>
  <c r="L2632" i="1"/>
  <c r="L225" i="1"/>
  <c r="N225" i="1"/>
  <c r="N645" i="1"/>
  <c r="L645" i="1"/>
  <c r="L869" i="1"/>
  <c r="N869" i="1"/>
  <c r="L1247" i="1"/>
  <c r="N1247" i="1"/>
  <c r="N2395" i="1"/>
  <c r="L2395" i="1"/>
  <c r="N140" i="1"/>
  <c r="N112" i="1"/>
  <c r="N70" i="1"/>
  <c r="N2179" i="1"/>
  <c r="L2221" i="1"/>
  <c r="N1773" i="1"/>
  <c r="L1051" i="1"/>
  <c r="N307" i="1"/>
  <c r="L1608" i="1"/>
  <c r="N1608" i="1"/>
  <c r="L601" i="1"/>
  <c r="N601" i="1"/>
  <c r="N713" i="1"/>
  <c r="L713" i="1"/>
  <c r="L2197" i="1"/>
  <c r="N2197" i="1"/>
  <c r="N2253" i="1"/>
  <c r="L2253" i="1"/>
  <c r="L294" i="1"/>
  <c r="N294" i="1"/>
  <c r="N1246" i="1"/>
  <c r="L1246" i="1"/>
  <c r="L1330" i="1"/>
  <c r="N1330" i="1"/>
  <c r="N1358" i="1"/>
  <c r="L1358" i="1"/>
  <c r="N2114" i="1"/>
  <c r="L2114" i="1"/>
  <c r="N2156" i="1"/>
  <c r="L2156" i="1"/>
  <c r="N2394" i="1"/>
  <c r="L2394" i="1"/>
  <c r="N2646" i="1"/>
  <c r="L2646" i="1"/>
  <c r="N1381" i="1"/>
  <c r="N57" i="1"/>
  <c r="L57" i="1"/>
  <c r="N2003" i="1"/>
  <c r="L2003" i="1"/>
  <c r="L743" i="1"/>
  <c r="N378" i="1"/>
  <c r="N1133" i="1"/>
  <c r="N2263" i="1"/>
  <c r="N2323" i="1"/>
  <c r="L1890" i="1"/>
  <c r="L1848" i="1"/>
  <c r="N1927" i="1"/>
  <c r="L1849" i="1"/>
  <c r="N796" i="1"/>
  <c r="N755" i="1"/>
  <c r="N2137" i="1"/>
  <c r="L895" i="1"/>
  <c r="L1213" i="1"/>
  <c r="N2277" i="1"/>
  <c r="L462" i="1"/>
  <c r="N2613" i="1"/>
  <c r="N1255" i="1"/>
  <c r="L1876" i="1"/>
  <c r="N631" i="1"/>
  <c r="N1117" i="1"/>
  <c r="L1117" i="1"/>
  <c r="L1593" i="1"/>
  <c r="N1593" i="1"/>
  <c r="N2055" i="1"/>
  <c r="L2055" i="1"/>
  <c r="N2307" i="1"/>
  <c r="L2307" i="1"/>
  <c r="N2643" i="1"/>
  <c r="L2643" i="1"/>
  <c r="N991" i="1"/>
  <c r="L2391" i="1"/>
  <c r="L2153" i="1"/>
  <c r="L660" i="1"/>
  <c r="N212" i="1"/>
  <c r="N828" i="1"/>
  <c r="N1458" i="1"/>
  <c r="L1458" i="1"/>
  <c r="N1556" i="1"/>
  <c r="L1556" i="1"/>
  <c r="N2494" i="1"/>
  <c r="L2494" i="1"/>
  <c r="L2634" i="1"/>
  <c r="N2634" i="1"/>
  <c r="L325" i="1"/>
  <c r="N1649" i="1"/>
  <c r="L921" i="1"/>
  <c r="L1150" i="1"/>
  <c r="L2383" i="1"/>
  <c r="N2383" i="1"/>
  <c r="L2313" i="1"/>
  <c r="N2313" i="1"/>
  <c r="N2271" i="1"/>
  <c r="L2271" i="1"/>
  <c r="L2145" i="1"/>
  <c r="N2145" i="1"/>
  <c r="L2033" i="1"/>
  <c r="N2033" i="1"/>
  <c r="N1921" i="1"/>
  <c r="L1921" i="1"/>
  <c r="L1837" i="1"/>
  <c r="N1837" i="1"/>
  <c r="L1823" i="1"/>
  <c r="N1823" i="1"/>
  <c r="L1739" i="1"/>
  <c r="N1739" i="1"/>
  <c r="L1711" i="1"/>
  <c r="N1711" i="1"/>
  <c r="L1641" i="1"/>
  <c r="N1641" i="1"/>
  <c r="L1543" i="1"/>
  <c r="N1543" i="1"/>
  <c r="L1515" i="1"/>
  <c r="N1515" i="1"/>
  <c r="L1403" i="1"/>
  <c r="N1403" i="1"/>
  <c r="N1263" i="1"/>
  <c r="L1263" i="1"/>
  <c r="L1137" i="1"/>
  <c r="N1137" i="1"/>
  <c r="N1081" i="1"/>
  <c r="L1081" i="1"/>
  <c r="L1053" i="1"/>
  <c r="N1053" i="1"/>
  <c r="N1025" i="1"/>
  <c r="L1025" i="1"/>
  <c r="N927" i="1"/>
  <c r="L927" i="1"/>
  <c r="L899" i="1"/>
  <c r="N899" i="1"/>
  <c r="L843" i="1"/>
  <c r="N843" i="1"/>
  <c r="L815" i="1"/>
  <c r="N815" i="1"/>
  <c r="N745" i="1"/>
  <c r="L745" i="1"/>
  <c r="L689" i="1"/>
  <c r="N689" i="1"/>
  <c r="N577" i="1"/>
  <c r="L577" i="1"/>
  <c r="N535" i="1"/>
  <c r="L535" i="1"/>
  <c r="L283" i="1"/>
  <c r="N283" i="1"/>
  <c r="L129" i="1"/>
  <c r="N129" i="1"/>
  <c r="N871" i="1"/>
  <c r="N1319" i="1"/>
  <c r="N1389" i="1"/>
  <c r="N2005" i="1"/>
  <c r="L1151" i="1"/>
  <c r="N2368" i="1"/>
  <c r="L2368" i="1"/>
  <c r="L2326" i="1"/>
  <c r="N2326" i="1"/>
  <c r="L2186" i="1"/>
  <c r="N2186" i="1"/>
  <c r="L1948" i="1"/>
  <c r="N1948" i="1"/>
  <c r="N1906" i="1"/>
  <c r="L1906" i="1"/>
  <c r="L1892" i="1"/>
  <c r="N1892" i="1"/>
  <c r="N1710" i="1"/>
  <c r="L1710" i="1"/>
  <c r="N1682" i="1"/>
  <c r="L1682" i="1"/>
  <c r="L1626" i="1"/>
  <c r="N1626" i="1"/>
  <c r="L1374" i="1"/>
  <c r="N1374" i="1"/>
  <c r="L1332" i="1"/>
  <c r="N1332" i="1"/>
  <c r="N1206" i="1"/>
  <c r="L1206" i="1"/>
  <c r="L1066" i="1"/>
  <c r="N1066" i="1"/>
  <c r="L1038" i="1"/>
  <c r="N1038" i="1"/>
  <c r="L1010" i="1"/>
  <c r="N1010" i="1"/>
  <c r="N940" i="1"/>
  <c r="L940" i="1"/>
  <c r="L870" i="1"/>
  <c r="N870" i="1"/>
  <c r="L730" i="1"/>
  <c r="N730" i="1"/>
  <c r="N646" i="1"/>
  <c r="L646" i="1"/>
  <c r="L618" i="1"/>
  <c r="N618" i="1"/>
  <c r="N576" i="1"/>
  <c r="L576" i="1"/>
  <c r="L562" i="1"/>
  <c r="N562" i="1"/>
  <c r="L534" i="1"/>
  <c r="N534" i="1"/>
  <c r="L478" i="1"/>
  <c r="N478" i="1"/>
  <c r="N408" i="1"/>
  <c r="L408" i="1"/>
  <c r="N128" i="1"/>
  <c r="L128" i="1"/>
  <c r="N100" i="1"/>
  <c r="L100" i="1"/>
  <c r="N297" i="1"/>
  <c r="N1248" i="1"/>
  <c r="N2088" i="1"/>
  <c r="N1486" i="1"/>
  <c r="L143" i="1"/>
  <c r="L451" i="1"/>
  <c r="L926" i="1"/>
  <c r="L1360" i="1"/>
  <c r="L1402" i="1"/>
  <c r="L2424" i="1"/>
  <c r="L2635" i="1"/>
  <c r="L2563" i="1"/>
  <c r="N2563" i="1"/>
  <c r="L2493" i="1"/>
  <c r="N2493" i="1"/>
  <c r="L2283" i="1"/>
  <c r="N2283" i="1"/>
  <c r="L2073" i="1"/>
  <c r="N2073" i="1"/>
  <c r="L2045" i="1"/>
  <c r="N2045" i="1"/>
  <c r="L1891" i="1"/>
  <c r="N1891" i="1"/>
  <c r="N1835" i="1"/>
  <c r="L1835" i="1"/>
  <c r="N1807" i="1"/>
  <c r="L1807" i="1"/>
  <c r="L1737" i="1"/>
  <c r="N1737" i="1"/>
  <c r="L1611" i="1"/>
  <c r="N1611" i="1"/>
  <c r="L1583" i="1"/>
  <c r="N1583" i="1"/>
  <c r="L1499" i="1"/>
  <c r="N1499" i="1"/>
  <c r="L1219" i="1"/>
  <c r="N1219" i="1"/>
  <c r="L1065" i="1"/>
  <c r="N1065" i="1"/>
  <c r="N995" i="1"/>
  <c r="L995" i="1"/>
  <c r="L967" i="1"/>
  <c r="N967" i="1"/>
  <c r="L953" i="1"/>
  <c r="N953" i="1"/>
  <c r="L925" i="1"/>
  <c r="N925" i="1"/>
  <c r="N897" i="1"/>
  <c r="L897" i="1"/>
  <c r="L813" i="1"/>
  <c r="N813" i="1"/>
  <c r="L617" i="1"/>
  <c r="N617" i="1"/>
  <c r="L603" i="1"/>
  <c r="N603" i="1"/>
  <c r="N533" i="1"/>
  <c r="L533" i="1"/>
  <c r="L477" i="1"/>
  <c r="N477" i="1"/>
  <c r="L281" i="1"/>
  <c r="N281" i="1"/>
  <c r="L239" i="1"/>
  <c r="N239" i="1"/>
  <c r="L113" i="1"/>
  <c r="N113" i="1"/>
  <c r="N29" i="1"/>
  <c r="L29" i="1"/>
  <c r="N226" i="1"/>
  <c r="N380" i="1"/>
  <c r="N463" i="1"/>
  <c r="N1907" i="1"/>
  <c r="N2117" i="1"/>
  <c r="N2367" i="1"/>
  <c r="N2467" i="1"/>
  <c r="N968" i="1"/>
  <c r="L72" i="1"/>
  <c r="L254" i="1"/>
  <c r="L604" i="1"/>
  <c r="L2074" i="1"/>
  <c r="L2215" i="1"/>
  <c r="L393" i="1"/>
  <c r="L2590" i="1"/>
  <c r="N2590" i="1"/>
  <c r="L2520" i="1"/>
  <c r="N2520" i="1"/>
  <c r="L2338" i="1"/>
  <c r="N2338" i="1"/>
  <c r="L2296" i="1"/>
  <c r="N2296" i="1"/>
  <c r="L2268" i="1"/>
  <c r="N2268" i="1"/>
  <c r="L2128" i="1"/>
  <c r="N2128" i="1"/>
  <c r="L2100" i="1"/>
  <c r="N2100" i="1"/>
  <c r="L2002" i="1"/>
  <c r="N2002" i="1"/>
  <c r="L1806" i="1"/>
  <c r="N1806" i="1"/>
  <c r="L1652" i="1"/>
  <c r="N1652" i="1"/>
  <c r="L1596" i="1"/>
  <c r="N1596" i="1"/>
  <c r="L1498" i="1"/>
  <c r="N1498" i="1"/>
  <c r="L1414" i="1"/>
  <c r="N1414" i="1"/>
  <c r="L1316" i="1"/>
  <c r="N1316" i="1"/>
  <c r="N1218" i="1"/>
  <c r="L1218" i="1"/>
  <c r="N1134" i="1"/>
  <c r="L1134" i="1"/>
  <c r="N840" i="1"/>
  <c r="L840" i="1"/>
  <c r="N728" i="1"/>
  <c r="L728" i="1"/>
  <c r="L630" i="1"/>
  <c r="N630" i="1"/>
  <c r="L406" i="1"/>
  <c r="N406" i="1"/>
  <c r="N350" i="1"/>
  <c r="L350" i="1"/>
  <c r="L126" i="1"/>
  <c r="N126" i="1"/>
  <c r="L98" i="1"/>
  <c r="N98" i="1"/>
  <c r="N44" i="1"/>
  <c r="N227" i="1"/>
  <c r="N381" i="1"/>
  <c r="N464" i="1"/>
  <c r="N520" i="1"/>
  <c r="N1289" i="1"/>
  <c r="N1361" i="1"/>
  <c r="N759" i="1"/>
  <c r="N969" i="1"/>
  <c r="L73" i="1"/>
  <c r="L605" i="1"/>
  <c r="L1809" i="1"/>
  <c r="L2256" i="1"/>
  <c r="L2607" i="1"/>
  <c r="L1442" i="1"/>
  <c r="N2505" i="1"/>
  <c r="L2505" i="1"/>
  <c r="L2043" i="1"/>
  <c r="N2043" i="1"/>
  <c r="N1847" i="1"/>
  <c r="L1847" i="1"/>
  <c r="L1791" i="1"/>
  <c r="N1791" i="1"/>
  <c r="L1511" i="1"/>
  <c r="N1511" i="1"/>
  <c r="L1497" i="1"/>
  <c r="N1497" i="1"/>
  <c r="L1469" i="1"/>
  <c r="N1469" i="1"/>
  <c r="N1189" i="1"/>
  <c r="L1189" i="1"/>
  <c r="N1091" i="1"/>
  <c r="L1091" i="1"/>
  <c r="N545" i="1"/>
  <c r="L545" i="1"/>
  <c r="L517" i="1"/>
  <c r="N517" i="1"/>
  <c r="N196" i="1"/>
  <c r="N268" i="1"/>
  <c r="N521" i="1"/>
  <c r="N632" i="1"/>
  <c r="N715" i="1"/>
  <c r="N842" i="1"/>
  <c r="N1107" i="1"/>
  <c r="N1220" i="1"/>
  <c r="N1609" i="1"/>
  <c r="N2198" i="1"/>
  <c r="N2436" i="1"/>
  <c r="N563" i="1"/>
  <c r="N1500" i="1"/>
  <c r="L896" i="1"/>
  <c r="L2355" i="1"/>
  <c r="L448" i="1"/>
  <c r="L2381" i="1"/>
  <c r="L1916" i="1"/>
  <c r="N1916" i="1"/>
  <c r="L1496" i="1"/>
  <c r="N1496" i="1"/>
  <c r="L894" i="1"/>
  <c r="N894" i="1"/>
  <c r="N292" i="1"/>
  <c r="L292" i="1"/>
  <c r="L236" i="1"/>
  <c r="N236" i="1"/>
  <c r="L12" i="1"/>
  <c r="N12" i="1"/>
  <c r="N269" i="1"/>
  <c r="N352" i="1"/>
  <c r="N716" i="1"/>
  <c r="N771" i="1"/>
  <c r="N1291" i="1"/>
  <c r="N1542" i="1"/>
  <c r="N1722" i="1"/>
  <c r="N1821" i="1"/>
  <c r="N2228" i="1"/>
  <c r="N2548" i="1"/>
  <c r="N209" i="1"/>
  <c r="L156" i="1"/>
  <c r="L1413" i="1"/>
  <c r="L1990" i="1"/>
  <c r="L2131" i="1"/>
  <c r="L2648" i="1"/>
  <c r="L461" i="1"/>
  <c r="L1233" i="1"/>
  <c r="L1708" i="1"/>
  <c r="L2573" i="1"/>
  <c r="N2573" i="1"/>
  <c r="L2489" i="1"/>
  <c r="N2489" i="1"/>
  <c r="N2167" i="1"/>
  <c r="L2167" i="1"/>
  <c r="L2111" i="1"/>
  <c r="N2111" i="1"/>
  <c r="N2041" i="1"/>
  <c r="L2041" i="1"/>
  <c r="L1901" i="1"/>
  <c r="N1901" i="1"/>
  <c r="L1789" i="1"/>
  <c r="N1789" i="1"/>
  <c r="L1705" i="1"/>
  <c r="N1705" i="1"/>
  <c r="L1635" i="1"/>
  <c r="N1635" i="1"/>
  <c r="L1565" i="1"/>
  <c r="N1565" i="1"/>
  <c r="L1537" i="1"/>
  <c r="N1537" i="1"/>
  <c r="L1411" i="1"/>
  <c r="N1411" i="1"/>
  <c r="N1285" i="1"/>
  <c r="L1285" i="1"/>
  <c r="L1215" i="1"/>
  <c r="N1215" i="1"/>
  <c r="L1159" i="1"/>
  <c r="N1159" i="1"/>
  <c r="L1089" i="1"/>
  <c r="N1089" i="1"/>
  <c r="L1033" i="1"/>
  <c r="N1033" i="1"/>
  <c r="L1019" i="1"/>
  <c r="N1019" i="1"/>
  <c r="N949" i="1"/>
  <c r="L949" i="1"/>
  <c r="L879" i="1"/>
  <c r="N879" i="1"/>
  <c r="N353" i="1"/>
  <c r="N717" i="1"/>
  <c r="N1036" i="1"/>
  <c r="N1109" i="1"/>
  <c r="N1751" i="1"/>
  <c r="N1822" i="1"/>
  <c r="N2200" i="1"/>
  <c r="N221" i="1"/>
  <c r="L15" i="1"/>
  <c r="L729" i="1"/>
  <c r="L799" i="1"/>
  <c r="L829" i="1"/>
  <c r="L977" i="1"/>
  <c r="L1415" i="1"/>
  <c r="L2480" i="1"/>
  <c r="L2578" i="1"/>
  <c r="L211" i="1"/>
  <c r="N700" i="1"/>
  <c r="L1914" i="1"/>
  <c r="N1914" i="1"/>
  <c r="N1340" i="1"/>
  <c r="L1340" i="1"/>
  <c r="N59" i="1"/>
  <c r="N168" i="1"/>
  <c r="N590" i="1"/>
  <c r="N773" i="1"/>
  <c r="N935" i="1"/>
  <c r="N1037" i="1"/>
  <c r="N1369" i="1"/>
  <c r="N1725" i="1"/>
  <c r="N1989" i="1"/>
  <c r="N2173" i="1"/>
  <c r="N2201" i="1"/>
  <c r="N997" i="1"/>
  <c r="N2223" i="1"/>
  <c r="L310" i="1"/>
  <c r="L772" i="1"/>
  <c r="L1204" i="1"/>
  <c r="L1302" i="1"/>
  <c r="L2226" i="1"/>
  <c r="L2481" i="1"/>
  <c r="L2579" i="1"/>
  <c r="L476" i="1"/>
  <c r="L1005" i="1"/>
  <c r="N169" i="1"/>
  <c r="N591" i="1"/>
  <c r="N898" i="1"/>
  <c r="N1234" i="1"/>
  <c r="N1373" i="1"/>
  <c r="N1579" i="1"/>
  <c r="N1694" i="1"/>
  <c r="N2382" i="1"/>
  <c r="N2242" i="1"/>
  <c r="L87" i="1"/>
  <c r="L659" i="1"/>
  <c r="L801" i="1"/>
  <c r="L1271" i="1"/>
  <c r="L1341" i="1"/>
  <c r="L491" i="1"/>
  <c r="L785" i="1"/>
  <c r="L2447" i="1"/>
  <c r="N170" i="1"/>
  <c r="N449" i="1"/>
  <c r="N644" i="1"/>
  <c r="N686" i="1"/>
  <c r="N856" i="1"/>
  <c r="N937" i="1"/>
  <c r="N1008" i="1"/>
  <c r="N1078" i="1"/>
  <c r="N1164" i="1"/>
  <c r="N1303" i="1"/>
  <c r="N1346" i="1"/>
  <c r="N1454" i="1"/>
  <c r="N1514" i="1"/>
  <c r="N1668" i="1"/>
  <c r="N1695" i="1"/>
  <c r="N1795" i="1"/>
  <c r="N1859" i="1"/>
  <c r="N2030" i="1"/>
  <c r="N2265" i="1"/>
  <c r="N2349" i="1"/>
  <c r="N2604" i="1"/>
  <c r="N1011" i="1"/>
  <c r="N1721" i="1"/>
  <c r="L56" i="1"/>
  <c r="L127" i="1"/>
  <c r="L437" i="1"/>
  <c r="L702" i="1"/>
  <c r="L1145" i="1"/>
  <c r="L1274" i="1"/>
  <c r="L1347" i="1"/>
  <c r="L1780" i="1"/>
  <c r="L1817" i="1"/>
  <c r="L2621" i="1"/>
  <c r="L1021" i="1"/>
  <c r="L1275" i="1"/>
  <c r="L1540" i="1"/>
  <c r="L1750" i="1"/>
  <c r="L1919" i="1"/>
  <c r="N2649" i="1"/>
  <c r="L2649" i="1"/>
  <c r="N2593" i="1"/>
  <c r="L2593" i="1"/>
  <c r="N2551" i="1"/>
  <c r="L2551" i="1"/>
  <c r="N2509" i="1"/>
  <c r="L2509" i="1"/>
  <c r="L2327" i="1"/>
  <c r="N2327" i="1"/>
  <c r="L2159" i="1"/>
  <c r="N2159" i="1"/>
  <c r="L2103" i="1"/>
  <c r="N2103" i="1"/>
  <c r="L1977" i="1"/>
  <c r="N1977" i="1"/>
  <c r="L1893" i="1"/>
  <c r="N1893" i="1"/>
  <c r="L1851" i="1"/>
  <c r="N1851" i="1"/>
  <c r="N1753" i="1"/>
  <c r="L1753" i="1"/>
  <c r="N1627" i="1"/>
  <c r="L1627" i="1"/>
  <c r="N1529" i="1"/>
  <c r="L1529" i="1"/>
  <c r="L1501" i="1"/>
  <c r="N1501" i="1"/>
  <c r="L1459" i="1"/>
  <c r="N1459" i="1"/>
  <c r="L1375" i="1"/>
  <c r="N1375" i="1"/>
  <c r="L1249" i="1"/>
  <c r="N1249" i="1"/>
  <c r="N1067" i="1"/>
  <c r="L1067" i="1"/>
  <c r="N913" i="1"/>
  <c r="L913" i="1"/>
  <c r="N885" i="1"/>
  <c r="L885" i="1"/>
  <c r="N703" i="1"/>
  <c r="L703" i="1"/>
  <c r="N619" i="1"/>
  <c r="L619" i="1"/>
  <c r="N493" i="1"/>
  <c r="L493" i="1"/>
  <c r="L395" i="1"/>
  <c r="N395" i="1"/>
  <c r="L241" i="1"/>
  <c r="N241" i="1"/>
  <c r="L213" i="1"/>
  <c r="N213" i="1"/>
  <c r="L157" i="1"/>
  <c r="N157" i="1"/>
  <c r="N101" i="1"/>
  <c r="L101" i="1"/>
  <c r="N1431" i="1"/>
  <c r="N1935" i="1"/>
  <c r="N2495" i="1"/>
  <c r="L1123" i="1"/>
  <c r="L2341" i="1"/>
  <c r="N2550" i="1"/>
  <c r="L2550" i="1"/>
  <c r="L2354" i="1"/>
  <c r="N2354" i="1"/>
  <c r="L2312" i="1"/>
  <c r="N2312" i="1"/>
  <c r="L2284" i="1"/>
  <c r="N2284" i="1"/>
  <c r="L2172" i="1"/>
  <c r="N2172" i="1"/>
  <c r="L2130" i="1"/>
  <c r="N2130" i="1"/>
  <c r="L2060" i="1"/>
  <c r="N2060" i="1"/>
  <c r="L2018" i="1"/>
  <c r="N2018" i="1"/>
  <c r="N2004" i="1"/>
  <c r="L2004" i="1"/>
  <c r="L1962" i="1"/>
  <c r="N1962" i="1"/>
  <c r="L1878" i="1"/>
  <c r="N1878" i="1"/>
  <c r="N1864" i="1"/>
  <c r="L1864" i="1"/>
  <c r="L1794" i="1"/>
  <c r="N1794" i="1"/>
  <c r="L1696" i="1"/>
  <c r="N1696" i="1"/>
  <c r="N1654" i="1"/>
  <c r="L1654" i="1"/>
  <c r="L1528" i="1"/>
  <c r="N1528" i="1"/>
  <c r="L1416" i="1"/>
  <c r="N1416" i="1"/>
  <c r="L1388" i="1"/>
  <c r="N1388" i="1"/>
  <c r="L1192" i="1"/>
  <c r="N1192" i="1"/>
  <c r="L1136" i="1"/>
  <c r="N1136" i="1"/>
  <c r="N1094" i="1"/>
  <c r="L1094" i="1"/>
  <c r="N1024" i="1"/>
  <c r="L1024" i="1"/>
  <c r="L996" i="1"/>
  <c r="N996" i="1"/>
  <c r="N982" i="1"/>
  <c r="L982" i="1"/>
  <c r="N884" i="1"/>
  <c r="L884" i="1"/>
  <c r="N758" i="1"/>
  <c r="L758" i="1"/>
  <c r="L688" i="1"/>
  <c r="N688" i="1"/>
  <c r="L492" i="1"/>
  <c r="N492" i="1"/>
  <c r="N394" i="1"/>
  <c r="L394" i="1"/>
  <c r="L338" i="1"/>
  <c r="N338" i="1"/>
  <c r="N296" i="1"/>
  <c r="L296" i="1"/>
  <c r="N198" i="1"/>
  <c r="L198" i="1"/>
  <c r="L184" i="1"/>
  <c r="N184" i="1"/>
  <c r="L86" i="1"/>
  <c r="N86" i="1"/>
  <c r="N115" i="1"/>
  <c r="L1557" i="1"/>
  <c r="N2157" i="1"/>
  <c r="L2157" i="1"/>
  <c r="N2129" i="1"/>
  <c r="L2129" i="1"/>
  <c r="N2087" i="1"/>
  <c r="L2087" i="1"/>
  <c r="N2059" i="1"/>
  <c r="L2059" i="1"/>
  <c r="N1905" i="1"/>
  <c r="L1905" i="1"/>
  <c r="N1793" i="1"/>
  <c r="L1793" i="1"/>
  <c r="L1667" i="1"/>
  <c r="N1667" i="1"/>
  <c r="L1527" i="1"/>
  <c r="N1527" i="1"/>
  <c r="N1429" i="1"/>
  <c r="L1429" i="1"/>
  <c r="L1401" i="1"/>
  <c r="N1401" i="1"/>
  <c r="L1317" i="1"/>
  <c r="N1317" i="1"/>
  <c r="L1205" i="1"/>
  <c r="N1205" i="1"/>
  <c r="L1135" i="1"/>
  <c r="N1135" i="1"/>
  <c r="L981" i="1"/>
  <c r="N981" i="1"/>
  <c r="L827" i="1"/>
  <c r="N827" i="1"/>
  <c r="N589" i="1"/>
  <c r="L589" i="1"/>
  <c r="N547" i="1"/>
  <c r="L547" i="1"/>
  <c r="L519" i="1"/>
  <c r="N519" i="1"/>
  <c r="N379" i="1"/>
  <c r="L379" i="1"/>
  <c r="N365" i="1"/>
  <c r="L365" i="1"/>
  <c r="L267" i="1"/>
  <c r="N267" i="1"/>
  <c r="L183" i="1"/>
  <c r="N183" i="1"/>
  <c r="N43" i="1"/>
  <c r="N339" i="1"/>
  <c r="N421" i="1"/>
  <c r="N954" i="1"/>
  <c r="N1359" i="1"/>
  <c r="N1570" i="1"/>
  <c r="N1879" i="1"/>
  <c r="N2089" i="1"/>
  <c r="N2397" i="1"/>
  <c r="L2606" i="1"/>
  <c r="L2618" i="1"/>
  <c r="N2618" i="1"/>
  <c r="L2576" i="1"/>
  <c r="N2576" i="1"/>
  <c r="L2562" i="1"/>
  <c r="N2562" i="1"/>
  <c r="L2422" i="1"/>
  <c r="N2422" i="1"/>
  <c r="N2310" i="1"/>
  <c r="L2310" i="1"/>
  <c r="L2212" i="1"/>
  <c r="N2212" i="1"/>
  <c r="N2142" i="1"/>
  <c r="L2142" i="1"/>
  <c r="L2058" i="1"/>
  <c r="N2058" i="1"/>
  <c r="N2016" i="1"/>
  <c r="L2016" i="1"/>
  <c r="N1988" i="1"/>
  <c r="L1988" i="1"/>
  <c r="L1960" i="1"/>
  <c r="N1960" i="1"/>
  <c r="N1946" i="1"/>
  <c r="L1946" i="1"/>
  <c r="L1918" i="1"/>
  <c r="N1918" i="1"/>
  <c r="L1862" i="1"/>
  <c r="N1862" i="1"/>
  <c r="N1834" i="1"/>
  <c r="L1834" i="1"/>
  <c r="L1820" i="1"/>
  <c r="N1820" i="1"/>
  <c r="L1764" i="1"/>
  <c r="N1764" i="1"/>
  <c r="L1736" i="1"/>
  <c r="N1736" i="1"/>
  <c r="L1680" i="1"/>
  <c r="N1680" i="1"/>
  <c r="L1428" i="1"/>
  <c r="N1428" i="1"/>
  <c r="L1400" i="1"/>
  <c r="N1400" i="1"/>
  <c r="N1386" i="1"/>
  <c r="L1386" i="1"/>
  <c r="L1288" i="1"/>
  <c r="N1288" i="1"/>
  <c r="L1232" i="1"/>
  <c r="N1232" i="1"/>
  <c r="N1176" i="1"/>
  <c r="L1176" i="1"/>
  <c r="L910" i="1"/>
  <c r="N910" i="1"/>
  <c r="L742" i="1"/>
  <c r="N742" i="1"/>
  <c r="N714" i="1"/>
  <c r="L714" i="1"/>
  <c r="N574" i="1"/>
  <c r="L574" i="1"/>
  <c r="N420" i="1"/>
  <c r="L420" i="1"/>
  <c r="L392" i="1"/>
  <c r="N392" i="1"/>
  <c r="N336" i="1"/>
  <c r="L336" i="1"/>
  <c r="N308" i="1"/>
  <c r="L308" i="1"/>
  <c r="L252" i="1"/>
  <c r="N252" i="1"/>
  <c r="L224" i="1"/>
  <c r="N224" i="1"/>
  <c r="L182" i="1"/>
  <c r="N182" i="1"/>
  <c r="L84" i="1"/>
  <c r="N84" i="1"/>
  <c r="N85" i="1"/>
  <c r="N266" i="1"/>
  <c r="N423" i="1"/>
  <c r="N1571" i="1"/>
  <c r="N1850" i="1"/>
  <c r="N2019" i="1"/>
  <c r="N2508" i="1"/>
  <c r="N857" i="1"/>
  <c r="L185" i="1"/>
  <c r="L1333" i="1"/>
  <c r="L1624" i="1"/>
  <c r="L2032" i="1"/>
  <c r="L2603" i="1"/>
  <c r="N2603" i="1"/>
  <c r="L2281" i="1"/>
  <c r="N2281" i="1"/>
  <c r="N2239" i="1"/>
  <c r="L2239" i="1"/>
  <c r="L2127" i="1"/>
  <c r="N2127" i="1"/>
  <c r="L1777" i="1"/>
  <c r="N1777" i="1"/>
  <c r="L1679" i="1"/>
  <c r="N1679" i="1"/>
  <c r="N1343" i="1"/>
  <c r="L1343" i="1"/>
  <c r="L783" i="1"/>
  <c r="N783" i="1"/>
  <c r="L671" i="1"/>
  <c r="N671" i="1"/>
  <c r="L643" i="1"/>
  <c r="N643" i="1"/>
  <c r="N16" i="1"/>
  <c r="N575" i="1"/>
  <c r="N770" i="1"/>
  <c r="N1290" i="1"/>
  <c r="N2298" i="1"/>
  <c r="N1623" i="1"/>
  <c r="L45" i="1"/>
  <c r="L531" i="1"/>
  <c r="L1766" i="1"/>
  <c r="L2521" i="1"/>
  <c r="L154" i="1"/>
  <c r="L673" i="1"/>
  <c r="N2532" i="1"/>
  <c r="L2532" i="1"/>
  <c r="L2378" i="1"/>
  <c r="N2378" i="1"/>
  <c r="L1468" i="1"/>
  <c r="N1468" i="1"/>
  <c r="N1342" i="1"/>
  <c r="L1342" i="1"/>
  <c r="L1132" i="1"/>
  <c r="N1132" i="1"/>
  <c r="L838" i="1"/>
  <c r="N838" i="1"/>
  <c r="N712" i="1"/>
  <c r="L712" i="1"/>
  <c r="N362" i="1"/>
  <c r="L362" i="1"/>
  <c r="N222" i="1"/>
  <c r="L222" i="1"/>
  <c r="N197" i="1"/>
  <c r="N674" i="1"/>
  <c r="N1034" i="1"/>
  <c r="N1108" i="1"/>
  <c r="N1221" i="1"/>
  <c r="N1778" i="1"/>
  <c r="N2061" i="1"/>
  <c r="N2199" i="1"/>
  <c r="N2257" i="1"/>
  <c r="N2337" i="1"/>
  <c r="N2411" i="1"/>
  <c r="N2438" i="1"/>
  <c r="L14" i="1"/>
  <c r="L532" i="1"/>
  <c r="L797" i="1"/>
  <c r="L1235" i="1"/>
  <c r="L1444" i="1"/>
  <c r="L1947" i="1"/>
  <c r="L155" i="1"/>
  <c r="L2629" i="1"/>
  <c r="N2629" i="1"/>
  <c r="L2587" i="1"/>
  <c r="N2587" i="1"/>
  <c r="L2545" i="1"/>
  <c r="N2545" i="1"/>
  <c r="N2503" i="1"/>
  <c r="L2503" i="1"/>
  <c r="N2461" i="1"/>
  <c r="L2461" i="1"/>
  <c r="L2335" i="1"/>
  <c r="N2335" i="1"/>
  <c r="N2293" i="1"/>
  <c r="L2293" i="1"/>
  <c r="L2279" i="1"/>
  <c r="N2279" i="1"/>
  <c r="L2237" i="1"/>
  <c r="N2237" i="1"/>
  <c r="L2195" i="1"/>
  <c r="N2195" i="1"/>
  <c r="L2139" i="1"/>
  <c r="N2139" i="1"/>
  <c r="N2097" i="1"/>
  <c r="L2097" i="1"/>
  <c r="N1999" i="1"/>
  <c r="L1999" i="1"/>
  <c r="N1915" i="1"/>
  <c r="L1915" i="1"/>
  <c r="L1845" i="1"/>
  <c r="N1845" i="1"/>
  <c r="L1831" i="1"/>
  <c r="N1831" i="1"/>
  <c r="L1761" i="1"/>
  <c r="N1761" i="1"/>
  <c r="L1621" i="1"/>
  <c r="N1621" i="1"/>
  <c r="N1523" i="1"/>
  <c r="L1523" i="1"/>
  <c r="N1453" i="1"/>
  <c r="L1453" i="1"/>
  <c r="L1425" i="1"/>
  <c r="N1425" i="1"/>
  <c r="L1397" i="1"/>
  <c r="N1397" i="1"/>
  <c r="N1355" i="1"/>
  <c r="L1355" i="1"/>
  <c r="L1229" i="1"/>
  <c r="N1229" i="1"/>
  <c r="L1201" i="1"/>
  <c r="N1201" i="1"/>
  <c r="N1187" i="1"/>
  <c r="L1187" i="1"/>
  <c r="N1131" i="1"/>
  <c r="L1131" i="1"/>
  <c r="L1103" i="1"/>
  <c r="N1103" i="1"/>
  <c r="N963" i="1"/>
  <c r="L963" i="1"/>
  <c r="L865" i="1"/>
  <c r="N865" i="1"/>
  <c r="N837" i="1"/>
  <c r="L837" i="1"/>
  <c r="N199" i="1"/>
  <c r="N238" i="1"/>
  <c r="N309" i="1"/>
  <c r="N1190" i="1"/>
  <c r="N1724" i="1"/>
  <c r="N1779" i="1"/>
  <c r="N1985" i="1"/>
  <c r="N2229" i="1"/>
  <c r="N2439" i="1"/>
  <c r="N13" i="1"/>
  <c r="N675" i="1"/>
  <c r="N1277" i="1"/>
  <c r="L941" i="1"/>
  <c r="L1299" i="1"/>
  <c r="L1445" i="1"/>
  <c r="L1683" i="1"/>
  <c r="L2523" i="1"/>
  <c r="N994" i="1"/>
  <c r="N416" i="1"/>
  <c r="L416" i="1"/>
  <c r="N240" i="1"/>
  <c r="N893" i="1"/>
  <c r="N1509" i="1"/>
  <c r="N1691" i="1"/>
  <c r="N2478" i="1"/>
  <c r="N2396" i="1"/>
  <c r="L17" i="1"/>
  <c r="L465" i="1"/>
  <c r="L731" i="1"/>
  <c r="L800" i="1"/>
  <c r="L1417" i="1"/>
  <c r="L701" i="1"/>
  <c r="L1260" i="1"/>
  <c r="N851" i="1"/>
  <c r="N936" i="1"/>
  <c r="N1075" i="1"/>
  <c r="N1512" i="1"/>
  <c r="N1666" i="1"/>
  <c r="N1991" i="1"/>
  <c r="N2517" i="1"/>
  <c r="L311" i="1"/>
  <c r="L436" i="1"/>
  <c r="L506" i="1"/>
  <c r="L1304" i="1"/>
  <c r="L1640" i="1"/>
  <c r="L2184" i="1"/>
  <c r="L235" i="1"/>
  <c r="N28" i="1"/>
  <c r="N171" i="1"/>
  <c r="N364" i="1"/>
  <c r="N407" i="1"/>
  <c r="N450" i="1"/>
  <c r="N490" i="1"/>
  <c r="N548" i="1"/>
  <c r="N647" i="1"/>
  <c r="N687" i="1"/>
  <c r="N939" i="1"/>
  <c r="N1079" i="1"/>
  <c r="N1165" i="1"/>
  <c r="N1305" i="1"/>
  <c r="N1455" i="1"/>
  <c r="N1481" i="1"/>
  <c r="N1669" i="1"/>
  <c r="N1833" i="1"/>
  <c r="N1929" i="1"/>
  <c r="N1957" i="1"/>
  <c r="N2069" i="1"/>
  <c r="N2352" i="1"/>
  <c r="N2564" i="1"/>
  <c r="N83" i="1"/>
  <c r="N417" i="1"/>
  <c r="L58" i="1"/>
  <c r="L661" i="1"/>
  <c r="L1146" i="1"/>
  <c r="L1383" i="1"/>
  <c r="L1610" i="1"/>
  <c r="L1781" i="1"/>
  <c r="L2102" i="1"/>
  <c r="L2144" i="1"/>
  <c r="L2405" i="1"/>
  <c r="L2536" i="1"/>
  <c r="L253" i="1"/>
  <c r="L1541" i="1"/>
  <c r="L1961" i="1"/>
  <c r="L2492" i="1"/>
  <c r="L2299" i="1"/>
  <c r="N2299" i="1"/>
  <c r="N2243" i="1"/>
  <c r="L2243" i="1"/>
  <c r="L2187" i="1"/>
  <c r="N2187" i="1"/>
  <c r="N2047" i="1"/>
  <c r="L2047" i="1"/>
  <c r="L1949" i="1"/>
  <c r="N1949" i="1"/>
  <c r="L1697" i="1"/>
  <c r="N1697" i="1"/>
  <c r="N2592" i="1"/>
  <c r="L2592" i="1"/>
  <c r="L2466" i="1"/>
  <c r="N2466" i="1"/>
  <c r="L2340" i="1"/>
  <c r="N2340" i="1"/>
  <c r="N2214" i="1"/>
  <c r="L2214" i="1"/>
  <c r="L2158" i="1"/>
  <c r="N2158" i="1"/>
  <c r="L1976" i="1"/>
  <c r="N1976" i="1"/>
  <c r="N1920" i="1"/>
  <c r="L1920" i="1"/>
  <c r="L1808" i="1"/>
  <c r="N1808" i="1"/>
  <c r="L2605" i="1"/>
  <c r="N2605" i="1"/>
  <c r="N2535" i="1"/>
  <c r="L2535" i="1"/>
  <c r="L2255" i="1"/>
  <c r="N2255" i="1"/>
  <c r="L2506" i="1"/>
  <c r="N2506" i="1"/>
  <c r="L2464" i="1"/>
  <c r="N2464" i="1"/>
  <c r="L2282" i="1"/>
  <c r="N2282" i="1"/>
  <c r="L2240" i="1"/>
  <c r="N2240" i="1"/>
  <c r="L2044" i="1"/>
  <c r="N2044" i="1"/>
  <c r="L1526" i="1"/>
  <c r="N1526" i="1"/>
  <c r="N2369" i="1"/>
  <c r="N1095" i="1"/>
  <c r="L1863" i="1"/>
  <c r="L41" i="1"/>
  <c r="N41" i="1"/>
  <c r="L2518" i="1"/>
  <c r="N2518" i="1"/>
  <c r="N479" i="1"/>
  <c r="L2522" i="1"/>
  <c r="L993" i="1"/>
  <c r="L2559" i="1"/>
  <c r="N2559" i="1"/>
  <c r="N2475" i="1"/>
  <c r="L2475" i="1"/>
  <c r="N2433" i="1"/>
  <c r="L2433" i="1"/>
  <c r="L2321" i="1"/>
  <c r="N2321" i="1"/>
  <c r="L2209" i="1"/>
  <c r="N2209" i="1"/>
  <c r="L2125" i="1"/>
  <c r="N2125" i="1"/>
  <c r="L2083" i="1"/>
  <c r="N2083" i="1"/>
  <c r="N2027" i="1"/>
  <c r="L2027" i="1"/>
  <c r="L1971" i="1"/>
  <c r="N1971" i="1"/>
  <c r="L1803" i="1"/>
  <c r="N1803" i="1"/>
  <c r="L1663" i="1"/>
  <c r="N1663" i="1"/>
  <c r="L1313" i="1"/>
  <c r="N1313" i="1"/>
  <c r="N1262" i="1"/>
  <c r="N2170" i="1"/>
  <c r="L1865" i="1"/>
  <c r="N1709" i="1"/>
  <c r="N1752" i="1"/>
  <c r="N30" i="1"/>
  <c r="N322" i="1"/>
  <c r="N366" i="1"/>
  <c r="N409" i="1"/>
  <c r="N549" i="1"/>
  <c r="N784" i="1"/>
  <c r="N823" i="1"/>
  <c r="N979" i="1"/>
  <c r="N1047" i="1"/>
  <c r="N1276" i="1"/>
  <c r="N1456" i="1"/>
  <c r="N1484" i="1"/>
  <c r="N1551" i="1"/>
  <c r="N1597" i="1"/>
  <c r="N1836" i="1"/>
  <c r="N1932" i="1"/>
  <c r="N1963" i="1"/>
  <c r="N2075" i="1"/>
  <c r="N2270" i="1"/>
  <c r="N2419" i="1"/>
  <c r="N2450" i="1"/>
  <c r="N2534" i="1"/>
  <c r="N2565" i="1"/>
  <c r="N97" i="1"/>
  <c r="N419" i="1"/>
  <c r="N507" i="1"/>
  <c r="N1733" i="1"/>
  <c r="N2013" i="1"/>
  <c r="N2620" i="1"/>
  <c r="L282" i="1"/>
  <c r="L955" i="1"/>
  <c r="L1178" i="1"/>
  <c r="L1243" i="1"/>
  <c r="L1584" i="1"/>
  <c r="L1612" i="1"/>
  <c r="L2408" i="1"/>
  <c r="N546" i="1"/>
  <c r="L798" i="1"/>
  <c r="L1554" i="1"/>
  <c r="N2028" i="1"/>
  <c r="N31" i="1"/>
  <c r="N255" i="1"/>
  <c r="N323" i="1"/>
  <c r="N367" i="1"/>
  <c r="N786" i="1"/>
  <c r="N824" i="1"/>
  <c r="N907" i="1"/>
  <c r="N980" i="1"/>
  <c r="N1049" i="1"/>
  <c r="N1207" i="1"/>
  <c r="N1457" i="1"/>
  <c r="N1485" i="1"/>
  <c r="N1598" i="1"/>
  <c r="N1638" i="1"/>
  <c r="N1738" i="1"/>
  <c r="N1767" i="1"/>
  <c r="N1933" i="1"/>
  <c r="N2113" i="1"/>
  <c r="N2537" i="1"/>
  <c r="N422" i="1"/>
  <c r="N1193" i="1"/>
  <c r="N1470" i="1"/>
  <c r="N1747" i="1"/>
  <c r="L744" i="1"/>
  <c r="L1149" i="1"/>
  <c r="L1179" i="1"/>
  <c r="L1585" i="1"/>
  <c r="L1613" i="1"/>
  <c r="L1655" i="1"/>
  <c r="L2410" i="1"/>
  <c r="L2452" i="1"/>
  <c r="L280" i="1"/>
  <c r="L809" i="1"/>
  <c r="L1093" i="1"/>
  <c r="L2040" i="1"/>
  <c r="L2267" i="1"/>
  <c r="L2546" i="1"/>
  <c r="L2571" i="1"/>
  <c r="N2571" i="1"/>
  <c r="L2529" i="1"/>
  <c r="N2529" i="1"/>
  <c r="N2403" i="1"/>
  <c r="L2403" i="1"/>
  <c r="L2305" i="1"/>
  <c r="N2305" i="1"/>
  <c r="L2249" i="1"/>
  <c r="N2249" i="1"/>
  <c r="L2165" i="1"/>
  <c r="N2165" i="1"/>
  <c r="L2109" i="1"/>
  <c r="N2109" i="1"/>
  <c r="L2081" i="1"/>
  <c r="N2081" i="1"/>
  <c r="N1969" i="1"/>
  <c r="L1969" i="1"/>
  <c r="L1941" i="1"/>
  <c r="N1941" i="1"/>
  <c r="L1871" i="1"/>
  <c r="N1871" i="1"/>
  <c r="L1815" i="1"/>
  <c r="N1815" i="1"/>
  <c r="N1717" i="1"/>
  <c r="L1717" i="1"/>
  <c r="L1661" i="1"/>
  <c r="N1661" i="1"/>
  <c r="L1633" i="1"/>
  <c r="N1633" i="1"/>
  <c r="N1577" i="1"/>
  <c r="L1577" i="1"/>
  <c r="L1563" i="1"/>
  <c r="N1563" i="1"/>
  <c r="N1507" i="1"/>
  <c r="L1507" i="1"/>
  <c r="L1297" i="1"/>
  <c r="N1297" i="1"/>
  <c r="N1689" i="1"/>
  <c r="L1451" i="1"/>
  <c r="L1521" i="1"/>
  <c r="N1311" i="1"/>
  <c r="L1801" i="1"/>
  <c r="N1199" i="1"/>
  <c r="N1269" i="1"/>
  <c r="N1395" i="1"/>
  <c r="L1829" i="1"/>
  <c r="L2473" i="1"/>
  <c r="N2473" i="1"/>
  <c r="L2459" i="1"/>
  <c r="N2459" i="1"/>
  <c r="L2361" i="1"/>
  <c r="N2361" i="1"/>
  <c r="L2235" i="1"/>
  <c r="N2235" i="1"/>
  <c r="L2095" i="1"/>
  <c r="N2095" i="1"/>
  <c r="L1983" i="1"/>
  <c r="N1983" i="1"/>
  <c r="N1759" i="1"/>
  <c r="L1759" i="1"/>
  <c r="L1549" i="1"/>
  <c r="N1549" i="1"/>
  <c r="L1437" i="1"/>
  <c r="N1437" i="1"/>
  <c r="L1339" i="1"/>
  <c r="N1339" i="1"/>
  <c r="N2375" i="1"/>
  <c r="L1325" i="1"/>
  <c r="L1493" i="1"/>
  <c r="L2525" i="1"/>
  <c r="N2525" i="1"/>
  <c r="L2497" i="1"/>
  <c r="N2497" i="1"/>
  <c r="L2441" i="1"/>
  <c r="N2441" i="1"/>
  <c r="N2399" i="1"/>
  <c r="L2399" i="1"/>
  <c r="L2287" i="1"/>
  <c r="N2287" i="1"/>
  <c r="L2259" i="1"/>
  <c r="N2259" i="1"/>
  <c r="L2105" i="1"/>
  <c r="N2105" i="1"/>
  <c r="L2077" i="1"/>
  <c r="N2077" i="1"/>
  <c r="L1923" i="1"/>
  <c r="N1923" i="1"/>
  <c r="L1895" i="1"/>
  <c r="N1895" i="1"/>
  <c r="L1783" i="1"/>
  <c r="N1783" i="1"/>
  <c r="L1755" i="1"/>
  <c r="N1755" i="1"/>
  <c r="L1643" i="1"/>
  <c r="N1643" i="1"/>
  <c r="L1489" i="1"/>
  <c r="N1489" i="1"/>
  <c r="L2651" i="1"/>
  <c r="N2651" i="1"/>
  <c r="N2357" i="1"/>
  <c r="L2357" i="1"/>
  <c r="N2035" i="1"/>
  <c r="N2161" i="1"/>
  <c r="N2217" i="1"/>
  <c r="N2623" i="1"/>
  <c r="L1629" i="1"/>
  <c r="L2486" i="1"/>
  <c r="N2486" i="1"/>
  <c r="L1982" i="1"/>
  <c r="N1982" i="1"/>
  <c r="L736" i="1"/>
  <c r="N736" i="1"/>
  <c r="N204" i="1"/>
  <c r="N1086" i="1"/>
  <c r="N1307" i="1"/>
  <c r="N1363" i="1"/>
  <c r="N1660" i="1"/>
  <c r="N1828" i="1"/>
  <c r="N2304" i="1"/>
  <c r="N2598" i="1"/>
  <c r="L859" i="1"/>
  <c r="L1044" i="1"/>
  <c r="L1128" i="1"/>
  <c r="L1310" i="1"/>
  <c r="N372" i="1"/>
  <c r="N1153" i="1"/>
  <c r="N2192" i="1"/>
  <c r="N271" i="1"/>
  <c r="L33" i="1"/>
  <c r="L330" i="1"/>
  <c r="L1338" i="1"/>
  <c r="L131" i="1"/>
  <c r="N131" i="1"/>
  <c r="N1940" i="1"/>
  <c r="N2010" i="1"/>
  <c r="N2080" i="1"/>
  <c r="N2528" i="1"/>
  <c r="L677" i="1"/>
  <c r="L37" i="1"/>
  <c r="N37" i="1"/>
  <c r="L93" i="1"/>
  <c r="N93" i="1"/>
  <c r="N135" i="1"/>
  <c r="L135" i="1"/>
  <c r="L205" i="1"/>
  <c r="N205" i="1"/>
  <c r="N261" i="1"/>
  <c r="L261" i="1"/>
  <c r="N359" i="1"/>
  <c r="L359" i="1"/>
  <c r="L429" i="1"/>
  <c r="N429" i="1"/>
  <c r="L513" i="1"/>
  <c r="N513" i="1"/>
  <c r="L793" i="1"/>
  <c r="N793" i="1"/>
  <c r="L1157" i="1"/>
  <c r="N1157" i="1"/>
  <c r="N835" i="1"/>
  <c r="L10" i="1"/>
  <c r="N10" i="1"/>
  <c r="L24" i="1"/>
  <c r="N24" i="1"/>
  <c r="L38" i="1"/>
  <c r="N38" i="1"/>
  <c r="L52" i="1"/>
  <c r="N52" i="1"/>
  <c r="L66" i="1"/>
  <c r="N66" i="1"/>
  <c r="L80" i="1"/>
  <c r="N80" i="1"/>
  <c r="L94" i="1"/>
  <c r="N94" i="1"/>
  <c r="L108" i="1"/>
  <c r="N108" i="1"/>
  <c r="L122" i="1"/>
  <c r="N122" i="1"/>
  <c r="L136" i="1"/>
  <c r="N136" i="1"/>
  <c r="L150" i="1"/>
  <c r="N150" i="1"/>
  <c r="L164" i="1"/>
  <c r="N164" i="1"/>
  <c r="L178" i="1"/>
  <c r="N178" i="1"/>
  <c r="L192" i="1"/>
  <c r="N192" i="1"/>
  <c r="L206" i="1"/>
  <c r="N206" i="1"/>
  <c r="L220" i="1"/>
  <c r="N220" i="1"/>
  <c r="L234" i="1"/>
  <c r="N234" i="1"/>
  <c r="L248" i="1"/>
  <c r="N248" i="1"/>
  <c r="L262" i="1"/>
  <c r="N262" i="1"/>
  <c r="L276" i="1"/>
  <c r="N276" i="1"/>
  <c r="L290" i="1"/>
  <c r="N290" i="1"/>
  <c r="L304" i="1"/>
  <c r="N304" i="1"/>
  <c r="L318" i="1"/>
  <c r="N318" i="1"/>
  <c r="L332" i="1"/>
  <c r="N332" i="1"/>
  <c r="L346" i="1"/>
  <c r="N346" i="1"/>
  <c r="L360" i="1"/>
  <c r="N360" i="1"/>
  <c r="L374" i="1"/>
  <c r="N374" i="1"/>
  <c r="L388" i="1"/>
  <c r="N388" i="1"/>
  <c r="L402" i="1"/>
  <c r="N402" i="1"/>
  <c r="L430" i="1"/>
  <c r="N430" i="1"/>
  <c r="L444" i="1"/>
  <c r="N444" i="1"/>
  <c r="L458" i="1"/>
  <c r="N458" i="1"/>
  <c r="L472" i="1"/>
  <c r="N472" i="1"/>
  <c r="L486" i="1"/>
  <c r="N486" i="1"/>
  <c r="L500" i="1"/>
  <c r="N500" i="1"/>
  <c r="L514" i="1"/>
  <c r="N514" i="1"/>
  <c r="L528" i="1"/>
  <c r="N528" i="1"/>
  <c r="L542" i="1"/>
  <c r="N542" i="1"/>
  <c r="L556" i="1"/>
  <c r="N556" i="1"/>
  <c r="L570" i="1"/>
  <c r="N570" i="1"/>
  <c r="L584" i="1"/>
  <c r="N584" i="1"/>
  <c r="L612" i="1"/>
  <c r="N612" i="1"/>
  <c r="L626" i="1"/>
  <c r="N626" i="1"/>
  <c r="L640" i="1"/>
  <c r="N640" i="1"/>
  <c r="L654" i="1"/>
  <c r="N654" i="1"/>
  <c r="L668" i="1"/>
  <c r="N668" i="1"/>
  <c r="L682" i="1"/>
  <c r="N682" i="1"/>
  <c r="L2124" i="1"/>
  <c r="N2124" i="1"/>
  <c r="L2138" i="1"/>
  <c r="N2138" i="1"/>
  <c r="L2180" i="1"/>
  <c r="N2180" i="1"/>
  <c r="L2194" i="1"/>
  <c r="N2194" i="1"/>
  <c r="L2376" i="1"/>
  <c r="N2376" i="1"/>
  <c r="N611" i="1"/>
  <c r="L289" i="1"/>
  <c r="N289" i="1"/>
  <c r="L709" i="1"/>
  <c r="N709" i="1"/>
  <c r="N317" i="1"/>
  <c r="L317" i="1"/>
  <c r="L23" i="1"/>
  <c r="N23" i="1"/>
  <c r="L79" i="1"/>
  <c r="N79" i="1"/>
  <c r="N121" i="1"/>
  <c r="L121" i="1"/>
  <c r="N163" i="1"/>
  <c r="L163" i="1"/>
  <c r="L177" i="1"/>
  <c r="N177" i="1"/>
  <c r="L219" i="1"/>
  <c r="N219" i="1"/>
  <c r="L247" i="1"/>
  <c r="N247" i="1"/>
  <c r="L303" i="1"/>
  <c r="N303" i="1"/>
  <c r="N345" i="1"/>
  <c r="L345" i="1"/>
  <c r="N387" i="1"/>
  <c r="L387" i="1"/>
  <c r="L415" i="1"/>
  <c r="N415" i="1"/>
  <c r="L457" i="1"/>
  <c r="N457" i="1"/>
  <c r="N485" i="1"/>
  <c r="L485" i="1"/>
  <c r="L527" i="1"/>
  <c r="N527" i="1"/>
  <c r="L555" i="1"/>
  <c r="N555" i="1"/>
  <c r="L583" i="1"/>
  <c r="N583" i="1"/>
  <c r="L597" i="1"/>
  <c r="N597" i="1"/>
  <c r="N639" i="1"/>
  <c r="L639" i="1"/>
  <c r="N653" i="1"/>
  <c r="L653" i="1"/>
  <c r="N681" i="1"/>
  <c r="L681" i="1"/>
  <c r="L751" i="1"/>
  <c r="N751" i="1"/>
  <c r="L961" i="1"/>
  <c r="N961" i="1"/>
  <c r="N598" i="1"/>
  <c r="N2054" i="1"/>
  <c r="L9" i="1"/>
  <c r="N9" i="1"/>
  <c r="L51" i="1"/>
  <c r="N51" i="1"/>
  <c r="N65" i="1"/>
  <c r="L65" i="1"/>
  <c r="L107" i="1"/>
  <c r="N107" i="1"/>
  <c r="L149" i="1"/>
  <c r="N149" i="1"/>
  <c r="N191" i="1"/>
  <c r="L191" i="1"/>
  <c r="L233" i="1"/>
  <c r="N233" i="1"/>
  <c r="N275" i="1"/>
  <c r="L275" i="1"/>
  <c r="L331" i="1"/>
  <c r="N331" i="1"/>
  <c r="L373" i="1"/>
  <c r="N373" i="1"/>
  <c r="L401" i="1"/>
  <c r="N401" i="1"/>
  <c r="N443" i="1"/>
  <c r="L443" i="1"/>
  <c r="L471" i="1"/>
  <c r="N471" i="1"/>
  <c r="N499" i="1"/>
  <c r="L499" i="1"/>
  <c r="L541" i="1"/>
  <c r="N541" i="1"/>
  <c r="N569" i="1"/>
  <c r="L569" i="1"/>
  <c r="L625" i="1"/>
  <c r="N625" i="1"/>
  <c r="L667" i="1"/>
  <c r="N667" i="1"/>
  <c r="N695" i="1"/>
  <c r="L695" i="1"/>
  <c r="L723" i="1"/>
  <c r="N723" i="1"/>
  <c r="N737" i="1"/>
  <c r="L737" i="1"/>
  <c r="N765" i="1"/>
  <c r="L765" i="1"/>
  <c r="L779" i="1"/>
  <c r="N779" i="1"/>
  <c r="L807" i="1"/>
  <c r="N807" i="1"/>
  <c r="L821" i="1"/>
  <c r="N821" i="1"/>
  <c r="L849" i="1"/>
  <c r="N849" i="1"/>
  <c r="L863" i="1"/>
  <c r="N863" i="1"/>
  <c r="N877" i="1"/>
  <c r="L877" i="1"/>
  <c r="L891" i="1"/>
  <c r="N891" i="1"/>
  <c r="N905" i="1"/>
  <c r="L905" i="1"/>
  <c r="N919" i="1"/>
  <c r="L919" i="1"/>
  <c r="L933" i="1"/>
  <c r="N933" i="1"/>
  <c r="N947" i="1"/>
  <c r="L947" i="1"/>
  <c r="L975" i="1"/>
  <c r="N975" i="1"/>
  <c r="L989" i="1"/>
  <c r="N989" i="1"/>
  <c r="L1003" i="1"/>
  <c r="N1003" i="1"/>
  <c r="N1017" i="1"/>
  <c r="L1017" i="1"/>
  <c r="L1031" i="1"/>
  <c r="N1031" i="1"/>
  <c r="N1045" i="1"/>
  <c r="L1045" i="1"/>
  <c r="N1059" i="1"/>
  <c r="L1059" i="1"/>
  <c r="L1073" i="1"/>
  <c r="N1073" i="1"/>
  <c r="N1087" i="1"/>
  <c r="L1087" i="1"/>
  <c r="N1101" i="1"/>
  <c r="L1101" i="1"/>
  <c r="N1115" i="1"/>
  <c r="L1115" i="1"/>
  <c r="N1129" i="1"/>
  <c r="L1129" i="1"/>
  <c r="L1143" i="1"/>
  <c r="N1143" i="1"/>
  <c r="N1171" i="1"/>
  <c r="L1171" i="1"/>
  <c r="L1185" i="1"/>
  <c r="N1185" i="1"/>
  <c r="L2238" i="1"/>
  <c r="N2238" i="1"/>
  <c r="L2364" i="1"/>
  <c r="N2364" i="1"/>
  <c r="N1846" i="1"/>
  <c r="N2000" i="1"/>
  <c r="N2322" i="1"/>
  <c r="N2362" i="1"/>
  <c r="N26" i="1"/>
  <c r="N165" i="1"/>
  <c r="N1998" i="1"/>
  <c r="N2168" i="1"/>
  <c r="L1874" i="1"/>
  <c r="L2350" i="1"/>
  <c r="N2350" i="1"/>
  <c r="L530" i="1"/>
  <c r="L2280" i="1"/>
  <c r="N2280" i="1"/>
  <c r="N1888" i="1"/>
  <c r="L710" i="1"/>
  <c r="N710" i="1"/>
  <c r="L738" i="1"/>
  <c r="N738" i="1"/>
  <c r="L766" i="1"/>
  <c r="N766" i="1"/>
  <c r="L794" i="1"/>
  <c r="N794" i="1"/>
  <c r="L822" i="1"/>
  <c r="N822" i="1"/>
  <c r="L850" i="1"/>
  <c r="N850" i="1"/>
  <c r="L878" i="1"/>
  <c r="N878" i="1"/>
  <c r="L906" i="1"/>
  <c r="N906" i="1"/>
  <c r="L962" i="1"/>
  <c r="N962" i="1"/>
  <c r="L990" i="1"/>
  <c r="N990" i="1"/>
  <c r="L1018" i="1"/>
  <c r="N1018" i="1"/>
  <c r="L1046" i="1"/>
  <c r="N1046" i="1"/>
  <c r="L1074" i="1"/>
  <c r="N1074" i="1"/>
  <c r="L1102" i="1"/>
  <c r="N1102" i="1"/>
  <c r="L1130" i="1"/>
  <c r="N1130" i="1"/>
  <c r="L1214" i="1"/>
  <c r="N1214" i="1"/>
  <c r="L1242" i="1"/>
  <c r="N1242" i="1"/>
  <c r="L1270" i="1"/>
  <c r="N1270" i="1"/>
  <c r="L1298" i="1"/>
  <c r="N1298" i="1"/>
  <c r="L1368" i="1"/>
  <c r="N1368" i="1"/>
  <c r="L1396" i="1"/>
  <c r="N1396" i="1"/>
  <c r="L1466" i="1"/>
  <c r="N1466" i="1"/>
  <c r="L1494" i="1"/>
  <c r="N1494" i="1"/>
  <c r="L1522" i="1"/>
  <c r="N1522" i="1"/>
  <c r="L1564" i="1"/>
  <c r="N1564" i="1"/>
  <c r="L1592" i="1"/>
  <c r="N1592" i="1"/>
  <c r="L1620" i="1"/>
  <c r="N1620" i="1"/>
  <c r="L1690" i="1"/>
  <c r="N1690" i="1"/>
  <c r="N1774" i="1"/>
  <c r="L1774" i="1"/>
  <c r="L1802" i="1"/>
  <c r="N1802" i="1"/>
  <c r="L1858" i="1"/>
  <c r="N1858" i="1"/>
  <c r="L1886" i="1"/>
  <c r="N1886" i="1"/>
  <c r="L1942" i="1"/>
  <c r="N1942" i="1"/>
  <c r="L2012" i="1"/>
  <c r="N2012" i="1"/>
  <c r="L2026" i="1"/>
  <c r="N2026" i="1"/>
  <c r="L2068" i="1"/>
  <c r="N2068" i="1"/>
  <c r="L2096" i="1"/>
  <c r="N2096" i="1"/>
  <c r="L2152" i="1"/>
  <c r="N2152" i="1"/>
  <c r="L2208" i="1"/>
  <c r="N2208" i="1"/>
  <c r="L2236" i="1"/>
  <c r="N2236" i="1"/>
  <c r="L2264" i="1"/>
  <c r="N2264" i="1"/>
  <c r="L2292" i="1"/>
  <c r="N2292" i="1"/>
  <c r="L2306" i="1"/>
  <c r="N2306" i="1"/>
  <c r="L2334" i="1"/>
  <c r="N2334" i="1"/>
  <c r="L2404" i="1"/>
  <c r="N2404" i="1"/>
  <c r="L2460" i="1"/>
  <c r="N2460" i="1"/>
  <c r="L2628" i="1"/>
  <c r="N2628" i="1"/>
  <c r="N1718" i="1"/>
  <c r="N11" i="1"/>
  <c r="L11" i="1"/>
  <c r="L25" i="1"/>
  <c r="N25" i="1"/>
  <c r="L53" i="1"/>
  <c r="N53" i="1"/>
  <c r="L95" i="1"/>
  <c r="N95" i="1"/>
  <c r="L123" i="1"/>
  <c r="N123" i="1"/>
  <c r="L137" i="1"/>
  <c r="N137" i="1"/>
  <c r="N207" i="1"/>
  <c r="L207" i="1"/>
  <c r="L263" i="1"/>
  <c r="N263" i="1"/>
  <c r="L319" i="1"/>
  <c r="N319" i="1"/>
  <c r="L347" i="1"/>
  <c r="N347" i="1"/>
  <c r="N375" i="1"/>
  <c r="L375" i="1"/>
  <c r="L445" i="1"/>
  <c r="N445" i="1"/>
  <c r="L473" i="1"/>
  <c r="N473" i="1"/>
  <c r="N487" i="1"/>
  <c r="L487" i="1"/>
  <c r="L515" i="1"/>
  <c r="N515" i="1"/>
  <c r="L543" i="1"/>
  <c r="N543" i="1"/>
  <c r="L585" i="1"/>
  <c r="N585" i="1"/>
  <c r="L613" i="1"/>
  <c r="N613" i="1"/>
  <c r="L627" i="1"/>
  <c r="N627" i="1"/>
  <c r="N683" i="1"/>
  <c r="L683" i="1"/>
  <c r="L725" i="1"/>
  <c r="N725" i="1"/>
  <c r="L739" i="1"/>
  <c r="N739" i="1"/>
  <c r="L753" i="1"/>
  <c r="N753" i="1"/>
  <c r="L767" i="1"/>
  <c r="N767" i="1"/>
  <c r="N780" i="1"/>
  <c r="L54" i="1"/>
  <c r="N54" i="1"/>
  <c r="L110" i="1"/>
  <c r="N110" i="1"/>
  <c r="L138" i="1"/>
  <c r="N138" i="1"/>
  <c r="N194" i="1"/>
  <c r="L194" i="1"/>
  <c r="L208" i="1"/>
  <c r="N208" i="1"/>
  <c r="L264" i="1"/>
  <c r="N264" i="1"/>
  <c r="N320" i="1"/>
  <c r="L320" i="1"/>
  <c r="N348" i="1"/>
  <c r="L348" i="1"/>
  <c r="L376" i="1"/>
  <c r="N376" i="1"/>
  <c r="N404" i="1"/>
  <c r="L404" i="1"/>
  <c r="N418" i="1"/>
  <c r="L418" i="1"/>
  <c r="L446" i="1"/>
  <c r="N446" i="1"/>
  <c r="N474" i="1"/>
  <c r="L474" i="1"/>
  <c r="L558" i="1"/>
  <c r="N558" i="1"/>
  <c r="N600" i="1"/>
  <c r="L600" i="1"/>
  <c r="L628" i="1"/>
  <c r="N628" i="1"/>
  <c r="L656" i="1"/>
  <c r="N656" i="1"/>
  <c r="N684" i="1"/>
  <c r="L684" i="1"/>
  <c r="L740" i="1"/>
  <c r="N740" i="1"/>
  <c r="L768" i="1"/>
  <c r="N768" i="1"/>
  <c r="L880" i="1"/>
  <c r="N880" i="1"/>
  <c r="L908" i="1"/>
  <c r="N908" i="1"/>
  <c r="L964" i="1"/>
  <c r="N964" i="1"/>
  <c r="L992" i="1"/>
  <c r="N992" i="1"/>
  <c r="L1020" i="1"/>
  <c r="N1020" i="1"/>
  <c r="N1048" i="1"/>
  <c r="L1048" i="1"/>
  <c r="L1076" i="1"/>
  <c r="N1076" i="1"/>
  <c r="L1118" i="1"/>
  <c r="N1118" i="1"/>
  <c r="N1160" i="1"/>
  <c r="L1160" i="1"/>
  <c r="L1188" i="1"/>
  <c r="N1188" i="1"/>
  <c r="L1216" i="1"/>
  <c r="N1216" i="1"/>
  <c r="L1272" i="1"/>
  <c r="N1272" i="1"/>
  <c r="L1300" i="1"/>
  <c r="N1300" i="1"/>
  <c r="N1370" i="1"/>
  <c r="L1370" i="1"/>
  <c r="N1398" i="1"/>
  <c r="L1398" i="1"/>
  <c r="L1426" i="1"/>
  <c r="N1426" i="1"/>
  <c r="N1552" i="1"/>
  <c r="L1552" i="1"/>
  <c r="N1580" i="1"/>
  <c r="L1580" i="1"/>
  <c r="L1636" i="1"/>
  <c r="N1636" i="1"/>
  <c r="N1664" i="1"/>
  <c r="L1664" i="1"/>
  <c r="L1692" i="1"/>
  <c r="N1692" i="1"/>
  <c r="L1762" i="1"/>
  <c r="N1762" i="1"/>
  <c r="L1818" i="1"/>
  <c r="N1818" i="1"/>
  <c r="N1860" i="1"/>
  <c r="L1860" i="1"/>
  <c r="L1902" i="1"/>
  <c r="N1902" i="1"/>
  <c r="N1930" i="1"/>
  <c r="L1930" i="1"/>
  <c r="L1972" i="1"/>
  <c r="N1972" i="1"/>
  <c r="L1986" i="1"/>
  <c r="N1986" i="1"/>
  <c r="L2014" i="1"/>
  <c r="N2014" i="1"/>
  <c r="L2056" i="1"/>
  <c r="N2056" i="1"/>
  <c r="L2084" i="1"/>
  <c r="N2084" i="1"/>
  <c r="N2140" i="1"/>
  <c r="L2140" i="1"/>
  <c r="L2154" i="1"/>
  <c r="N2154" i="1"/>
  <c r="L2182" i="1"/>
  <c r="N2182" i="1"/>
  <c r="L2224" i="1"/>
  <c r="N2224" i="1"/>
  <c r="L2308" i="1"/>
  <c r="N2308" i="1"/>
  <c r="L2630" i="1"/>
  <c r="N2630" i="1"/>
  <c r="N866" i="1"/>
  <c r="N1090" i="1"/>
  <c r="N1662" i="1"/>
  <c r="N2602" i="1"/>
  <c r="N948" i="1"/>
  <c r="L529" i="1"/>
  <c r="L697" i="1"/>
  <c r="L1328" i="1"/>
  <c r="L1830" i="1"/>
  <c r="N1984" i="1"/>
  <c r="N1790" i="1"/>
  <c r="N2266" i="1"/>
  <c r="N1172" i="1"/>
  <c r="N1510" i="1"/>
  <c r="N669" i="1"/>
  <c r="L1746" i="1"/>
  <c r="L696" i="1"/>
  <c r="N696" i="1"/>
  <c r="L724" i="1"/>
  <c r="N724" i="1"/>
  <c r="L752" i="1"/>
  <c r="N752" i="1"/>
  <c r="L808" i="1"/>
  <c r="N808" i="1"/>
  <c r="L836" i="1"/>
  <c r="N836" i="1"/>
  <c r="L864" i="1"/>
  <c r="N864" i="1"/>
  <c r="L892" i="1"/>
  <c r="N892" i="1"/>
  <c r="L920" i="1"/>
  <c r="N920" i="1"/>
  <c r="L934" i="1"/>
  <c r="N934" i="1"/>
  <c r="L976" i="1"/>
  <c r="N976" i="1"/>
  <c r="L1004" i="1"/>
  <c r="N1004" i="1"/>
  <c r="L1032" i="1"/>
  <c r="N1032" i="1"/>
  <c r="L1060" i="1"/>
  <c r="N1060" i="1"/>
  <c r="L1088" i="1"/>
  <c r="N1088" i="1"/>
  <c r="L1144" i="1"/>
  <c r="N1144" i="1"/>
  <c r="L1158" i="1"/>
  <c r="N1158" i="1"/>
  <c r="L1186" i="1"/>
  <c r="N1186" i="1"/>
  <c r="L1200" i="1"/>
  <c r="N1200" i="1"/>
  <c r="L1228" i="1"/>
  <c r="N1228" i="1"/>
  <c r="L1256" i="1"/>
  <c r="N1256" i="1"/>
  <c r="L1312" i="1"/>
  <c r="N1312" i="1"/>
  <c r="L1326" i="1"/>
  <c r="N1326" i="1"/>
  <c r="L1354" i="1"/>
  <c r="N1354" i="1"/>
  <c r="L1382" i="1"/>
  <c r="N1382" i="1"/>
  <c r="L1410" i="1"/>
  <c r="N1410" i="1"/>
  <c r="L1424" i="1"/>
  <c r="N1424" i="1"/>
  <c r="L1480" i="1"/>
  <c r="N1480" i="1"/>
  <c r="L1508" i="1"/>
  <c r="N1508" i="1"/>
  <c r="L1536" i="1"/>
  <c r="N1536" i="1"/>
  <c r="L1550" i="1"/>
  <c r="N1550" i="1"/>
  <c r="L1578" i="1"/>
  <c r="N1578" i="1"/>
  <c r="L1606" i="1"/>
  <c r="N1606" i="1"/>
  <c r="L1634" i="1"/>
  <c r="N1634" i="1"/>
  <c r="N1648" i="1"/>
  <c r="L1648" i="1"/>
  <c r="L1676" i="1"/>
  <c r="N1676" i="1"/>
  <c r="L1704" i="1"/>
  <c r="N1704" i="1"/>
  <c r="N1732" i="1"/>
  <c r="L1732" i="1"/>
  <c r="L1760" i="1"/>
  <c r="N1760" i="1"/>
  <c r="L1788" i="1"/>
  <c r="N1788" i="1"/>
  <c r="L1816" i="1"/>
  <c r="N1816" i="1"/>
  <c r="L1844" i="1"/>
  <c r="N1844" i="1"/>
  <c r="N1872" i="1"/>
  <c r="L1872" i="1"/>
  <c r="L1900" i="1"/>
  <c r="N1900" i="1"/>
  <c r="L1928" i="1"/>
  <c r="N1928" i="1"/>
  <c r="L1956" i="1"/>
  <c r="N1956" i="1"/>
  <c r="L1970" i="1"/>
  <c r="N1970" i="1"/>
  <c r="L2082" i="1"/>
  <c r="N2082" i="1"/>
  <c r="L2110" i="1"/>
  <c r="N2110" i="1"/>
  <c r="L2166" i="1"/>
  <c r="N2166" i="1"/>
  <c r="L2222" i="1"/>
  <c r="N2222" i="1"/>
  <c r="L2250" i="1"/>
  <c r="N2250" i="1"/>
  <c r="L2278" i="1"/>
  <c r="N2278" i="1"/>
  <c r="L2320" i="1"/>
  <c r="N2320" i="1"/>
  <c r="L2348" i="1"/>
  <c r="N2348" i="1"/>
  <c r="L2390" i="1"/>
  <c r="N2390" i="1"/>
  <c r="L2418" i="1"/>
  <c r="N2418" i="1"/>
  <c r="L2446" i="1"/>
  <c r="N2446" i="1"/>
  <c r="L2474" i="1"/>
  <c r="N2474" i="1"/>
  <c r="L2488" i="1"/>
  <c r="N2488" i="1"/>
  <c r="L2502" i="1"/>
  <c r="N2502" i="1"/>
  <c r="L2530" i="1"/>
  <c r="N2530" i="1"/>
  <c r="L2544" i="1"/>
  <c r="N2544" i="1"/>
  <c r="L2558" i="1"/>
  <c r="N2558" i="1"/>
  <c r="L2572" i="1"/>
  <c r="N2572" i="1"/>
  <c r="L2600" i="1"/>
  <c r="N2600" i="1"/>
  <c r="L2614" i="1"/>
  <c r="N2614" i="1"/>
  <c r="L39" i="1"/>
  <c r="N39" i="1"/>
  <c r="L67" i="1"/>
  <c r="N67" i="1"/>
  <c r="N81" i="1"/>
  <c r="L81" i="1"/>
  <c r="N109" i="1"/>
  <c r="L109" i="1"/>
  <c r="L193" i="1"/>
  <c r="N193" i="1"/>
  <c r="L249" i="1"/>
  <c r="N249" i="1"/>
  <c r="N277" i="1"/>
  <c r="L277" i="1"/>
  <c r="L305" i="1"/>
  <c r="N305" i="1"/>
  <c r="N333" i="1"/>
  <c r="L333" i="1"/>
  <c r="L361" i="1"/>
  <c r="N361" i="1"/>
  <c r="N389" i="1"/>
  <c r="L389" i="1"/>
  <c r="L431" i="1"/>
  <c r="N431" i="1"/>
  <c r="L459" i="1"/>
  <c r="N459" i="1"/>
  <c r="N501" i="1"/>
  <c r="L501" i="1"/>
  <c r="L557" i="1"/>
  <c r="N557" i="1"/>
  <c r="L571" i="1"/>
  <c r="N571" i="1"/>
  <c r="L599" i="1"/>
  <c r="N599" i="1"/>
  <c r="L40" i="1"/>
  <c r="N40" i="1"/>
  <c r="N68" i="1"/>
  <c r="L68" i="1"/>
  <c r="N96" i="1"/>
  <c r="L96" i="1"/>
  <c r="L124" i="1"/>
  <c r="N124" i="1"/>
  <c r="N152" i="1"/>
  <c r="L152" i="1"/>
  <c r="L250" i="1"/>
  <c r="N250" i="1"/>
  <c r="L278" i="1"/>
  <c r="N278" i="1"/>
  <c r="L306" i="1"/>
  <c r="N306" i="1"/>
  <c r="L334" i="1"/>
  <c r="N334" i="1"/>
  <c r="L390" i="1"/>
  <c r="N390" i="1"/>
  <c r="L432" i="1"/>
  <c r="N432" i="1"/>
  <c r="L460" i="1"/>
  <c r="N460" i="1"/>
  <c r="N488" i="1"/>
  <c r="L488" i="1"/>
  <c r="N516" i="1"/>
  <c r="L516" i="1"/>
  <c r="L544" i="1"/>
  <c r="N544" i="1"/>
  <c r="L572" i="1"/>
  <c r="N572" i="1"/>
  <c r="L586" i="1"/>
  <c r="N586" i="1"/>
  <c r="L614" i="1"/>
  <c r="N614" i="1"/>
  <c r="L642" i="1"/>
  <c r="N642" i="1"/>
  <c r="N698" i="1"/>
  <c r="L698" i="1"/>
  <c r="N726" i="1"/>
  <c r="L726" i="1"/>
  <c r="L810" i="1"/>
  <c r="N810" i="1"/>
  <c r="N852" i="1"/>
  <c r="L852" i="1"/>
  <c r="L922" i="1"/>
  <c r="N922" i="1"/>
  <c r="L950" i="1"/>
  <c r="N950" i="1"/>
  <c r="L1006" i="1"/>
  <c r="N1006" i="1"/>
  <c r="N1062" i="1"/>
  <c r="L1062" i="1"/>
  <c r="N1104" i="1"/>
  <c r="L1104" i="1"/>
  <c r="N1202" i="1"/>
  <c r="L1202" i="1"/>
  <c r="L1230" i="1"/>
  <c r="N1230" i="1"/>
  <c r="N1258" i="1"/>
  <c r="L1258" i="1"/>
  <c r="N1314" i="1"/>
  <c r="L1314" i="1"/>
  <c r="L1356" i="1"/>
  <c r="N1356" i="1"/>
  <c r="L1412" i="1"/>
  <c r="N1412" i="1"/>
  <c r="L1440" i="1"/>
  <c r="N1440" i="1"/>
  <c r="L1482" i="1"/>
  <c r="N1482" i="1"/>
  <c r="L1538" i="1"/>
  <c r="N1538" i="1"/>
  <c r="L1594" i="1"/>
  <c r="N1594" i="1"/>
  <c r="L1622" i="1"/>
  <c r="N1622" i="1"/>
  <c r="L1650" i="1"/>
  <c r="N1650" i="1"/>
  <c r="L1678" i="1"/>
  <c r="N1678" i="1"/>
  <c r="L1706" i="1"/>
  <c r="N1706" i="1"/>
  <c r="N1776" i="1"/>
  <c r="L1776" i="1"/>
  <c r="L1804" i="1"/>
  <c r="N1804" i="1"/>
  <c r="N1832" i="1"/>
  <c r="L1832" i="1"/>
  <c r="L1958" i="1"/>
  <c r="N1958" i="1"/>
  <c r="L2098" i="1"/>
  <c r="N2098" i="1"/>
  <c r="L2126" i="1"/>
  <c r="N2126" i="1"/>
  <c r="L2196" i="1"/>
  <c r="N2196" i="1"/>
  <c r="L2210" i="1"/>
  <c r="N2210" i="1"/>
  <c r="L2294" i="1"/>
  <c r="N2294" i="1"/>
  <c r="L2392" i="1"/>
  <c r="N2392" i="1"/>
  <c r="L2406" i="1"/>
  <c r="N2406" i="1"/>
  <c r="L2420" i="1"/>
  <c r="N2420" i="1"/>
  <c r="L2574" i="1"/>
  <c r="N2574" i="1"/>
  <c r="L2588" i="1"/>
  <c r="N2588" i="1"/>
  <c r="N2616" i="1"/>
  <c r="L2616" i="1"/>
  <c r="N754" i="1"/>
  <c r="N782" i="1"/>
  <c r="N1720" i="1"/>
  <c r="N781" i="1"/>
  <c r="N1116" i="1"/>
  <c r="N1438" i="1"/>
  <c r="N2642" i="1"/>
  <c r="N166" i="1"/>
  <c r="N502" i="1"/>
  <c r="L403" i="1"/>
  <c r="N641" i="1"/>
  <c r="N670" i="1"/>
  <c r="N978" i="1"/>
  <c r="N1286" i="1"/>
  <c r="N2252" i="1"/>
  <c r="N2432" i="1"/>
  <c r="N2586" i="1"/>
  <c r="L655" i="1"/>
  <c r="L1734" i="1"/>
  <c r="N1734" i="1"/>
  <c r="N82" i="1"/>
  <c r="N1174" i="1"/>
  <c r="N1244" i="1"/>
  <c r="N1452" i="1"/>
  <c r="N2516" i="1"/>
  <c r="L179" i="1"/>
  <c r="L1524" i="1"/>
  <c r="L1566" i="1"/>
  <c r="L1748" i="1"/>
  <c r="L2112" i="1"/>
  <c r="N151" i="1"/>
  <c r="L151" i="1"/>
  <c r="L1944" i="1"/>
  <c r="N1944" i="1"/>
  <c r="N1284" i="1"/>
  <c r="L180" i="1"/>
  <c r="L2070" i="1"/>
  <c r="L2547" i="1"/>
  <c r="N2547" i="1"/>
  <c r="N2644" i="1"/>
  <c r="N1119" i="1"/>
  <c r="N2645" i="1"/>
  <c r="L405" i="1"/>
  <c r="L699" i="1"/>
  <c r="N518" i="1"/>
  <c r="L518" i="1"/>
  <c r="N560" i="1"/>
  <c r="L560" i="1"/>
  <c r="L602" i="1"/>
  <c r="N602" i="1"/>
  <c r="N616" i="1"/>
  <c r="L616" i="1"/>
  <c r="L658" i="1"/>
  <c r="N658" i="1"/>
  <c r="L672" i="1"/>
  <c r="N672" i="1"/>
  <c r="N812" i="1"/>
  <c r="L812" i="1"/>
  <c r="L868" i="1"/>
  <c r="N868" i="1"/>
  <c r="L882" i="1"/>
  <c r="N882" i="1"/>
  <c r="N938" i="1"/>
  <c r="L938" i="1"/>
  <c r="L952" i="1"/>
  <c r="N952" i="1"/>
  <c r="L966" i="1"/>
  <c r="N966" i="1"/>
  <c r="L1050" i="1"/>
  <c r="N1050" i="1"/>
  <c r="N1106" i="1"/>
  <c r="L1106" i="1"/>
  <c r="L2434" i="1"/>
  <c r="L265" i="1"/>
  <c r="N265" i="1"/>
  <c r="N321" i="1"/>
  <c r="L321" i="1"/>
  <c r="N377" i="1"/>
  <c r="L377" i="1"/>
  <c r="L433" i="1"/>
  <c r="N433" i="1"/>
  <c r="L447" i="1"/>
  <c r="N447" i="1"/>
  <c r="L1035" i="1"/>
  <c r="N1035" i="1"/>
  <c r="L1077" i="1"/>
  <c r="N1077" i="1"/>
  <c r="L1161" i="1"/>
  <c r="N1161" i="1"/>
  <c r="L1231" i="1"/>
  <c r="N1231" i="1"/>
  <c r="N1245" i="1"/>
  <c r="L1245" i="1"/>
  <c r="L1287" i="1"/>
  <c r="N1287" i="1"/>
  <c r="N1329" i="1"/>
  <c r="L1329" i="1"/>
  <c r="N1357" i="1"/>
  <c r="L1357" i="1"/>
  <c r="L1665" i="1"/>
  <c r="N1665" i="1"/>
  <c r="L1917" i="1"/>
  <c r="N1917" i="1"/>
  <c r="N1945" i="1"/>
  <c r="L1945" i="1"/>
  <c r="L1973" i="1"/>
  <c r="N1973" i="1"/>
  <c r="L2001" i="1"/>
  <c r="N2001" i="1"/>
  <c r="N2085" i="1"/>
  <c r="L2085" i="1"/>
  <c r="N2141" i="1"/>
  <c r="L2141" i="1"/>
  <c r="N2211" i="1"/>
  <c r="L2211" i="1"/>
  <c r="L2365" i="1"/>
  <c r="N2365" i="1"/>
  <c r="L2379" i="1"/>
  <c r="N2379" i="1"/>
  <c r="L2421" i="1"/>
  <c r="N2421" i="1"/>
  <c r="N2435" i="1"/>
  <c r="L2435" i="1"/>
  <c r="L2449" i="1"/>
  <c r="N2449" i="1"/>
  <c r="L2463" i="1"/>
  <c r="N2463" i="1"/>
  <c r="L2491" i="1"/>
  <c r="N2491" i="1"/>
  <c r="L2533" i="1"/>
  <c r="N2533" i="1"/>
  <c r="N2476" i="1"/>
  <c r="N559" i="1"/>
  <c r="N587" i="1"/>
  <c r="N853" i="1"/>
  <c r="N1385" i="1"/>
  <c r="N1763" i="1"/>
  <c r="N2477" i="1"/>
  <c r="N475" i="1"/>
  <c r="N1567" i="1"/>
  <c r="N2295" i="1"/>
  <c r="L1315" i="1"/>
  <c r="L2393" i="1"/>
  <c r="L2504" i="1"/>
  <c r="L99" i="1"/>
  <c r="N99" i="1"/>
  <c r="L295" i="1"/>
  <c r="N295" i="1"/>
  <c r="N337" i="1"/>
  <c r="L337" i="1"/>
  <c r="L757" i="1"/>
  <c r="N757" i="1"/>
  <c r="L1023" i="1"/>
  <c r="N1023" i="1"/>
  <c r="L1177" i="1"/>
  <c r="N1177" i="1"/>
  <c r="N1191" i="1"/>
  <c r="L1191" i="1"/>
  <c r="L1345" i="1"/>
  <c r="N1345" i="1"/>
  <c r="N1513" i="1"/>
  <c r="L1513" i="1"/>
  <c r="L1625" i="1"/>
  <c r="N1625" i="1"/>
  <c r="L1639" i="1"/>
  <c r="N1639" i="1"/>
  <c r="N1681" i="1"/>
  <c r="L1681" i="1"/>
  <c r="L1723" i="1"/>
  <c r="N1723" i="1"/>
  <c r="N1975" i="1"/>
  <c r="L1975" i="1"/>
  <c r="L2031" i="1"/>
  <c r="N2031" i="1"/>
  <c r="L2213" i="1"/>
  <c r="N2213" i="1"/>
  <c r="L2297" i="1"/>
  <c r="N2297" i="1"/>
  <c r="L2325" i="1"/>
  <c r="N2325" i="1"/>
  <c r="N2339" i="1"/>
  <c r="L2339" i="1"/>
  <c r="L2423" i="1"/>
  <c r="N2423" i="1"/>
  <c r="L2437" i="1"/>
  <c r="N2437" i="1"/>
  <c r="N2507" i="1"/>
  <c r="L2507" i="1"/>
  <c r="L2591" i="1"/>
  <c r="N2591" i="1"/>
  <c r="L2619" i="1"/>
  <c r="N2619" i="1"/>
  <c r="L2647" i="1"/>
  <c r="N2647" i="1"/>
  <c r="N71" i="1"/>
  <c r="N351" i="1"/>
  <c r="N588" i="1"/>
  <c r="N741" i="1"/>
  <c r="N769" i="1"/>
  <c r="N1121" i="1"/>
  <c r="N1163" i="1"/>
  <c r="N1387" i="1"/>
  <c r="N1443" i="1"/>
  <c r="N1653" i="1"/>
  <c r="N1819" i="1"/>
  <c r="N2185" i="1"/>
  <c r="N2311" i="1"/>
  <c r="N125" i="1"/>
  <c r="N251" i="1"/>
  <c r="N854" i="1"/>
  <c r="N2309" i="1"/>
  <c r="N2549" i="1"/>
  <c r="L237" i="1"/>
  <c r="L279" i="1"/>
  <c r="L1217" i="1"/>
  <c r="L2017" i="1"/>
  <c r="L2353" i="1"/>
  <c r="N2169" i="1"/>
  <c r="N811" i="1"/>
  <c r="N923" i="1"/>
  <c r="N1063" i="1"/>
  <c r="N1331" i="1"/>
  <c r="N1539" i="1"/>
  <c r="N1555" i="1"/>
  <c r="N1637" i="1"/>
  <c r="N1765" i="1"/>
  <c r="N1889" i="1"/>
  <c r="N2029" i="1"/>
  <c r="N2171" i="1"/>
  <c r="N2462" i="1"/>
  <c r="N2479" i="1"/>
  <c r="N2519" i="1"/>
  <c r="N435" i="1"/>
  <c r="N1064" i="1"/>
  <c r="N1483" i="1"/>
  <c r="N1931" i="1"/>
  <c r="L111" i="1"/>
  <c r="L1120" i="1"/>
  <c r="L363" i="1"/>
  <c r="N363" i="1"/>
  <c r="N503" i="1"/>
  <c r="N615" i="1"/>
  <c r="N965" i="1"/>
  <c r="N1371" i="1"/>
  <c r="N2101" i="1"/>
  <c r="N2577" i="1"/>
  <c r="N2631" i="1"/>
  <c r="N55" i="1"/>
  <c r="N335" i="1"/>
  <c r="N756" i="1"/>
  <c r="N924" i="1"/>
  <c r="L27" i="1"/>
  <c r="L1259" i="1"/>
  <c r="L1595" i="1"/>
  <c r="L1651" i="1"/>
  <c r="L2633" i="1"/>
  <c r="L349" i="1"/>
  <c r="N349" i="1"/>
  <c r="N1805" i="1"/>
  <c r="N2225" i="1"/>
  <c r="N2409" i="1"/>
  <c r="N2465" i="1"/>
  <c r="N2560" i="1"/>
  <c r="N2241" i="1"/>
  <c r="L1105" i="1"/>
  <c r="L1399" i="1"/>
  <c r="N881" i="1"/>
  <c r="N1007" i="1"/>
  <c r="N1875" i="1"/>
  <c r="N69" i="1"/>
  <c r="N139" i="1"/>
  <c r="L504" i="1"/>
  <c r="L195" i="1"/>
  <c r="N195" i="1"/>
  <c r="N391" i="1"/>
  <c r="L391" i="1"/>
  <c r="N629" i="1"/>
  <c r="N727" i="1"/>
  <c r="N839" i="1"/>
  <c r="N2227" i="1"/>
  <c r="N141" i="1"/>
  <c r="N826" i="1"/>
  <c r="N1273" i="1"/>
  <c r="N1693" i="1"/>
  <c r="L223" i="1"/>
  <c r="L1581" i="1"/>
  <c r="L2575" i="1"/>
  <c r="L2617" i="1"/>
  <c r="N2448" i="1"/>
  <c r="L2448" i="1"/>
  <c r="L2490" i="1"/>
  <c r="N2490" i="1"/>
  <c r="L153" i="1"/>
  <c r="N153" i="1"/>
  <c r="L181" i="1"/>
  <c r="N181" i="1"/>
  <c r="N489" i="1"/>
  <c r="L489" i="1"/>
  <c r="L1427" i="1"/>
  <c r="N1427" i="1"/>
  <c r="N1553" i="1"/>
  <c r="L1553" i="1"/>
  <c r="N1749" i="1"/>
  <c r="L1749" i="1"/>
  <c r="N1959" i="1"/>
  <c r="L1959" i="1"/>
  <c r="L1987" i="1"/>
  <c r="N1987" i="1"/>
  <c r="L2015" i="1"/>
  <c r="N2015" i="1"/>
  <c r="L2099" i="1"/>
  <c r="N2099" i="1"/>
  <c r="L2351" i="1"/>
  <c r="N2351" i="1"/>
  <c r="L2407" i="1"/>
  <c r="N2407" i="1"/>
  <c r="L2561" i="1"/>
  <c r="N2561" i="1"/>
  <c r="N1707" i="1"/>
  <c r="N2183" i="1"/>
  <c r="N2589" i="1"/>
  <c r="N657" i="1"/>
  <c r="N1147" i="1"/>
  <c r="N1203" i="1"/>
  <c r="N573" i="1"/>
  <c r="N1525" i="1"/>
  <c r="N1735" i="1"/>
  <c r="N42" i="1"/>
  <c r="N210" i="1"/>
  <c r="N434" i="1"/>
  <c r="N685" i="1"/>
  <c r="N909" i="1"/>
  <c r="N951" i="1"/>
  <c r="N1009" i="1"/>
  <c r="N1261" i="1"/>
  <c r="N1301" i="1"/>
  <c r="N1471" i="1"/>
  <c r="N1877" i="1"/>
  <c r="N2071" i="1"/>
  <c r="N2143" i="1"/>
  <c r="N2451" i="1"/>
  <c r="N561" i="1"/>
  <c r="N883" i="1"/>
  <c r="N1092" i="1"/>
  <c r="N1441" i="1"/>
  <c r="L2155" i="1"/>
  <c r="L1162" i="1"/>
  <c r="N1162" i="1"/>
  <c r="L1792" i="1"/>
  <c r="N1792" i="1"/>
  <c r="L1582" i="1"/>
  <c r="L1372" i="1"/>
  <c r="N1591" i="1"/>
  <c r="L1591" i="1"/>
  <c r="L1675" i="1"/>
  <c r="N1675" i="1"/>
  <c r="L1857" i="1"/>
  <c r="N1857" i="1"/>
  <c r="L2011" i="1"/>
  <c r="N2011" i="1"/>
  <c r="L2025" i="1"/>
  <c r="N2025" i="1"/>
  <c r="L2039" i="1"/>
  <c r="N2039" i="1"/>
  <c r="L2151" i="1"/>
  <c r="N2151" i="1"/>
  <c r="L2207" i="1"/>
  <c r="N2207" i="1"/>
  <c r="L2347" i="1"/>
  <c r="N2347" i="1"/>
  <c r="L2417" i="1"/>
  <c r="N2417" i="1"/>
  <c r="L2515" i="1"/>
  <c r="N2515" i="1"/>
  <c r="L2585" i="1"/>
  <c r="N2585" i="1"/>
  <c r="L2599" i="1"/>
  <c r="N2599" i="1"/>
  <c r="N1843" i="1"/>
  <c r="L1409" i="1"/>
  <c r="N1885" i="1"/>
  <c r="L1" i="1" l="1"/>
</calcChain>
</file>

<file path=xl/sharedStrings.xml><?xml version="1.0" encoding="utf-8"?>
<sst xmlns="http://schemas.openxmlformats.org/spreadsheetml/2006/main" count="5501" uniqueCount="189">
  <si>
    <t>msa</t>
  </si>
  <si>
    <t>year</t>
  </si>
  <si>
    <t>pop</t>
  </si>
  <si>
    <t>supply</t>
  </si>
  <si>
    <t>occupancy_delta</t>
  </si>
  <si>
    <t>RDI_growth</t>
  </si>
  <si>
    <t xml:space="preserve"> RDI </t>
  </si>
  <si>
    <t>real_rent_growth</t>
  </si>
  <si>
    <t xml:space="preserve"> x </t>
  </si>
  <si>
    <t>real_relative_rent_growth</t>
  </si>
  <si>
    <t>real_rent_growth_next_year</t>
  </si>
  <si>
    <t>real_relative_rg_next_year</t>
  </si>
  <si>
    <t>norm_rdi</t>
  </si>
  <si>
    <t>occ</t>
  </si>
  <si>
    <t>Akron - OH</t>
  </si>
  <si>
    <t xml:space="preserve"> up </t>
  </si>
  <si>
    <t xml:space="preserve"> down </t>
  </si>
  <si>
    <t xml:space="preserve"> mix </t>
  </si>
  <si>
    <t>Albany - NY</t>
  </si>
  <si>
    <t>Albuquerque - NM</t>
  </si>
  <si>
    <t>Amarillo - TX</t>
  </si>
  <si>
    <t>Anchorage - AK</t>
  </si>
  <si>
    <t>Ann Arbor - MI</t>
  </si>
  <si>
    <t xml:space="preserve"> -   </t>
  </si>
  <si>
    <t>Athens - GA</t>
  </si>
  <si>
    <t>Atlanta - GA</t>
  </si>
  <si>
    <t>Atlantic City - NJ</t>
  </si>
  <si>
    <t>Augusta - GA</t>
  </si>
  <si>
    <t>Austin - TX</t>
  </si>
  <si>
    <t>Bakersfield - CA</t>
  </si>
  <si>
    <t>Baltimore - MD</t>
  </si>
  <si>
    <t>Baton Rouge - LA</t>
  </si>
  <si>
    <t>Beaumont - TX</t>
  </si>
  <si>
    <t>Binghamton - NY</t>
  </si>
  <si>
    <t>Birmingham - AL</t>
  </si>
  <si>
    <t>Bloomington - IL</t>
  </si>
  <si>
    <t>Bloomington - IN</t>
  </si>
  <si>
    <t>Boise - ID</t>
  </si>
  <si>
    <t>Boston - MA</t>
  </si>
  <si>
    <t>Bremerton - WA</t>
  </si>
  <si>
    <t>Brownsville-Harlingen - TX</t>
  </si>
  <si>
    <t>Buffalo - NY</t>
  </si>
  <si>
    <t>Canton - OH</t>
  </si>
  <si>
    <t>Champaign-Urbana - IL</t>
  </si>
  <si>
    <t>Charleston - SC</t>
  </si>
  <si>
    <t>Charlotte - NC</t>
  </si>
  <si>
    <t>Chattanooga - TN</t>
  </si>
  <si>
    <t>Chicago - IL</t>
  </si>
  <si>
    <t>Chico - CA</t>
  </si>
  <si>
    <t>Cincinnati - OH</t>
  </si>
  <si>
    <t>Clarksville - TN</t>
  </si>
  <si>
    <t>Cleveland - OH</t>
  </si>
  <si>
    <t>College Station-Bryan - TX</t>
  </si>
  <si>
    <t>Colorado Springs - CO</t>
  </si>
  <si>
    <t>Columbia - MO</t>
  </si>
  <si>
    <t>Columbus - OH</t>
  </si>
  <si>
    <t>Corpus Christi - TX</t>
  </si>
  <si>
    <t>Dallas-Fort Worth - TX</t>
  </si>
  <si>
    <t>Davenport - IA</t>
  </si>
  <si>
    <t>Dayton - OH</t>
  </si>
  <si>
    <t>Daytona Beach - FL</t>
  </si>
  <si>
    <t>Denver - CO</t>
  </si>
  <si>
    <t>Detroit - MI</t>
  </si>
  <si>
    <t>Durham - NC</t>
  </si>
  <si>
    <t>El Paso - TX</t>
  </si>
  <si>
    <t>Elkhart - IN</t>
  </si>
  <si>
    <t>Eugene - OR</t>
  </si>
  <si>
    <t>Evansville - IN</t>
  </si>
  <si>
    <t>Fayetteville - NC</t>
  </si>
  <si>
    <t>Flint - MI</t>
  </si>
  <si>
    <t>Fort Collins - CO</t>
  </si>
  <si>
    <t>Fort Myers - FL</t>
  </si>
  <si>
    <t>Fort Wayne - IN</t>
  </si>
  <si>
    <t>Fresno - CA</t>
  </si>
  <si>
    <t>Gainesville - FL</t>
  </si>
  <si>
    <t>Grand Rapids - MI</t>
  </si>
  <si>
    <t>Greeley - CO</t>
  </si>
  <si>
    <t>Greensboro - NC</t>
  </si>
  <si>
    <t>Greenville - NC</t>
  </si>
  <si>
    <t>Greenville - SC</t>
  </si>
  <si>
    <t>Gulfport-Biloxi-Pascagoula - MS</t>
  </si>
  <si>
    <t>Harrisburg - PA</t>
  </si>
  <si>
    <t>Hartford - CT</t>
  </si>
  <si>
    <t>Honolulu - HI</t>
  </si>
  <si>
    <t>Houston - TX</t>
  </si>
  <si>
    <t>Huntsville - AL</t>
  </si>
  <si>
    <t>Indianapolis - IN</t>
  </si>
  <si>
    <t>Inland Empire - CA</t>
  </si>
  <si>
    <t>Jackson - MS</t>
  </si>
  <si>
    <t>Jacksonville - FL</t>
  </si>
  <si>
    <t>Kalamazoo - MI</t>
  </si>
  <si>
    <t>Kansas City - MO</t>
  </si>
  <si>
    <t>Kennewick-Richland - WA</t>
  </si>
  <si>
    <t>Killeen - TX</t>
  </si>
  <si>
    <t>Knoxville - TN</t>
  </si>
  <si>
    <t>Lafayette - LA</t>
  </si>
  <si>
    <t>Lakeland - FL</t>
  </si>
  <si>
    <t>Lancaster - PA</t>
  </si>
  <si>
    <t>Lansing - MI</t>
  </si>
  <si>
    <t>Las Vegas - NV</t>
  </si>
  <si>
    <t>Lehigh Valley - PA</t>
  </si>
  <si>
    <t>Lincoln - NE</t>
  </si>
  <si>
    <t>Little Rock - AR</t>
  </si>
  <si>
    <t>Los Angeles - CA</t>
  </si>
  <si>
    <t>Louisville - KY</t>
  </si>
  <si>
    <t>Lubbock - TX</t>
  </si>
  <si>
    <t>Manchester - NH</t>
  </si>
  <si>
    <t>McAllen - TX</t>
  </si>
  <si>
    <t>Melbourne - FL</t>
  </si>
  <si>
    <t>Memphis - TN</t>
  </si>
  <si>
    <t>Merced - CA</t>
  </si>
  <si>
    <t>Miami - FL</t>
  </si>
  <si>
    <t>Midland - TX</t>
  </si>
  <si>
    <t>Milwaukee - WI</t>
  </si>
  <si>
    <t>Minneapolis - MN</t>
  </si>
  <si>
    <t>Mobile - AL</t>
  </si>
  <si>
    <t>Modesto - CA</t>
  </si>
  <si>
    <t>Montgomery - AL</t>
  </si>
  <si>
    <t>Naples - FL</t>
  </si>
  <si>
    <t>Nashville - TN</t>
  </si>
  <si>
    <t>New Haven - CT</t>
  </si>
  <si>
    <t>New York - NY</t>
  </si>
  <si>
    <t>Norfolk - VA</t>
  </si>
  <si>
    <t>Northwest Arkansas - AR</t>
  </si>
  <si>
    <t>Norwich - CT</t>
  </si>
  <si>
    <t>Odessa - TX</t>
  </si>
  <si>
    <t>Ogden - UT</t>
  </si>
  <si>
    <t>Oklahoma City - OK</t>
  </si>
  <si>
    <t>Olympia - WA</t>
  </si>
  <si>
    <t>Omaha - NE</t>
  </si>
  <si>
    <t>Orlando - FL</t>
  </si>
  <si>
    <t>Pensacola - FL</t>
  </si>
  <si>
    <t>Peoria - IL</t>
  </si>
  <si>
    <t>Philadelphia - PA</t>
  </si>
  <si>
    <t>Phoenix - AZ</t>
  </si>
  <si>
    <t>Pittsburgh - PA</t>
  </si>
  <si>
    <t>Portland - ME</t>
  </si>
  <si>
    <t>Portland - OR</t>
  </si>
  <si>
    <t>Providence - RI</t>
  </si>
  <si>
    <t>Racine - WI</t>
  </si>
  <si>
    <t>Raleigh - NC</t>
  </si>
  <si>
    <t>Reading - PA</t>
  </si>
  <si>
    <t>Reno - NV</t>
  </si>
  <si>
    <t>Richmond - VA</t>
  </si>
  <si>
    <t>Rochester - NY</t>
  </si>
  <si>
    <t>Rockford - IL</t>
  </si>
  <si>
    <t>Sacramento - CA</t>
  </si>
  <si>
    <t>Saint Louis - MO</t>
  </si>
  <si>
    <t>Salinas - CA</t>
  </si>
  <si>
    <t>Salt Lake City - UT</t>
  </si>
  <si>
    <t>San Antonio - TX</t>
  </si>
  <si>
    <t>San Diego - CA</t>
  </si>
  <si>
    <t>San Francisco - CA</t>
  </si>
  <si>
    <t>San Jose - CA</t>
  </si>
  <si>
    <t>Santa Barbara - CA</t>
  </si>
  <si>
    <t>Santa Rosa - CA</t>
  </si>
  <si>
    <t>Sarasota - FL</t>
  </si>
  <si>
    <t>Scranton - PA</t>
  </si>
  <si>
    <t>Seattle - WA</t>
  </si>
  <si>
    <t>Shreveport - LA</t>
  </si>
  <si>
    <t>Spokane - WA</t>
  </si>
  <si>
    <t>Springfield - MA</t>
  </si>
  <si>
    <t>Springfield - MO</t>
  </si>
  <si>
    <t>St. Cloud - MN</t>
  </si>
  <si>
    <t>Stamford - CT</t>
  </si>
  <si>
    <t>Stockton - CA</t>
  </si>
  <si>
    <t>Syracuse - NY</t>
  </si>
  <si>
    <t>Tallahassee - FL</t>
  </si>
  <si>
    <t>Tampa - FL</t>
  </si>
  <si>
    <t>Toledo - OH</t>
  </si>
  <si>
    <t>Trenton - NJ</t>
  </si>
  <si>
    <t>Tucson - AZ</t>
  </si>
  <si>
    <t>Tyler - TX</t>
  </si>
  <si>
    <t>Vallejo-Fairfield - CA</t>
  </si>
  <si>
    <t>Ventura - CA</t>
  </si>
  <si>
    <t>Waco - TX</t>
  </si>
  <si>
    <t>Washington - DC</t>
  </si>
  <si>
    <t>Wichita - KS</t>
  </si>
  <si>
    <t>Winston-Salem - NC</t>
  </si>
  <si>
    <t>Worcester - MA</t>
  </si>
  <si>
    <t>York - PA</t>
  </si>
  <si>
    <t>Youngstown - OH</t>
  </si>
  <si>
    <t>nomrentgrowth</t>
  </si>
  <si>
    <t>spreadreal</t>
  </si>
  <si>
    <t>spreadnom</t>
  </si>
  <si>
    <t>cumulative RDI is mean-reverting</t>
  </si>
  <si>
    <t>when rdi at max</t>
  </si>
  <si>
    <t>when rdi at min</t>
  </si>
  <si>
    <t>look at cumulative future real rent growth after cumulative RDI hits min/max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</si>
</sst>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0" borderId="0" xfId="1" applyNumberFormat="1" applyFont="1"/>
    <xf numFmtId="10" fontId="0" fillId="0" borderId="0" xfId="1" applyNumberFormat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113079615048119E-2"/>
                  <c:y val="-0.431069918343540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sample_data!$J$3:$J$2654</c:f>
              <c:numCache>
                <c:formatCode>0.00%</c:formatCode>
                <c:ptCount val="2652"/>
                <c:pt idx="0">
                  <c:v>7.5499999999999977E-3</c:v>
                </c:pt>
                <c:pt idx="1">
                  <c:v>3.3180000000000001E-2</c:v>
                </c:pt>
                <c:pt idx="2">
                  <c:v>7.92E-3</c:v>
                </c:pt>
                <c:pt idx="3">
                  <c:v>-7.2020000000000001E-2</c:v>
                </c:pt>
                <c:pt idx="4">
                  <c:v>4.6179999999999999E-2</c:v>
                </c:pt>
                <c:pt idx="5">
                  <c:v>-2.9919999999999995E-2</c:v>
                </c:pt>
                <c:pt idx="6">
                  <c:v>5.6320000000000002E-2</c:v>
                </c:pt>
                <c:pt idx="7">
                  <c:v>1.008E-2</c:v>
                </c:pt>
                <c:pt idx="8">
                  <c:v>-1.8200000000000004E-3</c:v>
                </c:pt>
                <c:pt idx="9">
                  <c:v>-2.4480000000000002E-2</c:v>
                </c:pt>
                <c:pt idx="10">
                  <c:v>5.5070000000000001E-2</c:v>
                </c:pt>
                <c:pt idx="11">
                  <c:v>-3.0079999999999999E-2</c:v>
                </c:pt>
                <c:pt idx="12">
                  <c:v>2.3E-2</c:v>
                </c:pt>
                <c:pt idx="13">
                  <c:v>-3.9300000000000003E-3</c:v>
                </c:pt>
                <c:pt idx="14">
                  <c:v>7.288E-2</c:v>
                </c:pt>
                <c:pt idx="15">
                  <c:v>6.3280000000000003E-2</c:v>
                </c:pt>
                <c:pt idx="16">
                  <c:v>-7.8840000000000007E-2</c:v>
                </c:pt>
                <c:pt idx="17">
                  <c:v>-1.0999999999999996E-2</c:v>
                </c:pt>
                <c:pt idx="18">
                  <c:v>6.0800000000000007E-2</c:v>
                </c:pt>
                <c:pt idx="19">
                  <c:v>3.6719999999999996E-2</c:v>
                </c:pt>
                <c:pt idx="20">
                  <c:v>-2.6920000000000003E-2</c:v>
                </c:pt>
                <c:pt idx="21">
                  <c:v>3.1640000000000001E-2</c:v>
                </c:pt>
                <c:pt idx="22">
                  <c:v>-1.8000000000000002E-2</c:v>
                </c:pt>
                <c:pt idx="23">
                  <c:v>4.0090000000000001E-2</c:v>
                </c:pt>
                <c:pt idx="24">
                  <c:v>-3.9999999999999983E-3</c:v>
                </c:pt>
                <c:pt idx="25">
                  <c:v>3.508E-2</c:v>
                </c:pt>
                <c:pt idx="26">
                  <c:v>6.8519999999999998E-2</c:v>
                </c:pt>
                <c:pt idx="27">
                  <c:v>-4.1020000000000001E-2</c:v>
                </c:pt>
                <c:pt idx="28">
                  <c:v>5.4650000000000004E-2</c:v>
                </c:pt>
                <c:pt idx="29">
                  <c:v>7.1199999999999996E-3</c:v>
                </c:pt>
                <c:pt idx="30">
                  <c:v>5.680000000000001E-3</c:v>
                </c:pt>
                <c:pt idx="31">
                  <c:v>0.17610999999999999</c:v>
                </c:pt>
                <c:pt idx="32">
                  <c:v>-2.9349999999999998E-2</c:v>
                </c:pt>
                <c:pt idx="33">
                  <c:v>2.1039999999999996E-2</c:v>
                </c:pt>
                <c:pt idx="34">
                  <c:v>2.98E-2</c:v>
                </c:pt>
                <c:pt idx="35">
                  <c:v>-4.7300000000000002E-2</c:v>
                </c:pt>
                <c:pt idx="36">
                  <c:v>2.792E-2</c:v>
                </c:pt>
                <c:pt idx="37">
                  <c:v>-7.4360000000000009E-2</c:v>
                </c:pt>
                <c:pt idx="38">
                  <c:v>2.7969999999999998E-2</c:v>
                </c:pt>
                <c:pt idx="39">
                  <c:v>4.3739999999999994E-2</c:v>
                </c:pt>
                <c:pt idx="40">
                  <c:v>-2.9129999999999996E-2</c:v>
                </c:pt>
                <c:pt idx="41">
                  <c:v>-1.504E-2</c:v>
                </c:pt>
                <c:pt idx="42">
                  <c:v>2.9550000000000003E-2</c:v>
                </c:pt>
                <c:pt idx="43">
                  <c:v>3.8290000000000005E-2</c:v>
                </c:pt>
                <c:pt idx="44">
                  <c:v>-1E-3</c:v>
                </c:pt>
                <c:pt idx="45">
                  <c:v>0.12304000000000001</c:v>
                </c:pt>
                <c:pt idx="46">
                  <c:v>-3.4009999999999999E-2</c:v>
                </c:pt>
                <c:pt idx="47">
                  <c:v>-3.8080000000000003E-2</c:v>
                </c:pt>
                <c:pt idx="48">
                  <c:v>0.16739999999999999</c:v>
                </c:pt>
                <c:pt idx="49">
                  <c:v>-0.13231999999999999</c:v>
                </c:pt>
                <c:pt idx="50">
                  <c:v>7.4699999999999989E-2</c:v>
                </c:pt>
                <c:pt idx="51">
                  <c:v>-9.8000000000000004E-2</c:v>
                </c:pt>
                <c:pt idx="52">
                  <c:v>5.0920000000000007E-2</c:v>
                </c:pt>
                <c:pt idx="53">
                  <c:v>5.6079999999999991E-2</c:v>
                </c:pt>
                <c:pt idx="54">
                  <c:v>-6.3100000000000003E-2</c:v>
                </c:pt>
                <c:pt idx="55">
                  <c:v>5.4960000000000002E-2</c:v>
                </c:pt>
                <c:pt idx="56">
                  <c:v>-2E-3</c:v>
                </c:pt>
                <c:pt idx="57">
                  <c:v>-1.37E-2</c:v>
                </c:pt>
                <c:pt idx="58">
                  <c:v>-8.1039999999999987E-2</c:v>
                </c:pt>
                <c:pt idx="59">
                  <c:v>3.524E-2</c:v>
                </c:pt>
                <c:pt idx="60">
                  <c:v>5.3319999999999992E-2</c:v>
                </c:pt>
                <c:pt idx="61">
                  <c:v>-6.404E-2</c:v>
                </c:pt>
                <c:pt idx="62">
                  <c:v>7.2000000000000189E-4</c:v>
                </c:pt>
                <c:pt idx="63">
                  <c:v>9.042E-2</c:v>
                </c:pt>
                <c:pt idx="64">
                  <c:v>-3.057E-2</c:v>
                </c:pt>
                <c:pt idx="65">
                  <c:v>0.10398</c:v>
                </c:pt>
                <c:pt idx="66">
                  <c:v>2.7600000000000003E-2</c:v>
                </c:pt>
                <c:pt idx="67">
                  <c:v>-1.4519999999999998E-2</c:v>
                </c:pt>
                <c:pt idx="68">
                  <c:v>9.5600000000000008E-3</c:v>
                </c:pt>
                <c:pt idx="69">
                  <c:v>-4.0479999999999995E-2</c:v>
                </c:pt>
                <c:pt idx="70">
                  <c:v>5.8689999999999992E-2</c:v>
                </c:pt>
                <c:pt idx="71">
                  <c:v>-6.201000000000001E-2</c:v>
                </c:pt>
                <c:pt idx="72">
                  <c:v>-3.6499999999999987E-3</c:v>
                </c:pt>
                <c:pt idx="73">
                  <c:v>5.9679999999999997E-2</c:v>
                </c:pt>
                <c:pt idx="74">
                  <c:v>-7.85E-2</c:v>
                </c:pt>
                <c:pt idx="75">
                  <c:v>9.0000000000000011E-3</c:v>
                </c:pt>
                <c:pt idx="76">
                  <c:v>6.0299999999999999E-2</c:v>
                </c:pt>
                <c:pt idx="77">
                  <c:v>-2.9120000000000004E-2</c:v>
                </c:pt>
                <c:pt idx="78">
                  <c:v>-4.0530000000000004E-2</c:v>
                </c:pt>
                <c:pt idx="79">
                  <c:v>-6.5619999999999998E-2</c:v>
                </c:pt>
                <c:pt idx="80">
                  <c:v>7.3640000000000011E-2</c:v>
                </c:pt>
                <c:pt idx="81">
                  <c:v>-3.9499999999999952E-3</c:v>
                </c:pt>
                <c:pt idx="82">
                  <c:v>0.1192</c:v>
                </c:pt>
                <c:pt idx="83">
                  <c:v>6.4500000000000002E-2</c:v>
                </c:pt>
                <c:pt idx="84">
                  <c:v>-4.5519999999999998E-2</c:v>
                </c:pt>
                <c:pt idx="85">
                  <c:v>7.6000000000000026E-4</c:v>
                </c:pt>
                <c:pt idx="86">
                  <c:v>-4.9639999999999997E-2</c:v>
                </c:pt>
                <c:pt idx="87">
                  <c:v>6.7999999999999831E-4</c:v>
                </c:pt>
                <c:pt idx="88">
                  <c:v>4.0279999999999996E-2</c:v>
                </c:pt>
                <c:pt idx="89">
                  <c:v>-1.4880000000000003E-2</c:v>
                </c:pt>
                <c:pt idx="90">
                  <c:v>4.5600000000000002E-2</c:v>
                </c:pt>
                <c:pt idx="91">
                  <c:v>-9.8909999999999998E-2</c:v>
                </c:pt>
                <c:pt idx="92">
                  <c:v>4.709E-2</c:v>
                </c:pt>
                <c:pt idx="93">
                  <c:v>3.3000000000000002E-2</c:v>
                </c:pt>
                <c:pt idx="94">
                  <c:v>-2.2180000000000002E-2</c:v>
                </c:pt>
                <c:pt idx="95">
                  <c:v>0.11036</c:v>
                </c:pt>
                <c:pt idx="96">
                  <c:v>-0.11915000000000001</c:v>
                </c:pt>
                <c:pt idx="97">
                  <c:v>-5.9200000000000086E-3</c:v>
                </c:pt>
                <c:pt idx="98">
                  <c:v>2.0980000000000002E-2</c:v>
                </c:pt>
                <c:pt idx="99">
                  <c:v>4.1790000000000001E-2</c:v>
                </c:pt>
                <c:pt idx="100">
                  <c:v>6.7920000000000008E-2</c:v>
                </c:pt>
                <c:pt idx="101">
                  <c:v>-3.4630000000000001E-2</c:v>
                </c:pt>
                <c:pt idx="102">
                  <c:v>-3.6290000000000003E-2</c:v>
                </c:pt>
                <c:pt idx="103">
                  <c:v>3.6940000000000008E-2</c:v>
                </c:pt>
                <c:pt idx="104">
                  <c:v>-2.3000000000000017E-4</c:v>
                </c:pt>
                <c:pt idx="105">
                  <c:v>-3.755E-2</c:v>
                </c:pt>
                <c:pt idx="106">
                  <c:v>7.8200000000000006E-2</c:v>
                </c:pt>
                <c:pt idx="107">
                  <c:v>4.1070000000000002E-2</c:v>
                </c:pt>
                <c:pt idx="108">
                  <c:v>-4.6290000000000005E-2</c:v>
                </c:pt>
                <c:pt idx="109">
                  <c:v>2.6520000000000002E-2</c:v>
                </c:pt>
                <c:pt idx="110">
                  <c:v>4.64E-3</c:v>
                </c:pt>
                <c:pt idx="111">
                  <c:v>1.1049999999999999E-2</c:v>
                </c:pt>
                <c:pt idx="112">
                  <c:v>-4.5000000000000031E-4</c:v>
                </c:pt>
                <c:pt idx="113">
                  <c:v>1.7059999999999999E-2</c:v>
                </c:pt>
                <c:pt idx="114">
                  <c:v>3.5639999999999998E-2</c:v>
                </c:pt>
                <c:pt idx="115">
                  <c:v>-1.8450000000000001E-2</c:v>
                </c:pt>
                <c:pt idx="116">
                  <c:v>2.5959999999999997E-2</c:v>
                </c:pt>
                <c:pt idx="117">
                  <c:v>1.8129999999999993E-2</c:v>
                </c:pt>
                <c:pt idx="118">
                  <c:v>2.3950000000000003E-2</c:v>
                </c:pt>
                <c:pt idx="119">
                  <c:v>4.7039999999999998E-2</c:v>
                </c:pt>
                <c:pt idx="120">
                  <c:v>4.6039999999999998E-2</c:v>
                </c:pt>
                <c:pt idx="121">
                  <c:v>0.11628000000000001</c:v>
                </c:pt>
                <c:pt idx="122">
                  <c:v>1.3400000000000002E-2</c:v>
                </c:pt>
                <c:pt idx="123">
                  <c:v>-5.9920000000000001E-2</c:v>
                </c:pt>
                <c:pt idx="124">
                  <c:v>-9.2399999999999982E-3</c:v>
                </c:pt>
                <c:pt idx="125">
                  <c:v>2.3829999999999997E-2</c:v>
                </c:pt>
                <c:pt idx="126">
                  <c:v>-7.5639999999999999E-2</c:v>
                </c:pt>
                <c:pt idx="127">
                  <c:v>-1.4E-2</c:v>
                </c:pt>
                <c:pt idx="128">
                  <c:v>4.3000000000000003E-2</c:v>
                </c:pt>
                <c:pt idx="129">
                  <c:v>6.5000000000000006E-3</c:v>
                </c:pt>
                <c:pt idx="130">
                  <c:v>-7.8120000000000009E-2</c:v>
                </c:pt>
                <c:pt idx="131">
                  <c:v>-3.7139999999999992E-2</c:v>
                </c:pt>
                <c:pt idx="132">
                  <c:v>-3.594E-2</c:v>
                </c:pt>
                <c:pt idx="133">
                  <c:v>8.8399999999999937E-3</c:v>
                </c:pt>
                <c:pt idx="134">
                  <c:v>-6.132E-2</c:v>
                </c:pt>
                <c:pt idx="135">
                  <c:v>8.4919999999999995E-2</c:v>
                </c:pt>
                <c:pt idx="136">
                  <c:v>0.10455999999999999</c:v>
                </c:pt>
                <c:pt idx="137">
                  <c:v>3.1789999999999999E-2</c:v>
                </c:pt>
                <c:pt idx="138">
                  <c:v>0.14666000000000001</c:v>
                </c:pt>
                <c:pt idx="139">
                  <c:v>7.8770000000000007E-2</c:v>
                </c:pt>
                <c:pt idx="140">
                  <c:v>-7.5509999999999994E-2</c:v>
                </c:pt>
                <c:pt idx="141">
                  <c:v>0.13039000000000001</c:v>
                </c:pt>
                <c:pt idx="142">
                  <c:v>-3.008000000000001E-2</c:v>
                </c:pt>
                <c:pt idx="143">
                  <c:v>-6.1560000000000004E-2</c:v>
                </c:pt>
                <c:pt idx="144">
                  <c:v>4.8149999999999998E-2</c:v>
                </c:pt>
                <c:pt idx="145">
                  <c:v>9.0959999999999999E-2</c:v>
                </c:pt>
                <c:pt idx="146">
                  <c:v>-5.2999999999999999E-2</c:v>
                </c:pt>
                <c:pt idx="147">
                  <c:v>6.7849999999999994E-2</c:v>
                </c:pt>
                <c:pt idx="148">
                  <c:v>5.8699999999999995E-2</c:v>
                </c:pt>
                <c:pt idx="149">
                  <c:v>-5.28E-2</c:v>
                </c:pt>
                <c:pt idx="150">
                  <c:v>9.9199999999999983E-3</c:v>
                </c:pt>
                <c:pt idx="151">
                  <c:v>5.5800000000000002E-2</c:v>
                </c:pt>
                <c:pt idx="152">
                  <c:v>7.8850000000000003E-2</c:v>
                </c:pt>
                <c:pt idx="153">
                  <c:v>3.9439999999999996E-2</c:v>
                </c:pt>
                <c:pt idx="154">
                  <c:v>3.3579999999999999E-2</c:v>
                </c:pt>
                <c:pt idx="155">
                  <c:v>5.3510000000000002E-2</c:v>
                </c:pt>
                <c:pt idx="156">
                  <c:v>3.9820000000000001E-2</c:v>
                </c:pt>
                <c:pt idx="157">
                  <c:v>-9.2429999999999998E-2</c:v>
                </c:pt>
                <c:pt idx="158">
                  <c:v>2.5680000000000001E-2</c:v>
                </c:pt>
                <c:pt idx="159">
                  <c:v>-1.4599999999999986E-3</c:v>
                </c:pt>
                <c:pt idx="160">
                  <c:v>2.1760000000000002E-2</c:v>
                </c:pt>
                <c:pt idx="161">
                  <c:v>8.9200000000000026E-3</c:v>
                </c:pt>
                <c:pt idx="162">
                  <c:v>1.5560000000000004E-2</c:v>
                </c:pt>
                <c:pt idx="163">
                  <c:v>7.954E-2</c:v>
                </c:pt>
                <c:pt idx="164">
                  <c:v>7.3999999999999986E-3</c:v>
                </c:pt>
                <c:pt idx="165">
                  <c:v>3.2650000000000005E-2</c:v>
                </c:pt>
                <c:pt idx="166">
                  <c:v>5.1390000000000005E-2</c:v>
                </c:pt>
                <c:pt idx="167">
                  <c:v>5.9880000000000003E-2</c:v>
                </c:pt>
                <c:pt idx="168">
                  <c:v>1.5859999999999999E-2</c:v>
                </c:pt>
                <c:pt idx="169">
                  <c:v>4.809999999999999E-2</c:v>
                </c:pt>
                <c:pt idx="170">
                  <c:v>5.0719999999999994E-2</c:v>
                </c:pt>
                <c:pt idx="171">
                  <c:v>6.4200000000000007E-2</c:v>
                </c:pt>
                <c:pt idx="172">
                  <c:v>8.412E-2</c:v>
                </c:pt>
                <c:pt idx="173">
                  <c:v>0.11573</c:v>
                </c:pt>
                <c:pt idx="174">
                  <c:v>3.3200000000000035E-3</c:v>
                </c:pt>
                <c:pt idx="175">
                  <c:v>-2.5910000000000002E-2</c:v>
                </c:pt>
                <c:pt idx="176">
                  <c:v>3.082E-2</c:v>
                </c:pt>
                <c:pt idx="177">
                  <c:v>4.4249999999999998E-2</c:v>
                </c:pt>
                <c:pt idx="178">
                  <c:v>-8.0909999999999996E-2</c:v>
                </c:pt>
                <c:pt idx="179">
                  <c:v>4.3490000000000001E-2</c:v>
                </c:pt>
                <c:pt idx="180">
                  <c:v>-3.0000000000000002E-2</c:v>
                </c:pt>
                <c:pt idx="181">
                  <c:v>-5.7200000000000003E-3</c:v>
                </c:pt>
                <c:pt idx="182">
                  <c:v>3.2900000000000006E-2</c:v>
                </c:pt>
                <c:pt idx="183">
                  <c:v>-3.4660000000000003E-2</c:v>
                </c:pt>
                <c:pt idx="184">
                  <c:v>8.030000000000001E-2</c:v>
                </c:pt>
                <c:pt idx="185">
                  <c:v>4.1059999999999999E-2</c:v>
                </c:pt>
                <c:pt idx="186">
                  <c:v>-1.6299999999999999E-2</c:v>
                </c:pt>
                <c:pt idx="187">
                  <c:v>6.4000000000000001E-2</c:v>
                </c:pt>
                <c:pt idx="188">
                  <c:v>1.9279999999999999E-2</c:v>
                </c:pt>
                <c:pt idx="189">
                  <c:v>3.2299999999999995E-2</c:v>
                </c:pt>
                <c:pt idx="190">
                  <c:v>5.0040000000000008E-2</c:v>
                </c:pt>
                <c:pt idx="191">
                  <c:v>-9.8000000000000014E-3</c:v>
                </c:pt>
                <c:pt idx="192">
                  <c:v>-1.636E-2</c:v>
                </c:pt>
                <c:pt idx="193">
                  <c:v>2.1700000000000004E-2</c:v>
                </c:pt>
                <c:pt idx="194">
                  <c:v>-2.0200000000000003E-2</c:v>
                </c:pt>
                <c:pt idx="195">
                  <c:v>1.9799999999999998E-2</c:v>
                </c:pt>
                <c:pt idx="196">
                  <c:v>-3.2500000000000001E-2</c:v>
                </c:pt>
                <c:pt idx="197">
                  <c:v>3.6000000000000004E-2</c:v>
                </c:pt>
                <c:pt idx="198">
                  <c:v>1.3749999999999998E-2</c:v>
                </c:pt>
                <c:pt idx="199">
                  <c:v>2.334E-2</c:v>
                </c:pt>
                <c:pt idx="200">
                  <c:v>4.8100000000000018E-3</c:v>
                </c:pt>
                <c:pt idx="201">
                  <c:v>-6.6E-3</c:v>
                </c:pt>
                <c:pt idx="202">
                  <c:v>1.6750000000000001E-2</c:v>
                </c:pt>
                <c:pt idx="203">
                  <c:v>1.6039999999999999E-2</c:v>
                </c:pt>
                <c:pt idx="204">
                  <c:v>7.4649999999999994E-2</c:v>
                </c:pt>
                <c:pt idx="205">
                  <c:v>-1.9120000000000005E-2</c:v>
                </c:pt>
                <c:pt idx="206">
                  <c:v>0.12848000000000001</c:v>
                </c:pt>
                <c:pt idx="207">
                  <c:v>-2.7349999999999999E-2</c:v>
                </c:pt>
                <c:pt idx="208">
                  <c:v>-6.7600000000000021E-3</c:v>
                </c:pt>
                <c:pt idx="209">
                  <c:v>2.8720000000000002E-2</c:v>
                </c:pt>
                <c:pt idx="210">
                  <c:v>5.8799999999999998E-2</c:v>
                </c:pt>
                <c:pt idx="211">
                  <c:v>-5.0040000000000001E-2</c:v>
                </c:pt>
                <c:pt idx="212">
                  <c:v>5.5290000000000006E-2</c:v>
                </c:pt>
                <c:pt idx="213">
                  <c:v>7.0430000000000006E-2</c:v>
                </c:pt>
                <c:pt idx="214">
                  <c:v>-2.963E-2</c:v>
                </c:pt>
                <c:pt idx="215">
                  <c:v>4.0969999999999999E-2</c:v>
                </c:pt>
                <c:pt idx="216">
                  <c:v>4.8690000000000004E-2</c:v>
                </c:pt>
                <c:pt idx="217">
                  <c:v>-6.1450000000000005E-2</c:v>
                </c:pt>
                <c:pt idx="218">
                  <c:v>4.5319999999999999E-2</c:v>
                </c:pt>
                <c:pt idx="219">
                  <c:v>-4.1260000000000005E-2</c:v>
                </c:pt>
                <c:pt idx="220">
                  <c:v>-5.4900000000000011E-2</c:v>
                </c:pt>
                <c:pt idx="221">
                  <c:v>3.0560000000000004E-2</c:v>
                </c:pt>
                <c:pt idx="222">
                  <c:v>0.1038</c:v>
                </c:pt>
                <c:pt idx="223">
                  <c:v>0.11921999999999999</c:v>
                </c:pt>
                <c:pt idx="224">
                  <c:v>-6.4720000000000028E-2</c:v>
                </c:pt>
                <c:pt idx="225">
                  <c:v>3.0359999999999991E-2</c:v>
                </c:pt>
                <c:pt idx="226">
                  <c:v>-3.9999999999999758E-4</c:v>
                </c:pt>
                <c:pt idx="227">
                  <c:v>7.8200000000000006E-2</c:v>
                </c:pt>
                <c:pt idx="228">
                  <c:v>2.75E-2</c:v>
                </c:pt>
                <c:pt idx="229">
                  <c:v>-4.9180000000000015E-2</c:v>
                </c:pt>
                <c:pt idx="230">
                  <c:v>7.9449999999999993E-2</c:v>
                </c:pt>
                <c:pt idx="231">
                  <c:v>-5.4919999999999997E-2</c:v>
                </c:pt>
                <c:pt idx="232">
                  <c:v>0.11531</c:v>
                </c:pt>
                <c:pt idx="233">
                  <c:v>-1.0880000000000001E-2</c:v>
                </c:pt>
                <c:pt idx="234">
                  <c:v>2.9000000000000008E-2</c:v>
                </c:pt>
                <c:pt idx="235">
                  <c:v>-4.5920000000000002E-2</c:v>
                </c:pt>
                <c:pt idx="236">
                  <c:v>1.5800000000000002E-2</c:v>
                </c:pt>
                <c:pt idx="237">
                  <c:v>-6.7989999999999995E-2</c:v>
                </c:pt>
                <c:pt idx="238">
                  <c:v>1.456E-2</c:v>
                </c:pt>
                <c:pt idx="239">
                  <c:v>-1.6619999999999996E-2</c:v>
                </c:pt>
                <c:pt idx="240">
                  <c:v>9.6360000000000001E-2</c:v>
                </c:pt>
                <c:pt idx="241">
                  <c:v>-3.5400000000000015E-3</c:v>
                </c:pt>
                <c:pt idx="242">
                  <c:v>-0.11545000000000001</c:v>
                </c:pt>
                <c:pt idx="243">
                  <c:v>-1.8239999999999999E-2</c:v>
                </c:pt>
                <c:pt idx="244">
                  <c:v>-3.3029999999999997E-2</c:v>
                </c:pt>
                <c:pt idx="245">
                  <c:v>2.8029999999999999E-2</c:v>
                </c:pt>
                <c:pt idx="246">
                  <c:v>-3.9949999999999999E-2</c:v>
                </c:pt>
                <c:pt idx="247">
                  <c:v>-6.3E-2</c:v>
                </c:pt>
                <c:pt idx="248">
                  <c:v>7.4090000000000003E-2</c:v>
                </c:pt>
                <c:pt idx="249">
                  <c:v>-2.7799999999999998E-2</c:v>
                </c:pt>
                <c:pt idx="250">
                  <c:v>3.2000000000000006E-3</c:v>
                </c:pt>
                <c:pt idx="251">
                  <c:v>-6.879999999999999E-3</c:v>
                </c:pt>
                <c:pt idx="252">
                  <c:v>3.2900000000000006E-2</c:v>
                </c:pt>
                <c:pt idx="253">
                  <c:v>-3.7950000000000005E-2</c:v>
                </c:pt>
                <c:pt idx="254">
                  <c:v>7.4150000000000008E-2</c:v>
                </c:pt>
                <c:pt idx="255">
                  <c:v>5.4279999999999995E-2</c:v>
                </c:pt>
                <c:pt idx="256">
                  <c:v>1.4919999999999999E-2</c:v>
                </c:pt>
                <c:pt idx="257">
                  <c:v>4.4719999999999996E-2</c:v>
                </c:pt>
                <c:pt idx="258">
                  <c:v>2.6529999999999998E-2</c:v>
                </c:pt>
                <c:pt idx="259">
                  <c:v>4.6899999999999997E-3</c:v>
                </c:pt>
                <c:pt idx="260">
                  <c:v>-1.346E-2</c:v>
                </c:pt>
                <c:pt idx="261">
                  <c:v>-1.5999999999999955E-4</c:v>
                </c:pt>
                <c:pt idx="262">
                  <c:v>5.1159999999999997E-2</c:v>
                </c:pt>
                <c:pt idx="263">
                  <c:v>-1.9199999999999998E-3</c:v>
                </c:pt>
                <c:pt idx="264">
                  <c:v>5.4999999999999997E-3</c:v>
                </c:pt>
                <c:pt idx="265">
                  <c:v>4.9999999999999871E-4</c:v>
                </c:pt>
                <c:pt idx="266">
                  <c:v>-4.741999999999999E-2</c:v>
                </c:pt>
                <c:pt idx="267">
                  <c:v>8.14E-2</c:v>
                </c:pt>
                <c:pt idx="268">
                  <c:v>4.429999999999999E-3</c:v>
                </c:pt>
                <c:pt idx="269">
                  <c:v>4.3499999999999997E-2</c:v>
                </c:pt>
                <c:pt idx="270">
                  <c:v>1.434E-2</c:v>
                </c:pt>
                <c:pt idx="271">
                  <c:v>1.2E-2</c:v>
                </c:pt>
                <c:pt idx="272">
                  <c:v>0.10634999999999999</c:v>
                </c:pt>
                <c:pt idx="273">
                  <c:v>-7.374E-2</c:v>
                </c:pt>
                <c:pt idx="274">
                  <c:v>-2.2760000000000006E-2</c:v>
                </c:pt>
                <c:pt idx="275">
                  <c:v>4.0260000000000004E-2</c:v>
                </c:pt>
                <c:pt idx="276">
                  <c:v>6.0999999999999999E-2</c:v>
                </c:pt>
                <c:pt idx="277">
                  <c:v>4.5149999999999996E-2</c:v>
                </c:pt>
                <c:pt idx="278">
                  <c:v>2E-3</c:v>
                </c:pt>
                <c:pt idx="279">
                  <c:v>-4.2999999999999997E-2</c:v>
                </c:pt>
                <c:pt idx="280">
                  <c:v>4.5240000000000002E-2</c:v>
                </c:pt>
                <c:pt idx="281">
                  <c:v>-7.5789999999999982E-2</c:v>
                </c:pt>
                <c:pt idx="282">
                  <c:v>-1.992E-2</c:v>
                </c:pt>
                <c:pt idx="283">
                  <c:v>-1.6E-2</c:v>
                </c:pt>
                <c:pt idx="284">
                  <c:v>7.6950000000000005E-2</c:v>
                </c:pt>
                <c:pt idx="285">
                  <c:v>3.3090000000000001E-2</c:v>
                </c:pt>
                <c:pt idx="286">
                  <c:v>-5.1619999999999999E-2</c:v>
                </c:pt>
                <c:pt idx="287">
                  <c:v>7.4999999999999997E-2</c:v>
                </c:pt>
                <c:pt idx="288">
                  <c:v>-5.577E-2</c:v>
                </c:pt>
                <c:pt idx="289">
                  <c:v>0.23675000000000002</c:v>
                </c:pt>
                <c:pt idx="290">
                  <c:v>-4.0459999999999996E-2</c:v>
                </c:pt>
                <c:pt idx="291">
                  <c:v>8.4419999999999995E-2</c:v>
                </c:pt>
                <c:pt idx="292">
                  <c:v>-4.6920000000000003E-2</c:v>
                </c:pt>
                <c:pt idx="293">
                  <c:v>-4.2959999999999998E-2</c:v>
                </c:pt>
                <c:pt idx="294">
                  <c:v>0.16838</c:v>
                </c:pt>
                <c:pt idx="295">
                  <c:v>-0.14615999999999998</c:v>
                </c:pt>
                <c:pt idx="296">
                  <c:v>5.901E-2</c:v>
                </c:pt>
                <c:pt idx="297">
                  <c:v>0.10288</c:v>
                </c:pt>
                <c:pt idx="298">
                  <c:v>-3.0769999999999999E-2</c:v>
                </c:pt>
                <c:pt idx="299">
                  <c:v>3.2599999999999997E-2</c:v>
                </c:pt>
                <c:pt idx="300">
                  <c:v>-0.1222</c:v>
                </c:pt>
                <c:pt idx="301">
                  <c:v>7.3509999999999992E-2</c:v>
                </c:pt>
                <c:pt idx="302">
                  <c:v>-8.1799999999999998E-3</c:v>
                </c:pt>
                <c:pt idx="303">
                  <c:v>4.3200000000000009E-3</c:v>
                </c:pt>
                <c:pt idx="304">
                  <c:v>4.1999999999999996E-2</c:v>
                </c:pt>
                <c:pt idx="305">
                  <c:v>6.499999999999978E-4</c:v>
                </c:pt>
                <c:pt idx="306">
                  <c:v>7.6099999999999987E-2</c:v>
                </c:pt>
                <c:pt idx="307">
                  <c:v>6.8900000000000003E-2</c:v>
                </c:pt>
                <c:pt idx="308">
                  <c:v>1.9200000000000002E-2</c:v>
                </c:pt>
                <c:pt idx="309">
                  <c:v>6.5939999999999999E-2</c:v>
                </c:pt>
                <c:pt idx="310">
                  <c:v>1.1800000000000001E-2</c:v>
                </c:pt>
                <c:pt idx="311">
                  <c:v>-4.1110000000000001E-2</c:v>
                </c:pt>
                <c:pt idx="312">
                  <c:v>-3.0159999999999999E-2</c:v>
                </c:pt>
                <c:pt idx="313">
                  <c:v>6.4160000000000009E-2</c:v>
                </c:pt>
                <c:pt idx="314">
                  <c:v>-6.5899999999999995E-3</c:v>
                </c:pt>
                <c:pt idx="315">
                  <c:v>2.4900000000000013E-3</c:v>
                </c:pt>
                <c:pt idx="316">
                  <c:v>-1.0330000000000006E-2</c:v>
                </c:pt>
                <c:pt idx="317">
                  <c:v>9.9160000000000012E-2</c:v>
                </c:pt>
                <c:pt idx="318">
                  <c:v>0.14462</c:v>
                </c:pt>
                <c:pt idx="319">
                  <c:v>3.1810000000000005E-2</c:v>
                </c:pt>
                <c:pt idx="320">
                  <c:v>1.8110000000000005E-2</c:v>
                </c:pt>
                <c:pt idx="321">
                  <c:v>0.10396000000000001</c:v>
                </c:pt>
                <c:pt idx="322">
                  <c:v>2.3440000000000009E-2</c:v>
                </c:pt>
                <c:pt idx="323">
                  <c:v>0.21207999999999999</c:v>
                </c:pt>
                <c:pt idx="324">
                  <c:v>-4.1299999999999996E-2</c:v>
                </c:pt>
                <c:pt idx="325">
                  <c:v>1.3679999999999998E-2</c:v>
                </c:pt>
                <c:pt idx="326">
                  <c:v>6.6920000000000007E-2</c:v>
                </c:pt>
                <c:pt idx="327">
                  <c:v>3.7000000000000005E-2</c:v>
                </c:pt>
                <c:pt idx="328">
                  <c:v>9.8600000000000007E-3</c:v>
                </c:pt>
                <c:pt idx="329">
                  <c:v>1.6080000000000001E-2</c:v>
                </c:pt>
                <c:pt idx="330">
                  <c:v>2.6599999999999974E-3</c:v>
                </c:pt>
                <c:pt idx="331">
                  <c:v>-8.7200000000000021E-3</c:v>
                </c:pt>
                <c:pt idx="332">
                  <c:v>1.5720000000000001E-2</c:v>
                </c:pt>
                <c:pt idx="333">
                  <c:v>6.5499999999999977E-3</c:v>
                </c:pt>
                <c:pt idx="334">
                  <c:v>1.4179999999999998E-2</c:v>
                </c:pt>
                <c:pt idx="335">
                  <c:v>2.2379999999999997E-2</c:v>
                </c:pt>
                <c:pt idx="336">
                  <c:v>5.4959999999999995E-2</c:v>
                </c:pt>
                <c:pt idx="337">
                  <c:v>2.0640000000000006E-2</c:v>
                </c:pt>
                <c:pt idx="338">
                  <c:v>5.5899999999999998E-2</c:v>
                </c:pt>
                <c:pt idx="339">
                  <c:v>3.5860000000000003E-2</c:v>
                </c:pt>
                <c:pt idx="340">
                  <c:v>-1.3799999999999923E-3</c:v>
                </c:pt>
                <c:pt idx="341">
                  <c:v>9.9399999999999988E-2</c:v>
                </c:pt>
                <c:pt idx="342">
                  <c:v>2.8400000000000002E-2</c:v>
                </c:pt>
                <c:pt idx="343">
                  <c:v>2.1230000000000002E-2</c:v>
                </c:pt>
                <c:pt idx="344">
                  <c:v>-3.5000000000000003E-2</c:v>
                </c:pt>
                <c:pt idx="345">
                  <c:v>2.7599999999999993E-2</c:v>
                </c:pt>
                <c:pt idx="346">
                  <c:v>-0.10650999999999999</c:v>
                </c:pt>
                <c:pt idx="347">
                  <c:v>6.4739999999999992E-2</c:v>
                </c:pt>
                <c:pt idx="348">
                  <c:v>-6.0700000000000004E-2</c:v>
                </c:pt>
                <c:pt idx="349">
                  <c:v>7.6399999999999996E-2</c:v>
                </c:pt>
                <c:pt idx="350">
                  <c:v>-5.8799999999999998E-2</c:v>
                </c:pt>
                <c:pt idx="351">
                  <c:v>8.0719999999999986E-2</c:v>
                </c:pt>
                <c:pt idx="352">
                  <c:v>1.2720000000000002E-2</c:v>
                </c:pt>
                <c:pt idx="353">
                  <c:v>-7.3050000000000004E-2</c:v>
                </c:pt>
                <c:pt idx="354">
                  <c:v>0.10754</c:v>
                </c:pt>
                <c:pt idx="355">
                  <c:v>2.3279999999999999E-2</c:v>
                </c:pt>
                <c:pt idx="356">
                  <c:v>-8.9349999999999999E-2</c:v>
                </c:pt>
                <c:pt idx="357">
                  <c:v>0.12175000000000001</c:v>
                </c:pt>
                <c:pt idx="358">
                  <c:v>4.3520000000000003E-2</c:v>
                </c:pt>
                <c:pt idx="359">
                  <c:v>-0.11290000000000001</c:v>
                </c:pt>
                <c:pt idx="360">
                  <c:v>0.13324</c:v>
                </c:pt>
                <c:pt idx="361">
                  <c:v>-5.0399999999999993E-3</c:v>
                </c:pt>
                <c:pt idx="362">
                  <c:v>8.6699999999999999E-2</c:v>
                </c:pt>
                <c:pt idx="363">
                  <c:v>-0.12955</c:v>
                </c:pt>
                <c:pt idx="364">
                  <c:v>-8.2000000000000007E-3</c:v>
                </c:pt>
                <c:pt idx="365">
                  <c:v>3.372E-2</c:v>
                </c:pt>
                <c:pt idx="366">
                  <c:v>3.9199999999999999E-2</c:v>
                </c:pt>
                <c:pt idx="367">
                  <c:v>2.1700000000000001E-2</c:v>
                </c:pt>
                <c:pt idx="368">
                  <c:v>1.7219999999999999E-2</c:v>
                </c:pt>
                <c:pt idx="369">
                  <c:v>0.10200000000000001</c:v>
                </c:pt>
                <c:pt idx="370">
                  <c:v>4.0120000000000003E-2</c:v>
                </c:pt>
                <c:pt idx="371">
                  <c:v>-5.688E-2</c:v>
                </c:pt>
                <c:pt idx="372">
                  <c:v>9.1980000000000006E-2</c:v>
                </c:pt>
                <c:pt idx="373">
                  <c:v>6.3390000000000002E-2</c:v>
                </c:pt>
                <c:pt idx="374">
                  <c:v>9.647E-2</c:v>
                </c:pt>
                <c:pt idx="375">
                  <c:v>5.1499999999999997E-2</c:v>
                </c:pt>
                <c:pt idx="376">
                  <c:v>4.4240000000000002E-2</c:v>
                </c:pt>
                <c:pt idx="377">
                  <c:v>-3.9059999999999997E-2</c:v>
                </c:pt>
                <c:pt idx="378">
                  <c:v>7.2800000000000009E-3</c:v>
                </c:pt>
                <c:pt idx="379">
                  <c:v>2.4120000000000003E-2</c:v>
                </c:pt>
                <c:pt idx="380">
                  <c:v>2.3350000000000003E-2</c:v>
                </c:pt>
                <c:pt idx="381">
                  <c:v>-3.9749999999999994E-2</c:v>
                </c:pt>
                <c:pt idx="382">
                  <c:v>4.3000000000000003E-2</c:v>
                </c:pt>
                <c:pt idx="383">
                  <c:v>-2.8500000000000018E-3</c:v>
                </c:pt>
                <c:pt idx="384">
                  <c:v>-4.0999999999999995E-3</c:v>
                </c:pt>
                <c:pt idx="385">
                  <c:v>-1.9000000000000003E-2</c:v>
                </c:pt>
                <c:pt idx="386">
                  <c:v>5.509E-2</c:v>
                </c:pt>
                <c:pt idx="387">
                  <c:v>4.3000000000000003E-2</c:v>
                </c:pt>
                <c:pt idx="388">
                  <c:v>1.609E-2</c:v>
                </c:pt>
                <c:pt idx="389">
                  <c:v>6.386E-2</c:v>
                </c:pt>
                <c:pt idx="390">
                  <c:v>3.295E-2</c:v>
                </c:pt>
                <c:pt idx="391">
                  <c:v>0.1004</c:v>
                </c:pt>
                <c:pt idx="392">
                  <c:v>-2.7120000000000002E-2</c:v>
                </c:pt>
                <c:pt idx="393">
                  <c:v>2.1180000000000001E-2</c:v>
                </c:pt>
                <c:pt idx="394">
                  <c:v>7.1879999999999999E-2</c:v>
                </c:pt>
                <c:pt idx="395">
                  <c:v>7.0940000000000003E-2</c:v>
                </c:pt>
                <c:pt idx="396">
                  <c:v>-0.13921</c:v>
                </c:pt>
                <c:pt idx="397">
                  <c:v>5.2459999999999993E-2</c:v>
                </c:pt>
                <c:pt idx="398">
                  <c:v>8.8500000000000002E-3</c:v>
                </c:pt>
                <c:pt idx="399">
                  <c:v>-4.2040000000000008E-2</c:v>
                </c:pt>
                <c:pt idx="400">
                  <c:v>7.7910000000000007E-2</c:v>
                </c:pt>
                <c:pt idx="401">
                  <c:v>-3.44E-2</c:v>
                </c:pt>
                <c:pt idx="402">
                  <c:v>3.15E-3</c:v>
                </c:pt>
                <c:pt idx="403">
                  <c:v>-6.1000000000000117E-4</c:v>
                </c:pt>
                <c:pt idx="404">
                  <c:v>2.7200000000000005E-2</c:v>
                </c:pt>
                <c:pt idx="405">
                  <c:v>-6.6640000000000005E-2</c:v>
                </c:pt>
                <c:pt idx="406">
                  <c:v>0.11308</c:v>
                </c:pt>
                <c:pt idx="407">
                  <c:v>2.1080000000000002E-2</c:v>
                </c:pt>
                <c:pt idx="408">
                  <c:v>6.225E-2</c:v>
                </c:pt>
                <c:pt idx="409">
                  <c:v>-1.2480000000000002E-2</c:v>
                </c:pt>
                <c:pt idx="410">
                  <c:v>-5.4950000000000006E-2</c:v>
                </c:pt>
                <c:pt idx="411">
                  <c:v>8.4790000000000004E-2</c:v>
                </c:pt>
                <c:pt idx="412">
                  <c:v>-0.11647999999999999</c:v>
                </c:pt>
                <c:pt idx="413">
                  <c:v>9.0600000000000014E-2</c:v>
                </c:pt>
                <c:pt idx="414">
                  <c:v>-0.1</c:v>
                </c:pt>
                <c:pt idx="415">
                  <c:v>9.1999999999999998E-2</c:v>
                </c:pt>
                <c:pt idx="416">
                  <c:v>-3.6250000000000004E-2</c:v>
                </c:pt>
                <c:pt idx="417">
                  <c:v>8.3639999999999992E-2</c:v>
                </c:pt>
                <c:pt idx="418">
                  <c:v>0.11283</c:v>
                </c:pt>
                <c:pt idx="419">
                  <c:v>-0.12432</c:v>
                </c:pt>
                <c:pt idx="420">
                  <c:v>0.123</c:v>
                </c:pt>
                <c:pt idx="421">
                  <c:v>5.152000000000001E-2</c:v>
                </c:pt>
                <c:pt idx="422">
                  <c:v>-3.7760000000000002E-2</c:v>
                </c:pt>
                <c:pt idx="423">
                  <c:v>5.2839999999999998E-2</c:v>
                </c:pt>
                <c:pt idx="424">
                  <c:v>-0.12000999999999999</c:v>
                </c:pt>
                <c:pt idx="425">
                  <c:v>9.0639999999999998E-2</c:v>
                </c:pt>
                <c:pt idx="426">
                  <c:v>2.9760000000000002E-2</c:v>
                </c:pt>
                <c:pt idx="427">
                  <c:v>4.1999999999999996E-2</c:v>
                </c:pt>
                <c:pt idx="428">
                  <c:v>-5.9199999999999947E-3</c:v>
                </c:pt>
                <c:pt idx="429">
                  <c:v>5.6520000000000001E-2</c:v>
                </c:pt>
                <c:pt idx="430">
                  <c:v>-1.2549999999999999E-2</c:v>
                </c:pt>
                <c:pt idx="431">
                  <c:v>3.4849999999999999E-2</c:v>
                </c:pt>
                <c:pt idx="432">
                  <c:v>5.7550000000000004E-2</c:v>
                </c:pt>
                <c:pt idx="433">
                  <c:v>2.6700000000000008E-2</c:v>
                </c:pt>
                <c:pt idx="434">
                  <c:v>0.10782</c:v>
                </c:pt>
                <c:pt idx="435">
                  <c:v>5.3999999999999992E-2</c:v>
                </c:pt>
                <c:pt idx="436">
                  <c:v>4.1959999999999997E-2</c:v>
                </c:pt>
                <c:pt idx="437">
                  <c:v>5.4570000000000007E-2</c:v>
                </c:pt>
                <c:pt idx="438">
                  <c:v>2.7049999999999994E-2</c:v>
                </c:pt>
                <c:pt idx="439">
                  <c:v>7.8179999999999999E-2</c:v>
                </c:pt>
                <c:pt idx="440">
                  <c:v>7.0740000000000011E-2</c:v>
                </c:pt>
                <c:pt idx="441">
                  <c:v>0.13729999999999998</c:v>
                </c:pt>
                <c:pt idx="442">
                  <c:v>0.11602999999999999</c:v>
                </c:pt>
                <c:pt idx="443">
                  <c:v>4.4249999999999998E-2</c:v>
                </c:pt>
                <c:pt idx="444">
                  <c:v>-2.4029999999999996E-2</c:v>
                </c:pt>
                <c:pt idx="445">
                  <c:v>9.0199999999999985E-3</c:v>
                </c:pt>
                <c:pt idx="446">
                  <c:v>4.7659999999999994E-2</c:v>
                </c:pt>
                <c:pt idx="447">
                  <c:v>3.2320000000000002E-2</c:v>
                </c:pt>
                <c:pt idx="448">
                  <c:v>-1.0279999999999999E-2</c:v>
                </c:pt>
                <c:pt idx="449">
                  <c:v>6.5720000000000001E-2</c:v>
                </c:pt>
                <c:pt idx="450">
                  <c:v>1.1150000000000002E-2</c:v>
                </c:pt>
                <c:pt idx="451">
                  <c:v>3.7199999999999997E-2</c:v>
                </c:pt>
                <c:pt idx="452">
                  <c:v>4.5199999999999997E-2</c:v>
                </c:pt>
                <c:pt idx="453">
                  <c:v>6.3799999999999996E-2</c:v>
                </c:pt>
                <c:pt idx="454">
                  <c:v>3.7300000000000007E-2</c:v>
                </c:pt>
                <c:pt idx="455">
                  <c:v>6.3579999999999998E-2</c:v>
                </c:pt>
                <c:pt idx="456">
                  <c:v>8.1000000000000003E-2</c:v>
                </c:pt>
                <c:pt idx="457">
                  <c:v>0.10299999999999999</c:v>
                </c:pt>
                <c:pt idx="458">
                  <c:v>7.0960000000000009E-2</c:v>
                </c:pt>
                <c:pt idx="459">
                  <c:v>1.4839999999999999E-2</c:v>
                </c:pt>
                <c:pt idx="460">
                  <c:v>4.9600000000000005E-2</c:v>
                </c:pt>
                <c:pt idx="461">
                  <c:v>-8.6720000000000005E-2</c:v>
                </c:pt>
                <c:pt idx="462">
                  <c:v>5.7099999999999998E-2</c:v>
                </c:pt>
                <c:pt idx="463">
                  <c:v>-3.4950000000000009E-2</c:v>
                </c:pt>
                <c:pt idx="464">
                  <c:v>4.616E-2</c:v>
                </c:pt>
                <c:pt idx="465">
                  <c:v>5.5780000000000003E-2</c:v>
                </c:pt>
                <c:pt idx="466">
                  <c:v>-5.7520000000000002E-2</c:v>
                </c:pt>
                <c:pt idx="467">
                  <c:v>1.2479999999999998E-2</c:v>
                </c:pt>
                <c:pt idx="468">
                  <c:v>2.7760000000000007E-2</c:v>
                </c:pt>
                <c:pt idx="469">
                  <c:v>0.1215</c:v>
                </c:pt>
                <c:pt idx="470">
                  <c:v>0.13642000000000001</c:v>
                </c:pt>
                <c:pt idx="471">
                  <c:v>2.3230000000000008E-2</c:v>
                </c:pt>
                <c:pt idx="472">
                  <c:v>-5.3849999999999995E-2</c:v>
                </c:pt>
                <c:pt idx="473">
                  <c:v>1.7000000000000001E-2</c:v>
                </c:pt>
                <c:pt idx="474">
                  <c:v>8.4829999999999989E-2</c:v>
                </c:pt>
                <c:pt idx="475">
                  <c:v>4.9670000000000006E-2</c:v>
                </c:pt>
                <c:pt idx="476">
                  <c:v>-2.836000000000001E-2</c:v>
                </c:pt>
                <c:pt idx="477">
                  <c:v>2.0550000000000002E-2</c:v>
                </c:pt>
                <c:pt idx="478">
                  <c:v>1.2930000000000001E-2</c:v>
                </c:pt>
                <c:pt idx="479">
                  <c:v>6.6400000000000001E-3</c:v>
                </c:pt>
                <c:pt idx="480">
                  <c:v>-9.1700000000000011E-3</c:v>
                </c:pt>
                <c:pt idx="481">
                  <c:v>-1.0879999999999997E-2</c:v>
                </c:pt>
                <c:pt idx="482">
                  <c:v>2.9750000000000002E-2</c:v>
                </c:pt>
                <c:pt idx="483">
                  <c:v>8.2200000000000016E-3</c:v>
                </c:pt>
                <c:pt idx="484">
                  <c:v>9.9200000000000017E-3</c:v>
                </c:pt>
                <c:pt idx="485">
                  <c:v>1.074E-2</c:v>
                </c:pt>
                <c:pt idx="486">
                  <c:v>1.8720000000000001E-2</c:v>
                </c:pt>
                <c:pt idx="487">
                  <c:v>2.7899999999999998E-2</c:v>
                </c:pt>
                <c:pt idx="488">
                  <c:v>1.8709999999999997E-2</c:v>
                </c:pt>
                <c:pt idx="489">
                  <c:v>3.7519999999999998E-2</c:v>
                </c:pt>
                <c:pt idx="490">
                  <c:v>7.2450000000000001E-2</c:v>
                </c:pt>
                <c:pt idx="491">
                  <c:v>-1.6800000000000009E-3</c:v>
                </c:pt>
                <c:pt idx="492">
                  <c:v>5.2569999999999999E-2</c:v>
                </c:pt>
                <c:pt idx="493">
                  <c:v>4.7299999999999995E-2</c:v>
                </c:pt>
                <c:pt idx="494">
                  <c:v>7.9869999999999997E-2</c:v>
                </c:pt>
                <c:pt idx="495">
                  <c:v>-0.13899999999999998</c:v>
                </c:pt>
                <c:pt idx="496">
                  <c:v>6.0800000000000007E-2</c:v>
                </c:pt>
                <c:pt idx="497">
                  <c:v>-2.3100000000000002E-2</c:v>
                </c:pt>
                <c:pt idx="498">
                  <c:v>3.5590000000000004E-2</c:v>
                </c:pt>
                <c:pt idx="499">
                  <c:v>2.8999999999999998E-2</c:v>
                </c:pt>
                <c:pt idx="500">
                  <c:v>-2.0139999999999998E-2</c:v>
                </c:pt>
                <c:pt idx="501">
                  <c:v>6.198E-2</c:v>
                </c:pt>
                <c:pt idx="502">
                  <c:v>-2.7739999999999997E-2</c:v>
                </c:pt>
                <c:pt idx="503">
                  <c:v>6.0659999999999999E-2</c:v>
                </c:pt>
                <c:pt idx="504">
                  <c:v>-4.0000000000000105E-5</c:v>
                </c:pt>
                <c:pt idx="505">
                  <c:v>-2.368E-2</c:v>
                </c:pt>
                <c:pt idx="506">
                  <c:v>5.5970000000000006E-2</c:v>
                </c:pt>
                <c:pt idx="507">
                  <c:v>5.9580000000000001E-2</c:v>
                </c:pt>
                <c:pt idx="508">
                  <c:v>-3.4169999999999999E-2</c:v>
                </c:pt>
                <c:pt idx="509">
                  <c:v>6.6840000000000011E-2</c:v>
                </c:pt>
                <c:pt idx="510">
                  <c:v>2.2499999999999999E-2</c:v>
                </c:pt>
                <c:pt idx="511">
                  <c:v>1.7500000000000002E-2</c:v>
                </c:pt>
                <c:pt idx="512">
                  <c:v>2.0279999999999999E-2</c:v>
                </c:pt>
                <c:pt idx="513">
                  <c:v>-4.7640000000000002E-2</c:v>
                </c:pt>
                <c:pt idx="514">
                  <c:v>-3.8100000000000002E-2</c:v>
                </c:pt>
                <c:pt idx="515">
                  <c:v>-2.8799999999999999E-2</c:v>
                </c:pt>
                <c:pt idx="516">
                  <c:v>4.666E-2</c:v>
                </c:pt>
                <c:pt idx="517">
                  <c:v>2.4800000000000003E-2</c:v>
                </c:pt>
                <c:pt idx="518">
                  <c:v>-3.2100000000000002E-3</c:v>
                </c:pt>
                <c:pt idx="519">
                  <c:v>2.2180000000000002E-2</c:v>
                </c:pt>
                <c:pt idx="520">
                  <c:v>4.1049999999999996E-2</c:v>
                </c:pt>
                <c:pt idx="521">
                  <c:v>5.3200000000000018E-3</c:v>
                </c:pt>
                <c:pt idx="522">
                  <c:v>-3.2099999999999993E-3</c:v>
                </c:pt>
                <c:pt idx="523">
                  <c:v>3.909E-2</c:v>
                </c:pt>
                <c:pt idx="524">
                  <c:v>3.1149999999999997E-2</c:v>
                </c:pt>
                <c:pt idx="525">
                  <c:v>6.3049999999999995E-2</c:v>
                </c:pt>
                <c:pt idx="526">
                  <c:v>3.0360000000000002E-2</c:v>
                </c:pt>
                <c:pt idx="527">
                  <c:v>2.5880000000000004E-2</c:v>
                </c:pt>
                <c:pt idx="528">
                  <c:v>5.3000000000000012E-2</c:v>
                </c:pt>
                <c:pt idx="529">
                  <c:v>-5.813999999999999E-2</c:v>
                </c:pt>
                <c:pt idx="530">
                  <c:v>-2.52E-2</c:v>
                </c:pt>
                <c:pt idx="531">
                  <c:v>0.16311999999999999</c:v>
                </c:pt>
                <c:pt idx="532">
                  <c:v>-8.2199999999999981E-3</c:v>
                </c:pt>
                <c:pt idx="533">
                  <c:v>3.1620000000000002E-2</c:v>
                </c:pt>
                <c:pt idx="534">
                  <c:v>3.3079999999999998E-2</c:v>
                </c:pt>
                <c:pt idx="535">
                  <c:v>9.0950000000000003E-2</c:v>
                </c:pt>
                <c:pt idx="536">
                  <c:v>1.3050000000000003E-2</c:v>
                </c:pt>
                <c:pt idx="537">
                  <c:v>3.7450000000000004E-2</c:v>
                </c:pt>
                <c:pt idx="538">
                  <c:v>8.3200000000000045E-3</c:v>
                </c:pt>
                <c:pt idx="539">
                  <c:v>0.11807999999999999</c:v>
                </c:pt>
                <c:pt idx="540">
                  <c:v>1.3559999999999999E-2</c:v>
                </c:pt>
                <c:pt idx="541">
                  <c:v>4.9399999999999999E-2</c:v>
                </c:pt>
                <c:pt idx="542">
                  <c:v>0.13644000000000001</c:v>
                </c:pt>
                <c:pt idx="543">
                  <c:v>-6.8419999999999995E-2</c:v>
                </c:pt>
                <c:pt idx="544">
                  <c:v>3.3989999999999979E-2</c:v>
                </c:pt>
                <c:pt idx="545">
                  <c:v>4.1359999999999994E-2</c:v>
                </c:pt>
                <c:pt idx="546">
                  <c:v>6.0999999999999995E-3</c:v>
                </c:pt>
                <c:pt idx="547">
                  <c:v>1.3979999999999999E-2</c:v>
                </c:pt>
                <c:pt idx="548">
                  <c:v>-4.7720000000000005E-2</c:v>
                </c:pt>
                <c:pt idx="549">
                  <c:v>-3.1670000000000004E-2</c:v>
                </c:pt>
                <c:pt idx="550">
                  <c:v>6.7489999999999994E-2</c:v>
                </c:pt>
                <c:pt idx="551">
                  <c:v>2.1199999999999997E-2</c:v>
                </c:pt>
                <c:pt idx="552">
                  <c:v>-5.9300000000000004E-3</c:v>
                </c:pt>
                <c:pt idx="553">
                  <c:v>2.018E-2</c:v>
                </c:pt>
                <c:pt idx="554">
                  <c:v>2.219999999999998E-3</c:v>
                </c:pt>
                <c:pt idx="555">
                  <c:v>1.358E-2</c:v>
                </c:pt>
                <c:pt idx="556">
                  <c:v>1.1679999999999999E-2</c:v>
                </c:pt>
                <c:pt idx="557">
                  <c:v>2.6040000000000001E-2</c:v>
                </c:pt>
                <c:pt idx="558">
                  <c:v>1.9E-2</c:v>
                </c:pt>
                <c:pt idx="559">
                  <c:v>8.0740000000000006E-2</c:v>
                </c:pt>
                <c:pt idx="560">
                  <c:v>-6.7199999999999968E-3</c:v>
                </c:pt>
                <c:pt idx="561">
                  <c:v>2.1160000000000005E-2</c:v>
                </c:pt>
                <c:pt idx="562">
                  <c:v>5.0990000000000001E-2</c:v>
                </c:pt>
                <c:pt idx="563">
                  <c:v>2.3599999999999993E-2</c:v>
                </c:pt>
                <c:pt idx="564">
                  <c:v>4.0999999999999995E-2</c:v>
                </c:pt>
                <c:pt idx="565">
                  <c:v>-0.14441999999999999</c:v>
                </c:pt>
                <c:pt idx="566">
                  <c:v>5.3200000000000004E-2</c:v>
                </c:pt>
                <c:pt idx="567">
                  <c:v>1.1400000000000004E-2</c:v>
                </c:pt>
                <c:pt idx="568">
                  <c:v>1.3159999999999995E-2</c:v>
                </c:pt>
                <c:pt idx="569">
                  <c:v>0.11312</c:v>
                </c:pt>
                <c:pt idx="570">
                  <c:v>-3.0259999999999995E-2</c:v>
                </c:pt>
                <c:pt idx="571">
                  <c:v>0.13100000000000001</c:v>
                </c:pt>
                <c:pt idx="572">
                  <c:v>-8.7999999999999995E-2</c:v>
                </c:pt>
                <c:pt idx="573">
                  <c:v>-0.10073000000000001</c:v>
                </c:pt>
                <c:pt idx="574">
                  <c:v>0.10753000000000001</c:v>
                </c:pt>
                <c:pt idx="575">
                  <c:v>1.4999999999999961E-3</c:v>
                </c:pt>
                <c:pt idx="576">
                  <c:v>9.1670000000000001E-2</c:v>
                </c:pt>
                <c:pt idx="577">
                  <c:v>0.15382999999999999</c:v>
                </c:pt>
                <c:pt idx="578">
                  <c:v>-2.622E-2</c:v>
                </c:pt>
                <c:pt idx="579">
                  <c:v>4.1950000000000001E-2</c:v>
                </c:pt>
                <c:pt idx="580">
                  <c:v>-4.8449999999999993E-2</c:v>
                </c:pt>
                <c:pt idx="581">
                  <c:v>-4.4000000000000011E-3</c:v>
                </c:pt>
                <c:pt idx="582">
                  <c:v>5.842E-2</c:v>
                </c:pt>
                <c:pt idx="583">
                  <c:v>-2.3060000000000001E-2</c:v>
                </c:pt>
                <c:pt idx="584">
                  <c:v>-3.5009999999999999E-2</c:v>
                </c:pt>
                <c:pt idx="585">
                  <c:v>-2.0840000000000004E-2</c:v>
                </c:pt>
                <c:pt idx="586">
                  <c:v>5.2040000000000003E-2</c:v>
                </c:pt>
                <c:pt idx="587">
                  <c:v>4.4679999999999997E-2</c:v>
                </c:pt>
                <c:pt idx="588">
                  <c:v>3.2680000000000001E-2</c:v>
                </c:pt>
                <c:pt idx="589">
                  <c:v>4.0600000000000002E-3</c:v>
                </c:pt>
                <c:pt idx="590">
                  <c:v>3.599999999999999E-3</c:v>
                </c:pt>
                <c:pt idx="591">
                  <c:v>3.1440000000000003E-2</c:v>
                </c:pt>
                <c:pt idx="592">
                  <c:v>-3.1300000000000001E-2</c:v>
                </c:pt>
                <c:pt idx="593">
                  <c:v>0.10855000000000001</c:v>
                </c:pt>
                <c:pt idx="594">
                  <c:v>-5.2000000000000032E-3</c:v>
                </c:pt>
                <c:pt idx="595">
                  <c:v>-2.2400000000000059E-3</c:v>
                </c:pt>
                <c:pt idx="596">
                  <c:v>-7.0460000000000009E-2</c:v>
                </c:pt>
                <c:pt idx="597">
                  <c:v>-3.9750000000000008E-2</c:v>
                </c:pt>
                <c:pt idx="598">
                  <c:v>7.5509999999999994E-2</c:v>
                </c:pt>
                <c:pt idx="599">
                  <c:v>5.5799999999999995E-2</c:v>
                </c:pt>
                <c:pt idx="600">
                  <c:v>2.7299999999999998E-2</c:v>
                </c:pt>
                <c:pt idx="601">
                  <c:v>-2.6699999999999988E-3</c:v>
                </c:pt>
                <c:pt idx="602">
                  <c:v>-2.4099999999999996E-2</c:v>
                </c:pt>
                <c:pt idx="603">
                  <c:v>4.3720000000000009E-2</c:v>
                </c:pt>
                <c:pt idx="604">
                  <c:v>6.2700000000000006E-2</c:v>
                </c:pt>
                <c:pt idx="605">
                  <c:v>0.12200000000000001</c:v>
                </c:pt>
                <c:pt idx="606">
                  <c:v>-0.20011999999999996</c:v>
                </c:pt>
                <c:pt idx="607">
                  <c:v>6.9980000000000001E-2</c:v>
                </c:pt>
                <c:pt idx="608">
                  <c:v>-8.2659999999999997E-2</c:v>
                </c:pt>
                <c:pt idx="609">
                  <c:v>0.17088</c:v>
                </c:pt>
                <c:pt idx="610">
                  <c:v>0.13258000000000003</c:v>
                </c:pt>
                <c:pt idx="611">
                  <c:v>2.3640000000000001E-2</c:v>
                </c:pt>
                <c:pt idx="612">
                  <c:v>3.1050000000000001E-2</c:v>
                </c:pt>
                <c:pt idx="613">
                  <c:v>1.6320000000000001E-2</c:v>
                </c:pt>
                <c:pt idx="614">
                  <c:v>-3.2840000000000001E-2</c:v>
                </c:pt>
                <c:pt idx="615">
                  <c:v>-1.3120000000000007E-2</c:v>
                </c:pt>
                <c:pt idx="616">
                  <c:v>5.9380000000000002E-2</c:v>
                </c:pt>
                <c:pt idx="617">
                  <c:v>1.546E-2</c:v>
                </c:pt>
                <c:pt idx="618">
                  <c:v>-2.9999999999999992E-4</c:v>
                </c:pt>
                <c:pt idx="619">
                  <c:v>2.5000000000000001E-2</c:v>
                </c:pt>
                <c:pt idx="620">
                  <c:v>2.5160000000000002E-2</c:v>
                </c:pt>
                <c:pt idx="621">
                  <c:v>2.726E-2</c:v>
                </c:pt>
                <c:pt idx="622">
                  <c:v>1.6750000000000001E-2</c:v>
                </c:pt>
                <c:pt idx="623">
                  <c:v>5.142E-2</c:v>
                </c:pt>
                <c:pt idx="624">
                  <c:v>-9.5200000000000007E-3</c:v>
                </c:pt>
                <c:pt idx="625">
                  <c:v>6.4000000000000001E-2</c:v>
                </c:pt>
                <c:pt idx="626">
                  <c:v>2.0060000000000001E-2</c:v>
                </c:pt>
                <c:pt idx="627">
                  <c:v>7.9899999999999999E-2</c:v>
                </c:pt>
                <c:pt idx="628">
                  <c:v>5.8230000000000004E-2</c:v>
                </c:pt>
                <c:pt idx="629">
                  <c:v>5.101E-2</c:v>
                </c:pt>
                <c:pt idx="630">
                  <c:v>-4.0569999999999995E-2</c:v>
                </c:pt>
                <c:pt idx="631">
                  <c:v>-6.3700000000000041E-3</c:v>
                </c:pt>
                <c:pt idx="632">
                  <c:v>-3.1729999999999994E-2</c:v>
                </c:pt>
                <c:pt idx="633">
                  <c:v>3.653E-2</c:v>
                </c:pt>
                <c:pt idx="634">
                  <c:v>1.15E-2</c:v>
                </c:pt>
                <c:pt idx="635">
                  <c:v>-4.99E-2</c:v>
                </c:pt>
                <c:pt idx="636">
                  <c:v>2.9819999999999999E-2</c:v>
                </c:pt>
                <c:pt idx="637">
                  <c:v>3.6999999999999998E-2</c:v>
                </c:pt>
                <c:pt idx="638">
                  <c:v>-8.9959999999999998E-2</c:v>
                </c:pt>
                <c:pt idx="639">
                  <c:v>4.7200000000000006E-2</c:v>
                </c:pt>
                <c:pt idx="640">
                  <c:v>4.018E-2</c:v>
                </c:pt>
                <c:pt idx="641">
                  <c:v>4.0800000000000003E-2</c:v>
                </c:pt>
                <c:pt idx="642">
                  <c:v>0.1221</c:v>
                </c:pt>
                <c:pt idx="643">
                  <c:v>-6.5200000000000008E-2</c:v>
                </c:pt>
                <c:pt idx="644">
                  <c:v>-2.01E-2</c:v>
                </c:pt>
                <c:pt idx="645">
                  <c:v>1.9220000000000001E-2</c:v>
                </c:pt>
                <c:pt idx="646">
                  <c:v>1.1399999999999999E-2</c:v>
                </c:pt>
                <c:pt idx="647">
                  <c:v>7.7199999999999977E-3</c:v>
                </c:pt>
                <c:pt idx="648">
                  <c:v>-2.0160000000000001E-2</c:v>
                </c:pt>
                <c:pt idx="649">
                  <c:v>3.073E-2</c:v>
                </c:pt>
                <c:pt idx="650">
                  <c:v>2.2440000000000002E-2</c:v>
                </c:pt>
                <c:pt idx="651">
                  <c:v>3.1949999999999999E-2</c:v>
                </c:pt>
                <c:pt idx="652">
                  <c:v>1.7559999999999999E-2</c:v>
                </c:pt>
                <c:pt idx="653">
                  <c:v>1.755E-2</c:v>
                </c:pt>
                <c:pt idx="654">
                  <c:v>3.8150000000000003E-2</c:v>
                </c:pt>
                <c:pt idx="655">
                  <c:v>2.1919999999999999E-2</c:v>
                </c:pt>
                <c:pt idx="656">
                  <c:v>1.7849999999999998E-2</c:v>
                </c:pt>
                <c:pt idx="657">
                  <c:v>4.5380000000000004E-2</c:v>
                </c:pt>
                <c:pt idx="658">
                  <c:v>4.6369999999999995E-2</c:v>
                </c:pt>
                <c:pt idx="659">
                  <c:v>9.0560000000000002E-2</c:v>
                </c:pt>
                <c:pt idx="660">
                  <c:v>7.3839999999999989E-2</c:v>
                </c:pt>
                <c:pt idx="661">
                  <c:v>-4.7600000000000073E-3</c:v>
                </c:pt>
                <c:pt idx="662">
                  <c:v>-5.7299999999999997E-2</c:v>
                </c:pt>
                <c:pt idx="663">
                  <c:v>6.5490000000000007E-2</c:v>
                </c:pt>
                <c:pt idx="664">
                  <c:v>3.9000000000000007E-3</c:v>
                </c:pt>
                <c:pt idx="665">
                  <c:v>5.9090000000000004E-2</c:v>
                </c:pt>
                <c:pt idx="666">
                  <c:v>-9.7850000000000006E-2</c:v>
                </c:pt>
                <c:pt idx="667">
                  <c:v>-1.1240000000000003E-2</c:v>
                </c:pt>
                <c:pt idx="668">
                  <c:v>3.6760000000000001E-2</c:v>
                </c:pt>
                <c:pt idx="669">
                  <c:v>-1.5440000000000001E-2</c:v>
                </c:pt>
                <c:pt idx="670">
                  <c:v>1.9349999999999999E-2</c:v>
                </c:pt>
                <c:pt idx="671">
                  <c:v>-1.7799999999999996E-2</c:v>
                </c:pt>
                <c:pt idx="672">
                  <c:v>3.3750000000000002E-2</c:v>
                </c:pt>
                <c:pt idx="673">
                  <c:v>-1.9900000000000001E-2</c:v>
                </c:pt>
                <c:pt idx="674">
                  <c:v>-2.1000000000000001E-2</c:v>
                </c:pt>
                <c:pt idx="675">
                  <c:v>5.4959999999999995E-2</c:v>
                </c:pt>
                <c:pt idx="676">
                  <c:v>5.1999999999999998E-3</c:v>
                </c:pt>
                <c:pt idx="677">
                  <c:v>4.6000000000000034E-4</c:v>
                </c:pt>
                <c:pt idx="678">
                  <c:v>3.1280000000000002E-2</c:v>
                </c:pt>
                <c:pt idx="679">
                  <c:v>2.8839999999999998E-2</c:v>
                </c:pt>
                <c:pt idx="680">
                  <c:v>1.3139999999999999E-2</c:v>
                </c:pt>
                <c:pt idx="681">
                  <c:v>7.6399999999999996E-2</c:v>
                </c:pt>
                <c:pt idx="682">
                  <c:v>-2.7759999999999993E-2</c:v>
                </c:pt>
                <c:pt idx="683">
                  <c:v>6.4220000000000013E-2</c:v>
                </c:pt>
                <c:pt idx="684">
                  <c:v>-4.7879999999999999E-2</c:v>
                </c:pt>
                <c:pt idx="685">
                  <c:v>-9.9999999999999395E-5</c:v>
                </c:pt>
                <c:pt idx="686">
                  <c:v>-6.7799999999999996E-3</c:v>
                </c:pt>
                <c:pt idx="687">
                  <c:v>1.1960000000000002E-2</c:v>
                </c:pt>
                <c:pt idx="688">
                  <c:v>3.8290000000000005E-2</c:v>
                </c:pt>
                <c:pt idx="689">
                  <c:v>8.9120000000000005E-2</c:v>
                </c:pt>
                <c:pt idx="690">
                  <c:v>2.0499999999999963E-3</c:v>
                </c:pt>
                <c:pt idx="691">
                  <c:v>2.9600000000000008E-3</c:v>
                </c:pt>
                <c:pt idx="692">
                  <c:v>2.7619999999999999E-2</c:v>
                </c:pt>
                <c:pt idx="693">
                  <c:v>4.0480000000000002E-2</c:v>
                </c:pt>
                <c:pt idx="694">
                  <c:v>5.1999999999999998E-2</c:v>
                </c:pt>
                <c:pt idx="695">
                  <c:v>-8.2380000000000009E-2</c:v>
                </c:pt>
                <c:pt idx="696">
                  <c:v>9.5600000000000004E-2</c:v>
                </c:pt>
                <c:pt idx="697">
                  <c:v>-7.5560000000000016E-2</c:v>
                </c:pt>
                <c:pt idx="698">
                  <c:v>0.15939</c:v>
                </c:pt>
                <c:pt idx="699">
                  <c:v>6.851999999999997E-2</c:v>
                </c:pt>
                <c:pt idx="700">
                  <c:v>2.2199999999999998E-2</c:v>
                </c:pt>
                <c:pt idx="701">
                  <c:v>2.6920000000000003E-2</c:v>
                </c:pt>
                <c:pt idx="702">
                  <c:v>-7.2000000000000015E-3</c:v>
                </c:pt>
                <c:pt idx="703">
                  <c:v>8.0800000000000004E-3</c:v>
                </c:pt>
                <c:pt idx="704">
                  <c:v>-1.8229999999999996E-2</c:v>
                </c:pt>
                <c:pt idx="705">
                  <c:v>2.4319999999999998E-2</c:v>
                </c:pt>
                <c:pt idx="706">
                  <c:v>1.9720000000000001E-2</c:v>
                </c:pt>
                <c:pt idx="707">
                  <c:v>7.7200000000000012E-3</c:v>
                </c:pt>
                <c:pt idx="708">
                  <c:v>2.6709999999999998E-2</c:v>
                </c:pt>
                <c:pt idx="709">
                  <c:v>1.5079999999999998E-2</c:v>
                </c:pt>
                <c:pt idx="710">
                  <c:v>3.9359999999999999E-2</c:v>
                </c:pt>
                <c:pt idx="711">
                  <c:v>1.4800000000000021E-3</c:v>
                </c:pt>
                <c:pt idx="712">
                  <c:v>6.2560000000000004E-2</c:v>
                </c:pt>
                <c:pt idx="713">
                  <c:v>7.084E-2</c:v>
                </c:pt>
                <c:pt idx="714">
                  <c:v>3.9239999999999997E-2</c:v>
                </c:pt>
                <c:pt idx="715">
                  <c:v>8.4159999999999999E-2</c:v>
                </c:pt>
                <c:pt idx="716">
                  <c:v>4.5899999999999996E-2</c:v>
                </c:pt>
                <c:pt idx="717">
                  <c:v>2.9440000000000001E-2</c:v>
                </c:pt>
                <c:pt idx="718">
                  <c:v>1.0839999999999999E-2</c:v>
                </c:pt>
                <c:pt idx="719">
                  <c:v>-2.6420000000000003E-2</c:v>
                </c:pt>
                <c:pt idx="720">
                  <c:v>-6.0000000000000001E-3</c:v>
                </c:pt>
                <c:pt idx="721">
                  <c:v>-3.3680000000000002E-2</c:v>
                </c:pt>
                <c:pt idx="722">
                  <c:v>3.7749999999999999E-2</c:v>
                </c:pt>
                <c:pt idx="723">
                  <c:v>2.0799999999999994E-3</c:v>
                </c:pt>
                <c:pt idx="724">
                  <c:v>2.938E-2</c:v>
                </c:pt>
                <c:pt idx="725">
                  <c:v>1.7499999999999998E-3</c:v>
                </c:pt>
                <c:pt idx="726">
                  <c:v>3.3000000000000002E-2</c:v>
                </c:pt>
                <c:pt idx="727">
                  <c:v>-6.8999999999999981E-3</c:v>
                </c:pt>
                <c:pt idx="728">
                  <c:v>2.8640000000000002E-2</c:v>
                </c:pt>
                <c:pt idx="729">
                  <c:v>-4.9999999999999992E-3</c:v>
                </c:pt>
                <c:pt idx="730">
                  <c:v>2.4850000000000004E-2</c:v>
                </c:pt>
                <c:pt idx="731">
                  <c:v>3.3519999999999994E-2</c:v>
                </c:pt>
                <c:pt idx="732">
                  <c:v>6.5239999999999992E-2</c:v>
                </c:pt>
                <c:pt idx="733">
                  <c:v>-3.2350000000000004E-2</c:v>
                </c:pt>
                <c:pt idx="734">
                  <c:v>1.3539999999999996E-2</c:v>
                </c:pt>
                <c:pt idx="735">
                  <c:v>-1.7800000000000003E-2</c:v>
                </c:pt>
                <c:pt idx="736">
                  <c:v>-1.0099999999999998E-2</c:v>
                </c:pt>
                <c:pt idx="737">
                  <c:v>3.64E-3</c:v>
                </c:pt>
                <c:pt idx="738">
                  <c:v>-4.0079999999999991E-2</c:v>
                </c:pt>
                <c:pt idx="739">
                  <c:v>3.2300000000000002E-2</c:v>
                </c:pt>
                <c:pt idx="740">
                  <c:v>-2.4580000000000005E-2</c:v>
                </c:pt>
                <c:pt idx="741">
                  <c:v>5.3350000000000002E-2</c:v>
                </c:pt>
                <c:pt idx="742">
                  <c:v>-1.0700000000000001E-2</c:v>
                </c:pt>
                <c:pt idx="743">
                  <c:v>9.159999999999998E-3</c:v>
                </c:pt>
                <c:pt idx="744">
                  <c:v>7.9999999999999863E-4</c:v>
                </c:pt>
                <c:pt idx="745">
                  <c:v>1.8519999999999995E-2</c:v>
                </c:pt>
                <c:pt idx="746">
                  <c:v>1.4000000000000002E-2</c:v>
                </c:pt>
                <c:pt idx="747">
                  <c:v>7.7439999999999995E-2</c:v>
                </c:pt>
                <c:pt idx="748">
                  <c:v>5.4399999999999997E-2</c:v>
                </c:pt>
                <c:pt idx="749">
                  <c:v>3.5060000000000001E-2</c:v>
                </c:pt>
                <c:pt idx="750">
                  <c:v>-6.9500000000000006E-2</c:v>
                </c:pt>
                <c:pt idx="751">
                  <c:v>5.1200000000000002E-2</c:v>
                </c:pt>
                <c:pt idx="752">
                  <c:v>0.10199999999999999</c:v>
                </c:pt>
                <c:pt idx="753">
                  <c:v>-1.0439999999999998E-2</c:v>
                </c:pt>
                <c:pt idx="754">
                  <c:v>0.16048000000000001</c:v>
                </c:pt>
                <c:pt idx="755">
                  <c:v>-3.9060000000000004E-2</c:v>
                </c:pt>
                <c:pt idx="756">
                  <c:v>-2.1599999999999998E-2</c:v>
                </c:pt>
                <c:pt idx="757">
                  <c:v>8.5599999999999996E-2</c:v>
                </c:pt>
                <c:pt idx="758">
                  <c:v>-4.206E-2</c:v>
                </c:pt>
                <c:pt idx="759">
                  <c:v>6.8419999999999995E-2</c:v>
                </c:pt>
                <c:pt idx="760">
                  <c:v>-6.1610000000000005E-2</c:v>
                </c:pt>
                <c:pt idx="761">
                  <c:v>0.04</c:v>
                </c:pt>
                <c:pt idx="762">
                  <c:v>2.1000000000000001E-2</c:v>
                </c:pt>
                <c:pt idx="763">
                  <c:v>2.094E-2</c:v>
                </c:pt>
                <c:pt idx="764">
                  <c:v>8.2640000000000005E-2</c:v>
                </c:pt>
                <c:pt idx="765">
                  <c:v>-0.14097000000000001</c:v>
                </c:pt>
                <c:pt idx="766">
                  <c:v>0.124</c:v>
                </c:pt>
                <c:pt idx="767">
                  <c:v>-7.7199999999999977E-3</c:v>
                </c:pt>
                <c:pt idx="768">
                  <c:v>-3.5299999999999998E-2</c:v>
                </c:pt>
                <c:pt idx="769">
                  <c:v>7.7200000000000005E-2</c:v>
                </c:pt>
                <c:pt idx="770">
                  <c:v>0.10575</c:v>
                </c:pt>
                <c:pt idx="771">
                  <c:v>-8.7379999999999985E-2</c:v>
                </c:pt>
                <c:pt idx="772">
                  <c:v>7.9589999999999994E-2</c:v>
                </c:pt>
                <c:pt idx="773">
                  <c:v>3.2680000000000001E-2</c:v>
                </c:pt>
                <c:pt idx="774">
                  <c:v>2.172E-2</c:v>
                </c:pt>
                <c:pt idx="775">
                  <c:v>3.7999999999999996E-3</c:v>
                </c:pt>
                <c:pt idx="776">
                  <c:v>1.265E-2</c:v>
                </c:pt>
                <c:pt idx="777">
                  <c:v>-7.0999999999999994E-2</c:v>
                </c:pt>
                <c:pt idx="778">
                  <c:v>-1.176E-2</c:v>
                </c:pt>
                <c:pt idx="779">
                  <c:v>-3.5999999999999997E-2</c:v>
                </c:pt>
                <c:pt idx="780">
                  <c:v>1.2069999999999999E-2</c:v>
                </c:pt>
                <c:pt idx="781">
                  <c:v>7.8320000000000001E-2</c:v>
                </c:pt>
                <c:pt idx="782">
                  <c:v>-5.9639999999999992E-2</c:v>
                </c:pt>
                <c:pt idx="783">
                  <c:v>9.2399999999999996E-2</c:v>
                </c:pt>
                <c:pt idx="784">
                  <c:v>-8.2580000000000001E-2</c:v>
                </c:pt>
                <c:pt idx="785">
                  <c:v>0.122</c:v>
                </c:pt>
                <c:pt idx="786">
                  <c:v>-3.7999999999999999E-2</c:v>
                </c:pt>
                <c:pt idx="787">
                  <c:v>1.3499999999999998E-2</c:v>
                </c:pt>
                <c:pt idx="788">
                  <c:v>8.9290000000000008E-2</c:v>
                </c:pt>
                <c:pt idx="789">
                  <c:v>-1.0360000000000001E-2</c:v>
                </c:pt>
                <c:pt idx="790">
                  <c:v>7.4649999999999994E-2</c:v>
                </c:pt>
                <c:pt idx="791">
                  <c:v>6.8879999999999997E-2</c:v>
                </c:pt>
                <c:pt idx="792">
                  <c:v>-2.1579999999999995E-2</c:v>
                </c:pt>
                <c:pt idx="793">
                  <c:v>9.1700000000000004E-2</c:v>
                </c:pt>
                <c:pt idx="794">
                  <c:v>-7.9549999999999996E-2</c:v>
                </c:pt>
                <c:pt idx="795">
                  <c:v>-6.5750000000000003E-2</c:v>
                </c:pt>
                <c:pt idx="796">
                  <c:v>-3.0800000000000004E-2</c:v>
                </c:pt>
                <c:pt idx="797">
                  <c:v>3.9150000000000004E-2</c:v>
                </c:pt>
                <c:pt idx="798">
                  <c:v>4.1179999999999994E-2</c:v>
                </c:pt>
                <c:pt idx="799">
                  <c:v>0.1072</c:v>
                </c:pt>
                <c:pt idx="800">
                  <c:v>7.4999999999999997E-2</c:v>
                </c:pt>
                <c:pt idx="801">
                  <c:v>5.7900000000000007E-2</c:v>
                </c:pt>
                <c:pt idx="802">
                  <c:v>8.2869999999999999E-2</c:v>
                </c:pt>
                <c:pt idx="803">
                  <c:v>0.14076999999999998</c:v>
                </c:pt>
                <c:pt idx="804">
                  <c:v>-1.5599999999999999E-2</c:v>
                </c:pt>
                <c:pt idx="805">
                  <c:v>7.3319999999999996E-2</c:v>
                </c:pt>
                <c:pt idx="806">
                  <c:v>2.3079999999999996E-2</c:v>
                </c:pt>
                <c:pt idx="807">
                  <c:v>7.3599999999999999E-2</c:v>
                </c:pt>
                <c:pt idx="808">
                  <c:v>2.0459999999999996E-2</c:v>
                </c:pt>
                <c:pt idx="809">
                  <c:v>1.0399999999999993E-3</c:v>
                </c:pt>
                <c:pt idx="810">
                  <c:v>0.13788</c:v>
                </c:pt>
                <c:pt idx="811">
                  <c:v>-6.9629999999999997E-2</c:v>
                </c:pt>
                <c:pt idx="812">
                  <c:v>-8.8300000000000003E-2</c:v>
                </c:pt>
                <c:pt idx="813">
                  <c:v>-1.7769999999999994E-2</c:v>
                </c:pt>
                <c:pt idx="814">
                  <c:v>3.0020000000000002E-2</c:v>
                </c:pt>
                <c:pt idx="815">
                  <c:v>1.7880000000000007E-2</c:v>
                </c:pt>
                <c:pt idx="816">
                  <c:v>2.3400000000000001E-2</c:v>
                </c:pt>
                <c:pt idx="817">
                  <c:v>6.0319999999999999E-2</c:v>
                </c:pt>
                <c:pt idx="818">
                  <c:v>-5.7000000000000002E-3</c:v>
                </c:pt>
                <c:pt idx="819">
                  <c:v>8.6819999999999994E-2</c:v>
                </c:pt>
                <c:pt idx="820">
                  <c:v>-0.11772000000000002</c:v>
                </c:pt>
                <c:pt idx="821">
                  <c:v>6.5419999999999992E-2</c:v>
                </c:pt>
                <c:pt idx="822">
                  <c:v>3.5190000000000006E-2</c:v>
                </c:pt>
                <c:pt idx="823">
                  <c:v>-3.125E-2</c:v>
                </c:pt>
                <c:pt idx="824">
                  <c:v>5.2899999999999996E-2</c:v>
                </c:pt>
                <c:pt idx="825">
                  <c:v>1.800000000000003E-3</c:v>
                </c:pt>
                <c:pt idx="826">
                  <c:v>9.844E-2</c:v>
                </c:pt>
                <c:pt idx="827">
                  <c:v>-2.020000000000001E-2</c:v>
                </c:pt>
                <c:pt idx="828">
                  <c:v>8.8080000000000006E-2</c:v>
                </c:pt>
                <c:pt idx="829">
                  <c:v>1.5280000000000016E-2</c:v>
                </c:pt>
                <c:pt idx="830">
                  <c:v>-1.1350000000000006E-2</c:v>
                </c:pt>
                <c:pt idx="831">
                  <c:v>0.18543000000000001</c:v>
                </c:pt>
                <c:pt idx="832">
                  <c:v>0.16125</c:v>
                </c:pt>
                <c:pt idx="833">
                  <c:v>1.6649999999999998E-2</c:v>
                </c:pt>
                <c:pt idx="834">
                  <c:v>-6.6200000000000009E-3</c:v>
                </c:pt>
                <c:pt idx="835">
                  <c:v>-4.5000000000000005E-2</c:v>
                </c:pt>
                <c:pt idx="836">
                  <c:v>-1.7399999999999985E-2</c:v>
                </c:pt>
                <c:pt idx="837">
                  <c:v>7.0959999999999995E-2</c:v>
                </c:pt>
                <c:pt idx="838">
                  <c:v>-3.3669999999999992E-2</c:v>
                </c:pt>
                <c:pt idx="839">
                  <c:v>7.1310000000000012E-2</c:v>
                </c:pt>
                <c:pt idx="840">
                  <c:v>9.1700000000000011E-3</c:v>
                </c:pt>
                <c:pt idx="841">
                  <c:v>4.6820000000000001E-2</c:v>
                </c:pt>
                <c:pt idx="842">
                  <c:v>-2.5200000000000014E-3</c:v>
                </c:pt>
                <c:pt idx="843">
                  <c:v>3.9760000000000004E-2</c:v>
                </c:pt>
                <c:pt idx="844">
                  <c:v>2.6479999999999997E-2</c:v>
                </c:pt>
                <c:pt idx="845">
                  <c:v>7.5609999999999997E-2</c:v>
                </c:pt>
                <c:pt idx="846">
                  <c:v>1.106E-2</c:v>
                </c:pt>
                <c:pt idx="847">
                  <c:v>0.11956</c:v>
                </c:pt>
                <c:pt idx="848">
                  <c:v>-3.9679999999999993E-2</c:v>
                </c:pt>
                <c:pt idx="849">
                  <c:v>4.7749999999999959E-2</c:v>
                </c:pt>
                <c:pt idx="850">
                  <c:v>0.39133000000000001</c:v>
                </c:pt>
                <c:pt idx="851">
                  <c:v>3.3260000000000005E-2</c:v>
                </c:pt>
                <c:pt idx="852">
                  <c:v>4.5600000000000002E-2</c:v>
                </c:pt>
                <c:pt idx="853">
                  <c:v>7.4199999999999986E-3</c:v>
                </c:pt>
                <c:pt idx="854">
                  <c:v>-5.0239999999999993E-2</c:v>
                </c:pt>
                <c:pt idx="855">
                  <c:v>4.3779999999999999E-2</c:v>
                </c:pt>
                <c:pt idx="856">
                  <c:v>-6.6000000000000003E-2</c:v>
                </c:pt>
                <c:pt idx="857">
                  <c:v>4.7710000000000002E-2</c:v>
                </c:pt>
                <c:pt idx="858">
                  <c:v>5.7999999999999996E-3</c:v>
                </c:pt>
                <c:pt idx="859">
                  <c:v>-3.4690000000000006E-2</c:v>
                </c:pt>
                <c:pt idx="860">
                  <c:v>0.13447999999999999</c:v>
                </c:pt>
                <c:pt idx="861">
                  <c:v>-4.9619999999999997E-2</c:v>
                </c:pt>
                <c:pt idx="862">
                  <c:v>-2.98E-3</c:v>
                </c:pt>
                <c:pt idx="863">
                  <c:v>1.1560000000000001E-2</c:v>
                </c:pt>
                <c:pt idx="864">
                  <c:v>6.8000000000000005E-2</c:v>
                </c:pt>
                <c:pt idx="865">
                  <c:v>6.2799999999999995E-2</c:v>
                </c:pt>
                <c:pt idx="866">
                  <c:v>2.9209999999999996E-2</c:v>
                </c:pt>
                <c:pt idx="867">
                  <c:v>-2.7200000000000002E-3</c:v>
                </c:pt>
                <c:pt idx="868">
                  <c:v>2.7460000000000012E-2</c:v>
                </c:pt>
                <c:pt idx="869">
                  <c:v>7.7740000000000004E-2</c:v>
                </c:pt>
                <c:pt idx="870">
                  <c:v>-1.9950000000000002E-2</c:v>
                </c:pt>
                <c:pt idx="871">
                  <c:v>-4.2079999999999992E-2</c:v>
                </c:pt>
                <c:pt idx="872">
                  <c:v>-6.3439999999999996E-2</c:v>
                </c:pt>
                <c:pt idx="873">
                  <c:v>2.5759999999999998E-2</c:v>
                </c:pt>
                <c:pt idx="874">
                  <c:v>4.2970000000000001E-2</c:v>
                </c:pt>
                <c:pt idx="875">
                  <c:v>-3.6000000000000004E-2</c:v>
                </c:pt>
                <c:pt idx="876">
                  <c:v>2.8980000000000002E-2</c:v>
                </c:pt>
                <c:pt idx="877">
                  <c:v>1.7239999999999998E-2</c:v>
                </c:pt>
                <c:pt idx="878">
                  <c:v>5.0540000000000002E-2</c:v>
                </c:pt>
                <c:pt idx="879">
                  <c:v>4.1919999999999999E-2</c:v>
                </c:pt>
                <c:pt idx="880">
                  <c:v>3.3839999999999995E-2</c:v>
                </c:pt>
                <c:pt idx="881">
                  <c:v>1.9520000000000003E-2</c:v>
                </c:pt>
                <c:pt idx="882">
                  <c:v>3.4519999999999995E-2</c:v>
                </c:pt>
                <c:pt idx="883">
                  <c:v>7.6929999999999998E-2</c:v>
                </c:pt>
                <c:pt idx="884">
                  <c:v>-4.6559999999999997E-2</c:v>
                </c:pt>
                <c:pt idx="885">
                  <c:v>-1.4760000000000002E-2</c:v>
                </c:pt>
                <c:pt idx="886">
                  <c:v>3.6399999999999991E-3</c:v>
                </c:pt>
                <c:pt idx="887">
                  <c:v>2.8380000000000002E-2</c:v>
                </c:pt>
                <c:pt idx="888">
                  <c:v>-4.0600000000000002E-3</c:v>
                </c:pt>
                <c:pt idx="889">
                  <c:v>-3.8790000000000005E-2</c:v>
                </c:pt>
                <c:pt idx="890">
                  <c:v>3.4999999999999996E-3</c:v>
                </c:pt>
                <c:pt idx="891">
                  <c:v>1.1259999999999999E-2</c:v>
                </c:pt>
                <c:pt idx="892">
                  <c:v>2.1299999999999999E-2</c:v>
                </c:pt>
                <c:pt idx="893">
                  <c:v>8.9169999999999999E-2</c:v>
                </c:pt>
                <c:pt idx="894">
                  <c:v>-5.57E-2</c:v>
                </c:pt>
                <c:pt idx="895">
                  <c:v>6.8000000000000005E-3</c:v>
                </c:pt>
                <c:pt idx="896">
                  <c:v>7.8099999999999989E-2</c:v>
                </c:pt>
                <c:pt idx="897">
                  <c:v>8.5500000000000007E-2</c:v>
                </c:pt>
                <c:pt idx="898">
                  <c:v>-7.3760000000000006E-2</c:v>
                </c:pt>
                <c:pt idx="899">
                  <c:v>7.9399999999999998E-2</c:v>
                </c:pt>
                <c:pt idx="900">
                  <c:v>-1.5730000000000008E-2</c:v>
                </c:pt>
                <c:pt idx="901">
                  <c:v>-3.552000000000001E-2</c:v>
                </c:pt>
                <c:pt idx="902">
                  <c:v>-7.2989999999999999E-2</c:v>
                </c:pt>
                <c:pt idx="903">
                  <c:v>5.1600000000000007E-2</c:v>
                </c:pt>
                <c:pt idx="904">
                  <c:v>1.1980000000000001E-2</c:v>
                </c:pt>
                <c:pt idx="905">
                  <c:v>-1.6980000000000002E-2</c:v>
                </c:pt>
                <c:pt idx="906">
                  <c:v>-2.5500000000000002E-2</c:v>
                </c:pt>
                <c:pt idx="907">
                  <c:v>-4.4269999999999997E-2</c:v>
                </c:pt>
                <c:pt idx="908">
                  <c:v>5.1479999999999998E-2</c:v>
                </c:pt>
                <c:pt idx="909">
                  <c:v>4.3200000000000001E-3</c:v>
                </c:pt>
                <c:pt idx="910">
                  <c:v>2.06E-2</c:v>
                </c:pt>
                <c:pt idx="911">
                  <c:v>6.3099999999999996E-3</c:v>
                </c:pt>
                <c:pt idx="912">
                  <c:v>1.942E-2</c:v>
                </c:pt>
                <c:pt idx="913">
                  <c:v>-5.4510000000000003E-2</c:v>
                </c:pt>
                <c:pt idx="914">
                  <c:v>5.6899999999999992E-2</c:v>
                </c:pt>
                <c:pt idx="915">
                  <c:v>2.5840000000000002E-2</c:v>
                </c:pt>
                <c:pt idx="916">
                  <c:v>5.0780000000000006E-2</c:v>
                </c:pt>
                <c:pt idx="917">
                  <c:v>0.19663999999999998</c:v>
                </c:pt>
                <c:pt idx="918">
                  <c:v>-2.049999999999999E-2</c:v>
                </c:pt>
                <c:pt idx="919">
                  <c:v>-8.3999999999999873E-4</c:v>
                </c:pt>
                <c:pt idx="920">
                  <c:v>2.5699999999999994E-3</c:v>
                </c:pt>
                <c:pt idx="921">
                  <c:v>-1.1799999999999998E-2</c:v>
                </c:pt>
                <c:pt idx="922">
                  <c:v>-3.3389999999999996E-2</c:v>
                </c:pt>
                <c:pt idx="923">
                  <c:v>-0.10872</c:v>
                </c:pt>
                <c:pt idx="924">
                  <c:v>0.17052</c:v>
                </c:pt>
                <c:pt idx="925">
                  <c:v>-9.6000000000000002E-2</c:v>
                </c:pt>
                <c:pt idx="926">
                  <c:v>0.10296</c:v>
                </c:pt>
                <c:pt idx="927">
                  <c:v>2.5499999999999998E-2</c:v>
                </c:pt>
                <c:pt idx="928">
                  <c:v>2.9619999999999997E-2</c:v>
                </c:pt>
                <c:pt idx="929">
                  <c:v>-7.3200000000000036E-3</c:v>
                </c:pt>
                <c:pt idx="930">
                  <c:v>-1.155E-2</c:v>
                </c:pt>
                <c:pt idx="931">
                  <c:v>3.5950000000000003E-2</c:v>
                </c:pt>
                <c:pt idx="932">
                  <c:v>-5.8899999999999985E-3</c:v>
                </c:pt>
                <c:pt idx="933">
                  <c:v>8.3519999999999997E-2</c:v>
                </c:pt>
                <c:pt idx="934">
                  <c:v>2.0199999999999996E-2</c:v>
                </c:pt>
                <c:pt idx="935">
                  <c:v>-1.0270000000000008E-2</c:v>
                </c:pt>
                <c:pt idx="936">
                  <c:v>1.8200000000000001E-2</c:v>
                </c:pt>
                <c:pt idx="937">
                  <c:v>4.1499999999999995E-2</c:v>
                </c:pt>
                <c:pt idx="938">
                  <c:v>1.7090000000000001E-2</c:v>
                </c:pt>
                <c:pt idx="939">
                  <c:v>4.997999999999999E-2</c:v>
                </c:pt>
                <c:pt idx="940">
                  <c:v>-1.4930000000000001E-2</c:v>
                </c:pt>
                <c:pt idx="941">
                  <c:v>0.16855999999999999</c:v>
                </c:pt>
                <c:pt idx="942">
                  <c:v>-6.7999999999999658E-4</c:v>
                </c:pt>
                <c:pt idx="943">
                  <c:v>-0.12868000000000002</c:v>
                </c:pt>
                <c:pt idx="944">
                  <c:v>0.11162</c:v>
                </c:pt>
                <c:pt idx="945">
                  <c:v>-5.9449999999999996E-2</c:v>
                </c:pt>
                <c:pt idx="946">
                  <c:v>-1.3150000000000002E-2</c:v>
                </c:pt>
                <c:pt idx="947">
                  <c:v>7.2720000000000007E-2</c:v>
                </c:pt>
                <c:pt idx="948">
                  <c:v>6.2000000000000006E-3</c:v>
                </c:pt>
                <c:pt idx="949">
                  <c:v>-3.44E-2</c:v>
                </c:pt>
                <c:pt idx="950">
                  <c:v>-5.9279999999999999E-2</c:v>
                </c:pt>
                <c:pt idx="951">
                  <c:v>9.9519999999999997E-2</c:v>
                </c:pt>
                <c:pt idx="952">
                  <c:v>-4.0340000000000001E-2</c:v>
                </c:pt>
                <c:pt idx="953">
                  <c:v>9.6000000000000009E-3</c:v>
                </c:pt>
                <c:pt idx="954">
                  <c:v>0.1333</c:v>
                </c:pt>
                <c:pt idx="955">
                  <c:v>-7.3650000000000007E-2</c:v>
                </c:pt>
                <c:pt idx="956">
                  <c:v>5.4999999999999997E-3</c:v>
                </c:pt>
                <c:pt idx="957">
                  <c:v>-2.2680000000000002E-2</c:v>
                </c:pt>
                <c:pt idx="958">
                  <c:v>0.17110000000000003</c:v>
                </c:pt>
                <c:pt idx="959">
                  <c:v>0.16485</c:v>
                </c:pt>
                <c:pt idx="960">
                  <c:v>-0.15399999999999997</c:v>
                </c:pt>
                <c:pt idx="961">
                  <c:v>2.724E-2</c:v>
                </c:pt>
                <c:pt idx="962">
                  <c:v>-9.8599999999999972E-3</c:v>
                </c:pt>
                <c:pt idx="963">
                  <c:v>6.7559999999999995E-2</c:v>
                </c:pt>
                <c:pt idx="964">
                  <c:v>-4.2500000000000003E-2</c:v>
                </c:pt>
                <c:pt idx="965">
                  <c:v>6.608E-2</c:v>
                </c:pt>
                <c:pt idx="966">
                  <c:v>-2.2250000000000002E-2</c:v>
                </c:pt>
                <c:pt idx="967">
                  <c:v>7.1680000000000008E-2</c:v>
                </c:pt>
                <c:pt idx="968">
                  <c:v>1.1380000000000001E-2</c:v>
                </c:pt>
                <c:pt idx="969">
                  <c:v>-6.5599999999999999E-3</c:v>
                </c:pt>
                <c:pt idx="970">
                  <c:v>7.8730000000000008E-2</c:v>
                </c:pt>
                <c:pt idx="971">
                  <c:v>6.2800000000000009E-3</c:v>
                </c:pt>
                <c:pt idx="972">
                  <c:v>2.5000000000000008E-2</c:v>
                </c:pt>
                <c:pt idx="973">
                  <c:v>0.1096</c:v>
                </c:pt>
                <c:pt idx="974">
                  <c:v>3.8379999999999997E-2</c:v>
                </c:pt>
                <c:pt idx="975">
                  <c:v>0.15472</c:v>
                </c:pt>
                <c:pt idx="976">
                  <c:v>-3.7799999999999993E-2</c:v>
                </c:pt>
                <c:pt idx="977">
                  <c:v>-4.9130000000000007E-2</c:v>
                </c:pt>
                <c:pt idx="978">
                  <c:v>-2.2279999999999998E-2</c:v>
                </c:pt>
                <c:pt idx="979">
                  <c:v>2.478000000000001E-2</c:v>
                </c:pt>
                <c:pt idx="980">
                  <c:v>3.7860000000000005E-2</c:v>
                </c:pt>
                <c:pt idx="981">
                  <c:v>9.1000000000000039E-3</c:v>
                </c:pt>
                <c:pt idx="982">
                  <c:v>0.1164</c:v>
                </c:pt>
                <c:pt idx="983">
                  <c:v>-3.569999999999999E-3</c:v>
                </c:pt>
                <c:pt idx="984">
                  <c:v>2.2400000000000003E-2</c:v>
                </c:pt>
                <c:pt idx="985">
                  <c:v>4.3799999999999999E-2</c:v>
                </c:pt>
                <c:pt idx="986">
                  <c:v>3.6729999999999999E-2</c:v>
                </c:pt>
                <c:pt idx="987">
                  <c:v>-8.6959999999999996E-2</c:v>
                </c:pt>
                <c:pt idx="988">
                  <c:v>1.9650000000000001E-2</c:v>
                </c:pt>
                <c:pt idx="989">
                  <c:v>1.2E-2</c:v>
                </c:pt>
                <c:pt idx="990">
                  <c:v>9.5199999999999993E-2</c:v>
                </c:pt>
                <c:pt idx="991">
                  <c:v>-7.5550000000000006E-2</c:v>
                </c:pt>
                <c:pt idx="992">
                  <c:v>0.19908000000000001</c:v>
                </c:pt>
                <c:pt idx="993">
                  <c:v>-9.0620000000000006E-2</c:v>
                </c:pt>
                <c:pt idx="994">
                  <c:v>-4.48E-2</c:v>
                </c:pt>
                <c:pt idx="995">
                  <c:v>0.12376999999999999</c:v>
                </c:pt>
                <c:pt idx="996">
                  <c:v>-2.6859999999999995E-2</c:v>
                </c:pt>
                <c:pt idx="997">
                  <c:v>-3.9899999999999936E-3</c:v>
                </c:pt>
                <c:pt idx="998">
                  <c:v>5.6499999999999995E-2</c:v>
                </c:pt>
                <c:pt idx="999">
                  <c:v>5.8200000000000023E-3</c:v>
                </c:pt>
                <c:pt idx="1000">
                  <c:v>-6.8190000000000001E-2</c:v>
                </c:pt>
                <c:pt idx="1001">
                  <c:v>2.9900000000000003E-2</c:v>
                </c:pt>
                <c:pt idx="1002">
                  <c:v>4.2700000000000002E-2</c:v>
                </c:pt>
                <c:pt idx="1003">
                  <c:v>2.7800000000000002E-2</c:v>
                </c:pt>
                <c:pt idx="1004">
                  <c:v>9.6100000000000005E-3</c:v>
                </c:pt>
                <c:pt idx="1005">
                  <c:v>-1.7599999999999998E-2</c:v>
                </c:pt>
                <c:pt idx="1006">
                  <c:v>1.562E-2</c:v>
                </c:pt>
                <c:pt idx="1007">
                  <c:v>-2.1729999999999996E-2</c:v>
                </c:pt>
                <c:pt idx="1008">
                  <c:v>0.11724</c:v>
                </c:pt>
                <c:pt idx="1009">
                  <c:v>4.3119999999999999E-2</c:v>
                </c:pt>
                <c:pt idx="1010">
                  <c:v>5.8950000000000002E-2</c:v>
                </c:pt>
                <c:pt idx="1011">
                  <c:v>-5.6440000000000004E-2</c:v>
                </c:pt>
                <c:pt idx="1012">
                  <c:v>1.4280000000000001E-2</c:v>
                </c:pt>
                <c:pt idx="1013">
                  <c:v>1.1579999999999998E-2</c:v>
                </c:pt>
                <c:pt idx="1014">
                  <c:v>2.9659999999999999E-2</c:v>
                </c:pt>
                <c:pt idx="1015">
                  <c:v>-5.2400000000000009E-2</c:v>
                </c:pt>
                <c:pt idx="1016">
                  <c:v>4.4119999999999999E-2</c:v>
                </c:pt>
                <c:pt idx="1017">
                  <c:v>-3.7540000000000004E-2</c:v>
                </c:pt>
                <c:pt idx="1018">
                  <c:v>4.757999999999999E-2</c:v>
                </c:pt>
                <c:pt idx="1019">
                  <c:v>-1.6809999999999999E-2</c:v>
                </c:pt>
                <c:pt idx="1020">
                  <c:v>-8.0000000000000002E-3</c:v>
                </c:pt>
                <c:pt idx="1021">
                  <c:v>6.1880000000000004E-2</c:v>
                </c:pt>
                <c:pt idx="1022">
                  <c:v>3.3000000000000002E-2</c:v>
                </c:pt>
                <c:pt idx="1023">
                  <c:v>1.255E-2</c:v>
                </c:pt>
                <c:pt idx="1024">
                  <c:v>-4.3999999999999942E-3</c:v>
                </c:pt>
                <c:pt idx="1025">
                  <c:v>7.8920000000000004E-2</c:v>
                </c:pt>
                <c:pt idx="1026">
                  <c:v>5.8740000000000001E-2</c:v>
                </c:pt>
                <c:pt idx="1027">
                  <c:v>-4.0300000000000002E-2</c:v>
                </c:pt>
                <c:pt idx="1028">
                  <c:v>6.8250000000000005E-2</c:v>
                </c:pt>
                <c:pt idx="1029">
                  <c:v>3.1000000000000003E-3</c:v>
                </c:pt>
                <c:pt idx="1030">
                  <c:v>0.03</c:v>
                </c:pt>
                <c:pt idx="1031">
                  <c:v>-5.9550000000000006E-2</c:v>
                </c:pt>
                <c:pt idx="1032">
                  <c:v>-1.1480000000000001E-2</c:v>
                </c:pt>
                <c:pt idx="1033">
                  <c:v>3.5799999999999998E-2</c:v>
                </c:pt>
                <c:pt idx="1034">
                  <c:v>-1.8259999999999998E-2</c:v>
                </c:pt>
                <c:pt idx="1035">
                  <c:v>-1.2320000000000001E-2</c:v>
                </c:pt>
                <c:pt idx="1036">
                  <c:v>-1.6709999999999999E-2</c:v>
                </c:pt>
                <c:pt idx="1037">
                  <c:v>7.8800000000000016E-3</c:v>
                </c:pt>
                <c:pt idx="1038">
                  <c:v>-1.9140000000000001E-2</c:v>
                </c:pt>
                <c:pt idx="1039">
                  <c:v>4.2080000000000006E-2</c:v>
                </c:pt>
                <c:pt idx="1040">
                  <c:v>3.2230000000000002E-2</c:v>
                </c:pt>
                <c:pt idx="1041">
                  <c:v>-2.7150000000000001E-2</c:v>
                </c:pt>
                <c:pt idx="1042">
                  <c:v>3.4099999999999998E-2</c:v>
                </c:pt>
                <c:pt idx="1043">
                  <c:v>-9.4999999999999946E-4</c:v>
                </c:pt>
                <c:pt idx="1044">
                  <c:v>5.4199999999999998E-2</c:v>
                </c:pt>
                <c:pt idx="1045">
                  <c:v>-1.1399999999999997E-2</c:v>
                </c:pt>
                <c:pt idx="1046">
                  <c:v>3.6119999999999999E-2</c:v>
                </c:pt>
                <c:pt idx="1047">
                  <c:v>9.9200000000000017E-3</c:v>
                </c:pt>
                <c:pt idx="1048">
                  <c:v>4.4569999999999999E-2</c:v>
                </c:pt>
                <c:pt idx="1049">
                  <c:v>-6.3950000000000007E-2</c:v>
                </c:pt>
                <c:pt idx="1050">
                  <c:v>2.7639999999999998E-2</c:v>
                </c:pt>
                <c:pt idx="1051">
                  <c:v>3.6119999999999999E-2</c:v>
                </c:pt>
                <c:pt idx="1052">
                  <c:v>5.1840000000000011E-2</c:v>
                </c:pt>
                <c:pt idx="1053">
                  <c:v>2.4E-2</c:v>
                </c:pt>
                <c:pt idx="1054">
                  <c:v>1.3499999999999998E-2</c:v>
                </c:pt>
                <c:pt idx="1055">
                  <c:v>-2.3999999999999369E-4</c:v>
                </c:pt>
                <c:pt idx="1056">
                  <c:v>1.9999999999999879E-4</c:v>
                </c:pt>
                <c:pt idx="1057">
                  <c:v>3.6920000000000001E-2</c:v>
                </c:pt>
                <c:pt idx="1058">
                  <c:v>1.498E-2</c:v>
                </c:pt>
                <c:pt idx="1059">
                  <c:v>2.896E-2</c:v>
                </c:pt>
                <c:pt idx="1060">
                  <c:v>0.11284000000000001</c:v>
                </c:pt>
                <c:pt idx="1061">
                  <c:v>4.1599999999999998E-2</c:v>
                </c:pt>
                <c:pt idx="1062">
                  <c:v>-6.5600000000000033E-3</c:v>
                </c:pt>
                <c:pt idx="1063">
                  <c:v>-4.7200000000000006E-2</c:v>
                </c:pt>
                <c:pt idx="1064">
                  <c:v>-2.6069999999999996E-2</c:v>
                </c:pt>
                <c:pt idx="1065">
                  <c:v>1.7799999999999996E-2</c:v>
                </c:pt>
                <c:pt idx="1066">
                  <c:v>8.8720000000000007E-2</c:v>
                </c:pt>
                <c:pt idx="1067">
                  <c:v>1.1720000000000005E-2</c:v>
                </c:pt>
                <c:pt idx="1068">
                  <c:v>2.1559999999999999E-2</c:v>
                </c:pt>
                <c:pt idx="1069">
                  <c:v>-6.5099999999999991E-2</c:v>
                </c:pt>
                <c:pt idx="1070">
                  <c:v>9.7199999999999925E-3</c:v>
                </c:pt>
                <c:pt idx="1071">
                  <c:v>4.4900000000000044E-3</c:v>
                </c:pt>
                <c:pt idx="1072">
                  <c:v>3.6920000000000008E-2</c:v>
                </c:pt>
                <c:pt idx="1073">
                  <c:v>8.6840000000000001E-2</c:v>
                </c:pt>
                <c:pt idx="1074">
                  <c:v>4.1259999999999998E-2</c:v>
                </c:pt>
                <c:pt idx="1075">
                  <c:v>7.5630000000000003E-2</c:v>
                </c:pt>
                <c:pt idx="1076">
                  <c:v>5.2909999999999999E-2</c:v>
                </c:pt>
                <c:pt idx="1077">
                  <c:v>0.1128</c:v>
                </c:pt>
                <c:pt idx="1078">
                  <c:v>-2.4219999999999998E-2</c:v>
                </c:pt>
                <c:pt idx="1079">
                  <c:v>-1.3400000000000079E-3</c:v>
                </c:pt>
                <c:pt idx="1080">
                  <c:v>3.2640000000000002E-2</c:v>
                </c:pt>
                <c:pt idx="1081">
                  <c:v>4.7700000000000006E-2</c:v>
                </c:pt>
                <c:pt idx="1082">
                  <c:v>-3.168E-2</c:v>
                </c:pt>
                <c:pt idx="1083">
                  <c:v>-4.1680000000000009E-2</c:v>
                </c:pt>
                <c:pt idx="1084">
                  <c:v>2.9339999999999998E-2</c:v>
                </c:pt>
                <c:pt idx="1085">
                  <c:v>4.6600000000000003E-2</c:v>
                </c:pt>
                <c:pt idx="1086">
                  <c:v>7.4600000000000014E-3</c:v>
                </c:pt>
                <c:pt idx="1087">
                  <c:v>-1.2350000000000002E-2</c:v>
                </c:pt>
                <c:pt idx="1088">
                  <c:v>2.4500000000000001E-2</c:v>
                </c:pt>
                <c:pt idx="1089">
                  <c:v>5.7889999999999997E-2</c:v>
                </c:pt>
                <c:pt idx="1090">
                  <c:v>3.7170000000000002E-2</c:v>
                </c:pt>
                <c:pt idx="1091">
                  <c:v>3.9240000000000004E-2</c:v>
                </c:pt>
                <c:pt idx="1092">
                  <c:v>-3.1700000000000009E-3</c:v>
                </c:pt>
                <c:pt idx="1093">
                  <c:v>9.0999999999999998E-2</c:v>
                </c:pt>
                <c:pt idx="1094">
                  <c:v>1.4659999999999999E-2</c:v>
                </c:pt>
                <c:pt idx="1095">
                  <c:v>2.9169999999999995E-2</c:v>
                </c:pt>
                <c:pt idx="1096">
                  <c:v>-2.8619999999999993E-2</c:v>
                </c:pt>
                <c:pt idx="1097">
                  <c:v>1.8020000000000001E-2</c:v>
                </c:pt>
                <c:pt idx="1098">
                  <c:v>-4.9200000000000042E-3</c:v>
                </c:pt>
                <c:pt idx="1099">
                  <c:v>5.1499999999999983E-3</c:v>
                </c:pt>
                <c:pt idx="1100">
                  <c:v>-6.8999999999999999E-3</c:v>
                </c:pt>
                <c:pt idx="1101">
                  <c:v>-4.8000000000000022E-3</c:v>
                </c:pt>
                <c:pt idx="1102">
                  <c:v>0.02</c:v>
                </c:pt>
                <c:pt idx="1103">
                  <c:v>1.4239999999999999E-2</c:v>
                </c:pt>
                <c:pt idx="1104">
                  <c:v>3.2480000000000002E-2</c:v>
                </c:pt>
                <c:pt idx="1105">
                  <c:v>2.521E-2</c:v>
                </c:pt>
                <c:pt idx="1106">
                  <c:v>5.4000000000000006E-2</c:v>
                </c:pt>
                <c:pt idx="1107">
                  <c:v>-6.8199999999999997E-3</c:v>
                </c:pt>
                <c:pt idx="1108">
                  <c:v>2.7009999999999999E-2</c:v>
                </c:pt>
                <c:pt idx="1109">
                  <c:v>-2E-3</c:v>
                </c:pt>
                <c:pt idx="1110">
                  <c:v>2.3279999999999995E-2</c:v>
                </c:pt>
                <c:pt idx="1111">
                  <c:v>7.7190000000000009E-2</c:v>
                </c:pt>
                <c:pt idx="1112">
                  <c:v>1.7999999999999999E-2</c:v>
                </c:pt>
                <c:pt idx="1113">
                  <c:v>-5.9560000000000002E-2</c:v>
                </c:pt>
                <c:pt idx="1114">
                  <c:v>8.5800000000000008E-3</c:v>
                </c:pt>
                <c:pt idx="1115">
                  <c:v>-9.1439999999999994E-2</c:v>
                </c:pt>
                <c:pt idx="1116">
                  <c:v>-5.0639999999999998E-2</c:v>
                </c:pt>
                <c:pt idx="1117">
                  <c:v>1.9560000000000001E-2</c:v>
                </c:pt>
                <c:pt idx="1118">
                  <c:v>-5.9099999999999993E-2</c:v>
                </c:pt>
                <c:pt idx="1119">
                  <c:v>8.5199999999999998E-2</c:v>
                </c:pt>
                <c:pt idx="1120">
                  <c:v>-6.7800000000000013E-3</c:v>
                </c:pt>
                <c:pt idx="1121">
                  <c:v>-1.3820000000000002E-2</c:v>
                </c:pt>
                <c:pt idx="1122">
                  <c:v>2.4239999999999998E-2</c:v>
                </c:pt>
                <c:pt idx="1123">
                  <c:v>-1.4600000000000005E-2</c:v>
                </c:pt>
                <c:pt idx="1124">
                  <c:v>3.3999999999999996E-2</c:v>
                </c:pt>
                <c:pt idx="1125">
                  <c:v>-3.3840000000000002E-2</c:v>
                </c:pt>
                <c:pt idx="1126">
                  <c:v>5.2879999999999996E-2</c:v>
                </c:pt>
                <c:pt idx="1127">
                  <c:v>7.8560000000000005E-2</c:v>
                </c:pt>
                <c:pt idx="1128">
                  <c:v>5.3360000000000005E-2</c:v>
                </c:pt>
                <c:pt idx="1129">
                  <c:v>-1.0309999999999998E-2</c:v>
                </c:pt>
                <c:pt idx="1130">
                  <c:v>-7.8799999999999981E-3</c:v>
                </c:pt>
                <c:pt idx="1131">
                  <c:v>1.2319999999999998E-2</c:v>
                </c:pt>
                <c:pt idx="1132">
                  <c:v>-5.5930000000000001E-2</c:v>
                </c:pt>
                <c:pt idx="1133">
                  <c:v>3.8109999999999998E-2</c:v>
                </c:pt>
                <c:pt idx="1134">
                  <c:v>2.7200000000000002E-2</c:v>
                </c:pt>
                <c:pt idx="1135">
                  <c:v>4.648E-2</c:v>
                </c:pt>
                <c:pt idx="1136">
                  <c:v>-1.23E-2</c:v>
                </c:pt>
                <c:pt idx="1137">
                  <c:v>6.234E-2</c:v>
                </c:pt>
                <c:pt idx="1138">
                  <c:v>1.3550000000000003E-2</c:v>
                </c:pt>
                <c:pt idx="1139">
                  <c:v>8.5999999999999896E-3</c:v>
                </c:pt>
                <c:pt idx="1140">
                  <c:v>4.8719999999999999E-2</c:v>
                </c:pt>
                <c:pt idx="1141">
                  <c:v>2.0300000000000002E-2</c:v>
                </c:pt>
                <c:pt idx="1142">
                  <c:v>2.0370000000000003E-2</c:v>
                </c:pt>
                <c:pt idx="1143">
                  <c:v>3.5020000000000003E-2</c:v>
                </c:pt>
                <c:pt idx="1144">
                  <c:v>5.9249999999999997E-2</c:v>
                </c:pt>
                <c:pt idx="1145">
                  <c:v>0.1633</c:v>
                </c:pt>
                <c:pt idx="1146">
                  <c:v>-5.3780000000000001E-2</c:v>
                </c:pt>
                <c:pt idx="1147">
                  <c:v>-1.532E-2</c:v>
                </c:pt>
                <c:pt idx="1148">
                  <c:v>7.8300000000000008E-2</c:v>
                </c:pt>
                <c:pt idx="1149">
                  <c:v>-3.8440000000000002E-2</c:v>
                </c:pt>
                <c:pt idx="1150">
                  <c:v>4.161999999999999E-2</c:v>
                </c:pt>
                <c:pt idx="1151">
                  <c:v>4.904E-2</c:v>
                </c:pt>
                <c:pt idx="1152">
                  <c:v>-0.17299999999999999</c:v>
                </c:pt>
                <c:pt idx="1153">
                  <c:v>5.9840000000000004E-2</c:v>
                </c:pt>
                <c:pt idx="1154">
                  <c:v>9.8980000000000012E-2</c:v>
                </c:pt>
                <c:pt idx="1155">
                  <c:v>-5.2999999999999999E-2</c:v>
                </c:pt>
                <c:pt idx="1156">
                  <c:v>-2.5169999999999998E-2</c:v>
                </c:pt>
                <c:pt idx="1157">
                  <c:v>2.7560000000000001E-2</c:v>
                </c:pt>
                <c:pt idx="1158">
                  <c:v>-6.0120000000000007E-2</c:v>
                </c:pt>
                <c:pt idx="1159">
                  <c:v>8.6779999999999996E-2</c:v>
                </c:pt>
                <c:pt idx="1160">
                  <c:v>4.8719999999999999E-2</c:v>
                </c:pt>
                <c:pt idx="1161">
                  <c:v>1.6400000000000026E-3</c:v>
                </c:pt>
                <c:pt idx="1162">
                  <c:v>-2.8679999999999997E-2</c:v>
                </c:pt>
                <c:pt idx="1163">
                  <c:v>0.19958000000000001</c:v>
                </c:pt>
                <c:pt idx="1164">
                  <c:v>-5.7649999999999993E-2</c:v>
                </c:pt>
                <c:pt idx="1165">
                  <c:v>2.6280000000000001E-2</c:v>
                </c:pt>
                <c:pt idx="1166">
                  <c:v>1.128E-2</c:v>
                </c:pt>
                <c:pt idx="1167">
                  <c:v>3.5299999999999998E-2</c:v>
                </c:pt>
                <c:pt idx="1168">
                  <c:v>-4.5530000000000001E-2</c:v>
                </c:pt>
                <c:pt idx="1169">
                  <c:v>-1.9000000000000006E-3</c:v>
                </c:pt>
                <c:pt idx="1170">
                  <c:v>3.3000000000000002E-2</c:v>
                </c:pt>
                <c:pt idx="1171">
                  <c:v>2.6080000000000002E-2</c:v>
                </c:pt>
                <c:pt idx="1172">
                  <c:v>-2.9999999999999992E-3</c:v>
                </c:pt>
                <c:pt idx="1173">
                  <c:v>1.6220000000000002E-2</c:v>
                </c:pt>
                <c:pt idx="1174">
                  <c:v>1.89E-2</c:v>
                </c:pt>
                <c:pt idx="1175">
                  <c:v>2.52E-2</c:v>
                </c:pt>
                <c:pt idx="1176">
                  <c:v>5.6640000000000003E-2</c:v>
                </c:pt>
                <c:pt idx="1177">
                  <c:v>1.319E-2</c:v>
                </c:pt>
                <c:pt idx="1178">
                  <c:v>3.3849999999999998E-2</c:v>
                </c:pt>
                <c:pt idx="1179">
                  <c:v>7.1440000000000003E-2</c:v>
                </c:pt>
                <c:pt idx="1180">
                  <c:v>3.04E-2</c:v>
                </c:pt>
                <c:pt idx="1181">
                  <c:v>7.0940000000000003E-2</c:v>
                </c:pt>
                <c:pt idx="1182">
                  <c:v>9.8180000000000003E-2</c:v>
                </c:pt>
                <c:pt idx="1183">
                  <c:v>8.9440000000000006E-2</c:v>
                </c:pt>
                <c:pt idx="1184">
                  <c:v>-0.16852</c:v>
                </c:pt>
                <c:pt idx="1185">
                  <c:v>8.7999999999999995E-2</c:v>
                </c:pt>
                <c:pt idx="1186">
                  <c:v>-2.1050000000000003E-2</c:v>
                </c:pt>
                <c:pt idx="1187">
                  <c:v>5.9650000000000002E-2</c:v>
                </c:pt>
                <c:pt idx="1188">
                  <c:v>2.1760000000000005E-2</c:v>
                </c:pt>
                <c:pt idx="1189">
                  <c:v>-6.1899999999999997E-2</c:v>
                </c:pt>
                <c:pt idx="1190">
                  <c:v>2.5520000000000001E-2</c:v>
                </c:pt>
                <c:pt idx="1191">
                  <c:v>1.7290000000000003E-2</c:v>
                </c:pt>
                <c:pt idx="1192">
                  <c:v>2.6799999999999997E-2</c:v>
                </c:pt>
                <c:pt idx="1193">
                  <c:v>3.3799999999999997E-2</c:v>
                </c:pt>
                <c:pt idx="1194">
                  <c:v>3.2079999999999997E-2</c:v>
                </c:pt>
                <c:pt idx="1195">
                  <c:v>-4.6579999999999989E-2</c:v>
                </c:pt>
                <c:pt idx="1196">
                  <c:v>4.0989999999999999E-2</c:v>
                </c:pt>
                <c:pt idx="1197">
                  <c:v>2.0740000000000001E-2</c:v>
                </c:pt>
                <c:pt idx="1198">
                  <c:v>-6.7999999999999918E-4</c:v>
                </c:pt>
                <c:pt idx="1199">
                  <c:v>-3.492E-2</c:v>
                </c:pt>
                <c:pt idx="1200">
                  <c:v>1.5930000000000007E-2</c:v>
                </c:pt>
                <c:pt idx="1201">
                  <c:v>5.2909999999999999E-2</c:v>
                </c:pt>
                <c:pt idx="1202">
                  <c:v>-7.7800000000000005E-3</c:v>
                </c:pt>
                <c:pt idx="1203">
                  <c:v>4.8069999999999995E-2</c:v>
                </c:pt>
                <c:pt idx="1204">
                  <c:v>1.3950000000000001E-2</c:v>
                </c:pt>
                <c:pt idx="1205">
                  <c:v>2.7E-2</c:v>
                </c:pt>
                <c:pt idx="1206">
                  <c:v>0.10411999999999999</c:v>
                </c:pt>
                <c:pt idx="1207">
                  <c:v>3.3680000000000002E-2</c:v>
                </c:pt>
                <c:pt idx="1208">
                  <c:v>4.5370000000000001E-2</c:v>
                </c:pt>
                <c:pt idx="1209">
                  <c:v>-0.13639999999999999</c:v>
                </c:pt>
                <c:pt idx="1210">
                  <c:v>1.8789999999999994E-2</c:v>
                </c:pt>
                <c:pt idx="1211">
                  <c:v>3.2149999999999998E-2</c:v>
                </c:pt>
                <c:pt idx="1212">
                  <c:v>0.17510000000000001</c:v>
                </c:pt>
                <c:pt idx="1213">
                  <c:v>-7.7549999999999994E-2</c:v>
                </c:pt>
                <c:pt idx="1214">
                  <c:v>0.14458000000000001</c:v>
                </c:pt>
                <c:pt idx="1215">
                  <c:v>-4.6960000000000002E-2</c:v>
                </c:pt>
                <c:pt idx="1216">
                  <c:v>3.1559999999999998E-2</c:v>
                </c:pt>
                <c:pt idx="1217">
                  <c:v>-3.9170000000000003E-2</c:v>
                </c:pt>
                <c:pt idx="1218">
                  <c:v>-2.7880000000000002E-2</c:v>
                </c:pt>
                <c:pt idx="1219">
                  <c:v>1.0330000000000006E-2</c:v>
                </c:pt>
                <c:pt idx="1220">
                  <c:v>3.1149999999999997E-2</c:v>
                </c:pt>
                <c:pt idx="1221">
                  <c:v>-9.4100000000000017E-3</c:v>
                </c:pt>
                <c:pt idx="1222">
                  <c:v>2.1880000000000004E-2</c:v>
                </c:pt>
                <c:pt idx="1223">
                  <c:v>0.10483000000000001</c:v>
                </c:pt>
                <c:pt idx="1224">
                  <c:v>9.7300000000000008E-3</c:v>
                </c:pt>
                <c:pt idx="1225">
                  <c:v>6.5999999999999948E-3</c:v>
                </c:pt>
                <c:pt idx="1226">
                  <c:v>2.5450000000000007E-2</c:v>
                </c:pt>
                <c:pt idx="1227">
                  <c:v>-0.1082</c:v>
                </c:pt>
                <c:pt idx="1228">
                  <c:v>-6.7220000000000002E-2</c:v>
                </c:pt>
                <c:pt idx="1229">
                  <c:v>0.15276000000000001</c:v>
                </c:pt>
                <c:pt idx="1230">
                  <c:v>3.5600000000000007E-3</c:v>
                </c:pt>
                <c:pt idx="1231">
                  <c:v>4.428E-2</c:v>
                </c:pt>
                <c:pt idx="1232">
                  <c:v>5.8719999999999994E-2</c:v>
                </c:pt>
                <c:pt idx="1233">
                  <c:v>-5.1580000000000001E-2</c:v>
                </c:pt>
                <c:pt idx="1234">
                  <c:v>3.6240000000000001E-2</c:v>
                </c:pt>
                <c:pt idx="1235">
                  <c:v>5.6669999999999998E-2</c:v>
                </c:pt>
                <c:pt idx="1236">
                  <c:v>2.1860000000000001E-2</c:v>
                </c:pt>
                <c:pt idx="1237">
                  <c:v>-2.7439999999999999E-2</c:v>
                </c:pt>
                <c:pt idx="1238">
                  <c:v>1.9799999999999998E-2</c:v>
                </c:pt>
                <c:pt idx="1239">
                  <c:v>4.0260000000000004E-2</c:v>
                </c:pt>
                <c:pt idx="1240">
                  <c:v>-1.2139999999999998E-2</c:v>
                </c:pt>
                <c:pt idx="1241">
                  <c:v>0.16364000000000001</c:v>
                </c:pt>
                <c:pt idx="1242">
                  <c:v>8.6120000000000002E-2</c:v>
                </c:pt>
                <c:pt idx="1243">
                  <c:v>3.3759999999999998E-2</c:v>
                </c:pt>
                <c:pt idx="1244">
                  <c:v>-2.1579999999999998E-2</c:v>
                </c:pt>
                <c:pt idx="1245">
                  <c:v>-6.3999999999999994E-3</c:v>
                </c:pt>
                <c:pt idx="1246">
                  <c:v>5.2809999999999996E-2</c:v>
                </c:pt>
                <c:pt idx="1247">
                  <c:v>-9.9999999999999915E-4</c:v>
                </c:pt>
                <c:pt idx="1248">
                  <c:v>3.866E-2</c:v>
                </c:pt>
                <c:pt idx="1249">
                  <c:v>-5.108E-2</c:v>
                </c:pt>
                <c:pt idx="1250">
                  <c:v>3.3650000000000006E-2</c:v>
                </c:pt>
                <c:pt idx="1251">
                  <c:v>-4.4379999999999996E-2</c:v>
                </c:pt>
                <c:pt idx="1252">
                  <c:v>4.3279999999999999E-2</c:v>
                </c:pt>
                <c:pt idx="1253">
                  <c:v>4.0000000000000001E-3</c:v>
                </c:pt>
                <c:pt idx="1254">
                  <c:v>6.6059999999999994E-2</c:v>
                </c:pt>
                <c:pt idx="1255">
                  <c:v>9.5680000000000001E-2</c:v>
                </c:pt>
                <c:pt idx="1256">
                  <c:v>4.231E-2</c:v>
                </c:pt>
                <c:pt idx="1257">
                  <c:v>8.4449999999999997E-2</c:v>
                </c:pt>
                <c:pt idx="1258">
                  <c:v>-0.10754</c:v>
                </c:pt>
                <c:pt idx="1259">
                  <c:v>0.10681</c:v>
                </c:pt>
                <c:pt idx="1260">
                  <c:v>4.3400000000000001E-2</c:v>
                </c:pt>
                <c:pt idx="1261">
                  <c:v>0.15678</c:v>
                </c:pt>
                <c:pt idx="1262">
                  <c:v>-7.3000000000000148E-4</c:v>
                </c:pt>
                <c:pt idx="1263">
                  <c:v>-6.5600000000000006E-2</c:v>
                </c:pt>
                <c:pt idx="1264">
                  <c:v>-3.9E-2</c:v>
                </c:pt>
                <c:pt idx="1265">
                  <c:v>7.8480000000000008E-2</c:v>
                </c:pt>
                <c:pt idx="1266">
                  <c:v>5.4000000000000012E-3</c:v>
                </c:pt>
                <c:pt idx="1267">
                  <c:v>-3.3949999999999994E-2</c:v>
                </c:pt>
                <c:pt idx="1268">
                  <c:v>2.366E-2</c:v>
                </c:pt>
                <c:pt idx="1269">
                  <c:v>4.6179999999999999E-2</c:v>
                </c:pt>
                <c:pt idx="1270">
                  <c:v>-6.3E-3</c:v>
                </c:pt>
                <c:pt idx="1271">
                  <c:v>2.682E-2</c:v>
                </c:pt>
                <c:pt idx="1272">
                  <c:v>-1.3079999999999998E-2</c:v>
                </c:pt>
                <c:pt idx="1273">
                  <c:v>7.109E-2</c:v>
                </c:pt>
                <c:pt idx="1274">
                  <c:v>6.0900000000000003E-2</c:v>
                </c:pt>
                <c:pt idx="1275">
                  <c:v>8.2110000000000002E-2</c:v>
                </c:pt>
                <c:pt idx="1276">
                  <c:v>-6.5509999999999999E-2</c:v>
                </c:pt>
                <c:pt idx="1277">
                  <c:v>-3.0499999999999999E-2</c:v>
                </c:pt>
                <c:pt idx="1278">
                  <c:v>-3.5800000000000005E-2</c:v>
                </c:pt>
                <c:pt idx="1279">
                  <c:v>6.7999999999999658E-4</c:v>
                </c:pt>
                <c:pt idx="1280">
                  <c:v>-2.5079999999999995E-2</c:v>
                </c:pt>
                <c:pt idx="1281">
                  <c:v>2.2800000000000001E-2</c:v>
                </c:pt>
                <c:pt idx="1282">
                  <c:v>6.3599999999999993E-3</c:v>
                </c:pt>
                <c:pt idx="1283">
                  <c:v>-9.7199999999999995E-3</c:v>
                </c:pt>
                <c:pt idx="1284">
                  <c:v>3.9850000000000003E-2</c:v>
                </c:pt>
                <c:pt idx="1285">
                  <c:v>7.7640000000000001E-2</c:v>
                </c:pt>
                <c:pt idx="1286">
                  <c:v>3.1320000000000001E-2</c:v>
                </c:pt>
                <c:pt idx="1287">
                  <c:v>2.0479999999999998E-2</c:v>
                </c:pt>
                <c:pt idx="1288">
                  <c:v>1.7509999999999998E-2</c:v>
                </c:pt>
                <c:pt idx="1289">
                  <c:v>7.2899999999999993E-2</c:v>
                </c:pt>
                <c:pt idx="1290">
                  <c:v>-1.5599999999999996E-2</c:v>
                </c:pt>
                <c:pt idx="1291">
                  <c:v>2.8979999999999999E-2</c:v>
                </c:pt>
                <c:pt idx="1292">
                  <c:v>4.1680000000000002E-2</c:v>
                </c:pt>
                <c:pt idx="1293">
                  <c:v>-8.0919999999999992E-2</c:v>
                </c:pt>
                <c:pt idx="1294">
                  <c:v>-2.0079999999999997E-2</c:v>
                </c:pt>
                <c:pt idx="1295">
                  <c:v>-1.5270000000000001E-2</c:v>
                </c:pt>
                <c:pt idx="1296">
                  <c:v>2.1460000000000003E-2</c:v>
                </c:pt>
                <c:pt idx="1297">
                  <c:v>2.0799999999999985E-3</c:v>
                </c:pt>
                <c:pt idx="1298">
                  <c:v>1.2200000000000023E-3</c:v>
                </c:pt>
                <c:pt idx="1299">
                  <c:v>9.2600000000000009E-3</c:v>
                </c:pt>
                <c:pt idx="1300">
                  <c:v>1.124E-2</c:v>
                </c:pt>
                <c:pt idx="1301">
                  <c:v>-5.8000000000000003E-2</c:v>
                </c:pt>
                <c:pt idx="1302">
                  <c:v>1.336E-2</c:v>
                </c:pt>
                <c:pt idx="1303">
                  <c:v>-6.1500000000000027E-3</c:v>
                </c:pt>
                <c:pt idx="1304">
                  <c:v>3.0199999999999998E-2</c:v>
                </c:pt>
                <c:pt idx="1305">
                  <c:v>8.879999999999999E-2</c:v>
                </c:pt>
                <c:pt idx="1306">
                  <c:v>9.5900000000000013E-3</c:v>
                </c:pt>
                <c:pt idx="1307">
                  <c:v>4.0999999999999995E-2</c:v>
                </c:pt>
                <c:pt idx="1308">
                  <c:v>9.6800000000000011E-2</c:v>
                </c:pt>
                <c:pt idx="1309">
                  <c:v>1.1780000000000001E-2</c:v>
                </c:pt>
                <c:pt idx="1310">
                  <c:v>5.1639999999999998E-2</c:v>
                </c:pt>
                <c:pt idx="1311">
                  <c:v>2.5539999999999997E-2</c:v>
                </c:pt>
                <c:pt idx="1312">
                  <c:v>-9.3680000000000013E-2</c:v>
                </c:pt>
                <c:pt idx="1313">
                  <c:v>0.21557000000000001</c:v>
                </c:pt>
                <c:pt idx="1314">
                  <c:v>-0.14948</c:v>
                </c:pt>
                <c:pt idx="1315">
                  <c:v>-0.03</c:v>
                </c:pt>
                <c:pt idx="1316">
                  <c:v>3.8330000000000003E-2</c:v>
                </c:pt>
                <c:pt idx="1317">
                  <c:v>0.11003</c:v>
                </c:pt>
                <c:pt idx="1318">
                  <c:v>-0.10900000000000001</c:v>
                </c:pt>
                <c:pt idx="1319">
                  <c:v>6.3980000000000009E-2</c:v>
                </c:pt>
                <c:pt idx="1320">
                  <c:v>3.7580000000000002E-2</c:v>
                </c:pt>
                <c:pt idx="1321">
                  <c:v>-1.0329999999999999E-2</c:v>
                </c:pt>
                <c:pt idx="1322">
                  <c:v>4.2520000000000002E-2</c:v>
                </c:pt>
                <c:pt idx="1323">
                  <c:v>6.4600000000000005E-2</c:v>
                </c:pt>
                <c:pt idx="1324">
                  <c:v>5.0800000000000012E-3</c:v>
                </c:pt>
                <c:pt idx="1325">
                  <c:v>0.10568000000000001</c:v>
                </c:pt>
                <c:pt idx="1326">
                  <c:v>3.4980000000000004E-2</c:v>
                </c:pt>
                <c:pt idx="1327">
                  <c:v>2.7E-2</c:v>
                </c:pt>
                <c:pt idx="1328">
                  <c:v>5.8239999999999993E-2</c:v>
                </c:pt>
                <c:pt idx="1329">
                  <c:v>1.9290000000000002E-2</c:v>
                </c:pt>
                <c:pt idx="1330">
                  <c:v>-1.34E-2</c:v>
                </c:pt>
                <c:pt idx="1331">
                  <c:v>0.13335</c:v>
                </c:pt>
                <c:pt idx="1332">
                  <c:v>-2.6019999999999998E-2</c:v>
                </c:pt>
                <c:pt idx="1333">
                  <c:v>7.3999999999999996E-2</c:v>
                </c:pt>
                <c:pt idx="1334">
                  <c:v>-4.4200000000000021E-3</c:v>
                </c:pt>
                <c:pt idx="1335">
                  <c:v>3.5900000000000001E-2</c:v>
                </c:pt>
                <c:pt idx="1336">
                  <c:v>-4.1499999999999992E-3</c:v>
                </c:pt>
                <c:pt idx="1337">
                  <c:v>-1.0880000000000001E-2</c:v>
                </c:pt>
                <c:pt idx="1338">
                  <c:v>9.9999999999999395E-4</c:v>
                </c:pt>
                <c:pt idx="1339">
                  <c:v>3.6760000000000001E-2</c:v>
                </c:pt>
                <c:pt idx="1340">
                  <c:v>5.876E-2</c:v>
                </c:pt>
                <c:pt idx="1341">
                  <c:v>5.1999999999999998E-3</c:v>
                </c:pt>
                <c:pt idx="1342">
                  <c:v>0.15514</c:v>
                </c:pt>
                <c:pt idx="1343">
                  <c:v>-2.7759999999999993E-2</c:v>
                </c:pt>
                <c:pt idx="1344">
                  <c:v>4.5080000000000002E-2</c:v>
                </c:pt>
                <c:pt idx="1345">
                  <c:v>3.0949999999999998E-2</c:v>
                </c:pt>
                <c:pt idx="1346">
                  <c:v>-1.034E-2</c:v>
                </c:pt>
                <c:pt idx="1347">
                  <c:v>-1.128E-2</c:v>
                </c:pt>
                <c:pt idx="1348">
                  <c:v>-3.0189999999999998E-2</c:v>
                </c:pt>
                <c:pt idx="1349">
                  <c:v>1.0460000000000001E-2</c:v>
                </c:pt>
                <c:pt idx="1350">
                  <c:v>1.116E-2</c:v>
                </c:pt>
                <c:pt idx="1351">
                  <c:v>1.7100000000000004E-2</c:v>
                </c:pt>
                <c:pt idx="1352">
                  <c:v>5.4200000000000003E-3</c:v>
                </c:pt>
                <c:pt idx="1353">
                  <c:v>8.7100000000000007E-3</c:v>
                </c:pt>
                <c:pt idx="1354">
                  <c:v>1.9680000000000003E-2</c:v>
                </c:pt>
                <c:pt idx="1355">
                  <c:v>3.2799999999999982E-3</c:v>
                </c:pt>
                <c:pt idx="1356">
                  <c:v>1.234E-2</c:v>
                </c:pt>
                <c:pt idx="1357">
                  <c:v>1.472E-2</c:v>
                </c:pt>
                <c:pt idx="1358">
                  <c:v>-6.2500000000000003E-3</c:v>
                </c:pt>
                <c:pt idx="1359">
                  <c:v>7.5999999999999991E-3</c:v>
                </c:pt>
                <c:pt idx="1360">
                  <c:v>5.5589999999999994E-2</c:v>
                </c:pt>
                <c:pt idx="1361">
                  <c:v>1.9250000000000003E-2</c:v>
                </c:pt>
                <c:pt idx="1362">
                  <c:v>8.2199999999999981E-3</c:v>
                </c:pt>
                <c:pt idx="1363">
                  <c:v>-2.8400000000000002E-2</c:v>
                </c:pt>
                <c:pt idx="1364">
                  <c:v>8.8599999999999998E-3</c:v>
                </c:pt>
                <c:pt idx="1365">
                  <c:v>-3.1999999999999994E-2</c:v>
                </c:pt>
                <c:pt idx="1366">
                  <c:v>4.6519999999999999E-2</c:v>
                </c:pt>
                <c:pt idx="1367">
                  <c:v>-3.4709999999999998E-2</c:v>
                </c:pt>
                <c:pt idx="1368">
                  <c:v>3.6499999999999998E-2</c:v>
                </c:pt>
                <c:pt idx="1369">
                  <c:v>2.792E-2</c:v>
                </c:pt>
                <c:pt idx="1370">
                  <c:v>1.562E-2</c:v>
                </c:pt>
                <c:pt idx="1371">
                  <c:v>1.4250000000000002E-2</c:v>
                </c:pt>
                <c:pt idx="1372">
                  <c:v>5.2359999999999997E-2</c:v>
                </c:pt>
                <c:pt idx="1373">
                  <c:v>-2.8500000000000001E-3</c:v>
                </c:pt>
                <c:pt idx="1374">
                  <c:v>2.6279999999999998E-2</c:v>
                </c:pt>
                <c:pt idx="1375">
                  <c:v>4.1599999999999988E-3</c:v>
                </c:pt>
                <c:pt idx="1376">
                  <c:v>0.12905999999999998</c:v>
                </c:pt>
                <c:pt idx="1377">
                  <c:v>1.8520000000000005E-2</c:v>
                </c:pt>
                <c:pt idx="1378">
                  <c:v>6.2140000000000001E-2</c:v>
                </c:pt>
                <c:pt idx="1379">
                  <c:v>2.3999999999999997E-2</c:v>
                </c:pt>
                <c:pt idx="1380">
                  <c:v>2.2040000000000001E-2</c:v>
                </c:pt>
                <c:pt idx="1381">
                  <c:v>3.8290000000000005E-2</c:v>
                </c:pt>
                <c:pt idx="1382">
                  <c:v>-0.12892000000000001</c:v>
                </c:pt>
                <c:pt idx="1383">
                  <c:v>4.6950000000000006E-2</c:v>
                </c:pt>
                <c:pt idx="1384">
                  <c:v>7.0999999999999994E-2</c:v>
                </c:pt>
                <c:pt idx="1385">
                  <c:v>3.95E-2</c:v>
                </c:pt>
                <c:pt idx="1386">
                  <c:v>-2.2600000000000002E-2</c:v>
                </c:pt>
                <c:pt idx="1387">
                  <c:v>2.7999999999999997E-2</c:v>
                </c:pt>
                <c:pt idx="1388">
                  <c:v>4.0800000000000003E-2</c:v>
                </c:pt>
                <c:pt idx="1389">
                  <c:v>-9.8799999999999999E-2</c:v>
                </c:pt>
                <c:pt idx="1390">
                  <c:v>0.12276000000000001</c:v>
                </c:pt>
                <c:pt idx="1391">
                  <c:v>3.7470000000000003E-2</c:v>
                </c:pt>
                <c:pt idx="1392">
                  <c:v>-8.8569999999999996E-2</c:v>
                </c:pt>
                <c:pt idx="1393">
                  <c:v>0.20796000000000001</c:v>
                </c:pt>
                <c:pt idx="1394">
                  <c:v>2.7949999999999999E-2</c:v>
                </c:pt>
                <c:pt idx="1395">
                  <c:v>-3.7360000000000004E-2</c:v>
                </c:pt>
                <c:pt idx="1396">
                  <c:v>5.5200000000000006E-3</c:v>
                </c:pt>
                <c:pt idx="1397">
                  <c:v>-2.3539999999999998E-2</c:v>
                </c:pt>
                <c:pt idx="1398">
                  <c:v>2.3000000000000017E-4</c:v>
                </c:pt>
                <c:pt idx="1399">
                  <c:v>9.4599999999999997E-3</c:v>
                </c:pt>
                <c:pt idx="1400">
                  <c:v>-2.7799999999999998E-2</c:v>
                </c:pt>
                <c:pt idx="1401">
                  <c:v>8.3650000000000002E-2</c:v>
                </c:pt>
                <c:pt idx="1402">
                  <c:v>-1.81E-3</c:v>
                </c:pt>
                <c:pt idx="1403">
                  <c:v>-1.3700000000000006E-3</c:v>
                </c:pt>
                <c:pt idx="1404">
                  <c:v>2.3280000000000002E-2</c:v>
                </c:pt>
                <c:pt idx="1405">
                  <c:v>1.141E-2</c:v>
                </c:pt>
                <c:pt idx="1406">
                  <c:v>4.3110000000000002E-2</c:v>
                </c:pt>
                <c:pt idx="1407">
                  <c:v>-2.9600000000000008E-3</c:v>
                </c:pt>
                <c:pt idx="1408">
                  <c:v>6.9159999999999999E-2</c:v>
                </c:pt>
                <c:pt idx="1409">
                  <c:v>2.7500000000000004E-2</c:v>
                </c:pt>
                <c:pt idx="1410">
                  <c:v>8.2400000000000001E-2</c:v>
                </c:pt>
                <c:pt idx="1411">
                  <c:v>0.20100000000000001</c:v>
                </c:pt>
                <c:pt idx="1412">
                  <c:v>0.06</c:v>
                </c:pt>
                <c:pt idx="1413">
                  <c:v>0.12598000000000001</c:v>
                </c:pt>
                <c:pt idx="1414">
                  <c:v>-3.8330000000000003E-2</c:v>
                </c:pt>
                <c:pt idx="1415">
                  <c:v>5.9400000000000001E-2</c:v>
                </c:pt>
                <c:pt idx="1416">
                  <c:v>-7.7149999999999996E-2</c:v>
                </c:pt>
                <c:pt idx="1417">
                  <c:v>9.4559999999999991E-2</c:v>
                </c:pt>
                <c:pt idx="1418">
                  <c:v>-1.1360000000000002E-2</c:v>
                </c:pt>
                <c:pt idx="1419">
                  <c:v>2.2999999999999996E-2</c:v>
                </c:pt>
                <c:pt idx="1420">
                  <c:v>8.7000000000000011E-4</c:v>
                </c:pt>
                <c:pt idx="1421">
                  <c:v>4.3880000000000002E-2</c:v>
                </c:pt>
                <c:pt idx="1422">
                  <c:v>5.135E-2</c:v>
                </c:pt>
                <c:pt idx="1423">
                  <c:v>9.3640000000000001E-2</c:v>
                </c:pt>
                <c:pt idx="1424">
                  <c:v>2.8069999999999998E-2</c:v>
                </c:pt>
                <c:pt idx="1425">
                  <c:v>0.10400000000000001</c:v>
                </c:pt>
                <c:pt idx="1426">
                  <c:v>9.0020000000000003E-2</c:v>
                </c:pt>
                <c:pt idx="1427">
                  <c:v>-2.23E-2</c:v>
                </c:pt>
                <c:pt idx="1428">
                  <c:v>-4.7230000000000008E-2</c:v>
                </c:pt>
                <c:pt idx="1429">
                  <c:v>-2.0879999999999999E-2</c:v>
                </c:pt>
                <c:pt idx="1430">
                  <c:v>-5.7540000000000001E-2</c:v>
                </c:pt>
                <c:pt idx="1431">
                  <c:v>5.4559999999999997E-2</c:v>
                </c:pt>
                <c:pt idx="1432">
                  <c:v>-7.2800000000000017E-3</c:v>
                </c:pt>
                <c:pt idx="1433">
                  <c:v>9.4600000000000004E-2</c:v>
                </c:pt>
                <c:pt idx="1434">
                  <c:v>-5.4260000000000003E-2</c:v>
                </c:pt>
                <c:pt idx="1435">
                  <c:v>5.57E-2</c:v>
                </c:pt>
                <c:pt idx="1436">
                  <c:v>3.508E-2</c:v>
                </c:pt>
                <c:pt idx="1437">
                  <c:v>2.7119999999999998E-2</c:v>
                </c:pt>
                <c:pt idx="1438">
                  <c:v>1.3000000000000001E-2</c:v>
                </c:pt>
                <c:pt idx="1439">
                  <c:v>7.4130000000000001E-2</c:v>
                </c:pt>
                <c:pt idx="1440">
                  <c:v>1.6799999999999995E-2</c:v>
                </c:pt>
                <c:pt idx="1441">
                  <c:v>1.2599999999999972E-3</c:v>
                </c:pt>
                <c:pt idx="1442">
                  <c:v>0.12405000000000001</c:v>
                </c:pt>
                <c:pt idx="1443">
                  <c:v>6.4020000000000021E-2</c:v>
                </c:pt>
                <c:pt idx="1444">
                  <c:v>-5.5799999999999982E-2</c:v>
                </c:pt>
                <c:pt idx="1445">
                  <c:v>-6.5999999999999982E-3</c:v>
                </c:pt>
                <c:pt idx="1446">
                  <c:v>6.8000000000000005E-4</c:v>
                </c:pt>
                <c:pt idx="1447">
                  <c:v>-2.7799999999999998E-2</c:v>
                </c:pt>
                <c:pt idx="1448">
                  <c:v>1.9999999999999983E-3</c:v>
                </c:pt>
                <c:pt idx="1449">
                  <c:v>2.4E-2</c:v>
                </c:pt>
                <c:pt idx="1450">
                  <c:v>5.6350000000000004E-2</c:v>
                </c:pt>
                <c:pt idx="1451">
                  <c:v>-1.3950000000000004E-2</c:v>
                </c:pt>
                <c:pt idx="1452">
                  <c:v>-2.9000000000000005E-2</c:v>
                </c:pt>
                <c:pt idx="1453">
                  <c:v>5.6639999999999996E-2</c:v>
                </c:pt>
                <c:pt idx="1454">
                  <c:v>4.4079999999999994E-2</c:v>
                </c:pt>
                <c:pt idx="1455">
                  <c:v>-4.3509999999999993E-2</c:v>
                </c:pt>
                <c:pt idx="1456">
                  <c:v>4.0999999999999995E-2</c:v>
                </c:pt>
                <c:pt idx="1457">
                  <c:v>-2E-3</c:v>
                </c:pt>
                <c:pt idx="1458">
                  <c:v>3.125E-2</c:v>
                </c:pt>
                <c:pt idx="1459">
                  <c:v>0.13100000000000001</c:v>
                </c:pt>
                <c:pt idx="1460">
                  <c:v>-9.9900000000000003E-2</c:v>
                </c:pt>
                <c:pt idx="1461">
                  <c:v>-2.8119999999999992E-2</c:v>
                </c:pt>
                <c:pt idx="1462">
                  <c:v>5.4599999999999996E-2</c:v>
                </c:pt>
                <c:pt idx="1463">
                  <c:v>9.0000000000000011E-3</c:v>
                </c:pt>
                <c:pt idx="1464">
                  <c:v>4.1959999999999997E-2</c:v>
                </c:pt>
                <c:pt idx="1465">
                  <c:v>-7.2120000000000004E-2</c:v>
                </c:pt>
                <c:pt idx="1466">
                  <c:v>4.4299999999999999E-2</c:v>
                </c:pt>
                <c:pt idx="1467">
                  <c:v>-4.0840000000000001E-2</c:v>
                </c:pt>
                <c:pt idx="1468">
                  <c:v>-1.4440000000000001E-2</c:v>
                </c:pt>
                <c:pt idx="1469">
                  <c:v>3.5400000000000001E-2</c:v>
                </c:pt>
                <c:pt idx="1470">
                  <c:v>-3.9300000000000002E-2</c:v>
                </c:pt>
                <c:pt idx="1471">
                  <c:v>1.6590000000000001E-2</c:v>
                </c:pt>
                <c:pt idx="1472">
                  <c:v>6.361E-2</c:v>
                </c:pt>
                <c:pt idx="1473">
                  <c:v>-3.7499999999999999E-3</c:v>
                </c:pt>
                <c:pt idx="1474">
                  <c:v>-1.7809999999999999E-2</c:v>
                </c:pt>
                <c:pt idx="1475">
                  <c:v>-4.8250000000000001E-2</c:v>
                </c:pt>
                <c:pt idx="1476">
                  <c:v>0.20656000000000002</c:v>
                </c:pt>
                <c:pt idx="1477">
                  <c:v>-2.5999999999999999E-2</c:v>
                </c:pt>
                <c:pt idx="1478">
                  <c:v>-4.0089999999999994E-2</c:v>
                </c:pt>
                <c:pt idx="1479">
                  <c:v>-3.3700000000000002E-3</c:v>
                </c:pt>
                <c:pt idx="1480">
                  <c:v>-5.0720000000000001E-2</c:v>
                </c:pt>
                <c:pt idx="1481">
                  <c:v>8.100000000000003E-3</c:v>
                </c:pt>
                <c:pt idx="1482">
                  <c:v>-8.3200000000000027E-3</c:v>
                </c:pt>
                <c:pt idx="1483">
                  <c:v>8.1399999999999979E-3</c:v>
                </c:pt>
                <c:pt idx="1484">
                  <c:v>3.4390000000000004E-2</c:v>
                </c:pt>
                <c:pt idx="1485">
                  <c:v>-1.2409999999999999E-2</c:v>
                </c:pt>
                <c:pt idx="1486">
                  <c:v>5.3499999999999989E-3</c:v>
                </c:pt>
                <c:pt idx="1487">
                  <c:v>9.7499999999999983E-3</c:v>
                </c:pt>
                <c:pt idx="1488">
                  <c:v>3.288E-2</c:v>
                </c:pt>
                <c:pt idx="1489">
                  <c:v>2.3239999999999997E-2</c:v>
                </c:pt>
                <c:pt idx="1490">
                  <c:v>3.2949999999999993E-2</c:v>
                </c:pt>
                <c:pt idx="1491">
                  <c:v>5.2690000000000001E-2</c:v>
                </c:pt>
                <c:pt idx="1492">
                  <c:v>1.7269999999999997E-2</c:v>
                </c:pt>
                <c:pt idx="1493">
                  <c:v>8.4100000000000008E-2</c:v>
                </c:pt>
                <c:pt idx="1494">
                  <c:v>8.9990000000000014E-2</c:v>
                </c:pt>
                <c:pt idx="1495">
                  <c:v>-9.3999999999999952E-3</c:v>
                </c:pt>
                <c:pt idx="1496">
                  <c:v>6.2420000000000003E-2</c:v>
                </c:pt>
                <c:pt idx="1497">
                  <c:v>5.8839999999999996E-2</c:v>
                </c:pt>
                <c:pt idx="1498">
                  <c:v>1.7759999999999998E-2</c:v>
                </c:pt>
                <c:pt idx="1499">
                  <c:v>-0.14459</c:v>
                </c:pt>
                <c:pt idx="1500">
                  <c:v>0.14626</c:v>
                </c:pt>
                <c:pt idx="1501">
                  <c:v>2.2760000000000002E-2</c:v>
                </c:pt>
                <c:pt idx="1502">
                  <c:v>-2.4750000000000001E-2</c:v>
                </c:pt>
                <c:pt idx="1503">
                  <c:v>-0.10575999999999999</c:v>
                </c:pt>
                <c:pt idx="1504">
                  <c:v>0.12047999999999999</c:v>
                </c:pt>
                <c:pt idx="1505">
                  <c:v>0.1573</c:v>
                </c:pt>
                <c:pt idx="1506">
                  <c:v>-3.005E-2</c:v>
                </c:pt>
                <c:pt idx="1507">
                  <c:v>7.2190000000000018E-2</c:v>
                </c:pt>
                <c:pt idx="1508">
                  <c:v>0.13700000000000001</c:v>
                </c:pt>
                <c:pt idx="1509">
                  <c:v>-0.11049</c:v>
                </c:pt>
                <c:pt idx="1510">
                  <c:v>-0.41679999999999995</c:v>
                </c:pt>
                <c:pt idx="1511">
                  <c:v>0.51200000000000001</c:v>
                </c:pt>
                <c:pt idx="1512">
                  <c:v>-6.6640000000000005E-2</c:v>
                </c:pt>
                <c:pt idx="1513">
                  <c:v>2.9489999999999999E-2</c:v>
                </c:pt>
                <c:pt idx="1514">
                  <c:v>-2.1440000000000001E-2</c:v>
                </c:pt>
                <c:pt idx="1515">
                  <c:v>1.712E-2</c:v>
                </c:pt>
                <c:pt idx="1516">
                  <c:v>-2.6120000000000001E-2</c:v>
                </c:pt>
                <c:pt idx="1517">
                  <c:v>3.5400000000000001E-2</c:v>
                </c:pt>
                <c:pt idx="1518">
                  <c:v>1.54E-2</c:v>
                </c:pt>
                <c:pt idx="1519">
                  <c:v>-1.5830000000000004E-2</c:v>
                </c:pt>
                <c:pt idx="1520">
                  <c:v>-2.4800000000000004E-3</c:v>
                </c:pt>
                <c:pt idx="1521">
                  <c:v>2.8000000000000001E-2</c:v>
                </c:pt>
                <c:pt idx="1522">
                  <c:v>-2.9999999999999992E-3</c:v>
                </c:pt>
                <c:pt idx="1523">
                  <c:v>5.0779999999999999E-2</c:v>
                </c:pt>
                <c:pt idx="1524">
                  <c:v>4.4649999999999995E-2</c:v>
                </c:pt>
                <c:pt idx="1525">
                  <c:v>2.7800000000000012E-3</c:v>
                </c:pt>
                <c:pt idx="1526">
                  <c:v>6.4180000000000001E-2</c:v>
                </c:pt>
                <c:pt idx="1527">
                  <c:v>8.276E-2</c:v>
                </c:pt>
                <c:pt idx="1528">
                  <c:v>-2.0229999999999998E-2</c:v>
                </c:pt>
                <c:pt idx="1529">
                  <c:v>5.4140000000000008E-2</c:v>
                </c:pt>
                <c:pt idx="1530">
                  <c:v>5.024E-2</c:v>
                </c:pt>
                <c:pt idx="1531">
                  <c:v>-7.640000000000001E-3</c:v>
                </c:pt>
                <c:pt idx="1532">
                  <c:v>3.2199999999999999E-2</c:v>
                </c:pt>
                <c:pt idx="1533">
                  <c:v>-3.3439999999999998E-2</c:v>
                </c:pt>
                <c:pt idx="1534">
                  <c:v>-1.7739999999999999E-2</c:v>
                </c:pt>
                <c:pt idx="1535">
                  <c:v>7.5700000000000003E-3</c:v>
                </c:pt>
                <c:pt idx="1536">
                  <c:v>1.8800000000000015E-3</c:v>
                </c:pt>
                <c:pt idx="1537">
                  <c:v>3.5680000000000003E-2</c:v>
                </c:pt>
                <c:pt idx="1538">
                  <c:v>9.1799999999999989E-3</c:v>
                </c:pt>
                <c:pt idx="1539">
                  <c:v>4.9999999999999992E-3</c:v>
                </c:pt>
                <c:pt idx="1540">
                  <c:v>5.5280000000000003E-2</c:v>
                </c:pt>
                <c:pt idx="1541">
                  <c:v>7.340000000000001E-3</c:v>
                </c:pt>
                <c:pt idx="1542">
                  <c:v>3.1550000000000002E-2</c:v>
                </c:pt>
                <c:pt idx="1543">
                  <c:v>5.9929999999999997E-2</c:v>
                </c:pt>
                <c:pt idx="1544">
                  <c:v>3.3000000000000008E-2</c:v>
                </c:pt>
                <c:pt idx="1545">
                  <c:v>3.9499999999999993E-2</c:v>
                </c:pt>
                <c:pt idx="1546">
                  <c:v>3.9890000000000002E-2</c:v>
                </c:pt>
                <c:pt idx="1547">
                  <c:v>-0.10523</c:v>
                </c:pt>
                <c:pt idx="1548">
                  <c:v>-4.6320000000000007E-2</c:v>
                </c:pt>
                <c:pt idx="1549">
                  <c:v>5.3080000000000002E-2</c:v>
                </c:pt>
                <c:pt idx="1550">
                  <c:v>4.1520000000000001E-2</c:v>
                </c:pt>
                <c:pt idx="1551">
                  <c:v>7.8299999999999995E-2</c:v>
                </c:pt>
                <c:pt idx="1552">
                  <c:v>-2.1170000000000001E-2</c:v>
                </c:pt>
                <c:pt idx="1553">
                  <c:v>3.2000000000000001E-2</c:v>
                </c:pt>
                <c:pt idx="1554">
                  <c:v>7.9920000000000005E-2</c:v>
                </c:pt>
                <c:pt idx="1555">
                  <c:v>-2.6999999999999996E-2</c:v>
                </c:pt>
                <c:pt idx="1556">
                  <c:v>7.6500000000000012E-2</c:v>
                </c:pt>
                <c:pt idx="1557">
                  <c:v>3.5000000000000005E-3</c:v>
                </c:pt>
                <c:pt idx="1558">
                  <c:v>7.8000000000000014E-3</c:v>
                </c:pt>
                <c:pt idx="1559">
                  <c:v>-1.0000000000000002E-2</c:v>
                </c:pt>
                <c:pt idx="1560">
                  <c:v>8.0400000000000013E-2</c:v>
                </c:pt>
                <c:pt idx="1561">
                  <c:v>-2.479E-2</c:v>
                </c:pt>
                <c:pt idx="1562">
                  <c:v>8.4180000000000005E-2</c:v>
                </c:pt>
                <c:pt idx="1563">
                  <c:v>2.2740000000000007E-2</c:v>
                </c:pt>
                <c:pt idx="1564">
                  <c:v>9.3700000000000006E-2</c:v>
                </c:pt>
                <c:pt idx="1565">
                  <c:v>-5.5240000000000004E-2</c:v>
                </c:pt>
                <c:pt idx="1566">
                  <c:v>-2.6919999999999996E-2</c:v>
                </c:pt>
                <c:pt idx="1567">
                  <c:v>-0.13353000000000001</c:v>
                </c:pt>
                <c:pt idx="1568">
                  <c:v>3.9649999999999998E-2</c:v>
                </c:pt>
                <c:pt idx="1569">
                  <c:v>6.3920000000000005E-2</c:v>
                </c:pt>
                <c:pt idx="1570">
                  <c:v>-3.3100000000000004E-2</c:v>
                </c:pt>
                <c:pt idx="1571">
                  <c:v>5.5840000000000001E-2</c:v>
                </c:pt>
                <c:pt idx="1572">
                  <c:v>7.1799999999999989E-3</c:v>
                </c:pt>
                <c:pt idx="1573">
                  <c:v>4.7669999999999997E-2</c:v>
                </c:pt>
                <c:pt idx="1574">
                  <c:v>1.5879999999999998E-2</c:v>
                </c:pt>
                <c:pt idx="1575">
                  <c:v>-2.4059999999999998E-2</c:v>
                </c:pt>
                <c:pt idx="1576">
                  <c:v>5.8740000000000001E-2</c:v>
                </c:pt>
                <c:pt idx="1577">
                  <c:v>-3.6760000000000001E-2</c:v>
                </c:pt>
                <c:pt idx="1578">
                  <c:v>8.0790000000000001E-2</c:v>
                </c:pt>
                <c:pt idx="1579">
                  <c:v>-3.456E-2</c:v>
                </c:pt>
                <c:pt idx="1580">
                  <c:v>-4.2740000000000007E-2</c:v>
                </c:pt>
                <c:pt idx="1581">
                  <c:v>-6.1700000000000001E-3</c:v>
                </c:pt>
                <c:pt idx="1582">
                  <c:v>-4.1319999999999989E-2</c:v>
                </c:pt>
                <c:pt idx="1583">
                  <c:v>3.9999999999999758E-4</c:v>
                </c:pt>
                <c:pt idx="1584">
                  <c:v>6.2190000000000002E-2</c:v>
                </c:pt>
                <c:pt idx="1585">
                  <c:v>-2.3599999999999999E-2</c:v>
                </c:pt>
                <c:pt idx="1586">
                  <c:v>8.208E-2</c:v>
                </c:pt>
                <c:pt idx="1587">
                  <c:v>3.1199999999999999E-2</c:v>
                </c:pt>
                <c:pt idx="1588">
                  <c:v>-7.6800000000000007E-2</c:v>
                </c:pt>
                <c:pt idx="1589">
                  <c:v>-5.3500000000000006E-3</c:v>
                </c:pt>
                <c:pt idx="1590">
                  <c:v>4.0599999999999997E-2</c:v>
                </c:pt>
                <c:pt idx="1591">
                  <c:v>4.6679999999999999E-2</c:v>
                </c:pt>
                <c:pt idx="1592">
                  <c:v>-3.6200000000000017E-3</c:v>
                </c:pt>
                <c:pt idx="1593">
                  <c:v>-1.7960000000000004E-2</c:v>
                </c:pt>
                <c:pt idx="1594">
                  <c:v>7.689E-2</c:v>
                </c:pt>
                <c:pt idx="1595">
                  <c:v>0.12996000000000002</c:v>
                </c:pt>
                <c:pt idx="1596">
                  <c:v>-0.10219</c:v>
                </c:pt>
                <c:pt idx="1597">
                  <c:v>-4.0750000000000001E-2</c:v>
                </c:pt>
                <c:pt idx="1598">
                  <c:v>3.6490000000000009E-2</c:v>
                </c:pt>
                <c:pt idx="1599">
                  <c:v>-8.548E-2</c:v>
                </c:pt>
                <c:pt idx="1600">
                  <c:v>4.052E-2</c:v>
                </c:pt>
                <c:pt idx="1601">
                  <c:v>3.7999999999999999E-2</c:v>
                </c:pt>
                <c:pt idx="1602">
                  <c:v>1.0639999999999997E-2</c:v>
                </c:pt>
                <c:pt idx="1603">
                  <c:v>1.6399999999999991E-3</c:v>
                </c:pt>
                <c:pt idx="1604">
                  <c:v>-1.690000000000004E-3</c:v>
                </c:pt>
                <c:pt idx="1605">
                  <c:v>0.13039000000000003</c:v>
                </c:pt>
                <c:pt idx="1606">
                  <c:v>-0.14494000000000001</c:v>
                </c:pt>
                <c:pt idx="1607">
                  <c:v>3.3160000000000009E-2</c:v>
                </c:pt>
                <c:pt idx="1608">
                  <c:v>0.11990000000000001</c:v>
                </c:pt>
                <c:pt idx="1609">
                  <c:v>-6.9559999999999997E-2</c:v>
                </c:pt>
                <c:pt idx="1610">
                  <c:v>3.3539999999999959E-2</c:v>
                </c:pt>
                <c:pt idx="1611">
                  <c:v>8.6550000000000002E-2</c:v>
                </c:pt>
                <c:pt idx="1612">
                  <c:v>-6.7569999999999991E-2</c:v>
                </c:pt>
                <c:pt idx="1613">
                  <c:v>0.21251999999999999</c:v>
                </c:pt>
                <c:pt idx="1614">
                  <c:v>0.12791</c:v>
                </c:pt>
                <c:pt idx="1615">
                  <c:v>1.2740000000000003E-2</c:v>
                </c:pt>
                <c:pt idx="1616">
                  <c:v>4.9100000000000046E-3</c:v>
                </c:pt>
                <c:pt idx="1617">
                  <c:v>-1.8520000000000002E-2</c:v>
                </c:pt>
                <c:pt idx="1618">
                  <c:v>2.9690000000000001E-2</c:v>
                </c:pt>
                <c:pt idx="1619">
                  <c:v>7.699999999999995E-3</c:v>
                </c:pt>
                <c:pt idx="1620">
                  <c:v>3.2519999999999993E-2</c:v>
                </c:pt>
                <c:pt idx="1621">
                  <c:v>4.1610000000000001E-2</c:v>
                </c:pt>
                <c:pt idx="1622">
                  <c:v>-1.4099999999999998E-2</c:v>
                </c:pt>
                <c:pt idx="1623">
                  <c:v>-4.6400000000000035E-3</c:v>
                </c:pt>
                <c:pt idx="1624">
                  <c:v>5.6559999999999999E-2</c:v>
                </c:pt>
                <c:pt idx="1625">
                  <c:v>2.2049999999999993E-2</c:v>
                </c:pt>
                <c:pt idx="1626">
                  <c:v>8.3260000000000001E-2</c:v>
                </c:pt>
                <c:pt idx="1627">
                  <c:v>4.2800000000000005E-2</c:v>
                </c:pt>
                <c:pt idx="1628">
                  <c:v>9.0969999999999995E-2</c:v>
                </c:pt>
                <c:pt idx="1629">
                  <c:v>8.1839999999999996E-2</c:v>
                </c:pt>
                <c:pt idx="1630">
                  <c:v>5.031999999999999E-2</c:v>
                </c:pt>
                <c:pt idx="1631">
                  <c:v>9.099999999999997E-3</c:v>
                </c:pt>
                <c:pt idx="1632">
                  <c:v>-3.3639999999999996E-2</c:v>
                </c:pt>
                <c:pt idx="1633">
                  <c:v>1.0820000000000001E-2</c:v>
                </c:pt>
                <c:pt idx="1634">
                  <c:v>-2.8500000000000001E-3</c:v>
                </c:pt>
                <c:pt idx="1635">
                  <c:v>-3.7920000000000002E-2</c:v>
                </c:pt>
                <c:pt idx="1636">
                  <c:v>4.2520000000000002E-2</c:v>
                </c:pt>
                <c:pt idx="1637">
                  <c:v>-3.4999999999999996E-2</c:v>
                </c:pt>
                <c:pt idx="1638">
                  <c:v>-6.9999999999999993E-3</c:v>
                </c:pt>
                <c:pt idx="1639">
                  <c:v>0.05</c:v>
                </c:pt>
                <c:pt idx="1640">
                  <c:v>0.06</c:v>
                </c:pt>
                <c:pt idx="1641">
                  <c:v>-1.042E-2</c:v>
                </c:pt>
                <c:pt idx="1642">
                  <c:v>-9.4800000000000023E-3</c:v>
                </c:pt>
                <c:pt idx="1643">
                  <c:v>7.4319999999999997E-2</c:v>
                </c:pt>
                <c:pt idx="1644">
                  <c:v>-2.18E-2</c:v>
                </c:pt>
                <c:pt idx="1645">
                  <c:v>2.5730000000000003E-2</c:v>
                </c:pt>
                <c:pt idx="1646">
                  <c:v>3.687E-2</c:v>
                </c:pt>
                <c:pt idx="1647">
                  <c:v>4.9490000000000006E-2</c:v>
                </c:pt>
                <c:pt idx="1648">
                  <c:v>-1.2619999999999992E-2</c:v>
                </c:pt>
                <c:pt idx="1649">
                  <c:v>6.3499999999999997E-3</c:v>
                </c:pt>
                <c:pt idx="1650">
                  <c:v>1.4999999999999999E-2</c:v>
                </c:pt>
                <c:pt idx="1651">
                  <c:v>-1.9900000000000004E-3</c:v>
                </c:pt>
                <c:pt idx="1652">
                  <c:v>-6.9999999999999993E-3</c:v>
                </c:pt>
                <c:pt idx="1653">
                  <c:v>-1.9569999999999997E-2</c:v>
                </c:pt>
                <c:pt idx="1654">
                  <c:v>0.01</c:v>
                </c:pt>
                <c:pt idx="1655">
                  <c:v>1.3820000000000002E-2</c:v>
                </c:pt>
                <c:pt idx="1656">
                  <c:v>1.082E-2</c:v>
                </c:pt>
                <c:pt idx="1657">
                  <c:v>8.0000000000000002E-3</c:v>
                </c:pt>
                <c:pt idx="1658">
                  <c:v>8.1799999999999998E-3</c:v>
                </c:pt>
                <c:pt idx="1659">
                  <c:v>1.2720000000000002E-2</c:v>
                </c:pt>
                <c:pt idx="1660">
                  <c:v>2.418E-2</c:v>
                </c:pt>
                <c:pt idx="1661">
                  <c:v>3.8519999999999999E-2</c:v>
                </c:pt>
                <c:pt idx="1662">
                  <c:v>2.1999999999999999E-2</c:v>
                </c:pt>
                <c:pt idx="1663">
                  <c:v>-3.952E-2</c:v>
                </c:pt>
                <c:pt idx="1664">
                  <c:v>7.9739999999999991E-2</c:v>
                </c:pt>
                <c:pt idx="1665">
                  <c:v>2.4680000000000001E-2</c:v>
                </c:pt>
                <c:pt idx="1666">
                  <c:v>1.9050000000000001E-2</c:v>
                </c:pt>
                <c:pt idx="1667">
                  <c:v>3.799999999999997E-4</c:v>
                </c:pt>
                <c:pt idx="1668">
                  <c:v>-1.1640000000000001E-2</c:v>
                </c:pt>
                <c:pt idx="1669">
                  <c:v>5.0679999999999996E-2</c:v>
                </c:pt>
                <c:pt idx="1670">
                  <c:v>-1.4369999999999999E-2</c:v>
                </c:pt>
                <c:pt idx="1671">
                  <c:v>-5.1999999999999963E-4</c:v>
                </c:pt>
                <c:pt idx="1672">
                  <c:v>1.7559999999999999E-2</c:v>
                </c:pt>
                <c:pt idx="1673">
                  <c:v>2.8299999999999992E-2</c:v>
                </c:pt>
                <c:pt idx="1674">
                  <c:v>-1.4509999999999999E-2</c:v>
                </c:pt>
                <c:pt idx="1675">
                  <c:v>4.6880000000000005E-2</c:v>
                </c:pt>
                <c:pt idx="1676">
                  <c:v>1.4279999999999999E-2</c:v>
                </c:pt>
                <c:pt idx="1677">
                  <c:v>3.4380000000000001E-2</c:v>
                </c:pt>
                <c:pt idx="1678">
                  <c:v>8.8070000000000009E-2</c:v>
                </c:pt>
                <c:pt idx="1679">
                  <c:v>-9.1000000000000004E-3</c:v>
                </c:pt>
                <c:pt idx="1680">
                  <c:v>0.16861000000000001</c:v>
                </c:pt>
                <c:pt idx="1681">
                  <c:v>-7.0959999999999995E-2</c:v>
                </c:pt>
                <c:pt idx="1682">
                  <c:v>-1.951E-2</c:v>
                </c:pt>
                <c:pt idx="1683">
                  <c:v>9.8199999999999996E-2</c:v>
                </c:pt>
                <c:pt idx="1684">
                  <c:v>-2.3879999999999998E-2</c:v>
                </c:pt>
                <c:pt idx="1685">
                  <c:v>0.12365999999999999</c:v>
                </c:pt>
                <c:pt idx="1686">
                  <c:v>-2.9200000000000004E-2</c:v>
                </c:pt>
                <c:pt idx="1687">
                  <c:v>3.5900000000000001E-2</c:v>
                </c:pt>
                <c:pt idx="1688">
                  <c:v>1.5200000000000005E-3</c:v>
                </c:pt>
                <c:pt idx="1689">
                  <c:v>7.2419999999999998E-2</c:v>
                </c:pt>
                <c:pt idx="1690">
                  <c:v>-0.12570000000000001</c:v>
                </c:pt>
                <c:pt idx="1691">
                  <c:v>5.8000000000000003E-2</c:v>
                </c:pt>
                <c:pt idx="1692">
                  <c:v>6.6170000000000007E-2</c:v>
                </c:pt>
                <c:pt idx="1693">
                  <c:v>6.5040000000000001E-2</c:v>
                </c:pt>
                <c:pt idx="1694">
                  <c:v>-6.2E-2</c:v>
                </c:pt>
                <c:pt idx="1695">
                  <c:v>7.9500000000000001E-2</c:v>
                </c:pt>
                <c:pt idx="1696">
                  <c:v>9.963000000000001E-2</c:v>
                </c:pt>
                <c:pt idx="1697">
                  <c:v>1.6359999999999993E-2</c:v>
                </c:pt>
                <c:pt idx="1698">
                  <c:v>0.11741000000000001</c:v>
                </c:pt>
                <c:pt idx="1699">
                  <c:v>5.4800000000000001E-2</c:v>
                </c:pt>
                <c:pt idx="1700">
                  <c:v>3.177E-2</c:v>
                </c:pt>
                <c:pt idx="1701">
                  <c:v>-4.5199999999999997E-2</c:v>
                </c:pt>
                <c:pt idx="1702">
                  <c:v>-1.4440000000000001E-2</c:v>
                </c:pt>
                <c:pt idx="1703">
                  <c:v>-4.7E-2</c:v>
                </c:pt>
                <c:pt idx="1704">
                  <c:v>0.11700000000000001</c:v>
                </c:pt>
                <c:pt idx="1705">
                  <c:v>-4.3489999999999994E-2</c:v>
                </c:pt>
                <c:pt idx="1706">
                  <c:v>2.4780000000000003E-2</c:v>
                </c:pt>
                <c:pt idx="1707">
                  <c:v>-0.16658000000000001</c:v>
                </c:pt>
                <c:pt idx="1708">
                  <c:v>0.1273</c:v>
                </c:pt>
                <c:pt idx="1709">
                  <c:v>-5.59999999999998E-4</c:v>
                </c:pt>
                <c:pt idx="1710">
                  <c:v>0.112</c:v>
                </c:pt>
                <c:pt idx="1711">
                  <c:v>-9.7920000000000007E-2</c:v>
                </c:pt>
                <c:pt idx="1712">
                  <c:v>5.3299999999999993E-2</c:v>
                </c:pt>
                <c:pt idx="1713">
                  <c:v>-2.085E-2</c:v>
                </c:pt>
                <c:pt idx="1714">
                  <c:v>0.28343999999999997</c:v>
                </c:pt>
                <c:pt idx="1715">
                  <c:v>-0.13331999999999999</c:v>
                </c:pt>
                <c:pt idx="1716">
                  <c:v>6.2270000000000006E-2</c:v>
                </c:pt>
                <c:pt idx="1717">
                  <c:v>2.3620000000000002E-2</c:v>
                </c:pt>
                <c:pt idx="1718">
                  <c:v>2.6800000000000001E-3</c:v>
                </c:pt>
                <c:pt idx="1719">
                  <c:v>-0.10771</c:v>
                </c:pt>
                <c:pt idx="1720">
                  <c:v>-4.684E-2</c:v>
                </c:pt>
                <c:pt idx="1721">
                  <c:v>0.15972</c:v>
                </c:pt>
                <c:pt idx="1722">
                  <c:v>-2.4000000000000007E-2</c:v>
                </c:pt>
                <c:pt idx="1723">
                  <c:v>7.5999999999999998E-2</c:v>
                </c:pt>
                <c:pt idx="1724">
                  <c:v>-0.25824000000000003</c:v>
                </c:pt>
                <c:pt idx="1725">
                  <c:v>0.10405</c:v>
                </c:pt>
                <c:pt idx="1726">
                  <c:v>-2.2199999999999998E-2</c:v>
                </c:pt>
                <c:pt idx="1727">
                  <c:v>0.13695000000000002</c:v>
                </c:pt>
                <c:pt idx="1728">
                  <c:v>0.10129999999999997</c:v>
                </c:pt>
                <c:pt idx="1729">
                  <c:v>-0.17181999999999997</c:v>
                </c:pt>
                <c:pt idx="1730">
                  <c:v>-5.3239999999999989E-2</c:v>
                </c:pt>
                <c:pt idx="1731">
                  <c:v>-0.35782000000000003</c:v>
                </c:pt>
                <c:pt idx="1732">
                  <c:v>0.20101999999999998</c:v>
                </c:pt>
                <c:pt idx="1733">
                  <c:v>0.24893999999999999</c:v>
                </c:pt>
                <c:pt idx="1734">
                  <c:v>8.6139999999999994E-2</c:v>
                </c:pt>
                <c:pt idx="1735">
                  <c:v>-2.8780000000000003E-2</c:v>
                </c:pt>
                <c:pt idx="1736">
                  <c:v>2.4289999999999999E-2</c:v>
                </c:pt>
                <c:pt idx="1737">
                  <c:v>-2.8919999999999998E-2</c:v>
                </c:pt>
                <c:pt idx="1738">
                  <c:v>-3.7470000000000003E-2</c:v>
                </c:pt>
                <c:pt idx="1739">
                  <c:v>8.3000000000000004E-2</c:v>
                </c:pt>
                <c:pt idx="1740">
                  <c:v>5.6200000000000026E-3</c:v>
                </c:pt>
                <c:pt idx="1741">
                  <c:v>5.1240000000000001E-2</c:v>
                </c:pt>
                <c:pt idx="1742">
                  <c:v>8.5040000000000004E-2</c:v>
                </c:pt>
                <c:pt idx="1743">
                  <c:v>7.3800000000000004E-2</c:v>
                </c:pt>
                <c:pt idx="1744">
                  <c:v>1.9719999999999998E-2</c:v>
                </c:pt>
                <c:pt idx="1745">
                  <c:v>6.028E-2</c:v>
                </c:pt>
                <c:pt idx="1746">
                  <c:v>4.973000000000001E-2</c:v>
                </c:pt>
                <c:pt idx="1747">
                  <c:v>9.9919999999999995E-2</c:v>
                </c:pt>
                <c:pt idx="1748">
                  <c:v>-5.2799999999999986E-2</c:v>
                </c:pt>
                <c:pt idx="1749">
                  <c:v>0.15039999999999998</c:v>
                </c:pt>
                <c:pt idx="1750">
                  <c:v>-2.7900000000000008E-2</c:v>
                </c:pt>
                <c:pt idx="1751">
                  <c:v>3.8210000000000008E-2</c:v>
                </c:pt>
                <c:pt idx="1752">
                  <c:v>-3.1350000000000003E-2</c:v>
                </c:pt>
                <c:pt idx="1753">
                  <c:v>-2.1999999999999999E-2</c:v>
                </c:pt>
                <c:pt idx="1754">
                  <c:v>-1.9720000000000001E-2</c:v>
                </c:pt>
                <c:pt idx="1755">
                  <c:v>3.0720000000000001E-2</c:v>
                </c:pt>
                <c:pt idx="1756">
                  <c:v>4.1279999999999997E-2</c:v>
                </c:pt>
                <c:pt idx="1757">
                  <c:v>2.904E-2</c:v>
                </c:pt>
                <c:pt idx="1758">
                  <c:v>-9.5000000000000015E-3</c:v>
                </c:pt>
                <c:pt idx="1759">
                  <c:v>8.0199999999999994E-3</c:v>
                </c:pt>
                <c:pt idx="1760">
                  <c:v>-3.236E-2</c:v>
                </c:pt>
                <c:pt idx="1761">
                  <c:v>9.9099999999999952E-3</c:v>
                </c:pt>
                <c:pt idx="1762">
                  <c:v>5.6500000000000022E-3</c:v>
                </c:pt>
                <c:pt idx="1763">
                  <c:v>1.4290000000000001E-2</c:v>
                </c:pt>
                <c:pt idx="1764">
                  <c:v>7.2520000000000001E-2</c:v>
                </c:pt>
                <c:pt idx="1765">
                  <c:v>8.7650000000000006E-2</c:v>
                </c:pt>
                <c:pt idx="1766">
                  <c:v>3.3399999999999999E-2</c:v>
                </c:pt>
                <c:pt idx="1767">
                  <c:v>-5.9299999999999999E-2</c:v>
                </c:pt>
                <c:pt idx="1768">
                  <c:v>7.4749999999999997E-2</c:v>
                </c:pt>
                <c:pt idx="1769">
                  <c:v>-1.6760000000000004E-2</c:v>
                </c:pt>
                <c:pt idx="1770">
                  <c:v>-1.1679999999999999E-2</c:v>
                </c:pt>
                <c:pt idx="1771">
                  <c:v>4.3499999999999997E-2</c:v>
                </c:pt>
                <c:pt idx="1772">
                  <c:v>3.6749999999999998E-2</c:v>
                </c:pt>
                <c:pt idx="1773">
                  <c:v>-2.6700000000000002E-2</c:v>
                </c:pt>
                <c:pt idx="1774">
                  <c:v>7.261999999999999E-2</c:v>
                </c:pt>
                <c:pt idx="1775">
                  <c:v>3.6249999999999998E-2</c:v>
                </c:pt>
                <c:pt idx="1776">
                  <c:v>-4.1080000000000005E-2</c:v>
                </c:pt>
                <c:pt idx="1777">
                  <c:v>5.8950000000000002E-2</c:v>
                </c:pt>
                <c:pt idx="1778">
                  <c:v>7.0940000000000017E-2</c:v>
                </c:pt>
                <c:pt idx="1779">
                  <c:v>-6.1940000000000009E-2</c:v>
                </c:pt>
                <c:pt idx="1780">
                  <c:v>4.3730000000000005E-2</c:v>
                </c:pt>
                <c:pt idx="1781">
                  <c:v>0.10712000000000001</c:v>
                </c:pt>
                <c:pt idx="1782">
                  <c:v>5.7280000000000005E-2</c:v>
                </c:pt>
                <c:pt idx="1783">
                  <c:v>6.216E-2</c:v>
                </c:pt>
                <c:pt idx="1784">
                  <c:v>7.3080000000000006E-2</c:v>
                </c:pt>
                <c:pt idx="1785">
                  <c:v>-7.1000000000000004E-3</c:v>
                </c:pt>
                <c:pt idx="1786">
                  <c:v>-2.128E-2</c:v>
                </c:pt>
                <c:pt idx="1787">
                  <c:v>7.2790000000000007E-2</c:v>
                </c:pt>
                <c:pt idx="1788">
                  <c:v>-3.5169999999999993E-2</c:v>
                </c:pt>
                <c:pt idx="1789">
                  <c:v>1.8960000000000001E-2</c:v>
                </c:pt>
                <c:pt idx="1790">
                  <c:v>4.5360000000000004E-2</c:v>
                </c:pt>
                <c:pt idx="1791">
                  <c:v>-7.2160000000000002E-2</c:v>
                </c:pt>
                <c:pt idx="1792">
                  <c:v>4.462E-2</c:v>
                </c:pt>
                <c:pt idx="1793">
                  <c:v>0.02</c:v>
                </c:pt>
                <c:pt idx="1794">
                  <c:v>3.8000000000000013E-4</c:v>
                </c:pt>
                <c:pt idx="1795">
                  <c:v>1.8280000000000001E-2</c:v>
                </c:pt>
                <c:pt idx="1796">
                  <c:v>1.1999999999999997E-2</c:v>
                </c:pt>
                <c:pt idx="1797">
                  <c:v>6.8400000000000002E-2</c:v>
                </c:pt>
                <c:pt idx="1798">
                  <c:v>2.4599999999999997E-2</c:v>
                </c:pt>
                <c:pt idx="1799">
                  <c:v>9.1700000000000004E-2</c:v>
                </c:pt>
                <c:pt idx="1800">
                  <c:v>4.8960000000000004E-2</c:v>
                </c:pt>
                <c:pt idx="1801">
                  <c:v>-1.8860000000000002E-2</c:v>
                </c:pt>
                <c:pt idx="1802">
                  <c:v>-3.6479999999999999E-2</c:v>
                </c:pt>
                <c:pt idx="1803">
                  <c:v>-4.4150000000000002E-2</c:v>
                </c:pt>
                <c:pt idx="1804">
                  <c:v>5.4189999999999988E-2</c:v>
                </c:pt>
                <c:pt idx="1805">
                  <c:v>3.1920000000000004E-2</c:v>
                </c:pt>
                <c:pt idx="1806">
                  <c:v>5.7180000000000002E-2</c:v>
                </c:pt>
                <c:pt idx="1807">
                  <c:v>1.7799999999999969E-3</c:v>
                </c:pt>
                <c:pt idx="1808">
                  <c:v>2.4440000000000003E-2</c:v>
                </c:pt>
                <c:pt idx="1809">
                  <c:v>2.6159999999999999E-2</c:v>
                </c:pt>
                <c:pt idx="1810">
                  <c:v>2.9319999999999999E-2</c:v>
                </c:pt>
                <c:pt idx="1811">
                  <c:v>2.6999999999999996E-2</c:v>
                </c:pt>
                <c:pt idx="1812">
                  <c:v>3.1600000000000003E-2</c:v>
                </c:pt>
                <c:pt idx="1813">
                  <c:v>5.6529999999999997E-2</c:v>
                </c:pt>
                <c:pt idx="1814">
                  <c:v>4.8840000000000001E-2</c:v>
                </c:pt>
                <c:pt idx="1815">
                  <c:v>7.6799999999999993E-3</c:v>
                </c:pt>
                <c:pt idx="1816">
                  <c:v>4.7539999999999985E-2</c:v>
                </c:pt>
                <c:pt idx="1817">
                  <c:v>0.15016000000000002</c:v>
                </c:pt>
                <c:pt idx="1818">
                  <c:v>-2.3079999999999996E-2</c:v>
                </c:pt>
                <c:pt idx="1819">
                  <c:v>-7.2770000000000001E-2</c:v>
                </c:pt>
                <c:pt idx="1820">
                  <c:v>-4.2539999999999994E-2</c:v>
                </c:pt>
                <c:pt idx="1821">
                  <c:v>2.8599999999999997E-2</c:v>
                </c:pt>
                <c:pt idx="1822">
                  <c:v>4.7140000000000001E-2</c:v>
                </c:pt>
                <c:pt idx="1823">
                  <c:v>4.7030000000000002E-2</c:v>
                </c:pt>
                <c:pt idx="1824">
                  <c:v>-7.2139999999999996E-2</c:v>
                </c:pt>
                <c:pt idx="1825">
                  <c:v>0.15460000000000002</c:v>
                </c:pt>
                <c:pt idx="1826">
                  <c:v>-1.8799999999999997E-3</c:v>
                </c:pt>
                <c:pt idx="1827">
                  <c:v>8.2199999999999995E-2</c:v>
                </c:pt>
                <c:pt idx="1828">
                  <c:v>-3.8390000000000001E-2</c:v>
                </c:pt>
                <c:pt idx="1829">
                  <c:v>1.7399999999999992E-2</c:v>
                </c:pt>
                <c:pt idx="1830">
                  <c:v>2.7600000000000055E-3</c:v>
                </c:pt>
                <c:pt idx="1831">
                  <c:v>7.9720000000000013E-2</c:v>
                </c:pt>
                <c:pt idx="1832">
                  <c:v>-3.1349999999999996E-2</c:v>
                </c:pt>
                <c:pt idx="1833">
                  <c:v>0.16008</c:v>
                </c:pt>
                <c:pt idx="1834">
                  <c:v>-0.08</c:v>
                </c:pt>
                <c:pt idx="1835">
                  <c:v>-6.2700000000000047E-3</c:v>
                </c:pt>
                <c:pt idx="1836">
                  <c:v>2.9909999999999999E-2</c:v>
                </c:pt>
                <c:pt idx="1837">
                  <c:v>7.000000000000001E-3</c:v>
                </c:pt>
                <c:pt idx="1838">
                  <c:v>8.6550000000000002E-2</c:v>
                </c:pt>
                <c:pt idx="1839">
                  <c:v>-6.8209999999999993E-2</c:v>
                </c:pt>
                <c:pt idx="1840">
                  <c:v>-5.1000000000000004E-2</c:v>
                </c:pt>
                <c:pt idx="1841">
                  <c:v>5.7939999999999998E-2</c:v>
                </c:pt>
                <c:pt idx="1842">
                  <c:v>-1.9779999999999999E-2</c:v>
                </c:pt>
                <c:pt idx="1843">
                  <c:v>5.7800000000000004E-3</c:v>
                </c:pt>
                <c:pt idx="1844">
                  <c:v>-2.8700000000000002E-3</c:v>
                </c:pt>
                <c:pt idx="1845">
                  <c:v>1.1700000000000002E-2</c:v>
                </c:pt>
                <c:pt idx="1846">
                  <c:v>3.14E-3</c:v>
                </c:pt>
                <c:pt idx="1847">
                  <c:v>-4.8999999999999912E-4</c:v>
                </c:pt>
                <c:pt idx="1848">
                  <c:v>1.2829999999999999E-2</c:v>
                </c:pt>
                <c:pt idx="1849">
                  <c:v>2.3300000000000001E-2</c:v>
                </c:pt>
                <c:pt idx="1850">
                  <c:v>-2.2760000000000002E-2</c:v>
                </c:pt>
                <c:pt idx="1851">
                  <c:v>3.8640000000000001E-2</c:v>
                </c:pt>
                <c:pt idx="1852">
                  <c:v>0.06</c:v>
                </c:pt>
                <c:pt idx="1853">
                  <c:v>-5.7999999999999892E-4</c:v>
                </c:pt>
                <c:pt idx="1854">
                  <c:v>2.1279999999999997E-2</c:v>
                </c:pt>
                <c:pt idx="1855">
                  <c:v>3.7779999999999994E-2</c:v>
                </c:pt>
                <c:pt idx="1856">
                  <c:v>6.8709999999999993E-2</c:v>
                </c:pt>
                <c:pt idx="1857">
                  <c:v>-3.0399999999999976E-3</c:v>
                </c:pt>
                <c:pt idx="1858">
                  <c:v>-1.1450000000000002E-2</c:v>
                </c:pt>
                <c:pt idx="1859">
                  <c:v>-6.8809999999999982E-2</c:v>
                </c:pt>
                <c:pt idx="1860">
                  <c:v>-1.7009999999999997E-2</c:v>
                </c:pt>
                <c:pt idx="1861">
                  <c:v>-9.9899999999999989E-3</c:v>
                </c:pt>
                <c:pt idx="1862">
                  <c:v>4.1209999999999997E-2</c:v>
                </c:pt>
                <c:pt idx="1863">
                  <c:v>4.2720000000000001E-2</c:v>
                </c:pt>
                <c:pt idx="1864">
                  <c:v>4.0149999999999998E-2</c:v>
                </c:pt>
                <c:pt idx="1865">
                  <c:v>5.9499999999999987E-3</c:v>
                </c:pt>
                <c:pt idx="1866">
                  <c:v>2.9579999999999999E-2</c:v>
                </c:pt>
                <c:pt idx="1867">
                  <c:v>3.4709999999999998E-2</c:v>
                </c:pt>
                <c:pt idx="1868">
                  <c:v>2.3999999999999976E-4</c:v>
                </c:pt>
                <c:pt idx="1869">
                  <c:v>7.3980000000000004E-2</c:v>
                </c:pt>
                <c:pt idx="1870">
                  <c:v>3.1600000000000003E-2</c:v>
                </c:pt>
                <c:pt idx="1871">
                  <c:v>3.7510000000000002E-2</c:v>
                </c:pt>
                <c:pt idx="1872">
                  <c:v>8.4660000000000013E-2</c:v>
                </c:pt>
                <c:pt idx="1873">
                  <c:v>3.9999999999999966E-3</c:v>
                </c:pt>
                <c:pt idx="1874">
                  <c:v>-2.6079999999999999E-2</c:v>
                </c:pt>
                <c:pt idx="1875">
                  <c:v>2.6720000000000001E-2</c:v>
                </c:pt>
                <c:pt idx="1876">
                  <c:v>-2.2559999999999997E-2</c:v>
                </c:pt>
                <c:pt idx="1877">
                  <c:v>2.0370000000000006E-2</c:v>
                </c:pt>
                <c:pt idx="1878">
                  <c:v>4.2520000000000002E-2</c:v>
                </c:pt>
                <c:pt idx="1879">
                  <c:v>1.082E-2</c:v>
                </c:pt>
                <c:pt idx="1880">
                  <c:v>-4.1399999999999996E-3</c:v>
                </c:pt>
                <c:pt idx="1881">
                  <c:v>8.9300000000000004E-3</c:v>
                </c:pt>
                <c:pt idx="1882">
                  <c:v>1.609E-2</c:v>
                </c:pt>
                <c:pt idx="1883">
                  <c:v>2.800000000000016E-4</c:v>
                </c:pt>
                <c:pt idx="1884">
                  <c:v>7.9100000000000038E-3</c:v>
                </c:pt>
                <c:pt idx="1885">
                  <c:v>3.9480000000000001E-2</c:v>
                </c:pt>
                <c:pt idx="1886">
                  <c:v>3.023E-2</c:v>
                </c:pt>
                <c:pt idx="1887">
                  <c:v>5.4199999999999998E-2</c:v>
                </c:pt>
                <c:pt idx="1888">
                  <c:v>1.0800000000000001E-2</c:v>
                </c:pt>
                <c:pt idx="1889">
                  <c:v>3.6999999999999998E-2</c:v>
                </c:pt>
                <c:pt idx="1890">
                  <c:v>1.976E-2</c:v>
                </c:pt>
                <c:pt idx="1891">
                  <c:v>2.2200000000000001E-2</c:v>
                </c:pt>
                <c:pt idx="1892">
                  <c:v>2.52E-2</c:v>
                </c:pt>
                <c:pt idx="1893">
                  <c:v>4.9199999999999994E-2</c:v>
                </c:pt>
                <c:pt idx="1894">
                  <c:v>-2.3760000000000003E-2</c:v>
                </c:pt>
                <c:pt idx="1895">
                  <c:v>-1.179999999999997E-3</c:v>
                </c:pt>
                <c:pt idx="1896">
                  <c:v>4.9099999999999994E-3</c:v>
                </c:pt>
                <c:pt idx="1897">
                  <c:v>5.9499999999999997E-2</c:v>
                </c:pt>
                <c:pt idx="1898">
                  <c:v>-5.1720000000000002E-2</c:v>
                </c:pt>
                <c:pt idx="1899">
                  <c:v>1.1959999999999998E-2</c:v>
                </c:pt>
                <c:pt idx="1900">
                  <c:v>-8.4559999999999996E-2</c:v>
                </c:pt>
                <c:pt idx="1901">
                  <c:v>8.9919999999999986E-2</c:v>
                </c:pt>
                <c:pt idx="1902">
                  <c:v>8.4749999999999992E-2</c:v>
                </c:pt>
                <c:pt idx="1903">
                  <c:v>-1.9029999999999998E-2</c:v>
                </c:pt>
                <c:pt idx="1904">
                  <c:v>6.4460000000000003E-2</c:v>
                </c:pt>
                <c:pt idx="1905">
                  <c:v>-6.9999999999999993E-3</c:v>
                </c:pt>
                <c:pt idx="1906">
                  <c:v>8.3019999999999997E-2</c:v>
                </c:pt>
                <c:pt idx="1907">
                  <c:v>7.1200000000000013E-2</c:v>
                </c:pt>
                <c:pt idx="1908">
                  <c:v>-4.6939999999999996E-2</c:v>
                </c:pt>
                <c:pt idx="1909">
                  <c:v>3.4360000000000009E-2</c:v>
                </c:pt>
                <c:pt idx="1910">
                  <c:v>1.3159999999999998E-2</c:v>
                </c:pt>
                <c:pt idx="1911">
                  <c:v>3.7900000000000017E-3</c:v>
                </c:pt>
                <c:pt idx="1912">
                  <c:v>-4.2889999999999998E-2</c:v>
                </c:pt>
                <c:pt idx="1913">
                  <c:v>3.3509999999999998E-2</c:v>
                </c:pt>
                <c:pt idx="1914">
                  <c:v>-1.7309999999999999E-2</c:v>
                </c:pt>
                <c:pt idx="1915">
                  <c:v>3.4000000000000089E-4</c:v>
                </c:pt>
                <c:pt idx="1916">
                  <c:v>1.9050000000000001E-2</c:v>
                </c:pt>
                <c:pt idx="1917">
                  <c:v>2.572E-2</c:v>
                </c:pt>
                <c:pt idx="1918">
                  <c:v>7.4539999999999995E-2</c:v>
                </c:pt>
                <c:pt idx="1919">
                  <c:v>-2.0359999999999996E-2</c:v>
                </c:pt>
                <c:pt idx="1920">
                  <c:v>2.8460000000000003E-2</c:v>
                </c:pt>
                <c:pt idx="1921">
                  <c:v>4.1839999999999995E-2</c:v>
                </c:pt>
                <c:pt idx="1922">
                  <c:v>4.99E-2</c:v>
                </c:pt>
                <c:pt idx="1923">
                  <c:v>5.1319999999999998E-2</c:v>
                </c:pt>
                <c:pt idx="1924">
                  <c:v>7.8100000000000003E-2</c:v>
                </c:pt>
                <c:pt idx="1925">
                  <c:v>3.891E-2</c:v>
                </c:pt>
                <c:pt idx="1926">
                  <c:v>0.03</c:v>
                </c:pt>
                <c:pt idx="1927">
                  <c:v>2.6910000000000003E-2</c:v>
                </c:pt>
                <c:pt idx="1928">
                  <c:v>1.2719999999999999E-2</c:v>
                </c:pt>
                <c:pt idx="1929">
                  <c:v>-5.7999999999999996E-3</c:v>
                </c:pt>
                <c:pt idx="1930">
                  <c:v>2E-3</c:v>
                </c:pt>
                <c:pt idx="1931">
                  <c:v>-9.5000000000000119E-4</c:v>
                </c:pt>
                <c:pt idx="1932">
                  <c:v>1.7389999999999999E-2</c:v>
                </c:pt>
                <c:pt idx="1933">
                  <c:v>4.4999999999999988E-4</c:v>
                </c:pt>
                <c:pt idx="1934">
                  <c:v>7.8499999999999993E-3</c:v>
                </c:pt>
                <c:pt idx="1935">
                  <c:v>3.2649999999999998E-2</c:v>
                </c:pt>
                <c:pt idx="1936">
                  <c:v>2.4E-2</c:v>
                </c:pt>
                <c:pt idx="1937">
                  <c:v>1.0419999999999999E-2</c:v>
                </c:pt>
                <c:pt idx="1938">
                  <c:v>3.9109999999999999E-2</c:v>
                </c:pt>
                <c:pt idx="1939">
                  <c:v>3.032E-2</c:v>
                </c:pt>
                <c:pt idx="1940">
                  <c:v>3.5060000000000001E-2</c:v>
                </c:pt>
                <c:pt idx="1941">
                  <c:v>1.2000000000000002E-2</c:v>
                </c:pt>
                <c:pt idx="1942">
                  <c:v>1.9860000000000003E-2</c:v>
                </c:pt>
                <c:pt idx="1943">
                  <c:v>4.768E-2</c:v>
                </c:pt>
                <c:pt idx="1944">
                  <c:v>7.3419999999999999E-2</c:v>
                </c:pt>
                <c:pt idx="1945">
                  <c:v>-7.8300000000000036E-3</c:v>
                </c:pt>
                <c:pt idx="1946">
                  <c:v>-0.10095999999999999</c:v>
                </c:pt>
                <c:pt idx="1947">
                  <c:v>5.6810000000000006E-2</c:v>
                </c:pt>
                <c:pt idx="1948">
                  <c:v>-0.11857000000000001</c:v>
                </c:pt>
                <c:pt idx="1949">
                  <c:v>0.10077999999999999</c:v>
                </c:pt>
                <c:pt idx="1950">
                  <c:v>1.2999999999999999E-2</c:v>
                </c:pt>
                <c:pt idx="1951">
                  <c:v>-2.6069999999999996E-2</c:v>
                </c:pt>
                <c:pt idx="1952">
                  <c:v>4.7629999999999999E-2</c:v>
                </c:pt>
                <c:pt idx="1953">
                  <c:v>-0.16333999999999999</c:v>
                </c:pt>
                <c:pt idx="1954">
                  <c:v>9.2999999999999999E-2</c:v>
                </c:pt>
                <c:pt idx="1955">
                  <c:v>1.0030000000000001E-2</c:v>
                </c:pt>
                <c:pt idx="1956">
                  <c:v>-6.5360000000000001E-2</c:v>
                </c:pt>
                <c:pt idx="1957">
                  <c:v>0.23084000000000002</c:v>
                </c:pt>
                <c:pt idx="1958">
                  <c:v>-2.5020000000000008E-2</c:v>
                </c:pt>
                <c:pt idx="1959">
                  <c:v>0.18198</c:v>
                </c:pt>
                <c:pt idx="1960">
                  <c:v>5.0700000000000002E-2</c:v>
                </c:pt>
                <c:pt idx="1961">
                  <c:v>-2.1619999999999997E-2</c:v>
                </c:pt>
                <c:pt idx="1962">
                  <c:v>2.2339999999999999E-2</c:v>
                </c:pt>
                <c:pt idx="1963">
                  <c:v>3.789E-2</c:v>
                </c:pt>
                <c:pt idx="1964">
                  <c:v>4.3719999999999995E-2</c:v>
                </c:pt>
                <c:pt idx="1965">
                  <c:v>3.5679999999999996E-2</c:v>
                </c:pt>
                <c:pt idx="1966">
                  <c:v>-5.6799999999999993E-3</c:v>
                </c:pt>
                <c:pt idx="1967">
                  <c:v>1.4320000000000006E-2</c:v>
                </c:pt>
                <c:pt idx="1968">
                  <c:v>2.9779999999999997E-2</c:v>
                </c:pt>
                <c:pt idx="1969">
                  <c:v>4.6109999999999998E-2</c:v>
                </c:pt>
                <c:pt idx="1970">
                  <c:v>4.9230000000000003E-2</c:v>
                </c:pt>
                <c:pt idx="1971">
                  <c:v>-3.9450000000000006E-2</c:v>
                </c:pt>
                <c:pt idx="1972">
                  <c:v>0.13208</c:v>
                </c:pt>
                <c:pt idx="1973">
                  <c:v>5.9229999999999998E-2</c:v>
                </c:pt>
                <c:pt idx="1974">
                  <c:v>0.12985000000000002</c:v>
                </c:pt>
                <c:pt idx="1975">
                  <c:v>-1.5999999999999973E-3</c:v>
                </c:pt>
                <c:pt idx="1976">
                  <c:v>2.1299999999999999E-2</c:v>
                </c:pt>
                <c:pt idx="1977">
                  <c:v>-4.1399999999999992E-2</c:v>
                </c:pt>
                <c:pt idx="1978">
                  <c:v>-2.9520000000000001E-2</c:v>
                </c:pt>
                <c:pt idx="1979">
                  <c:v>0.11674000000000001</c:v>
                </c:pt>
                <c:pt idx="1980">
                  <c:v>9.078E-2</c:v>
                </c:pt>
                <c:pt idx="1981">
                  <c:v>-8.4449999999999997E-2</c:v>
                </c:pt>
                <c:pt idx="1982">
                  <c:v>-3.5769999999999996E-2</c:v>
                </c:pt>
                <c:pt idx="1983">
                  <c:v>6.1000000000000006E-2</c:v>
                </c:pt>
                <c:pt idx="1984">
                  <c:v>-0.12606000000000001</c:v>
                </c:pt>
                <c:pt idx="1985">
                  <c:v>7.6260000000000008E-2</c:v>
                </c:pt>
                <c:pt idx="1986">
                  <c:v>4.8419999999999998E-2</c:v>
                </c:pt>
                <c:pt idx="1987">
                  <c:v>-3.4380000000000001E-2</c:v>
                </c:pt>
                <c:pt idx="1988">
                  <c:v>2.6520000000000002E-2</c:v>
                </c:pt>
                <c:pt idx="1989">
                  <c:v>1.6339999999999997E-2</c:v>
                </c:pt>
                <c:pt idx="1990">
                  <c:v>8.1750000000000003E-2</c:v>
                </c:pt>
                <c:pt idx="1991">
                  <c:v>4.6239999999999996E-2</c:v>
                </c:pt>
                <c:pt idx="1992">
                  <c:v>-2.76E-2</c:v>
                </c:pt>
                <c:pt idx="1993">
                  <c:v>3.7039999999999997E-2</c:v>
                </c:pt>
                <c:pt idx="1994">
                  <c:v>9.2000000000000068E-4</c:v>
                </c:pt>
                <c:pt idx="1995">
                  <c:v>-3.7780000000000001E-2</c:v>
                </c:pt>
                <c:pt idx="1996">
                  <c:v>-8.5790000000000005E-2</c:v>
                </c:pt>
                <c:pt idx="1997">
                  <c:v>-3.3139999999999996E-2</c:v>
                </c:pt>
                <c:pt idx="1998">
                  <c:v>5.8560000000000001E-2</c:v>
                </c:pt>
                <c:pt idx="1999">
                  <c:v>2.4199999999999999E-2</c:v>
                </c:pt>
                <c:pt idx="2000">
                  <c:v>-9.2799999999999983E-3</c:v>
                </c:pt>
                <c:pt idx="2001">
                  <c:v>3.7879999999999997E-2</c:v>
                </c:pt>
                <c:pt idx="2002">
                  <c:v>5.6799999999999996E-2</c:v>
                </c:pt>
                <c:pt idx="2003">
                  <c:v>1.6279999999999999E-2</c:v>
                </c:pt>
                <c:pt idx="2004">
                  <c:v>4.3319999999999997E-2</c:v>
                </c:pt>
                <c:pt idx="2005">
                  <c:v>2.1670000000000002E-2</c:v>
                </c:pt>
                <c:pt idx="2006">
                  <c:v>2.6409999999999996E-2</c:v>
                </c:pt>
                <c:pt idx="2007">
                  <c:v>-1.1999999999999997E-3</c:v>
                </c:pt>
                <c:pt idx="2008">
                  <c:v>0.15965000000000001</c:v>
                </c:pt>
                <c:pt idx="2009">
                  <c:v>-8.8480000000000003E-2</c:v>
                </c:pt>
                <c:pt idx="2010">
                  <c:v>1.2119999999999999E-2</c:v>
                </c:pt>
                <c:pt idx="2011">
                  <c:v>3.8080000000000003E-2</c:v>
                </c:pt>
                <c:pt idx="2012">
                  <c:v>1.9999999999999997E-2</c:v>
                </c:pt>
                <c:pt idx="2013">
                  <c:v>-1.4200000000000003E-3</c:v>
                </c:pt>
                <c:pt idx="2014">
                  <c:v>1.1039999999999998E-2</c:v>
                </c:pt>
                <c:pt idx="2015">
                  <c:v>-4.4899999999999995E-2</c:v>
                </c:pt>
                <c:pt idx="2016">
                  <c:v>4.5530000000000001E-2</c:v>
                </c:pt>
                <c:pt idx="2017">
                  <c:v>3.5700000000000003E-2</c:v>
                </c:pt>
                <c:pt idx="2018">
                  <c:v>-2.3519999999999996E-2</c:v>
                </c:pt>
                <c:pt idx="2019">
                  <c:v>2.0000000000000018E-3</c:v>
                </c:pt>
                <c:pt idx="2020">
                  <c:v>5.1339999999999997E-2</c:v>
                </c:pt>
                <c:pt idx="2021">
                  <c:v>1.9270000000000002E-2</c:v>
                </c:pt>
                <c:pt idx="2022">
                  <c:v>-1.099E-2</c:v>
                </c:pt>
                <c:pt idx="2023">
                  <c:v>6.3559999999999992E-2</c:v>
                </c:pt>
                <c:pt idx="2024">
                  <c:v>7.5130000000000002E-2</c:v>
                </c:pt>
                <c:pt idx="2025">
                  <c:v>4.6840000000000007E-2</c:v>
                </c:pt>
                <c:pt idx="2026">
                  <c:v>9.3709999999999988E-2</c:v>
                </c:pt>
                <c:pt idx="2027">
                  <c:v>-7.7399999999999997E-2</c:v>
                </c:pt>
                <c:pt idx="2028">
                  <c:v>-2.0999999999999994E-3</c:v>
                </c:pt>
                <c:pt idx="2029">
                  <c:v>-8.9499999999999996E-3</c:v>
                </c:pt>
                <c:pt idx="2030">
                  <c:v>1.5480000000000001E-2</c:v>
                </c:pt>
                <c:pt idx="2031">
                  <c:v>1.924E-2</c:v>
                </c:pt>
                <c:pt idx="2032">
                  <c:v>1.472E-2</c:v>
                </c:pt>
                <c:pt idx="2033">
                  <c:v>1.9640000000000001E-2</c:v>
                </c:pt>
                <c:pt idx="2034">
                  <c:v>2.6200000000000001E-2</c:v>
                </c:pt>
                <c:pt idx="2035">
                  <c:v>2.8799999999999997E-3</c:v>
                </c:pt>
                <c:pt idx="2036">
                  <c:v>3.5900000000000001E-2</c:v>
                </c:pt>
                <c:pt idx="2037">
                  <c:v>-1.9549999999999998E-2</c:v>
                </c:pt>
                <c:pt idx="2038">
                  <c:v>2.23E-2</c:v>
                </c:pt>
                <c:pt idx="2039">
                  <c:v>3.39E-2</c:v>
                </c:pt>
                <c:pt idx="2040">
                  <c:v>6.2880000000000005E-2</c:v>
                </c:pt>
                <c:pt idx="2041">
                  <c:v>-1.069999999999998E-3</c:v>
                </c:pt>
                <c:pt idx="2042">
                  <c:v>5.5459999999999995E-2</c:v>
                </c:pt>
                <c:pt idx="2043">
                  <c:v>2.4879999999999999E-2</c:v>
                </c:pt>
                <c:pt idx="2044">
                  <c:v>-2.7299999999999998E-3</c:v>
                </c:pt>
                <c:pt idx="2045">
                  <c:v>-6.3209999999999988E-2</c:v>
                </c:pt>
                <c:pt idx="2046">
                  <c:v>4.5380000000000004E-2</c:v>
                </c:pt>
                <c:pt idx="2047">
                  <c:v>2.554E-2</c:v>
                </c:pt>
                <c:pt idx="2048">
                  <c:v>-1.4500000000000001E-2</c:v>
                </c:pt>
                <c:pt idx="2049">
                  <c:v>-2.1000000000000001E-2</c:v>
                </c:pt>
                <c:pt idx="2050">
                  <c:v>6.5599999999999999E-3</c:v>
                </c:pt>
                <c:pt idx="2051">
                  <c:v>-3.7359999999999997E-2</c:v>
                </c:pt>
                <c:pt idx="2052">
                  <c:v>3.8319999999999993E-2</c:v>
                </c:pt>
                <c:pt idx="2053">
                  <c:v>-1.5129999999999998E-2</c:v>
                </c:pt>
                <c:pt idx="2054">
                  <c:v>9.0630000000000002E-2</c:v>
                </c:pt>
                <c:pt idx="2055">
                  <c:v>-9.2999999999999999E-2</c:v>
                </c:pt>
                <c:pt idx="2056">
                  <c:v>5.5719999999999999E-2</c:v>
                </c:pt>
                <c:pt idx="2057">
                  <c:v>2.2200000000000015E-3</c:v>
                </c:pt>
                <c:pt idx="2058">
                  <c:v>1.434E-2</c:v>
                </c:pt>
                <c:pt idx="2059">
                  <c:v>0.11853999999999999</c:v>
                </c:pt>
                <c:pt idx="2060">
                  <c:v>-7.5719999999999996E-2</c:v>
                </c:pt>
                <c:pt idx="2061">
                  <c:v>-5.0000000000000001E-3</c:v>
                </c:pt>
                <c:pt idx="2062">
                  <c:v>3.4720000000000001E-2</c:v>
                </c:pt>
                <c:pt idx="2063">
                  <c:v>1.1860000000000001E-2</c:v>
                </c:pt>
                <c:pt idx="2064">
                  <c:v>-5.8779999999999999E-2</c:v>
                </c:pt>
                <c:pt idx="2065">
                  <c:v>-2.4499999999999997E-2</c:v>
                </c:pt>
                <c:pt idx="2066">
                  <c:v>8.1999999999999781E-4</c:v>
                </c:pt>
                <c:pt idx="2067">
                  <c:v>2.9940000000000005E-2</c:v>
                </c:pt>
                <c:pt idx="2068">
                  <c:v>-3.9E-2</c:v>
                </c:pt>
                <c:pt idx="2069">
                  <c:v>6.8239999999999995E-2</c:v>
                </c:pt>
                <c:pt idx="2070">
                  <c:v>-3.15E-3</c:v>
                </c:pt>
                <c:pt idx="2071">
                  <c:v>4.1639999999999996E-2</c:v>
                </c:pt>
                <c:pt idx="2072">
                  <c:v>8.5599999999999999E-3</c:v>
                </c:pt>
                <c:pt idx="2073">
                  <c:v>-1.465E-2</c:v>
                </c:pt>
                <c:pt idx="2074">
                  <c:v>2.2999999999999982E-3</c:v>
                </c:pt>
                <c:pt idx="2075">
                  <c:v>9.4500000000000001E-3</c:v>
                </c:pt>
                <c:pt idx="2076">
                  <c:v>5.0279999999999998E-2</c:v>
                </c:pt>
                <c:pt idx="2077">
                  <c:v>1.0039999999999999E-2</c:v>
                </c:pt>
                <c:pt idx="2078">
                  <c:v>-3.8740000000000011E-2</c:v>
                </c:pt>
                <c:pt idx="2079">
                  <c:v>4.8680000000000001E-2</c:v>
                </c:pt>
                <c:pt idx="2080">
                  <c:v>3.9320000000000001E-2</c:v>
                </c:pt>
                <c:pt idx="2081">
                  <c:v>-3.4450000000000001E-2</c:v>
                </c:pt>
                <c:pt idx="2082">
                  <c:v>-1.1599999999999999E-2</c:v>
                </c:pt>
                <c:pt idx="2083">
                  <c:v>1.085E-2</c:v>
                </c:pt>
                <c:pt idx="2084">
                  <c:v>-2.3400000000000001E-3</c:v>
                </c:pt>
                <c:pt idx="2085">
                  <c:v>-5.3999999999999994E-3</c:v>
                </c:pt>
                <c:pt idx="2086">
                  <c:v>4.429999999999999E-3</c:v>
                </c:pt>
                <c:pt idx="2087">
                  <c:v>5.3440000000000001E-2</c:v>
                </c:pt>
                <c:pt idx="2088">
                  <c:v>1.091E-2</c:v>
                </c:pt>
                <c:pt idx="2089">
                  <c:v>-6.6400000000000001E-3</c:v>
                </c:pt>
                <c:pt idx="2090">
                  <c:v>2.6199999999999994E-2</c:v>
                </c:pt>
                <c:pt idx="2091">
                  <c:v>2.1909999999999999E-2</c:v>
                </c:pt>
                <c:pt idx="2092">
                  <c:v>6.8220000000000003E-2</c:v>
                </c:pt>
                <c:pt idx="2093">
                  <c:v>6.9790000000000005E-2</c:v>
                </c:pt>
                <c:pt idx="2094">
                  <c:v>-1.6200000000000006E-2</c:v>
                </c:pt>
                <c:pt idx="2095">
                  <c:v>-3.5000000000000031E-3</c:v>
                </c:pt>
                <c:pt idx="2096">
                  <c:v>0.10016</c:v>
                </c:pt>
                <c:pt idx="2097">
                  <c:v>2.4799999999999999E-2</c:v>
                </c:pt>
                <c:pt idx="2098">
                  <c:v>-4.2230000000000004E-2</c:v>
                </c:pt>
                <c:pt idx="2099">
                  <c:v>-0.13538</c:v>
                </c:pt>
                <c:pt idx="2100">
                  <c:v>1.4630000000000001E-2</c:v>
                </c:pt>
                <c:pt idx="2101">
                  <c:v>-3.4599999999999999E-2</c:v>
                </c:pt>
                <c:pt idx="2102">
                  <c:v>5.3999999999999999E-2</c:v>
                </c:pt>
                <c:pt idx="2103">
                  <c:v>1.333E-2</c:v>
                </c:pt>
                <c:pt idx="2104">
                  <c:v>-5.3199999999999983E-3</c:v>
                </c:pt>
                <c:pt idx="2105">
                  <c:v>-2.7129999999999998E-2</c:v>
                </c:pt>
                <c:pt idx="2106">
                  <c:v>5.5840000000000001E-2</c:v>
                </c:pt>
                <c:pt idx="2107">
                  <c:v>-2.5159999999999998E-2</c:v>
                </c:pt>
                <c:pt idx="2108">
                  <c:v>-1.316E-2</c:v>
                </c:pt>
                <c:pt idx="2109">
                  <c:v>3.7400000000000003E-3</c:v>
                </c:pt>
                <c:pt idx="2110">
                  <c:v>0.1009</c:v>
                </c:pt>
                <c:pt idx="2111">
                  <c:v>-3.168E-2</c:v>
                </c:pt>
                <c:pt idx="2112">
                  <c:v>-5.6750000000000002E-2</c:v>
                </c:pt>
                <c:pt idx="2113">
                  <c:v>-3.0820000000000007E-2</c:v>
                </c:pt>
                <c:pt idx="2114">
                  <c:v>2.0560000000000002E-2</c:v>
                </c:pt>
                <c:pt idx="2115">
                  <c:v>-3.6260000000000001E-2</c:v>
                </c:pt>
                <c:pt idx="2116">
                  <c:v>2.6969999999999994E-2</c:v>
                </c:pt>
                <c:pt idx="2117">
                  <c:v>-2.2419999999999999E-2</c:v>
                </c:pt>
                <c:pt idx="2118">
                  <c:v>5.1320000000000005E-2</c:v>
                </c:pt>
                <c:pt idx="2119">
                  <c:v>2.52E-2</c:v>
                </c:pt>
                <c:pt idx="2120">
                  <c:v>2.0199999999999975E-3</c:v>
                </c:pt>
                <c:pt idx="2121">
                  <c:v>3.3349999999999998E-2</c:v>
                </c:pt>
                <c:pt idx="2122">
                  <c:v>5.5750000000000001E-2</c:v>
                </c:pt>
                <c:pt idx="2123">
                  <c:v>3.168E-2</c:v>
                </c:pt>
                <c:pt idx="2124">
                  <c:v>8.4720000000000004E-2</c:v>
                </c:pt>
                <c:pt idx="2125">
                  <c:v>3.8450000000000005E-2</c:v>
                </c:pt>
                <c:pt idx="2126">
                  <c:v>0.10226</c:v>
                </c:pt>
                <c:pt idx="2127">
                  <c:v>0.1348</c:v>
                </c:pt>
                <c:pt idx="2128">
                  <c:v>7.4859999999999996E-2</c:v>
                </c:pt>
                <c:pt idx="2129">
                  <c:v>-4.8230000000000002E-2</c:v>
                </c:pt>
                <c:pt idx="2130">
                  <c:v>6.1439999999999995E-2</c:v>
                </c:pt>
                <c:pt idx="2131">
                  <c:v>6.9350000000000009E-2</c:v>
                </c:pt>
                <c:pt idx="2132">
                  <c:v>-2.4290000000000003E-2</c:v>
                </c:pt>
                <c:pt idx="2133">
                  <c:v>-2.1450000000000004E-2</c:v>
                </c:pt>
                <c:pt idx="2134">
                  <c:v>3.6250000000000004E-2</c:v>
                </c:pt>
                <c:pt idx="2135">
                  <c:v>3.6540000000000003E-2</c:v>
                </c:pt>
                <c:pt idx="2136">
                  <c:v>-2.3500000000000023E-3</c:v>
                </c:pt>
                <c:pt idx="2137">
                  <c:v>6.2080000000000003E-2</c:v>
                </c:pt>
                <c:pt idx="2138">
                  <c:v>3.4519999999999995E-2</c:v>
                </c:pt>
                <c:pt idx="2139">
                  <c:v>3.3239999999999992E-2</c:v>
                </c:pt>
                <c:pt idx="2140">
                  <c:v>1.908E-2</c:v>
                </c:pt>
                <c:pt idx="2141">
                  <c:v>4.4300000000000006E-2</c:v>
                </c:pt>
                <c:pt idx="2142">
                  <c:v>8.3999999999999991E-2</c:v>
                </c:pt>
                <c:pt idx="2143">
                  <c:v>-2.2999999999999996E-2</c:v>
                </c:pt>
                <c:pt idx="2144">
                  <c:v>0.111</c:v>
                </c:pt>
                <c:pt idx="2145">
                  <c:v>1.2640000000000012E-2</c:v>
                </c:pt>
                <c:pt idx="2146">
                  <c:v>3.9000000000000007E-2</c:v>
                </c:pt>
                <c:pt idx="2147">
                  <c:v>4.2799999999999991E-3</c:v>
                </c:pt>
                <c:pt idx="2148">
                  <c:v>2.7520000000000003E-2</c:v>
                </c:pt>
                <c:pt idx="2149">
                  <c:v>-1.6160000000000001E-2</c:v>
                </c:pt>
                <c:pt idx="2150">
                  <c:v>-1.2709999999999999E-2</c:v>
                </c:pt>
                <c:pt idx="2151">
                  <c:v>-2.6479999999999997E-2</c:v>
                </c:pt>
                <c:pt idx="2152">
                  <c:v>2.222E-2</c:v>
                </c:pt>
                <c:pt idx="2153">
                  <c:v>1.805E-2</c:v>
                </c:pt>
                <c:pt idx="2154">
                  <c:v>4.5600000000000007E-3</c:v>
                </c:pt>
                <c:pt idx="2155">
                  <c:v>7.9999999999999863E-4</c:v>
                </c:pt>
                <c:pt idx="2156">
                  <c:v>1.864E-2</c:v>
                </c:pt>
                <c:pt idx="2157">
                  <c:v>1.0659999999999999E-2</c:v>
                </c:pt>
                <c:pt idx="2158">
                  <c:v>1.8110000000000001E-2</c:v>
                </c:pt>
                <c:pt idx="2159">
                  <c:v>1.9599999999999999E-2</c:v>
                </c:pt>
                <c:pt idx="2160">
                  <c:v>2.4879999999999999E-2</c:v>
                </c:pt>
                <c:pt idx="2161">
                  <c:v>6.3E-2</c:v>
                </c:pt>
                <c:pt idx="2162">
                  <c:v>4.9139999999999996E-2</c:v>
                </c:pt>
                <c:pt idx="2163">
                  <c:v>-8.2399999999999973E-3</c:v>
                </c:pt>
                <c:pt idx="2164">
                  <c:v>2.18E-2</c:v>
                </c:pt>
                <c:pt idx="2165">
                  <c:v>-3.2100000000000002E-3</c:v>
                </c:pt>
                <c:pt idx="2166">
                  <c:v>4.3999999999999985E-3</c:v>
                </c:pt>
                <c:pt idx="2167">
                  <c:v>-6.0400000000000002E-2</c:v>
                </c:pt>
                <c:pt idx="2168">
                  <c:v>-9.9500000000000005E-3</c:v>
                </c:pt>
                <c:pt idx="2169">
                  <c:v>7.4400000000000004E-3</c:v>
                </c:pt>
                <c:pt idx="2170">
                  <c:v>-7.000000000000001E-4</c:v>
                </c:pt>
                <c:pt idx="2171">
                  <c:v>1.2E-2</c:v>
                </c:pt>
                <c:pt idx="2172">
                  <c:v>-2.5899999999999973E-3</c:v>
                </c:pt>
                <c:pt idx="2173">
                  <c:v>7.0999999999999969E-4</c:v>
                </c:pt>
                <c:pt idx="2174">
                  <c:v>1.6E-2</c:v>
                </c:pt>
                <c:pt idx="2175">
                  <c:v>3.1179999999999996E-2</c:v>
                </c:pt>
                <c:pt idx="2176">
                  <c:v>3.0760000000000003E-2</c:v>
                </c:pt>
                <c:pt idx="2177">
                  <c:v>4.1000000000000064E-4</c:v>
                </c:pt>
                <c:pt idx="2178">
                  <c:v>-7.9170000000000004E-2</c:v>
                </c:pt>
                <c:pt idx="2179">
                  <c:v>7.8199999999999992E-2</c:v>
                </c:pt>
                <c:pt idx="2180">
                  <c:v>5.2610000000000004E-2</c:v>
                </c:pt>
                <c:pt idx="2181">
                  <c:v>4.8899999999999999E-2</c:v>
                </c:pt>
                <c:pt idx="2182">
                  <c:v>-2.1550000000000003E-2</c:v>
                </c:pt>
                <c:pt idx="2183">
                  <c:v>-3.8980000000000001E-2</c:v>
                </c:pt>
                <c:pt idx="2184">
                  <c:v>-1.5179999999999999E-2</c:v>
                </c:pt>
                <c:pt idx="2185">
                  <c:v>-2.4959999999999996E-2</c:v>
                </c:pt>
                <c:pt idx="2186">
                  <c:v>1.0999999999999999E-2</c:v>
                </c:pt>
                <c:pt idx="2187">
                  <c:v>-1.4320000000000003E-2</c:v>
                </c:pt>
                <c:pt idx="2188">
                  <c:v>2.2280000000000001E-2</c:v>
                </c:pt>
                <c:pt idx="2189">
                  <c:v>6.1959999999999994E-2</c:v>
                </c:pt>
                <c:pt idx="2190">
                  <c:v>-4.7700000000000017E-3</c:v>
                </c:pt>
                <c:pt idx="2191">
                  <c:v>1.2840000000000004E-2</c:v>
                </c:pt>
                <c:pt idx="2192">
                  <c:v>4.8039999999999999E-2</c:v>
                </c:pt>
                <c:pt idx="2193">
                  <c:v>3.1280000000000002E-2</c:v>
                </c:pt>
                <c:pt idx="2194">
                  <c:v>3.9169999999999996E-2</c:v>
                </c:pt>
                <c:pt idx="2195">
                  <c:v>-4.7979999999999995E-2</c:v>
                </c:pt>
                <c:pt idx="2196">
                  <c:v>8.856E-2</c:v>
                </c:pt>
                <c:pt idx="2197">
                  <c:v>7.350000000000001E-2</c:v>
                </c:pt>
                <c:pt idx="2198">
                  <c:v>2.2249999999999999E-2</c:v>
                </c:pt>
                <c:pt idx="2199">
                  <c:v>5.2299999999999999E-2</c:v>
                </c:pt>
                <c:pt idx="2200">
                  <c:v>-3.56E-2</c:v>
                </c:pt>
                <c:pt idx="2201">
                  <c:v>-2.8660000000000005E-2</c:v>
                </c:pt>
                <c:pt idx="2202">
                  <c:v>-2.5960000000000004E-2</c:v>
                </c:pt>
                <c:pt idx="2203">
                  <c:v>1.7170000000000001E-2</c:v>
                </c:pt>
                <c:pt idx="2204">
                  <c:v>4.972E-2</c:v>
                </c:pt>
                <c:pt idx="2205">
                  <c:v>-3.5639999999999998E-2</c:v>
                </c:pt>
                <c:pt idx="2206">
                  <c:v>-4.5030000000000001E-2</c:v>
                </c:pt>
                <c:pt idx="2207">
                  <c:v>1.2990000000000002E-2</c:v>
                </c:pt>
                <c:pt idx="2208">
                  <c:v>2.503E-2</c:v>
                </c:pt>
                <c:pt idx="2209">
                  <c:v>3.3390000000000003E-2</c:v>
                </c:pt>
                <c:pt idx="2210">
                  <c:v>2.2280000000000001E-2</c:v>
                </c:pt>
                <c:pt idx="2211">
                  <c:v>4.7789999999999999E-2</c:v>
                </c:pt>
                <c:pt idx="2212">
                  <c:v>4.3600000000000028E-3</c:v>
                </c:pt>
                <c:pt idx="2213">
                  <c:v>1.7320000000000009E-2</c:v>
                </c:pt>
                <c:pt idx="2214">
                  <c:v>5.9740000000000001E-2</c:v>
                </c:pt>
                <c:pt idx="2215">
                  <c:v>-6.4799999999999996E-3</c:v>
                </c:pt>
                <c:pt idx="2216">
                  <c:v>5.3989999999999996E-2</c:v>
                </c:pt>
                <c:pt idx="2217">
                  <c:v>2.4280000000000003E-2</c:v>
                </c:pt>
                <c:pt idx="2218">
                  <c:v>-6.4000000000000001E-2</c:v>
                </c:pt>
                <c:pt idx="2219">
                  <c:v>1.8919999999999999E-2</c:v>
                </c:pt>
                <c:pt idx="2220">
                  <c:v>8.9000000000000017E-3</c:v>
                </c:pt>
                <c:pt idx="2221">
                  <c:v>-2.4080000000000001E-2</c:v>
                </c:pt>
                <c:pt idx="2222">
                  <c:v>4.6449999999999998E-2</c:v>
                </c:pt>
                <c:pt idx="2223">
                  <c:v>4.2999999999999983E-3</c:v>
                </c:pt>
                <c:pt idx="2224">
                  <c:v>-4.3409999999999997E-2</c:v>
                </c:pt>
                <c:pt idx="2225">
                  <c:v>4.5559999999999996E-2</c:v>
                </c:pt>
                <c:pt idx="2226">
                  <c:v>1.2049999999999995E-2</c:v>
                </c:pt>
                <c:pt idx="2227">
                  <c:v>-5.1999999999999963E-3</c:v>
                </c:pt>
                <c:pt idx="2228">
                  <c:v>-1.5000000000000001E-2</c:v>
                </c:pt>
                <c:pt idx="2229">
                  <c:v>0.1265</c:v>
                </c:pt>
                <c:pt idx="2230">
                  <c:v>-3.0319999999999986E-2</c:v>
                </c:pt>
                <c:pt idx="2231">
                  <c:v>4.6920000000000003E-2</c:v>
                </c:pt>
                <c:pt idx="2232">
                  <c:v>-0.15671000000000002</c:v>
                </c:pt>
                <c:pt idx="2233">
                  <c:v>3.7479999999999999E-2</c:v>
                </c:pt>
                <c:pt idx="2234">
                  <c:v>2.1880000000000004E-2</c:v>
                </c:pt>
                <c:pt idx="2235">
                  <c:v>4.3999999999999994E-3</c:v>
                </c:pt>
                <c:pt idx="2236">
                  <c:v>5.5080000000000011E-2</c:v>
                </c:pt>
                <c:pt idx="2237">
                  <c:v>-1.2199999999999999E-2</c:v>
                </c:pt>
                <c:pt idx="2238">
                  <c:v>7.9289999999999999E-2</c:v>
                </c:pt>
                <c:pt idx="2239">
                  <c:v>-3.6400000000000002E-2</c:v>
                </c:pt>
                <c:pt idx="2240">
                  <c:v>6.3480000000000009E-2</c:v>
                </c:pt>
                <c:pt idx="2241">
                  <c:v>-5.6400000000000027E-3</c:v>
                </c:pt>
                <c:pt idx="2242">
                  <c:v>6.9539999999999991E-2</c:v>
                </c:pt>
                <c:pt idx="2243">
                  <c:v>9.7799999999999998E-2</c:v>
                </c:pt>
                <c:pt idx="2244">
                  <c:v>-2.0799999999999999E-2</c:v>
                </c:pt>
                <c:pt idx="2245">
                  <c:v>5.3540000000000004E-2</c:v>
                </c:pt>
                <c:pt idx="2246">
                  <c:v>0.11940000000000001</c:v>
                </c:pt>
                <c:pt idx="2247">
                  <c:v>0.20593</c:v>
                </c:pt>
                <c:pt idx="2248">
                  <c:v>-7.2300000000000003E-2</c:v>
                </c:pt>
                <c:pt idx="2249">
                  <c:v>4.5999999999999999E-2</c:v>
                </c:pt>
                <c:pt idx="2250">
                  <c:v>-7.4300000000000005E-2</c:v>
                </c:pt>
                <c:pt idx="2251">
                  <c:v>8.2800000000000026E-3</c:v>
                </c:pt>
                <c:pt idx="2252">
                  <c:v>5.9600000000000035E-3</c:v>
                </c:pt>
                <c:pt idx="2253">
                  <c:v>3.9989999999999998E-2</c:v>
                </c:pt>
                <c:pt idx="2254">
                  <c:v>-2.8319999999999998E-2</c:v>
                </c:pt>
                <c:pt idx="2255">
                  <c:v>6.9000000000000006E-2</c:v>
                </c:pt>
                <c:pt idx="2256">
                  <c:v>-4.8999999999999995E-2</c:v>
                </c:pt>
                <c:pt idx="2257">
                  <c:v>-1.8850000000000002E-2</c:v>
                </c:pt>
                <c:pt idx="2258">
                  <c:v>-3.5470000000000002E-2</c:v>
                </c:pt>
                <c:pt idx="2259">
                  <c:v>6.0039999999999996E-2</c:v>
                </c:pt>
                <c:pt idx="2260">
                  <c:v>-5.5919999999999997E-2</c:v>
                </c:pt>
                <c:pt idx="2261">
                  <c:v>2.5659999999999999E-2</c:v>
                </c:pt>
                <c:pt idx="2262">
                  <c:v>-3.8530000000000002E-2</c:v>
                </c:pt>
                <c:pt idx="2263">
                  <c:v>9.5930000000000015E-2</c:v>
                </c:pt>
                <c:pt idx="2264">
                  <c:v>4.9259999999999998E-2</c:v>
                </c:pt>
                <c:pt idx="2265">
                  <c:v>-4.7719999999999999E-2</c:v>
                </c:pt>
                <c:pt idx="2266">
                  <c:v>4.172E-2</c:v>
                </c:pt>
                <c:pt idx="2267">
                  <c:v>-7.8700000000000003E-3</c:v>
                </c:pt>
                <c:pt idx="2268">
                  <c:v>-2.7099999999999999E-2</c:v>
                </c:pt>
                <c:pt idx="2269">
                  <c:v>-1.8520000000000002E-2</c:v>
                </c:pt>
                <c:pt idx="2270">
                  <c:v>2.733E-2</c:v>
                </c:pt>
                <c:pt idx="2271">
                  <c:v>-1.376E-2</c:v>
                </c:pt>
                <c:pt idx="2272">
                  <c:v>3.388E-2</c:v>
                </c:pt>
                <c:pt idx="2273">
                  <c:v>3.4499999999999999E-3</c:v>
                </c:pt>
                <c:pt idx="2274">
                  <c:v>4.6390000000000001E-2</c:v>
                </c:pt>
                <c:pt idx="2275">
                  <c:v>2.2839999999999999E-2</c:v>
                </c:pt>
                <c:pt idx="2276">
                  <c:v>4.8520000000000008E-2</c:v>
                </c:pt>
                <c:pt idx="2277">
                  <c:v>2.35E-2</c:v>
                </c:pt>
                <c:pt idx="2278">
                  <c:v>1.7720000000000003E-2</c:v>
                </c:pt>
                <c:pt idx="2279">
                  <c:v>7.3840000000000003E-2</c:v>
                </c:pt>
                <c:pt idx="2280">
                  <c:v>1.396E-2</c:v>
                </c:pt>
                <c:pt idx="2281">
                  <c:v>7.0059999999999997E-2</c:v>
                </c:pt>
                <c:pt idx="2282">
                  <c:v>3.168E-2</c:v>
                </c:pt>
                <c:pt idx="2283">
                  <c:v>7.8640000000000002E-2</c:v>
                </c:pt>
                <c:pt idx="2284">
                  <c:v>-0.10552</c:v>
                </c:pt>
                <c:pt idx="2285">
                  <c:v>7.1379999999999999E-2</c:v>
                </c:pt>
                <c:pt idx="2286">
                  <c:v>0.1196</c:v>
                </c:pt>
                <c:pt idx="2287">
                  <c:v>-9.3149999999999997E-2</c:v>
                </c:pt>
                <c:pt idx="2288">
                  <c:v>4.4760000000000001E-2</c:v>
                </c:pt>
                <c:pt idx="2289">
                  <c:v>-2.3000000000000003E-2</c:v>
                </c:pt>
                <c:pt idx="2290">
                  <c:v>-1.8859999999999998E-2</c:v>
                </c:pt>
                <c:pt idx="2291">
                  <c:v>-2.6599999999999999E-2</c:v>
                </c:pt>
                <c:pt idx="2292">
                  <c:v>2.7950000000000003E-2</c:v>
                </c:pt>
                <c:pt idx="2293">
                  <c:v>5.9240000000000001E-2</c:v>
                </c:pt>
                <c:pt idx="2294">
                  <c:v>-2.8540000000000003E-2</c:v>
                </c:pt>
                <c:pt idx="2295">
                  <c:v>8.3999999999999977E-3</c:v>
                </c:pt>
                <c:pt idx="2296">
                  <c:v>-4.8600000000000004E-2</c:v>
                </c:pt>
                <c:pt idx="2297">
                  <c:v>0.12869999999999998</c:v>
                </c:pt>
                <c:pt idx="2298">
                  <c:v>-4.0599999999999997E-2</c:v>
                </c:pt>
                <c:pt idx="2299">
                  <c:v>-5.038999999999999E-2</c:v>
                </c:pt>
                <c:pt idx="2300">
                  <c:v>4.514E-2</c:v>
                </c:pt>
                <c:pt idx="2301">
                  <c:v>-9.8799999999999999E-3</c:v>
                </c:pt>
                <c:pt idx="2302">
                  <c:v>6.150000000000001E-3</c:v>
                </c:pt>
                <c:pt idx="2303">
                  <c:v>-3.9E-2</c:v>
                </c:pt>
                <c:pt idx="2304">
                  <c:v>2.9590000000000005E-2</c:v>
                </c:pt>
                <c:pt idx="2305">
                  <c:v>3.6810000000000002E-2</c:v>
                </c:pt>
                <c:pt idx="2306">
                  <c:v>-6.5200000000000006E-3</c:v>
                </c:pt>
                <c:pt idx="2307">
                  <c:v>5.0659999999999997E-2</c:v>
                </c:pt>
                <c:pt idx="2308">
                  <c:v>-6.8820000000000006E-2</c:v>
                </c:pt>
                <c:pt idx="2309">
                  <c:v>7.1629999999999999E-2</c:v>
                </c:pt>
                <c:pt idx="2310">
                  <c:v>3.1999999999999997E-3</c:v>
                </c:pt>
                <c:pt idx="2311">
                  <c:v>7.4179999999999996E-2</c:v>
                </c:pt>
                <c:pt idx="2312">
                  <c:v>6.4999999999999988E-3</c:v>
                </c:pt>
                <c:pt idx="2313">
                  <c:v>4.1340000000000002E-2</c:v>
                </c:pt>
                <c:pt idx="2314">
                  <c:v>0.12236000000000001</c:v>
                </c:pt>
                <c:pt idx="2315">
                  <c:v>-3.2000000000000001E-2</c:v>
                </c:pt>
                <c:pt idx="2316">
                  <c:v>2.8879999999999996E-2</c:v>
                </c:pt>
                <c:pt idx="2317">
                  <c:v>-5.1200000000000002E-2</c:v>
                </c:pt>
                <c:pt idx="2318">
                  <c:v>7.4500000000000018E-3</c:v>
                </c:pt>
                <c:pt idx="2319">
                  <c:v>-2.9319999999999999E-2</c:v>
                </c:pt>
                <c:pt idx="2320">
                  <c:v>3.2140000000000002E-2</c:v>
                </c:pt>
                <c:pt idx="2321">
                  <c:v>-3.1559999999999998E-2</c:v>
                </c:pt>
                <c:pt idx="2322">
                  <c:v>1.3600000000000001E-2</c:v>
                </c:pt>
                <c:pt idx="2323">
                  <c:v>-2.4479999999999998E-2</c:v>
                </c:pt>
                <c:pt idx="2324">
                  <c:v>-3.0000000000000002E-2</c:v>
                </c:pt>
                <c:pt idx="2325">
                  <c:v>2.1260000000000001E-2</c:v>
                </c:pt>
                <c:pt idx="2326">
                  <c:v>1.8000000000000002E-2</c:v>
                </c:pt>
                <c:pt idx="2327">
                  <c:v>1.8920000000000003E-2</c:v>
                </c:pt>
                <c:pt idx="2328">
                  <c:v>9.5599999999999991E-3</c:v>
                </c:pt>
                <c:pt idx="2329">
                  <c:v>5.3999999999999999E-2</c:v>
                </c:pt>
                <c:pt idx="2330">
                  <c:v>1.1120000000000001E-2</c:v>
                </c:pt>
                <c:pt idx="2331">
                  <c:v>4.0169999999999997E-2</c:v>
                </c:pt>
                <c:pt idx="2332">
                  <c:v>-1.7859999999999997E-2</c:v>
                </c:pt>
                <c:pt idx="2333">
                  <c:v>4.9960000000000004E-2</c:v>
                </c:pt>
                <c:pt idx="2334">
                  <c:v>5.2160000000000005E-2</c:v>
                </c:pt>
                <c:pt idx="2335">
                  <c:v>0.10137</c:v>
                </c:pt>
                <c:pt idx="2336">
                  <c:v>-2.1200000000000004E-2</c:v>
                </c:pt>
                <c:pt idx="2337">
                  <c:v>9.7640000000000005E-2</c:v>
                </c:pt>
                <c:pt idx="2338">
                  <c:v>-7.5840000000000005E-2</c:v>
                </c:pt>
                <c:pt idx="2339">
                  <c:v>3.3600000000000005E-2</c:v>
                </c:pt>
                <c:pt idx="2340">
                  <c:v>2.862E-2</c:v>
                </c:pt>
                <c:pt idx="2341">
                  <c:v>-4.6559999999999997E-2</c:v>
                </c:pt>
                <c:pt idx="2342">
                  <c:v>1.354E-2</c:v>
                </c:pt>
                <c:pt idx="2343">
                  <c:v>1.2449999999999999E-2</c:v>
                </c:pt>
                <c:pt idx="2344">
                  <c:v>2.5900000000000006E-2</c:v>
                </c:pt>
                <c:pt idx="2345">
                  <c:v>8.3699999999999997E-2</c:v>
                </c:pt>
                <c:pt idx="2346">
                  <c:v>1.2099999999999958E-3</c:v>
                </c:pt>
                <c:pt idx="2347">
                  <c:v>7.1910000000000002E-2</c:v>
                </c:pt>
                <c:pt idx="2348">
                  <c:v>0.10056</c:v>
                </c:pt>
                <c:pt idx="2349">
                  <c:v>1.072E-2</c:v>
                </c:pt>
                <c:pt idx="2350">
                  <c:v>-5.3350000000000002E-2</c:v>
                </c:pt>
                <c:pt idx="2351">
                  <c:v>-0.18448000000000001</c:v>
                </c:pt>
                <c:pt idx="2352">
                  <c:v>0.25872000000000001</c:v>
                </c:pt>
                <c:pt idx="2353">
                  <c:v>-7.6740000000000003E-2</c:v>
                </c:pt>
                <c:pt idx="2354">
                  <c:v>-6.4199999999999993E-2</c:v>
                </c:pt>
                <c:pt idx="2355">
                  <c:v>0.13897000000000001</c:v>
                </c:pt>
                <c:pt idx="2356">
                  <c:v>-0.15579999999999999</c:v>
                </c:pt>
                <c:pt idx="2357">
                  <c:v>0.21174000000000001</c:v>
                </c:pt>
                <c:pt idx="2358">
                  <c:v>5.4800000000000001E-2</c:v>
                </c:pt>
                <c:pt idx="2359">
                  <c:v>-1.515E-2</c:v>
                </c:pt>
                <c:pt idx="2360">
                  <c:v>-8.8999999999999996E-2</c:v>
                </c:pt>
                <c:pt idx="2361">
                  <c:v>8.7679999999999994E-2</c:v>
                </c:pt>
                <c:pt idx="2362">
                  <c:v>-1.7000000000000001E-2</c:v>
                </c:pt>
                <c:pt idx="2363">
                  <c:v>0.13148000000000001</c:v>
                </c:pt>
                <c:pt idx="2364">
                  <c:v>-5.2060000000000009E-2</c:v>
                </c:pt>
                <c:pt idx="2365">
                  <c:v>4.6800000000000008E-2</c:v>
                </c:pt>
                <c:pt idx="2366">
                  <c:v>2.1440000000000001E-2</c:v>
                </c:pt>
                <c:pt idx="2367">
                  <c:v>9.5899999999999999E-2</c:v>
                </c:pt>
                <c:pt idx="2368">
                  <c:v>8.9319999999999997E-2</c:v>
                </c:pt>
                <c:pt idx="2369">
                  <c:v>2.9199999999999997E-2</c:v>
                </c:pt>
                <c:pt idx="2370">
                  <c:v>4.4560000000000002E-2</c:v>
                </c:pt>
                <c:pt idx="2371">
                  <c:v>8.4599999999999995E-2</c:v>
                </c:pt>
                <c:pt idx="2372">
                  <c:v>0.10772</c:v>
                </c:pt>
                <c:pt idx="2373">
                  <c:v>7.9799999999999996E-2</c:v>
                </c:pt>
                <c:pt idx="2374">
                  <c:v>1.4919999999999996E-2</c:v>
                </c:pt>
                <c:pt idx="2375">
                  <c:v>-1.9550000000000005E-2</c:v>
                </c:pt>
                <c:pt idx="2376">
                  <c:v>4.3999999999999997E-2</c:v>
                </c:pt>
                <c:pt idx="2377">
                  <c:v>-3.3149999999999999E-2</c:v>
                </c:pt>
                <c:pt idx="2378">
                  <c:v>-7.0000000000000027E-3</c:v>
                </c:pt>
                <c:pt idx="2379">
                  <c:v>-4.7800000000000002E-2</c:v>
                </c:pt>
                <c:pt idx="2380">
                  <c:v>1.3450000000000004E-2</c:v>
                </c:pt>
                <c:pt idx="2381">
                  <c:v>-2.0740000000000001E-2</c:v>
                </c:pt>
                <c:pt idx="2382">
                  <c:v>3.49E-2</c:v>
                </c:pt>
                <c:pt idx="2383">
                  <c:v>4.1540000000000001E-2</c:v>
                </c:pt>
                <c:pt idx="2384">
                  <c:v>2.1420000000000002E-2</c:v>
                </c:pt>
                <c:pt idx="2385">
                  <c:v>1.115E-2</c:v>
                </c:pt>
                <c:pt idx="2386">
                  <c:v>1.506E-2</c:v>
                </c:pt>
                <c:pt idx="2387">
                  <c:v>7.0000000000000617E-5</c:v>
                </c:pt>
                <c:pt idx="2388">
                  <c:v>-1.7300000000000003E-2</c:v>
                </c:pt>
                <c:pt idx="2389">
                  <c:v>0.12383000000000002</c:v>
                </c:pt>
                <c:pt idx="2390">
                  <c:v>-7.2800000000000004E-2</c:v>
                </c:pt>
                <c:pt idx="2391">
                  <c:v>3.4680000000000002E-2</c:v>
                </c:pt>
                <c:pt idx="2392">
                  <c:v>6.5000000000000002E-2</c:v>
                </c:pt>
                <c:pt idx="2393">
                  <c:v>-8.3749999999999991E-2</c:v>
                </c:pt>
                <c:pt idx="2394">
                  <c:v>7.0059999999999997E-2</c:v>
                </c:pt>
                <c:pt idx="2395">
                  <c:v>-2.0199999999999996E-2</c:v>
                </c:pt>
                <c:pt idx="2396">
                  <c:v>1.5139999999999999E-2</c:v>
                </c:pt>
                <c:pt idx="2397">
                  <c:v>-3.6519999999999997E-2</c:v>
                </c:pt>
                <c:pt idx="2398">
                  <c:v>5.5160000000000001E-2</c:v>
                </c:pt>
                <c:pt idx="2399">
                  <c:v>-3.6600000000000001E-2</c:v>
                </c:pt>
                <c:pt idx="2400">
                  <c:v>5.8500000000000002E-3</c:v>
                </c:pt>
                <c:pt idx="2401">
                  <c:v>6.2800000000000009E-3</c:v>
                </c:pt>
                <c:pt idx="2402">
                  <c:v>3.5730000000000005E-2</c:v>
                </c:pt>
                <c:pt idx="2403">
                  <c:v>-3.7379999999999997E-2</c:v>
                </c:pt>
                <c:pt idx="2404">
                  <c:v>-1.1240000000000003E-2</c:v>
                </c:pt>
                <c:pt idx="2405">
                  <c:v>8.8480000000000003E-2</c:v>
                </c:pt>
                <c:pt idx="2406">
                  <c:v>4.6009999999999995E-2</c:v>
                </c:pt>
                <c:pt idx="2407">
                  <c:v>4.2400000000000007E-3</c:v>
                </c:pt>
                <c:pt idx="2408">
                  <c:v>4.0840000000000001E-2</c:v>
                </c:pt>
                <c:pt idx="2409">
                  <c:v>5.1570000000000005E-2</c:v>
                </c:pt>
                <c:pt idx="2410">
                  <c:v>-2.3419999999999996E-2</c:v>
                </c:pt>
                <c:pt idx="2411">
                  <c:v>-5.2520000000000004E-2</c:v>
                </c:pt>
                <c:pt idx="2412">
                  <c:v>4.8900000000000006E-2</c:v>
                </c:pt>
                <c:pt idx="2413">
                  <c:v>2.3120000000000002E-2</c:v>
                </c:pt>
                <c:pt idx="2414">
                  <c:v>4.5499999999999994E-3</c:v>
                </c:pt>
                <c:pt idx="2415">
                  <c:v>-4.9140000000000003E-2</c:v>
                </c:pt>
                <c:pt idx="2416">
                  <c:v>-1.9400000000000001E-2</c:v>
                </c:pt>
                <c:pt idx="2417">
                  <c:v>3.7200000000000002E-3</c:v>
                </c:pt>
                <c:pt idx="2418">
                  <c:v>4.8190000000000004E-2</c:v>
                </c:pt>
                <c:pt idx="2419">
                  <c:v>-1.4780000000000001E-2</c:v>
                </c:pt>
                <c:pt idx="2420">
                  <c:v>4.1680000000000002E-2</c:v>
                </c:pt>
                <c:pt idx="2421">
                  <c:v>1.55E-2</c:v>
                </c:pt>
                <c:pt idx="2422">
                  <c:v>1.319E-2</c:v>
                </c:pt>
                <c:pt idx="2423">
                  <c:v>5.2639999999999999E-2</c:v>
                </c:pt>
                <c:pt idx="2424">
                  <c:v>-1.5519999999999997E-2</c:v>
                </c:pt>
                <c:pt idx="2425">
                  <c:v>2.8539999999999999E-2</c:v>
                </c:pt>
                <c:pt idx="2426">
                  <c:v>3.8159999999999999E-2</c:v>
                </c:pt>
                <c:pt idx="2427">
                  <c:v>6.4439999999999997E-2</c:v>
                </c:pt>
                <c:pt idx="2428">
                  <c:v>0.11215</c:v>
                </c:pt>
                <c:pt idx="2429">
                  <c:v>9.1000000000000039E-3</c:v>
                </c:pt>
                <c:pt idx="2430">
                  <c:v>-6.5600000000000006E-2</c:v>
                </c:pt>
                <c:pt idx="2431">
                  <c:v>1.7539999999999997E-2</c:v>
                </c:pt>
                <c:pt idx="2432">
                  <c:v>1.7249999999999998E-2</c:v>
                </c:pt>
                <c:pt idx="2433">
                  <c:v>-2.7329999999999997E-2</c:v>
                </c:pt>
                <c:pt idx="2434">
                  <c:v>-3.0800000000000001E-2</c:v>
                </c:pt>
                <c:pt idx="2435">
                  <c:v>1.2279999999999999E-2</c:v>
                </c:pt>
                <c:pt idx="2436">
                  <c:v>-3.984E-2</c:v>
                </c:pt>
                <c:pt idx="2437">
                  <c:v>9.104000000000001E-2</c:v>
                </c:pt>
                <c:pt idx="2438">
                  <c:v>3.8120000000000001E-2</c:v>
                </c:pt>
                <c:pt idx="2439">
                  <c:v>-2.6610000000000002E-2</c:v>
                </c:pt>
                <c:pt idx="2440">
                  <c:v>1.4240000000000001E-2</c:v>
                </c:pt>
                <c:pt idx="2441">
                  <c:v>-3.4720000000000001E-2</c:v>
                </c:pt>
                <c:pt idx="2442">
                  <c:v>4.7559999999999998E-2</c:v>
                </c:pt>
                <c:pt idx="2443">
                  <c:v>-6.0000000000000001E-3</c:v>
                </c:pt>
                <c:pt idx="2444">
                  <c:v>4.0559999999999999E-2</c:v>
                </c:pt>
                <c:pt idx="2445">
                  <c:v>9.2180000000000012E-2</c:v>
                </c:pt>
                <c:pt idx="2446">
                  <c:v>5.9759999999999994E-2</c:v>
                </c:pt>
                <c:pt idx="2447">
                  <c:v>-3.5740000000000001E-2</c:v>
                </c:pt>
                <c:pt idx="2448">
                  <c:v>-5.5599999999999955E-3</c:v>
                </c:pt>
                <c:pt idx="2449">
                  <c:v>-7.980000000000001E-3</c:v>
                </c:pt>
                <c:pt idx="2450">
                  <c:v>3.227E-2</c:v>
                </c:pt>
                <c:pt idx="2451">
                  <c:v>1.7999999999999999E-2</c:v>
                </c:pt>
                <c:pt idx="2452">
                  <c:v>-6.9000000000000006E-2</c:v>
                </c:pt>
                <c:pt idx="2453">
                  <c:v>2.1680000000000001E-2</c:v>
                </c:pt>
                <c:pt idx="2454">
                  <c:v>1.6E-2</c:v>
                </c:pt>
                <c:pt idx="2455">
                  <c:v>-9.0900000000000009E-2</c:v>
                </c:pt>
                <c:pt idx="2456">
                  <c:v>6.4060000000000006E-2</c:v>
                </c:pt>
                <c:pt idx="2457">
                  <c:v>4.4359999999999997E-2</c:v>
                </c:pt>
                <c:pt idx="2458">
                  <c:v>5.8299999999999975E-3</c:v>
                </c:pt>
                <c:pt idx="2459">
                  <c:v>5.1599999999999993E-2</c:v>
                </c:pt>
                <c:pt idx="2460">
                  <c:v>3.1359999999999999E-2</c:v>
                </c:pt>
                <c:pt idx="2461">
                  <c:v>7.5069999999999998E-2</c:v>
                </c:pt>
                <c:pt idx="2462">
                  <c:v>7.46E-2</c:v>
                </c:pt>
                <c:pt idx="2463">
                  <c:v>-8.2479999999999998E-2</c:v>
                </c:pt>
                <c:pt idx="2464">
                  <c:v>8.7299999999999989E-2</c:v>
                </c:pt>
                <c:pt idx="2465">
                  <c:v>4.147E-2</c:v>
                </c:pt>
                <c:pt idx="2466">
                  <c:v>-5.3999999999999986E-3</c:v>
                </c:pt>
                <c:pt idx="2467">
                  <c:v>-5.4140000000000001E-2</c:v>
                </c:pt>
                <c:pt idx="2468">
                  <c:v>-4.7759999999999997E-2</c:v>
                </c:pt>
                <c:pt idx="2469">
                  <c:v>-4.3999999999999942E-4</c:v>
                </c:pt>
                <c:pt idx="2470">
                  <c:v>-2.5920000000000002E-2</c:v>
                </c:pt>
                <c:pt idx="2471">
                  <c:v>7.1609999999999993E-2</c:v>
                </c:pt>
                <c:pt idx="2472">
                  <c:v>-1.308E-2</c:v>
                </c:pt>
                <c:pt idx="2473">
                  <c:v>1.1280000000000002E-2</c:v>
                </c:pt>
                <c:pt idx="2474">
                  <c:v>2.6159999999999999E-2</c:v>
                </c:pt>
                <c:pt idx="2475">
                  <c:v>3.4599999999999999E-2</c:v>
                </c:pt>
                <c:pt idx="2476">
                  <c:v>2.4240000000000001E-2</c:v>
                </c:pt>
                <c:pt idx="2477">
                  <c:v>1.4350000000000002E-2</c:v>
                </c:pt>
                <c:pt idx="2478">
                  <c:v>5.9999999999999984E-3</c:v>
                </c:pt>
                <c:pt idx="2479">
                  <c:v>0.1048</c:v>
                </c:pt>
                <c:pt idx="2480">
                  <c:v>-4.6459999999999994E-2</c:v>
                </c:pt>
                <c:pt idx="2481">
                  <c:v>-1.0519999999999995E-2</c:v>
                </c:pt>
                <c:pt idx="2482">
                  <c:v>-3.8640000000000001E-2</c:v>
                </c:pt>
                <c:pt idx="2483">
                  <c:v>3.0689999999999995E-2</c:v>
                </c:pt>
                <c:pt idx="2484">
                  <c:v>5.3680000000000005E-2</c:v>
                </c:pt>
                <c:pt idx="2485">
                  <c:v>7.5040000000000009E-2</c:v>
                </c:pt>
                <c:pt idx="2486">
                  <c:v>3.7740000000000003E-2</c:v>
                </c:pt>
                <c:pt idx="2487">
                  <c:v>-1.4279999999999999E-2</c:v>
                </c:pt>
                <c:pt idx="2488">
                  <c:v>-2.784E-2</c:v>
                </c:pt>
                <c:pt idx="2489">
                  <c:v>3.7519999999999998E-2</c:v>
                </c:pt>
                <c:pt idx="2490">
                  <c:v>3.1240000000000004E-2</c:v>
                </c:pt>
                <c:pt idx="2491">
                  <c:v>3.5449999999999995E-2</c:v>
                </c:pt>
                <c:pt idx="2492">
                  <c:v>-6.1949999999999998E-2</c:v>
                </c:pt>
                <c:pt idx="2493">
                  <c:v>-9.5999999999999992E-4</c:v>
                </c:pt>
                <c:pt idx="2494">
                  <c:v>9.8399999999999987E-2</c:v>
                </c:pt>
                <c:pt idx="2495">
                  <c:v>4.5109999999999997E-2</c:v>
                </c:pt>
                <c:pt idx="2496">
                  <c:v>-0.11738</c:v>
                </c:pt>
                <c:pt idx="2497">
                  <c:v>0.20609</c:v>
                </c:pt>
                <c:pt idx="2498">
                  <c:v>-5.3279999999999994E-2</c:v>
                </c:pt>
                <c:pt idx="2499">
                  <c:v>-4.5499999999999992E-2</c:v>
                </c:pt>
                <c:pt idx="2500">
                  <c:v>3.5200000000000002E-2</c:v>
                </c:pt>
                <c:pt idx="2501">
                  <c:v>-7.2000000000000015E-4</c:v>
                </c:pt>
                <c:pt idx="2502">
                  <c:v>-6.1520000000000005E-2</c:v>
                </c:pt>
                <c:pt idx="2503">
                  <c:v>-1.176E-2</c:v>
                </c:pt>
                <c:pt idx="2504">
                  <c:v>0.04</c:v>
                </c:pt>
                <c:pt idx="2505">
                  <c:v>3.9600000000000008E-3</c:v>
                </c:pt>
                <c:pt idx="2506">
                  <c:v>4.6440000000000002E-2</c:v>
                </c:pt>
                <c:pt idx="2507">
                  <c:v>-6.4479999999999996E-2</c:v>
                </c:pt>
                <c:pt idx="2508">
                  <c:v>7.0190000000000002E-2</c:v>
                </c:pt>
                <c:pt idx="2509">
                  <c:v>-6.9720000000000004E-2</c:v>
                </c:pt>
                <c:pt idx="2510">
                  <c:v>8.4540000000000004E-2</c:v>
                </c:pt>
                <c:pt idx="2511">
                  <c:v>4.9369999999999997E-2</c:v>
                </c:pt>
                <c:pt idx="2512">
                  <c:v>1.8430000000000002E-2</c:v>
                </c:pt>
                <c:pt idx="2513">
                  <c:v>3.7539999999999997E-2</c:v>
                </c:pt>
                <c:pt idx="2514">
                  <c:v>-7.7179999999999999E-2</c:v>
                </c:pt>
                <c:pt idx="2515">
                  <c:v>-2.3600000000000003E-2</c:v>
                </c:pt>
                <c:pt idx="2516">
                  <c:v>2.0899999999999998E-2</c:v>
                </c:pt>
                <c:pt idx="2517">
                  <c:v>-1.539999999999999E-2</c:v>
                </c:pt>
                <c:pt idx="2518">
                  <c:v>-6.1699999999999998E-2</c:v>
                </c:pt>
                <c:pt idx="2519">
                  <c:v>9.7599999999999996E-3</c:v>
                </c:pt>
                <c:pt idx="2520">
                  <c:v>1.209E-2</c:v>
                </c:pt>
                <c:pt idx="2521">
                  <c:v>3.6360000000000003E-2</c:v>
                </c:pt>
                <c:pt idx="2522">
                  <c:v>-6.7200000000000037E-3</c:v>
                </c:pt>
                <c:pt idx="2523">
                  <c:v>-4.4610000000000011E-2</c:v>
                </c:pt>
                <c:pt idx="2524">
                  <c:v>8.5199999999999998E-2</c:v>
                </c:pt>
                <c:pt idx="2525">
                  <c:v>-5.1799999999999971E-3</c:v>
                </c:pt>
                <c:pt idx="2526">
                  <c:v>5.0999999999999997E-2</c:v>
                </c:pt>
                <c:pt idx="2527">
                  <c:v>-0.02</c:v>
                </c:pt>
                <c:pt idx="2528">
                  <c:v>-9.6999999999999968E-3</c:v>
                </c:pt>
                <c:pt idx="2529">
                  <c:v>2.1840000000000002E-2</c:v>
                </c:pt>
                <c:pt idx="2530">
                  <c:v>0.11878999999999999</c:v>
                </c:pt>
                <c:pt idx="2531">
                  <c:v>-2.5999999999999981E-4</c:v>
                </c:pt>
                <c:pt idx="2532">
                  <c:v>-3.6299999999999999E-2</c:v>
                </c:pt>
                <c:pt idx="2533">
                  <c:v>4.8119999999999996E-2</c:v>
                </c:pt>
                <c:pt idx="2534">
                  <c:v>-6.9780000000000009E-2</c:v>
                </c:pt>
                <c:pt idx="2535">
                  <c:v>1.4689999999999998E-2</c:v>
                </c:pt>
                <c:pt idx="2536">
                  <c:v>-4.6600000000000003E-2</c:v>
                </c:pt>
                <c:pt idx="2537">
                  <c:v>-4.9999999999999992E-3</c:v>
                </c:pt>
                <c:pt idx="2538">
                  <c:v>-3.7000000000000005E-2</c:v>
                </c:pt>
                <c:pt idx="2539">
                  <c:v>4.2840000000000003E-2</c:v>
                </c:pt>
                <c:pt idx="2540">
                  <c:v>8.992E-2</c:v>
                </c:pt>
                <c:pt idx="2541">
                  <c:v>-2.1949999999999997E-2</c:v>
                </c:pt>
                <c:pt idx="2542">
                  <c:v>1.4330000000000002E-2</c:v>
                </c:pt>
                <c:pt idx="2543">
                  <c:v>-4.2639999999999997E-2</c:v>
                </c:pt>
                <c:pt idx="2544">
                  <c:v>0.13070000000000001</c:v>
                </c:pt>
                <c:pt idx="2545">
                  <c:v>-6.7500000000000004E-2</c:v>
                </c:pt>
                <c:pt idx="2546">
                  <c:v>0.11699000000000001</c:v>
                </c:pt>
                <c:pt idx="2547">
                  <c:v>0.12819999999999998</c:v>
                </c:pt>
                <c:pt idx="2548">
                  <c:v>-4.9400000000000069E-3</c:v>
                </c:pt>
                <c:pt idx="2549">
                  <c:v>-5.492000000000001E-2</c:v>
                </c:pt>
                <c:pt idx="2550">
                  <c:v>-3.6899999999999997E-3</c:v>
                </c:pt>
                <c:pt idx="2551">
                  <c:v>3.7000000000000005E-2</c:v>
                </c:pt>
                <c:pt idx="2552">
                  <c:v>-3.9199999999999999E-3</c:v>
                </c:pt>
                <c:pt idx="2553">
                  <c:v>5.1199999999999996E-3</c:v>
                </c:pt>
                <c:pt idx="2554">
                  <c:v>5.3100000000000022E-3</c:v>
                </c:pt>
                <c:pt idx="2555">
                  <c:v>-2.7000000000000001E-3</c:v>
                </c:pt>
                <c:pt idx="2556">
                  <c:v>1.6110000000000003E-2</c:v>
                </c:pt>
                <c:pt idx="2557">
                  <c:v>-1.3940000000000001E-2</c:v>
                </c:pt>
                <c:pt idx="2558">
                  <c:v>4.1410000000000002E-2</c:v>
                </c:pt>
                <c:pt idx="2559">
                  <c:v>2.3460000000000002E-2</c:v>
                </c:pt>
                <c:pt idx="2560">
                  <c:v>5.4000000000000006E-2</c:v>
                </c:pt>
                <c:pt idx="2561">
                  <c:v>1.5650000000000001E-2</c:v>
                </c:pt>
                <c:pt idx="2562">
                  <c:v>3.6750000000000005E-2</c:v>
                </c:pt>
                <c:pt idx="2563">
                  <c:v>4.6710000000000002E-2</c:v>
                </c:pt>
                <c:pt idx="2564">
                  <c:v>4.0000000000000036E-3</c:v>
                </c:pt>
                <c:pt idx="2565">
                  <c:v>7.7800000000000008E-2</c:v>
                </c:pt>
                <c:pt idx="2566">
                  <c:v>1.7899999999999999E-2</c:v>
                </c:pt>
                <c:pt idx="2567">
                  <c:v>5.3159999999999999E-2</c:v>
                </c:pt>
                <c:pt idx="2568">
                  <c:v>-1.1900000000000001E-3</c:v>
                </c:pt>
                <c:pt idx="2569">
                  <c:v>9.5600000000000004E-2</c:v>
                </c:pt>
                <c:pt idx="2570">
                  <c:v>-3.0800000000000001E-2</c:v>
                </c:pt>
                <c:pt idx="2571">
                  <c:v>1.6219999999999998E-2</c:v>
                </c:pt>
                <c:pt idx="2572">
                  <c:v>-1.7200000000000002E-3</c:v>
                </c:pt>
                <c:pt idx="2573">
                  <c:v>-5.4550000000000001E-2</c:v>
                </c:pt>
                <c:pt idx="2574">
                  <c:v>2.7809999999999998E-2</c:v>
                </c:pt>
                <c:pt idx="2575">
                  <c:v>-4.8819999999999995E-2</c:v>
                </c:pt>
                <c:pt idx="2576">
                  <c:v>7.1470000000000006E-2</c:v>
                </c:pt>
                <c:pt idx="2577">
                  <c:v>-3.1419999999999997E-2</c:v>
                </c:pt>
                <c:pt idx="2578">
                  <c:v>-5.9719999999999995E-2</c:v>
                </c:pt>
                <c:pt idx="2579">
                  <c:v>0.11948</c:v>
                </c:pt>
                <c:pt idx="2580">
                  <c:v>4.3540000000000009E-2</c:v>
                </c:pt>
                <c:pt idx="2581">
                  <c:v>5.2520000000000004E-2</c:v>
                </c:pt>
                <c:pt idx="2582">
                  <c:v>4.5060000000000003E-2</c:v>
                </c:pt>
                <c:pt idx="2583">
                  <c:v>-5.1000000000000004E-4</c:v>
                </c:pt>
                <c:pt idx="2584">
                  <c:v>5.3400000000000003E-2</c:v>
                </c:pt>
                <c:pt idx="2585">
                  <c:v>-5.8970000000000002E-2</c:v>
                </c:pt>
                <c:pt idx="2586">
                  <c:v>6.3100000000000017E-2</c:v>
                </c:pt>
                <c:pt idx="2587">
                  <c:v>5.2199999999999955E-3</c:v>
                </c:pt>
                <c:pt idx="2588">
                  <c:v>5.5E-2</c:v>
                </c:pt>
                <c:pt idx="2589">
                  <c:v>2.0539999999999999E-2</c:v>
                </c:pt>
                <c:pt idx="2590">
                  <c:v>4.5240000000000002E-2</c:v>
                </c:pt>
                <c:pt idx="2591">
                  <c:v>8.6199999999999992E-3</c:v>
                </c:pt>
                <c:pt idx="2592">
                  <c:v>2.5599999999999998E-3</c:v>
                </c:pt>
                <c:pt idx="2593">
                  <c:v>1.9360000000000002E-2</c:v>
                </c:pt>
                <c:pt idx="2594">
                  <c:v>2.9549999999999996E-2</c:v>
                </c:pt>
                <c:pt idx="2595">
                  <c:v>5.5859999999999993E-2</c:v>
                </c:pt>
                <c:pt idx="2596">
                  <c:v>2.1499999999999998E-2</c:v>
                </c:pt>
                <c:pt idx="2597">
                  <c:v>6.4579999999999999E-2</c:v>
                </c:pt>
                <c:pt idx="2598">
                  <c:v>0.17172000000000001</c:v>
                </c:pt>
                <c:pt idx="2599">
                  <c:v>-8.4599999999999995E-2</c:v>
                </c:pt>
                <c:pt idx="2600">
                  <c:v>-3.7920000000000009E-2</c:v>
                </c:pt>
                <c:pt idx="2601">
                  <c:v>2.826E-2</c:v>
                </c:pt>
                <c:pt idx="2602">
                  <c:v>-1.84E-2</c:v>
                </c:pt>
                <c:pt idx="2603">
                  <c:v>1.968E-2</c:v>
                </c:pt>
                <c:pt idx="2604">
                  <c:v>-1.0839999999999999E-2</c:v>
                </c:pt>
                <c:pt idx="2605">
                  <c:v>3.7999999999999999E-2</c:v>
                </c:pt>
                <c:pt idx="2606">
                  <c:v>-4.5999999999999947E-4</c:v>
                </c:pt>
                <c:pt idx="2607">
                  <c:v>-1.0539999999999999E-2</c:v>
                </c:pt>
                <c:pt idx="2608">
                  <c:v>-2.087E-2</c:v>
                </c:pt>
                <c:pt idx="2609">
                  <c:v>4.5319999999999999E-2</c:v>
                </c:pt>
                <c:pt idx="2610">
                  <c:v>6.5259999999999999E-2</c:v>
                </c:pt>
                <c:pt idx="2611">
                  <c:v>3.7760000000000002E-2</c:v>
                </c:pt>
                <c:pt idx="2612">
                  <c:v>-1.0000000000003062E-5</c:v>
                </c:pt>
                <c:pt idx="2613">
                  <c:v>-1.9800000000000009E-3</c:v>
                </c:pt>
                <c:pt idx="2614">
                  <c:v>7.0200000000000011E-3</c:v>
                </c:pt>
                <c:pt idx="2615">
                  <c:v>0.10197999999999999</c:v>
                </c:pt>
                <c:pt idx="2616">
                  <c:v>-8.6050000000000001E-2</c:v>
                </c:pt>
                <c:pt idx="2617">
                  <c:v>5.0699999999999995E-2</c:v>
                </c:pt>
                <c:pt idx="2618">
                  <c:v>-7.0399999999999976E-3</c:v>
                </c:pt>
                <c:pt idx="2619">
                  <c:v>0.14430000000000001</c:v>
                </c:pt>
                <c:pt idx="2620">
                  <c:v>-7.3069999999999996E-2</c:v>
                </c:pt>
                <c:pt idx="2621">
                  <c:v>-5.892E-2</c:v>
                </c:pt>
                <c:pt idx="2622">
                  <c:v>4.3109999999999996E-2</c:v>
                </c:pt>
                <c:pt idx="2623">
                  <c:v>7.7400000000000004E-3</c:v>
                </c:pt>
                <c:pt idx="2624">
                  <c:v>3.9719999999999998E-2</c:v>
                </c:pt>
                <c:pt idx="2625">
                  <c:v>-1.4999999999999999E-2</c:v>
                </c:pt>
                <c:pt idx="2626">
                  <c:v>-2.1000000000000012E-3</c:v>
                </c:pt>
                <c:pt idx="2627">
                  <c:v>5.271E-2</c:v>
                </c:pt>
                <c:pt idx="2628">
                  <c:v>-6.1920000000000003E-2</c:v>
                </c:pt>
                <c:pt idx="2629">
                  <c:v>-3.5999999999999997E-2</c:v>
                </c:pt>
                <c:pt idx="2630">
                  <c:v>0.11407999999999999</c:v>
                </c:pt>
                <c:pt idx="2631">
                  <c:v>-1.4300000000000007E-2</c:v>
                </c:pt>
                <c:pt idx="2632">
                  <c:v>0.14527000000000001</c:v>
                </c:pt>
                <c:pt idx="2633">
                  <c:v>-9.6560000000000007E-2</c:v>
                </c:pt>
                <c:pt idx="2634">
                  <c:v>6.3250000000000001E-2</c:v>
                </c:pt>
                <c:pt idx="2635">
                  <c:v>2.2879999999999998E-2</c:v>
                </c:pt>
                <c:pt idx="2636">
                  <c:v>8.649999999999998E-3</c:v>
                </c:pt>
                <c:pt idx="2637">
                  <c:v>0.11568000000000001</c:v>
                </c:pt>
                <c:pt idx="2638">
                  <c:v>-6.5449999999999994E-2</c:v>
                </c:pt>
                <c:pt idx="2639">
                  <c:v>-2.0729999999999998E-2</c:v>
                </c:pt>
                <c:pt idx="2640">
                  <c:v>1.1560000000000001E-2</c:v>
                </c:pt>
                <c:pt idx="2641">
                  <c:v>-3.124E-2</c:v>
                </c:pt>
                <c:pt idx="2642">
                  <c:v>2.913E-2</c:v>
                </c:pt>
                <c:pt idx="2643">
                  <c:v>-2.0399999999999984E-3</c:v>
                </c:pt>
                <c:pt idx="2644">
                  <c:v>8.7999999999999995E-2</c:v>
                </c:pt>
                <c:pt idx="2645">
                  <c:v>-0.11284</c:v>
                </c:pt>
                <c:pt idx="2646">
                  <c:v>-9.3799999999999994E-3</c:v>
                </c:pt>
                <c:pt idx="2647">
                  <c:v>4.2319999999999997E-2</c:v>
                </c:pt>
                <c:pt idx="2648">
                  <c:v>7.5929999999999997E-2</c:v>
                </c:pt>
                <c:pt idx="2649">
                  <c:v>6.8690000000000001E-2</c:v>
                </c:pt>
                <c:pt idx="2650">
                  <c:v>4.0600000000000002E-3</c:v>
                </c:pt>
                <c:pt idx="2651">
                  <c:v>-3.4860000000000002E-2</c:v>
                </c:pt>
              </c:numCache>
            </c:numRef>
          </c:xVal>
          <c:yVal>
            <c:numRef>
              <c:f>sample_data!$M$3:$M$2654</c:f>
              <c:numCache>
                <c:formatCode>0.00%</c:formatCode>
                <c:ptCount val="2652"/>
                <c:pt idx="0">
                  <c:v>-1.21024962216616E-2</c:v>
                </c:pt>
                <c:pt idx="1">
                  <c:v>-8.2892970144748997E-3</c:v>
                </c:pt>
                <c:pt idx="2">
                  <c:v>-2.39686754643917E-2</c:v>
                </c:pt>
                <c:pt idx="3">
                  <c:v>-1.8089341655373601E-2</c:v>
                </c:pt>
                <c:pt idx="4">
                  <c:v>-1.40216203257441E-2</c:v>
                </c:pt>
                <c:pt idx="5">
                  <c:v>-2.20062307715416E-2</c:v>
                </c:pt>
                <c:pt idx="6">
                  <c:v>-1.17902283594012E-2</c:v>
                </c:pt>
                <c:pt idx="7">
                  <c:v>-7.1021761745209896E-4</c:v>
                </c:pt>
                <c:pt idx="8">
                  <c:v>1.07520882189274E-2</c:v>
                </c:pt>
                <c:pt idx="9">
                  <c:v>2.98050010353327E-2</c:v>
                </c:pt>
                <c:pt idx="10">
                  <c:v>-2.2962941974399999E-4</c:v>
                </c:pt>
                <c:pt idx="11">
                  <c:v>-3.4675172567368E-3</c:v>
                </c:pt>
                <c:pt idx="12">
                  <c:v>1.3235455602406999E-3</c:v>
                </c:pt>
                <c:pt idx="13">
                  <c:v>1.36183604300022E-2</c:v>
                </c:pt>
                <c:pt idx="14">
                  <c:v>1.7236547648906701E-2</c:v>
                </c:pt>
                <c:pt idx="15">
                  <c:v>3.0541112899780301E-2</c:v>
                </c:pt>
                <c:pt idx="16">
                  <c:v>-3.33695615828037E-2</c:v>
                </c:pt>
                <c:pt idx="17">
                  <c:v>-2.7314111292361999E-3</c:v>
                </c:pt>
                <c:pt idx="18">
                  <c:v>3.0079065859317899E-3</c:v>
                </c:pt>
                <c:pt idx="19">
                  <c:v>-3.0209466639906101E-2</c:v>
                </c:pt>
                <c:pt idx="20">
                  <c:v>-2.61161017268896E-2</c:v>
                </c:pt>
                <c:pt idx="21">
                  <c:v>1.3216182738543E-3</c:v>
                </c:pt>
                <c:pt idx="22">
                  <c:v>-2.2714949555694999E-2</c:v>
                </c:pt>
                <c:pt idx="23">
                  <c:v>-1.33856128007173E-2</c:v>
                </c:pt>
                <c:pt idx="24">
                  <c:v>3.3884648233650002E-4</c:v>
                </c:pt>
                <c:pt idx="25">
                  <c:v>-7.4254769682884202E-3</c:v>
                </c:pt>
                <c:pt idx="26">
                  <c:v>2.5099467650055898E-2</c:v>
                </c:pt>
                <c:pt idx="27">
                  <c:v>1.5716389089822799E-2</c:v>
                </c:pt>
                <c:pt idx="28">
                  <c:v>-1.0838389679789499E-2</c:v>
                </c:pt>
                <c:pt idx="29">
                  <c:v>-2.6423109471798E-3</c:v>
                </c:pt>
                <c:pt idx="30">
                  <c:v>1.43421470820904E-2</c:v>
                </c:pt>
                <c:pt idx="31">
                  <c:v>2.5089977413415902E-2</c:v>
                </c:pt>
                <c:pt idx="32">
                  <c:v>-7.5229704379967096E-6</c:v>
                </c:pt>
                <c:pt idx="33">
                  <c:v>-1.3292731642723E-2</c:v>
                </c:pt>
                <c:pt idx="34">
                  <c:v>4.6338379681109898E-3</c:v>
                </c:pt>
                <c:pt idx="35">
                  <c:v>8.2498296201228994E-3</c:v>
                </c:pt>
                <c:pt idx="36">
                  <c:v>-2.2125565737485899E-2</c:v>
                </c:pt>
                <c:pt idx="37">
                  <c:v>-2.2861429214477501E-2</c:v>
                </c:pt>
                <c:pt idx="38">
                  <c:v>-9.0881783366203294E-3</c:v>
                </c:pt>
                <c:pt idx="39">
                  <c:v>-1.6327122569084199E-2</c:v>
                </c:pt>
                <c:pt idx="40">
                  <c:v>-8.2798854485153991E-3</c:v>
                </c:pt>
                <c:pt idx="41">
                  <c:v>-1.08057422190904E-2</c:v>
                </c:pt>
                <c:pt idx="42">
                  <c:v>2.6855532228946899E-3</c:v>
                </c:pt>
                <c:pt idx="43">
                  <c:v>1.5917081549763699E-2</c:v>
                </c:pt>
                <c:pt idx="44">
                  <c:v>1.51172394752502E-2</c:v>
                </c:pt>
                <c:pt idx="45">
                  <c:v>3.8748604208230899E-3</c:v>
                </c:pt>
                <c:pt idx="46">
                  <c:v>1.0721314907074E-2</c:v>
                </c:pt>
                <c:pt idx="47">
                  <c:v>3.9762879878282503E-2</c:v>
                </c:pt>
                <c:pt idx="48">
                  <c:v>5.2995437860488902E-2</c:v>
                </c:pt>
                <c:pt idx="49">
                  <c:v>9.0941524386406E-2</c:v>
                </c:pt>
                <c:pt idx="50">
                  <c:v>-3.58714342117309E-3</c:v>
                </c:pt>
                <c:pt idx="51">
                  <c:v>5.0330251753329999E-3</c:v>
                </c:pt>
                <c:pt idx="52">
                  <c:v>1.0557803422212599E-2</c:v>
                </c:pt>
                <c:pt idx="53">
                  <c:v>-2.9667738184332802E-2</c:v>
                </c:pt>
                <c:pt idx="54">
                  <c:v>-2.5315553605556498E-2</c:v>
                </c:pt>
                <c:pt idx="55">
                  <c:v>-1.33489418625831E-2</c:v>
                </c:pt>
                <c:pt idx="56">
                  <c:v>-1.9958800047635901E-2</c:v>
                </c:pt>
                <c:pt idx="57">
                  <c:v>-4.3111893385649001E-3</c:v>
                </c:pt>
                <c:pt idx="58">
                  <c:v>-5.1377840340139996E-4</c:v>
                </c:pt>
                <c:pt idx="59">
                  <c:v>6.0507544875140003E-4</c:v>
                </c:pt>
                <c:pt idx="60">
                  <c:v>2.9040113333612702E-3</c:v>
                </c:pt>
                <c:pt idx="61">
                  <c:v>-9.4945050030949903E-4</c:v>
                </c:pt>
                <c:pt idx="62">
                  <c:v>-2.20619800304994E-2</c:v>
                </c:pt>
                <c:pt idx="63">
                  <c:v>-2.74173706769902E-4</c:v>
                </c:pt>
                <c:pt idx="64">
                  <c:v>1.5680088818073298E-2</c:v>
                </c:pt>
                <c:pt idx="65">
                  <c:v>6.7970120459794996E-3</c:v>
                </c:pt>
                <c:pt idx="66">
                  <c:v>4.7917118549346799E-2</c:v>
                </c:pt>
                <c:pt idx="67">
                  <c:v>-1.42957586050034E-2</c:v>
                </c:pt>
                <c:pt idx="68">
                  <c:v>2.9211522668600099E-2</c:v>
                </c:pt>
                <c:pt idx="69">
                  <c:v>1.9733148723840601E-2</c:v>
                </c:pt>
                <c:pt idx="70">
                  <c:v>-2.9409990936517701E-2</c:v>
                </c:pt>
                <c:pt idx="71">
                  <c:v>-6.0613200724124801E-2</c:v>
                </c:pt>
                <c:pt idx="72">
                  <c:v>-8.5077822990715507E-3</c:v>
                </c:pt>
                <c:pt idx="73">
                  <c:v>-2.09712296426296E-2</c:v>
                </c:pt>
                <c:pt idx="74">
                  <c:v>1.63141423463819E-3</c:v>
                </c:pt>
                <c:pt idx="75">
                  <c:v>4.9622232466936004E-3</c:v>
                </c:pt>
                <c:pt idx="76">
                  <c:v>-3.7871163189411002E-3</c:v>
                </c:pt>
                <c:pt idx="77">
                  <c:v>2.2563179265707701E-3</c:v>
                </c:pt>
                <c:pt idx="78">
                  <c:v>-7.4876855790615093E-2</c:v>
                </c:pt>
                <c:pt idx="79">
                  <c:v>-1.39190366528928E-2</c:v>
                </c:pt>
                <c:pt idx="80">
                  <c:v>-5.9810166954993998E-3</c:v>
                </c:pt>
                <c:pt idx="81">
                  <c:v>6.6078222990035998E-3</c:v>
                </c:pt>
                <c:pt idx="82">
                  <c:v>2.3422485321760101E-2</c:v>
                </c:pt>
                <c:pt idx="83">
                  <c:v>5.2377259612083303E-2</c:v>
                </c:pt>
                <c:pt idx="84">
                  <c:v>3.8920027017592899E-3</c:v>
                </c:pt>
                <c:pt idx="85">
                  <c:v>-1.42377283126116E-2</c:v>
                </c:pt>
                <c:pt idx="86">
                  <c:v>-5.5077605843544004E-3</c:v>
                </c:pt>
                <c:pt idx="87">
                  <c:v>-2.5840917892754001E-2</c:v>
                </c:pt>
                <c:pt idx="88">
                  <c:v>-2.0063430726528199E-2</c:v>
                </c:pt>
                <c:pt idx="89">
                  <c:v>-9.7372598797082904E-3</c:v>
                </c:pt>
                <c:pt idx="90">
                  <c:v>-1.25373456329107E-2</c:v>
                </c:pt>
                <c:pt idx="91">
                  <c:v>2.63425723612308E-2</c:v>
                </c:pt>
                <c:pt idx="92">
                  <c:v>1.1443546637892699E-2</c:v>
                </c:pt>
                <c:pt idx="93">
                  <c:v>1.4766025185585001E-2</c:v>
                </c:pt>
                <c:pt idx="94">
                  <c:v>2.44468824714421E-2</c:v>
                </c:pt>
                <c:pt idx="95">
                  <c:v>2.7877990424633001E-2</c:v>
                </c:pt>
                <c:pt idx="96">
                  <c:v>3.3851397871971098E-2</c:v>
                </c:pt>
                <c:pt idx="97">
                  <c:v>1.2697709947823901E-3</c:v>
                </c:pt>
                <c:pt idx="98">
                  <c:v>2.85245023369789E-2</c:v>
                </c:pt>
                <c:pt idx="99">
                  <c:v>-2.8608263283970003E-4</c:v>
                </c:pt>
                <c:pt idx="100">
                  <c:v>4.3589612722396899E-2</c:v>
                </c:pt>
                <c:pt idx="101">
                  <c:v>-3.6197742372751203E-2</c:v>
                </c:pt>
                <c:pt idx="102">
                  <c:v>3.1534140586852999E-2</c:v>
                </c:pt>
                <c:pt idx="103">
                  <c:v>-3.0761388093233002E-3</c:v>
                </c:pt>
                <c:pt idx="104">
                  <c:v>-5.31044335216284E-2</c:v>
                </c:pt>
                <c:pt idx="105">
                  <c:v>-2.9523261547088599E-2</c:v>
                </c:pt>
                <c:pt idx="106">
                  <c:v>-8.0958755537867497E-3</c:v>
                </c:pt>
                <c:pt idx="107">
                  <c:v>-1.46275371015072E-2</c:v>
                </c:pt>
                <c:pt idx="108">
                  <c:v>-1.46215734034777E-2</c:v>
                </c:pt>
                <c:pt idx="109">
                  <c:v>-5.5519464716315303E-2</c:v>
                </c:pt>
                <c:pt idx="110">
                  <c:v>-2.97496437132358E-2</c:v>
                </c:pt>
                <c:pt idx="111">
                  <c:v>-2.0765441175550198E-2</c:v>
                </c:pt>
                <c:pt idx="112">
                  <c:v>-1.7565867274999598E-2</c:v>
                </c:pt>
                <c:pt idx="113">
                  <c:v>5.7536398023366898E-3</c:v>
                </c:pt>
                <c:pt idx="114">
                  <c:v>1.9906752407550798E-2</c:v>
                </c:pt>
                <c:pt idx="115">
                  <c:v>1.8444287419319201E-2</c:v>
                </c:pt>
                <c:pt idx="116">
                  <c:v>5.8711996465921401E-2</c:v>
                </c:pt>
                <c:pt idx="117">
                  <c:v>2.6301253855228399E-2</c:v>
                </c:pt>
                <c:pt idx="118">
                  <c:v>9.1978494971990902E-3</c:v>
                </c:pt>
                <c:pt idx="119">
                  <c:v>2.73398349285126E-2</c:v>
                </c:pt>
                <c:pt idx="120">
                  <c:v>2.4036157101392699E-2</c:v>
                </c:pt>
                <c:pt idx="121">
                  <c:v>2.4170158535242101E-2</c:v>
                </c:pt>
                <c:pt idx="122">
                  <c:v>0.117288938045501</c:v>
                </c:pt>
                <c:pt idx="123">
                  <c:v>-6.2909524813294398E-2</c:v>
                </c:pt>
                <c:pt idx="124">
                  <c:v>-2.5011248588562001E-3</c:v>
                </c:pt>
                <c:pt idx="125">
                  <c:v>7.5092455744739698E-4</c:v>
                </c:pt>
                <c:pt idx="126">
                  <c:v>-3.07803645841777E-2</c:v>
                </c:pt>
                <c:pt idx="127">
                  <c:v>-2.0856835603714E-2</c:v>
                </c:pt>
                <c:pt idx="128">
                  <c:v>-1.30446738004679E-3</c:v>
                </c:pt>
                <c:pt idx="129">
                  <c:v>-2.09586446806788E-2</c:v>
                </c:pt>
                <c:pt idx="130">
                  <c:v>-1.97913703080266E-2</c:v>
                </c:pt>
                <c:pt idx="131">
                  <c:v>1.0866623967885999E-2</c:v>
                </c:pt>
                <c:pt idx="132">
                  <c:v>-9.15555766224861E-3</c:v>
                </c:pt>
                <c:pt idx="133">
                  <c:v>1.12936200350522E-2</c:v>
                </c:pt>
                <c:pt idx="134">
                  <c:v>-9.2597901467233804E-3</c:v>
                </c:pt>
                <c:pt idx="135">
                  <c:v>-9.7072897851469995E-4</c:v>
                </c:pt>
                <c:pt idx="136">
                  <c:v>1.6992408990859999E-2</c:v>
                </c:pt>
                <c:pt idx="137">
                  <c:v>4.9453593492508E-3</c:v>
                </c:pt>
                <c:pt idx="138">
                  <c:v>6.4389715075492904E-2</c:v>
                </c:pt>
                <c:pt idx="139">
                  <c:v>8.9238008737564004E-2</c:v>
                </c:pt>
                <c:pt idx="140">
                  <c:v>6.5731909871100903E-3</c:v>
                </c:pt>
                <c:pt idx="141">
                  <c:v>3.01553435921669E-2</c:v>
                </c:pt>
                <c:pt idx="142">
                  <c:v>-3.2549657821655002E-3</c:v>
                </c:pt>
                <c:pt idx="143">
                  <c:v>-5.1670146465301499E-2</c:v>
                </c:pt>
                <c:pt idx="144">
                  <c:v>-3.1739697515964498E-2</c:v>
                </c:pt>
                <c:pt idx="145">
                  <c:v>-4.8441385701299003E-3</c:v>
                </c:pt>
                <c:pt idx="146">
                  <c:v>-1.9848239950835699E-2</c:v>
                </c:pt>
                <c:pt idx="147">
                  <c:v>-4.6922828108071999E-3</c:v>
                </c:pt>
                <c:pt idx="148">
                  <c:v>4.7423845529556002E-3</c:v>
                </c:pt>
                <c:pt idx="149">
                  <c:v>4.8209156990050902E-3</c:v>
                </c:pt>
                <c:pt idx="150">
                  <c:v>1.60608423650264E-2</c:v>
                </c:pt>
                <c:pt idx="151">
                  <c:v>2.2325639501213999E-3</c:v>
                </c:pt>
                <c:pt idx="152">
                  <c:v>1.22654751837253E-2</c:v>
                </c:pt>
                <c:pt idx="153">
                  <c:v>7.1342179775237997E-3</c:v>
                </c:pt>
                <c:pt idx="154">
                  <c:v>3.4055824548006097E-2</c:v>
                </c:pt>
                <c:pt idx="155">
                  <c:v>4.0529726177453998E-2</c:v>
                </c:pt>
                <c:pt idx="156">
                  <c:v>4.1523291051387801E-2</c:v>
                </c:pt>
                <c:pt idx="157">
                  <c:v>-4.4997351169586197E-2</c:v>
                </c:pt>
                <c:pt idx="158">
                  <c:v>5.0768234133719897E-3</c:v>
                </c:pt>
                <c:pt idx="159">
                  <c:v>1.6743726193904799E-2</c:v>
                </c:pt>
                <c:pt idx="160">
                  <c:v>-3.3056942570954498E-2</c:v>
                </c:pt>
                <c:pt idx="161">
                  <c:v>-3.9419398367404899E-2</c:v>
                </c:pt>
                <c:pt idx="162">
                  <c:v>-3.8640146926045E-3</c:v>
                </c:pt>
                <c:pt idx="163">
                  <c:v>-9.6910636574029999E-3</c:v>
                </c:pt>
                <c:pt idx="164">
                  <c:v>7.8966726511717003E-3</c:v>
                </c:pt>
                <c:pt idx="165">
                  <c:v>1.9104745835065801E-2</c:v>
                </c:pt>
                <c:pt idx="166">
                  <c:v>9.2495761960744993E-3</c:v>
                </c:pt>
                <c:pt idx="167">
                  <c:v>4.5403832733631098E-2</c:v>
                </c:pt>
                <c:pt idx="168">
                  <c:v>3.22852310538289E-3</c:v>
                </c:pt>
                <c:pt idx="169">
                  <c:v>-9.6946026235818997E-3</c:v>
                </c:pt>
                <c:pt idx="170">
                  <c:v>1.7121520102024099E-2</c:v>
                </c:pt>
                <c:pt idx="171">
                  <c:v>2.9068804502487201E-2</c:v>
                </c:pt>
                <c:pt idx="172">
                  <c:v>-2.0802583441138198E-2</c:v>
                </c:pt>
                <c:pt idx="173">
                  <c:v>0.114389887332916</c:v>
                </c:pt>
                <c:pt idx="174">
                  <c:v>-5.34023809432983E-2</c:v>
                </c:pt>
                <c:pt idx="175">
                  <c:v>2.4987073272466701E-2</c:v>
                </c:pt>
                <c:pt idx="176">
                  <c:v>1.48841804862021E-2</c:v>
                </c:pt>
                <c:pt idx="177">
                  <c:v>-3.0229137569665901E-2</c:v>
                </c:pt>
                <c:pt idx="178">
                  <c:v>-5.6625921934843101E-2</c:v>
                </c:pt>
                <c:pt idx="179">
                  <c:v>-8.0432465150952308E-3</c:v>
                </c:pt>
                <c:pt idx="180">
                  <c:v>-1.58000796735287E-2</c:v>
                </c:pt>
                <c:pt idx="181">
                  <c:v>1.1594590693711901E-3</c:v>
                </c:pt>
                <c:pt idx="182">
                  <c:v>3.967514634132E-4</c:v>
                </c:pt>
                <c:pt idx="183">
                  <c:v>-4.9704007655382004E-3</c:v>
                </c:pt>
                <c:pt idx="184">
                  <c:v>1.4852171927690399E-2</c:v>
                </c:pt>
                <c:pt idx="185">
                  <c:v>1.0908654227852799E-2</c:v>
                </c:pt>
                <c:pt idx="186">
                  <c:v>1.26351506412028E-2</c:v>
                </c:pt>
                <c:pt idx="187">
                  <c:v>1.7443880647420799E-2</c:v>
                </c:pt>
                <c:pt idx="188">
                  <c:v>2.44382276833057E-2</c:v>
                </c:pt>
                <c:pt idx="189">
                  <c:v>3.7741651862859701E-2</c:v>
                </c:pt>
                <c:pt idx="190">
                  <c:v>8.0358511090278903E-2</c:v>
                </c:pt>
                <c:pt idx="191">
                  <c:v>-2.5902906358241998E-2</c:v>
                </c:pt>
                <c:pt idx="192">
                  <c:v>-1.8626399040221999E-3</c:v>
                </c:pt>
                <c:pt idx="193">
                  <c:v>-9.8474593460559992E-4</c:v>
                </c:pt>
                <c:pt idx="194">
                  <c:v>-2.8236776880919901E-2</c:v>
                </c:pt>
                <c:pt idx="195">
                  <c:v>-1.54871093481779E-3</c:v>
                </c:pt>
                <c:pt idx="196">
                  <c:v>1.53175395131111E-2</c:v>
                </c:pt>
                <c:pt idx="197">
                  <c:v>-1.4945559546351401E-2</c:v>
                </c:pt>
                <c:pt idx="198">
                  <c:v>-8.0214480906724995E-3</c:v>
                </c:pt>
                <c:pt idx="199">
                  <c:v>7.3321188241243004E-3</c:v>
                </c:pt>
                <c:pt idx="200">
                  <c:v>-1.55714078247549E-3</c:v>
                </c:pt>
                <c:pt idx="201">
                  <c:v>1.9861843600869199E-2</c:v>
                </c:pt>
                <c:pt idx="202">
                  <c:v>-4.2345688790082804E-3</c:v>
                </c:pt>
                <c:pt idx="203">
                  <c:v>-4.7420862168073997E-3</c:v>
                </c:pt>
                <c:pt idx="204">
                  <c:v>4.7560503929852897E-3</c:v>
                </c:pt>
                <c:pt idx="205">
                  <c:v>1.56357541382313E-2</c:v>
                </c:pt>
                <c:pt idx="206">
                  <c:v>2.31201184093951E-2</c:v>
                </c:pt>
                <c:pt idx="207">
                  <c:v>5.9280580163002E-2</c:v>
                </c:pt>
                <c:pt idx="208">
                  <c:v>-5.1370672807097402E-2</c:v>
                </c:pt>
                <c:pt idx="209">
                  <c:v>3.2860619604587499E-2</c:v>
                </c:pt>
                <c:pt idx="210">
                  <c:v>-5.9567865878343996E-3</c:v>
                </c:pt>
                <c:pt idx="211">
                  <c:v>-5.5172815278172499E-2</c:v>
                </c:pt>
                <c:pt idx="212">
                  <c:v>-2.31485801786184E-2</c:v>
                </c:pt>
                <c:pt idx="213">
                  <c:v>-7.7394137009978298E-3</c:v>
                </c:pt>
                <c:pt idx="214">
                  <c:v>-2.6730084668844901E-2</c:v>
                </c:pt>
                <c:pt idx="215">
                  <c:v>-9.4734237566589993E-3</c:v>
                </c:pt>
                <c:pt idx="216">
                  <c:v>5.7002721726894003E-3</c:v>
                </c:pt>
                <c:pt idx="217">
                  <c:v>3.39200982451439E-3</c:v>
                </c:pt>
                <c:pt idx="218">
                  <c:v>2.2886298760771799E-2</c:v>
                </c:pt>
                <c:pt idx="219">
                  <c:v>3.8271930336952198E-2</c:v>
                </c:pt>
                <c:pt idx="220">
                  <c:v>-3.2820063926279501E-2</c:v>
                </c:pt>
                <c:pt idx="221">
                  <c:v>-2.7948622848838499E-2</c:v>
                </c:pt>
                <c:pt idx="222">
                  <c:v>-2.0245307667180801E-2</c:v>
                </c:pt>
                <c:pt idx="223">
                  <c:v>1.9653337180614499E-2</c:v>
                </c:pt>
                <c:pt idx="224">
                  <c:v>2.9781935989856699E-2</c:v>
                </c:pt>
                <c:pt idx="225">
                  <c:v>-5.6036379113793403E-2</c:v>
                </c:pt>
                <c:pt idx="226">
                  <c:v>8.8359207212925003E-3</c:v>
                </c:pt>
                <c:pt idx="227">
                  <c:v>1.5682454317808198E-2</c:v>
                </c:pt>
                <c:pt idx="228">
                  <c:v>-1.9939850375056301E-2</c:v>
                </c:pt>
                <c:pt idx="229">
                  <c:v>-1.9244868963956802E-2</c:v>
                </c:pt>
                <c:pt idx="230">
                  <c:v>-2.1866364575922399E-2</c:v>
                </c:pt>
                <c:pt idx="231">
                  <c:v>-2.3473146714270102E-2</c:v>
                </c:pt>
                <c:pt idx="232">
                  <c:v>-1.9247554991394199E-2</c:v>
                </c:pt>
                <c:pt idx="233">
                  <c:v>-2.1721183881163899E-3</c:v>
                </c:pt>
                <c:pt idx="234">
                  <c:v>-1.9566343948245E-3</c:v>
                </c:pt>
                <c:pt idx="235">
                  <c:v>2.3589022621512301E-2</c:v>
                </c:pt>
                <c:pt idx="236">
                  <c:v>1.54587778151035E-2</c:v>
                </c:pt>
                <c:pt idx="237">
                  <c:v>3.3272036999464003E-2</c:v>
                </c:pt>
                <c:pt idx="238">
                  <c:v>-3.8698090016841902E-3</c:v>
                </c:pt>
                <c:pt idx="239">
                  <c:v>1.18906378448009E-2</c:v>
                </c:pt>
                <c:pt idx="240">
                  <c:v>-1.08371756626293E-2</c:v>
                </c:pt>
                <c:pt idx="241">
                  <c:v>4.6491048038005897E-3</c:v>
                </c:pt>
                <c:pt idx="242">
                  <c:v>-4.56432829797268E-2</c:v>
                </c:pt>
                <c:pt idx="243">
                  <c:v>3.7504512071610103E-4</c:v>
                </c:pt>
                <c:pt idx="244">
                  <c:v>3.4193350970744998E-3</c:v>
                </c:pt>
                <c:pt idx="245">
                  <c:v>-3.0697911337018002E-2</c:v>
                </c:pt>
                <c:pt idx="246">
                  <c:v>-2.60510656088591E-2</c:v>
                </c:pt>
                <c:pt idx="247">
                  <c:v>9.7847372293499699E-5</c:v>
                </c:pt>
                <c:pt idx="248">
                  <c:v>-2.4505189497023801E-2</c:v>
                </c:pt>
                <c:pt idx="249">
                  <c:v>-1.54846145808696E-2</c:v>
                </c:pt>
                <c:pt idx="250">
                  <c:v>-4.3961222842335904E-3</c:v>
                </c:pt>
                <c:pt idx="251">
                  <c:v>-5.4639663398265998E-3</c:v>
                </c:pt>
                <c:pt idx="252">
                  <c:v>1.9537909120321301E-2</c:v>
                </c:pt>
                <c:pt idx="253">
                  <c:v>3.2644479423760901E-3</c:v>
                </c:pt>
                <c:pt idx="254">
                  <c:v>-6.4766186326742003E-3</c:v>
                </c:pt>
                <c:pt idx="255">
                  <c:v>-1.14500995501876E-2</c:v>
                </c:pt>
                <c:pt idx="256">
                  <c:v>3.0684332996607001E-3</c:v>
                </c:pt>
                <c:pt idx="257">
                  <c:v>5.8741756826638999E-3</c:v>
                </c:pt>
                <c:pt idx="258">
                  <c:v>2.9463214457035099E-2</c:v>
                </c:pt>
                <c:pt idx="259">
                  <c:v>-4.6018873304129E-3</c:v>
                </c:pt>
                <c:pt idx="260">
                  <c:v>-5.1956232927739598E-2</c:v>
                </c:pt>
                <c:pt idx="261">
                  <c:v>-2.79386832416058E-2</c:v>
                </c:pt>
                <c:pt idx="262">
                  <c:v>-1.0214449077844599E-2</c:v>
                </c:pt>
                <c:pt idx="263">
                  <c:v>-2.6721088558435399E-2</c:v>
                </c:pt>
                <c:pt idx="264">
                  <c:v>-9.0068926140666004E-3</c:v>
                </c:pt>
                <c:pt idx="265">
                  <c:v>1.0949155911803199E-2</c:v>
                </c:pt>
                <c:pt idx="266">
                  <c:v>-8.8570669144392E-3</c:v>
                </c:pt>
                <c:pt idx="267">
                  <c:v>2.2977395147085199E-2</c:v>
                </c:pt>
                <c:pt idx="268">
                  <c:v>6.9969094246626002E-3</c:v>
                </c:pt>
                <c:pt idx="269">
                  <c:v>-1.1895711570978E-3</c:v>
                </c:pt>
                <c:pt idx="270">
                  <c:v>3.3183776050805899E-2</c:v>
                </c:pt>
                <c:pt idx="271">
                  <c:v>2.2254656225442902E-2</c:v>
                </c:pt>
                <c:pt idx="272">
                  <c:v>1.8849190428853E-2</c:v>
                </c:pt>
                <c:pt idx="273">
                  <c:v>4.5810764908790602E-2</c:v>
                </c:pt>
                <c:pt idx="274">
                  <c:v>-4.53510861098766E-2</c:v>
                </c:pt>
                <c:pt idx="275">
                  <c:v>-1.19688477069139E-2</c:v>
                </c:pt>
                <c:pt idx="276">
                  <c:v>-8.4916845858097004E-3</c:v>
                </c:pt>
                <c:pt idx="277">
                  <c:v>-2.35974745005368E-2</c:v>
                </c:pt>
                <c:pt idx="278">
                  <c:v>-1.69112782031298E-2</c:v>
                </c:pt>
                <c:pt idx="279">
                  <c:v>-1.5218927056062899E-2</c:v>
                </c:pt>
                <c:pt idx="280">
                  <c:v>-2.3841400973498801E-2</c:v>
                </c:pt>
                <c:pt idx="281">
                  <c:v>-4.1439759582281004E-3</c:v>
                </c:pt>
                <c:pt idx="282">
                  <c:v>-6.1984084174036896E-3</c:v>
                </c:pt>
                <c:pt idx="283">
                  <c:v>-6.7027268782258002E-3</c:v>
                </c:pt>
                <c:pt idx="284">
                  <c:v>3.8115924000740099E-3</c:v>
                </c:pt>
                <c:pt idx="285">
                  <c:v>4.7853573113679996E-3</c:v>
                </c:pt>
                <c:pt idx="286">
                  <c:v>-3.4258996419608598E-2</c:v>
                </c:pt>
                <c:pt idx="287">
                  <c:v>4.0276872217655003E-3</c:v>
                </c:pt>
                <c:pt idx="288">
                  <c:v>1.20635416060686E-2</c:v>
                </c:pt>
                <c:pt idx="289">
                  <c:v>1.94342901110648E-2</c:v>
                </c:pt>
                <c:pt idx="290">
                  <c:v>8.2428371787071006E-2</c:v>
                </c:pt>
                <c:pt idx="291">
                  <c:v>-1.87816414237022E-2</c:v>
                </c:pt>
                <c:pt idx="292">
                  <c:v>-1.1777038097381599E-2</c:v>
                </c:pt>
                <c:pt idx="293">
                  <c:v>-6.2738870233296998E-3</c:v>
                </c:pt>
                <c:pt idx="294">
                  <c:v>-2.3818223096430301E-2</c:v>
                </c:pt>
                <c:pt idx="295">
                  <c:v>-1.6261537283658999E-2</c:v>
                </c:pt>
                <c:pt idx="296">
                  <c:v>-1.39796754196286E-2</c:v>
                </c:pt>
                <c:pt idx="297">
                  <c:v>-2.34561240002512E-2</c:v>
                </c:pt>
                <c:pt idx="298">
                  <c:v>-3.8518070280552002E-3</c:v>
                </c:pt>
                <c:pt idx="299">
                  <c:v>-5.2392774820327701E-3</c:v>
                </c:pt>
                <c:pt idx="300">
                  <c:v>-1.6737257243599701E-2</c:v>
                </c:pt>
                <c:pt idx="301">
                  <c:v>2.01267601698637E-2</c:v>
                </c:pt>
                <c:pt idx="302">
                  <c:v>2.10782441198826E-2</c:v>
                </c:pt>
                <c:pt idx="303">
                  <c:v>-5.2104055881501501E-5</c:v>
                </c:pt>
                <c:pt idx="304">
                  <c:v>-8.5543485134839999E-3</c:v>
                </c:pt>
                <c:pt idx="305">
                  <c:v>1.55442461073399E-2</c:v>
                </c:pt>
                <c:pt idx="306">
                  <c:v>1.48529616296291E-2</c:v>
                </c:pt>
                <c:pt idx="307">
                  <c:v>-7.0417576730250897E-3</c:v>
                </c:pt>
                <c:pt idx="308">
                  <c:v>-1.8428930938243899E-2</c:v>
                </c:pt>
                <c:pt idx="309">
                  <c:v>2.72684149742125E-2</c:v>
                </c:pt>
                <c:pt idx="310">
                  <c:v>1.7820595860481198E-2</c:v>
                </c:pt>
                <c:pt idx="311">
                  <c:v>-2.9953238844871499E-2</c:v>
                </c:pt>
                <c:pt idx="312">
                  <c:v>-5.8760762870311602E-2</c:v>
                </c:pt>
                <c:pt idx="313">
                  <c:v>-9.2619440369307998E-3</c:v>
                </c:pt>
                <c:pt idx="314">
                  <c:v>-1.9489016726613E-2</c:v>
                </c:pt>
                <c:pt idx="315">
                  <c:v>1.54335954785349E-3</c:v>
                </c:pt>
                <c:pt idx="316">
                  <c:v>1.09682890027761E-2</c:v>
                </c:pt>
                <c:pt idx="317">
                  <c:v>5.9039767980576001E-3</c:v>
                </c:pt>
                <c:pt idx="318">
                  <c:v>1.9283536985516499E-2</c:v>
                </c:pt>
                <c:pt idx="319">
                  <c:v>3.0135780841112101E-2</c:v>
                </c:pt>
                <c:pt idx="320">
                  <c:v>1.9970496833324299E-2</c:v>
                </c:pt>
                <c:pt idx="321">
                  <c:v>1.9071798980236102E-2</c:v>
                </c:pt>
                <c:pt idx="322">
                  <c:v>2.1389032870531101E-2</c:v>
                </c:pt>
                <c:pt idx="323">
                  <c:v>4.5967863976955403E-2</c:v>
                </c:pt>
                <c:pt idx="324">
                  <c:v>5.6655353188515001E-2</c:v>
                </c:pt>
                <c:pt idx="325">
                  <c:v>-5.6720994338393199E-2</c:v>
                </c:pt>
                <c:pt idx="326">
                  <c:v>-1.90361099019647E-2</c:v>
                </c:pt>
                <c:pt idx="327">
                  <c:v>2.81068599224089E-3</c:v>
                </c:pt>
                <c:pt idx="328">
                  <c:v>-2.09187747091054E-2</c:v>
                </c:pt>
                <c:pt idx="329">
                  <c:v>-3.6727373212575798E-2</c:v>
                </c:pt>
                <c:pt idx="330">
                  <c:v>4.8350364118813901E-3</c:v>
                </c:pt>
                <c:pt idx="331">
                  <c:v>-1.53443313837051E-2</c:v>
                </c:pt>
                <c:pt idx="332">
                  <c:v>-4.2552131265402001E-3</c:v>
                </c:pt>
                <c:pt idx="333">
                  <c:v>8.0604913085699E-3</c:v>
                </c:pt>
                <c:pt idx="334">
                  <c:v>6.9659732431173E-3</c:v>
                </c:pt>
                <c:pt idx="335">
                  <c:v>4.7188190907239899E-2</c:v>
                </c:pt>
                <c:pt idx="336">
                  <c:v>3.2294637411832902E-3</c:v>
                </c:pt>
                <c:pt idx="337">
                  <c:v>4.0078383833169898E-3</c:v>
                </c:pt>
                <c:pt idx="338">
                  <c:v>1.1543378442525801E-2</c:v>
                </c:pt>
                <c:pt idx="339">
                  <c:v>1.99397831857204E-2</c:v>
                </c:pt>
                <c:pt idx="340">
                  <c:v>-5.3301768273115099E-2</c:v>
                </c:pt>
                <c:pt idx="341">
                  <c:v>6.3217459499835996E-2</c:v>
                </c:pt>
                <c:pt idx="342">
                  <c:v>-3.25822103023529E-2</c:v>
                </c:pt>
                <c:pt idx="343">
                  <c:v>2.8408953577279999E-2</c:v>
                </c:pt>
                <c:pt idx="344">
                  <c:v>1.6587223023176199E-2</c:v>
                </c:pt>
                <c:pt idx="345">
                  <c:v>-2.70874614939094E-2</c:v>
                </c:pt>
                <c:pt idx="346">
                  <c:v>-4.9524993360042499E-2</c:v>
                </c:pt>
                <c:pt idx="347">
                  <c:v>2.0954150855540901E-3</c:v>
                </c:pt>
                <c:pt idx="348">
                  <c:v>-2.13093938007951E-2</c:v>
                </c:pt>
                <c:pt idx="349">
                  <c:v>-4.1089749932288998E-3</c:v>
                </c:pt>
                <c:pt idx="350">
                  <c:v>4.2489642649888998E-3</c:v>
                </c:pt>
                <c:pt idx="351">
                  <c:v>1.7649872988462399E-2</c:v>
                </c:pt>
                <c:pt idx="352">
                  <c:v>7.8267896711826296E-2</c:v>
                </c:pt>
                <c:pt idx="353">
                  <c:v>3.9897453308105499E-2</c:v>
                </c:pt>
                <c:pt idx="354">
                  <c:v>3.4210944265127198E-2</c:v>
                </c:pt>
                <c:pt idx="355">
                  <c:v>3.9738234341144603E-2</c:v>
                </c:pt>
                <c:pt idx="356">
                  <c:v>2.6325929135084199E-2</c:v>
                </c:pt>
                <c:pt idx="357">
                  <c:v>1.5940498664975201E-2</c:v>
                </c:pt>
                <c:pt idx="358">
                  <c:v>8.3845963954925995E-2</c:v>
                </c:pt>
                <c:pt idx="359">
                  <c:v>-9.8796937540173504E-2</c:v>
                </c:pt>
                <c:pt idx="360">
                  <c:v>6.1831303238868898E-3</c:v>
                </c:pt>
                <c:pt idx="361">
                  <c:v>1.45559079051017E-2</c:v>
                </c:pt>
                <c:pt idx="362">
                  <c:v>-2.72342267557978E-2</c:v>
                </c:pt>
                <c:pt idx="363">
                  <c:v>-3.1904332995414703E-2</c:v>
                </c:pt>
                <c:pt idx="364">
                  <c:v>-1.8584072528406902E-2</c:v>
                </c:pt>
                <c:pt idx="365">
                  <c:v>-2.3250588558614199E-2</c:v>
                </c:pt>
                <c:pt idx="366">
                  <c:v>-8.1882386505603994E-3</c:v>
                </c:pt>
                <c:pt idx="367">
                  <c:v>-1.7266369983554E-3</c:v>
                </c:pt>
                <c:pt idx="368">
                  <c:v>-1.3942522400990099E-2</c:v>
                </c:pt>
                <c:pt idx="369">
                  <c:v>9.5207050219177896E-3</c:v>
                </c:pt>
                <c:pt idx="370">
                  <c:v>-5.20115412026643E-3</c:v>
                </c:pt>
                <c:pt idx="371">
                  <c:v>-5.2354822903872E-3</c:v>
                </c:pt>
                <c:pt idx="372">
                  <c:v>-9.3110145777464005E-3</c:v>
                </c:pt>
                <c:pt idx="373">
                  <c:v>1.1304055497050301E-2</c:v>
                </c:pt>
                <c:pt idx="374">
                  <c:v>2.0017904341220901E-3</c:v>
                </c:pt>
                <c:pt idx="375">
                  <c:v>3.31288634538651E-2</c:v>
                </c:pt>
                <c:pt idx="376">
                  <c:v>2.3518559336661998E-3</c:v>
                </c:pt>
                <c:pt idx="377">
                  <c:v>-1.3912118673324999E-3</c:v>
                </c:pt>
                <c:pt idx="378">
                  <c:v>3.5344949960708998E-3</c:v>
                </c:pt>
                <c:pt idx="379">
                  <c:v>-3.0377463728189402E-2</c:v>
                </c:pt>
                <c:pt idx="380">
                  <c:v>-2.6287152156233801E-2</c:v>
                </c:pt>
                <c:pt idx="381">
                  <c:v>7.0401729643339902E-4</c:v>
                </c:pt>
                <c:pt idx="382">
                  <c:v>-2.1399041049182398E-2</c:v>
                </c:pt>
                <c:pt idx="383">
                  <c:v>-8.2489962726830998E-3</c:v>
                </c:pt>
                <c:pt idx="384">
                  <c:v>2.1609241515397901E-3</c:v>
                </c:pt>
                <c:pt idx="385">
                  <c:v>-8.8562799468636499E-3</c:v>
                </c:pt>
                <c:pt idx="386">
                  <c:v>2.21304354965687E-2</c:v>
                </c:pt>
                <c:pt idx="387">
                  <c:v>8.2620446383949999E-4</c:v>
                </c:pt>
                <c:pt idx="388">
                  <c:v>1.75130525231359E-3</c:v>
                </c:pt>
                <c:pt idx="389">
                  <c:v>-6.5635310113429997E-4</c:v>
                </c:pt>
                <c:pt idx="390">
                  <c:v>2.9628548473120001E-3</c:v>
                </c:pt>
                <c:pt idx="391">
                  <c:v>1.9301233917474601E-2</c:v>
                </c:pt>
                <c:pt idx="392">
                  <c:v>-1.71695810556409E-3</c:v>
                </c:pt>
                <c:pt idx="393">
                  <c:v>-3.3924216330051403E-2</c:v>
                </c:pt>
                <c:pt idx="394">
                  <c:v>-1.18474851995707E-2</c:v>
                </c:pt>
                <c:pt idx="395">
                  <c:v>-5.9616238772869003E-3</c:v>
                </c:pt>
                <c:pt idx="396">
                  <c:v>-2.3328238457441301E-2</c:v>
                </c:pt>
                <c:pt idx="397">
                  <c:v>-1.8538110613822899E-2</c:v>
                </c:pt>
                <c:pt idx="398">
                  <c:v>-1.50862555569037E-2</c:v>
                </c:pt>
                <c:pt idx="399">
                  <c:v>-2.53075439184904E-2</c:v>
                </c:pt>
                <c:pt idx="400">
                  <c:v>-1.3656369693577201E-2</c:v>
                </c:pt>
                <c:pt idx="401">
                  <c:v>8.056374639273E-4</c:v>
                </c:pt>
                <c:pt idx="402">
                  <c:v>2.5849796980618998E-3</c:v>
                </c:pt>
                <c:pt idx="403">
                  <c:v>2.65428760796785E-2</c:v>
                </c:pt>
                <c:pt idx="404">
                  <c:v>-7.1376470960676603E-3</c:v>
                </c:pt>
                <c:pt idx="405">
                  <c:v>2.6501432061197501E-5</c:v>
                </c:pt>
                <c:pt idx="406">
                  <c:v>2.0998755693435998E-3</c:v>
                </c:pt>
                <c:pt idx="407">
                  <c:v>1.1196158051490801E-2</c:v>
                </c:pt>
                <c:pt idx="408">
                  <c:v>1.4409957557916599E-2</c:v>
                </c:pt>
                <c:pt idx="409">
                  <c:v>-4.0868574082850899E-3</c:v>
                </c:pt>
                <c:pt idx="410">
                  <c:v>-1.6906829476356501E-2</c:v>
                </c:pt>
                <c:pt idx="411">
                  <c:v>-1.4817009091377301E-2</c:v>
                </c:pt>
                <c:pt idx="412">
                  <c:v>-4.4131678491830997E-3</c:v>
                </c:pt>
                <c:pt idx="413">
                  <c:v>-2.60580576136707E-2</c:v>
                </c:pt>
                <c:pt idx="414">
                  <c:v>-1.7312838420271901E-2</c:v>
                </c:pt>
                <c:pt idx="415">
                  <c:v>-1.50525715984404E-2</c:v>
                </c:pt>
                <c:pt idx="416">
                  <c:v>-2.6585427455604001E-2</c:v>
                </c:pt>
                <c:pt idx="417">
                  <c:v>-8.2275963425635992E-3</c:v>
                </c:pt>
                <c:pt idx="418">
                  <c:v>1.2322574853900099E-4</c:v>
                </c:pt>
                <c:pt idx="419">
                  <c:v>3.38883587718009E-3</c:v>
                </c:pt>
                <c:pt idx="420">
                  <c:v>1.7161270767450301E-2</c:v>
                </c:pt>
                <c:pt idx="421">
                  <c:v>-9.8559700064361003E-3</c:v>
                </c:pt>
                <c:pt idx="422">
                  <c:v>-9.8403508812188994E-3</c:v>
                </c:pt>
                <c:pt idx="423">
                  <c:v>4.4990575164556897E-3</c:v>
                </c:pt>
                <c:pt idx="424">
                  <c:v>5.1410786509513999E-3</c:v>
                </c:pt>
                <c:pt idx="425">
                  <c:v>2.8195410147309002E-3</c:v>
                </c:pt>
                <c:pt idx="426">
                  <c:v>3.1100121915340301E-2</c:v>
                </c:pt>
                <c:pt idx="427">
                  <c:v>4.88170519471198E-4</c:v>
                </c:pt>
                <c:pt idx="428">
                  <c:v>-6.1148145526647601E-2</c:v>
                </c:pt>
                <c:pt idx="429">
                  <c:v>-2.7187126412987699E-2</c:v>
                </c:pt>
                <c:pt idx="430">
                  <c:v>-5.2378514632582997E-3</c:v>
                </c:pt>
                <c:pt idx="431">
                  <c:v>-1.31099767684937E-2</c:v>
                </c:pt>
                <c:pt idx="432">
                  <c:v>4.7343009710309997E-4</c:v>
                </c:pt>
                <c:pt idx="433">
                  <c:v>5.8064261823892998E-3</c:v>
                </c:pt>
                <c:pt idx="434">
                  <c:v>2.0033079028129501E-2</c:v>
                </c:pt>
                <c:pt idx="435">
                  <c:v>3.9273882448673199E-2</c:v>
                </c:pt>
                <c:pt idx="436">
                  <c:v>1.19793231487274E-2</c:v>
                </c:pt>
                <c:pt idx="437">
                  <c:v>-9.3652189746499005E-3</c:v>
                </c:pt>
                <c:pt idx="438">
                  <c:v>-1.0126510411501001E-3</c:v>
                </c:pt>
                <c:pt idx="439">
                  <c:v>2.1722617715597199E-2</c:v>
                </c:pt>
                <c:pt idx="440">
                  <c:v>9.4490909129381004E-3</c:v>
                </c:pt>
                <c:pt idx="441">
                  <c:v>9.0766674160957003E-2</c:v>
                </c:pt>
                <c:pt idx="442">
                  <c:v>-3.1321290135384E-3</c:v>
                </c:pt>
                <c:pt idx="443">
                  <c:v>-6.8878069221973001E-3</c:v>
                </c:pt>
                <c:pt idx="444">
                  <c:v>-9.7447344660760095E-4</c:v>
                </c:pt>
                <c:pt idx="445">
                  <c:v>-5.2310542494058601E-2</c:v>
                </c:pt>
                <c:pt idx="446">
                  <c:v>-5.9818745315074903E-2</c:v>
                </c:pt>
                <c:pt idx="447">
                  <c:v>-3.1978524461388602E-2</c:v>
                </c:pt>
                <c:pt idx="448">
                  <c:v>-1.6140262007713301E-2</c:v>
                </c:pt>
                <c:pt idx="449">
                  <c:v>9.1603488624095904E-3</c:v>
                </c:pt>
                <c:pt idx="450">
                  <c:v>1.11192265897989E-2</c:v>
                </c:pt>
                <c:pt idx="451">
                  <c:v>6.2755447030066903E-3</c:v>
                </c:pt>
                <c:pt idx="452">
                  <c:v>4.1883019894361502E-2</c:v>
                </c:pt>
                <c:pt idx="453">
                  <c:v>1.33206176459789E-2</c:v>
                </c:pt>
                <c:pt idx="454">
                  <c:v>-1.7283561676741E-3</c:v>
                </c:pt>
                <c:pt idx="455">
                  <c:v>2.1335710048675498E-2</c:v>
                </c:pt>
                <c:pt idx="456">
                  <c:v>2.9073330730199801E-2</c:v>
                </c:pt>
                <c:pt idx="457">
                  <c:v>1.0016867995262101E-2</c:v>
                </c:pt>
                <c:pt idx="458">
                  <c:v>9.6766790628433005E-2</c:v>
                </c:pt>
                <c:pt idx="459">
                  <c:v>-3.1649978756904597E-2</c:v>
                </c:pt>
                <c:pt idx="460">
                  <c:v>3.3271973609924302E-2</c:v>
                </c:pt>
                <c:pt idx="461">
                  <c:v>-3.1677921265363999E-3</c:v>
                </c:pt>
                <c:pt idx="462">
                  <c:v>-5.3314601361751597E-2</c:v>
                </c:pt>
                <c:pt idx="463">
                  <c:v>-2.6734542757272699E-2</c:v>
                </c:pt>
                <c:pt idx="464">
                  <c:v>-9.8577725552022495E-3</c:v>
                </c:pt>
                <c:pt idx="465">
                  <c:v>-2.0246714696288099E-2</c:v>
                </c:pt>
                <c:pt idx="466">
                  <c:v>2.7628028392789802E-4</c:v>
                </c:pt>
                <c:pt idx="467">
                  <c:v>3.0870108306407999E-3</c:v>
                </c:pt>
                <c:pt idx="468">
                  <c:v>4.6903386861085897E-3</c:v>
                </c:pt>
                <c:pt idx="469">
                  <c:v>2.4889214128255701E-2</c:v>
                </c:pt>
                <c:pt idx="470">
                  <c:v>1.11092070937157E-2</c:v>
                </c:pt>
                <c:pt idx="471">
                  <c:v>1.28245325386519E-3</c:v>
                </c:pt>
                <c:pt idx="472">
                  <c:v>1.30160713791847E-2</c:v>
                </c:pt>
                <c:pt idx="473">
                  <c:v>1.3281653791665999E-2</c:v>
                </c:pt>
                <c:pt idx="474">
                  <c:v>2.9698671877384199E-2</c:v>
                </c:pt>
                <c:pt idx="475">
                  <c:v>6.3216721892356997E-2</c:v>
                </c:pt>
                <c:pt idx="476">
                  <c:v>-1.7690552324056599E-2</c:v>
                </c:pt>
                <c:pt idx="477">
                  <c:v>1.4261936426162599E-2</c:v>
                </c:pt>
                <c:pt idx="478">
                  <c:v>2.53225705623626E-2</c:v>
                </c:pt>
                <c:pt idx="479">
                  <c:v>-1.69969753473997E-2</c:v>
                </c:pt>
                <c:pt idx="480">
                  <c:v>-1.8806702181696899E-2</c:v>
                </c:pt>
                <c:pt idx="481">
                  <c:v>2.4340191483499999E-4</c:v>
                </c:pt>
                <c:pt idx="482">
                  <c:v>-1.72069225162268E-2</c:v>
                </c:pt>
                <c:pt idx="483">
                  <c:v>-3.4176281690597998E-3</c:v>
                </c:pt>
                <c:pt idx="484">
                  <c:v>1.4878107607365001E-3</c:v>
                </c:pt>
                <c:pt idx="485">
                  <c:v>4.6510368734597896E-3</c:v>
                </c:pt>
                <c:pt idx="486">
                  <c:v>3.92478724718094E-2</c:v>
                </c:pt>
                <c:pt idx="487">
                  <c:v>2.7683510333299899E-3</c:v>
                </c:pt>
                <c:pt idx="488">
                  <c:v>-7.0894512385130002E-3</c:v>
                </c:pt>
                <c:pt idx="489">
                  <c:v>4.0697401612996903E-3</c:v>
                </c:pt>
                <c:pt idx="490">
                  <c:v>9.5832079350948E-3</c:v>
                </c:pt>
                <c:pt idx="491">
                  <c:v>-2.3636423878371698E-2</c:v>
                </c:pt>
                <c:pt idx="492">
                  <c:v>3.2158768057823098E-2</c:v>
                </c:pt>
                <c:pt idx="493">
                  <c:v>-3.1803423464298201E-2</c:v>
                </c:pt>
                <c:pt idx="494">
                  <c:v>2.49253861904144E-2</c:v>
                </c:pt>
                <c:pt idx="495">
                  <c:v>1.6355912297964102E-2</c:v>
                </c:pt>
                <c:pt idx="496">
                  <c:v>-3.1209878914058201E-2</c:v>
                </c:pt>
                <c:pt idx="497">
                  <c:v>-5.0381363093852903E-2</c:v>
                </c:pt>
                <c:pt idx="498">
                  <c:v>-1.1584038086235499E-2</c:v>
                </c:pt>
                <c:pt idx="499">
                  <c:v>-2.1834290929138699E-2</c:v>
                </c:pt>
                <c:pt idx="500">
                  <c:v>-2.5995804965495998E-3</c:v>
                </c:pt>
                <c:pt idx="501">
                  <c:v>7.3856940865516998E-3</c:v>
                </c:pt>
                <c:pt idx="502">
                  <c:v>5.4358940720557903E-3</c:v>
                </c:pt>
                <c:pt idx="503">
                  <c:v>2.7701547533273699E-2</c:v>
                </c:pt>
                <c:pt idx="504">
                  <c:v>2.4920381873846102E-2</c:v>
                </c:pt>
                <c:pt idx="505">
                  <c:v>9.9994481503962902E-3</c:v>
                </c:pt>
                <c:pt idx="506">
                  <c:v>2.0340923428535499E-2</c:v>
                </c:pt>
                <c:pt idx="507">
                  <c:v>2.0486257195472701E-2</c:v>
                </c:pt>
                <c:pt idx="508">
                  <c:v>1.27208196669817E-2</c:v>
                </c:pt>
                <c:pt idx="509">
                  <c:v>-1.71193161308765E-2</c:v>
                </c:pt>
                <c:pt idx="510">
                  <c:v>-2.8450122028589198E-2</c:v>
                </c:pt>
                <c:pt idx="511">
                  <c:v>-1.90221158489585E-2</c:v>
                </c:pt>
                <c:pt idx="512">
                  <c:v>-1.18298110514879E-2</c:v>
                </c:pt>
                <c:pt idx="513">
                  <c:v>-2.3677737742662401E-2</c:v>
                </c:pt>
                <c:pt idx="514">
                  <c:v>-1.34553021788597E-2</c:v>
                </c:pt>
                <c:pt idx="515">
                  <c:v>-9.5005735605955093E-3</c:v>
                </c:pt>
                <c:pt idx="516">
                  <c:v>-2.20350114330649E-2</c:v>
                </c:pt>
                <c:pt idx="517">
                  <c:v>-3.4078939855099002E-3</c:v>
                </c:pt>
                <c:pt idx="518">
                  <c:v>9.2796521633863004E-3</c:v>
                </c:pt>
                <c:pt idx="519">
                  <c:v>-4.5102479308839998E-4</c:v>
                </c:pt>
                <c:pt idx="520">
                  <c:v>3.0263452023267599E-2</c:v>
                </c:pt>
                <c:pt idx="521">
                  <c:v>1.13887882679701E-2</c:v>
                </c:pt>
                <c:pt idx="522">
                  <c:v>2.1550838798284999E-3</c:v>
                </c:pt>
                <c:pt idx="523">
                  <c:v>1.1711161792278201E-2</c:v>
                </c:pt>
                <c:pt idx="524">
                  <c:v>1.86988033056259E-2</c:v>
                </c:pt>
                <c:pt idx="525">
                  <c:v>1.4104321703314699E-2</c:v>
                </c:pt>
                <c:pt idx="526">
                  <c:v>3.0401407063007299E-2</c:v>
                </c:pt>
                <c:pt idx="527">
                  <c:v>-1.3250144124030999E-2</c:v>
                </c:pt>
                <c:pt idx="528">
                  <c:v>3.1713140785693997E-2</c:v>
                </c:pt>
                <c:pt idx="529">
                  <c:v>-4.6009038537741E-3</c:v>
                </c:pt>
                <c:pt idx="530">
                  <c:v>-5.3056199394166503E-2</c:v>
                </c:pt>
                <c:pt idx="531">
                  <c:v>-3.1784665495157197E-2</c:v>
                </c:pt>
                <c:pt idx="532">
                  <c:v>-4.2157258689403997E-3</c:v>
                </c:pt>
                <c:pt idx="533">
                  <c:v>-2.3778314113616899E-2</c:v>
                </c:pt>
                <c:pt idx="534">
                  <c:v>-1.00825487673283E-2</c:v>
                </c:pt>
                <c:pt idx="535">
                  <c:v>-1.00783407688098E-4</c:v>
                </c:pt>
                <c:pt idx="536">
                  <c:v>-1.7717088744044301E-2</c:v>
                </c:pt>
                <c:pt idx="537">
                  <c:v>4.8654737658798703E-3</c:v>
                </c:pt>
                <c:pt idx="538">
                  <c:v>-8.0355696491896996E-3</c:v>
                </c:pt>
                <c:pt idx="539">
                  <c:v>2.4889992266893399E-2</c:v>
                </c:pt>
                <c:pt idx="540">
                  <c:v>1.45420583188533E-2</c:v>
                </c:pt>
                <c:pt idx="541">
                  <c:v>2.7743692666292199E-2</c:v>
                </c:pt>
                <c:pt idx="542">
                  <c:v>2.75068489015101E-2</c:v>
                </c:pt>
                <c:pt idx="543">
                  <c:v>4.3049929916858701E-2</c:v>
                </c:pt>
                <c:pt idx="544">
                  <c:v>-5.2624590620398502E-2</c:v>
                </c:pt>
                <c:pt idx="545">
                  <c:v>-1.24387670010328E-2</c:v>
                </c:pt>
                <c:pt idx="546">
                  <c:v>-1.6141926772892501E-2</c:v>
                </c:pt>
                <c:pt idx="547">
                  <c:v>-2.8743800997733999E-2</c:v>
                </c:pt>
                <c:pt idx="548">
                  <c:v>-1.49589690417051E-2</c:v>
                </c:pt>
                <c:pt idx="549">
                  <c:v>-1.6966408639214899E-2</c:v>
                </c:pt>
                <c:pt idx="550">
                  <c:v>-2.19243591353297E-2</c:v>
                </c:pt>
                <c:pt idx="551">
                  <c:v>-8.2717009857296991E-3</c:v>
                </c:pt>
                <c:pt idx="552">
                  <c:v>2.2632727771997002E-3</c:v>
                </c:pt>
                <c:pt idx="553">
                  <c:v>-4.35736420005559E-3</c:v>
                </c:pt>
                <c:pt idx="554">
                  <c:v>2.9579578131437301E-2</c:v>
                </c:pt>
                <c:pt idx="555">
                  <c:v>4.4660533666611001E-3</c:v>
                </c:pt>
                <c:pt idx="556">
                  <c:v>-8.2779324650763993E-3</c:v>
                </c:pt>
                <c:pt idx="557">
                  <c:v>7.19952790439129E-3</c:v>
                </c:pt>
                <c:pt idx="558">
                  <c:v>1.5055126667022699E-2</c:v>
                </c:pt>
                <c:pt idx="559">
                  <c:v>6.2467792183160901E-3</c:v>
                </c:pt>
                <c:pt idx="560">
                  <c:v>1.9188275814056299E-2</c:v>
                </c:pt>
                <c:pt idx="561">
                  <c:v>-3.18273808062077E-2</c:v>
                </c:pt>
                <c:pt idx="562">
                  <c:v>8.5591465532779895E-3</c:v>
                </c:pt>
                <c:pt idx="563">
                  <c:v>7.8576310575007892E-3</c:v>
                </c:pt>
                <c:pt idx="564">
                  <c:v>-2.50582222938538E-2</c:v>
                </c:pt>
                <c:pt idx="565">
                  <c:v>-3.0788146615028399E-2</c:v>
                </c:pt>
                <c:pt idx="566">
                  <c:v>-1.3854388551786501E-2</c:v>
                </c:pt>
                <c:pt idx="567">
                  <c:v>-2.4280337028205298E-2</c:v>
                </c:pt>
                <c:pt idx="568">
                  <c:v>-6.9791444614529996E-3</c:v>
                </c:pt>
                <c:pt idx="569">
                  <c:v>4.0746393054723997E-3</c:v>
                </c:pt>
                <c:pt idx="570">
                  <c:v>1.5046375632286099E-2</c:v>
                </c:pt>
                <c:pt idx="571">
                  <c:v>3.8910718798637299E-2</c:v>
                </c:pt>
                <c:pt idx="572">
                  <c:v>5.0100426077842996E-3</c:v>
                </c:pt>
                <c:pt idx="573">
                  <c:v>-3.5398768544197101E-2</c:v>
                </c:pt>
                <c:pt idx="574">
                  <c:v>-4.5409722030162903E-3</c:v>
                </c:pt>
                <c:pt idx="575">
                  <c:v>-1.2988362759351901E-3</c:v>
                </c:pt>
                <c:pt idx="576">
                  <c:v>-2.0142475962638901E-3</c:v>
                </c:pt>
                <c:pt idx="577">
                  <c:v>1.0702112942934E-2</c:v>
                </c:pt>
                <c:pt idx="578">
                  <c:v>-2.82109881937504E-2</c:v>
                </c:pt>
                <c:pt idx="579">
                  <c:v>-8.5539411455393E-3</c:v>
                </c:pt>
                <c:pt idx="580">
                  <c:v>4.3382748067378896E-3</c:v>
                </c:pt>
                <c:pt idx="581">
                  <c:v>-3.4366792824119301E-2</c:v>
                </c:pt>
                <c:pt idx="582">
                  <c:v>-2.94197618067264E-2</c:v>
                </c:pt>
                <c:pt idx="583">
                  <c:v>-3.4069821089505901E-3</c:v>
                </c:pt>
                <c:pt idx="584">
                  <c:v>-9.3221015930175996E-3</c:v>
                </c:pt>
                <c:pt idx="585">
                  <c:v>5.8982909619807898E-3</c:v>
                </c:pt>
                <c:pt idx="586">
                  <c:v>1.8579446375369998E-2</c:v>
                </c:pt>
                <c:pt idx="587">
                  <c:v>1.8669119864702099E-2</c:v>
                </c:pt>
                <c:pt idx="588">
                  <c:v>5.3830428212881101E-2</c:v>
                </c:pt>
                <c:pt idx="589">
                  <c:v>4.8245955526828803E-2</c:v>
                </c:pt>
                <c:pt idx="590">
                  <c:v>2.02860848009585E-2</c:v>
                </c:pt>
                <c:pt idx="591">
                  <c:v>2.0774629175663001E-2</c:v>
                </c:pt>
                <c:pt idx="592">
                  <c:v>4.1409696608781799E-2</c:v>
                </c:pt>
                <c:pt idx="593">
                  <c:v>2.7261009544134001E-2</c:v>
                </c:pt>
                <c:pt idx="594">
                  <c:v>4.8335222780704498E-2</c:v>
                </c:pt>
                <c:pt idx="595">
                  <c:v>-3.5823373049497599E-2</c:v>
                </c:pt>
                <c:pt idx="596">
                  <c:v>-9.7340795844792997E-3</c:v>
                </c:pt>
                <c:pt idx="597">
                  <c:v>-1.08624425679445E-2</c:v>
                </c:pt>
                <c:pt idx="598">
                  <c:v>-2.20913526713848E-2</c:v>
                </c:pt>
                <c:pt idx="599">
                  <c:v>-1.6259134471416501E-2</c:v>
                </c:pt>
                <c:pt idx="600">
                  <c:v>-1.21646040901541E-2</c:v>
                </c:pt>
                <c:pt idx="601">
                  <c:v>-2.2812870673835198E-2</c:v>
                </c:pt>
                <c:pt idx="602">
                  <c:v>-5.1113388538360999E-3</c:v>
                </c:pt>
                <c:pt idx="603">
                  <c:v>2.040928825736E-3</c:v>
                </c:pt>
                <c:pt idx="604">
                  <c:v>-2.8553569540381001E-3</c:v>
                </c:pt>
                <c:pt idx="605">
                  <c:v>1.6243431881070001E-2</c:v>
                </c:pt>
                <c:pt idx="606">
                  <c:v>-1.04059818778187E-2</c:v>
                </c:pt>
                <c:pt idx="607">
                  <c:v>-6.3895073756575996E-3</c:v>
                </c:pt>
                <c:pt idx="608">
                  <c:v>-2.1282965341582801E-2</c:v>
                </c:pt>
                <c:pt idx="609">
                  <c:v>2.1564926177263299E-2</c:v>
                </c:pt>
                <c:pt idx="610">
                  <c:v>4.2438396364450001E-3</c:v>
                </c:pt>
                <c:pt idx="611">
                  <c:v>-1.21098257303237E-2</c:v>
                </c:pt>
                <c:pt idx="612">
                  <c:v>-1.8675205260515E-3</c:v>
                </c:pt>
                <c:pt idx="613">
                  <c:v>-1.8030743405222899E-2</c:v>
                </c:pt>
                <c:pt idx="614">
                  <c:v>1.16287013143301E-3</c:v>
                </c:pt>
                <c:pt idx="615">
                  <c:v>-6.4065662994980798E-3</c:v>
                </c:pt>
                <c:pt idx="616">
                  <c:v>-1.93905656859279E-2</c:v>
                </c:pt>
                <c:pt idx="617">
                  <c:v>-2.3799206167458998E-3</c:v>
                </c:pt>
                <c:pt idx="618">
                  <c:v>7.5962267816069898E-4</c:v>
                </c:pt>
                <c:pt idx="619">
                  <c:v>-1.2765686810017E-3</c:v>
                </c:pt>
                <c:pt idx="620">
                  <c:v>3.3102275967598002E-2</c:v>
                </c:pt>
                <c:pt idx="621">
                  <c:v>2.0236239105462999E-2</c:v>
                </c:pt>
                <c:pt idx="622">
                  <c:v>1.07863598465919E-2</c:v>
                </c:pt>
                <c:pt idx="623">
                  <c:v>2.2625031173229E-3</c:v>
                </c:pt>
                <c:pt idx="624">
                  <c:v>1.7801194608211501E-2</c:v>
                </c:pt>
                <c:pt idx="625">
                  <c:v>2.0999001443386098E-2</c:v>
                </c:pt>
                <c:pt idx="626">
                  <c:v>2.5069227695465102E-2</c:v>
                </c:pt>
                <c:pt idx="627">
                  <c:v>-2.3490859121084201E-2</c:v>
                </c:pt>
                <c:pt idx="628">
                  <c:v>7.3419004976748997E-3</c:v>
                </c:pt>
                <c:pt idx="629">
                  <c:v>1.29040620326995E-2</c:v>
                </c:pt>
                <c:pt idx="630">
                  <c:v>-2.69950715005398E-2</c:v>
                </c:pt>
                <c:pt idx="631">
                  <c:v>-2.95894711315632E-2</c:v>
                </c:pt>
                <c:pt idx="632">
                  <c:v>-1.4987497412599599E-2</c:v>
                </c:pt>
                <c:pt idx="633">
                  <c:v>-1.9867749296128698E-2</c:v>
                </c:pt>
                <c:pt idx="634">
                  <c:v>1.3890767186879999E-2</c:v>
                </c:pt>
                <c:pt idx="635">
                  <c:v>3.34835207462311E-2</c:v>
                </c:pt>
                <c:pt idx="636">
                  <c:v>1.37107789665461E-2</c:v>
                </c:pt>
                <c:pt idx="637">
                  <c:v>2.5257328689098399E-2</c:v>
                </c:pt>
                <c:pt idx="638">
                  <c:v>-2.3316422209143602E-2</c:v>
                </c:pt>
                <c:pt idx="639">
                  <c:v>-1.04712809473276E-2</c:v>
                </c:pt>
                <c:pt idx="640">
                  <c:v>-5.3598804175854003E-3</c:v>
                </c:pt>
                <c:pt idx="641">
                  <c:v>2.43193909227848E-2</c:v>
                </c:pt>
                <c:pt idx="642">
                  <c:v>1.41105969548224E-2</c:v>
                </c:pt>
                <c:pt idx="643">
                  <c:v>2.2436252117156899E-2</c:v>
                </c:pt>
                <c:pt idx="644">
                  <c:v>-5.4443146958947197E-2</c:v>
                </c:pt>
                <c:pt idx="645">
                  <c:v>-1.04568790346384E-2</c:v>
                </c:pt>
                <c:pt idx="646">
                  <c:v>-5.3227291405200999E-3</c:v>
                </c:pt>
                <c:pt idx="647">
                  <c:v>-1.9466775760054501E-2</c:v>
                </c:pt>
                <c:pt idx="648">
                  <c:v>-1.8260783240199099E-2</c:v>
                </c:pt>
                <c:pt idx="649">
                  <c:v>-1.27200013343244E-2</c:v>
                </c:pt>
                <c:pt idx="650">
                  <c:v>-1.3337757781147999E-2</c:v>
                </c:pt>
                <c:pt idx="651">
                  <c:v>5.0403100401162897E-3</c:v>
                </c:pt>
                <c:pt idx="652">
                  <c:v>1.50708692520857E-2</c:v>
                </c:pt>
                <c:pt idx="653">
                  <c:v>1.31088912636041E-2</c:v>
                </c:pt>
                <c:pt idx="654">
                  <c:v>5.6168845087289802E-2</c:v>
                </c:pt>
                <c:pt idx="655">
                  <c:v>1.8311545521020899E-2</c:v>
                </c:pt>
                <c:pt idx="656">
                  <c:v>5.34956991672497E-4</c:v>
                </c:pt>
                <c:pt idx="657">
                  <c:v>3.5793932378292001E-3</c:v>
                </c:pt>
                <c:pt idx="658">
                  <c:v>2.0495350629091299E-2</c:v>
                </c:pt>
                <c:pt idx="659">
                  <c:v>3.9598384052514897E-3</c:v>
                </c:pt>
                <c:pt idx="660">
                  <c:v>8.9355191469193004E-2</c:v>
                </c:pt>
                <c:pt idx="661">
                  <c:v>-3.5398283898830402E-2</c:v>
                </c:pt>
                <c:pt idx="662">
                  <c:v>-8.5541199594736002E-3</c:v>
                </c:pt>
                <c:pt idx="663">
                  <c:v>-4.8659098297357999E-3</c:v>
                </c:pt>
                <c:pt idx="664">
                  <c:v>-2.2954974614083801E-2</c:v>
                </c:pt>
                <c:pt idx="665">
                  <c:v>-1.7661149337887799E-2</c:v>
                </c:pt>
                <c:pt idx="666">
                  <c:v>-1.49243579329922E-2</c:v>
                </c:pt>
                <c:pt idx="667">
                  <c:v>-1.2742614716291401E-2</c:v>
                </c:pt>
                <c:pt idx="668">
                  <c:v>-7.7045214325190004E-3</c:v>
                </c:pt>
                <c:pt idx="669">
                  <c:v>-2.4692775040864898E-2</c:v>
                </c:pt>
                <c:pt idx="670">
                  <c:v>-1.6515603944659198E-2</c:v>
                </c:pt>
                <c:pt idx="671">
                  <c:v>-1.59494922740268E-2</c:v>
                </c:pt>
                <c:pt idx="672">
                  <c:v>-2.26307663768529E-2</c:v>
                </c:pt>
                <c:pt idx="673">
                  <c:v>-8.0121804997325009E-3</c:v>
                </c:pt>
                <c:pt idx="674">
                  <c:v>4.8014488071199899E-4</c:v>
                </c:pt>
                <c:pt idx="675">
                  <c:v>-1.6144832447171E-3</c:v>
                </c:pt>
                <c:pt idx="676">
                  <c:v>2.73248592168093E-2</c:v>
                </c:pt>
                <c:pt idx="677">
                  <c:v>1.44582859128714E-2</c:v>
                </c:pt>
                <c:pt idx="678">
                  <c:v>6.1722257733349704E-4</c:v>
                </c:pt>
                <c:pt idx="679">
                  <c:v>8.3337465524672902E-3</c:v>
                </c:pt>
                <c:pt idx="680">
                  <c:v>2.9607690095901501E-2</c:v>
                </c:pt>
                <c:pt idx="681">
                  <c:v>1.9138613820075999E-2</c:v>
                </c:pt>
                <c:pt idx="682">
                  <c:v>3.5177489995956303E-2</c:v>
                </c:pt>
                <c:pt idx="683">
                  <c:v>-1.9092528074979801E-2</c:v>
                </c:pt>
                <c:pt idx="684">
                  <c:v>2.8034066438674898E-2</c:v>
                </c:pt>
                <c:pt idx="685">
                  <c:v>-8.6105331778499995E-5</c:v>
                </c:pt>
                <c:pt idx="686">
                  <c:v>-5.4003146767616299E-2</c:v>
                </c:pt>
                <c:pt idx="687">
                  <c:v>-3.4440018892288198E-2</c:v>
                </c:pt>
                <c:pt idx="688">
                  <c:v>-7.6650019586086303E-3</c:v>
                </c:pt>
                <c:pt idx="689">
                  <c:v>-1.8737215891480401E-2</c:v>
                </c:pt>
                <c:pt idx="690">
                  <c:v>-7.3195649683480103E-4</c:v>
                </c:pt>
                <c:pt idx="691">
                  <c:v>1.21268747746944E-2</c:v>
                </c:pt>
                <c:pt idx="692">
                  <c:v>9.9230509400367994E-3</c:v>
                </c:pt>
                <c:pt idx="693">
                  <c:v>3.3953758120536699E-2</c:v>
                </c:pt>
                <c:pt idx="694">
                  <c:v>2.3893021315336199E-2</c:v>
                </c:pt>
                <c:pt idx="695">
                  <c:v>7.0393231660127904E-3</c:v>
                </c:pt>
                <c:pt idx="696">
                  <c:v>2.68199669420719E-2</c:v>
                </c:pt>
                <c:pt idx="697">
                  <c:v>1.38438299000263E-2</c:v>
                </c:pt>
                <c:pt idx="698">
                  <c:v>8.7931417971848901E-3</c:v>
                </c:pt>
                <c:pt idx="699">
                  <c:v>8.8794401168822895E-2</c:v>
                </c:pt>
                <c:pt idx="700">
                  <c:v>-1.0473566055297799E-2</c:v>
                </c:pt>
                <c:pt idx="701">
                  <c:v>-1.05689860582352E-2</c:v>
                </c:pt>
                <c:pt idx="702">
                  <c:v>7.1772738397120998E-3</c:v>
                </c:pt>
                <c:pt idx="703">
                  <c:v>-2.1552223071456E-2</c:v>
                </c:pt>
                <c:pt idx="704">
                  <c:v>-3.8591337114572397E-2</c:v>
                </c:pt>
                <c:pt idx="705">
                  <c:v>2.7605271726846702E-2</c:v>
                </c:pt>
                <c:pt idx="706">
                  <c:v>-5.3195863664150002E-3</c:v>
                </c:pt>
                <c:pt idx="707">
                  <c:v>1.8165083318948599E-2</c:v>
                </c:pt>
                <c:pt idx="708">
                  <c:v>2.7364813387394001E-2</c:v>
                </c:pt>
                <c:pt idx="709">
                  <c:v>2.56496619582176E-2</c:v>
                </c:pt>
                <c:pt idx="710">
                  <c:v>5.1809335291385698E-2</c:v>
                </c:pt>
                <c:pt idx="711">
                  <c:v>5.3209758251904996E-3</c:v>
                </c:pt>
                <c:pt idx="712">
                  <c:v>4.8286241441964899E-3</c:v>
                </c:pt>
                <c:pt idx="713">
                  <c:v>1.26117879748344E-2</c:v>
                </c:pt>
                <c:pt idx="714">
                  <c:v>1.0527101501822501E-2</c:v>
                </c:pt>
                <c:pt idx="715">
                  <c:v>-9.0773169770836798E-3</c:v>
                </c:pt>
                <c:pt idx="716">
                  <c:v>6.8908473730087003E-2</c:v>
                </c:pt>
                <c:pt idx="717">
                  <c:v>-4.4062601327896099E-2</c:v>
                </c:pt>
                <c:pt idx="718">
                  <c:v>-3.00485445121303E-2</c:v>
                </c:pt>
                <c:pt idx="719">
                  <c:v>-3.5488719489425398E-2</c:v>
                </c:pt>
                <c:pt idx="720">
                  <c:v>-3.8565677939448498E-2</c:v>
                </c:pt>
                <c:pt idx="721">
                  <c:v>-1.9257169872522399E-2</c:v>
                </c:pt>
                <c:pt idx="722">
                  <c:v>-2.6038059204816701E-2</c:v>
                </c:pt>
                <c:pt idx="723">
                  <c:v>-2.4167827673256401E-2</c:v>
                </c:pt>
                <c:pt idx="724">
                  <c:v>-2.4606513828039E-3</c:v>
                </c:pt>
                <c:pt idx="725">
                  <c:v>4.99718882143499E-3</c:v>
                </c:pt>
                <c:pt idx="726">
                  <c:v>-1.48040445894E-3</c:v>
                </c:pt>
                <c:pt idx="727">
                  <c:v>3.93649993240833E-2</c:v>
                </c:pt>
                <c:pt idx="728">
                  <c:v>2.4104066461324701E-2</c:v>
                </c:pt>
                <c:pt idx="729">
                  <c:v>6.6510491967200899E-3</c:v>
                </c:pt>
                <c:pt idx="730">
                  <c:v>8.8550077974795995E-3</c:v>
                </c:pt>
                <c:pt idx="731">
                  <c:v>1.6701827913522701E-2</c:v>
                </c:pt>
                <c:pt idx="732">
                  <c:v>3.0402759194374001E-2</c:v>
                </c:pt>
                <c:pt idx="733">
                  <c:v>3.2838149249553597E-2</c:v>
                </c:pt>
                <c:pt idx="734">
                  <c:v>-4.6095406562089901E-2</c:v>
                </c:pt>
                <c:pt idx="735">
                  <c:v>2.70704604983329E-2</c:v>
                </c:pt>
                <c:pt idx="736">
                  <c:v>-1.6116769015788999E-3</c:v>
                </c:pt>
                <c:pt idx="737">
                  <c:v>-5.0947715818882001E-2</c:v>
                </c:pt>
                <c:pt idx="738">
                  <c:v>-2.8472100108861899E-2</c:v>
                </c:pt>
                <c:pt idx="739">
                  <c:v>-7.5925404056906703E-3</c:v>
                </c:pt>
                <c:pt idx="740">
                  <c:v>3.7264839112758899E-3</c:v>
                </c:pt>
                <c:pt idx="741">
                  <c:v>9.6177338659762905E-3</c:v>
                </c:pt>
                <c:pt idx="742">
                  <c:v>-2.38062984421849E-2</c:v>
                </c:pt>
                <c:pt idx="743">
                  <c:v>-3.0167863428592699E-2</c:v>
                </c:pt>
                <c:pt idx="744">
                  <c:v>-1.2010836213827101E-2</c:v>
                </c:pt>
                <c:pt idx="745">
                  <c:v>-2.31554725840687E-2</c:v>
                </c:pt>
                <c:pt idx="746">
                  <c:v>-1.1328684449195801E-2</c:v>
                </c:pt>
                <c:pt idx="747">
                  <c:v>-4.81455713510509E-3</c:v>
                </c:pt>
                <c:pt idx="748">
                  <c:v>-9.9536205492913692E-3</c:v>
                </c:pt>
                <c:pt idx="749">
                  <c:v>-6.4418523795902703E-3</c:v>
                </c:pt>
                <c:pt idx="750">
                  <c:v>-5.0685952529311096E-3</c:v>
                </c:pt>
                <c:pt idx="751">
                  <c:v>-3.3980722576379902E-3</c:v>
                </c:pt>
                <c:pt idx="752">
                  <c:v>3.3483768105506901E-3</c:v>
                </c:pt>
                <c:pt idx="753">
                  <c:v>2.2754940360784501E-2</c:v>
                </c:pt>
                <c:pt idx="754">
                  <c:v>1.8711352825164701E-2</c:v>
                </c:pt>
                <c:pt idx="755">
                  <c:v>6.0946500182152002E-2</c:v>
                </c:pt>
                <c:pt idx="756">
                  <c:v>-7.9281049966811994E-3</c:v>
                </c:pt>
                <c:pt idx="757">
                  <c:v>-1.21206924021244E-2</c:v>
                </c:pt>
                <c:pt idx="758">
                  <c:v>-6.8442140668630996E-3</c:v>
                </c:pt>
                <c:pt idx="759">
                  <c:v>-2.3790633596479899E-2</c:v>
                </c:pt>
                <c:pt idx="760">
                  <c:v>-1.8563621401786801E-2</c:v>
                </c:pt>
                <c:pt idx="761">
                  <c:v>-1.5329426093026901E-2</c:v>
                </c:pt>
                <c:pt idx="762">
                  <c:v>-2.5946095928549701E-2</c:v>
                </c:pt>
                <c:pt idx="763">
                  <c:v>-1.13409024700522E-2</c:v>
                </c:pt>
                <c:pt idx="764">
                  <c:v>-6.3322003558278E-3</c:v>
                </c:pt>
                <c:pt idx="765">
                  <c:v>5.10440766809949E-6</c:v>
                </c:pt>
                <c:pt idx="766">
                  <c:v>4.1750172317027899E-2</c:v>
                </c:pt>
                <c:pt idx="767">
                  <c:v>1.7519029125571298E-2</c:v>
                </c:pt>
                <c:pt idx="768">
                  <c:v>2.3595729559659901E-2</c:v>
                </c:pt>
                <c:pt idx="769">
                  <c:v>3.8628673404455002E-3</c:v>
                </c:pt>
                <c:pt idx="770">
                  <c:v>7.5887582898140002E-3</c:v>
                </c:pt>
                <c:pt idx="771">
                  <c:v>3.2211875647306397E-2</c:v>
                </c:pt>
                <c:pt idx="772">
                  <c:v>9.9494239568709994E-2</c:v>
                </c:pt>
                <c:pt idx="773">
                  <c:v>-4.1891304701566698E-2</c:v>
                </c:pt>
                <c:pt idx="774">
                  <c:v>3.0668211758136599E-2</c:v>
                </c:pt>
                <c:pt idx="775">
                  <c:v>1.8960560768842599E-2</c:v>
                </c:pt>
                <c:pt idx="776">
                  <c:v>-2.7855870604515099E-2</c:v>
                </c:pt>
                <c:pt idx="777">
                  <c:v>-5.6936033725738397E-2</c:v>
                </c:pt>
                <c:pt idx="778">
                  <c:v>-7.3516929373145098E-3</c:v>
                </c:pt>
                <c:pt idx="779">
                  <c:v>-2.2214281715452599E-2</c:v>
                </c:pt>
                <c:pt idx="780">
                  <c:v>-4.2746665924788003E-3</c:v>
                </c:pt>
                <c:pt idx="781">
                  <c:v>6.7504743486642999E-3</c:v>
                </c:pt>
                <c:pt idx="782">
                  <c:v>1.9664753377438E-3</c:v>
                </c:pt>
                <c:pt idx="783">
                  <c:v>5.8057053178548798E-2</c:v>
                </c:pt>
                <c:pt idx="784">
                  <c:v>4.9914989888668097E-2</c:v>
                </c:pt>
                <c:pt idx="785">
                  <c:v>2.3274758547544499E-2</c:v>
                </c:pt>
                <c:pt idx="786">
                  <c:v>1.93240011334418E-2</c:v>
                </c:pt>
                <c:pt idx="787">
                  <c:v>1.87047972977161E-2</c:v>
                </c:pt>
                <c:pt idx="788">
                  <c:v>1.9541757285594898E-2</c:v>
                </c:pt>
                <c:pt idx="789">
                  <c:v>3.7280423820018699E-2</c:v>
                </c:pt>
                <c:pt idx="790">
                  <c:v>-8.9046823978423898E-3</c:v>
                </c:pt>
                <c:pt idx="791">
                  <c:v>-1.12863335460424E-2</c:v>
                </c:pt>
                <c:pt idx="792">
                  <c:v>-6.7782615274191004E-3</c:v>
                </c:pt>
                <c:pt idx="793">
                  <c:v>-2.4643318086862501E-2</c:v>
                </c:pt>
                <c:pt idx="794">
                  <c:v>-1.64620566219091E-2</c:v>
                </c:pt>
                <c:pt idx="795">
                  <c:v>-1.46227785702794E-2</c:v>
                </c:pt>
                <c:pt idx="796">
                  <c:v>3.1543282449245397E-2</c:v>
                </c:pt>
                <c:pt idx="797">
                  <c:v>-2.9495720714331E-3</c:v>
                </c:pt>
                <c:pt idx="798">
                  <c:v>-5.0822563759982599E-2</c:v>
                </c:pt>
                <c:pt idx="799">
                  <c:v>-2.8014887779951099E-2</c:v>
                </c:pt>
                <c:pt idx="800">
                  <c:v>-9.6776780523359796E-3</c:v>
                </c:pt>
                <c:pt idx="801">
                  <c:v>-3.1088979675434499E-2</c:v>
                </c:pt>
                <c:pt idx="802">
                  <c:v>-5.4382060691713996E-3</c:v>
                </c:pt>
                <c:pt idx="803">
                  <c:v>-1.12557691615074E-2</c:v>
                </c:pt>
                <c:pt idx="804">
                  <c:v>-2.0035664256662099E-2</c:v>
                </c:pt>
                <c:pt idx="805">
                  <c:v>-3.3731796536594599E-3</c:v>
                </c:pt>
                <c:pt idx="806">
                  <c:v>2.0719770610332498E-2</c:v>
                </c:pt>
                <c:pt idx="807">
                  <c:v>-7.8820663541555001E-3</c:v>
                </c:pt>
                <c:pt idx="808">
                  <c:v>3.6274824500083902E-2</c:v>
                </c:pt>
                <c:pt idx="809">
                  <c:v>3.1767535179853298E-2</c:v>
                </c:pt>
                <c:pt idx="810">
                  <c:v>7.0877255976200093E-2</c:v>
                </c:pt>
                <c:pt idx="811">
                  <c:v>8.6325397968291903E-2</c:v>
                </c:pt>
                <c:pt idx="812">
                  <c:v>1.05469730496406E-2</c:v>
                </c:pt>
                <c:pt idx="813">
                  <c:v>-1.19713362008333E-2</c:v>
                </c:pt>
                <c:pt idx="814">
                  <c:v>-1.09709677249193E-2</c:v>
                </c:pt>
                <c:pt idx="815">
                  <c:v>-2.5533014267683E-2</c:v>
                </c:pt>
                <c:pt idx="816">
                  <c:v>-1.44317007660865E-2</c:v>
                </c:pt>
                <c:pt idx="817">
                  <c:v>-1.4685937141999599E-2</c:v>
                </c:pt>
                <c:pt idx="818">
                  <c:v>3.85753217339519E-3</c:v>
                </c:pt>
                <c:pt idx="819">
                  <c:v>1.29108569622039E-2</c:v>
                </c:pt>
                <c:pt idx="820">
                  <c:v>-2.54402480199932E-2</c:v>
                </c:pt>
                <c:pt idx="821">
                  <c:v>-3.1621490329503898E-2</c:v>
                </c:pt>
                <c:pt idx="822">
                  <c:v>-6.8454949036240598E-3</c:v>
                </c:pt>
                <c:pt idx="823">
                  <c:v>-5.8247618079184998E-3</c:v>
                </c:pt>
                <c:pt idx="824">
                  <c:v>8.3240770697593901E-3</c:v>
                </c:pt>
                <c:pt idx="825">
                  <c:v>1.0058981031179399E-2</c:v>
                </c:pt>
                <c:pt idx="826">
                  <c:v>2.3821848273277199E-2</c:v>
                </c:pt>
                <c:pt idx="827">
                  <c:v>2.09739899039268E-2</c:v>
                </c:pt>
                <c:pt idx="828">
                  <c:v>-1.1415915411897E-2</c:v>
                </c:pt>
                <c:pt idx="829">
                  <c:v>2.1023200541734701E-2</c:v>
                </c:pt>
                <c:pt idx="830">
                  <c:v>1.4123900234699801E-4</c:v>
                </c:pt>
                <c:pt idx="831">
                  <c:v>1.7510495781898E-3</c:v>
                </c:pt>
                <c:pt idx="832">
                  <c:v>-3.8432859703898298E-3</c:v>
                </c:pt>
                <c:pt idx="833">
                  <c:v>7.4069394052029003E-2</c:v>
                </c:pt>
                <c:pt idx="834">
                  <c:v>-3.4570829868316701E-2</c:v>
                </c:pt>
                <c:pt idx="835">
                  <c:v>2.4186497211456201E-2</c:v>
                </c:pt>
                <c:pt idx="836">
                  <c:v>-4.4339754581450997E-3</c:v>
                </c:pt>
                <c:pt idx="837">
                  <c:v>-5.4520129516720799E-2</c:v>
                </c:pt>
                <c:pt idx="838">
                  <c:v>-3.6349077433347698E-2</c:v>
                </c:pt>
                <c:pt idx="839">
                  <c:v>-1.1057706721127001E-2</c:v>
                </c:pt>
                <c:pt idx="840">
                  <c:v>-1.38801674991846E-2</c:v>
                </c:pt>
                <c:pt idx="841">
                  <c:v>1.2786334097385299E-2</c:v>
                </c:pt>
                <c:pt idx="842">
                  <c:v>1.55584743618965E-2</c:v>
                </c:pt>
                <c:pt idx="843">
                  <c:v>4.0393958628177601E-2</c:v>
                </c:pt>
                <c:pt idx="844">
                  <c:v>5.0268503069877499E-2</c:v>
                </c:pt>
                <c:pt idx="845">
                  <c:v>2.6876937866210902E-2</c:v>
                </c:pt>
                <c:pt idx="846">
                  <c:v>1.45799570679665E-2</c:v>
                </c:pt>
                <c:pt idx="847">
                  <c:v>-3.9038693308829902E-3</c:v>
                </c:pt>
                <c:pt idx="848">
                  <c:v>2.0406316190958E-2</c:v>
                </c:pt>
                <c:pt idx="849">
                  <c:v>-1.4468643710017199E-2</c:v>
                </c:pt>
                <c:pt idx="850">
                  <c:v>0.18197046804428099</c:v>
                </c:pt>
                <c:pt idx="851">
                  <c:v>2.0868909358977899E-3</c:v>
                </c:pt>
                <c:pt idx="852">
                  <c:v>-1.20740666687489E-2</c:v>
                </c:pt>
                <c:pt idx="853">
                  <c:v>-5.4139745384455002E-3</c:v>
                </c:pt>
                <c:pt idx="854">
                  <c:v>-2.2828443266451399E-2</c:v>
                </c:pt>
                <c:pt idx="855">
                  <c:v>-1.12004957199096E-2</c:v>
                </c:pt>
                <c:pt idx="856">
                  <c:v>-1.56308253030292E-2</c:v>
                </c:pt>
                <c:pt idx="857">
                  <c:v>-2.62827671766281E-2</c:v>
                </c:pt>
                <c:pt idx="858">
                  <c:v>-3.7975258231162999E-3</c:v>
                </c:pt>
                <c:pt idx="859">
                  <c:v>-1.3257128745317E-3</c:v>
                </c:pt>
                <c:pt idx="860">
                  <c:v>-6.6050302088260697E-3</c:v>
                </c:pt>
                <c:pt idx="861">
                  <c:v>4.3789116829633698E-2</c:v>
                </c:pt>
                <c:pt idx="862">
                  <c:v>1.7124230310320801E-2</c:v>
                </c:pt>
                <c:pt idx="863">
                  <c:v>2.7243101000785901E-3</c:v>
                </c:pt>
                <c:pt idx="864">
                  <c:v>1.18974225819111E-2</c:v>
                </c:pt>
                <c:pt idx="865">
                  <c:v>1.9260651588439901E-2</c:v>
                </c:pt>
                <c:pt idx="866">
                  <c:v>1.8534636229276698E-2</c:v>
                </c:pt>
                <c:pt idx="867">
                  <c:v>8.2126280546187994E-2</c:v>
                </c:pt>
                <c:pt idx="868">
                  <c:v>-2.0672084689140301E-2</c:v>
                </c:pt>
                <c:pt idx="869">
                  <c:v>1.93183213770389E-2</c:v>
                </c:pt>
                <c:pt idx="870">
                  <c:v>1.17808721065521E-2</c:v>
                </c:pt>
                <c:pt idx="871">
                  <c:v>-2.8140864625573098E-2</c:v>
                </c:pt>
                <c:pt idx="872">
                  <c:v>-4.69878061711788E-2</c:v>
                </c:pt>
                <c:pt idx="873">
                  <c:v>-9.4560079127550094E-3</c:v>
                </c:pt>
                <c:pt idx="874">
                  <c:v>-2.5917763233184801E-2</c:v>
                </c:pt>
                <c:pt idx="875">
                  <c:v>-1.3787062190472999E-2</c:v>
                </c:pt>
                <c:pt idx="876">
                  <c:v>2.5068061798810999E-3</c:v>
                </c:pt>
                <c:pt idx="877">
                  <c:v>-1.8565237373114E-3</c:v>
                </c:pt>
                <c:pt idx="878">
                  <c:v>3.9636338293552398E-2</c:v>
                </c:pt>
                <c:pt idx="879">
                  <c:v>4.2116888135671597E-2</c:v>
                </c:pt>
                <c:pt idx="880">
                  <c:v>2.4443657785654101E-2</c:v>
                </c:pt>
                <c:pt idx="881">
                  <c:v>2.8415542304515699E-2</c:v>
                </c:pt>
                <c:pt idx="882">
                  <c:v>3.4452713251113903E-2</c:v>
                </c:pt>
                <c:pt idx="883">
                  <c:v>4.7800241142511399E-2</c:v>
                </c:pt>
                <c:pt idx="884">
                  <c:v>6.1124509453772999E-2</c:v>
                </c:pt>
                <c:pt idx="885">
                  <c:v>-3.06905637681484E-2</c:v>
                </c:pt>
                <c:pt idx="886">
                  <c:v>3.0446121126413199E-2</c:v>
                </c:pt>
                <c:pt idx="887">
                  <c:v>-4.2398952841759003E-3</c:v>
                </c:pt>
                <c:pt idx="888">
                  <c:v>-5.2739703387021997E-2</c:v>
                </c:pt>
                <c:pt idx="889">
                  <c:v>-2.7235512346029299E-2</c:v>
                </c:pt>
                <c:pt idx="890">
                  <c:v>-9.4642096050083606E-3</c:v>
                </c:pt>
                <c:pt idx="891">
                  <c:v>-2.2566203370690301E-2</c:v>
                </c:pt>
                <c:pt idx="892">
                  <c:v>-2.1922572553158002E-3</c:v>
                </c:pt>
                <c:pt idx="893">
                  <c:v>1.06209541112185E-2</c:v>
                </c:pt>
                <c:pt idx="894">
                  <c:v>-4.7434458360075997E-3</c:v>
                </c:pt>
                <c:pt idx="895">
                  <c:v>4.18556054830551E-2</c:v>
                </c:pt>
                <c:pt idx="896">
                  <c:v>3.4089371830225E-2</c:v>
                </c:pt>
                <c:pt idx="897">
                  <c:v>2.2352026492357301E-2</c:v>
                </c:pt>
                <c:pt idx="898">
                  <c:v>1.67529808580874E-2</c:v>
                </c:pt>
                <c:pt idx="899">
                  <c:v>3.4711859345436101E-2</c:v>
                </c:pt>
                <c:pt idx="900">
                  <c:v>7.4030757993460003E-3</c:v>
                </c:pt>
                <c:pt idx="901">
                  <c:v>6.4618518829345994E-2</c:v>
                </c:pt>
                <c:pt idx="902">
                  <c:v>-1.6821915209293301E-2</c:v>
                </c:pt>
                <c:pt idx="903">
                  <c:v>-1.41744412183762E-2</c:v>
                </c:pt>
                <c:pt idx="904">
                  <c:v>-4.3683172166348004E-3</c:v>
                </c:pt>
                <c:pt idx="905">
                  <c:v>-2.6478362560272199E-2</c:v>
                </c:pt>
                <c:pt idx="906">
                  <c:v>-1.5606588408350899E-2</c:v>
                </c:pt>
                <c:pt idx="907">
                  <c:v>-1.38430322371423E-2</c:v>
                </c:pt>
                <c:pt idx="908">
                  <c:v>-1.4771771028637901E-2</c:v>
                </c:pt>
                <c:pt idx="909">
                  <c:v>-2.4076684415339999E-3</c:v>
                </c:pt>
                <c:pt idx="910">
                  <c:v>8.4056189656257999E-3</c:v>
                </c:pt>
                <c:pt idx="911">
                  <c:v>1.16786498725414E-2</c:v>
                </c:pt>
                <c:pt idx="912">
                  <c:v>5.4128216743469099E-2</c:v>
                </c:pt>
                <c:pt idx="913">
                  <c:v>1.91309491991997E-2</c:v>
                </c:pt>
                <c:pt idx="914">
                  <c:v>1.3179642796516299E-2</c:v>
                </c:pt>
                <c:pt idx="915">
                  <c:v>1.1213451832532801E-2</c:v>
                </c:pt>
                <c:pt idx="916">
                  <c:v>2.5620999902486799E-2</c:v>
                </c:pt>
                <c:pt idx="917">
                  <c:v>3.56483292877674E-2</c:v>
                </c:pt>
                <c:pt idx="918">
                  <c:v>4.7060063362121499E-2</c:v>
                </c:pt>
                <c:pt idx="919">
                  <c:v>-1.9781550318002699E-2</c:v>
                </c:pt>
                <c:pt idx="920">
                  <c:v>8.3232276439667002E-3</c:v>
                </c:pt>
                <c:pt idx="921">
                  <c:v>7.3430939614772903E-3</c:v>
                </c:pt>
                <c:pt idx="922">
                  <c:v>-2.43249659538269E-2</c:v>
                </c:pt>
                <c:pt idx="923">
                  <c:v>-3.09654331803321E-2</c:v>
                </c:pt>
                <c:pt idx="924">
                  <c:v>-1.5489391047973099E-2</c:v>
                </c:pt>
                <c:pt idx="925">
                  <c:v>-2.1353279583156099E-2</c:v>
                </c:pt>
                <c:pt idx="926">
                  <c:v>-4.34253457188606E-2</c:v>
                </c:pt>
                <c:pt idx="927">
                  <c:v>3.09369243979454E-2</c:v>
                </c:pt>
                <c:pt idx="928">
                  <c:v>-6.0294055342674001E-3</c:v>
                </c:pt>
                <c:pt idx="929">
                  <c:v>-5.1640849851071799E-2</c:v>
                </c:pt>
                <c:pt idx="930">
                  <c:v>-2.3664424851536799E-2</c:v>
                </c:pt>
                <c:pt idx="931">
                  <c:v>-1.0528884999453999E-2</c:v>
                </c:pt>
                <c:pt idx="932">
                  <c:v>-2.30772126168012E-2</c:v>
                </c:pt>
                <c:pt idx="933">
                  <c:v>-1.09913417175412E-2</c:v>
                </c:pt>
                <c:pt idx="934">
                  <c:v>6.3609766215085902E-3</c:v>
                </c:pt>
                <c:pt idx="935">
                  <c:v>1.4907706677914001E-3</c:v>
                </c:pt>
                <c:pt idx="936">
                  <c:v>2.78230273872614E-2</c:v>
                </c:pt>
                <c:pt idx="937">
                  <c:v>2.3558616906404501E-2</c:v>
                </c:pt>
                <c:pt idx="938">
                  <c:v>2.1699887663125901E-3</c:v>
                </c:pt>
                <c:pt idx="939">
                  <c:v>2.5028608947992199E-2</c:v>
                </c:pt>
                <c:pt idx="940">
                  <c:v>3.1701243638992301E-2</c:v>
                </c:pt>
                <c:pt idx="941">
                  <c:v>4.4420873850583999E-2</c:v>
                </c:pt>
                <c:pt idx="942">
                  <c:v>9.3019863843917999E-2</c:v>
                </c:pt>
                <c:pt idx="943">
                  <c:v>-1.9941968768835101E-2</c:v>
                </c:pt>
                <c:pt idx="944">
                  <c:v>2.71668337583542E-2</c:v>
                </c:pt>
                <c:pt idx="945">
                  <c:v>-3.5003450661897999E-3</c:v>
                </c:pt>
                <c:pt idx="946">
                  <c:v>-4.93419815897942E-2</c:v>
                </c:pt>
                <c:pt idx="947">
                  <c:v>-2.5272655025124501E-2</c:v>
                </c:pt>
                <c:pt idx="948">
                  <c:v>-8.35212849453092E-3</c:v>
                </c:pt>
                <c:pt idx="949">
                  <c:v>-2.3382338106632199E-2</c:v>
                </c:pt>
                <c:pt idx="950">
                  <c:v>-6.1372558623551997E-3</c:v>
                </c:pt>
                <c:pt idx="951">
                  <c:v>1.08714836090803E-2</c:v>
                </c:pt>
                <c:pt idx="952">
                  <c:v>-1.4280593892559401E-2</c:v>
                </c:pt>
                <c:pt idx="953">
                  <c:v>2.5696979999542201E-2</c:v>
                </c:pt>
                <c:pt idx="954">
                  <c:v>2.0446490764617901E-2</c:v>
                </c:pt>
                <c:pt idx="955">
                  <c:v>2.7895734608172902E-3</c:v>
                </c:pt>
                <c:pt idx="956">
                  <c:v>5.4768754392862003E-3</c:v>
                </c:pt>
                <c:pt idx="957">
                  <c:v>2.3045866906642901E-2</c:v>
                </c:pt>
                <c:pt idx="958">
                  <c:v>2.85895300209521E-2</c:v>
                </c:pt>
                <c:pt idx="959">
                  <c:v>6.9872392594813995E-2</c:v>
                </c:pt>
                <c:pt idx="960">
                  <c:v>-9.1829317808150897E-3</c:v>
                </c:pt>
                <c:pt idx="961">
                  <c:v>3.06883804798125E-2</c:v>
                </c:pt>
                <c:pt idx="962">
                  <c:v>-2.7164769321680001E-3</c:v>
                </c:pt>
                <c:pt idx="963">
                  <c:v>-5.6215628340840297E-2</c:v>
                </c:pt>
                <c:pt idx="964">
                  <c:v>-2.4574828058481199E-2</c:v>
                </c:pt>
                <c:pt idx="965">
                  <c:v>-6.3727555647492299E-3</c:v>
                </c:pt>
                <c:pt idx="966">
                  <c:v>-1.7682353377342201E-2</c:v>
                </c:pt>
                <c:pt idx="967">
                  <c:v>5.5422314405440898E-3</c:v>
                </c:pt>
                <c:pt idx="968">
                  <c:v>1.36791175603867E-2</c:v>
                </c:pt>
                <c:pt idx="969">
                  <c:v>2.4461882948875399E-2</c:v>
                </c:pt>
                <c:pt idx="970">
                  <c:v>3.36273444592953E-2</c:v>
                </c:pt>
                <c:pt idx="971">
                  <c:v>1.2749790102243E-3</c:v>
                </c:pt>
                <c:pt idx="972">
                  <c:v>-1.4333862163126401E-2</c:v>
                </c:pt>
                <c:pt idx="973">
                  <c:v>1.67743901014328E-2</c:v>
                </c:pt>
                <c:pt idx="974">
                  <c:v>1.6875642508268399E-2</c:v>
                </c:pt>
                <c:pt idx="975">
                  <c:v>1.7102208092808699E-2</c:v>
                </c:pt>
                <c:pt idx="976">
                  <c:v>6.8390278398991006E-2</c:v>
                </c:pt>
                <c:pt idx="977">
                  <c:v>-1.31408515572548E-2</c:v>
                </c:pt>
                <c:pt idx="978">
                  <c:v>3.0460027635097399E-2</c:v>
                </c:pt>
                <c:pt idx="979">
                  <c:v>-1.9720633476972998E-3</c:v>
                </c:pt>
                <c:pt idx="980">
                  <c:v>-5.8091569051146499E-2</c:v>
                </c:pt>
                <c:pt idx="981">
                  <c:v>-2.66072812527418E-2</c:v>
                </c:pt>
                <c:pt idx="982">
                  <c:v>-8.0722134411334995E-3</c:v>
                </c:pt>
                <c:pt idx="983">
                  <c:v>-3.3188137335702701E-2</c:v>
                </c:pt>
                <c:pt idx="984">
                  <c:v>-1.6643581729382202E-2</c:v>
                </c:pt>
                <c:pt idx="985">
                  <c:v>-4.3899971991779902E-4</c:v>
                </c:pt>
                <c:pt idx="986">
                  <c:v>-1.8075051423162201E-2</c:v>
                </c:pt>
                <c:pt idx="987">
                  <c:v>7.1844236701726896E-3</c:v>
                </c:pt>
                <c:pt idx="988">
                  <c:v>6.963166296482E-4</c:v>
                </c:pt>
                <c:pt idx="989">
                  <c:v>-9.5268891230225992E-3</c:v>
                </c:pt>
                <c:pt idx="990">
                  <c:v>2.67312603294848E-2</c:v>
                </c:pt>
                <c:pt idx="991">
                  <c:v>3.8495178490877198E-2</c:v>
                </c:pt>
                <c:pt idx="992">
                  <c:v>-8.0118485614657405E-3</c:v>
                </c:pt>
                <c:pt idx="993">
                  <c:v>5.27021719813347E-2</c:v>
                </c:pt>
                <c:pt idx="994">
                  <c:v>-2.4029108881949901E-3</c:v>
                </c:pt>
                <c:pt idx="995">
                  <c:v>-1.2379664629697999E-3</c:v>
                </c:pt>
                <c:pt idx="996">
                  <c:v>2.8220816552638902E-3</c:v>
                </c:pt>
                <c:pt idx="997">
                  <c:v>-3.2533662684261798E-2</c:v>
                </c:pt>
                <c:pt idx="998">
                  <c:v>-2.18103534579277E-2</c:v>
                </c:pt>
                <c:pt idx="999">
                  <c:v>-4.7826970368619902E-4</c:v>
                </c:pt>
                <c:pt idx="1000">
                  <c:v>-1.7626119188964399E-2</c:v>
                </c:pt>
                <c:pt idx="1001">
                  <c:v>-9.5077457875013E-3</c:v>
                </c:pt>
                <c:pt idx="1002">
                  <c:v>4.2280691117047896E-3</c:v>
                </c:pt>
                <c:pt idx="1003">
                  <c:v>-6.4857414364810097E-4</c:v>
                </c:pt>
                <c:pt idx="1004">
                  <c:v>2.3161281064152699E-2</c:v>
                </c:pt>
                <c:pt idx="1005">
                  <c:v>2.0054713159799599E-2</c:v>
                </c:pt>
                <c:pt idx="1006">
                  <c:v>-2.0198992490767999E-3</c:v>
                </c:pt>
                <c:pt idx="1007">
                  <c:v>1.6849190205335599E-2</c:v>
                </c:pt>
                <c:pt idx="1008">
                  <c:v>1.30602411627769E-2</c:v>
                </c:pt>
                <c:pt idx="1009">
                  <c:v>2.28218977451323E-2</c:v>
                </c:pt>
                <c:pt idx="1010">
                  <c:v>3.36028768420219E-2</c:v>
                </c:pt>
                <c:pt idx="1011">
                  <c:v>-5.2316941246390303E-2</c:v>
                </c:pt>
                <c:pt idx="1012">
                  <c:v>-1.7202915966510801E-2</c:v>
                </c:pt>
                <c:pt idx="1013">
                  <c:v>-2.2360206484794601E-2</c:v>
                </c:pt>
                <c:pt idx="1014">
                  <c:v>-3.0464451584964899E-2</c:v>
                </c:pt>
                <c:pt idx="1015">
                  <c:v>-3.0151818603277199E-2</c:v>
                </c:pt>
                <c:pt idx="1016">
                  <c:v>-1.6967348692938599E-2</c:v>
                </c:pt>
                <c:pt idx="1017">
                  <c:v>-2.3439487785100899E-2</c:v>
                </c:pt>
                <c:pt idx="1018">
                  <c:v>-1.0894821308553199E-2</c:v>
                </c:pt>
                <c:pt idx="1019">
                  <c:v>-1.12641729414459E-3</c:v>
                </c:pt>
                <c:pt idx="1020">
                  <c:v>6.3675407469272896E-3</c:v>
                </c:pt>
                <c:pt idx="1021">
                  <c:v>2.2839708417653998E-2</c:v>
                </c:pt>
                <c:pt idx="1022">
                  <c:v>7.7394901663064997E-3</c:v>
                </c:pt>
                <c:pt idx="1023">
                  <c:v>-2.9407854229211998E-3</c:v>
                </c:pt>
                <c:pt idx="1024">
                  <c:v>6.4341148585080896E-3</c:v>
                </c:pt>
                <c:pt idx="1025">
                  <c:v>1.0857348486781101E-2</c:v>
                </c:pt>
                <c:pt idx="1026">
                  <c:v>1.7077459126710898E-2</c:v>
                </c:pt>
                <c:pt idx="1027">
                  <c:v>1.7722649753093699E-2</c:v>
                </c:pt>
                <c:pt idx="1028">
                  <c:v>-2.6616426110267599E-2</c:v>
                </c:pt>
                <c:pt idx="1029">
                  <c:v>5.0445144653320298E-2</c:v>
                </c:pt>
                <c:pt idx="1030">
                  <c:v>3.1111496597528401E-2</c:v>
                </c:pt>
                <c:pt idx="1031">
                  <c:v>-3.88424302213825E-2</c:v>
                </c:pt>
                <c:pt idx="1032">
                  <c:v>-4.9752642124891298E-2</c:v>
                </c:pt>
                <c:pt idx="1033">
                  <c:v>2.14034158885478E-2</c:v>
                </c:pt>
                <c:pt idx="1034">
                  <c:v>-1.9640019506216001E-2</c:v>
                </c:pt>
                <c:pt idx="1035">
                  <c:v>5.8331449478865004E-3</c:v>
                </c:pt>
                <c:pt idx="1036">
                  <c:v>2.12651161849499E-2</c:v>
                </c:pt>
                <c:pt idx="1037">
                  <c:v>2.72271286845207E-2</c:v>
                </c:pt>
                <c:pt idx="1038">
                  <c:v>1.43816780075431E-2</c:v>
                </c:pt>
                <c:pt idx="1039">
                  <c:v>-3.28479028493165E-3</c:v>
                </c:pt>
                <c:pt idx="1040">
                  <c:v>7.6920275539159901E-3</c:v>
                </c:pt>
                <c:pt idx="1041">
                  <c:v>-1.4436652660369999E-3</c:v>
                </c:pt>
                <c:pt idx="1042">
                  <c:v>1.7518199205398599E-2</c:v>
                </c:pt>
                <c:pt idx="1043">
                  <c:v>5.3746664077043904E-3</c:v>
                </c:pt>
                <c:pt idx="1044">
                  <c:v>3.6041332662105602E-2</c:v>
                </c:pt>
                <c:pt idx="1045">
                  <c:v>-8.2361691789701499E-2</c:v>
                </c:pt>
                <c:pt idx="1046">
                  <c:v>-6.8770501464604896E-3</c:v>
                </c:pt>
                <c:pt idx="1047">
                  <c:v>8.6036167144774908E-3</c:v>
                </c:pt>
                <c:pt idx="1048">
                  <c:v>-1.14697490930557E-2</c:v>
                </c:pt>
                <c:pt idx="1049">
                  <c:v>-1.45954514890908E-2</c:v>
                </c:pt>
                <c:pt idx="1050">
                  <c:v>-1.3752834809943999E-2</c:v>
                </c:pt>
                <c:pt idx="1051">
                  <c:v>-1.6881634823977899E-2</c:v>
                </c:pt>
                <c:pt idx="1052">
                  <c:v>6.2618718445300904E-3</c:v>
                </c:pt>
                <c:pt idx="1053">
                  <c:v>1.92758931219578E-2</c:v>
                </c:pt>
                <c:pt idx="1054">
                  <c:v>1.07571378499269E-2</c:v>
                </c:pt>
                <c:pt idx="1055">
                  <c:v>2.9652981251478101E-2</c:v>
                </c:pt>
                <c:pt idx="1056">
                  <c:v>-2.90095933824778E-2</c:v>
                </c:pt>
                <c:pt idx="1057">
                  <c:v>1.25936881601809E-2</c:v>
                </c:pt>
                <c:pt idx="1058">
                  <c:v>-1.23644264191389E-2</c:v>
                </c:pt>
                <c:pt idx="1059">
                  <c:v>1.48487306833267E-2</c:v>
                </c:pt>
                <c:pt idx="1060">
                  <c:v>-1.34050938189029E-2</c:v>
                </c:pt>
                <c:pt idx="1061">
                  <c:v>4.4813914477825199E-2</c:v>
                </c:pt>
                <c:pt idx="1062">
                  <c:v>-4.6591771692037598E-2</c:v>
                </c:pt>
                <c:pt idx="1063">
                  <c:v>2.9545103788375899E-2</c:v>
                </c:pt>
                <c:pt idx="1064">
                  <c:v>-1.1160661429166999E-3</c:v>
                </c:pt>
                <c:pt idx="1065">
                  <c:v>-5.3353322029113803E-2</c:v>
                </c:pt>
                <c:pt idx="1066">
                  <c:v>-3.08824113607407E-2</c:v>
                </c:pt>
                <c:pt idx="1067">
                  <c:v>-7.7652029544115096E-3</c:v>
                </c:pt>
                <c:pt idx="1068">
                  <c:v>-1.6232701361179401E-2</c:v>
                </c:pt>
                <c:pt idx="1069">
                  <c:v>-5.3526072800158999E-3</c:v>
                </c:pt>
                <c:pt idx="1070">
                  <c:v>-1.27808075491339E-2</c:v>
                </c:pt>
                <c:pt idx="1071">
                  <c:v>-1.9887358121573901E-2</c:v>
                </c:pt>
                <c:pt idx="1072">
                  <c:v>1.92279984951019E-2</c:v>
                </c:pt>
                <c:pt idx="1073">
                  <c:v>1.0468729108572E-2</c:v>
                </c:pt>
                <c:pt idx="1074">
                  <c:v>1.92255058288574E-2</c:v>
                </c:pt>
                <c:pt idx="1075">
                  <c:v>2.66228655576706E-2</c:v>
                </c:pt>
                <c:pt idx="1076">
                  <c:v>3.9395584881305699E-2</c:v>
                </c:pt>
                <c:pt idx="1077">
                  <c:v>2.6997091352939599E-2</c:v>
                </c:pt>
                <c:pt idx="1078">
                  <c:v>2.3676818490028301E-2</c:v>
                </c:pt>
                <c:pt idx="1079">
                  <c:v>-5.2064243629574798E-2</c:v>
                </c:pt>
                <c:pt idx="1080">
                  <c:v>-1.8400001682341099E-2</c:v>
                </c:pt>
                <c:pt idx="1081">
                  <c:v>-1.16705157756805E-2</c:v>
                </c:pt>
                <c:pt idx="1082">
                  <c:v>-1.8425463989377E-2</c:v>
                </c:pt>
                <c:pt idx="1083">
                  <c:v>-8.5702153891324996E-3</c:v>
                </c:pt>
                <c:pt idx="1084">
                  <c:v>-2.17640634477138E-2</c:v>
                </c:pt>
                <c:pt idx="1085">
                  <c:v>-1.8065178178250801E-2</c:v>
                </c:pt>
                <c:pt idx="1086">
                  <c:v>-7.6985240951180003E-3</c:v>
                </c:pt>
                <c:pt idx="1087">
                  <c:v>3.8748294115069999E-4</c:v>
                </c:pt>
                <c:pt idx="1088">
                  <c:v>-6.0610400363802896E-3</c:v>
                </c:pt>
                <c:pt idx="1089">
                  <c:v>2.62620376199484E-2</c:v>
                </c:pt>
                <c:pt idx="1090">
                  <c:v>1.5099723160266899E-2</c:v>
                </c:pt>
                <c:pt idx="1091">
                  <c:v>9.8164097368716903E-3</c:v>
                </c:pt>
                <c:pt idx="1092">
                  <c:v>9.1350229680537895E-3</c:v>
                </c:pt>
                <c:pt idx="1093">
                  <c:v>2.59054034650326E-2</c:v>
                </c:pt>
                <c:pt idx="1094">
                  <c:v>2.83578355908394E-2</c:v>
                </c:pt>
                <c:pt idx="1095">
                  <c:v>5.4212784647941999E-2</c:v>
                </c:pt>
                <c:pt idx="1096">
                  <c:v>-1.1310744285582899E-3</c:v>
                </c:pt>
                <c:pt idx="1097">
                  <c:v>1.43862828910351E-2</c:v>
                </c:pt>
                <c:pt idx="1098">
                  <c:v>-1.08693045526743E-2</c:v>
                </c:pt>
                <c:pt idx="1099">
                  <c:v>-6.5099471539258894E-2</c:v>
                </c:pt>
                <c:pt idx="1100">
                  <c:v>-4.1042160898446998E-2</c:v>
                </c:pt>
                <c:pt idx="1101">
                  <c:v>-2.19349834918975E-2</c:v>
                </c:pt>
                <c:pt idx="1102">
                  <c:v>-1.6176160767674402E-2</c:v>
                </c:pt>
                <c:pt idx="1103">
                  <c:v>-1.5764723569155E-3</c:v>
                </c:pt>
                <c:pt idx="1104">
                  <c:v>1.28964955359697E-2</c:v>
                </c:pt>
                <c:pt idx="1105">
                  <c:v>1.48210067451E-2</c:v>
                </c:pt>
                <c:pt idx="1106">
                  <c:v>5.8898741543292998E-2</c:v>
                </c:pt>
                <c:pt idx="1107">
                  <c:v>4.5452386409044303E-2</c:v>
                </c:pt>
                <c:pt idx="1108">
                  <c:v>2.71324046850203E-2</c:v>
                </c:pt>
                <c:pt idx="1109">
                  <c:v>2.1218352228403001E-2</c:v>
                </c:pt>
                <c:pt idx="1110">
                  <c:v>3.3324628293514298E-2</c:v>
                </c:pt>
                <c:pt idx="1111">
                  <c:v>5.9084134280681599E-2</c:v>
                </c:pt>
                <c:pt idx="1112">
                  <c:v>9.1576284050940995E-2</c:v>
                </c:pt>
                <c:pt idx="1113">
                  <c:v>-4.4775178581476199E-2</c:v>
                </c:pt>
                <c:pt idx="1114">
                  <c:v>2.9861906200647399E-2</c:v>
                </c:pt>
                <c:pt idx="1115">
                  <c:v>-3.9981034547090996E-3</c:v>
                </c:pt>
                <c:pt idx="1116">
                  <c:v>-5.2447180554270598E-2</c:v>
                </c:pt>
                <c:pt idx="1117">
                  <c:v>-2.7497474759817099E-2</c:v>
                </c:pt>
                <c:pt idx="1118">
                  <c:v>-9.5293402522802304E-3</c:v>
                </c:pt>
                <c:pt idx="1119">
                  <c:v>-2.32747889757156E-2</c:v>
                </c:pt>
                <c:pt idx="1120">
                  <c:v>-8.6150330528617005E-3</c:v>
                </c:pt>
                <c:pt idx="1121">
                  <c:v>1.9844329357147001E-3</c:v>
                </c:pt>
                <c:pt idx="1122">
                  <c:v>1.1191387489437999E-2</c:v>
                </c:pt>
                <c:pt idx="1123">
                  <c:v>3.39684171378613E-2</c:v>
                </c:pt>
                <c:pt idx="1124">
                  <c:v>1.3823884427546999E-3</c:v>
                </c:pt>
                <c:pt idx="1125">
                  <c:v>-1.3875923402607401E-2</c:v>
                </c:pt>
                <c:pt idx="1126">
                  <c:v>6.3799491375685002E-3</c:v>
                </c:pt>
                <c:pt idx="1127">
                  <c:v>2.4997464537620501E-2</c:v>
                </c:pt>
                <c:pt idx="1128">
                  <c:v>2.61125360727309E-2</c:v>
                </c:pt>
                <c:pt idx="1129">
                  <c:v>3.9528971791267298E-2</c:v>
                </c:pt>
                <c:pt idx="1130">
                  <c:v>-2.6032594889402402E-2</c:v>
                </c:pt>
                <c:pt idx="1131">
                  <c:v>1.3471515506506E-2</c:v>
                </c:pt>
                <c:pt idx="1132">
                  <c:v>-1.7037478178739501E-2</c:v>
                </c:pt>
                <c:pt idx="1133">
                  <c:v>-6.1492822423577301E-2</c:v>
                </c:pt>
                <c:pt idx="1134">
                  <c:v>-3.2205932497978103E-2</c:v>
                </c:pt>
                <c:pt idx="1135">
                  <c:v>-1.4112458502873701E-2</c:v>
                </c:pt>
                <c:pt idx="1136">
                  <c:v>-1.8533006653189701E-2</c:v>
                </c:pt>
                <c:pt idx="1137">
                  <c:v>-4.3485707640647997E-3</c:v>
                </c:pt>
                <c:pt idx="1138">
                  <c:v>9.3040302395819903E-4</c:v>
                </c:pt>
                <c:pt idx="1139">
                  <c:v>9.1073017716407894E-3</c:v>
                </c:pt>
                <c:pt idx="1140">
                  <c:v>4.0068334132432902E-2</c:v>
                </c:pt>
                <c:pt idx="1141">
                  <c:v>2.2470958799123801E-2</c:v>
                </c:pt>
                <c:pt idx="1142">
                  <c:v>1.9393263101577799E-2</c:v>
                </c:pt>
                <c:pt idx="1143">
                  <c:v>1.7181694716215098E-2</c:v>
                </c:pt>
                <c:pt idx="1144">
                  <c:v>1.8203209310770001E-2</c:v>
                </c:pt>
                <c:pt idx="1145">
                  <c:v>2.7563421159982698E-2</c:v>
                </c:pt>
                <c:pt idx="1146">
                  <c:v>0.11796904194355</c:v>
                </c:pt>
                <c:pt idx="1147">
                  <c:v>-5.68393933773041E-2</c:v>
                </c:pt>
                <c:pt idx="1148">
                  <c:v>-1.2835996568203001E-2</c:v>
                </c:pt>
                <c:pt idx="1149">
                  <c:v>-9.1158998161554004E-3</c:v>
                </c:pt>
                <c:pt idx="1150">
                  <c:v>-2.3170659609138999E-2</c:v>
                </c:pt>
                <c:pt idx="1151">
                  <c:v>-1.5392879679799101E-2</c:v>
                </c:pt>
                <c:pt idx="1152">
                  <c:v>-1.49047029521316E-2</c:v>
                </c:pt>
                <c:pt idx="1153">
                  <c:v>-2.1169158041477201E-2</c:v>
                </c:pt>
                <c:pt idx="1154">
                  <c:v>-9.1127681583165997E-3</c:v>
                </c:pt>
                <c:pt idx="1155">
                  <c:v>8.1563132256268992E-3</c:v>
                </c:pt>
                <c:pt idx="1156">
                  <c:v>1.0411658152937899E-2</c:v>
                </c:pt>
                <c:pt idx="1157">
                  <c:v>4.5549372375011402E-2</c:v>
                </c:pt>
                <c:pt idx="1158">
                  <c:v>2.9011868208646801E-2</c:v>
                </c:pt>
                <c:pt idx="1159">
                  <c:v>8.8638101667165899E-3</c:v>
                </c:pt>
                <c:pt idx="1160">
                  <c:v>1.8879339307546601E-2</c:v>
                </c:pt>
                <c:pt idx="1161">
                  <c:v>1.6286379814147899E-2</c:v>
                </c:pt>
                <c:pt idx="1162">
                  <c:v>3.3064039528369803E-2</c:v>
                </c:pt>
                <c:pt idx="1163">
                  <c:v>5.9621347367763998E-2</c:v>
                </c:pt>
                <c:pt idx="1164">
                  <c:v>-3.1002705842256499E-2</c:v>
                </c:pt>
                <c:pt idx="1165">
                  <c:v>-1.80456380993128E-2</c:v>
                </c:pt>
                <c:pt idx="1166">
                  <c:v>1.6906439363955899E-3</c:v>
                </c:pt>
                <c:pt idx="1167">
                  <c:v>-2.0879338786006001E-2</c:v>
                </c:pt>
                <c:pt idx="1168">
                  <c:v>-1.3598634585738199E-2</c:v>
                </c:pt>
                <c:pt idx="1169">
                  <c:v>-1.1490824803709899E-2</c:v>
                </c:pt>
                <c:pt idx="1170">
                  <c:v>-2.1512911997735501E-2</c:v>
                </c:pt>
                <c:pt idx="1171">
                  <c:v>-5.4498867169022998E-3</c:v>
                </c:pt>
                <c:pt idx="1172">
                  <c:v>6.2768670171498998E-3</c:v>
                </c:pt>
                <c:pt idx="1173">
                  <c:v>1.6391471177339999E-3</c:v>
                </c:pt>
                <c:pt idx="1174">
                  <c:v>3.0520817428827299E-2</c:v>
                </c:pt>
                <c:pt idx="1175">
                  <c:v>1.66333841979504E-2</c:v>
                </c:pt>
                <c:pt idx="1176">
                  <c:v>-4.3906888961791997E-3</c:v>
                </c:pt>
                <c:pt idx="1177">
                  <c:v>4.0055832266809902E-4</c:v>
                </c:pt>
                <c:pt idx="1178">
                  <c:v>1.8121789366006901E-2</c:v>
                </c:pt>
                <c:pt idx="1179">
                  <c:v>9.7921510338782897E-3</c:v>
                </c:pt>
                <c:pt idx="1180">
                  <c:v>2.5074972093105299E-2</c:v>
                </c:pt>
                <c:pt idx="1181">
                  <c:v>-2.14767362177372E-2</c:v>
                </c:pt>
                <c:pt idx="1182">
                  <c:v>1.9184948533773401E-2</c:v>
                </c:pt>
                <c:pt idx="1183">
                  <c:v>2.2030691713094599E-2</c:v>
                </c:pt>
                <c:pt idx="1184">
                  <c:v>-2.2837410971522299E-2</c:v>
                </c:pt>
                <c:pt idx="1185">
                  <c:v>-4.3088269144296601E-2</c:v>
                </c:pt>
                <c:pt idx="1186">
                  <c:v>-6.5770762413739996E-4</c:v>
                </c:pt>
                <c:pt idx="1187">
                  <c:v>7.1506813466548896E-3</c:v>
                </c:pt>
                <c:pt idx="1188">
                  <c:v>6.3417992591857904E-3</c:v>
                </c:pt>
                <c:pt idx="1189">
                  <c:v>-2.23972362577914E-2</c:v>
                </c:pt>
                <c:pt idx="1190">
                  <c:v>-2.71041511595249E-2</c:v>
                </c:pt>
                <c:pt idx="1191">
                  <c:v>-1.3981579508632399E-2</c:v>
                </c:pt>
                <c:pt idx="1192">
                  <c:v>3.1670679926872197E-2</c:v>
                </c:pt>
                <c:pt idx="1193">
                  <c:v>-9.7940200567250097E-4</c:v>
                </c:pt>
                <c:pt idx="1194">
                  <c:v>-5.3403911471366902E-2</c:v>
                </c:pt>
                <c:pt idx="1195">
                  <c:v>-2.9409763127565301E-2</c:v>
                </c:pt>
                <c:pt idx="1196">
                  <c:v>-8.1829514205455801E-3</c:v>
                </c:pt>
                <c:pt idx="1197">
                  <c:v>-2.82887174915522E-2</c:v>
                </c:pt>
                <c:pt idx="1198">
                  <c:v>-6.5537535622715998E-3</c:v>
                </c:pt>
                <c:pt idx="1199">
                  <c:v>7.0375750213861003E-3</c:v>
                </c:pt>
                <c:pt idx="1200">
                  <c:v>-9.4111125767230904E-3</c:v>
                </c:pt>
                <c:pt idx="1201">
                  <c:v>2.93949043154716E-2</c:v>
                </c:pt>
                <c:pt idx="1202">
                  <c:v>2.10580642223358E-2</c:v>
                </c:pt>
                <c:pt idx="1203">
                  <c:v>1.4363964736461499E-2</c:v>
                </c:pt>
                <c:pt idx="1204">
                  <c:v>-5.6266931593417996E-3</c:v>
                </c:pt>
                <c:pt idx="1205">
                  <c:v>3.2068840384483301E-2</c:v>
                </c:pt>
                <c:pt idx="1206">
                  <c:v>3.5050084918737401E-2</c:v>
                </c:pt>
                <c:pt idx="1207">
                  <c:v>7.0017902433872001E-2</c:v>
                </c:pt>
                <c:pt idx="1208">
                  <c:v>9.9292826652526908E-3</c:v>
                </c:pt>
                <c:pt idx="1209">
                  <c:v>3.2478479325771303E-2</c:v>
                </c:pt>
                <c:pt idx="1210">
                  <c:v>-8.6903841793539998E-4</c:v>
                </c:pt>
                <c:pt idx="1211">
                  <c:v>-6.4450026780366904E-2</c:v>
                </c:pt>
                <c:pt idx="1212">
                  <c:v>-2.070812946558E-2</c:v>
                </c:pt>
                <c:pt idx="1213">
                  <c:v>-6.6575363129377403E-3</c:v>
                </c:pt>
                <c:pt idx="1214">
                  <c:v>-2.4221320513635802E-2</c:v>
                </c:pt>
                <c:pt idx="1215">
                  <c:v>3.9758530408143897E-3</c:v>
                </c:pt>
                <c:pt idx="1216">
                  <c:v>7.0151338726282004E-3</c:v>
                </c:pt>
                <c:pt idx="1217">
                  <c:v>7.3373021185399803E-4</c:v>
                </c:pt>
                <c:pt idx="1218">
                  <c:v>-2.06972861886024E-2</c:v>
                </c:pt>
                <c:pt idx="1219">
                  <c:v>-2.1233615197241301E-2</c:v>
                </c:pt>
                <c:pt idx="1220">
                  <c:v>-1.92540218625217E-2</c:v>
                </c:pt>
                <c:pt idx="1221">
                  <c:v>-1.13829074203968E-2</c:v>
                </c:pt>
                <c:pt idx="1222">
                  <c:v>5.9458251744509E-3</c:v>
                </c:pt>
                <c:pt idx="1223">
                  <c:v>3.2667087495326999E-2</c:v>
                </c:pt>
                <c:pt idx="1224">
                  <c:v>5.0971133887767799E-2</c:v>
                </c:pt>
                <c:pt idx="1225">
                  <c:v>-6.00828918814659E-2</c:v>
                </c:pt>
                <c:pt idx="1226">
                  <c:v>2.8660187155008301E-2</c:v>
                </c:pt>
                <c:pt idx="1227">
                  <c:v>-3.7626613825559999E-3</c:v>
                </c:pt>
                <c:pt idx="1228">
                  <c:v>-5.2690304175019298E-2</c:v>
                </c:pt>
                <c:pt idx="1229">
                  <c:v>-2.8840628176927601E-2</c:v>
                </c:pt>
                <c:pt idx="1230">
                  <c:v>-4.0175562575458998E-3</c:v>
                </c:pt>
                <c:pt idx="1231">
                  <c:v>-1.9425736151635599E-2</c:v>
                </c:pt>
                <c:pt idx="1232">
                  <c:v>-3.0183776319026999E-3</c:v>
                </c:pt>
                <c:pt idx="1233">
                  <c:v>1.23933634161948E-2</c:v>
                </c:pt>
                <c:pt idx="1234">
                  <c:v>1.0627119630575201E-2</c:v>
                </c:pt>
                <c:pt idx="1235">
                  <c:v>4.43890487551689E-2</c:v>
                </c:pt>
                <c:pt idx="1236">
                  <c:v>2.3841444671154E-2</c:v>
                </c:pt>
                <c:pt idx="1237">
                  <c:v>1.7538139313459399E-2</c:v>
                </c:pt>
                <c:pt idx="1238">
                  <c:v>9.7166264653206005E-3</c:v>
                </c:pt>
                <c:pt idx="1239">
                  <c:v>2.2402006357908202E-2</c:v>
                </c:pt>
                <c:pt idx="1240">
                  <c:v>-7.6428883522750002E-4</c:v>
                </c:pt>
                <c:pt idx="1241">
                  <c:v>8.2172995686530997E-2</c:v>
                </c:pt>
                <c:pt idx="1242">
                  <c:v>-3.4768273979425397E-2</c:v>
                </c:pt>
                <c:pt idx="1243">
                  <c:v>-9.8349933326239911E-4</c:v>
                </c:pt>
                <c:pt idx="1244">
                  <c:v>2.2118586152791902E-3</c:v>
                </c:pt>
                <c:pt idx="1245">
                  <c:v>-3.1782400153577299E-2</c:v>
                </c:pt>
                <c:pt idx="1246">
                  <c:v>-2.48898702710867E-2</c:v>
                </c:pt>
                <c:pt idx="1247">
                  <c:v>-9.8652377724599201E-5</c:v>
                </c:pt>
                <c:pt idx="1248">
                  <c:v>-2.0949400372803201E-2</c:v>
                </c:pt>
                <c:pt idx="1249">
                  <c:v>-3.3226723819970998E-3</c:v>
                </c:pt>
                <c:pt idx="1250">
                  <c:v>3.7401752918958999E-3</c:v>
                </c:pt>
                <c:pt idx="1251">
                  <c:v>-2.1047407612205002E-3</c:v>
                </c:pt>
                <c:pt idx="1252">
                  <c:v>2.83761361390352E-2</c:v>
                </c:pt>
                <c:pt idx="1253">
                  <c:v>1.7323868617415399E-2</c:v>
                </c:pt>
                <c:pt idx="1254">
                  <c:v>8.2307380586863002E-3</c:v>
                </c:pt>
                <c:pt idx="1255">
                  <c:v>1.31741056442261E-2</c:v>
                </c:pt>
                <c:pt idx="1256">
                  <c:v>1.0752401471138E-2</c:v>
                </c:pt>
                <c:pt idx="1257">
                  <c:v>3.5375746071338698E-2</c:v>
                </c:pt>
                <c:pt idx="1258">
                  <c:v>2.1199187517165999E-2</c:v>
                </c:pt>
                <c:pt idx="1259">
                  <c:v>-2.04073320329189E-2</c:v>
                </c:pt>
                <c:pt idx="1260">
                  <c:v>-1.1472883045673401E-2</c:v>
                </c:pt>
                <c:pt idx="1261">
                  <c:v>-9.2114609628915992E-3</c:v>
                </c:pt>
                <c:pt idx="1262">
                  <c:v>-2.2905494377016999E-2</c:v>
                </c:pt>
                <c:pt idx="1263">
                  <c:v>-1.5915521144866902E-2</c:v>
                </c:pt>
                <c:pt idx="1264">
                  <c:v>-1.5120121123269201E-2</c:v>
                </c:pt>
                <c:pt idx="1265">
                  <c:v>-2.3244018077850301E-2</c:v>
                </c:pt>
                <c:pt idx="1266">
                  <c:v>-1.17654179260134E-2</c:v>
                </c:pt>
                <c:pt idx="1267">
                  <c:v>-1.1677251756190899E-3</c:v>
                </c:pt>
                <c:pt idx="1268">
                  <c:v>-4.2642254233359999E-3</c:v>
                </c:pt>
                <c:pt idx="1269">
                  <c:v>3.3298520535230601E-2</c:v>
                </c:pt>
                <c:pt idx="1270">
                  <c:v>1.9030552625656099E-2</c:v>
                </c:pt>
                <c:pt idx="1271">
                  <c:v>-5.7568429410460105E-4</c:v>
                </c:pt>
                <c:pt idx="1272">
                  <c:v>6.5204913020134002E-3</c:v>
                </c:pt>
                <c:pt idx="1273">
                  <c:v>1.5462613821029699E-2</c:v>
                </c:pt>
                <c:pt idx="1274">
                  <c:v>1.7789799824357001E-2</c:v>
                </c:pt>
                <c:pt idx="1275">
                  <c:v>3.1900374472141203E-2</c:v>
                </c:pt>
                <c:pt idx="1276">
                  <c:v>-2.1703889518976199E-2</c:v>
                </c:pt>
                <c:pt idx="1277">
                  <c:v>1.50584668219089E-2</c:v>
                </c:pt>
                <c:pt idx="1278">
                  <c:v>-2.9586506038904001E-3</c:v>
                </c:pt>
                <c:pt idx="1279">
                  <c:v>-5.1833861798047998E-2</c:v>
                </c:pt>
                <c:pt idx="1280">
                  <c:v>-7.5398505389690396E-2</c:v>
                </c:pt>
                <c:pt idx="1281">
                  <c:v>-3.7370586007833502E-2</c:v>
                </c:pt>
                <c:pt idx="1282">
                  <c:v>-2.7492273475974799E-2</c:v>
                </c:pt>
                <c:pt idx="1283">
                  <c:v>-1.4615630082786E-2</c:v>
                </c:pt>
                <c:pt idx="1284">
                  <c:v>8.0837985873221992E-3</c:v>
                </c:pt>
                <c:pt idx="1285">
                  <c:v>1.0052996516227699E-2</c:v>
                </c:pt>
                <c:pt idx="1286">
                  <c:v>5.4770970880985301E-2</c:v>
                </c:pt>
                <c:pt idx="1287">
                  <c:v>4.05493269562721E-2</c:v>
                </c:pt>
                <c:pt idx="1288">
                  <c:v>2.8919623881578298E-2</c:v>
                </c:pt>
                <c:pt idx="1289">
                  <c:v>4.5440633058548001E-2</c:v>
                </c:pt>
                <c:pt idx="1290">
                  <c:v>4.2124959796667097E-2</c:v>
                </c:pt>
                <c:pt idx="1291">
                  <c:v>3.8351165235042603E-2</c:v>
                </c:pt>
                <c:pt idx="1292">
                  <c:v>0.152291244149208</c:v>
                </c:pt>
                <c:pt idx="1293">
                  <c:v>-8.6463308352976997E-2</c:v>
                </c:pt>
                <c:pt idx="1294">
                  <c:v>-5.9282749891302597E-5</c:v>
                </c:pt>
                <c:pt idx="1295">
                  <c:v>3.1694426238536898E-3</c:v>
                </c:pt>
                <c:pt idx="1296">
                  <c:v>-3.2020135607570402E-2</c:v>
                </c:pt>
                <c:pt idx="1297">
                  <c:v>-2.3607340365648301E-2</c:v>
                </c:pt>
                <c:pt idx="1298">
                  <c:v>-1.7635982334614001E-3</c:v>
                </c:pt>
                <c:pt idx="1299">
                  <c:v>-2.1744883961975599E-2</c:v>
                </c:pt>
                <c:pt idx="1300">
                  <c:v>-5.6003931015730004E-3</c:v>
                </c:pt>
                <c:pt idx="1301">
                  <c:v>-6.6477994993328904E-3</c:v>
                </c:pt>
                <c:pt idx="1302">
                  <c:v>3.7373274713754902E-3</c:v>
                </c:pt>
                <c:pt idx="1303">
                  <c:v>3.0336411833763101E-2</c:v>
                </c:pt>
                <c:pt idx="1304">
                  <c:v>1.5235478326678299E-2</c:v>
                </c:pt>
                <c:pt idx="1305">
                  <c:v>1.34050712883472E-2</c:v>
                </c:pt>
                <c:pt idx="1306">
                  <c:v>8.6950550079345906E-3</c:v>
                </c:pt>
                <c:pt idx="1307">
                  <c:v>1.83711193203926E-2</c:v>
                </c:pt>
                <c:pt idx="1308">
                  <c:v>4.0119828760623803E-2</c:v>
                </c:pt>
                <c:pt idx="1309">
                  <c:v>5.3667454302310999E-2</c:v>
                </c:pt>
                <c:pt idx="1310">
                  <c:v>-2.5418607443571099E-2</c:v>
                </c:pt>
                <c:pt idx="1311">
                  <c:v>-1.2606717988848701E-2</c:v>
                </c:pt>
                <c:pt idx="1312">
                  <c:v>-8.0677297860384002E-3</c:v>
                </c:pt>
                <c:pt idx="1313">
                  <c:v>-2.1254337683319999E-2</c:v>
                </c:pt>
                <c:pt idx="1314">
                  <c:v>-1.91821220368147E-2</c:v>
                </c:pt>
                <c:pt idx="1315">
                  <c:v>-1.6253441889071799E-2</c:v>
                </c:pt>
                <c:pt idx="1316">
                  <c:v>-2.1426183514296999E-2</c:v>
                </c:pt>
                <c:pt idx="1317">
                  <c:v>-7.2368842586875001E-3</c:v>
                </c:pt>
                <c:pt idx="1318">
                  <c:v>2.6339447498321899E-3</c:v>
                </c:pt>
                <c:pt idx="1319">
                  <c:v>1.0518904924393E-3</c:v>
                </c:pt>
                <c:pt idx="1320">
                  <c:v>2.6543818578124E-2</c:v>
                </c:pt>
                <c:pt idx="1321">
                  <c:v>1.22470877021551E-2</c:v>
                </c:pt>
                <c:pt idx="1322">
                  <c:v>-8.9439591765399997E-4</c:v>
                </c:pt>
                <c:pt idx="1323">
                  <c:v>1.48315934836859E-3</c:v>
                </c:pt>
                <c:pt idx="1324">
                  <c:v>1.9445176392793698E-2</c:v>
                </c:pt>
                <c:pt idx="1325">
                  <c:v>1.3627383038402E-3</c:v>
                </c:pt>
                <c:pt idx="1326">
                  <c:v>1.9327854990959101E-2</c:v>
                </c:pt>
                <c:pt idx="1327">
                  <c:v>-2.2195337265729899E-2</c:v>
                </c:pt>
                <c:pt idx="1328">
                  <c:v>2.9912659555673599E-2</c:v>
                </c:pt>
                <c:pt idx="1329">
                  <c:v>-2.2829034924509999E-4</c:v>
                </c:pt>
                <c:pt idx="1330">
                  <c:v>-5.5354646697640397E-2</c:v>
                </c:pt>
                <c:pt idx="1331">
                  <c:v>-2.6859587714076E-2</c:v>
                </c:pt>
                <c:pt idx="1332">
                  <c:v>-7.9167105108499496E-3</c:v>
                </c:pt>
                <c:pt idx="1333">
                  <c:v>-2.45716314464807E-2</c:v>
                </c:pt>
                <c:pt idx="1334">
                  <c:v>-1.06050188690424E-2</c:v>
                </c:pt>
                <c:pt idx="1335">
                  <c:v>-8.6770377680659202E-3</c:v>
                </c:pt>
                <c:pt idx="1336">
                  <c:v>-6.5649572610855097E-3</c:v>
                </c:pt>
                <c:pt idx="1337">
                  <c:v>1.7839009106159199E-2</c:v>
                </c:pt>
                <c:pt idx="1338">
                  <c:v>6.7045672684907997E-3</c:v>
                </c:pt>
                <c:pt idx="1339">
                  <c:v>-9.2401116192341003E-3</c:v>
                </c:pt>
                <c:pt idx="1340">
                  <c:v>-4.5160742104050002E-4</c:v>
                </c:pt>
                <c:pt idx="1341">
                  <c:v>1.26219719350338E-2</c:v>
                </c:pt>
                <c:pt idx="1342">
                  <c:v>2.59578955471516E-2</c:v>
                </c:pt>
                <c:pt idx="1343">
                  <c:v>2.7534252285957201E-2</c:v>
                </c:pt>
                <c:pt idx="1344">
                  <c:v>-1.42636615037917E-2</c:v>
                </c:pt>
                <c:pt idx="1345">
                  <c:v>2.77992762923241E-2</c:v>
                </c:pt>
                <c:pt idx="1346">
                  <c:v>1.3129356414079699E-2</c:v>
                </c:pt>
                <c:pt idx="1347">
                  <c:v>-2.5649508751928798E-2</c:v>
                </c:pt>
                <c:pt idx="1348">
                  <c:v>-6.5898881018161798E-2</c:v>
                </c:pt>
                <c:pt idx="1349">
                  <c:v>-2.54772074371576E-2</c:v>
                </c:pt>
                <c:pt idx="1350">
                  <c:v>-1.9595724873244801E-2</c:v>
                </c:pt>
                <c:pt idx="1351">
                  <c:v>-2.1652563512325001E-3</c:v>
                </c:pt>
                <c:pt idx="1352">
                  <c:v>1.09333997964859E-2</c:v>
                </c:pt>
                <c:pt idx="1353">
                  <c:v>1.3834419488906799E-2</c:v>
                </c:pt>
                <c:pt idx="1354">
                  <c:v>5.0613859832286799E-2</c:v>
                </c:pt>
                <c:pt idx="1355">
                  <c:v>2.38984714150429E-2</c:v>
                </c:pt>
                <c:pt idx="1356">
                  <c:v>1.0617771834135E-2</c:v>
                </c:pt>
                <c:pt idx="1357">
                  <c:v>8.2121754288672893E-3</c:v>
                </c:pt>
                <c:pt idx="1358">
                  <c:v>6.2220237851143001E-3</c:v>
                </c:pt>
                <c:pt idx="1359">
                  <c:v>-2.17293443977832E-2</c:v>
                </c:pt>
                <c:pt idx="1360">
                  <c:v>1.5677927315234999E-2</c:v>
                </c:pt>
                <c:pt idx="1361">
                  <c:v>-4.7551570385694499E-2</c:v>
                </c:pt>
                <c:pt idx="1362">
                  <c:v>3.1407972455024698E-2</c:v>
                </c:pt>
                <c:pt idx="1363">
                  <c:v>-4.4420667886733997E-3</c:v>
                </c:pt>
                <c:pt idx="1364">
                  <c:v>-5.08999287262559E-2</c:v>
                </c:pt>
                <c:pt idx="1365">
                  <c:v>-2.7827855855226499E-2</c:v>
                </c:pt>
                <c:pt idx="1366">
                  <c:v>-6.8212060108780899E-3</c:v>
                </c:pt>
                <c:pt idx="1367">
                  <c:v>-2.34531437680125E-2</c:v>
                </c:pt>
                <c:pt idx="1368">
                  <c:v>5.0808430612086898E-3</c:v>
                </c:pt>
                <c:pt idx="1369">
                  <c:v>8.1683328747749005E-3</c:v>
                </c:pt>
                <c:pt idx="1370">
                  <c:v>-4.0968062207102996E-3</c:v>
                </c:pt>
                <c:pt idx="1371">
                  <c:v>2.5861472055315901E-2</c:v>
                </c:pt>
                <c:pt idx="1372">
                  <c:v>1.56055691540241E-2</c:v>
                </c:pt>
                <c:pt idx="1373">
                  <c:v>-3.1738004684447999E-3</c:v>
                </c:pt>
                <c:pt idx="1374">
                  <c:v>6.0476904958487003E-3</c:v>
                </c:pt>
                <c:pt idx="1375">
                  <c:v>1.42512239217757E-2</c:v>
                </c:pt>
                <c:pt idx="1376">
                  <c:v>9.5074326843022899E-3</c:v>
                </c:pt>
                <c:pt idx="1377">
                  <c:v>2.4597583591938001E-2</c:v>
                </c:pt>
                <c:pt idx="1378">
                  <c:v>-2.5426333695650099E-2</c:v>
                </c:pt>
                <c:pt idx="1379">
                  <c:v>9.5952503681182993E-3</c:v>
                </c:pt>
                <c:pt idx="1380">
                  <c:v>1.3139276862144399E-2</c:v>
                </c:pt>
                <c:pt idx="1381">
                  <c:v>-2.8377309732139099E-2</c:v>
                </c:pt>
                <c:pt idx="1382">
                  <c:v>-2.7707428395748E-2</c:v>
                </c:pt>
                <c:pt idx="1383">
                  <c:v>-1.54532386190257E-2</c:v>
                </c:pt>
                <c:pt idx="1384">
                  <c:v>-2.1844923838973001E-2</c:v>
                </c:pt>
                <c:pt idx="1385">
                  <c:v>-3.4110176414250998E-3</c:v>
                </c:pt>
                <c:pt idx="1386">
                  <c:v>7.7076746523379999E-3</c:v>
                </c:pt>
                <c:pt idx="1387">
                  <c:v>-7.9417618364100004E-4</c:v>
                </c:pt>
                <c:pt idx="1388">
                  <c:v>1.6527103424072299E-2</c:v>
                </c:pt>
                <c:pt idx="1389">
                  <c:v>-4.8782114982604896E-3</c:v>
                </c:pt>
                <c:pt idx="1390">
                  <c:v>-1.9055461677722599E-2</c:v>
                </c:pt>
                <c:pt idx="1391">
                  <c:v>-6.4946653097867997E-3</c:v>
                </c:pt>
                <c:pt idx="1392">
                  <c:v>1.48215770423411E-2</c:v>
                </c:pt>
                <c:pt idx="1393">
                  <c:v>6.9971290528773903E-3</c:v>
                </c:pt>
                <c:pt idx="1394">
                  <c:v>1.0385571300983399E-2</c:v>
                </c:pt>
                <c:pt idx="1395">
                  <c:v>-3.5356877297162997E-2</c:v>
                </c:pt>
                <c:pt idx="1396">
                  <c:v>-6.5833594352006997E-3</c:v>
                </c:pt>
                <c:pt idx="1397">
                  <c:v>4.7654203176497904E-3</c:v>
                </c:pt>
                <c:pt idx="1398">
                  <c:v>-3.02157982364296E-2</c:v>
                </c:pt>
                <c:pt idx="1399">
                  <c:v>-2.42020550221205E-2</c:v>
                </c:pt>
                <c:pt idx="1400">
                  <c:v>-2.3903289660810998E-3</c:v>
                </c:pt>
                <c:pt idx="1401">
                  <c:v>-1.8688344739377499E-2</c:v>
                </c:pt>
                <c:pt idx="1402">
                  <c:v>-1.32988256439566E-2</c:v>
                </c:pt>
                <c:pt idx="1403">
                  <c:v>5.9187399595976003E-3</c:v>
                </c:pt>
                <c:pt idx="1404">
                  <c:v>-7.8999268263579999E-4</c:v>
                </c:pt>
                <c:pt idx="1405">
                  <c:v>6.1469586730003398E-2</c:v>
                </c:pt>
                <c:pt idx="1406">
                  <c:v>1.83367061316967E-2</c:v>
                </c:pt>
                <c:pt idx="1407">
                  <c:v>6.0214136689900897E-3</c:v>
                </c:pt>
                <c:pt idx="1408">
                  <c:v>3.4375827968120602E-2</c:v>
                </c:pt>
                <c:pt idx="1409">
                  <c:v>2.05272093117237E-2</c:v>
                </c:pt>
                <c:pt idx="1410">
                  <c:v>3.3023381710052403E-2</c:v>
                </c:pt>
                <c:pt idx="1411">
                  <c:v>1.12747639715672E-2</c:v>
                </c:pt>
                <c:pt idx="1412">
                  <c:v>1.1771681815385701E-2</c:v>
                </c:pt>
                <c:pt idx="1413">
                  <c:v>-2.6555738702416301E-2</c:v>
                </c:pt>
                <c:pt idx="1414">
                  <c:v>-3.10600779056549E-2</c:v>
                </c:pt>
                <c:pt idx="1415">
                  <c:v>-1.53192025576718E-2</c:v>
                </c:pt>
                <c:pt idx="1416">
                  <c:v>-2.3733306087553498E-2</c:v>
                </c:pt>
                <c:pt idx="1417">
                  <c:v>6.0692028701309704E-4</c:v>
                </c:pt>
                <c:pt idx="1418">
                  <c:v>-3.4960485994819902E-4</c:v>
                </c:pt>
                <c:pt idx="1419">
                  <c:v>-8.9545144550502304E-3</c:v>
                </c:pt>
                <c:pt idx="1420">
                  <c:v>8.2171803116798392E-3</c:v>
                </c:pt>
                <c:pt idx="1421">
                  <c:v>-6.8761834055185199E-3</c:v>
                </c:pt>
                <c:pt idx="1422">
                  <c:v>-3.1932237841188899E-2</c:v>
                </c:pt>
                <c:pt idx="1423">
                  <c:v>9.2094412446019902E-4</c:v>
                </c:pt>
                <c:pt idx="1424">
                  <c:v>2.5732099711894998E-3</c:v>
                </c:pt>
                <c:pt idx="1425">
                  <c:v>8.2822256833314997E-3</c:v>
                </c:pt>
                <c:pt idx="1426">
                  <c:v>-4.2174698114395004E-3</c:v>
                </c:pt>
                <c:pt idx="1427">
                  <c:v>-4.0806459188461298E-2</c:v>
                </c:pt>
                <c:pt idx="1428">
                  <c:v>1.7571648240089398E-2</c:v>
                </c:pt>
                <c:pt idx="1429">
                  <c:v>-4.4502866417170002E-3</c:v>
                </c:pt>
                <c:pt idx="1430">
                  <c:v>-5.42473022937775E-2</c:v>
                </c:pt>
                <c:pt idx="1431">
                  <c:v>-2.8795313745736999E-2</c:v>
                </c:pt>
                <c:pt idx="1432">
                  <c:v>-9.8339521177113094E-3</c:v>
                </c:pt>
                <c:pt idx="1433">
                  <c:v>-1.9027653492987101E-2</c:v>
                </c:pt>
                <c:pt idx="1434">
                  <c:v>-2.521237641573E-3</c:v>
                </c:pt>
                <c:pt idx="1435">
                  <c:v>5.7099467515944902E-3</c:v>
                </c:pt>
                <c:pt idx="1436">
                  <c:v>9.7065054029225901E-3</c:v>
                </c:pt>
                <c:pt idx="1437">
                  <c:v>4.47562282681465E-2</c:v>
                </c:pt>
                <c:pt idx="1438">
                  <c:v>4.4518702000379599E-2</c:v>
                </c:pt>
                <c:pt idx="1439">
                  <c:v>2.92900667488574E-2</c:v>
                </c:pt>
                <c:pt idx="1440">
                  <c:v>1.6187902748584601E-2</c:v>
                </c:pt>
                <c:pt idx="1441">
                  <c:v>1.42603993117809E-2</c:v>
                </c:pt>
                <c:pt idx="1442">
                  <c:v>8.2719960361718903E-3</c:v>
                </c:pt>
                <c:pt idx="1443">
                  <c:v>0.116891956210136</c:v>
                </c:pt>
                <c:pt idx="1444">
                  <c:v>-2.21573169529438E-2</c:v>
                </c:pt>
                <c:pt idx="1445">
                  <c:v>-2.7557613205164599E-2</c:v>
                </c:pt>
                <c:pt idx="1446">
                  <c:v>-1.7797598518431199E-2</c:v>
                </c:pt>
                <c:pt idx="1447">
                  <c:v>-4.3047071725129997E-2</c:v>
                </c:pt>
                <c:pt idx="1448">
                  <c:v>-3.5216041564941403E-2</c:v>
                </c:pt>
                <c:pt idx="1449">
                  <c:v>-2.0822008777409699E-2</c:v>
                </c:pt>
                <c:pt idx="1450">
                  <c:v>-2.7955690741538999E-2</c:v>
                </c:pt>
                <c:pt idx="1451">
                  <c:v>-7.8192682042717999E-3</c:v>
                </c:pt>
                <c:pt idx="1452">
                  <c:v>-2.79439833015199E-3</c:v>
                </c:pt>
                <c:pt idx="1453">
                  <c:v>-3.1329516172409E-3</c:v>
                </c:pt>
                <c:pt idx="1454">
                  <c:v>2.7160296380519901E-2</c:v>
                </c:pt>
                <c:pt idx="1455">
                  <c:v>1.6850015416741401E-2</c:v>
                </c:pt>
                <c:pt idx="1456">
                  <c:v>2.9400751888751901E-3</c:v>
                </c:pt>
                <c:pt idx="1457">
                  <c:v>3.6333758592605597E-2</c:v>
                </c:pt>
                <c:pt idx="1458">
                  <c:v>2.5485801666974998E-2</c:v>
                </c:pt>
                <c:pt idx="1459">
                  <c:v>4.4462846696376797E-2</c:v>
                </c:pt>
                <c:pt idx="1460">
                  <c:v>5.5403357625007997E-2</c:v>
                </c:pt>
                <c:pt idx="1461">
                  <c:v>-3.4795788973569899E-2</c:v>
                </c:pt>
                <c:pt idx="1462">
                  <c:v>8.9750975668429905E-3</c:v>
                </c:pt>
                <c:pt idx="1463">
                  <c:v>3.0282131433486902E-3</c:v>
                </c:pt>
                <c:pt idx="1464">
                  <c:v>-2.26703447401524E-2</c:v>
                </c:pt>
                <c:pt idx="1465">
                  <c:v>-3.4615055382251597E-2</c:v>
                </c:pt>
                <c:pt idx="1466">
                  <c:v>-7.1251151934266102E-3</c:v>
                </c:pt>
                <c:pt idx="1467">
                  <c:v>-1.5879856765270199E-2</c:v>
                </c:pt>
                <c:pt idx="1468">
                  <c:v>5.1374518871309996E-4</c:v>
                </c:pt>
                <c:pt idx="1469">
                  <c:v>2.01595841348171E-2</c:v>
                </c:pt>
                <c:pt idx="1470">
                  <c:v>-3.8834448754786902E-3</c:v>
                </c:pt>
                <c:pt idx="1471">
                  <c:v>5.6940386235713999E-2</c:v>
                </c:pt>
                <c:pt idx="1472">
                  <c:v>5.3049903631210302E-2</c:v>
                </c:pt>
                <c:pt idx="1473">
                  <c:v>4.0782728880643798E-2</c:v>
                </c:pt>
                <c:pt idx="1474">
                  <c:v>3.0968297481536899E-2</c:v>
                </c:pt>
                <c:pt idx="1475">
                  <c:v>3.2155468285083699E-2</c:v>
                </c:pt>
                <c:pt idx="1476">
                  <c:v>3.3025490224361298E-2</c:v>
                </c:pt>
                <c:pt idx="1477">
                  <c:v>3.11112536787987E-2</c:v>
                </c:pt>
                <c:pt idx="1478">
                  <c:v>-3.88050469756126E-2</c:v>
                </c:pt>
                <c:pt idx="1479">
                  <c:v>3.8549532771110499E-2</c:v>
                </c:pt>
                <c:pt idx="1480">
                  <c:v>-5.8847171217202999E-3</c:v>
                </c:pt>
                <c:pt idx="1481">
                  <c:v>-7.9127577424049397E-2</c:v>
                </c:pt>
                <c:pt idx="1482">
                  <c:v>-3.4366187363863002E-2</c:v>
                </c:pt>
                <c:pt idx="1483">
                  <c:v>-3.3573565855622E-3</c:v>
                </c:pt>
                <c:pt idx="1484">
                  <c:v>-2.2687541663646699E-2</c:v>
                </c:pt>
                <c:pt idx="1485">
                  <c:v>7.3940602093935E-3</c:v>
                </c:pt>
                <c:pt idx="1486">
                  <c:v>1.5759597197174999E-2</c:v>
                </c:pt>
                <c:pt idx="1487">
                  <c:v>8.1907630115746997E-3</c:v>
                </c:pt>
                <c:pt idx="1488">
                  <c:v>3.06529124975203E-2</c:v>
                </c:pt>
                <c:pt idx="1489">
                  <c:v>3.3418836891650999E-3</c:v>
                </c:pt>
                <c:pt idx="1490">
                  <c:v>5.7950215041639697E-4</c:v>
                </c:pt>
                <c:pt idx="1491">
                  <c:v>-2.8520615398879999E-4</c:v>
                </c:pt>
                <c:pt idx="1492">
                  <c:v>1.0760692104697199E-2</c:v>
                </c:pt>
                <c:pt idx="1493">
                  <c:v>-9.9095978196710299E-3</c:v>
                </c:pt>
                <c:pt idx="1494">
                  <c:v>0.10444541859626801</c:v>
                </c:pt>
                <c:pt idx="1495">
                  <c:v>-1.4041447937488599E-2</c:v>
                </c:pt>
                <c:pt idx="1496">
                  <c:v>8.1821956038474909E-3</c:v>
                </c:pt>
                <c:pt idx="1497">
                  <c:v>1.14422432184219E-2</c:v>
                </c:pt>
                <c:pt idx="1498">
                  <c:v>-2.92056112661957E-2</c:v>
                </c:pt>
                <c:pt idx="1499">
                  <c:v>-2.4323672711849199E-2</c:v>
                </c:pt>
                <c:pt idx="1500">
                  <c:v>-1.6763854826800501E-2</c:v>
                </c:pt>
                <c:pt idx="1501">
                  <c:v>-1.8557150259613998E-2</c:v>
                </c:pt>
                <c:pt idx="1502">
                  <c:v>1.14068628251552E-2</c:v>
                </c:pt>
                <c:pt idx="1503">
                  <c:v>1.33091347664595E-2</c:v>
                </c:pt>
                <c:pt idx="1504">
                  <c:v>2.0019239574670701E-2</c:v>
                </c:pt>
                <c:pt idx="1505">
                  <c:v>-0.116148648619652</c:v>
                </c:pt>
                <c:pt idx="1506">
                  <c:v>-3.0314009368419499E-2</c:v>
                </c:pt>
                <c:pt idx="1507">
                  <c:v>0.210086209416389</c:v>
                </c:pt>
                <c:pt idx="1508">
                  <c:v>9.0648491144179999E-2</c:v>
                </c:pt>
                <c:pt idx="1509">
                  <c:v>-7.22968660593033E-2</c:v>
                </c:pt>
                <c:pt idx="1510">
                  <c:v>-0.24208115589618701</c:v>
                </c:pt>
                <c:pt idx="1511">
                  <c:v>-2.9166683301329599E-2</c:v>
                </c:pt>
                <c:pt idx="1512">
                  <c:v>9.8206905722617893E-2</c:v>
                </c:pt>
                <c:pt idx="1513">
                  <c:v>-1.6896665439009698E-2</c:v>
                </c:pt>
                <c:pt idx="1514">
                  <c:v>-1.4401541925966699E-2</c:v>
                </c:pt>
                <c:pt idx="1515">
                  <c:v>-2.6192217424511902E-2</c:v>
                </c:pt>
                <c:pt idx="1516">
                  <c:v>-2.7922128051519401E-2</c:v>
                </c:pt>
                <c:pt idx="1517">
                  <c:v>-3.0600866474211199E-2</c:v>
                </c:pt>
                <c:pt idx="1518">
                  <c:v>-2.5437794037163199E-2</c:v>
                </c:pt>
                <c:pt idx="1519">
                  <c:v>-8.9094576463102995E-3</c:v>
                </c:pt>
                <c:pt idx="1520">
                  <c:v>1.0025395452975901E-3</c:v>
                </c:pt>
                <c:pt idx="1521">
                  <c:v>-9.972147494555E-4</c:v>
                </c:pt>
                <c:pt idx="1522">
                  <c:v>2.06751843690871E-2</c:v>
                </c:pt>
                <c:pt idx="1523">
                  <c:v>2.5821023508906002E-3</c:v>
                </c:pt>
                <c:pt idx="1524">
                  <c:v>-1.25742753073573E-2</c:v>
                </c:pt>
                <c:pt idx="1525">
                  <c:v>3.0115341991185998E-3</c:v>
                </c:pt>
                <c:pt idx="1526">
                  <c:v>9.1325726062059E-3</c:v>
                </c:pt>
                <c:pt idx="1527">
                  <c:v>3.0348152965306899E-3</c:v>
                </c:pt>
                <c:pt idx="1528">
                  <c:v>1.00445433259009E-2</c:v>
                </c:pt>
                <c:pt idx="1529">
                  <c:v>-3.67234814167023E-2</c:v>
                </c:pt>
                <c:pt idx="1530">
                  <c:v>-3.1334109306335001E-3</c:v>
                </c:pt>
                <c:pt idx="1531">
                  <c:v>-4.1366283744573998E-3</c:v>
                </c:pt>
                <c:pt idx="1532">
                  <c:v>-2.3556448809802399E-2</c:v>
                </c:pt>
                <c:pt idx="1533">
                  <c:v>-2.3814410626888299E-2</c:v>
                </c:pt>
                <c:pt idx="1534">
                  <c:v>-2.7021255195140998E-3</c:v>
                </c:pt>
                <c:pt idx="1535">
                  <c:v>-2.3996791213750798E-2</c:v>
                </c:pt>
                <c:pt idx="1536">
                  <c:v>-7.5514300763607003E-3</c:v>
                </c:pt>
                <c:pt idx="1537">
                  <c:v>-7.6161101460499593E-5</c:v>
                </c:pt>
                <c:pt idx="1538">
                  <c:v>-3.3571312054991999E-3</c:v>
                </c:pt>
                <c:pt idx="1539">
                  <c:v>3.0145326793193799E-2</c:v>
                </c:pt>
                <c:pt idx="1540">
                  <c:v>1.76202638894319E-2</c:v>
                </c:pt>
                <c:pt idx="1541">
                  <c:v>1.2159866929054301E-2</c:v>
                </c:pt>
                <c:pt idx="1542">
                  <c:v>4.3866338431834996E-3</c:v>
                </c:pt>
                <c:pt idx="1543">
                  <c:v>1.3593669205904E-2</c:v>
                </c:pt>
                <c:pt idx="1544">
                  <c:v>-1.52416153699159E-2</c:v>
                </c:pt>
                <c:pt idx="1545">
                  <c:v>-1.03329920470714E-2</c:v>
                </c:pt>
                <c:pt idx="1546">
                  <c:v>-5.3594440147280702E-2</c:v>
                </c:pt>
                <c:pt idx="1547">
                  <c:v>3.0203895300626799E-2</c:v>
                </c:pt>
                <c:pt idx="1548">
                  <c:v>-6.1853946149349002E-3</c:v>
                </c:pt>
                <c:pt idx="1549">
                  <c:v>-5.19530608430505E-2</c:v>
                </c:pt>
                <c:pt idx="1550">
                  <c:v>-2.63182452917099E-2</c:v>
                </c:pt>
                <c:pt idx="1551">
                  <c:v>-1.02737976089119E-2</c:v>
                </c:pt>
                <c:pt idx="1552">
                  <c:v>-2.13888952210546E-2</c:v>
                </c:pt>
                <c:pt idx="1553">
                  <c:v>-9.8210389763117006E-3</c:v>
                </c:pt>
                <c:pt idx="1554">
                  <c:v>-2.4222204089164902E-3</c:v>
                </c:pt>
                <c:pt idx="1555">
                  <c:v>8.2927335202694005E-3</c:v>
                </c:pt>
                <c:pt idx="1556">
                  <c:v>3.99304685890675E-2</c:v>
                </c:pt>
                <c:pt idx="1557">
                  <c:v>3.3302607834339E-3</c:v>
                </c:pt>
                <c:pt idx="1558">
                  <c:v>-3.4912846088408999E-3</c:v>
                </c:pt>
                <c:pt idx="1559">
                  <c:v>1.4838785141706499E-2</c:v>
                </c:pt>
                <c:pt idx="1560">
                  <c:v>1.8798033863305998E-2</c:v>
                </c:pt>
                <c:pt idx="1561">
                  <c:v>4.1286194801330597E-2</c:v>
                </c:pt>
                <c:pt idx="1562">
                  <c:v>7.5780270874499997E-2</c:v>
                </c:pt>
                <c:pt idx="1563">
                  <c:v>-1.80773231387138E-2</c:v>
                </c:pt>
                <c:pt idx="1564">
                  <c:v>4.2623035907744999E-3</c:v>
                </c:pt>
                <c:pt idx="1565">
                  <c:v>3.03619271516799E-3</c:v>
                </c:pt>
                <c:pt idx="1566">
                  <c:v>-3.3838624890893697E-2</c:v>
                </c:pt>
                <c:pt idx="1567">
                  <c:v>-4.8778005599975499E-2</c:v>
                </c:pt>
                <c:pt idx="1568">
                  <c:v>-9.7233952805399898E-3</c:v>
                </c:pt>
                <c:pt idx="1569">
                  <c:v>-1.9894528545439199E-2</c:v>
                </c:pt>
                <c:pt idx="1570">
                  <c:v>-5.7270660102366998E-3</c:v>
                </c:pt>
                <c:pt idx="1571">
                  <c:v>1.19032213836908E-2</c:v>
                </c:pt>
                <c:pt idx="1572">
                  <c:v>2.3227508008480099E-2</c:v>
                </c:pt>
                <c:pt idx="1573">
                  <c:v>9.5473082900047301E-2</c:v>
                </c:pt>
                <c:pt idx="1574">
                  <c:v>7.8031432151794394E-2</c:v>
                </c:pt>
                <c:pt idx="1575">
                  <c:v>4.2746400177478799E-2</c:v>
                </c:pt>
                <c:pt idx="1576">
                  <c:v>2.2710036695003499E-2</c:v>
                </c:pt>
                <c:pt idx="1577">
                  <c:v>4.4157191336154901E-2</c:v>
                </c:pt>
                <c:pt idx="1578">
                  <c:v>5.6131864070892303E-2</c:v>
                </c:pt>
                <c:pt idx="1579">
                  <c:v>5.6162504732609003E-2</c:v>
                </c:pt>
                <c:pt idx="1580">
                  <c:v>-5.01622929424047E-2</c:v>
                </c:pt>
                <c:pt idx="1581">
                  <c:v>2.98861205875873E-2</c:v>
                </c:pt>
                <c:pt idx="1582">
                  <c:v>-6.260909974575E-3</c:v>
                </c:pt>
                <c:pt idx="1583">
                  <c:v>-5.3518020838499103E-2</c:v>
                </c:pt>
                <c:pt idx="1584">
                  <c:v>-2.3293749153613999E-2</c:v>
                </c:pt>
                <c:pt idx="1585">
                  <c:v>-1.0817013852298199E-2</c:v>
                </c:pt>
                <c:pt idx="1586">
                  <c:v>-2.19942278862E-2</c:v>
                </c:pt>
                <c:pt idx="1587">
                  <c:v>-3.5896769762038998E-3</c:v>
                </c:pt>
                <c:pt idx="1588">
                  <c:v>1.1181336492299999E-2</c:v>
                </c:pt>
                <c:pt idx="1589">
                  <c:v>-1.0489802513271499E-2</c:v>
                </c:pt>
                <c:pt idx="1590">
                  <c:v>1.5279444098472501E-2</c:v>
                </c:pt>
                <c:pt idx="1591">
                  <c:v>1.1014893919229499E-2</c:v>
                </c:pt>
                <c:pt idx="1592">
                  <c:v>-8.2313505038619002E-3</c:v>
                </c:pt>
                <c:pt idx="1593">
                  <c:v>-3.3787300586699898E-3</c:v>
                </c:pt>
                <c:pt idx="1594">
                  <c:v>2.6799845665693298E-2</c:v>
                </c:pt>
                <c:pt idx="1595">
                  <c:v>4.1394790738820998E-2</c:v>
                </c:pt>
                <c:pt idx="1596">
                  <c:v>5.3119873881339999E-2</c:v>
                </c:pt>
                <c:pt idx="1597">
                  <c:v>-4.8147646635770799E-2</c:v>
                </c:pt>
                <c:pt idx="1598">
                  <c:v>2.6916054666042299E-2</c:v>
                </c:pt>
                <c:pt idx="1599">
                  <c:v>-6.3273784667252997E-3</c:v>
                </c:pt>
                <c:pt idx="1600">
                  <c:v>-5.9134346723556497E-2</c:v>
                </c:pt>
                <c:pt idx="1601">
                  <c:v>-2.89905040562153E-2</c:v>
                </c:pt>
                <c:pt idx="1602">
                  <c:v>-1.2138720773160401E-2</c:v>
                </c:pt>
                <c:pt idx="1603">
                  <c:v>-2.3634405218064699E-2</c:v>
                </c:pt>
                <c:pt idx="1604">
                  <c:v>3.0218397229909901E-3</c:v>
                </c:pt>
                <c:pt idx="1605">
                  <c:v>1.8273827284574499E-2</c:v>
                </c:pt>
                <c:pt idx="1606">
                  <c:v>1.7386390656232799E-2</c:v>
                </c:pt>
                <c:pt idx="1607">
                  <c:v>6.4372608602046993E-2</c:v>
                </c:pt>
                <c:pt idx="1608">
                  <c:v>1.8350109726190601E-2</c:v>
                </c:pt>
                <c:pt idx="1609">
                  <c:v>6.2019356489181896E-3</c:v>
                </c:pt>
                <c:pt idx="1610">
                  <c:v>-1.01550955101848E-2</c:v>
                </c:pt>
                <c:pt idx="1611">
                  <c:v>-1.9288816449232301E-2</c:v>
                </c:pt>
                <c:pt idx="1612">
                  <c:v>2.1502146601676899E-2</c:v>
                </c:pt>
                <c:pt idx="1613">
                  <c:v>0.27379172134399399</c:v>
                </c:pt>
                <c:pt idx="1614">
                  <c:v>-1.2517170906066801E-2</c:v>
                </c:pt>
                <c:pt idx="1615">
                  <c:v>-8.4546435326337994E-3</c:v>
                </c:pt>
                <c:pt idx="1616">
                  <c:v>-8.3013340830800906E-5</c:v>
                </c:pt>
                <c:pt idx="1617">
                  <c:v>-2.7613945595920099E-2</c:v>
                </c:pt>
                <c:pt idx="1618">
                  <c:v>-2.1742392987012901E-2</c:v>
                </c:pt>
                <c:pt idx="1619">
                  <c:v>3.3638354539871E-3</c:v>
                </c:pt>
                <c:pt idx="1620">
                  <c:v>-2.2764036774635302E-2</c:v>
                </c:pt>
                <c:pt idx="1621">
                  <c:v>9.4749005138869695E-4</c:v>
                </c:pt>
                <c:pt idx="1622">
                  <c:v>1.0372287258505799E-2</c:v>
                </c:pt>
                <c:pt idx="1623">
                  <c:v>8.0055210888385995E-3</c:v>
                </c:pt>
                <c:pt idx="1624">
                  <c:v>4.6565028071403503E-2</c:v>
                </c:pt>
                <c:pt idx="1625">
                  <c:v>7.9247097373008994E-3</c:v>
                </c:pt>
                <c:pt idx="1626">
                  <c:v>-1.35853461027145E-2</c:v>
                </c:pt>
                <c:pt idx="1627">
                  <c:v>9.7659865617752001E-3</c:v>
                </c:pt>
                <c:pt idx="1628">
                  <c:v>3.25088679492474E-2</c:v>
                </c:pt>
                <c:pt idx="1629">
                  <c:v>-1.42088638506829E-2</c:v>
                </c:pt>
                <c:pt idx="1630">
                  <c:v>9.1616070151328999E-2</c:v>
                </c:pt>
                <c:pt idx="1631">
                  <c:v>-4.0513167083263399E-2</c:v>
                </c:pt>
                <c:pt idx="1632">
                  <c:v>5.4334256052970104E-4</c:v>
                </c:pt>
                <c:pt idx="1633">
                  <c:v>8.5290624201299597E-4</c:v>
                </c:pt>
                <c:pt idx="1634">
                  <c:v>-3.0523837834596598E-2</c:v>
                </c:pt>
                <c:pt idx="1635">
                  <c:v>-2.42682273536921E-2</c:v>
                </c:pt>
                <c:pt idx="1636">
                  <c:v>-1.4585845023393901E-3</c:v>
                </c:pt>
                <c:pt idx="1637">
                  <c:v>-1.7688087530434101E-2</c:v>
                </c:pt>
                <c:pt idx="1638">
                  <c:v>-1.4818079587072101E-2</c:v>
                </c:pt>
                <c:pt idx="1639">
                  <c:v>4.5204298943280997E-3</c:v>
                </c:pt>
                <c:pt idx="1640">
                  <c:v>-1.41743165990337E-2</c:v>
                </c:pt>
                <c:pt idx="1641">
                  <c:v>1.6669826745986899E-2</c:v>
                </c:pt>
                <c:pt idx="1642">
                  <c:v>8.3402435183525005E-3</c:v>
                </c:pt>
                <c:pt idx="1643">
                  <c:v>-1.2954085171222999E-3</c:v>
                </c:pt>
                <c:pt idx="1644">
                  <c:v>1.6765764206648E-3</c:v>
                </c:pt>
                <c:pt idx="1645">
                  <c:v>4.0118332654238004E-3</c:v>
                </c:pt>
                <c:pt idx="1646">
                  <c:v>1.67975519895554E-2</c:v>
                </c:pt>
                <c:pt idx="1647">
                  <c:v>1.2043310582637801E-2</c:v>
                </c:pt>
                <c:pt idx="1648">
                  <c:v>-4.1399566382169697E-2</c:v>
                </c:pt>
                <c:pt idx="1649">
                  <c:v>3.69573064446449E-2</c:v>
                </c:pt>
                <c:pt idx="1650">
                  <c:v>5.0660274088382598E-2</c:v>
                </c:pt>
                <c:pt idx="1651">
                  <c:v>-5.0342218309640897E-2</c:v>
                </c:pt>
                <c:pt idx="1652">
                  <c:v>-8.0859706461429495E-2</c:v>
                </c:pt>
                <c:pt idx="1653">
                  <c:v>1.6720223069190999E-2</c:v>
                </c:pt>
                <c:pt idx="1654">
                  <c:v>-2.0944734446704399E-2</c:v>
                </c:pt>
                <c:pt idx="1655">
                  <c:v>-6.1394006982445999E-3</c:v>
                </c:pt>
                <c:pt idx="1656">
                  <c:v>3.5046624392271E-3</c:v>
                </c:pt>
                <c:pt idx="1657">
                  <c:v>9.8270911872386998E-3</c:v>
                </c:pt>
                <c:pt idx="1658">
                  <c:v>2.87552384436131E-2</c:v>
                </c:pt>
                <c:pt idx="1659">
                  <c:v>4.2127895057201001E-3</c:v>
                </c:pt>
                <c:pt idx="1660">
                  <c:v>-9.6763161048293005E-3</c:v>
                </c:pt>
                <c:pt idx="1661">
                  <c:v>-1.7963515222070201E-4</c:v>
                </c:pt>
                <c:pt idx="1662">
                  <c:v>3.0703145712613999E-3</c:v>
                </c:pt>
                <c:pt idx="1663">
                  <c:v>-2.8864387318491901E-2</c:v>
                </c:pt>
                <c:pt idx="1664">
                  <c:v>1.37658438384533E-2</c:v>
                </c:pt>
                <c:pt idx="1665">
                  <c:v>-4.3217765092849698E-2</c:v>
                </c:pt>
                <c:pt idx="1666">
                  <c:v>1.08469404578208E-2</c:v>
                </c:pt>
                <c:pt idx="1667">
                  <c:v>2.54939413070679E-3</c:v>
                </c:pt>
                <c:pt idx="1668">
                  <c:v>-2.47221219465137E-2</c:v>
                </c:pt>
                <c:pt idx="1669">
                  <c:v>1.0831685546785499E-2</c:v>
                </c:pt>
                <c:pt idx="1670">
                  <c:v>-1.22028660811483E-2</c:v>
                </c:pt>
                <c:pt idx="1671">
                  <c:v>-2.8075808070599999E-2</c:v>
                </c:pt>
                <c:pt idx="1672">
                  <c:v>-1.8122065629809999E-2</c:v>
                </c:pt>
                <c:pt idx="1673">
                  <c:v>-5.7180890440940799E-3</c:v>
                </c:pt>
                <c:pt idx="1674">
                  <c:v>-1.27655655927956E-2</c:v>
                </c:pt>
                <c:pt idx="1675">
                  <c:v>1.86311660110949E-2</c:v>
                </c:pt>
                <c:pt idx="1676">
                  <c:v>7.7327771931886896E-3</c:v>
                </c:pt>
                <c:pt idx="1677">
                  <c:v>-2.0364041477442E-3</c:v>
                </c:pt>
                <c:pt idx="1678">
                  <c:v>8.3666408658027904E-3</c:v>
                </c:pt>
                <c:pt idx="1679">
                  <c:v>2.5881688266992501E-2</c:v>
                </c:pt>
                <c:pt idx="1680">
                  <c:v>4.1948290646076199E-2</c:v>
                </c:pt>
                <c:pt idx="1681">
                  <c:v>6.1978085219859903E-2</c:v>
                </c:pt>
                <c:pt idx="1682">
                  <c:v>-2.7528038173913999E-2</c:v>
                </c:pt>
                <c:pt idx="1683">
                  <c:v>3.4762506961822398E-2</c:v>
                </c:pt>
                <c:pt idx="1684">
                  <c:v>-2.7011753022670999E-3</c:v>
                </c:pt>
                <c:pt idx="1685">
                  <c:v>-5.2294666238129103E-2</c:v>
                </c:pt>
                <c:pt idx="1686">
                  <c:v>-2.9875577151775402E-2</c:v>
                </c:pt>
                <c:pt idx="1687">
                  <c:v>-7.4867430925369301E-3</c:v>
                </c:pt>
                <c:pt idx="1688">
                  <c:v>-1.94918926507235E-2</c:v>
                </c:pt>
                <c:pt idx="1689">
                  <c:v>-1.0608400255442E-3</c:v>
                </c:pt>
                <c:pt idx="1690">
                  <c:v>-1.53382342308759E-3</c:v>
                </c:pt>
                <c:pt idx="1691">
                  <c:v>3.4125324487685898E-3</c:v>
                </c:pt>
                <c:pt idx="1692">
                  <c:v>2.45645327270031E-2</c:v>
                </c:pt>
                <c:pt idx="1693">
                  <c:v>1.1660903960466399E-2</c:v>
                </c:pt>
                <c:pt idx="1694">
                  <c:v>-1.43194853365421E-2</c:v>
                </c:pt>
                <c:pt idx="1695">
                  <c:v>1.10966453552246E-2</c:v>
                </c:pt>
                <c:pt idx="1696">
                  <c:v>-3.23282352834939E-3</c:v>
                </c:pt>
                <c:pt idx="1697">
                  <c:v>8.6619873642920994E-3</c:v>
                </c:pt>
                <c:pt idx="1698">
                  <c:v>1.80076940655708E-2</c:v>
                </c:pt>
                <c:pt idx="1699">
                  <c:v>1.5956228673458001E-2</c:v>
                </c:pt>
                <c:pt idx="1700">
                  <c:v>-5.6946992874097602E-5</c:v>
                </c:pt>
                <c:pt idx="1701">
                  <c:v>2.1100818216800901E-3</c:v>
                </c:pt>
                <c:pt idx="1702">
                  <c:v>-3.05548359751701E-2</c:v>
                </c:pt>
                <c:pt idx="1703">
                  <c:v>-2.2751304045319599E-2</c:v>
                </c:pt>
                <c:pt idx="1704">
                  <c:v>-3.33075582981099E-4</c:v>
                </c:pt>
                <c:pt idx="1705">
                  <c:v>-2.2908566862344701E-2</c:v>
                </c:pt>
                <c:pt idx="1706">
                  <c:v>-3.9607754945755001E-3</c:v>
                </c:pt>
                <c:pt idx="1707">
                  <c:v>-1.0087153278291201E-2</c:v>
                </c:pt>
                <c:pt idx="1708">
                  <c:v>4.1968755573033997E-3</c:v>
                </c:pt>
                <c:pt idx="1709">
                  <c:v>1.22682528346776E-2</c:v>
                </c:pt>
                <c:pt idx="1710">
                  <c:v>1.79276059269904E-2</c:v>
                </c:pt>
                <c:pt idx="1711">
                  <c:v>-6.4174014180899E-3</c:v>
                </c:pt>
                <c:pt idx="1712">
                  <c:v>1.90436804890632E-2</c:v>
                </c:pt>
                <c:pt idx="1713">
                  <c:v>2.2211975574493399E-2</c:v>
                </c:pt>
                <c:pt idx="1714">
                  <c:v>2.39754972159863E-2</c:v>
                </c:pt>
                <c:pt idx="1715">
                  <c:v>3.9507230997085599E-2</c:v>
                </c:pt>
                <c:pt idx="1716">
                  <c:v>-1.04738864302635E-2</c:v>
                </c:pt>
                <c:pt idx="1717">
                  <c:v>1.07901595830917E-2</c:v>
                </c:pt>
                <c:pt idx="1718">
                  <c:v>1.29933982193469E-2</c:v>
                </c:pt>
                <c:pt idx="1719">
                  <c:v>-2.7532139152288401E-2</c:v>
                </c:pt>
                <c:pt idx="1720">
                  <c:v>-2.9270951360464099E-2</c:v>
                </c:pt>
                <c:pt idx="1721">
                  <c:v>-1.53926134193316E-2</c:v>
                </c:pt>
                <c:pt idx="1722">
                  <c:v>-2.51796407327055E-2</c:v>
                </c:pt>
                <c:pt idx="1723">
                  <c:v>1.66789085566998E-2</c:v>
                </c:pt>
                <c:pt idx="1724">
                  <c:v>6.9359397888183998E-3</c:v>
                </c:pt>
                <c:pt idx="1725">
                  <c:v>2.0455310881137799E-2</c:v>
                </c:pt>
                <c:pt idx="1726">
                  <c:v>-8.8402433156967206E-2</c:v>
                </c:pt>
                <c:pt idx="1727">
                  <c:v>-6.4121100783348095E-2</c:v>
                </c:pt>
                <c:pt idx="1728">
                  <c:v>0.262844947814941</c:v>
                </c:pt>
                <c:pt idx="1729">
                  <c:v>0.101203981995583</c:v>
                </c:pt>
                <c:pt idx="1730">
                  <c:v>-4.3832038372754997E-2</c:v>
                </c:pt>
                <c:pt idx="1731">
                  <c:v>-0.274355744838715</c:v>
                </c:pt>
                <c:pt idx="1732">
                  <c:v>-4.3463683666661299E-2</c:v>
                </c:pt>
                <c:pt idx="1733">
                  <c:v>8.9769972562789999E-2</c:v>
                </c:pt>
                <c:pt idx="1734">
                  <c:v>9.3724817335605892E-3</c:v>
                </c:pt>
                <c:pt idx="1735">
                  <c:v>1.52782975733279E-2</c:v>
                </c:pt>
                <c:pt idx="1736">
                  <c:v>-2.7275594241917001E-2</c:v>
                </c:pt>
                <c:pt idx="1737">
                  <c:v>-3.33406708240509E-2</c:v>
                </c:pt>
                <c:pt idx="1738">
                  <c:v>-1.3150400653481401E-2</c:v>
                </c:pt>
                <c:pt idx="1739">
                  <c:v>-2.3037604399025399E-2</c:v>
                </c:pt>
                <c:pt idx="1740">
                  <c:v>-8.9562649875879006E-3</c:v>
                </c:pt>
                <c:pt idx="1741">
                  <c:v>-3.8099459931254E-3</c:v>
                </c:pt>
                <c:pt idx="1742">
                  <c:v>1.95787116885198E-4</c:v>
                </c:pt>
                <c:pt idx="1743">
                  <c:v>3.6085987627506297E-2</c:v>
                </c:pt>
                <c:pt idx="1744">
                  <c:v>9.9218676686287002E-3</c:v>
                </c:pt>
                <c:pt idx="1745">
                  <c:v>2.1980991303920599E-2</c:v>
                </c:pt>
                <c:pt idx="1746">
                  <c:v>3.0139126092195399E-2</c:v>
                </c:pt>
                <c:pt idx="1747">
                  <c:v>2.5951775878667701E-2</c:v>
                </c:pt>
                <c:pt idx="1748">
                  <c:v>3.1419696390628797E-2</c:v>
                </c:pt>
                <c:pt idx="1749">
                  <c:v>6.0932388782500999E-2</c:v>
                </c:pt>
                <c:pt idx="1750">
                  <c:v>-4.41748070716858E-2</c:v>
                </c:pt>
                <c:pt idx="1751">
                  <c:v>-1.5210040256381001E-2</c:v>
                </c:pt>
                <c:pt idx="1752">
                  <c:v>7.3186262547970003E-3</c:v>
                </c:pt>
                <c:pt idx="1753">
                  <c:v>-7.7502125054597897E-3</c:v>
                </c:pt>
                <c:pt idx="1754">
                  <c:v>-2.4050674125552202E-2</c:v>
                </c:pt>
                <c:pt idx="1755">
                  <c:v>-1.49117699442431E-2</c:v>
                </c:pt>
                <c:pt idx="1756">
                  <c:v>-1.8687958240508999E-2</c:v>
                </c:pt>
                <c:pt idx="1757">
                  <c:v>3.9284543097018896E-3</c:v>
                </c:pt>
                <c:pt idx="1758">
                  <c:v>1.5389627441763899E-2</c:v>
                </c:pt>
                <c:pt idx="1759">
                  <c:v>2.0080235004425002E-3</c:v>
                </c:pt>
                <c:pt idx="1760">
                  <c:v>1.01078629270195E-2</c:v>
                </c:pt>
                <c:pt idx="1761">
                  <c:v>-1.6877481911331399E-2</c:v>
                </c:pt>
                <c:pt idx="1762">
                  <c:v>-8.2727701440453993E-3</c:v>
                </c:pt>
                <c:pt idx="1763">
                  <c:v>8.2732664644717992E-3</c:v>
                </c:pt>
                <c:pt idx="1764">
                  <c:v>1.82672731280327E-2</c:v>
                </c:pt>
                <c:pt idx="1765">
                  <c:v>1.9425531953573199E-2</c:v>
                </c:pt>
                <c:pt idx="1766">
                  <c:v>3.8341550409793798E-2</c:v>
                </c:pt>
                <c:pt idx="1767">
                  <c:v>-3.3297447413206102E-2</c:v>
                </c:pt>
                <c:pt idx="1768">
                  <c:v>2.7902258217334601E-2</c:v>
                </c:pt>
                <c:pt idx="1769">
                  <c:v>1.8077387571334699E-2</c:v>
                </c:pt>
                <c:pt idx="1770">
                  <c:v>-2.8724995732307398E-2</c:v>
                </c:pt>
                <c:pt idx="1771">
                  <c:v>-5.6381542891264E-2</c:v>
                </c:pt>
                <c:pt idx="1772">
                  <c:v>-1.7688136398791999E-3</c:v>
                </c:pt>
                <c:pt idx="1773">
                  <c:v>-2.4317555472254698E-2</c:v>
                </c:pt>
                <c:pt idx="1774">
                  <c:v>-1.27756374925375E-2</c:v>
                </c:pt>
                <c:pt idx="1775">
                  <c:v>1.46832732856274E-2</c:v>
                </c:pt>
                <c:pt idx="1776">
                  <c:v>5.7075217515230002E-3</c:v>
                </c:pt>
                <c:pt idx="1777">
                  <c:v>5.7976642787456498E-2</c:v>
                </c:pt>
                <c:pt idx="1778">
                  <c:v>4.1671164602041198E-2</c:v>
                </c:pt>
                <c:pt idx="1779">
                  <c:v>2.5790339052677198E-2</c:v>
                </c:pt>
                <c:pt idx="1780">
                  <c:v>2.13969426453113E-2</c:v>
                </c:pt>
                <c:pt idx="1781">
                  <c:v>2.73681573271751E-2</c:v>
                </c:pt>
                <c:pt idx="1782">
                  <c:v>3.9960591226816097E-2</c:v>
                </c:pt>
                <c:pt idx="1783">
                  <c:v>2.4638613939285299E-2</c:v>
                </c:pt>
                <c:pt idx="1784">
                  <c:v>-5.7652145549654997E-2</c:v>
                </c:pt>
                <c:pt idx="1785">
                  <c:v>-1.2781452730298E-2</c:v>
                </c:pt>
                <c:pt idx="1786">
                  <c:v>-5.2058462947607003E-3</c:v>
                </c:pt>
                <c:pt idx="1787">
                  <c:v>-2.42761264666915E-2</c:v>
                </c:pt>
                <c:pt idx="1788">
                  <c:v>-2.08026810586452E-2</c:v>
                </c:pt>
                <c:pt idx="1789">
                  <c:v>-1.45878883162513E-2</c:v>
                </c:pt>
                <c:pt idx="1790">
                  <c:v>-2.2918450988829098E-2</c:v>
                </c:pt>
                <c:pt idx="1791">
                  <c:v>-1.07476434707642E-2</c:v>
                </c:pt>
                <c:pt idx="1792">
                  <c:v>1.91679656505579E-3</c:v>
                </c:pt>
                <c:pt idx="1793">
                  <c:v>-5.1222780570388E-3</c:v>
                </c:pt>
                <c:pt idx="1794">
                  <c:v>3.3486375749111202E-2</c:v>
                </c:pt>
                <c:pt idx="1795">
                  <c:v>6.3832330405711899E-3</c:v>
                </c:pt>
                <c:pt idx="1796">
                  <c:v>-4.0032419413328002E-3</c:v>
                </c:pt>
                <c:pt idx="1797">
                  <c:v>4.7925805896520896E-3</c:v>
                </c:pt>
                <c:pt idx="1798">
                  <c:v>1.5120181411504599E-2</c:v>
                </c:pt>
                <c:pt idx="1799">
                  <c:v>4.8198589235543899E-3</c:v>
                </c:pt>
                <c:pt idx="1800">
                  <c:v>1.19666105806828E-2</c:v>
                </c:pt>
                <c:pt idx="1801">
                  <c:v>-9.6942949295043893E-3</c:v>
                </c:pt>
                <c:pt idx="1802">
                  <c:v>3.9913324296474498E-2</c:v>
                </c:pt>
                <c:pt idx="1803">
                  <c:v>-2.20552099831402E-2</c:v>
                </c:pt>
                <c:pt idx="1804">
                  <c:v>-5.75838082581758E-2</c:v>
                </c:pt>
                <c:pt idx="1805">
                  <c:v>-3.7013624519109597E-2</c:v>
                </c:pt>
                <c:pt idx="1806">
                  <c:v>-1.5838259871467E-2</c:v>
                </c:pt>
                <c:pt idx="1807">
                  <c:v>-1.54207743406295E-2</c:v>
                </c:pt>
                <c:pt idx="1808">
                  <c:v>8.7093719840049895E-4</c:v>
                </c:pt>
                <c:pt idx="1809">
                  <c:v>1.25775231420994E-2</c:v>
                </c:pt>
                <c:pt idx="1810">
                  <c:v>1.26896713078022E-2</c:v>
                </c:pt>
                <c:pt idx="1811">
                  <c:v>5.4790722370147697E-2</c:v>
                </c:pt>
                <c:pt idx="1812">
                  <c:v>2.1150045365095099E-2</c:v>
                </c:pt>
                <c:pt idx="1813">
                  <c:v>3.1428144961595503E-2</c:v>
                </c:pt>
                <c:pt idx="1814">
                  <c:v>1.5864785969257399E-2</c:v>
                </c:pt>
                <c:pt idx="1815">
                  <c:v>1.4276082783937501E-2</c:v>
                </c:pt>
                <c:pt idx="1816">
                  <c:v>-1.54977057948708E-2</c:v>
                </c:pt>
                <c:pt idx="1817">
                  <c:v>0.14676006722450299</c:v>
                </c:pt>
                <c:pt idx="1818">
                  <c:v>-1.8998844474554001E-2</c:v>
                </c:pt>
                <c:pt idx="1819">
                  <c:v>2.8166783630847899E-2</c:v>
                </c:pt>
                <c:pt idx="1820">
                  <c:v>-6.8358135372400004E-3</c:v>
                </c:pt>
                <c:pt idx="1821">
                  <c:v>-5.64842403978109E-2</c:v>
                </c:pt>
                <c:pt idx="1822">
                  <c:v>-2.99838936924933E-2</c:v>
                </c:pt>
                <c:pt idx="1823">
                  <c:v>-3.62786388397219E-3</c:v>
                </c:pt>
                <c:pt idx="1824">
                  <c:v>-2.1724712446331999E-2</c:v>
                </c:pt>
                <c:pt idx="1825">
                  <c:v>-3.5945645570755001E-3</c:v>
                </c:pt>
                <c:pt idx="1826">
                  <c:v>6.0914760828018003E-3</c:v>
                </c:pt>
                <c:pt idx="1827">
                  <c:v>-1.19102445282042E-2</c:v>
                </c:pt>
                <c:pt idx="1828">
                  <c:v>4.97776327431202E-2</c:v>
                </c:pt>
                <c:pt idx="1829">
                  <c:v>4.6718644797802003E-3</c:v>
                </c:pt>
                <c:pt idx="1830">
                  <c:v>8.0591586381196997E-3</c:v>
                </c:pt>
                <c:pt idx="1831">
                  <c:v>3.3990185916423797E-2</c:v>
                </c:pt>
                <c:pt idx="1832">
                  <c:v>2.88151718378067E-2</c:v>
                </c:pt>
                <c:pt idx="1833">
                  <c:v>3.2209692627191498E-2</c:v>
                </c:pt>
                <c:pt idx="1834">
                  <c:v>5.5635085582733002E-2</c:v>
                </c:pt>
                <c:pt idx="1835">
                  <c:v>-4.91496025770903E-2</c:v>
                </c:pt>
                <c:pt idx="1836">
                  <c:v>-1.1541925713419899E-2</c:v>
                </c:pt>
                <c:pt idx="1837">
                  <c:v>-6.2269614040851998E-3</c:v>
                </c:pt>
                <c:pt idx="1838">
                  <c:v>-2.3998135060071899E-2</c:v>
                </c:pt>
                <c:pt idx="1839">
                  <c:v>-1.5960409030318298E-2</c:v>
                </c:pt>
                <c:pt idx="1840">
                  <c:v>-1.46555278301239E-2</c:v>
                </c:pt>
                <c:pt idx="1841">
                  <c:v>-1.01762715429068E-2</c:v>
                </c:pt>
                <c:pt idx="1842">
                  <c:v>5.3701131641864901E-3</c:v>
                </c:pt>
                <c:pt idx="1843">
                  <c:v>-1.5678496390581099E-2</c:v>
                </c:pt>
                <c:pt idx="1844">
                  <c:v>2.0610000202432302E-3</c:v>
                </c:pt>
                <c:pt idx="1845">
                  <c:v>9.3491997718810997E-3</c:v>
                </c:pt>
                <c:pt idx="1846">
                  <c:v>-2.3153636947274198E-2</c:v>
                </c:pt>
                <c:pt idx="1847">
                  <c:v>-8.0276600122452003E-3</c:v>
                </c:pt>
                <c:pt idx="1848">
                  <c:v>-1.2953359261154999E-3</c:v>
                </c:pt>
                <c:pt idx="1849">
                  <c:v>-2.7358841001987001E-3</c:v>
                </c:pt>
                <c:pt idx="1850">
                  <c:v>2.9466811731457699E-2</c:v>
                </c:pt>
                <c:pt idx="1851">
                  <c:v>7.7286346703767904E-3</c:v>
                </c:pt>
                <c:pt idx="1852">
                  <c:v>1.3711833953859701E-4</c:v>
                </c:pt>
                <c:pt idx="1853">
                  <c:v>1.04103947281836E-2</c:v>
                </c:pt>
                <c:pt idx="1854">
                  <c:v>1.82748131155968E-2</c:v>
                </c:pt>
                <c:pt idx="1855">
                  <c:v>6.5883361846208899E-3</c:v>
                </c:pt>
                <c:pt idx="1856">
                  <c:v>4.3650051832199097E-2</c:v>
                </c:pt>
                <c:pt idx="1857">
                  <c:v>-4.25570140779018E-2</c:v>
                </c:pt>
                <c:pt idx="1858">
                  <c:v>2.3744357407092999E-2</c:v>
                </c:pt>
                <c:pt idx="1859">
                  <c:v>-8.2214762419461993E-3</c:v>
                </c:pt>
                <c:pt idx="1860">
                  <c:v>-7.3075232386589098E-2</c:v>
                </c:pt>
                <c:pt idx="1861">
                  <c:v>-6.4497143685817701E-2</c:v>
                </c:pt>
                <c:pt idx="1862">
                  <c:v>3.9618910849089798E-4</c:v>
                </c:pt>
                <c:pt idx="1863">
                  <c:v>-1.9079500220716E-2</c:v>
                </c:pt>
                <c:pt idx="1864">
                  <c:v>-2.9199703633785001E-3</c:v>
                </c:pt>
                <c:pt idx="1865">
                  <c:v>8.7337015569209902E-3</c:v>
                </c:pt>
                <c:pt idx="1866">
                  <c:v>1.2363136574626E-2</c:v>
                </c:pt>
                <c:pt idx="1867">
                  <c:v>5.2192742168903399E-2</c:v>
                </c:pt>
                <c:pt idx="1868">
                  <c:v>2.76032837927341E-2</c:v>
                </c:pt>
                <c:pt idx="1869">
                  <c:v>1.9579523891210499E-2</c:v>
                </c:pt>
                <c:pt idx="1870">
                  <c:v>4.4036839365959098E-2</c:v>
                </c:pt>
                <c:pt idx="1871">
                  <c:v>5.2664554834365801E-2</c:v>
                </c:pt>
                <c:pt idx="1872">
                  <c:v>4.3188287049531898E-2</c:v>
                </c:pt>
                <c:pt idx="1873">
                  <c:v>0.120822763323784</c:v>
                </c:pt>
                <c:pt idx="1874">
                  <c:v>-7.6288709808140995E-2</c:v>
                </c:pt>
                <c:pt idx="1875">
                  <c:v>-1.17426108270884E-2</c:v>
                </c:pt>
                <c:pt idx="1876">
                  <c:v>-5.6380377113818998E-3</c:v>
                </c:pt>
                <c:pt idx="1877">
                  <c:v>-2.8734264254569999E-2</c:v>
                </c:pt>
                <c:pt idx="1878">
                  <c:v>-1.0485134743154E-2</c:v>
                </c:pt>
                <c:pt idx="1879">
                  <c:v>2.28757487237449E-3</c:v>
                </c:pt>
                <c:pt idx="1880">
                  <c:v>-2.1097380079329001E-2</c:v>
                </c:pt>
                <c:pt idx="1881">
                  <c:v>-1.1768132731318401E-2</c:v>
                </c:pt>
                <c:pt idx="1882">
                  <c:v>-2.73994296789169E-3</c:v>
                </c:pt>
                <c:pt idx="1883">
                  <c:v>-1.0931442197412201E-2</c:v>
                </c:pt>
                <c:pt idx="1884">
                  <c:v>1.9421281456947201E-2</c:v>
                </c:pt>
                <c:pt idx="1885">
                  <c:v>2.8323217183352E-3</c:v>
                </c:pt>
                <c:pt idx="1886">
                  <c:v>-1.00931136906147E-2</c:v>
                </c:pt>
                <c:pt idx="1887">
                  <c:v>1.25386418998241E-2</c:v>
                </c:pt>
                <c:pt idx="1888">
                  <c:v>1.3756460666656501E-2</c:v>
                </c:pt>
                <c:pt idx="1889">
                  <c:v>-8.87742372043431E-3</c:v>
                </c:pt>
                <c:pt idx="1890">
                  <c:v>1.2631470590829801E-2</c:v>
                </c:pt>
                <c:pt idx="1891">
                  <c:v>-2.77200359106064E-2</c:v>
                </c:pt>
                <c:pt idx="1892">
                  <c:v>-2.6252086907624901E-3</c:v>
                </c:pt>
                <c:pt idx="1893">
                  <c:v>9.0907058119769901E-4</c:v>
                </c:pt>
                <c:pt idx="1894">
                  <c:v>-2.8524219349026599E-2</c:v>
                </c:pt>
                <c:pt idx="1895">
                  <c:v>-2.8628379762172699E-2</c:v>
                </c:pt>
                <c:pt idx="1896">
                  <c:v>5.1245169341559895E-4</c:v>
                </c:pt>
                <c:pt idx="1897">
                  <c:v>-1.64486592337489E-2</c:v>
                </c:pt>
                <c:pt idx="1898">
                  <c:v>-1.05249903202057E-2</c:v>
                </c:pt>
                <c:pt idx="1899">
                  <c:v>9.5059635490178998E-3</c:v>
                </c:pt>
                <c:pt idx="1900">
                  <c:v>5.2291404604912E-3</c:v>
                </c:pt>
                <c:pt idx="1901">
                  <c:v>3.4204418003559098E-2</c:v>
                </c:pt>
                <c:pt idx="1902">
                  <c:v>4.2096788883208896E-3</c:v>
                </c:pt>
                <c:pt idx="1903">
                  <c:v>-9.2339034229516996E-3</c:v>
                </c:pt>
                <c:pt idx="1904">
                  <c:v>5.97055277228359E-3</c:v>
                </c:pt>
                <c:pt idx="1905">
                  <c:v>2.1430309087038E-2</c:v>
                </c:pt>
                <c:pt idx="1906">
                  <c:v>2.5921987473964601E-2</c:v>
                </c:pt>
                <c:pt idx="1907">
                  <c:v>-1.1268534958362899E-3</c:v>
                </c:pt>
                <c:pt idx="1908">
                  <c:v>-2.5927638560533501E-2</c:v>
                </c:pt>
                <c:pt idx="1909">
                  <c:v>4.8150174617766902E-3</c:v>
                </c:pt>
                <c:pt idx="1910">
                  <c:v>2.1990991294384001E-2</c:v>
                </c:pt>
                <c:pt idx="1911">
                  <c:v>-2.0343601062893801E-2</c:v>
                </c:pt>
                <c:pt idx="1912">
                  <c:v>-4.0344447553157803E-2</c:v>
                </c:pt>
                <c:pt idx="1913">
                  <c:v>2.1668046861887001E-3</c:v>
                </c:pt>
                <c:pt idx="1914">
                  <c:v>-1.4776559889316599E-2</c:v>
                </c:pt>
                <c:pt idx="1915">
                  <c:v>5.1332169175147997E-3</c:v>
                </c:pt>
                <c:pt idx="1916">
                  <c:v>2.0221993923187201E-2</c:v>
                </c:pt>
                <c:pt idx="1917">
                  <c:v>2.1704810500145E-2</c:v>
                </c:pt>
                <c:pt idx="1918">
                  <c:v>7.5655007898807497E-2</c:v>
                </c:pt>
                <c:pt idx="1919">
                  <c:v>1.2768645107746101E-2</c:v>
                </c:pt>
                <c:pt idx="1920">
                  <c:v>-2.3238885253668001E-3</c:v>
                </c:pt>
                <c:pt idx="1921">
                  <c:v>4.9664641022682003E-3</c:v>
                </c:pt>
                <c:pt idx="1922">
                  <c:v>1.3452979892492299E-2</c:v>
                </c:pt>
                <c:pt idx="1923">
                  <c:v>2.3723106011747999E-3</c:v>
                </c:pt>
                <c:pt idx="1924">
                  <c:v>3.6467125892639202E-2</c:v>
                </c:pt>
                <c:pt idx="1925">
                  <c:v>-3.2103506773710301E-2</c:v>
                </c:pt>
                <c:pt idx="1926">
                  <c:v>-3.6080203652381999E-3</c:v>
                </c:pt>
                <c:pt idx="1927">
                  <c:v>1.1762744784354899E-3</c:v>
                </c:pt>
                <c:pt idx="1928">
                  <c:v>-3.2199142325669498E-2</c:v>
                </c:pt>
                <c:pt idx="1929">
                  <c:v>-2.4829364106059099E-2</c:v>
                </c:pt>
                <c:pt idx="1930">
                  <c:v>2.4344289302830001E-4</c:v>
                </c:pt>
                <c:pt idx="1931">
                  <c:v>-2.5866767734289101E-2</c:v>
                </c:pt>
                <c:pt idx="1932">
                  <c:v>-1.4745720479637301E-2</c:v>
                </c:pt>
                <c:pt idx="1933">
                  <c:v>7.6022321730851898E-3</c:v>
                </c:pt>
                <c:pt idx="1934">
                  <c:v>-2.0104490071535001E-3</c:v>
                </c:pt>
                <c:pt idx="1935">
                  <c:v>4.7106089234352097E-2</c:v>
                </c:pt>
                <c:pt idx="1936">
                  <c:v>1.57018176168203E-2</c:v>
                </c:pt>
                <c:pt idx="1937">
                  <c:v>1.3501515328884E-2</c:v>
                </c:pt>
                <c:pt idx="1938">
                  <c:v>1.1060919821262401E-2</c:v>
                </c:pt>
                <c:pt idx="1939">
                  <c:v>1.42385877370834E-2</c:v>
                </c:pt>
                <c:pt idx="1940">
                  <c:v>1.6668414801359201E-2</c:v>
                </c:pt>
                <c:pt idx="1941">
                  <c:v>3.6425231277942699E-2</c:v>
                </c:pt>
                <c:pt idx="1942">
                  <c:v>-2.6436114609241501E-2</c:v>
                </c:pt>
                <c:pt idx="1943">
                  <c:v>-1.22968706935644E-2</c:v>
                </c:pt>
                <c:pt idx="1944">
                  <c:v>-6.4225540459155999E-3</c:v>
                </c:pt>
                <c:pt idx="1945">
                  <c:v>-2.36431884691118E-2</c:v>
                </c:pt>
                <c:pt idx="1946">
                  <c:v>-1.76659810394049E-2</c:v>
                </c:pt>
                <c:pt idx="1947">
                  <c:v>-1.3534326976165099E-2</c:v>
                </c:pt>
                <c:pt idx="1948">
                  <c:v>-2.33190193474292E-2</c:v>
                </c:pt>
                <c:pt idx="1949">
                  <c:v>-6.2728713303804003E-3</c:v>
                </c:pt>
                <c:pt idx="1950">
                  <c:v>-6.1695776879789905E-4</c:v>
                </c:pt>
                <c:pt idx="1951">
                  <c:v>-6.43858982622622E-3</c:v>
                </c:pt>
                <c:pt idx="1952">
                  <c:v>2.5525214314460799E-2</c:v>
                </c:pt>
                <c:pt idx="1953">
                  <c:v>1.2184080004692E-2</c:v>
                </c:pt>
                <c:pt idx="1954">
                  <c:v>7.4076370298861898E-3</c:v>
                </c:pt>
                <c:pt idx="1955">
                  <c:v>6.7028386741876901E-3</c:v>
                </c:pt>
                <c:pt idx="1956">
                  <c:v>9.8792381286621003E-3</c:v>
                </c:pt>
                <c:pt idx="1957">
                  <c:v>-7.3616028651595101E-3</c:v>
                </c:pt>
                <c:pt idx="1958">
                  <c:v>-8.5034759044646992E-3</c:v>
                </c:pt>
                <c:pt idx="1959">
                  <c:v>-4.6364748775959003E-2</c:v>
                </c:pt>
                <c:pt idx="1960">
                  <c:v>2.6128232777119001E-3</c:v>
                </c:pt>
                <c:pt idx="1961">
                  <c:v>-2.4408558011050201E-4</c:v>
                </c:pt>
                <c:pt idx="1962">
                  <c:v>-3.4575990691781001E-2</c:v>
                </c:pt>
                <c:pt idx="1963">
                  <c:v>-3.0536428749561299E-2</c:v>
                </c:pt>
                <c:pt idx="1964">
                  <c:v>1.3321093112230301E-2</c:v>
                </c:pt>
                <c:pt idx="1965">
                  <c:v>-3.7764686793089002E-3</c:v>
                </c:pt>
                <c:pt idx="1966">
                  <c:v>8.3657202273606998E-3</c:v>
                </c:pt>
                <c:pt idx="1967">
                  <c:v>8.3826134353875998E-3</c:v>
                </c:pt>
                <c:pt idx="1968">
                  <c:v>5.3432088494301004E-3</c:v>
                </c:pt>
                <c:pt idx="1969">
                  <c:v>5.1574094384908599E-2</c:v>
                </c:pt>
                <c:pt idx="1970">
                  <c:v>1.28196797221899E-2</c:v>
                </c:pt>
                <c:pt idx="1971">
                  <c:v>-3.1101240813732E-3</c:v>
                </c:pt>
                <c:pt idx="1972">
                  <c:v>1.7783597320318201E-2</c:v>
                </c:pt>
                <c:pt idx="1973">
                  <c:v>3.3962442696094497E-2</c:v>
                </c:pt>
                <c:pt idx="1974">
                  <c:v>1.15784873366356E-2</c:v>
                </c:pt>
                <c:pt idx="1975">
                  <c:v>0.113177797079086</c:v>
                </c:pt>
                <c:pt idx="1976">
                  <c:v>-3.6260938197374297E-2</c:v>
                </c:pt>
                <c:pt idx="1977">
                  <c:v>1.52272760868099E-4</c:v>
                </c:pt>
                <c:pt idx="1978">
                  <c:v>3.4752479791640999E-3</c:v>
                </c:pt>
                <c:pt idx="1979">
                  <c:v>-3.08984134458005E-2</c:v>
                </c:pt>
                <c:pt idx="1980">
                  <c:v>-2.5755407944321601E-2</c:v>
                </c:pt>
                <c:pt idx="1981">
                  <c:v>1.1873718500137001E-3</c:v>
                </c:pt>
                <c:pt idx="1982">
                  <c:v>-2.1169663749635199E-2</c:v>
                </c:pt>
                <c:pt idx="1983">
                  <c:v>-1.04042620435357E-2</c:v>
                </c:pt>
                <c:pt idx="1984">
                  <c:v>1.77099429070949E-3</c:v>
                </c:pt>
                <c:pt idx="1985">
                  <c:v>3.745796918869E-3</c:v>
                </c:pt>
                <c:pt idx="1986">
                  <c:v>2.7350010514259299E-2</c:v>
                </c:pt>
                <c:pt idx="1987">
                  <c:v>2.17205400466919E-2</c:v>
                </c:pt>
                <c:pt idx="1988">
                  <c:v>1.3705691039562099E-2</c:v>
                </c:pt>
                <c:pt idx="1989">
                  <c:v>1.50969552099705E-2</c:v>
                </c:pt>
                <c:pt idx="1990">
                  <c:v>2.3753105819225299E-2</c:v>
                </c:pt>
                <c:pt idx="1991">
                  <c:v>4.4130506098270399E-2</c:v>
                </c:pt>
                <c:pt idx="1992">
                  <c:v>2.3473164319991999E-2</c:v>
                </c:pt>
                <c:pt idx="1993">
                  <c:v>-3.3740000724792503E-2</c:v>
                </c:pt>
                <c:pt idx="1994">
                  <c:v>2.4422751396894399E-2</c:v>
                </c:pt>
                <c:pt idx="1995">
                  <c:v>7.5050584077834999E-3</c:v>
                </c:pt>
                <c:pt idx="1996">
                  <c:v>-3.5440071078017298E-2</c:v>
                </c:pt>
                <c:pt idx="1997">
                  <c:v>-6.1379656851291597E-2</c:v>
                </c:pt>
                <c:pt idx="1998">
                  <c:v>-1.50638417657464E-2</c:v>
                </c:pt>
                <c:pt idx="1999">
                  <c:v>-1.87851780727506E-2</c:v>
                </c:pt>
                <c:pt idx="2000">
                  <c:v>-6.0000413134694E-3</c:v>
                </c:pt>
                <c:pt idx="2001">
                  <c:v>1.5724201351404201E-2</c:v>
                </c:pt>
                <c:pt idx="2002">
                  <c:v>1.2556339442729899E-2</c:v>
                </c:pt>
                <c:pt idx="2003">
                  <c:v>5.1023895084857898E-2</c:v>
                </c:pt>
                <c:pt idx="2004">
                  <c:v>5.6874905049800903E-2</c:v>
                </c:pt>
                <c:pt idx="2005">
                  <c:v>4.2473075628280503E-2</c:v>
                </c:pt>
                <c:pt idx="2006">
                  <c:v>4.5071322679519597E-2</c:v>
                </c:pt>
                <c:pt idx="2007">
                  <c:v>1.62145003378391E-2</c:v>
                </c:pt>
                <c:pt idx="2008">
                  <c:v>4.4474782526493097E-2</c:v>
                </c:pt>
                <c:pt idx="2009">
                  <c:v>3.2308435320854201E-2</c:v>
                </c:pt>
                <c:pt idx="2010">
                  <c:v>-7.8002944514155306E-2</c:v>
                </c:pt>
                <c:pt idx="2011">
                  <c:v>1.11614741683006E-2</c:v>
                </c:pt>
                <c:pt idx="2012">
                  <c:v>-4.5905605852603996E-3</c:v>
                </c:pt>
                <c:pt idx="2013">
                  <c:v>-2.8010789595544299E-2</c:v>
                </c:pt>
                <c:pt idx="2014">
                  <c:v>-7.1103821545838997E-3</c:v>
                </c:pt>
                <c:pt idx="2015">
                  <c:v>-2.8651841156184701E-2</c:v>
                </c:pt>
                <c:pt idx="2016">
                  <c:v>-2.6783697649836499E-2</c:v>
                </c:pt>
                <c:pt idx="2017">
                  <c:v>-1.1229812450706899E-2</c:v>
                </c:pt>
                <c:pt idx="2018">
                  <c:v>8.2883971184491995E-3</c:v>
                </c:pt>
                <c:pt idx="2019">
                  <c:v>-4.5342201739550001E-4</c:v>
                </c:pt>
                <c:pt idx="2020">
                  <c:v>3.4290457308292402E-2</c:v>
                </c:pt>
                <c:pt idx="2021">
                  <c:v>1.31535570025444E-2</c:v>
                </c:pt>
                <c:pt idx="2022">
                  <c:v>2.1746923863887799E-2</c:v>
                </c:pt>
                <c:pt idx="2023">
                  <c:v>1.2854870617389699E-2</c:v>
                </c:pt>
                <c:pt idx="2024">
                  <c:v>2.1144821465015399E-2</c:v>
                </c:pt>
                <c:pt idx="2025">
                  <c:v>2.8068615227937601E-2</c:v>
                </c:pt>
                <c:pt idx="2026">
                  <c:v>5.7439564049243899E-2</c:v>
                </c:pt>
                <c:pt idx="2027">
                  <c:v>-3.8219341933727301E-2</c:v>
                </c:pt>
                <c:pt idx="2028">
                  <c:v>-2.2227730304002998E-3</c:v>
                </c:pt>
                <c:pt idx="2029">
                  <c:v>2.6645354032515901E-3</c:v>
                </c:pt>
                <c:pt idx="2030">
                  <c:v>-3.0556518409401101E-2</c:v>
                </c:pt>
                <c:pt idx="2031">
                  <c:v>-2.4084412217140201E-2</c:v>
                </c:pt>
                <c:pt idx="2032">
                  <c:v>1.6806909441949901E-4</c:v>
                </c:pt>
                <c:pt idx="2033">
                  <c:v>-2.6255561847239699E-2</c:v>
                </c:pt>
                <c:pt idx="2034">
                  <c:v>-1.5280122220516199E-2</c:v>
                </c:pt>
                <c:pt idx="2035">
                  <c:v>-5.5394541472199895E-4</c:v>
                </c:pt>
                <c:pt idx="2036">
                  <c:v>-1.47724832026287E-2</c:v>
                </c:pt>
                <c:pt idx="2037">
                  <c:v>2.8645211994648E-2</c:v>
                </c:pt>
                <c:pt idx="2038">
                  <c:v>1.24253372550011E-2</c:v>
                </c:pt>
                <c:pt idx="2039">
                  <c:v>9.4264985024928999E-3</c:v>
                </c:pt>
                <c:pt idx="2040">
                  <c:v>2.2510869652032899E-3</c:v>
                </c:pt>
                <c:pt idx="2041">
                  <c:v>6.6965009719133E-3</c:v>
                </c:pt>
                <c:pt idx="2042">
                  <c:v>2.92578843533992E-2</c:v>
                </c:pt>
                <c:pt idx="2043">
                  <c:v>2.5537496685981799E-2</c:v>
                </c:pt>
                <c:pt idx="2044">
                  <c:v>-2.3345997482538201E-2</c:v>
                </c:pt>
                <c:pt idx="2045">
                  <c:v>-1.17046482563019E-2</c:v>
                </c:pt>
                <c:pt idx="2046">
                  <c:v>-6.5978773832321E-3</c:v>
                </c:pt>
                <c:pt idx="2047">
                  <c:v>-2.4332741566002399E-2</c:v>
                </c:pt>
                <c:pt idx="2048">
                  <c:v>-1.71168192327023E-2</c:v>
                </c:pt>
                <c:pt idx="2049">
                  <c:v>-1.2531155891716401E-2</c:v>
                </c:pt>
                <c:pt idx="2050">
                  <c:v>-2.7509897824376801E-2</c:v>
                </c:pt>
                <c:pt idx="2051">
                  <c:v>-1.35872692838311E-2</c:v>
                </c:pt>
                <c:pt idx="2052">
                  <c:v>6.9377258419989901E-4</c:v>
                </c:pt>
                <c:pt idx="2053">
                  <c:v>-7.0586923360824597E-3</c:v>
                </c:pt>
                <c:pt idx="2054">
                  <c:v>9.0801493972539997E-3</c:v>
                </c:pt>
                <c:pt idx="2055">
                  <c:v>1.57840496748686E-2</c:v>
                </c:pt>
                <c:pt idx="2056">
                  <c:v>1.5838925689458899E-3</c:v>
                </c:pt>
                <c:pt idx="2057">
                  <c:v>1.4421582430601E-2</c:v>
                </c:pt>
                <c:pt idx="2058">
                  <c:v>1.41338027715683E-2</c:v>
                </c:pt>
                <c:pt idx="2059">
                  <c:v>2.0047253102064001E-2</c:v>
                </c:pt>
                <c:pt idx="2060">
                  <c:v>1.5042724341154E-2</c:v>
                </c:pt>
                <c:pt idx="2061">
                  <c:v>-2.4576527923345599E-2</c:v>
                </c:pt>
                <c:pt idx="2062">
                  <c:v>-6.7676451802250299E-4</c:v>
                </c:pt>
                <c:pt idx="2063">
                  <c:v>-5.3796553015708999E-3</c:v>
                </c:pt>
                <c:pt idx="2064">
                  <c:v>-3.6440717230550902E-2</c:v>
                </c:pt>
                <c:pt idx="2065">
                  <c:v>-4.1006528496742203E-2</c:v>
                </c:pt>
                <c:pt idx="2066">
                  <c:v>-1.52763229529373E-2</c:v>
                </c:pt>
                <c:pt idx="2067">
                  <c:v>-1.9922169268131298E-2</c:v>
                </c:pt>
                <c:pt idx="2068">
                  <c:v>-8.5430176034569996E-3</c:v>
                </c:pt>
                <c:pt idx="2069">
                  <c:v>1.6648050993681E-2</c:v>
                </c:pt>
                <c:pt idx="2070">
                  <c:v>1.9770338028669399E-2</c:v>
                </c:pt>
                <c:pt idx="2071">
                  <c:v>8.3403529763221698E-2</c:v>
                </c:pt>
                <c:pt idx="2072">
                  <c:v>6.2708180665969795E-2</c:v>
                </c:pt>
                <c:pt idx="2073">
                  <c:v>4.2335157930850902E-2</c:v>
                </c:pt>
                <c:pt idx="2074">
                  <c:v>2.7088657230138799E-2</c:v>
                </c:pt>
                <c:pt idx="2075">
                  <c:v>3.0696521669626199E-2</c:v>
                </c:pt>
                <c:pt idx="2076">
                  <c:v>4.5675119489431398E-2</c:v>
                </c:pt>
                <c:pt idx="2077">
                  <c:v>5.9565125286578903E-2</c:v>
                </c:pt>
                <c:pt idx="2078">
                  <c:v>-6.4628239646553995E-2</c:v>
                </c:pt>
                <c:pt idx="2079">
                  <c:v>-1.29971302747726E-2</c:v>
                </c:pt>
                <c:pt idx="2080">
                  <c:v>-1.0029659509658799E-2</c:v>
                </c:pt>
                <c:pt idx="2081">
                  <c:v>-3.4124218450859098E-2</c:v>
                </c:pt>
                <c:pt idx="2082">
                  <c:v>-1.5431296736002E-2</c:v>
                </c:pt>
                <c:pt idx="2083">
                  <c:v>-1.2544097084552E-2</c:v>
                </c:pt>
                <c:pt idx="2084">
                  <c:v>-2.4331802845001201E-2</c:v>
                </c:pt>
                <c:pt idx="2085">
                  <c:v>-1.00443552285433E-2</c:v>
                </c:pt>
                <c:pt idx="2086">
                  <c:v>1.9286374002695E-3</c:v>
                </c:pt>
                <c:pt idx="2087">
                  <c:v>-8.5156827084720103E-3</c:v>
                </c:pt>
                <c:pt idx="2088">
                  <c:v>3.3464772790670401E-2</c:v>
                </c:pt>
                <c:pt idx="2089">
                  <c:v>6.9577528983354904E-3</c:v>
                </c:pt>
                <c:pt idx="2090">
                  <c:v>-9.1682600826025005E-3</c:v>
                </c:pt>
                <c:pt idx="2091">
                  <c:v>-2.6633383333679898E-4</c:v>
                </c:pt>
                <c:pt idx="2092">
                  <c:v>2.3711673140525798E-2</c:v>
                </c:pt>
                <c:pt idx="2093">
                  <c:v>1.10184383690357E-2</c:v>
                </c:pt>
                <c:pt idx="2094">
                  <c:v>2.5493024170398601E-2</c:v>
                </c:pt>
                <c:pt idx="2095">
                  <c:v>-2.9397183954715699E-2</c:v>
                </c:pt>
                <c:pt idx="2096">
                  <c:v>1.49902828335762E-2</c:v>
                </c:pt>
                <c:pt idx="2097">
                  <c:v>9.0917973816394999E-3</c:v>
                </c:pt>
                <c:pt idx="2098">
                  <c:v>-1.72196955531836E-2</c:v>
                </c:pt>
                <c:pt idx="2099">
                  <c:v>-4.7375236362218798E-2</c:v>
                </c:pt>
                <c:pt idx="2100">
                  <c:v>-5.8487832397222999E-3</c:v>
                </c:pt>
                <c:pt idx="2101">
                  <c:v>-2.3293098777532498E-2</c:v>
                </c:pt>
                <c:pt idx="2102">
                  <c:v>-2.3167154788970999E-3</c:v>
                </c:pt>
                <c:pt idx="2103">
                  <c:v>8.3455039560794992E-3</c:v>
                </c:pt>
                <c:pt idx="2104">
                  <c:v>1.5639363616704899E-2</c:v>
                </c:pt>
                <c:pt idx="2105">
                  <c:v>8.0480383872985797E-2</c:v>
                </c:pt>
                <c:pt idx="2106">
                  <c:v>4.6124335646629301E-2</c:v>
                </c:pt>
                <c:pt idx="2107">
                  <c:v>4.53885250687599E-2</c:v>
                </c:pt>
                <c:pt idx="2108">
                  <c:v>2.37179661393166E-2</c:v>
                </c:pt>
                <c:pt idx="2109">
                  <c:v>2.08658680021763E-2</c:v>
                </c:pt>
                <c:pt idx="2110">
                  <c:v>3.1525934219360299E-2</c:v>
                </c:pt>
                <c:pt idx="2111">
                  <c:v>3.4232152879238101E-2</c:v>
                </c:pt>
                <c:pt idx="2112">
                  <c:v>-5.1894750371575399E-2</c:v>
                </c:pt>
                <c:pt idx="2113">
                  <c:v>1.2522650539875E-2</c:v>
                </c:pt>
                <c:pt idx="2114">
                  <c:v>6.1909175574779499E-2</c:v>
                </c:pt>
                <c:pt idx="2115">
                  <c:v>-6.7371624708179696E-4</c:v>
                </c:pt>
                <c:pt idx="2116">
                  <c:v>-3.3968441843986397E-2</c:v>
                </c:pt>
                <c:pt idx="2117">
                  <c:v>-2.81617391705513E-2</c:v>
                </c:pt>
                <c:pt idx="2118">
                  <c:v>-1.7118442215025401E-2</c:v>
                </c:pt>
                <c:pt idx="2119">
                  <c:v>2.3214348554610898E-3</c:v>
                </c:pt>
                <c:pt idx="2120">
                  <c:v>1.0260522961616499E-2</c:v>
                </c:pt>
                <c:pt idx="2121">
                  <c:v>1.58377999067309E-3</c:v>
                </c:pt>
                <c:pt idx="2122">
                  <c:v>3.6179037928581202E-2</c:v>
                </c:pt>
                <c:pt idx="2123">
                  <c:v>2.45532135367393E-2</c:v>
                </c:pt>
                <c:pt idx="2124">
                  <c:v>6.1276179701089898E-3</c:v>
                </c:pt>
                <c:pt idx="2125">
                  <c:v>9.3093330264091001E-3</c:v>
                </c:pt>
                <c:pt idx="2126">
                  <c:v>1.0570810332894301E-2</c:v>
                </c:pt>
                <c:pt idx="2127">
                  <c:v>1.23197493255138E-2</c:v>
                </c:pt>
                <c:pt idx="2128">
                  <c:v>8.9662334203719996E-2</c:v>
                </c:pt>
                <c:pt idx="2129">
                  <c:v>-3.4527340829372401E-2</c:v>
                </c:pt>
                <c:pt idx="2130">
                  <c:v>-3.4350812137126999E-3</c:v>
                </c:pt>
                <c:pt idx="2131">
                  <c:v>-3.0885980427265E-3</c:v>
                </c:pt>
                <c:pt idx="2132">
                  <c:v>-2.4368853598833E-2</c:v>
                </c:pt>
                <c:pt idx="2133">
                  <c:v>-1.6586302503943402E-2</c:v>
                </c:pt>
                <c:pt idx="2134">
                  <c:v>-5.47278223931789E-3</c:v>
                </c:pt>
                <c:pt idx="2135">
                  <c:v>-1.49466510564089E-2</c:v>
                </c:pt>
                <c:pt idx="2136">
                  <c:v>1.85170182585719E-3</c:v>
                </c:pt>
                <c:pt idx="2137">
                  <c:v>6.1267713457346003E-3</c:v>
                </c:pt>
                <c:pt idx="2138">
                  <c:v>3.7126660495995899E-3</c:v>
                </c:pt>
                <c:pt idx="2139">
                  <c:v>3.5656182259321198E-2</c:v>
                </c:pt>
                <c:pt idx="2140">
                  <c:v>2.4845779761672E-3</c:v>
                </c:pt>
                <c:pt idx="2141">
                  <c:v>-1.1190810523927199E-2</c:v>
                </c:pt>
                <c:pt idx="2142">
                  <c:v>6.8859869837760903E-3</c:v>
                </c:pt>
                <c:pt idx="2143">
                  <c:v>1.7761348903179201E-2</c:v>
                </c:pt>
                <c:pt idx="2144">
                  <c:v>2.6527765318750999E-3</c:v>
                </c:pt>
                <c:pt idx="2145">
                  <c:v>6.7931158721447005E-2</c:v>
                </c:pt>
                <c:pt idx="2146">
                  <c:v>-5.0131883397698397E-2</c:v>
                </c:pt>
                <c:pt idx="2147">
                  <c:v>2.6541528880596198E-2</c:v>
                </c:pt>
                <c:pt idx="2148">
                  <c:v>-4.6092131137848002E-3</c:v>
                </c:pt>
                <c:pt idx="2149">
                  <c:v>-3.4313987765461199E-2</c:v>
                </c:pt>
                <c:pt idx="2150">
                  <c:v>-1.91408514082432E-2</c:v>
                </c:pt>
                <c:pt idx="2151">
                  <c:v>-1.61024443336064E-2</c:v>
                </c:pt>
                <c:pt idx="2152">
                  <c:v>-1.7980672761797899E-2</c:v>
                </c:pt>
                <c:pt idx="2153">
                  <c:v>3.85158294439319E-3</c:v>
                </c:pt>
                <c:pt idx="2154">
                  <c:v>1.8423077315092101E-2</c:v>
                </c:pt>
                <c:pt idx="2155">
                  <c:v>1.8212753176689099E-2</c:v>
                </c:pt>
                <c:pt idx="2156">
                  <c:v>6.0223439872264799E-2</c:v>
                </c:pt>
                <c:pt idx="2157">
                  <c:v>2.7116466581821399E-2</c:v>
                </c:pt>
                <c:pt idx="2158">
                  <c:v>1.4958178341388699E-2</c:v>
                </c:pt>
                <c:pt idx="2159">
                  <c:v>1.3146836519241201E-2</c:v>
                </c:pt>
                <c:pt idx="2160">
                  <c:v>1.8356642842292801E-2</c:v>
                </c:pt>
                <c:pt idx="2161">
                  <c:v>1.10376087129115E-2</c:v>
                </c:pt>
                <c:pt idx="2162">
                  <c:v>7.2999386370181996E-2</c:v>
                </c:pt>
                <c:pt idx="2163">
                  <c:v>-2.43892426788807E-2</c:v>
                </c:pt>
                <c:pt idx="2164">
                  <c:v>4.7101592302322401E-2</c:v>
                </c:pt>
                <c:pt idx="2165">
                  <c:v>3.9103060126304601E-2</c:v>
                </c:pt>
                <c:pt idx="2166">
                  <c:v>-5.0717418193816904E-3</c:v>
                </c:pt>
                <c:pt idx="2167">
                  <c:v>-6.2360302269458698E-2</c:v>
                </c:pt>
                <c:pt idx="2168">
                  <c:v>2.76006411910057E-2</c:v>
                </c:pt>
                <c:pt idx="2169">
                  <c:v>1.1959910690783899E-3</c:v>
                </c:pt>
                <c:pt idx="2170">
                  <c:v>2.17010282874107E-2</c:v>
                </c:pt>
                <c:pt idx="2171">
                  <c:v>2.60491414368152E-2</c:v>
                </c:pt>
                <c:pt idx="2172">
                  <c:v>2.8909887015819501E-2</c:v>
                </c:pt>
                <c:pt idx="2173">
                  <c:v>5.8913232922554001E-2</c:v>
                </c:pt>
                <c:pt idx="2174">
                  <c:v>-1.15931742703542E-2</c:v>
                </c:pt>
                <c:pt idx="2175">
                  <c:v>-6.3709870949387997E-3</c:v>
                </c:pt>
                <c:pt idx="2176">
                  <c:v>1.13054963052273E-2</c:v>
                </c:pt>
                <c:pt idx="2177">
                  <c:v>-5.5765722244977903E-3</c:v>
                </c:pt>
                <c:pt idx="2178">
                  <c:v>-9.92068107128143E-2</c:v>
                </c:pt>
                <c:pt idx="2179">
                  <c:v>1.9754527390003201E-2</c:v>
                </c:pt>
                <c:pt idx="2180">
                  <c:v>-6.35318960249424E-2</c:v>
                </c:pt>
                <c:pt idx="2181">
                  <c:v>4.3464636087417602E-2</c:v>
                </c:pt>
                <c:pt idx="2182">
                  <c:v>4.8628433704376202E-2</c:v>
                </c:pt>
                <c:pt idx="2183">
                  <c:v>-2.8562290884554298E-2</c:v>
                </c:pt>
                <c:pt idx="2184">
                  <c:v>-7.9166934549808499E-2</c:v>
                </c:pt>
                <c:pt idx="2185">
                  <c:v>2.9430839061737098E-2</c:v>
                </c:pt>
                <c:pt idx="2186">
                  <c:v>6.7844480574130997E-3</c:v>
                </c:pt>
                <c:pt idx="2187">
                  <c:v>2.3592861086130099E-2</c:v>
                </c:pt>
                <c:pt idx="2188">
                  <c:v>3.8673505783081097E-2</c:v>
                </c:pt>
                <c:pt idx="2189">
                  <c:v>3.7243115544319201E-2</c:v>
                </c:pt>
                <c:pt idx="2190">
                  <c:v>6.2409075140953098E-2</c:v>
                </c:pt>
                <c:pt idx="2191">
                  <c:v>-1.7609328694641501E-2</c:v>
                </c:pt>
                <c:pt idx="2192">
                  <c:v>1.15518958270549E-2</c:v>
                </c:pt>
                <c:pt idx="2193">
                  <c:v>1.62130708098411E-2</c:v>
                </c:pt>
                <c:pt idx="2194">
                  <c:v>7.6692599505185999E-3</c:v>
                </c:pt>
                <c:pt idx="2195">
                  <c:v>-9.4665018737316101E-2</c:v>
                </c:pt>
                <c:pt idx="2196">
                  <c:v>3.0074863016605401E-2</c:v>
                </c:pt>
                <c:pt idx="2197">
                  <c:v>-2.41817328333855E-2</c:v>
                </c:pt>
                <c:pt idx="2198">
                  <c:v>2.3297549813985699E-2</c:v>
                </c:pt>
                <c:pt idx="2199">
                  <c:v>1.51138781607151E-2</c:v>
                </c:pt>
                <c:pt idx="2200">
                  <c:v>-2.7692172966897501E-2</c:v>
                </c:pt>
                <c:pt idx="2201">
                  <c:v>-5.0040718823671199E-2</c:v>
                </c:pt>
                <c:pt idx="2202">
                  <c:v>-7.6177969425916701E-3</c:v>
                </c:pt>
                <c:pt idx="2203">
                  <c:v>-1.9374918535351799E-2</c:v>
                </c:pt>
                <c:pt idx="2204">
                  <c:v>-4.9871153235434996E-3</c:v>
                </c:pt>
                <c:pt idx="2205">
                  <c:v>9.7183311730623008E-3</c:v>
                </c:pt>
                <c:pt idx="2206">
                  <c:v>2.34817031919956E-2</c:v>
                </c:pt>
                <c:pt idx="2207">
                  <c:v>5.6215400040149702E-2</c:v>
                </c:pt>
                <c:pt idx="2208">
                  <c:v>1.7104041099548301E-2</c:v>
                </c:pt>
                <c:pt idx="2209">
                  <c:v>1.30580306947231E-2</c:v>
                </c:pt>
                <c:pt idx="2210">
                  <c:v>2.6874590873718299E-2</c:v>
                </c:pt>
                <c:pt idx="2211">
                  <c:v>2.14938327372074E-2</c:v>
                </c:pt>
                <c:pt idx="2212">
                  <c:v>3.5436079949140902E-3</c:v>
                </c:pt>
                <c:pt idx="2213">
                  <c:v>6.3530927777289997E-2</c:v>
                </c:pt>
                <c:pt idx="2214">
                  <c:v>-1.7957376241684E-2</c:v>
                </c:pt>
                <c:pt idx="2215">
                  <c:v>8.4677428305149002E-3</c:v>
                </c:pt>
                <c:pt idx="2216">
                  <c:v>1.7003501862287499E-2</c:v>
                </c:pt>
                <c:pt idx="2217">
                  <c:v>-3.1643262889236197E-2</c:v>
                </c:pt>
                <c:pt idx="2218">
                  <c:v>-4.7236659288406299E-2</c:v>
                </c:pt>
                <c:pt idx="2219">
                  <c:v>-3.1709886938334E-3</c:v>
                </c:pt>
                <c:pt idx="2220">
                  <c:v>-1.8061343923211098E-2</c:v>
                </c:pt>
                <c:pt idx="2221">
                  <c:v>1.35506183803081E-2</c:v>
                </c:pt>
                <c:pt idx="2222">
                  <c:v>4.0481500923633597E-2</c:v>
                </c:pt>
                <c:pt idx="2223">
                  <c:v>4.1003650814294801E-2</c:v>
                </c:pt>
                <c:pt idx="2224">
                  <c:v>7.1853825986385303E-2</c:v>
                </c:pt>
                <c:pt idx="2225">
                  <c:v>3.0157216161489499E-2</c:v>
                </c:pt>
                <c:pt idx="2226">
                  <c:v>3.5282602250576001E-2</c:v>
                </c:pt>
                <c:pt idx="2227">
                  <c:v>-1.52488525733351E-2</c:v>
                </c:pt>
                <c:pt idx="2228">
                  <c:v>-4.4375535398721898E-3</c:v>
                </c:pt>
                <c:pt idx="2229">
                  <c:v>6.7403839081526E-3</c:v>
                </c:pt>
                <c:pt idx="2230">
                  <c:v>2.4649409830570099E-2</c:v>
                </c:pt>
                <c:pt idx="2231">
                  <c:v>-5.7976853027939798E-2</c:v>
                </c:pt>
                <c:pt idx="2232">
                  <c:v>2.6140303939580799E-2</c:v>
                </c:pt>
                <c:pt idx="2233">
                  <c:v>-7.4161653369664996E-3</c:v>
                </c:pt>
                <c:pt idx="2234">
                  <c:v>-5.03403947800398E-2</c:v>
                </c:pt>
                <c:pt idx="2235">
                  <c:v>-3.9012537062168097E-2</c:v>
                </c:pt>
                <c:pt idx="2236">
                  <c:v>-1.822425223887E-3</c:v>
                </c:pt>
                <c:pt idx="2237">
                  <c:v>-1.8632424406707301E-2</c:v>
                </c:pt>
                <c:pt idx="2238">
                  <c:v>8.7240310013289904E-4</c:v>
                </c:pt>
                <c:pt idx="2239">
                  <c:v>1.48849418759346E-2</c:v>
                </c:pt>
                <c:pt idx="2240">
                  <c:v>2.08119664490223E-2</c:v>
                </c:pt>
                <c:pt idx="2241">
                  <c:v>4.0788745671510702E-2</c:v>
                </c:pt>
                <c:pt idx="2242">
                  <c:v>1.8302847519517001E-3</c:v>
                </c:pt>
                <c:pt idx="2243">
                  <c:v>6.8365537524223002E-3</c:v>
                </c:pt>
                <c:pt idx="2244">
                  <c:v>1.03071557581424E-2</c:v>
                </c:pt>
                <c:pt idx="2245">
                  <c:v>8.9505232572556007E-3</c:v>
                </c:pt>
                <c:pt idx="2246">
                  <c:v>4.7246628552675002E-3</c:v>
                </c:pt>
                <c:pt idx="2247">
                  <c:v>0.19524738776683701</c:v>
                </c:pt>
                <c:pt idx="2248">
                  <c:v>-5.47410509735346E-2</c:v>
                </c:pt>
                <c:pt idx="2249">
                  <c:v>-1.6486014872788999E-3</c:v>
                </c:pt>
                <c:pt idx="2250">
                  <c:v>1.3369648754596899E-3</c:v>
                </c:pt>
                <c:pt idx="2251">
                  <c:v>-3.1756611831486203E-2</c:v>
                </c:pt>
                <c:pt idx="2252">
                  <c:v>-2.0776604026556001E-2</c:v>
                </c:pt>
                <c:pt idx="2253">
                  <c:v>-1.14079675078389E-3</c:v>
                </c:pt>
                <c:pt idx="2254">
                  <c:v>-1.89324592873454E-2</c:v>
                </c:pt>
                <c:pt idx="2255">
                  <c:v>-6.4766046628356002E-3</c:v>
                </c:pt>
                <c:pt idx="2256">
                  <c:v>9.3721865117550006E-3</c:v>
                </c:pt>
                <c:pt idx="2257">
                  <c:v>2.7514964491128901E-3</c:v>
                </c:pt>
                <c:pt idx="2258">
                  <c:v>3.5845572292804599E-2</c:v>
                </c:pt>
                <c:pt idx="2259">
                  <c:v>1.55377278923988E-2</c:v>
                </c:pt>
                <c:pt idx="2260">
                  <c:v>1.9947198867797899E-2</c:v>
                </c:pt>
                <c:pt idx="2261">
                  <c:v>-1.5187149643898E-3</c:v>
                </c:pt>
                <c:pt idx="2262">
                  <c:v>-1.01178403198719E-3</c:v>
                </c:pt>
                <c:pt idx="2263">
                  <c:v>6.1388993740081797E-2</c:v>
                </c:pt>
                <c:pt idx="2264">
                  <c:v>4.8404937863349901E-2</c:v>
                </c:pt>
                <c:pt idx="2265">
                  <c:v>-6.1411058455705603E-2</c:v>
                </c:pt>
                <c:pt idx="2266">
                  <c:v>2.7914704412221901E-2</c:v>
                </c:pt>
                <c:pt idx="2267">
                  <c:v>3.84768760800362E-2</c:v>
                </c:pt>
                <c:pt idx="2268">
                  <c:v>-1.17963546067475E-2</c:v>
                </c:pt>
                <c:pt idx="2269">
                  <c:v>-7.9571456372737895E-2</c:v>
                </c:pt>
                <c:pt idx="2270">
                  <c:v>1.01062886565924E-2</c:v>
                </c:pt>
                <c:pt idx="2271">
                  <c:v>-1.03663880079985E-2</c:v>
                </c:pt>
                <c:pt idx="2272">
                  <c:v>7.5653676837682902E-3</c:v>
                </c:pt>
                <c:pt idx="2273">
                  <c:v>1.9203454852104201E-2</c:v>
                </c:pt>
                <c:pt idx="2274">
                  <c:v>1.29264116436242E-2</c:v>
                </c:pt>
                <c:pt idx="2275">
                  <c:v>6.2517726957798003E-2</c:v>
                </c:pt>
                <c:pt idx="2276">
                  <c:v>3.0733868747949599E-2</c:v>
                </c:pt>
                <c:pt idx="2277">
                  <c:v>5.20599791407589E-3</c:v>
                </c:pt>
                <c:pt idx="2278">
                  <c:v>8.2188511490821903E-3</c:v>
                </c:pt>
                <c:pt idx="2279">
                  <c:v>2.97545671164989E-2</c:v>
                </c:pt>
                <c:pt idx="2280">
                  <c:v>-3.2613824948668498E-2</c:v>
                </c:pt>
                <c:pt idx="2281">
                  <c:v>5.3791238248348E-2</c:v>
                </c:pt>
                <c:pt idx="2282">
                  <c:v>-5.4269853904843297E-2</c:v>
                </c:pt>
                <c:pt idx="2283">
                  <c:v>2.92070001661777E-2</c:v>
                </c:pt>
                <c:pt idx="2284">
                  <c:v>-1.9795288294554001E-3</c:v>
                </c:pt>
                <c:pt idx="2285">
                  <c:v>-5.1798431493341901E-2</c:v>
                </c:pt>
                <c:pt idx="2286">
                  <c:v>-2.79005139172076E-2</c:v>
                </c:pt>
                <c:pt idx="2287">
                  <c:v>-8.3153356648981592E-3</c:v>
                </c:pt>
                <c:pt idx="2288">
                  <c:v>-2.14213937222958E-2</c:v>
                </c:pt>
                <c:pt idx="2289">
                  <c:v>-1.25652135387063E-2</c:v>
                </c:pt>
                <c:pt idx="2290">
                  <c:v>-4.1324865072969898E-4</c:v>
                </c:pt>
                <c:pt idx="2291">
                  <c:v>-1.1576614513993199E-2</c:v>
                </c:pt>
                <c:pt idx="2292">
                  <c:v>8.9439835175871805E-3</c:v>
                </c:pt>
                <c:pt idx="2293">
                  <c:v>-5.1240275725722203E-3</c:v>
                </c:pt>
                <c:pt idx="2294">
                  <c:v>-3.0732083171605999E-3</c:v>
                </c:pt>
                <c:pt idx="2295">
                  <c:v>-1.3124195635319E-3</c:v>
                </c:pt>
                <c:pt idx="2296">
                  <c:v>-5.2205178141589905E-4</c:v>
                </c:pt>
                <c:pt idx="2297">
                  <c:v>3.6044767230749099E-2</c:v>
                </c:pt>
                <c:pt idx="2298">
                  <c:v>3.3935746431350597E-2</c:v>
                </c:pt>
                <c:pt idx="2299">
                  <c:v>-3.9473572671413402E-2</c:v>
                </c:pt>
                <c:pt idx="2300">
                  <c:v>2.89113126993178E-2</c:v>
                </c:pt>
                <c:pt idx="2301">
                  <c:v>2.3756424993276602E-2</c:v>
                </c:pt>
                <c:pt idx="2302">
                  <c:v>-2.9440692916512402E-2</c:v>
                </c:pt>
                <c:pt idx="2303">
                  <c:v>-6.5994248449802395E-2</c:v>
                </c:pt>
                <c:pt idx="2304">
                  <c:v>-6.3707029297947904E-3</c:v>
                </c:pt>
                <c:pt idx="2305">
                  <c:v>-2.08984598219395E-2</c:v>
                </c:pt>
                <c:pt idx="2306">
                  <c:v>-1.0358720369637E-2</c:v>
                </c:pt>
                <c:pt idx="2307">
                  <c:v>8.6704554408788999E-3</c:v>
                </c:pt>
                <c:pt idx="2308">
                  <c:v>2.5446143150329999E-3</c:v>
                </c:pt>
                <c:pt idx="2309">
                  <c:v>3.2166985958814599E-2</c:v>
                </c:pt>
                <c:pt idx="2310">
                  <c:v>2.0418342471122699E-2</c:v>
                </c:pt>
                <c:pt idx="2311">
                  <c:v>1.92603484690189E-2</c:v>
                </c:pt>
                <c:pt idx="2312">
                  <c:v>6.6197647005319998E-3</c:v>
                </c:pt>
                <c:pt idx="2313">
                  <c:v>2.90108464360237E-2</c:v>
                </c:pt>
                <c:pt idx="2314">
                  <c:v>3.7861826002597798E-2</c:v>
                </c:pt>
                <c:pt idx="2315">
                  <c:v>4.97171266674995E-2</c:v>
                </c:pt>
                <c:pt idx="2316">
                  <c:v>-5.2884114831686001E-2</c:v>
                </c:pt>
                <c:pt idx="2317">
                  <c:v>-1.5291686803101999E-3</c:v>
                </c:pt>
                <c:pt idx="2318">
                  <c:v>2.5202437341212999E-3</c:v>
                </c:pt>
                <c:pt idx="2319">
                  <c:v>-2.9580915637314301E-2</c:v>
                </c:pt>
                <c:pt idx="2320">
                  <c:v>-2.38908666223288E-2</c:v>
                </c:pt>
                <c:pt idx="2321">
                  <c:v>1.5229553133249E-3</c:v>
                </c:pt>
                <c:pt idx="2322">
                  <c:v>-1.9621374428272199E-2</c:v>
                </c:pt>
                <c:pt idx="2323">
                  <c:v>-2.4475774765015E-3</c:v>
                </c:pt>
                <c:pt idx="2324">
                  <c:v>1.0698376819491401E-2</c:v>
                </c:pt>
                <c:pt idx="2325">
                  <c:v>4.6715427339076897E-3</c:v>
                </c:pt>
                <c:pt idx="2326">
                  <c:v>2.1979628294706299E-2</c:v>
                </c:pt>
                <c:pt idx="2327">
                  <c:v>1.6437270015478098E-2</c:v>
                </c:pt>
                <c:pt idx="2328">
                  <c:v>-3.1580618023870001E-4</c:v>
                </c:pt>
                <c:pt idx="2329">
                  <c:v>2.37387122809887E-2</c:v>
                </c:pt>
                <c:pt idx="2330">
                  <c:v>6.6136933565140001E-3</c:v>
                </c:pt>
                <c:pt idx="2331">
                  <c:v>2.7492204785346998E-2</c:v>
                </c:pt>
                <c:pt idx="2332">
                  <c:v>1.1950833976268799E-2</c:v>
                </c:pt>
                <c:pt idx="2333">
                  <c:v>-2.04611364006996E-2</c:v>
                </c:pt>
                <c:pt idx="2334">
                  <c:v>-1.21645986735821E-2</c:v>
                </c:pt>
                <c:pt idx="2335">
                  <c:v>-9.5958289653063009E-3</c:v>
                </c:pt>
                <c:pt idx="2336">
                  <c:v>-2.2904516488313698E-2</c:v>
                </c:pt>
                <c:pt idx="2337">
                  <c:v>-1.56040030568838E-2</c:v>
                </c:pt>
                <c:pt idx="2338">
                  <c:v>-1.72574878055602E-2</c:v>
                </c:pt>
                <c:pt idx="2339">
                  <c:v>-2.3078168153762801E-2</c:v>
                </c:pt>
                <c:pt idx="2340">
                  <c:v>-1.14799684882164E-2</c:v>
                </c:pt>
                <c:pt idx="2341">
                  <c:v>-1.9830626994370901E-3</c:v>
                </c:pt>
                <c:pt idx="2342">
                  <c:v>-3.8640612587333002E-3</c:v>
                </c:pt>
                <c:pt idx="2343">
                  <c:v>2.5876162737608E-2</c:v>
                </c:pt>
                <c:pt idx="2344">
                  <c:v>1.6360659420490298E-2</c:v>
                </c:pt>
                <c:pt idx="2345">
                  <c:v>8.0587686598299698E-4</c:v>
                </c:pt>
                <c:pt idx="2346">
                  <c:v>1.03276431560498E-4</c:v>
                </c:pt>
                <c:pt idx="2347">
                  <c:v>9.2566322237252995E-3</c:v>
                </c:pt>
                <c:pt idx="2348">
                  <c:v>2.0427925616502699E-2</c:v>
                </c:pt>
                <c:pt idx="2349">
                  <c:v>2.13034509420395E-2</c:v>
                </c:pt>
                <c:pt idx="2350">
                  <c:v>-1.6160832643508899E-2</c:v>
                </c:pt>
                <c:pt idx="2351">
                  <c:v>-1.0565806522965401E-2</c:v>
                </c:pt>
                <c:pt idx="2352">
                  <c:v>-7.7992741912603003E-3</c:v>
                </c:pt>
                <c:pt idx="2353">
                  <c:v>-2.25285164192318E-2</c:v>
                </c:pt>
                <c:pt idx="2354">
                  <c:v>-1.9481350392103199E-2</c:v>
                </c:pt>
                <c:pt idx="2355">
                  <c:v>-1.4951974441297301E-2</c:v>
                </c:pt>
                <c:pt idx="2356">
                  <c:v>-2.46235415041446E-2</c:v>
                </c:pt>
                <c:pt idx="2357">
                  <c:v>-4.1624510586261702E-2</c:v>
                </c:pt>
                <c:pt idx="2358">
                  <c:v>-1.08959939032793E-2</c:v>
                </c:pt>
                <c:pt idx="2359">
                  <c:v>-7.3977139741182004E-3</c:v>
                </c:pt>
                <c:pt idx="2360">
                  <c:v>-4.3999835208058301E-2</c:v>
                </c:pt>
                <c:pt idx="2361">
                  <c:v>-5.0992128163575998E-2</c:v>
                </c:pt>
                <c:pt idx="2362">
                  <c:v>-3.6346345990895998E-3</c:v>
                </c:pt>
                <c:pt idx="2363">
                  <c:v>-2.61401011310517E-2</c:v>
                </c:pt>
                <c:pt idx="2364">
                  <c:v>-8.8931213170290006E-3</c:v>
                </c:pt>
                <c:pt idx="2365">
                  <c:v>8.2322160154581006E-3</c:v>
                </c:pt>
                <c:pt idx="2366">
                  <c:v>7.8656600415709995E-4</c:v>
                </c:pt>
                <c:pt idx="2367">
                  <c:v>2.2317402228713E-2</c:v>
                </c:pt>
                <c:pt idx="2368">
                  <c:v>2.5267072841525001E-3</c:v>
                </c:pt>
                <c:pt idx="2369">
                  <c:v>-2.4656712114811E-3</c:v>
                </c:pt>
                <c:pt idx="2370">
                  <c:v>2.6546066999439798E-4</c:v>
                </c:pt>
                <c:pt idx="2371">
                  <c:v>6.2357887327671004E-3</c:v>
                </c:pt>
                <c:pt idx="2372">
                  <c:v>8.4696208238601994E-3</c:v>
                </c:pt>
                <c:pt idx="2373">
                  <c:v>1.2492118656635199E-2</c:v>
                </c:pt>
                <c:pt idx="2374">
                  <c:v>-3.6485114991664902E-2</c:v>
                </c:pt>
                <c:pt idx="2375">
                  <c:v>1.24526597857475E-2</c:v>
                </c:pt>
                <c:pt idx="2376">
                  <c:v>1.1770195364951899E-3</c:v>
                </c:pt>
                <c:pt idx="2377">
                  <c:v>-2.82839167043566E-2</c:v>
                </c:pt>
                <c:pt idx="2378">
                  <c:v>-5.0841268807649498E-2</c:v>
                </c:pt>
                <c:pt idx="2379">
                  <c:v>-2.22840642929079E-3</c:v>
                </c:pt>
                <c:pt idx="2380">
                  <c:v>-2.0883656449616001E-2</c:v>
                </c:pt>
                <c:pt idx="2381">
                  <c:v>-1.1448273718357001E-2</c:v>
                </c:pt>
                <c:pt idx="2382">
                  <c:v>1.18341619521378E-2</c:v>
                </c:pt>
                <c:pt idx="2383">
                  <c:v>1.45546708405017E-2</c:v>
                </c:pt>
                <c:pt idx="2384">
                  <c:v>8.3369629621505695E-2</c:v>
                </c:pt>
                <c:pt idx="2385">
                  <c:v>5.2689101815223599E-2</c:v>
                </c:pt>
                <c:pt idx="2386">
                  <c:v>2.8843691289424898E-2</c:v>
                </c:pt>
                <c:pt idx="2387">
                  <c:v>1.5664331823587299E-2</c:v>
                </c:pt>
                <c:pt idx="2388">
                  <c:v>4.2557693243026697E-2</c:v>
                </c:pt>
                <c:pt idx="2389">
                  <c:v>3.20630652010441E-2</c:v>
                </c:pt>
                <c:pt idx="2390">
                  <c:v>3.6252638578414903E-2</c:v>
                </c:pt>
                <c:pt idx="2391">
                  <c:v>-6.4606069512665301E-2</c:v>
                </c:pt>
                <c:pt idx="2392">
                  <c:v>-1.48366425931449E-3</c:v>
                </c:pt>
                <c:pt idx="2393">
                  <c:v>2.4501523971558001E-3</c:v>
                </c:pt>
                <c:pt idx="2394">
                  <c:v>-3.1169575463980401E-2</c:v>
                </c:pt>
                <c:pt idx="2395">
                  <c:v>-2.35017917156219E-2</c:v>
                </c:pt>
                <c:pt idx="2396">
                  <c:v>2.38953918218598E-4</c:v>
                </c:pt>
                <c:pt idx="2397">
                  <c:v>-2.08802692294121E-2</c:v>
                </c:pt>
                <c:pt idx="2398">
                  <c:v>-9.7596126645802996E-3</c:v>
                </c:pt>
                <c:pt idx="2399">
                  <c:v>1.6364926844835001E-3</c:v>
                </c:pt>
                <c:pt idx="2400">
                  <c:v>-3.6749375835060999E-3</c:v>
                </c:pt>
                <c:pt idx="2401">
                  <c:v>2.6992932125926E-2</c:v>
                </c:pt>
                <c:pt idx="2402">
                  <c:v>1.42351428866386E-2</c:v>
                </c:pt>
                <c:pt idx="2403">
                  <c:v>-8.7637345343828006E-3</c:v>
                </c:pt>
                <c:pt idx="2404">
                  <c:v>-1.7856413125990101E-4</c:v>
                </c:pt>
                <c:pt idx="2405">
                  <c:v>1.0442762792110399E-2</c:v>
                </c:pt>
                <c:pt idx="2406">
                  <c:v>2.37589982450007E-2</c:v>
                </c:pt>
                <c:pt idx="2407">
                  <c:v>4.9079789519309996E-3</c:v>
                </c:pt>
                <c:pt idx="2408">
                  <c:v>-1.4969201683998E-2</c:v>
                </c:pt>
                <c:pt idx="2409">
                  <c:v>2.2364014416933101E-2</c:v>
                </c:pt>
                <c:pt idx="2410">
                  <c:v>-2.5799673944711999E-3</c:v>
                </c:pt>
                <c:pt idx="2411">
                  <c:v>-5.1319332152605097E-2</c:v>
                </c:pt>
                <c:pt idx="2412">
                  <c:v>-2.2919145137071599E-2</c:v>
                </c:pt>
                <c:pt idx="2413">
                  <c:v>-5.38665445894E-3</c:v>
                </c:pt>
                <c:pt idx="2414">
                  <c:v>2.8061920434236401E-2</c:v>
                </c:pt>
                <c:pt idx="2415">
                  <c:v>-7.0819416046143E-3</c:v>
                </c:pt>
                <c:pt idx="2416">
                  <c:v>-5.03753435909748E-2</c:v>
                </c:pt>
                <c:pt idx="2417">
                  <c:v>-2.4344321995973601E-2</c:v>
                </c:pt>
                <c:pt idx="2418">
                  <c:v>-1.17000166177749E-2</c:v>
                </c:pt>
                <c:pt idx="2419">
                  <c:v>-2.0327783532440701E-2</c:v>
                </c:pt>
                <c:pt idx="2420">
                  <c:v>-2.1936859041452E-3</c:v>
                </c:pt>
                <c:pt idx="2421">
                  <c:v>8.9125471562147007E-3</c:v>
                </c:pt>
                <c:pt idx="2422">
                  <c:v>8.0073129534720903E-3</c:v>
                </c:pt>
                <c:pt idx="2423">
                  <c:v>5.7815889060497297E-2</c:v>
                </c:pt>
                <c:pt idx="2424">
                  <c:v>2.1015204757452E-2</c:v>
                </c:pt>
                <c:pt idx="2425">
                  <c:v>1.51132584512234E-2</c:v>
                </c:pt>
                <c:pt idx="2426">
                  <c:v>1.87542142570018E-2</c:v>
                </c:pt>
                <c:pt idx="2427">
                  <c:v>2.5216079473495499E-2</c:v>
                </c:pt>
                <c:pt idx="2428">
                  <c:v>3.4898305416107098E-2</c:v>
                </c:pt>
                <c:pt idx="2429">
                  <c:v>0.153397446751595</c:v>
                </c:pt>
                <c:pt idx="2430">
                  <c:v>-4.4343097060918803E-2</c:v>
                </c:pt>
                <c:pt idx="2431">
                  <c:v>-1.27713348418474E-2</c:v>
                </c:pt>
                <c:pt idx="2432">
                  <c:v>-6.9676161706447998E-3</c:v>
                </c:pt>
                <c:pt idx="2433">
                  <c:v>-2.56779280602931E-2</c:v>
                </c:pt>
                <c:pt idx="2434">
                  <c:v>-1.7012296900153202E-2</c:v>
                </c:pt>
                <c:pt idx="2435">
                  <c:v>-1.3328517027199199E-2</c:v>
                </c:pt>
                <c:pt idx="2436">
                  <c:v>-2.5962553329765801E-2</c:v>
                </c:pt>
                <c:pt idx="2437">
                  <c:v>-9.7676797807217004E-3</c:v>
                </c:pt>
                <c:pt idx="2438">
                  <c:v>2.5123959779738999E-3</c:v>
                </c:pt>
                <c:pt idx="2439">
                  <c:v>-9.0263557471334903E-3</c:v>
                </c:pt>
                <c:pt idx="2440">
                  <c:v>3.7982663303613599E-2</c:v>
                </c:pt>
                <c:pt idx="2441">
                  <c:v>4.6131743937731003E-3</c:v>
                </c:pt>
                <c:pt idx="2442">
                  <c:v>7.1171277165412898E-3</c:v>
                </c:pt>
                <c:pt idx="2443">
                  <c:v>8.2221443057059994E-3</c:v>
                </c:pt>
                <c:pt idx="2444">
                  <c:v>7.8750654757022993E-3</c:v>
                </c:pt>
                <c:pt idx="2445">
                  <c:v>2.7577305316925E-2</c:v>
                </c:pt>
                <c:pt idx="2446">
                  <c:v>2.5642758488655101E-2</c:v>
                </c:pt>
                <c:pt idx="2447">
                  <c:v>-3.02806402742863E-2</c:v>
                </c:pt>
                <c:pt idx="2448">
                  <c:v>3.9520688652991904E-3</c:v>
                </c:pt>
                <c:pt idx="2449">
                  <c:v>8.7384573221206997E-3</c:v>
                </c:pt>
                <c:pt idx="2450">
                  <c:v>-3.3351675897836601E-2</c:v>
                </c:pt>
                <c:pt idx="2451">
                  <c:v>-2.4250632807612301E-2</c:v>
                </c:pt>
                <c:pt idx="2452">
                  <c:v>-4.4181308150290002E-4</c:v>
                </c:pt>
                <c:pt idx="2453">
                  <c:v>-1.6962870366871399E-2</c:v>
                </c:pt>
                <c:pt idx="2454">
                  <c:v>-8.5395623967052005E-3</c:v>
                </c:pt>
                <c:pt idx="2455">
                  <c:v>7.5095264613628003E-3</c:v>
                </c:pt>
                <c:pt idx="2456">
                  <c:v>-5.9061235189439905E-4</c:v>
                </c:pt>
                <c:pt idx="2457">
                  <c:v>3.0853560358285799E-2</c:v>
                </c:pt>
                <c:pt idx="2458">
                  <c:v>4.8325176239013903E-3</c:v>
                </c:pt>
                <c:pt idx="2459">
                  <c:v>-1.07686326876283E-2</c:v>
                </c:pt>
                <c:pt idx="2460">
                  <c:v>8.2791934013366902E-3</c:v>
                </c:pt>
                <c:pt idx="2461">
                  <c:v>2.3223477572202701E-2</c:v>
                </c:pt>
                <c:pt idx="2462">
                  <c:v>1.34314504563807E-2</c:v>
                </c:pt>
                <c:pt idx="2463">
                  <c:v>2.5745583951473101E-2</c:v>
                </c:pt>
                <c:pt idx="2464">
                  <c:v>-4.7584789991379E-3</c:v>
                </c:pt>
                <c:pt idx="2465">
                  <c:v>7.7190451622008898E-3</c:v>
                </c:pt>
                <c:pt idx="2466">
                  <c:v>1.9349372982978899E-3</c:v>
                </c:pt>
                <c:pt idx="2467">
                  <c:v>-3.47953742016106E-2</c:v>
                </c:pt>
                <c:pt idx="2468">
                  <c:v>-2.6526122078299501E-2</c:v>
                </c:pt>
                <c:pt idx="2469">
                  <c:v>-1.09309211224317E-2</c:v>
                </c:pt>
                <c:pt idx="2470">
                  <c:v>-2.0894741982221601E-2</c:v>
                </c:pt>
                <c:pt idx="2471">
                  <c:v>-1.68559656515717E-2</c:v>
                </c:pt>
                <c:pt idx="2472">
                  <c:v>7.0467019826173996E-3</c:v>
                </c:pt>
                <c:pt idx="2473">
                  <c:v>-8.1754673123359701E-3</c:v>
                </c:pt>
                <c:pt idx="2474">
                  <c:v>3.09889262318611E-2</c:v>
                </c:pt>
                <c:pt idx="2475">
                  <c:v>3.37883981764317E-2</c:v>
                </c:pt>
                <c:pt idx="2476">
                  <c:v>2.3813834130763999E-2</c:v>
                </c:pt>
                <c:pt idx="2477">
                  <c:v>3.7498392373323398E-2</c:v>
                </c:pt>
                <c:pt idx="2478">
                  <c:v>3.86597878932953E-2</c:v>
                </c:pt>
                <c:pt idx="2479">
                  <c:v>4.95042112767696E-2</c:v>
                </c:pt>
                <c:pt idx="2480">
                  <c:v>0.112343421459198</c:v>
                </c:pt>
                <c:pt idx="2481">
                  <c:v>-3.9776047617196997E-2</c:v>
                </c:pt>
                <c:pt idx="2482">
                  <c:v>1.13800891041756E-2</c:v>
                </c:pt>
                <c:pt idx="2483">
                  <c:v>9.6108234524726992E-3</c:v>
                </c:pt>
                <c:pt idx="2484">
                  <c:v>-2.4273196525871801E-2</c:v>
                </c:pt>
                <c:pt idx="2485">
                  <c:v>-7.6627141833304898E-3</c:v>
                </c:pt>
                <c:pt idx="2486">
                  <c:v>-1.0266356807202099E-2</c:v>
                </c:pt>
                <c:pt idx="2487">
                  <c:v>-1.49001277685165E-2</c:v>
                </c:pt>
                <c:pt idx="2488">
                  <c:v>1.2824656069279901E-4</c:v>
                </c:pt>
                <c:pt idx="2489">
                  <c:v>-6.58932734280824E-3</c:v>
                </c:pt>
                <c:pt idx="2490">
                  <c:v>-1.7928631827235E-3</c:v>
                </c:pt>
                <c:pt idx="2491">
                  <c:v>2.7379039838910098E-2</c:v>
                </c:pt>
                <c:pt idx="2492">
                  <c:v>-1.40673359502106E-2</c:v>
                </c:pt>
                <c:pt idx="2493">
                  <c:v>8.27384898066519E-3</c:v>
                </c:pt>
                <c:pt idx="2494">
                  <c:v>2.5038995057344401E-2</c:v>
                </c:pt>
                <c:pt idx="2495">
                  <c:v>9.5569502264260999E-3</c:v>
                </c:pt>
                <c:pt idx="2496">
                  <c:v>2.92133708596229E-2</c:v>
                </c:pt>
                <c:pt idx="2497">
                  <c:v>6.0250869274139002E-2</c:v>
                </c:pt>
                <c:pt idx="2498">
                  <c:v>-4.0243009030818899E-2</c:v>
                </c:pt>
                <c:pt idx="2499">
                  <c:v>3.7318992614750098E-4</c:v>
                </c:pt>
                <c:pt idx="2500">
                  <c:v>4.3259850144389901E-4</c:v>
                </c:pt>
                <c:pt idx="2501">
                  <c:v>-2.59799792543054E-2</c:v>
                </c:pt>
                <c:pt idx="2502">
                  <c:v>-5.0941039532423002E-2</c:v>
                </c:pt>
                <c:pt idx="2503">
                  <c:v>-1.36998646743595E-2</c:v>
                </c:pt>
                <c:pt idx="2504">
                  <c:v>-1.6264066442847301E-2</c:v>
                </c:pt>
                <c:pt idx="2505">
                  <c:v>-3.5022127479314999E-3</c:v>
                </c:pt>
                <c:pt idx="2506">
                  <c:v>1.70642292499542E-2</c:v>
                </c:pt>
                <c:pt idx="2507">
                  <c:v>2.3665002375841099E-2</c:v>
                </c:pt>
                <c:pt idx="2508">
                  <c:v>0.10509310865402199</c:v>
                </c:pt>
                <c:pt idx="2509">
                  <c:v>5.6163165986537901E-2</c:v>
                </c:pt>
                <c:pt idx="2510">
                  <c:v>1.9007267147302599E-2</c:v>
                </c:pt>
                <c:pt idx="2511">
                  <c:v>2.87831800282001E-2</c:v>
                </c:pt>
                <c:pt idx="2512">
                  <c:v>2.3435755789279901E-2</c:v>
                </c:pt>
                <c:pt idx="2513">
                  <c:v>4.1440481424331599E-2</c:v>
                </c:pt>
                <c:pt idx="2514">
                  <c:v>2.2015815854072598E-2</c:v>
                </c:pt>
                <c:pt idx="2515">
                  <c:v>-7.4221393950283501E-2</c:v>
                </c:pt>
                <c:pt idx="2516">
                  <c:v>2.59453445971011E-2</c:v>
                </c:pt>
                <c:pt idx="2517">
                  <c:v>2.8674482405185902E-3</c:v>
                </c:pt>
                <c:pt idx="2518">
                  <c:v>-4.5925889454782001E-2</c:v>
                </c:pt>
                <c:pt idx="2519">
                  <c:v>-4.7614809781312897E-2</c:v>
                </c:pt>
                <c:pt idx="2520">
                  <c:v>-1.7743252068757899E-3</c:v>
                </c:pt>
                <c:pt idx="2521">
                  <c:v>-1.3592612341046299E-2</c:v>
                </c:pt>
                <c:pt idx="2522">
                  <c:v>1.13541238903998E-2</c:v>
                </c:pt>
                <c:pt idx="2523">
                  <c:v>2.1804538220167199E-2</c:v>
                </c:pt>
                <c:pt idx="2524">
                  <c:v>3.0551618725061399E-2</c:v>
                </c:pt>
                <c:pt idx="2525">
                  <c:v>6.4621815621852902E-2</c:v>
                </c:pt>
                <c:pt idx="2526">
                  <c:v>2.2877637565136E-2</c:v>
                </c:pt>
                <c:pt idx="2527">
                  <c:v>1.9342669934034201E-2</c:v>
                </c:pt>
                <c:pt idx="2528">
                  <c:v>1.4584444671869199E-2</c:v>
                </c:pt>
                <c:pt idx="2529">
                  <c:v>1.32288030982018E-2</c:v>
                </c:pt>
                <c:pt idx="2530">
                  <c:v>4.1285352885723103E-2</c:v>
                </c:pt>
                <c:pt idx="2531">
                  <c:v>7.8489354133605999E-2</c:v>
                </c:pt>
                <c:pt idx="2532">
                  <c:v>-7.1867247968912099E-2</c:v>
                </c:pt>
                <c:pt idx="2533">
                  <c:v>6.5429486632346901E-3</c:v>
                </c:pt>
                <c:pt idx="2534">
                  <c:v>1.32317832708358E-2</c:v>
                </c:pt>
                <c:pt idx="2535">
                  <c:v>-2.89957004711031E-2</c:v>
                </c:pt>
                <c:pt idx="2536">
                  <c:v>-2.9442530781030599E-2</c:v>
                </c:pt>
                <c:pt idx="2537">
                  <c:v>-1.1380184147506901E-2</c:v>
                </c:pt>
                <c:pt idx="2538">
                  <c:v>-2.0420812413096401E-2</c:v>
                </c:pt>
                <c:pt idx="2539">
                  <c:v>-6.4579325765370997E-3</c:v>
                </c:pt>
                <c:pt idx="2540">
                  <c:v>2.4107477068900998E-3</c:v>
                </c:pt>
                <c:pt idx="2541">
                  <c:v>9.7422495633363998E-3</c:v>
                </c:pt>
                <c:pt idx="2542">
                  <c:v>2.12744643688202E-2</c:v>
                </c:pt>
                <c:pt idx="2543">
                  <c:v>1.16048774570227E-2</c:v>
                </c:pt>
                <c:pt idx="2544">
                  <c:v>-2.2005876898770199E-4</c:v>
                </c:pt>
                <c:pt idx="2545">
                  <c:v>-4.1766220480203998E-3</c:v>
                </c:pt>
                <c:pt idx="2546">
                  <c:v>2.1189055562019301E-2</c:v>
                </c:pt>
                <c:pt idx="2547">
                  <c:v>2.3179357975721401E-2</c:v>
                </c:pt>
                <c:pt idx="2548">
                  <c:v>5.8536743998527999E-2</c:v>
                </c:pt>
                <c:pt idx="2549">
                  <c:v>-6.6480952501296996E-3</c:v>
                </c:pt>
                <c:pt idx="2550">
                  <c:v>1.9938604563474599E-2</c:v>
                </c:pt>
                <c:pt idx="2551">
                  <c:v>1.4660588562488501E-2</c:v>
                </c:pt>
                <c:pt idx="2552">
                  <c:v>-1.60090022832154E-2</c:v>
                </c:pt>
                <c:pt idx="2553">
                  <c:v>1.2086223155259999E-2</c:v>
                </c:pt>
                <c:pt idx="2554">
                  <c:v>3.3822781234979601E-2</c:v>
                </c:pt>
                <c:pt idx="2555">
                  <c:v>-1.55612699389458E-2</c:v>
                </c:pt>
                <c:pt idx="2556">
                  <c:v>-1.747926980257E-3</c:v>
                </c:pt>
                <c:pt idx="2557">
                  <c:v>-2.17067018151279E-3</c:v>
                </c:pt>
                <c:pt idx="2558">
                  <c:v>-6.4832784086465804E-3</c:v>
                </c:pt>
                <c:pt idx="2559">
                  <c:v>3.6021175026893601E-2</c:v>
                </c:pt>
                <c:pt idx="2560">
                  <c:v>5.604068636894E-4</c:v>
                </c:pt>
                <c:pt idx="2561">
                  <c:v>-8.1728150174021994E-3</c:v>
                </c:pt>
                <c:pt idx="2562">
                  <c:v>6.7635311037302004E-3</c:v>
                </c:pt>
                <c:pt idx="2563">
                  <c:v>1.39160781800747E-2</c:v>
                </c:pt>
                <c:pt idx="2564">
                  <c:v>-4.45871780514717E-2</c:v>
                </c:pt>
                <c:pt idx="2565">
                  <c:v>4.6110829591751099E-2</c:v>
                </c:pt>
                <c:pt idx="2566">
                  <c:v>-5.1628503873944298E-2</c:v>
                </c:pt>
                <c:pt idx="2567">
                  <c:v>-1.7431663691997501E-2</c:v>
                </c:pt>
                <c:pt idx="2568">
                  <c:v>-2.9886447787285E-3</c:v>
                </c:pt>
                <c:pt idx="2569">
                  <c:v>-2.0905542477965399E-2</c:v>
                </c:pt>
                <c:pt idx="2570">
                  <c:v>-1.63022267669439E-2</c:v>
                </c:pt>
                <c:pt idx="2571">
                  <c:v>-1.6096957985078899E-2</c:v>
                </c:pt>
                <c:pt idx="2572">
                  <c:v>-2.21766143739223E-2</c:v>
                </c:pt>
                <c:pt idx="2573">
                  <c:v>-7.8187056854366992E-3</c:v>
                </c:pt>
                <c:pt idx="2574">
                  <c:v>5.5883514136075996E-3</c:v>
                </c:pt>
                <c:pt idx="2575">
                  <c:v>-1.22153572123497E-2</c:v>
                </c:pt>
                <c:pt idx="2576">
                  <c:v>2.4068541988730398E-2</c:v>
                </c:pt>
                <c:pt idx="2577">
                  <c:v>-4.6246691718697403E-3</c:v>
                </c:pt>
                <c:pt idx="2578">
                  <c:v>-9.3267609402536995E-3</c:v>
                </c:pt>
                <c:pt idx="2579">
                  <c:v>-3.4887769967317998E-3</c:v>
                </c:pt>
                <c:pt idx="2580">
                  <c:v>1.5392671495676E-2</c:v>
                </c:pt>
                <c:pt idx="2581">
                  <c:v>1.51180719137192E-2</c:v>
                </c:pt>
                <c:pt idx="2582">
                  <c:v>2.4252174675464599E-2</c:v>
                </c:pt>
                <c:pt idx="2583">
                  <c:v>-2.1417809575796101E-2</c:v>
                </c:pt>
                <c:pt idx="2584">
                  <c:v>3.2106613397598197E-2</c:v>
                </c:pt>
                <c:pt idx="2585">
                  <c:v>-4.2006363123655004E-3</c:v>
                </c:pt>
                <c:pt idx="2586">
                  <c:v>-5.6181022256612798E-2</c:v>
                </c:pt>
                <c:pt idx="2587">
                  <c:v>-2.6131386592984199E-2</c:v>
                </c:pt>
                <c:pt idx="2588">
                  <c:v>-7.6908824816346198E-3</c:v>
                </c:pt>
                <c:pt idx="2589">
                  <c:v>-2.08853756710887E-2</c:v>
                </c:pt>
                <c:pt idx="2590">
                  <c:v>-1.9674286529421801E-2</c:v>
                </c:pt>
                <c:pt idx="2591">
                  <c:v>1.31249526888132E-2</c:v>
                </c:pt>
                <c:pt idx="2592">
                  <c:v>8.4872992336749997E-4</c:v>
                </c:pt>
                <c:pt idx="2593">
                  <c:v>2.65408308953047E-2</c:v>
                </c:pt>
                <c:pt idx="2594">
                  <c:v>2.8950322687625901E-2</c:v>
                </c:pt>
                <c:pt idx="2595">
                  <c:v>6.28918381035329E-3</c:v>
                </c:pt>
                <c:pt idx="2596">
                  <c:v>2.69851239621638E-2</c:v>
                </c:pt>
                <c:pt idx="2597">
                  <c:v>2.6259332120418501E-2</c:v>
                </c:pt>
                <c:pt idx="2598">
                  <c:v>3.83959134221077E-2</c:v>
                </c:pt>
                <c:pt idx="2599">
                  <c:v>9.0195691466330996E-2</c:v>
                </c:pt>
                <c:pt idx="2600">
                  <c:v>-2.9108719825744599E-2</c:v>
                </c:pt>
                <c:pt idx="2601">
                  <c:v>-7.1628190279006999E-3</c:v>
                </c:pt>
                <c:pt idx="2602">
                  <c:v>1.7907108217477901E-3</c:v>
                </c:pt>
                <c:pt idx="2603">
                  <c:v>-3.0317015305161399E-2</c:v>
                </c:pt>
                <c:pt idx="2604">
                  <c:v>-2.62052665501833E-2</c:v>
                </c:pt>
                <c:pt idx="2605">
                  <c:v>2.5452494770288E-3</c:v>
                </c:pt>
                <c:pt idx="2606">
                  <c:v>-2.1100504666566801E-2</c:v>
                </c:pt>
                <c:pt idx="2607">
                  <c:v>-5.4712652266025999E-3</c:v>
                </c:pt>
                <c:pt idx="2608">
                  <c:v>6.4374847710133003E-3</c:v>
                </c:pt>
                <c:pt idx="2609">
                  <c:v>1.4029121786356E-2</c:v>
                </c:pt>
                <c:pt idx="2610">
                  <c:v>4.20976003408432E-2</c:v>
                </c:pt>
                <c:pt idx="2611">
                  <c:v>1.50242078006268E-2</c:v>
                </c:pt>
                <c:pt idx="2612">
                  <c:v>-9.5119914412499895E-4</c:v>
                </c:pt>
                <c:pt idx="2613">
                  <c:v>1.6521778166294E-2</c:v>
                </c:pt>
                <c:pt idx="2614">
                  <c:v>2.5981816619634598E-2</c:v>
                </c:pt>
                <c:pt idx="2615">
                  <c:v>1.5274528518319E-2</c:v>
                </c:pt>
                <c:pt idx="2616">
                  <c:v>3.0728502452373501E-2</c:v>
                </c:pt>
                <c:pt idx="2617">
                  <c:v>-3.4821955412626303E-2</c:v>
                </c:pt>
                <c:pt idx="2618">
                  <c:v>-6.2837026715278996E-3</c:v>
                </c:pt>
                <c:pt idx="2619">
                  <c:v>6.0409485399722899E-3</c:v>
                </c:pt>
                <c:pt idx="2620">
                  <c:v>-3.0476059123873699E-2</c:v>
                </c:pt>
                <c:pt idx="2621">
                  <c:v>-2.5031751677393899E-2</c:v>
                </c:pt>
                <c:pt idx="2622">
                  <c:v>-8.3919538557530003E-4</c:v>
                </c:pt>
                <c:pt idx="2623">
                  <c:v>-2.6011186528950899E-2</c:v>
                </c:pt>
                <c:pt idx="2624">
                  <c:v>-9.7225423008204005E-3</c:v>
                </c:pt>
                <c:pt idx="2625">
                  <c:v>-1.52873653918499E-3</c:v>
                </c:pt>
                <c:pt idx="2626">
                  <c:v>-3.1125379577278999E-3</c:v>
                </c:pt>
                <c:pt idx="2627">
                  <c:v>3.16278582215309E-2</c:v>
                </c:pt>
                <c:pt idx="2628">
                  <c:v>1.57915300577878E-2</c:v>
                </c:pt>
                <c:pt idx="2629">
                  <c:v>1.3782115370035101E-2</c:v>
                </c:pt>
                <c:pt idx="2630">
                  <c:v>1.5329245686531099E-2</c:v>
                </c:pt>
                <c:pt idx="2631">
                  <c:v>-1.8508740067481901E-3</c:v>
                </c:pt>
                <c:pt idx="2632">
                  <c:v>3.9619376987218902E-2</c:v>
                </c:pt>
                <c:pt idx="2633">
                  <c:v>3.9169265210628398E-2</c:v>
                </c:pt>
                <c:pt idx="2634">
                  <c:v>-6.9305211231112496E-2</c:v>
                </c:pt>
                <c:pt idx="2635">
                  <c:v>-8.3789046555757998E-3</c:v>
                </c:pt>
                <c:pt idx="2636">
                  <c:v>-6.6707049459219002E-3</c:v>
                </c:pt>
                <c:pt idx="2637">
                  <c:v>-2.31321652531623E-2</c:v>
                </c:pt>
                <c:pt idx="2638">
                  <c:v>-1.7644426509738E-2</c:v>
                </c:pt>
                <c:pt idx="2639">
                  <c:v>-1.4862409847788499E-2</c:v>
                </c:pt>
                <c:pt idx="2640">
                  <c:v>-2.6656530208885601E-2</c:v>
                </c:pt>
                <c:pt idx="2641">
                  <c:v>-1.52473610863089E-2</c:v>
                </c:pt>
                <c:pt idx="2642">
                  <c:v>-5.28234556317329E-3</c:v>
                </c:pt>
                <c:pt idx="2643">
                  <c:v>-1.2978382347151599E-2</c:v>
                </c:pt>
                <c:pt idx="2644">
                  <c:v>2.4271976366639001E-2</c:v>
                </c:pt>
                <c:pt idx="2645">
                  <c:v>-1.47774881869549E-3</c:v>
                </c:pt>
                <c:pt idx="2646">
                  <c:v>-5.5060389488934998E-3</c:v>
                </c:pt>
                <c:pt idx="2647">
                  <c:v>1.2414010465145E-3</c:v>
                </c:pt>
                <c:pt idx="2648">
                  <c:v>4.8836722671986004E-3</c:v>
                </c:pt>
                <c:pt idx="2649">
                  <c:v>1.8128262937068901E-2</c:v>
                </c:pt>
                <c:pt idx="2650">
                  <c:v>1.1979101896286001E-3</c:v>
                </c:pt>
                <c:pt idx="2651">
                  <c:v>-4.6670305728911902E-3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6-46E2-90D0-2AE6D9CC3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913328"/>
        <c:axId val="1176908528"/>
      </c:scatterChart>
      <c:valAx>
        <c:axId val="117691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908528"/>
        <c:crosses val="autoZero"/>
        <c:crossBetween val="midCat"/>
      </c:valAx>
      <c:valAx>
        <c:axId val="11769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91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411480</xdr:colOff>
      <xdr:row>1</xdr:row>
      <xdr:rowOff>121920</xdr:rowOff>
    </xdr:from>
    <xdr:to>
      <xdr:col>45</xdr:col>
      <xdr:colOff>106680</xdr:colOff>
      <xdr:row>16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F7C246-C193-4B49-B374-4ADF428F2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9A74-E4FF-45F0-A2C2-D4668992367B}">
  <dimension ref="A1:AM2654"/>
  <sheetViews>
    <sheetView tabSelected="1" workbookViewId="0">
      <selection activeCell="Z8" sqref="Z8"/>
    </sheetView>
  </sheetViews>
  <sheetFormatPr defaultRowHeight="14.4" x14ac:dyDescent="0.3"/>
  <cols>
    <col min="10" max="10" width="12" bestFit="1" customWidth="1"/>
  </cols>
  <sheetData>
    <row r="1" spans="1:39" x14ac:dyDescent="0.3">
      <c r="E1" s="1"/>
      <c r="F1" s="1"/>
      <c r="G1" s="1"/>
      <c r="H1" s="1"/>
      <c r="J1" s="1">
        <f>AVERAGE(J3:J2654)</f>
        <v>1.8380343137254878E-2</v>
      </c>
      <c r="K1" s="1">
        <f>AVERAGE(K3:K2654)</f>
        <v>2.601265714906285E-2</v>
      </c>
      <c r="L1" s="1">
        <f>AVERAGE(L3:L2654)</f>
        <v>7.6323140118079299E-3</v>
      </c>
      <c r="M1" s="1">
        <f>AVERAGE(M3:M2654)</f>
        <v>1.9478004371473157E-3</v>
      </c>
      <c r="W1" t="s">
        <v>185</v>
      </c>
      <c r="Z1" s="6"/>
    </row>
    <row r="2" spans="1:39" x14ac:dyDescent="0.3">
      <c r="A2" t="s">
        <v>0</v>
      </c>
      <c r="B2" t="s">
        <v>1</v>
      </c>
      <c r="C2" t="s">
        <v>2</v>
      </c>
      <c r="D2" t="s">
        <v>3</v>
      </c>
      <c r="E2" t="s">
        <v>13</v>
      </c>
      <c r="F2" t="s">
        <v>5</v>
      </c>
      <c r="I2" t="s">
        <v>4</v>
      </c>
      <c r="K2" t="s">
        <v>182</v>
      </c>
      <c r="L2" t="s">
        <v>184</v>
      </c>
      <c r="M2" t="s">
        <v>7</v>
      </c>
      <c r="N2" t="s">
        <v>183</v>
      </c>
      <c r="O2" t="s">
        <v>6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V2" t="s">
        <v>0</v>
      </c>
      <c r="W2" s="5">
        <f>AVERAGE(W3:W166)</f>
        <v>-3.5386691261870575E-4</v>
      </c>
      <c r="Y2" s="5"/>
      <c r="Z2" s="6"/>
      <c r="AA2" s="5"/>
    </row>
    <row r="3" spans="1:39" x14ac:dyDescent="0.3">
      <c r="A3" t="s">
        <v>14</v>
      </c>
      <c r="B3">
        <v>2006</v>
      </c>
      <c r="C3">
        <v>702640.9375</v>
      </c>
      <c r="D3" s="1">
        <v>3.0000000000000001E-3</v>
      </c>
      <c r="E3" s="1">
        <v>0.94217407703399703</v>
      </c>
      <c r="F3" s="1">
        <v>1.7999999999999999E-2</v>
      </c>
      <c r="G3" s="1"/>
      <c r="H3" s="1"/>
      <c r="I3" s="1">
        <v>1.0999999999999999E-2</v>
      </c>
      <c r="J3" s="1">
        <f>+D3-F3+I3*O3</f>
        <v>7.5499999999999977E-3</v>
      </c>
      <c r="K3" s="1">
        <v>1.9897503778338401E-2</v>
      </c>
      <c r="L3" s="1">
        <f>+K3-J3</f>
        <v>1.2347503778338403E-2</v>
      </c>
      <c r="M3" s="1">
        <v>-1.21024962216616E-2</v>
      </c>
      <c r="N3" s="1">
        <f>+M3-J3</f>
        <v>-1.9652496221661597E-2</v>
      </c>
      <c r="O3">
        <v>2.0499999999999998</v>
      </c>
      <c r="P3" t="s">
        <v>15</v>
      </c>
      <c r="Q3">
        <v>-0.02</v>
      </c>
      <c r="R3">
        <v>-8.2892970144748997E-3</v>
      </c>
      <c r="S3">
        <v>-7.3675410822034004E-3</v>
      </c>
      <c r="T3">
        <v>0.02</v>
      </c>
      <c r="V3" t="s">
        <v>14</v>
      </c>
      <c r="W3" s="3">
        <f>AVERAGEIF(A:A,V3,F:F)</f>
        <v>1.1764705882352949E-3</v>
      </c>
      <c r="Y3" s="3"/>
      <c r="AB3" s="1"/>
      <c r="AE3" s="1"/>
      <c r="AF3" s="1"/>
    </row>
    <row r="4" spans="1:39" x14ac:dyDescent="0.3">
      <c r="A4" t="s">
        <v>14</v>
      </c>
      <c r="B4">
        <v>2007</v>
      </c>
      <c r="C4">
        <v>703387.5625</v>
      </c>
      <c r="D4" s="1">
        <v>2.8000000000000001E-2</v>
      </c>
      <c r="E4" s="1">
        <v>0.94565826654434204</v>
      </c>
      <c r="F4" s="1">
        <v>1E-3</v>
      </c>
      <c r="G4" s="1"/>
      <c r="H4" s="1"/>
      <c r="I4" s="1">
        <v>3.0000000000000001E-3</v>
      </c>
      <c r="J4" s="1">
        <f>+D4-F4+I4*O4</f>
        <v>3.3180000000000001E-2</v>
      </c>
      <c r="K4" s="1">
        <v>2.07107029855251E-2</v>
      </c>
      <c r="L4" s="1">
        <f>+K4-J4</f>
        <v>-1.2469297014474901E-2</v>
      </c>
      <c r="M4" s="1">
        <v>-8.2892970144748997E-3</v>
      </c>
      <c r="N4" s="1">
        <f>+M4-J4</f>
        <v>-4.1469297014474903E-2</v>
      </c>
      <c r="O4">
        <v>2.06</v>
      </c>
      <c r="P4" t="s">
        <v>15</v>
      </c>
      <c r="Q4">
        <v>-0.01</v>
      </c>
      <c r="R4">
        <v>-2.39686754643917E-2</v>
      </c>
      <c r="S4">
        <v>5.5421288125217004E-3</v>
      </c>
      <c r="T4">
        <v>0</v>
      </c>
      <c r="V4" t="s">
        <v>18</v>
      </c>
      <c r="W4" s="3">
        <f>AVERAGEIF(A:A,V4,F:F)</f>
        <v>-2.4117647058823537E-3</v>
      </c>
      <c r="Y4" s="3" t="s">
        <v>186</v>
      </c>
      <c r="Z4" s="4">
        <f>AVERAGEIF(G:G,"&gt;0.0",H:H)</f>
        <v>2.1934545965309034E-2</v>
      </c>
      <c r="AB4" s="1"/>
      <c r="AE4" s="1"/>
      <c r="AF4" s="1"/>
    </row>
    <row r="5" spans="1:39" x14ac:dyDescent="0.3">
      <c r="A5" t="s">
        <v>14</v>
      </c>
      <c r="B5">
        <v>2008</v>
      </c>
      <c r="C5">
        <v>703345.1875</v>
      </c>
      <c r="D5" s="1">
        <v>0</v>
      </c>
      <c r="E5" s="1">
        <v>0.94196325540542603</v>
      </c>
      <c r="F5" s="1">
        <v>-1.6E-2</v>
      </c>
      <c r="G5" s="1"/>
      <c r="H5" s="1"/>
      <c r="I5" s="1">
        <v>-4.0000000000000001E-3</v>
      </c>
      <c r="J5" s="1">
        <f>+D5-F5+I5*O5</f>
        <v>7.92E-3</v>
      </c>
      <c r="K5" s="1">
        <v>1.40313245356083E-2</v>
      </c>
      <c r="L5" s="1">
        <f>+K5-J5</f>
        <v>6.1113245356083003E-3</v>
      </c>
      <c r="M5" s="1">
        <v>-2.39686754643917E-2</v>
      </c>
      <c r="N5" s="1">
        <f>+M5-J5</f>
        <v>-3.1888675464391697E-2</v>
      </c>
      <c r="O5">
        <v>2.02</v>
      </c>
      <c r="P5" t="s">
        <v>16</v>
      </c>
      <c r="Q5">
        <v>0.01</v>
      </c>
      <c r="R5">
        <v>-1.8089341655373601E-2</v>
      </c>
      <c r="S5">
        <v>8.4773600101470496E-3</v>
      </c>
      <c r="T5">
        <v>-0.02</v>
      </c>
      <c r="V5" t="s">
        <v>19</v>
      </c>
      <c r="W5" s="3">
        <f>AVERAGEIF(A:A,V5,F:F)</f>
        <v>-4.000000000000001E-3</v>
      </c>
      <c r="Y5" s="3" t="s">
        <v>187</v>
      </c>
      <c r="Z5" s="4">
        <f>AVERAGEIF(G:G,"&lt;0.0",H:H)</f>
        <v>4.9955949457836581E-2</v>
      </c>
      <c r="AB5" s="1"/>
    </row>
    <row r="6" spans="1:39" x14ac:dyDescent="0.3">
      <c r="A6" t="s">
        <v>14</v>
      </c>
      <c r="B6">
        <v>2009</v>
      </c>
      <c r="C6">
        <v>703332</v>
      </c>
      <c r="D6" s="1">
        <v>1.4999999999999999E-2</v>
      </c>
      <c r="E6" s="1">
        <v>0.93571358919143699</v>
      </c>
      <c r="F6" s="1">
        <v>7.3999999999999996E-2</v>
      </c>
      <c r="G6" s="1">
        <f>SUMIFS(F:F,A:A,A6,B:B,"&lt;="&amp;B6)</f>
        <v>7.6999999999999999E-2</v>
      </c>
      <c r="H6" s="1" t="str">
        <f>IFERROR(IF(ABS(G6)&gt;0.12,AVERAGEIFS(K:K,A:A,A6,B:B,"&gt;"&amp;B6,B:B,"&lt;"&amp;B6+3),""),"")</f>
        <v/>
      </c>
      <c r="I6" s="1">
        <v>-6.0000000000000001E-3</v>
      </c>
      <c r="J6" s="1">
        <f>+D6-F6+I6*O6</f>
        <v>-7.2020000000000001E-2</v>
      </c>
      <c r="K6" s="1">
        <v>-2.2089341655373601E-2</v>
      </c>
      <c r="L6" s="1">
        <f>+K6-J6</f>
        <v>4.99306583446264E-2</v>
      </c>
      <c r="M6" s="1">
        <v>-1.8089341655373601E-2</v>
      </c>
      <c r="N6" s="1">
        <f>+M6-J6</f>
        <v>5.3930658344626403E-2</v>
      </c>
      <c r="O6">
        <v>2.17</v>
      </c>
      <c r="P6" t="s">
        <v>17</v>
      </c>
      <c r="Q6">
        <v>0.01</v>
      </c>
      <c r="R6">
        <v>-1.40216203257441E-2</v>
      </c>
      <c r="S6">
        <v>-4.5615115668624596E-3</v>
      </c>
      <c r="T6">
        <v>0.06</v>
      </c>
      <c r="V6" t="s">
        <v>20</v>
      </c>
      <c r="W6" s="3">
        <f>AVERAGEIF(A:A,V6,F:F)</f>
        <v>4.000000000000001E-3</v>
      </c>
      <c r="Y6" s="3"/>
    </row>
    <row r="7" spans="1:39" x14ac:dyDescent="0.3">
      <c r="A7" t="s">
        <v>14</v>
      </c>
      <c r="B7">
        <v>2010</v>
      </c>
      <c r="C7">
        <v>703146.4375</v>
      </c>
      <c r="D7" s="1">
        <v>6.0000000000000001E-3</v>
      </c>
      <c r="E7" s="1">
        <v>0.93733251094818104</v>
      </c>
      <c r="F7" s="1">
        <v>-3.5999999999999997E-2</v>
      </c>
      <c r="G7" s="1">
        <f t="shared" ref="G7:G70" si="0">SUMIFS(F:F,A:A,A7,B:B,"&lt;="&amp;B7)</f>
        <v>4.1000000000000002E-2</v>
      </c>
      <c r="H7" s="1" t="str">
        <f t="shared" ref="H7:H70" si="1">IFERROR(IF(ABS(G7)&gt;0.12,AVERAGEIFS(K:K,A:A,A7,B:B,"&gt;"&amp;B7,B:B,"&lt;"&amp;B7+3),""),"")</f>
        <v/>
      </c>
      <c r="I7" s="1">
        <v>2E-3</v>
      </c>
      <c r="J7" s="1">
        <f>+D7-F7+I7*O7</f>
        <v>4.6179999999999999E-2</v>
      </c>
      <c r="K7" s="1">
        <v>1.9783796742558501E-3</v>
      </c>
      <c r="L7" s="1">
        <f>+K7-J7</f>
        <v>-4.4201620325744151E-2</v>
      </c>
      <c r="M7" s="1">
        <v>-1.40216203257441E-2</v>
      </c>
      <c r="N7" s="1">
        <f>+M7-J7</f>
        <v>-6.0201620325744096E-2</v>
      </c>
      <c r="O7">
        <v>2.09</v>
      </c>
      <c r="P7" t="s">
        <v>17</v>
      </c>
      <c r="Q7">
        <v>0</v>
      </c>
      <c r="R7">
        <v>-2.20062307715416E-2</v>
      </c>
      <c r="S7">
        <v>-7.2245625779030203E-4</v>
      </c>
      <c r="T7">
        <v>-0.04</v>
      </c>
      <c r="V7" t="s">
        <v>21</v>
      </c>
      <c r="W7" s="3">
        <f>AVERAGEIF(A:A,V7,F:F)</f>
        <v>-1.5882352941176468E-3</v>
      </c>
      <c r="Y7" s="3" t="s">
        <v>188</v>
      </c>
    </row>
    <row r="8" spans="1:39" x14ac:dyDescent="0.3">
      <c r="A8" t="s">
        <v>14</v>
      </c>
      <c r="B8">
        <v>2011</v>
      </c>
      <c r="C8">
        <v>702968.3125</v>
      </c>
      <c r="D8" s="1">
        <v>-4.0000000000000001E-3</v>
      </c>
      <c r="E8" s="1">
        <v>0.94377064704894997</v>
      </c>
      <c r="F8" s="1">
        <v>3.9E-2</v>
      </c>
      <c r="G8" s="1">
        <f t="shared" si="0"/>
        <v>0.08</v>
      </c>
      <c r="H8" s="1" t="str">
        <f t="shared" si="1"/>
        <v/>
      </c>
      <c r="I8" s="1">
        <v>6.0000000000000001E-3</v>
      </c>
      <c r="J8" s="1">
        <f>+D8-F8+I8*O8</f>
        <v>-2.9919999999999995E-2</v>
      </c>
      <c r="K8" s="1">
        <v>9.9937692284583993E-3</v>
      </c>
      <c r="L8" s="1">
        <f>+K8-J8</f>
        <v>3.9913769228458393E-2</v>
      </c>
      <c r="M8" s="1">
        <v>-2.20062307715416E-2</v>
      </c>
      <c r="N8" s="1">
        <f>+M8-J8</f>
        <v>7.9137692284583956E-3</v>
      </c>
      <c r="O8">
        <v>2.1800000000000002</v>
      </c>
      <c r="P8" t="s">
        <v>15</v>
      </c>
      <c r="Q8">
        <v>0</v>
      </c>
      <c r="R8">
        <v>-1.17902283594012E-2</v>
      </c>
      <c r="S8">
        <v>-6.3520222902298303E-3</v>
      </c>
      <c r="T8">
        <v>0.04</v>
      </c>
      <c r="V8" t="s">
        <v>22</v>
      </c>
      <c r="W8" s="3">
        <f>AVERAGEIF(A:A,V8,F:F)</f>
        <v>4.2941176470588233E-3</v>
      </c>
      <c r="Y8" s="3"/>
    </row>
    <row r="9" spans="1:39" x14ac:dyDescent="0.3">
      <c r="A9" t="s">
        <v>14</v>
      </c>
      <c r="B9">
        <v>2012</v>
      </c>
      <c r="C9">
        <v>702671.0625</v>
      </c>
      <c r="D9" s="1">
        <v>3.0000000000000001E-3</v>
      </c>
      <c r="E9" s="1">
        <v>0.94733417034149203</v>
      </c>
      <c r="F9" s="1">
        <v>-4.4999999999999998E-2</v>
      </c>
      <c r="G9" s="1">
        <f t="shared" si="0"/>
        <v>3.5000000000000003E-2</v>
      </c>
      <c r="H9" s="1" t="str">
        <f t="shared" si="1"/>
        <v/>
      </c>
      <c r="I9" s="1">
        <v>4.0000000000000001E-3</v>
      </c>
      <c r="J9" s="1">
        <f>+D9-F9+I9*O9</f>
        <v>5.6320000000000002E-2</v>
      </c>
      <c r="K9" s="1">
        <v>9.2097716405987705E-3</v>
      </c>
      <c r="L9" s="1">
        <f>+K9-J9</f>
        <v>-4.7110228359401235E-2</v>
      </c>
      <c r="M9" s="1">
        <v>-1.17902283594012E-2</v>
      </c>
      <c r="N9" s="1">
        <f>+M9-J9</f>
        <v>-6.8110228359401198E-2</v>
      </c>
      <c r="O9">
        <v>2.08</v>
      </c>
      <c r="P9" t="s">
        <v>17</v>
      </c>
      <c r="Q9">
        <v>-0.01</v>
      </c>
      <c r="R9">
        <v>-7.1021761745209896E-4</v>
      </c>
      <c r="S9">
        <v>-6.8369889631866897E-3</v>
      </c>
      <c r="T9">
        <v>-0.05</v>
      </c>
      <c r="V9" t="s">
        <v>24</v>
      </c>
      <c r="W9" s="3">
        <f>AVERAGEIF(A:A,V9,F:F)</f>
        <v>-9.2000000000000016E-3</v>
      </c>
      <c r="Y9" s="3"/>
    </row>
    <row r="10" spans="1:39" x14ac:dyDescent="0.3">
      <c r="A10" t="s">
        <v>14</v>
      </c>
      <c r="B10">
        <v>2013</v>
      </c>
      <c r="C10">
        <v>704072</v>
      </c>
      <c r="D10" s="1">
        <v>8.9999999999999993E-3</v>
      </c>
      <c r="E10" s="1">
        <v>0.94798320531845104</v>
      </c>
      <c r="F10" s="1">
        <v>1E-3</v>
      </c>
      <c r="G10" s="1">
        <f t="shared" si="0"/>
        <v>3.6000000000000004E-2</v>
      </c>
      <c r="H10" s="1" t="str">
        <f t="shared" si="1"/>
        <v/>
      </c>
      <c r="I10" s="1">
        <v>1E-3</v>
      </c>
      <c r="J10" s="1">
        <f>+D10-F10+I10*O10</f>
        <v>1.008E-2</v>
      </c>
      <c r="K10" s="1">
        <v>1.42897823825479E-2</v>
      </c>
      <c r="L10" s="1">
        <f>+K10-J10</f>
        <v>4.2097823825479001E-3</v>
      </c>
      <c r="M10" s="1">
        <v>-7.1021761745209896E-4</v>
      </c>
      <c r="N10" s="1">
        <f>+M10-J10</f>
        <v>-1.0790217617452099E-2</v>
      </c>
      <c r="O10">
        <v>2.08</v>
      </c>
      <c r="P10" t="s">
        <v>15</v>
      </c>
      <c r="Q10">
        <v>-0.01</v>
      </c>
      <c r="R10">
        <v>1.07520882189274E-2</v>
      </c>
      <c r="S10">
        <v>8.7440647184848994E-3</v>
      </c>
      <c r="T10">
        <v>-0.01</v>
      </c>
      <c r="V10" t="s">
        <v>25</v>
      </c>
      <c r="W10" s="3">
        <f>AVERAGEIF(A:A,V10,F:F)</f>
        <v>-1.6470588235294116E-3</v>
      </c>
      <c r="Y10" s="3"/>
    </row>
    <row r="11" spans="1:39" x14ac:dyDescent="0.3">
      <c r="A11" t="s">
        <v>14</v>
      </c>
      <c r="B11">
        <v>2014</v>
      </c>
      <c r="C11">
        <v>705015.5</v>
      </c>
      <c r="D11" s="1">
        <v>0</v>
      </c>
      <c r="E11" s="1">
        <v>0.95023941993713401</v>
      </c>
      <c r="F11" s="1">
        <v>6.0000000000000001E-3</v>
      </c>
      <c r="G11" s="1">
        <f t="shared" si="0"/>
        <v>4.2000000000000003E-2</v>
      </c>
      <c r="H11" s="1" t="str">
        <f t="shared" si="1"/>
        <v/>
      </c>
      <c r="I11" s="1">
        <v>2E-3</v>
      </c>
      <c r="J11" s="1">
        <f>+D11-F11+I11*O11</f>
        <v>-1.8200000000000004E-3</v>
      </c>
      <c r="K11" s="1">
        <v>2.6752088218927401E-2</v>
      </c>
      <c r="L11" s="1">
        <f>+K11-J11</f>
        <v>2.8572088218927399E-2</v>
      </c>
      <c r="M11" s="1">
        <v>1.07520882189274E-2</v>
      </c>
      <c r="N11" s="1">
        <f>+M11-J11</f>
        <v>1.2572088218927401E-2</v>
      </c>
      <c r="O11">
        <v>2.09</v>
      </c>
      <c r="P11" t="s">
        <v>15</v>
      </c>
      <c r="Q11">
        <v>0.01</v>
      </c>
      <c r="R11">
        <v>2.98050010353327E-2</v>
      </c>
      <c r="S11">
        <v>-4.5845098793499602E-4</v>
      </c>
      <c r="T11">
        <v>0</v>
      </c>
      <c r="V11" t="s">
        <v>26</v>
      </c>
      <c r="W11" s="3">
        <f>AVERAGEIF(A:A,V11,F:F)</f>
        <v>6.5294117647058834E-3</v>
      </c>
      <c r="Y11" s="3"/>
      <c r="AA11" s="1"/>
    </row>
    <row r="12" spans="1:39" x14ac:dyDescent="0.3">
      <c r="A12" t="s">
        <v>14</v>
      </c>
      <c r="B12">
        <v>2015</v>
      </c>
      <c r="C12">
        <v>704402</v>
      </c>
      <c r="D12" s="1">
        <v>1.2999999999999999E-2</v>
      </c>
      <c r="E12" s="1">
        <v>0.94737851619720503</v>
      </c>
      <c r="F12" s="1">
        <v>3.1E-2</v>
      </c>
      <c r="G12" s="1">
        <f t="shared" si="0"/>
        <v>7.3000000000000009E-2</v>
      </c>
      <c r="H12" s="1" t="str">
        <f t="shared" si="1"/>
        <v/>
      </c>
      <c r="I12" s="1">
        <v>-3.0000000000000001E-3</v>
      </c>
      <c r="J12" s="1">
        <f>+D12-F12+I12*O12</f>
        <v>-2.4480000000000002E-2</v>
      </c>
      <c r="K12" s="1">
        <v>3.0805001035332701E-2</v>
      </c>
      <c r="L12" s="1">
        <f>+K12-J12</f>
        <v>5.5285001035332702E-2</v>
      </c>
      <c r="M12" s="1">
        <v>2.98050010353327E-2</v>
      </c>
      <c r="N12" s="1">
        <f>+M12-J12</f>
        <v>5.4285001035332701E-2</v>
      </c>
      <c r="O12">
        <v>2.16</v>
      </c>
      <c r="P12" t="s">
        <v>17</v>
      </c>
      <c r="Q12">
        <v>0</v>
      </c>
      <c r="R12">
        <v>-2.2962941974399999E-4</v>
      </c>
      <c r="S12">
        <v>-1.33831864222884E-2</v>
      </c>
      <c r="T12">
        <v>0.04</v>
      </c>
      <c r="V12" t="s">
        <v>27</v>
      </c>
      <c r="W12" s="3">
        <f>AVERAGEIF(A:A,V12,F:F)</f>
        <v>-3.7647058823529395E-3</v>
      </c>
      <c r="Y12" s="3"/>
    </row>
    <row r="13" spans="1:39" x14ac:dyDescent="0.3">
      <c r="A13" t="s">
        <v>14</v>
      </c>
      <c r="B13">
        <v>2016</v>
      </c>
      <c r="C13">
        <v>703921.8125</v>
      </c>
      <c r="D13" s="1">
        <v>1.4999999999999999E-2</v>
      </c>
      <c r="E13" s="1">
        <v>0.94821792840957597</v>
      </c>
      <c r="F13" s="1">
        <v>-3.7999999999999999E-2</v>
      </c>
      <c r="G13" s="1">
        <f t="shared" si="0"/>
        <v>3.500000000000001E-2</v>
      </c>
      <c r="H13" s="1" t="str">
        <f t="shared" si="1"/>
        <v/>
      </c>
      <c r="I13" s="1">
        <v>1E-3</v>
      </c>
      <c r="J13" s="1">
        <f>+D13-F13+I13*O13</f>
        <v>5.5070000000000001E-2</v>
      </c>
      <c r="K13" s="1">
        <v>1.2770370580255999E-2</v>
      </c>
      <c r="L13" s="1">
        <f>+K13-J13</f>
        <v>-4.2299629419744002E-2</v>
      </c>
      <c r="M13" s="1">
        <v>-2.2962941974399999E-4</v>
      </c>
      <c r="N13" s="1">
        <f>+M13-J13</f>
        <v>-5.5299629419743999E-2</v>
      </c>
      <c r="O13">
        <v>2.0699999999999998</v>
      </c>
      <c r="P13" t="s">
        <v>17</v>
      </c>
      <c r="Q13">
        <v>-0.01</v>
      </c>
      <c r="R13">
        <v>-3.4675172567368E-3</v>
      </c>
      <c r="S13">
        <v>-6.2570907175540898E-3</v>
      </c>
      <c r="T13">
        <v>-0.04</v>
      </c>
      <c r="V13" t="s">
        <v>28</v>
      </c>
      <c r="W13" s="3">
        <f>AVERAGEIF(A:A,V13,F:F)</f>
        <v>-2.7647058823529421E-3</v>
      </c>
      <c r="Y13" s="3"/>
      <c r="AM13" s="2"/>
    </row>
    <row r="14" spans="1:39" x14ac:dyDescent="0.3">
      <c r="A14" t="s">
        <v>14</v>
      </c>
      <c r="B14">
        <v>2017</v>
      </c>
      <c r="C14">
        <v>704079</v>
      </c>
      <c r="D14" s="1">
        <v>5.0000000000000001E-3</v>
      </c>
      <c r="E14" s="1">
        <v>0.93643981218338002</v>
      </c>
      <c r="F14" s="1">
        <v>0.01</v>
      </c>
      <c r="G14" s="1">
        <f t="shared" si="0"/>
        <v>4.5000000000000012E-2</v>
      </c>
      <c r="H14" s="1" t="str">
        <f t="shared" si="1"/>
        <v/>
      </c>
      <c r="I14" s="1">
        <v>-1.2E-2</v>
      </c>
      <c r="J14" s="1">
        <f>+D14-F14+I14*O14</f>
        <v>-3.0079999999999999E-2</v>
      </c>
      <c r="K14" s="1">
        <v>1.75324827432632E-2</v>
      </c>
      <c r="L14" s="1">
        <f>+K14-J14</f>
        <v>4.7612482743263199E-2</v>
      </c>
      <c r="M14" s="1">
        <v>-3.4675172567368E-3</v>
      </c>
      <c r="N14" s="1">
        <f>+M14-J14</f>
        <v>2.6612482743263201E-2</v>
      </c>
      <c r="O14">
        <v>2.09</v>
      </c>
      <c r="P14" t="s">
        <v>17</v>
      </c>
      <c r="Q14">
        <v>-0.01</v>
      </c>
      <c r="R14">
        <v>1.3235455602406999E-3</v>
      </c>
      <c r="S14">
        <v>-7.8114774078130904E-3</v>
      </c>
      <c r="T14">
        <v>0.01</v>
      </c>
      <c r="V14" t="s">
        <v>29</v>
      </c>
      <c r="W14" s="3">
        <f>AVERAGEIF(A:A,V14,F:F)</f>
        <v>1.1764705882352944E-3</v>
      </c>
      <c r="Y14" s="3"/>
    </row>
    <row r="15" spans="1:39" x14ac:dyDescent="0.3">
      <c r="A15" t="s">
        <v>14</v>
      </c>
      <c r="B15">
        <v>2018</v>
      </c>
      <c r="C15">
        <v>703677.6875</v>
      </c>
      <c r="D15" s="1">
        <v>1E-3</v>
      </c>
      <c r="E15" s="1">
        <v>0.93597328662872303</v>
      </c>
      <c r="F15" s="1">
        <v>-2.1999999999999999E-2</v>
      </c>
      <c r="G15" s="1">
        <f t="shared" si="0"/>
        <v>2.3000000000000013E-2</v>
      </c>
      <c r="H15" s="1" t="str">
        <f t="shared" si="1"/>
        <v/>
      </c>
      <c r="I15" s="1">
        <v>0</v>
      </c>
      <c r="J15" s="1">
        <f>+D15-F15+I15*O15</f>
        <v>2.3E-2</v>
      </c>
      <c r="K15" s="1">
        <v>2.53235455602407E-2</v>
      </c>
      <c r="L15" s="1">
        <f>+K15-J15</f>
        <v>2.3235455602407008E-3</v>
      </c>
      <c r="M15" s="1">
        <v>1.3235455602406999E-3</v>
      </c>
      <c r="N15" s="1">
        <f>+M15-J15</f>
        <v>-2.16764544397593E-2</v>
      </c>
      <c r="O15">
        <v>2.0499999999999998</v>
      </c>
      <c r="P15" t="s">
        <v>16</v>
      </c>
      <c r="Q15">
        <v>-0.01</v>
      </c>
      <c r="R15">
        <v>1.36183604300022E-2</v>
      </c>
      <c r="S15">
        <v>-4.1828341782092996E-3</v>
      </c>
      <c r="T15">
        <v>-0.01</v>
      </c>
      <c r="V15" t="s">
        <v>30</v>
      </c>
      <c r="W15" s="3">
        <f>AVERAGEIF(A:A,V15,F:F)</f>
        <v>-1.0588235294117644E-3</v>
      </c>
      <c r="Y15" s="3"/>
    </row>
    <row r="16" spans="1:39" x14ac:dyDescent="0.3">
      <c r="A16" t="s">
        <v>14</v>
      </c>
      <c r="B16">
        <v>2019</v>
      </c>
      <c r="C16">
        <v>702894.25</v>
      </c>
      <c r="D16" s="1">
        <v>6.0000000000000001E-3</v>
      </c>
      <c r="E16" s="1">
        <v>0.93692421913146995</v>
      </c>
      <c r="F16" s="1">
        <v>1.2E-2</v>
      </c>
      <c r="G16" s="1">
        <f t="shared" si="0"/>
        <v>3.5000000000000017E-2</v>
      </c>
      <c r="H16" s="1" t="str">
        <f t="shared" si="1"/>
        <v/>
      </c>
      <c r="I16" s="1">
        <v>1E-3</v>
      </c>
      <c r="J16" s="1">
        <f>+D16-F16+I16*O16</f>
        <v>-3.9300000000000003E-3</v>
      </c>
      <c r="K16" s="1">
        <v>3.1618360430002199E-2</v>
      </c>
      <c r="L16" s="1">
        <f>+K16-J16</f>
        <v>3.5548360430002202E-2</v>
      </c>
      <c r="M16" s="1">
        <v>1.36183604300022E-2</v>
      </c>
      <c r="N16" s="1">
        <f>+M16-J16</f>
        <v>1.7548360430002199E-2</v>
      </c>
      <c r="O16">
        <v>2.0699999999999998</v>
      </c>
      <c r="P16" t="s">
        <v>15</v>
      </c>
      <c r="Q16">
        <v>0</v>
      </c>
      <c r="R16">
        <v>1.7236547648906701E-2</v>
      </c>
      <c r="S16">
        <v>-1.6126427799462899E-3</v>
      </c>
      <c r="T16">
        <v>0.02</v>
      </c>
      <c r="V16" t="s">
        <v>31</v>
      </c>
      <c r="W16" s="3">
        <f>AVERAGEIF(A:A,V16,F:F)</f>
        <v>-3.9999999999999992E-3</v>
      </c>
      <c r="Y16" s="3"/>
    </row>
    <row r="17" spans="1:38" x14ac:dyDescent="0.3">
      <c r="A17" t="s">
        <v>14</v>
      </c>
      <c r="B17">
        <v>2020</v>
      </c>
      <c r="C17">
        <v>700395.1875</v>
      </c>
      <c r="D17" s="1">
        <v>7.0000000000000001E-3</v>
      </c>
      <c r="E17" s="1">
        <v>0.94907408952713002</v>
      </c>
      <c r="F17" s="1">
        <v>-4.2000000000000003E-2</v>
      </c>
      <c r="G17" s="1">
        <f t="shared" si="0"/>
        <v>-6.9999999999999854E-3</v>
      </c>
      <c r="H17" s="1" t="str">
        <f t="shared" si="1"/>
        <v/>
      </c>
      <c r="I17" s="1">
        <v>1.2E-2</v>
      </c>
      <c r="J17" s="1">
        <f>+D17-F17+I17*O17</f>
        <v>7.288E-2</v>
      </c>
      <c r="K17" s="1">
        <v>2.9236547648906701E-2</v>
      </c>
      <c r="L17" s="1">
        <f>+K17-J17</f>
        <v>-4.36434523510933E-2</v>
      </c>
      <c r="M17" s="1">
        <v>1.7236547648906701E-2</v>
      </c>
      <c r="N17" s="1">
        <f>+M17-J17</f>
        <v>-5.5643452351093303E-2</v>
      </c>
      <c r="O17">
        <v>1.99</v>
      </c>
      <c r="P17" t="s">
        <v>17</v>
      </c>
      <c r="Q17">
        <v>0</v>
      </c>
      <c r="R17">
        <v>3.0541112899780301E-2</v>
      </c>
      <c r="S17">
        <v>-1.30484998226166E-2</v>
      </c>
      <c r="T17">
        <v>0</v>
      </c>
      <c r="V17" t="s">
        <v>32</v>
      </c>
      <c r="W17" s="3">
        <f>AVERAGEIF(A:A,V17,F:F)</f>
        <v>6.8823529411764705E-3</v>
      </c>
      <c r="Y17" s="3"/>
    </row>
    <row r="18" spans="1:38" x14ac:dyDescent="0.3">
      <c r="A18" t="s">
        <v>14</v>
      </c>
      <c r="B18">
        <v>2021</v>
      </c>
      <c r="C18">
        <v>696923.1875</v>
      </c>
      <c r="D18" s="1">
        <v>1.9E-2</v>
      </c>
      <c r="E18" s="1">
        <v>0.96084487438201904</v>
      </c>
      <c r="F18" s="1">
        <v>-2.1000000000000001E-2</v>
      </c>
      <c r="G18" s="1">
        <f t="shared" si="0"/>
        <v>-2.7999999999999987E-2</v>
      </c>
      <c r="H18" s="1" t="str">
        <f t="shared" si="1"/>
        <v/>
      </c>
      <c r="I18" s="1">
        <v>1.2E-2</v>
      </c>
      <c r="J18" s="1">
        <f>+D18-F18+I18*O18</f>
        <v>6.3280000000000003E-2</v>
      </c>
      <c r="K18" s="1">
        <v>7.7541112899780301E-2</v>
      </c>
      <c r="L18" s="1">
        <f>+K18-J18</f>
        <v>1.4261112899780298E-2</v>
      </c>
      <c r="M18" s="1">
        <v>3.0541112899780301E-2</v>
      </c>
      <c r="N18" s="1">
        <f>+M18-J18</f>
        <v>-3.2738887100219702E-2</v>
      </c>
      <c r="O18">
        <v>1.94</v>
      </c>
      <c r="P18" t="s">
        <v>17</v>
      </c>
      <c r="Q18">
        <v>-0.01</v>
      </c>
      <c r="R18">
        <v>-3.33695615828037E-2</v>
      </c>
      <c r="S18">
        <v>-1.2660548090933899E-3</v>
      </c>
      <c r="T18">
        <v>-0.05</v>
      </c>
      <c r="V18" t="s">
        <v>33</v>
      </c>
      <c r="W18" s="3">
        <f>AVERAGEIF(A:A,V18,F:F)</f>
        <v>1.8666666666666666E-3</v>
      </c>
      <c r="Y18" s="3"/>
    </row>
    <row r="19" spans="1:38" x14ac:dyDescent="0.3">
      <c r="A19" t="s">
        <v>14</v>
      </c>
      <c r="B19">
        <v>2022</v>
      </c>
      <c r="C19">
        <v>698776.625</v>
      </c>
      <c r="D19" s="1">
        <v>1.2E-2</v>
      </c>
      <c r="E19" s="1">
        <v>0.93964922428131104</v>
      </c>
      <c r="F19" s="1">
        <v>4.8000000000000001E-2</v>
      </c>
      <c r="G19" s="1">
        <f t="shared" si="0"/>
        <v>2.0000000000000014E-2</v>
      </c>
      <c r="H19" s="1" t="str">
        <f t="shared" si="1"/>
        <v/>
      </c>
      <c r="I19" s="1">
        <v>-2.1000000000000001E-2</v>
      </c>
      <c r="J19" s="1">
        <f>+D19-F19+I19*O19</f>
        <v>-7.8840000000000007E-2</v>
      </c>
      <c r="K19" s="1">
        <v>4.6630438417196302E-2</v>
      </c>
      <c r="L19" s="1">
        <f>+K19-J19</f>
        <v>0.12547043841719629</v>
      </c>
      <c r="M19" s="1">
        <v>-3.33695615828037E-2</v>
      </c>
      <c r="N19" s="1">
        <f>+M19-J19</f>
        <v>4.5470438417196307E-2</v>
      </c>
      <c r="O19">
        <v>2.04</v>
      </c>
      <c r="P19" t="s">
        <v>17</v>
      </c>
      <c r="Q19">
        <v>0</v>
      </c>
      <c r="R19">
        <v>-2.7563858628273001E-3</v>
      </c>
      <c r="S19">
        <v>1.6802541911601999E-2</v>
      </c>
      <c r="T19">
        <v>0.06</v>
      </c>
      <c r="V19" t="s">
        <v>34</v>
      </c>
      <c r="W19" s="3">
        <f>AVERAGEIF(A:A,V19,F:F)</f>
        <v>-3.8235294117647044E-3</v>
      </c>
      <c r="Y19" s="3"/>
    </row>
    <row r="20" spans="1:38" x14ac:dyDescent="0.3">
      <c r="A20" t="s">
        <v>18</v>
      </c>
      <c r="B20">
        <v>2006</v>
      </c>
      <c r="C20">
        <v>860992.1875</v>
      </c>
      <c r="D20" s="1">
        <v>2.5000000000000001E-2</v>
      </c>
      <c r="E20" s="1">
        <v>0.93429905176162698</v>
      </c>
      <c r="F20" s="1">
        <v>3.5999999999999997E-2</v>
      </c>
      <c r="G20" s="1">
        <f t="shared" si="0"/>
        <v>3.5999999999999997E-2</v>
      </c>
      <c r="H20" s="1" t="str">
        <f t="shared" si="1"/>
        <v/>
      </c>
      <c r="I20" s="1">
        <v>0</v>
      </c>
      <c r="J20" s="1">
        <f>+D20-F20+I20*O20</f>
        <v>-1.0999999999999996E-2</v>
      </c>
      <c r="K20" s="1">
        <v>2.92685888707638E-2</v>
      </c>
      <c r="L20" s="1">
        <f>+K20-J20</f>
        <v>4.0268588870763795E-2</v>
      </c>
      <c r="M20" s="1">
        <v>-2.7314111292361999E-3</v>
      </c>
      <c r="N20" s="1">
        <f>+M20-J20</f>
        <v>8.2685888707637965E-3</v>
      </c>
      <c r="O20">
        <v>2.0299999999999998</v>
      </c>
      <c r="P20" t="s">
        <v>17</v>
      </c>
      <c r="Q20">
        <v>-0.01</v>
      </c>
      <c r="R20">
        <v>3.0079065859317899E-3</v>
      </c>
      <c r="S20">
        <v>3.9296625182032897E-3</v>
      </c>
      <c r="T20">
        <v>0.03</v>
      </c>
      <c r="V20" t="s">
        <v>35</v>
      </c>
      <c r="W20" s="3">
        <f>AVERAGEIF(A:A,V20,F:F)</f>
        <v>-9.3529411764705899E-3</v>
      </c>
      <c r="Y20" s="3"/>
      <c r="AA20" s="1"/>
      <c r="AL20" s="2"/>
    </row>
    <row r="21" spans="1:38" x14ac:dyDescent="0.3">
      <c r="A21" t="s">
        <v>18</v>
      </c>
      <c r="B21">
        <v>2007</v>
      </c>
      <c r="C21">
        <v>863865.8125</v>
      </c>
      <c r="D21" s="1">
        <v>1.9E-2</v>
      </c>
      <c r="E21" s="1">
        <v>0.93960303068161</v>
      </c>
      <c r="F21" s="1">
        <v>-3.2000000000000001E-2</v>
      </c>
      <c r="G21" s="1">
        <f t="shared" si="0"/>
        <v>3.9999999999999966E-3</v>
      </c>
      <c r="H21" s="1" t="str">
        <f t="shared" si="1"/>
        <v/>
      </c>
      <c r="I21" s="1">
        <v>5.0000000000000001E-3</v>
      </c>
      <c r="J21" s="1">
        <f>+D21-F21+I21*O21</f>
        <v>6.0800000000000007E-2</v>
      </c>
      <c r="K21" s="1">
        <v>3.2007906585931799E-2</v>
      </c>
      <c r="L21" s="1">
        <f>+K21-J21</f>
        <v>-2.8792093414068208E-2</v>
      </c>
      <c r="M21" s="1">
        <v>3.0079065859317899E-3</v>
      </c>
      <c r="N21" s="1">
        <f>+M21-J21</f>
        <v>-5.779209341406822E-2</v>
      </c>
      <c r="O21">
        <v>1.96</v>
      </c>
      <c r="P21" t="s">
        <v>17</v>
      </c>
      <c r="Q21">
        <v>0</v>
      </c>
      <c r="R21">
        <v>-3.0209466639906101E-2</v>
      </c>
      <c r="S21">
        <v>-6.9866236299276298E-4</v>
      </c>
      <c r="T21">
        <v>-0.03</v>
      </c>
      <c r="V21" t="s">
        <v>36</v>
      </c>
      <c r="W21" s="3">
        <f>AVERAGEIF(A:A,V21,F:F)</f>
        <v>1.4705882352941191E-3</v>
      </c>
      <c r="Y21" s="3"/>
      <c r="Z21" s="1"/>
      <c r="AB21" s="4"/>
      <c r="AC21" s="4"/>
    </row>
    <row r="22" spans="1:38" x14ac:dyDescent="0.3">
      <c r="A22" t="s">
        <v>18</v>
      </c>
      <c r="B22">
        <v>2008</v>
      </c>
      <c r="C22">
        <v>867088.625</v>
      </c>
      <c r="D22" s="1">
        <v>1.0999999999999999E-2</v>
      </c>
      <c r="E22" s="1">
        <v>0.94313359260559104</v>
      </c>
      <c r="F22" s="1">
        <v>-1.7999999999999999E-2</v>
      </c>
      <c r="G22" s="1">
        <f t="shared" si="0"/>
        <v>-1.4000000000000002E-2</v>
      </c>
      <c r="H22" s="1" t="str">
        <f t="shared" si="1"/>
        <v/>
      </c>
      <c r="I22" s="1">
        <v>4.0000000000000001E-3</v>
      </c>
      <c r="J22" s="1">
        <f>+D22-F22+I22*O22</f>
        <v>3.6719999999999996E-2</v>
      </c>
      <c r="K22" s="1">
        <v>7.7905333600938303E-3</v>
      </c>
      <c r="L22" s="1">
        <f>+K22-J22</f>
        <v>-2.8929466639906164E-2</v>
      </c>
      <c r="M22" s="1">
        <v>-3.0209466639906101E-2</v>
      </c>
      <c r="N22" s="1">
        <f>+M22-J22</f>
        <v>-6.6929466639906093E-2</v>
      </c>
      <c r="O22">
        <v>1.93</v>
      </c>
      <c r="P22" t="s">
        <v>17</v>
      </c>
      <c r="Q22">
        <v>0</v>
      </c>
      <c r="R22">
        <v>-2.61161017268896E-2</v>
      </c>
      <c r="S22">
        <v>4.5059993863104999E-4</v>
      </c>
      <c r="T22">
        <v>-0.02</v>
      </c>
      <c r="V22" t="s">
        <v>37</v>
      </c>
      <c r="W22" s="3">
        <f>AVERAGEIF(A:A,V22,F:F)</f>
        <v>2.352941176470588E-3</v>
      </c>
      <c r="Y22" s="3"/>
      <c r="AB22" s="4"/>
      <c r="AC22" s="4"/>
    </row>
    <row r="23" spans="1:38" x14ac:dyDescent="0.3">
      <c r="A23" t="s">
        <v>18</v>
      </c>
      <c r="B23">
        <v>2009</v>
      </c>
      <c r="C23">
        <v>869978.0625</v>
      </c>
      <c r="D23" s="1">
        <v>0.01</v>
      </c>
      <c r="E23" s="1">
        <v>0.939372658729553</v>
      </c>
      <c r="F23" s="1">
        <v>2.9000000000000001E-2</v>
      </c>
      <c r="G23" s="1">
        <f t="shared" si="0"/>
        <v>1.4999999999999999E-2</v>
      </c>
      <c r="H23" s="1" t="str">
        <f t="shared" si="1"/>
        <v/>
      </c>
      <c r="I23" s="1">
        <v>-4.0000000000000001E-3</v>
      </c>
      <c r="J23" s="1">
        <f>+D23-F23+I23*O23</f>
        <v>-2.6920000000000003E-2</v>
      </c>
      <c r="K23" s="1">
        <v>-3.01161017268896E-2</v>
      </c>
      <c r="L23" s="1">
        <f>+K23-J23</f>
        <v>-3.1961017268895969E-3</v>
      </c>
      <c r="M23" s="1">
        <v>-2.61161017268896E-2</v>
      </c>
      <c r="N23" s="1">
        <f>+M23-J23</f>
        <v>8.0389827311040316E-4</v>
      </c>
      <c r="O23">
        <v>1.98</v>
      </c>
      <c r="P23" t="s">
        <v>17</v>
      </c>
      <c r="Q23">
        <v>0</v>
      </c>
      <c r="R23">
        <v>1.3216182738543E-3</v>
      </c>
      <c r="S23">
        <v>1.07817270327359E-2</v>
      </c>
      <c r="T23">
        <v>0.01</v>
      </c>
      <c r="V23" t="s">
        <v>38</v>
      </c>
      <c r="W23" s="3">
        <f>AVERAGEIF(A:A,V23,F:F)</f>
        <v>-8.2352941176470559E-4</v>
      </c>
      <c r="Y23" s="3"/>
    </row>
    <row r="24" spans="1:38" x14ac:dyDescent="0.3">
      <c r="A24" t="s">
        <v>18</v>
      </c>
      <c r="B24">
        <v>2010</v>
      </c>
      <c r="C24">
        <v>872583.9375</v>
      </c>
      <c r="D24" s="1">
        <v>3.0000000000000001E-3</v>
      </c>
      <c r="E24" s="1">
        <v>0.95149308443069502</v>
      </c>
      <c r="F24" s="1">
        <v>-5.0000000000000001E-3</v>
      </c>
      <c r="G24" s="1">
        <f t="shared" si="0"/>
        <v>9.9999999999999985E-3</v>
      </c>
      <c r="H24" s="1" t="str">
        <f t="shared" si="1"/>
        <v/>
      </c>
      <c r="I24" s="1">
        <v>1.2E-2</v>
      </c>
      <c r="J24" s="1">
        <f>+D24-F24+I24*O24</f>
        <v>3.1640000000000001E-2</v>
      </c>
      <c r="K24" s="1">
        <v>1.7321618273854301E-2</v>
      </c>
      <c r="L24" s="1">
        <f>+K24-J24</f>
        <v>-1.4318381726145701E-2</v>
      </c>
      <c r="M24" s="1">
        <v>1.3216182738543E-3</v>
      </c>
      <c r="N24" s="1">
        <f>+M24-J24</f>
        <v>-3.0318381726145701E-2</v>
      </c>
      <c r="O24">
        <v>1.97</v>
      </c>
      <c r="P24" t="s">
        <v>17</v>
      </c>
      <c r="Q24">
        <v>0.01</v>
      </c>
      <c r="R24">
        <v>-2.2714949555694999E-2</v>
      </c>
      <c r="S24">
        <v>-1.4311750419437599E-3</v>
      </c>
      <c r="T24">
        <v>-0.01</v>
      </c>
      <c r="V24" t="s">
        <v>39</v>
      </c>
      <c r="W24" s="3">
        <f>AVERAGEIF(A:A,V24,F:F)</f>
        <v>3.9411764705882353E-3</v>
      </c>
      <c r="Y24" s="3"/>
    </row>
    <row r="25" spans="1:38" x14ac:dyDescent="0.3">
      <c r="A25" t="s">
        <v>18</v>
      </c>
      <c r="B25">
        <v>2011</v>
      </c>
      <c r="C25">
        <v>876306</v>
      </c>
      <c r="D25" s="1">
        <v>3.0000000000000001E-3</v>
      </c>
      <c r="E25" s="1">
        <v>0.95166027545928999</v>
      </c>
      <c r="F25" s="1">
        <v>2.1000000000000001E-2</v>
      </c>
      <c r="G25" s="1">
        <f t="shared" si="0"/>
        <v>3.1E-2</v>
      </c>
      <c r="H25" s="1" t="str">
        <f t="shared" si="1"/>
        <v/>
      </c>
      <c r="I25" s="1">
        <v>0</v>
      </c>
      <c r="J25" s="1">
        <f>+D25-F25+I25*O25</f>
        <v>-1.8000000000000002E-2</v>
      </c>
      <c r="K25" s="1">
        <v>9.2850504443049396E-3</v>
      </c>
      <c r="L25" s="1">
        <f>+K25-J25</f>
        <v>2.7285050444304942E-2</v>
      </c>
      <c r="M25" s="1">
        <v>-2.2714949555694999E-2</v>
      </c>
      <c r="N25" s="1">
        <f>+M25-J25</f>
        <v>-4.7149495556949965E-3</v>
      </c>
      <c r="O25">
        <v>2.02</v>
      </c>
      <c r="P25" t="s">
        <v>15</v>
      </c>
      <c r="Q25">
        <v>0</v>
      </c>
      <c r="R25">
        <v>-1.33856128007173E-2</v>
      </c>
      <c r="S25">
        <v>-7.9474067315459494E-3</v>
      </c>
      <c r="T25">
        <v>0.02</v>
      </c>
      <c r="V25" t="s">
        <v>40</v>
      </c>
      <c r="W25" s="3">
        <f>AVERAGEIF(A:A,V25,F:F)</f>
        <v>-9.2941176470588225E-3</v>
      </c>
      <c r="Y25" s="3"/>
    </row>
    <row r="26" spans="1:38" x14ac:dyDescent="0.3">
      <c r="A26" t="s">
        <v>18</v>
      </c>
      <c r="B26">
        <v>2012</v>
      </c>
      <c r="C26">
        <v>880506.5</v>
      </c>
      <c r="D26" s="1">
        <v>2.3E-2</v>
      </c>
      <c r="E26" s="1">
        <v>0.94888097047805797</v>
      </c>
      <c r="F26" s="1">
        <v>-2.3E-2</v>
      </c>
      <c r="G26" s="1">
        <f t="shared" si="0"/>
        <v>8.0000000000000002E-3</v>
      </c>
      <c r="H26" s="1" t="str">
        <f t="shared" si="1"/>
        <v/>
      </c>
      <c r="I26" s="1">
        <v>-3.0000000000000001E-3</v>
      </c>
      <c r="J26" s="1">
        <f>+D26-F26+I26*O26</f>
        <v>4.0090000000000001E-2</v>
      </c>
      <c r="K26" s="1">
        <v>7.6143871992826496E-3</v>
      </c>
      <c r="L26" s="1">
        <f>+K26-J26</f>
        <v>-3.2475612800717354E-2</v>
      </c>
      <c r="M26" s="1">
        <v>-1.33856128007173E-2</v>
      </c>
      <c r="N26" s="1">
        <f>+M26-J26</f>
        <v>-5.3475612800717304E-2</v>
      </c>
      <c r="O26">
        <v>1.97</v>
      </c>
      <c r="P26" t="s">
        <v>16</v>
      </c>
      <c r="Q26">
        <v>-0.01</v>
      </c>
      <c r="R26">
        <v>3.3884648233650002E-4</v>
      </c>
      <c r="S26">
        <v>-5.7879248633980898E-3</v>
      </c>
      <c r="T26">
        <v>-0.03</v>
      </c>
      <c r="V26" t="s">
        <v>41</v>
      </c>
      <c r="W26" s="3">
        <f>AVERAGEIF(A:A,V26,F:F)</f>
        <v>-2.3529411764706005E-4</v>
      </c>
      <c r="Y26" s="3"/>
    </row>
    <row r="27" spans="1:38" x14ac:dyDescent="0.3">
      <c r="A27" t="s">
        <v>18</v>
      </c>
      <c r="B27">
        <v>2013</v>
      </c>
      <c r="C27">
        <v>884477.5</v>
      </c>
      <c r="D27" s="1">
        <v>1.7000000000000001E-2</v>
      </c>
      <c r="E27" s="1">
        <v>0.94575697183608998</v>
      </c>
      <c r="F27" s="1">
        <v>1.4999999999999999E-2</v>
      </c>
      <c r="G27" s="1">
        <f t="shared" si="0"/>
        <v>2.3E-2</v>
      </c>
      <c r="H27" s="1" t="str">
        <f t="shared" si="1"/>
        <v/>
      </c>
      <c r="I27" s="1">
        <v>-3.0000000000000001E-3</v>
      </c>
      <c r="J27" s="1">
        <f>+D27-F27+I27*O27</f>
        <v>-3.9999999999999983E-3</v>
      </c>
      <c r="K27" s="1">
        <v>1.53388464823365E-2</v>
      </c>
      <c r="L27" s="1">
        <f>+K27-J27</f>
        <v>1.9338846482336497E-2</v>
      </c>
      <c r="M27" s="1">
        <v>3.3884648233650002E-4</v>
      </c>
      <c r="N27" s="1">
        <f>+M27-J27</f>
        <v>4.3388464823364984E-3</v>
      </c>
      <c r="O27">
        <v>2</v>
      </c>
      <c r="P27" t="s">
        <v>17</v>
      </c>
      <c r="Q27">
        <v>-0.01</v>
      </c>
      <c r="R27">
        <v>-7.4254769682884202E-3</v>
      </c>
      <c r="S27">
        <v>-9.4335004687309196E-3</v>
      </c>
      <c r="T27">
        <v>0.01</v>
      </c>
      <c r="V27" t="s">
        <v>42</v>
      </c>
      <c r="W27" s="3">
        <f>AVERAGEIF(A:A,V27,F:F)</f>
        <v>6.4705882352941236E-4</v>
      </c>
      <c r="Y27" s="3"/>
    </row>
    <row r="28" spans="1:38" x14ac:dyDescent="0.3">
      <c r="A28" t="s">
        <v>18</v>
      </c>
      <c r="B28">
        <v>2014</v>
      </c>
      <c r="C28">
        <v>887621.5</v>
      </c>
      <c r="D28" s="1">
        <v>1.7999999999999999E-2</v>
      </c>
      <c r="E28" s="1">
        <v>0.94400751590728804</v>
      </c>
      <c r="F28" s="1">
        <v>-2.1000000000000001E-2</v>
      </c>
      <c r="G28" s="1">
        <f t="shared" si="0"/>
        <v>1.9999999999999983E-3</v>
      </c>
      <c r="H28" s="1" t="str">
        <f t="shared" si="1"/>
        <v/>
      </c>
      <c r="I28" s="1">
        <v>-2E-3</v>
      </c>
      <c r="J28" s="1">
        <f>+D28-F28+I28*O28</f>
        <v>3.508E-2</v>
      </c>
      <c r="K28" s="1">
        <v>8.5745230317115801E-3</v>
      </c>
      <c r="L28" s="1">
        <f>+K28-J28</f>
        <v>-2.6505476968288422E-2</v>
      </c>
      <c r="M28" s="1">
        <v>-7.4254769682884202E-3</v>
      </c>
      <c r="N28" s="1">
        <f>+M28-J28</f>
        <v>-4.2505476968288422E-2</v>
      </c>
      <c r="O28">
        <v>1.96</v>
      </c>
      <c r="P28" t="s">
        <v>16</v>
      </c>
      <c r="Q28">
        <v>-0.01</v>
      </c>
      <c r="R28">
        <v>2.5099467650055898E-2</v>
      </c>
      <c r="S28">
        <v>-5.1639843732117904E-3</v>
      </c>
      <c r="T28">
        <v>-0.03</v>
      </c>
      <c r="V28" t="s">
        <v>43</v>
      </c>
      <c r="W28" s="3">
        <f>AVERAGEIF(A:A,V28,F:F)</f>
        <v>4.1333333333333326E-3</v>
      </c>
      <c r="Y28" s="3"/>
    </row>
    <row r="29" spans="1:38" x14ac:dyDescent="0.3">
      <c r="A29" t="s">
        <v>18</v>
      </c>
      <c r="B29">
        <v>2015</v>
      </c>
      <c r="C29">
        <v>890436.8125</v>
      </c>
      <c r="D29" s="1">
        <v>2.1999999999999999E-2</v>
      </c>
      <c r="E29" s="1">
        <v>0.94814670085907005</v>
      </c>
      <c r="F29" s="1">
        <v>-3.9E-2</v>
      </c>
      <c r="G29" s="1">
        <f t="shared" si="0"/>
        <v>-3.7000000000000005E-2</v>
      </c>
      <c r="H29" s="1" t="str">
        <f t="shared" si="1"/>
        <v/>
      </c>
      <c r="I29" s="1">
        <v>4.0000000000000001E-3</v>
      </c>
      <c r="J29" s="1">
        <f>+D29-F29+I29*O29</f>
        <v>6.8519999999999998E-2</v>
      </c>
      <c r="K29" s="1">
        <v>2.6099467650055899E-2</v>
      </c>
      <c r="L29" s="1">
        <f>+K29-J29</f>
        <v>-4.2420532349944098E-2</v>
      </c>
      <c r="M29" s="1">
        <v>2.5099467650055898E-2</v>
      </c>
      <c r="N29" s="1">
        <f>+M29-J29</f>
        <v>-4.3420532349944099E-2</v>
      </c>
      <c r="O29">
        <v>1.88</v>
      </c>
      <c r="P29" t="s">
        <v>17</v>
      </c>
      <c r="Q29">
        <v>-0.01</v>
      </c>
      <c r="R29">
        <v>1.5716389089822799E-2</v>
      </c>
      <c r="S29">
        <v>2.5628320872783899E-3</v>
      </c>
      <c r="T29">
        <v>-0.03</v>
      </c>
      <c r="V29" t="s">
        <v>44</v>
      </c>
      <c r="W29" s="3">
        <f>AVERAGEIF(A:A,V29,F:F)</f>
        <v>-8.7058823529411761E-3</v>
      </c>
      <c r="Y29" s="3"/>
    </row>
    <row r="30" spans="1:38" x14ac:dyDescent="0.3">
      <c r="A30" t="s">
        <v>18</v>
      </c>
      <c r="B30">
        <v>2016</v>
      </c>
      <c r="C30">
        <v>893670.125</v>
      </c>
      <c r="D30" s="1">
        <v>3.7999999999999999E-2</v>
      </c>
      <c r="E30" s="1">
        <v>0.94744008779525801</v>
      </c>
      <c r="F30" s="1">
        <v>7.6999999999999999E-2</v>
      </c>
      <c r="G30" s="1">
        <f t="shared" si="0"/>
        <v>3.9999999999999994E-2</v>
      </c>
      <c r="H30" s="1" t="str">
        <f t="shared" si="1"/>
        <v/>
      </c>
      <c r="I30" s="1">
        <v>-1E-3</v>
      </c>
      <c r="J30" s="1">
        <f>+D30-F30+I30*O30</f>
        <v>-4.1020000000000001E-2</v>
      </c>
      <c r="K30" s="1">
        <v>2.87163890898228E-2</v>
      </c>
      <c r="L30" s="1">
        <f>+K30-J30</f>
        <v>6.9736389089822798E-2</v>
      </c>
      <c r="M30" s="1">
        <v>1.5716389089822799E-2</v>
      </c>
      <c r="N30" s="1">
        <f>+M30-J30</f>
        <v>5.67363890898228E-2</v>
      </c>
      <c r="O30">
        <v>2.02</v>
      </c>
      <c r="P30" t="s">
        <v>17</v>
      </c>
      <c r="Q30">
        <v>0</v>
      </c>
      <c r="R30">
        <v>-1.0838389679789499E-2</v>
      </c>
      <c r="S30">
        <v>-1.36279631406067E-2</v>
      </c>
      <c r="T30">
        <v>0.08</v>
      </c>
      <c r="V30" t="s">
        <v>45</v>
      </c>
      <c r="W30" s="3">
        <f>AVERAGEIF(A:A,V30,F:F)</f>
        <v>-5.7058823529411769E-3</v>
      </c>
      <c r="Y30" s="3"/>
    </row>
    <row r="31" spans="1:38" x14ac:dyDescent="0.3">
      <c r="A31" t="s">
        <v>18</v>
      </c>
      <c r="B31">
        <v>2017</v>
      </c>
      <c r="C31">
        <v>897462</v>
      </c>
      <c r="D31" s="1">
        <v>4.2000000000000003E-2</v>
      </c>
      <c r="E31" s="1">
        <v>0.93407899141311601</v>
      </c>
      <c r="F31" s="1">
        <v>-3.7999999999999999E-2</v>
      </c>
      <c r="G31" s="1">
        <f t="shared" si="0"/>
        <v>1.9999999999999948E-3</v>
      </c>
      <c r="H31" s="1" t="str">
        <f t="shared" si="1"/>
        <v/>
      </c>
      <c r="I31" s="1">
        <v>-1.2999999999999999E-2</v>
      </c>
      <c r="J31" s="1">
        <f>+D31-F31+I31*O31</f>
        <v>5.4650000000000004E-2</v>
      </c>
      <c r="K31" s="1">
        <v>1.01616103202105E-2</v>
      </c>
      <c r="L31" s="1">
        <f>+K31-J31</f>
        <v>-4.4488389679789506E-2</v>
      </c>
      <c r="M31" s="1">
        <v>-1.0838389679789499E-2</v>
      </c>
      <c r="N31" s="1">
        <f>+M31-J31</f>
        <v>-6.548838967978951E-2</v>
      </c>
      <c r="O31">
        <v>1.95</v>
      </c>
      <c r="P31" t="s">
        <v>16</v>
      </c>
      <c r="Q31">
        <v>-0.01</v>
      </c>
      <c r="R31">
        <v>-2.6423109471798E-3</v>
      </c>
      <c r="S31">
        <v>-1.1777333915233499E-2</v>
      </c>
      <c r="T31">
        <v>-0.04</v>
      </c>
      <c r="V31" t="s">
        <v>46</v>
      </c>
      <c r="W31" s="3">
        <f>AVERAGEIF(A:A,V31,F:F)</f>
        <v>1.5882352941176462E-3</v>
      </c>
      <c r="Y31" s="3"/>
    </row>
    <row r="32" spans="1:38" x14ac:dyDescent="0.3">
      <c r="A32" t="s">
        <v>18</v>
      </c>
      <c r="B32">
        <v>2018</v>
      </c>
      <c r="C32">
        <v>898994.0625</v>
      </c>
      <c r="D32" s="1">
        <v>1.9E-2</v>
      </c>
      <c r="E32" s="1">
        <v>0.93087363243103005</v>
      </c>
      <c r="F32" s="1">
        <v>6.0000000000000001E-3</v>
      </c>
      <c r="G32" s="1">
        <f t="shared" si="0"/>
        <v>7.999999999999995E-3</v>
      </c>
      <c r="H32" s="1" t="str">
        <f t="shared" si="1"/>
        <v/>
      </c>
      <c r="I32" s="1">
        <v>-3.0000000000000001E-3</v>
      </c>
      <c r="J32" s="1">
        <f>+D32-F32+I32*O32</f>
        <v>7.1199999999999996E-3</v>
      </c>
      <c r="K32" s="1">
        <v>2.1357689052820199E-2</v>
      </c>
      <c r="L32" s="1">
        <f>+K32-J32</f>
        <v>1.4237689052820199E-2</v>
      </c>
      <c r="M32" s="1">
        <v>-2.6423109471798E-3</v>
      </c>
      <c r="N32" s="1">
        <f>+M32-J32</f>
        <v>-9.7623109471797996E-3</v>
      </c>
      <c r="O32">
        <v>1.96</v>
      </c>
      <c r="P32" t="s">
        <v>17</v>
      </c>
      <c r="Q32">
        <v>-0.01</v>
      </c>
      <c r="R32">
        <v>1.43421470820904E-2</v>
      </c>
      <c r="S32">
        <v>-3.4590475261211001E-3</v>
      </c>
      <c r="T32">
        <v>0.02</v>
      </c>
      <c r="V32" t="s">
        <v>47</v>
      </c>
      <c r="W32" s="3">
        <f>AVERAGEIF(A:A,V32,F:F)</f>
        <v>-5.5882352941176482E-3</v>
      </c>
      <c r="Y32" s="3"/>
    </row>
    <row r="33" spans="1:25" x14ac:dyDescent="0.3">
      <c r="A33" t="s">
        <v>18</v>
      </c>
      <c r="B33">
        <v>2019</v>
      </c>
      <c r="C33">
        <v>898669.375</v>
      </c>
      <c r="D33" s="1">
        <v>1.2E-2</v>
      </c>
      <c r="E33" s="1">
        <v>0.94777178764343295</v>
      </c>
      <c r="F33" s="1">
        <v>4.1000000000000002E-2</v>
      </c>
      <c r="G33" s="1">
        <f t="shared" si="0"/>
        <v>4.8999999999999995E-2</v>
      </c>
      <c r="H33" s="1" t="str">
        <f t="shared" si="1"/>
        <v/>
      </c>
      <c r="I33" s="1">
        <v>1.7000000000000001E-2</v>
      </c>
      <c r="J33" s="1">
        <f>+D33-F33+I33*O33</f>
        <v>5.680000000000001E-3</v>
      </c>
      <c r="K33" s="1">
        <v>3.2342147082090399E-2</v>
      </c>
      <c r="L33" s="1">
        <f>+K33-J33</f>
        <v>2.6662147082090398E-2</v>
      </c>
      <c r="M33" s="1">
        <v>1.43421470820904E-2</v>
      </c>
      <c r="N33" s="1">
        <f>+M33-J33</f>
        <v>8.662147082090399E-3</v>
      </c>
      <c r="O33">
        <v>2.04</v>
      </c>
      <c r="P33" t="s">
        <v>15</v>
      </c>
      <c r="Q33">
        <v>0</v>
      </c>
      <c r="R33">
        <v>2.5089977413415902E-2</v>
      </c>
      <c r="S33">
        <v>6.2407869845628999E-3</v>
      </c>
      <c r="T33">
        <v>0.05</v>
      </c>
      <c r="V33" t="s">
        <v>48</v>
      </c>
      <c r="W33" s="3">
        <f>AVERAGEIF(A:A,V33,F:F)</f>
        <v>-4.1764705882352945E-3</v>
      </c>
      <c r="Y33" s="3"/>
    </row>
    <row r="34" spans="1:25" x14ac:dyDescent="0.3">
      <c r="A34" t="s">
        <v>18</v>
      </c>
      <c r="B34">
        <v>2020</v>
      </c>
      <c r="C34">
        <v>901194.375</v>
      </c>
      <c r="D34" s="1">
        <v>3.5000000000000003E-2</v>
      </c>
      <c r="E34" s="1">
        <v>0.95633792877197299</v>
      </c>
      <c r="F34" s="1">
        <v>-0.125</v>
      </c>
      <c r="G34" s="1">
        <f t="shared" si="0"/>
        <v>-7.6000000000000012E-2</v>
      </c>
      <c r="H34" s="1" t="str">
        <f t="shared" si="1"/>
        <v/>
      </c>
      <c r="I34" s="1">
        <v>8.9999999999999993E-3</v>
      </c>
      <c r="J34" s="1">
        <f>+D34-F34+I34*O34</f>
        <v>0.17610999999999999</v>
      </c>
      <c r="K34" s="1">
        <v>3.7089977413415902E-2</v>
      </c>
      <c r="L34" s="1">
        <f>+K34-J34</f>
        <v>-0.13902002258658408</v>
      </c>
      <c r="M34" s="1">
        <v>2.5089977413415902E-2</v>
      </c>
      <c r="N34" s="1">
        <f>+M34-J34</f>
        <v>-0.15102002258658409</v>
      </c>
      <c r="O34">
        <v>1.79</v>
      </c>
      <c r="P34" t="s">
        <v>17</v>
      </c>
      <c r="Q34">
        <v>0.01</v>
      </c>
      <c r="R34">
        <v>-7.5229704379967096E-6</v>
      </c>
      <c r="S34">
        <v>-4.3597135692834903E-2</v>
      </c>
      <c r="T34">
        <v>-0.09</v>
      </c>
      <c r="V34" t="s">
        <v>49</v>
      </c>
      <c r="W34" s="3">
        <f>AVERAGEIF(A:A,V34,F:F)</f>
        <v>-2.2352941176470584E-3</v>
      </c>
      <c r="Y34" s="3"/>
    </row>
    <row r="35" spans="1:25" x14ac:dyDescent="0.3">
      <c r="A35" t="s">
        <v>18</v>
      </c>
      <c r="B35">
        <v>2021</v>
      </c>
      <c r="C35">
        <v>905020.8125</v>
      </c>
      <c r="D35" s="1">
        <v>1.4E-2</v>
      </c>
      <c r="E35" s="1">
        <v>0.97100657224655196</v>
      </c>
      <c r="F35" s="1">
        <v>7.1999999999999995E-2</v>
      </c>
      <c r="G35" s="1">
        <f t="shared" si="0"/>
        <v>-4.0000000000000174E-3</v>
      </c>
      <c r="H35" s="1" t="str">
        <f t="shared" si="1"/>
        <v/>
      </c>
      <c r="I35" s="1">
        <v>1.4999999999999999E-2</v>
      </c>
      <c r="J35" s="1">
        <f>+D35-F35+I35*O35</f>
        <v>-2.9349999999999998E-2</v>
      </c>
      <c r="K35" s="1">
        <v>4.6992477029562003E-2</v>
      </c>
      <c r="L35" s="1">
        <f>+K35-J35</f>
        <v>7.6342477029561998E-2</v>
      </c>
      <c r="M35" s="1">
        <v>-7.5229704379967096E-6</v>
      </c>
      <c r="N35" s="1">
        <f>+M35-J35</f>
        <v>2.9342477029562001E-2</v>
      </c>
      <c r="O35">
        <v>1.91</v>
      </c>
      <c r="P35" t="s">
        <v>15</v>
      </c>
      <c r="Q35">
        <v>-0.04</v>
      </c>
      <c r="R35">
        <v>-1.3292731642723E-2</v>
      </c>
      <c r="S35">
        <v>1.8810775130987199E-2</v>
      </c>
      <c r="T35">
        <v>0.04</v>
      </c>
      <c r="V35" t="s">
        <v>50</v>
      </c>
      <c r="W35" s="3">
        <f>AVERAGEIF(A:A,V35,F:F)</f>
        <v>-2.3529411764705889E-3</v>
      </c>
      <c r="Y35" s="3"/>
    </row>
    <row r="36" spans="1:25" x14ac:dyDescent="0.3">
      <c r="A36" t="s">
        <v>18</v>
      </c>
      <c r="B36">
        <v>2022</v>
      </c>
      <c r="C36">
        <v>904804</v>
      </c>
      <c r="D36" s="1">
        <v>1.9E-2</v>
      </c>
      <c r="E36" s="1">
        <v>0.95240795612335205</v>
      </c>
      <c r="F36" s="1">
        <v>-3.6999999999999998E-2</v>
      </c>
      <c r="G36" s="1">
        <f t="shared" si="0"/>
        <v>-4.1000000000000016E-2</v>
      </c>
      <c r="H36" s="1" t="str">
        <f t="shared" si="1"/>
        <v/>
      </c>
      <c r="I36" s="1">
        <v>-1.9E-2</v>
      </c>
      <c r="J36" s="1">
        <f>+D36-F36+I36*O36</f>
        <v>2.1039999999999996E-2</v>
      </c>
      <c r="K36" s="1">
        <v>6.6707268357276903E-2</v>
      </c>
      <c r="L36" s="1">
        <f>+K36-J36</f>
        <v>4.5667268357276906E-2</v>
      </c>
      <c r="M36" s="1">
        <v>-1.3292731642723E-2</v>
      </c>
      <c r="N36" s="1">
        <f>+M36-J36</f>
        <v>-3.4332731642722998E-2</v>
      </c>
      <c r="O36">
        <v>1.84</v>
      </c>
      <c r="P36" t="s">
        <v>16</v>
      </c>
      <c r="Q36">
        <v>0.02</v>
      </c>
      <c r="R36">
        <v>-9.5424640774727006E-3</v>
      </c>
      <c r="S36">
        <v>1.00164636969566E-2</v>
      </c>
      <c r="T36">
        <v>-0.02</v>
      </c>
      <c r="V36" t="s">
        <v>51</v>
      </c>
      <c r="W36" s="3">
        <f>AVERAGEIF(A:A,V36,F:F)</f>
        <v>-5.4705882352941177E-3</v>
      </c>
      <c r="Y36" s="3"/>
    </row>
    <row r="37" spans="1:25" x14ac:dyDescent="0.3">
      <c r="A37" t="s">
        <v>19</v>
      </c>
      <c r="B37">
        <v>2006</v>
      </c>
      <c r="C37">
        <v>835802.1875</v>
      </c>
      <c r="D37" s="1">
        <v>8.9999999999999993E-3</v>
      </c>
      <c r="E37" s="1">
        <v>0.94656306505203203</v>
      </c>
      <c r="F37" s="1">
        <v>-0.01</v>
      </c>
      <c r="G37" s="1">
        <f t="shared" si="0"/>
        <v>-0.01</v>
      </c>
      <c r="H37" s="1" t="str">
        <f t="shared" si="1"/>
        <v/>
      </c>
      <c r="I37" s="1">
        <v>5.0000000000000001E-3</v>
      </c>
      <c r="J37" s="1">
        <f>+D37-F37+I37*O37</f>
        <v>2.98E-2</v>
      </c>
      <c r="K37" s="1">
        <v>3.6633837968110997E-2</v>
      </c>
      <c r="L37" s="1">
        <f>+K37-J37</f>
        <v>6.8338379681109965E-3</v>
      </c>
      <c r="M37" s="1">
        <v>4.6338379681109898E-3</v>
      </c>
      <c r="N37" s="1">
        <f>+M37-J37</f>
        <v>-2.5166162031889011E-2</v>
      </c>
      <c r="O37">
        <v>2.16</v>
      </c>
      <c r="P37" t="s">
        <v>17</v>
      </c>
      <c r="Q37">
        <v>0</v>
      </c>
      <c r="R37">
        <v>8.2498296201228994E-3</v>
      </c>
      <c r="S37">
        <v>9.1715855523944005E-3</v>
      </c>
      <c r="T37">
        <v>-0.01</v>
      </c>
      <c r="V37" t="s">
        <v>52</v>
      </c>
      <c r="W37" s="3">
        <f>AVERAGEIF(A:A,V37,F:F)</f>
        <v>2.8823529411764704E-3</v>
      </c>
      <c r="Y37" s="3"/>
    </row>
    <row r="38" spans="1:25" x14ac:dyDescent="0.3">
      <c r="A38" t="s">
        <v>19</v>
      </c>
      <c r="B38">
        <v>2007</v>
      </c>
      <c r="C38">
        <v>853070.9375</v>
      </c>
      <c r="D38" s="1">
        <v>6.0000000000000001E-3</v>
      </c>
      <c r="E38" s="1">
        <v>0.93670475482940696</v>
      </c>
      <c r="F38" s="1">
        <v>3.1E-2</v>
      </c>
      <c r="G38" s="1">
        <f t="shared" si="0"/>
        <v>2.0999999999999998E-2</v>
      </c>
      <c r="H38" s="1" t="str">
        <f t="shared" si="1"/>
        <v/>
      </c>
      <c r="I38" s="1">
        <v>-0.01</v>
      </c>
      <c r="J38" s="1">
        <f>+D38-F38+I38*O38</f>
        <v>-4.7300000000000002E-2</v>
      </c>
      <c r="K38" s="1">
        <v>3.7249829620122903E-2</v>
      </c>
      <c r="L38" s="1">
        <f>+K38-J38</f>
        <v>8.4549829620122904E-2</v>
      </c>
      <c r="M38" s="1">
        <v>8.2498296201228994E-3</v>
      </c>
      <c r="N38" s="1">
        <f>+M38-J38</f>
        <v>5.5549829620122899E-2</v>
      </c>
      <c r="O38">
        <v>2.23</v>
      </c>
      <c r="P38" t="s">
        <v>17</v>
      </c>
      <c r="Q38">
        <v>0.01</v>
      </c>
      <c r="R38">
        <v>-2.2125565737485899E-2</v>
      </c>
      <c r="S38">
        <v>7.3852385394274998E-3</v>
      </c>
      <c r="T38">
        <v>0.03</v>
      </c>
      <c r="V38" t="s">
        <v>53</v>
      </c>
      <c r="W38" s="3">
        <f>AVERAGEIF(A:A,V38,F:F)</f>
        <v>1.4705882352941181E-3</v>
      </c>
      <c r="Y38" s="3"/>
    </row>
    <row r="39" spans="1:25" x14ac:dyDescent="0.3">
      <c r="A39" t="s">
        <v>19</v>
      </c>
      <c r="B39">
        <v>2008</v>
      </c>
      <c r="C39">
        <v>866686</v>
      </c>
      <c r="D39" s="1">
        <v>1.7000000000000001E-2</v>
      </c>
      <c r="E39" s="1">
        <v>0.930286824703217</v>
      </c>
      <c r="F39" s="1">
        <v>-2.4E-2</v>
      </c>
      <c r="G39" s="1">
        <f t="shared" si="0"/>
        <v>-3.0000000000000027E-3</v>
      </c>
      <c r="H39" s="1" t="str">
        <f t="shared" si="1"/>
        <v/>
      </c>
      <c r="I39" s="1">
        <v>-6.0000000000000001E-3</v>
      </c>
      <c r="J39" s="1">
        <f>+D39-F39+I39*O39</f>
        <v>2.792E-2</v>
      </c>
      <c r="K39" s="1">
        <v>1.5874434262514101E-2</v>
      </c>
      <c r="L39" s="1">
        <f>+K39-J39</f>
        <v>-1.20455657374859E-2</v>
      </c>
      <c r="M39" s="1">
        <v>-2.2125565737485899E-2</v>
      </c>
      <c r="N39" s="1">
        <f>+M39-J39</f>
        <v>-5.0045565737485899E-2</v>
      </c>
      <c r="O39">
        <v>2.1800000000000002</v>
      </c>
      <c r="P39" t="s">
        <v>16</v>
      </c>
      <c r="Q39">
        <v>0.01</v>
      </c>
      <c r="R39">
        <v>-2.2861429214477501E-2</v>
      </c>
      <c r="S39">
        <v>3.7052724510431498E-3</v>
      </c>
      <c r="T39">
        <v>-0.03</v>
      </c>
      <c r="V39" t="s">
        <v>54</v>
      </c>
      <c r="W39" s="3">
        <f>AVERAGEIF(A:A,V39,F:F)</f>
        <v>4.5999999999999947E-3</v>
      </c>
      <c r="Y39" s="3"/>
    </row>
    <row r="40" spans="1:25" x14ac:dyDescent="0.3">
      <c r="A40" t="s">
        <v>19</v>
      </c>
      <c r="B40">
        <v>2009</v>
      </c>
      <c r="C40">
        <v>879749.5</v>
      </c>
      <c r="D40" s="1">
        <v>1.0999999999999999E-2</v>
      </c>
      <c r="E40" s="1">
        <v>0.92638796567916903</v>
      </c>
      <c r="F40" s="1">
        <v>7.5999999999999998E-2</v>
      </c>
      <c r="G40" s="1">
        <f t="shared" si="0"/>
        <v>7.2999999999999995E-2</v>
      </c>
      <c r="H40" s="1" t="str">
        <f t="shared" si="1"/>
        <v/>
      </c>
      <c r="I40" s="1">
        <v>-4.0000000000000001E-3</v>
      </c>
      <c r="J40" s="1">
        <f>+D40-F40+I40*O40</f>
        <v>-7.4360000000000009E-2</v>
      </c>
      <c r="K40" s="1">
        <v>-2.6861429214477501E-2</v>
      </c>
      <c r="L40" s="1">
        <f>+K40-J40</f>
        <v>4.7498570785522512E-2</v>
      </c>
      <c r="M40" s="1">
        <v>-2.2861429214477501E-2</v>
      </c>
      <c r="N40" s="1">
        <f>+M40-J40</f>
        <v>5.1498570785522509E-2</v>
      </c>
      <c r="O40">
        <v>2.34</v>
      </c>
      <c r="P40" t="s">
        <v>17</v>
      </c>
      <c r="Q40">
        <v>0</v>
      </c>
      <c r="R40">
        <v>-9.0881783366203294E-3</v>
      </c>
      <c r="S40">
        <v>3.7193042226135302E-4</v>
      </c>
      <c r="T40">
        <v>0.06</v>
      </c>
      <c r="V40" t="s">
        <v>55</v>
      </c>
      <c r="W40" s="3">
        <f>AVERAGEIF(A:A,V40,F:F)</f>
        <v>-2.8235294117647061E-3</v>
      </c>
      <c r="Y40" s="3"/>
    </row>
    <row r="41" spans="1:25" x14ac:dyDescent="0.3">
      <c r="A41" t="s">
        <v>19</v>
      </c>
      <c r="B41">
        <v>2010</v>
      </c>
      <c r="C41">
        <v>891441</v>
      </c>
      <c r="D41" s="1">
        <v>1E-3</v>
      </c>
      <c r="E41" s="1">
        <v>0.93516314029693604</v>
      </c>
      <c r="F41" s="1">
        <v>-6.0000000000000001E-3</v>
      </c>
      <c r="G41" s="1">
        <f t="shared" si="0"/>
        <v>6.699999999999999E-2</v>
      </c>
      <c r="H41" s="1" t="str">
        <f t="shared" si="1"/>
        <v/>
      </c>
      <c r="I41" s="1">
        <v>8.9999999999999993E-3</v>
      </c>
      <c r="J41" s="1">
        <f>+D41-F41+I41*O41</f>
        <v>2.7969999999999998E-2</v>
      </c>
      <c r="K41" s="1">
        <v>6.9118216633796701E-3</v>
      </c>
      <c r="L41" s="1">
        <f>+K41-J41</f>
        <v>-2.1058178336620329E-2</v>
      </c>
      <c r="M41" s="1">
        <v>-9.0881783366203294E-3</v>
      </c>
      <c r="N41" s="1">
        <f>+M41-J41</f>
        <v>-3.7058178336620326E-2</v>
      </c>
      <c r="O41">
        <v>2.33</v>
      </c>
      <c r="P41" t="s">
        <v>17</v>
      </c>
      <c r="Q41">
        <v>0</v>
      </c>
      <c r="R41">
        <v>-1.6327122569084199E-2</v>
      </c>
      <c r="S41">
        <v>4.9566519446671E-3</v>
      </c>
      <c r="T41">
        <v>-0.01</v>
      </c>
      <c r="V41" t="s">
        <v>56</v>
      </c>
      <c r="W41" s="3">
        <f>AVERAGEIF(A:A,V41,F:F)</f>
        <v>-2.2352941176470593E-3</v>
      </c>
      <c r="Y41" s="3"/>
    </row>
    <row r="42" spans="1:25" x14ac:dyDescent="0.3">
      <c r="A42" t="s">
        <v>19</v>
      </c>
      <c r="B42">
        <v>2011</v>
      </c>
      <c r="C42">
        <v>898098.8125</v>
      </c>
      <c r="D42" s="1">
        <v>5.0000000000000001E-3</v>
      </c>
      <c r="E42" s="1">
        <v>0.92895358800888095</v>
      </c>
      <c r="F42" s="1">
        <v>-5.1999999999999998E-2</v>
      </c>
      <c r="G42" s="1">
        <f t="shared" si="0"/>
        <v>1.4999999999999993E-2</v>
      </c>
      <c r="H42" s="1" t="str">
        <f t="shared" si="1"/>
        <v/>
      </c>
      <c r="I42" s="1">
        <v>-6.0000000000000001E-3</v>
      </c>
      <c r="J42" s="1">
        <f>+D42-F42+I42*O42</f>
        <v>4.3739999999999994E-2</v>
      </c>
      <c r="K42" s="1">
        <v>1.5672877430915801E-2</v>
      </c>
      <c r="L42" s="1">
        <f>+K42-J42</f>
        <v>-2.8067122569084193E-2</v>
      </c>
      <c r="M42" s="1">
        <v>-1.6327122569084199E-2</v>
      </c>
      <c r="N42" s="1">
        <f>+M42-J42</f>
        <v>-6.0067122569084197E-2</v>
      </c>
      <c r="O42">
        <v>2.21</v>
      </c>
      <c r="P42" t="s">
        <v>16</v>
      </c>
      <c r="Q42">
        <v>0</v>
      </c>
      <c r="R42">
        <v>-8.2798854485153991E-3</v>
      </c>
      <c r="S42">
        <v>-2.841679379344E-3</v>
      </c>
      <c r="T42">
        <v>-0.05</v>
      </c>
      <c r="V42" t="s">
        <v>57</v>
      </c>
      <c r="W42" s="3">
        <f>AVERAGEIF(A:A,V42,F:F)</f>
        <v>-2.705882352941176E-3</v>
      </c>
      <c r="Y42" s="3"/>
    </row>
    <row r="43" spans="1:25" x14ac:dyDescent="0.3">
      <c r="A43" t="s">
        <v>19</v>
      </c>
      <c r="B43">
        <v>2012</v>
      </c>
      <c r="C43">
        <v>901305.3125</v>
      </c>
      <c r="D43" s="1">
        <v>1E-3</v>
      </c>
      <c r="E43" s="1">
        <v>0.93224978446960405</v>
      </c>
      <c r="F43" s="1">
        <v>3.6999999999999998E-2</v>
      </c>
      <c r="G43" s="1">
        <f t="shared" si="0"/>
        <v>5.1999999999999991E-2</v>
      </c>
      <c r="H43" s="1" t="str">
        <f t="shared" si="1"/>
        <v/>
      </c>
      <c r="I43" s="1">
        <v>3.0000000000000001E-3</v>
      </c>
      <c r="J43" s="1">
        <f>+D43-F43+I43*O43</f>
        <v>-2.9129999999999996E-2</v>
      </c>
      <c r="K43" s="1">
        <v>1.27201145514846E-2</v>
      </c>
      <c r="L43" s="1">
        <f>+K43-J43</f>
        <v>4.1850114551484595E-2</v>
      </c>
      <c r="M43" s="1">
        <v>-8.2798854485153991E-3</v>
      </c>
      <c r="N43" s="1">
        <f>+M43-J43</f>
        <v>2.0850114551484597E-2</v>
      </c>
      <c r="O43">
        <v>2.29</v>
      </c>
      <c r="P43" t="s">
        <v>15</v>
      </c>
      <c r="Q43">
        <v>0</v>
      </c>
      <c r="R43">
        <v>-1.08057422190904E-2</v>
      </c>
      <c r="S43">
        <v>-1.6932513564824999E-2</v>
      </c>
      <c r="T43">
        <v>0.03</v>
      </c>
      <c r="V43" t="s">
        <v>58</v>
      </c>
      <c r="W43" s="3">
        <f>AVERAGEIF(A:A,V43,F:F)</f>
        <v>1.8599999999999998E-2</v>
      </c>
      <c r="Y43" s="3"/>
    </row>
    <row r="44" spans="1:25" x14ac:dyDescent="0.3">
      <c r="A44" t="s">
        <v>19</v>
      </c>
      <c r="B44">
        <v>2013</v>
      </c>
      <c r="C44">
        <v>902727.8125</v>
      </c>
      <c r="D44" s="1">
        <v>0.02</v>
      </c>
      <c r="E44" s="1">
        <v>0.92623287439346302</v>
      </c>
      <c r="F44" s="1">
        <v>2.1000000000000001E-2</v>
      </c>
      <c r="G44" s="1">
        <f t="shared" si="0"/>
        <v>7.2999999999999995E-2</v>
      </c>
      <c r="H44" s="1" t="str">
        <f t="shared" si="1"/>
        <v/>
      </c>
      <c r="I44" s="1">
        <v>-6.0000000000000001E-3</v>
      </c>
      <c r="J44" s="1">
        <f>+D44-F44+I44*O44</f>
        <v>-1.504E-2</v>
      </c>
      <c r="K44" s="1">
        <v>4.19425778090954E-3</v>
      </c>
      <c r="L44" s="1">
        <f>+K44-J44</f>
        <v>1.923425778090954E-2</v>
      </c>
      <c r="M44" s="1">
        <v>-1.08057422190904E-2</v>
      </c>
      <c r="N44" s="1">
        <f>+M44-J44</f>
        <v>4.2342577809095991E-3</v>
      </c>
      <c r="O44">
        <v>2.34</v>
      </c>
      <c r="P44" t="s">
        <v>17</v>
      </c>
      <c r="Q44">
        <v>-0.02</v>
      </c>
      <c r="R44">
        <v>2.6855532228946899E-3</v>
      </c>
      <c r="S44">
        <v>6.7752972245219796E-4</v>
      </c>
      <c r="T44">
        <v>0.01</v>
      </c>
      <c r="V44" t="s">
        <v>59</v>
      </c>
      <c r="W44" s="3">
        <f>AVERAGEIF(A:A,V44,F:F)</f>
        <v>-4.1176470588235297E-3</v>
      </c>
      <c r="Y44" s="3"/>
    </row>
    <row r="45" spans="1:25" x14ac:dyDescent="0.3">
      <c r="A45" t="s">
        <v>19</v>
      </c>
      <c r="B45">
        <v>2014</v>
      </c>
      <c r="C45">
        <v>902268.375</v>
      </c>
      <c r="D45" s="1">
        <v>6.0000000000000001E-3</v>
      </c>
      <c r="E45" s="1">
        <v>0.93144822120666504</v>
      </c>
      <c r="F45" s="1">
        <v>-1.2E-2</v>
      </c>
      <c r="G45" s="1">
        <f t="shared" si="0"/>
        <v>6.0999999999999999E-2</v>
      </c>
      <c r="H45" s="1" t="str">
        <f t="shared" si="1"/>
        <v/>
      </c>
      <c r="I45" s="1">
        <v>5.0000000000000001E-3</v>
      </c>
      <c r="J45" s="1">
        <f>+D45-F45+I45*O45</f>
        <v>2.9550000000000003E-2</v>
      </c>
      <c r="K45" s="1">
        <v>1.86855532228947E-2</v>
      </c>
      <c r="L45" s="1">
        <f>+K45-J45</f>
        <v>-1.0864446777105304E-2</v>
      </c>
      <c r="M45" s="1">
        <v>2.6855532228946899E-3</v>
      </c>
      <c r="N45" s="1">
        <f>+M45-J45</f>
        <v>-2.6864446777105314E-2</v>
      </c>
      <c r="O45">
        <v>2.31</v>
      </c>
      <c r="P45" t="s">
        <v>17</v>
      </c>
      <c r="Q45">
        <v>0</v>
      </c>
      <c r="R45">
        <v>1.5917081549763699E-2</v>
      </c>
      <c r="S45">
        <v>-1.43463704735039E-2</v>
      </c>
      <c r="T45">
        <v>-0.02</v>
      </c>
      <c r="V45" t="s">
        <v>60</v>
      </c>
      <c r="W45" s="3">
        <f>AVERAGEIF(A:A,V45,F:F)</f>
        <v>3.2941176470588245E-3</v>
      </c>
      <c r="Y45" s="3"/>
    </row>
    <row r="46" spans="1:25" x14ac:dyDescent="0.3">
      <c r="A46" t="s">
        <v>19</v>
      </c>
      <c r="B46">
        <v>2015</v>
      </c>
      <c r="C46">
        <v>903531.125</v>
      </c>
      <c r="D46" s="1">
        <v>2.5000000000000001E-2</v>
      </c>
      <c r="E46" s="1">
        <v>0.93269896507263195</v>
      </c>
      <c r="F46" s="1">
        <v>-1.0999999999999999E-2</v>
      </c>
      <c r="G46" s="1">
        <f t="shared" si="0"/>
        <v>0.05</v>
      </c>
      <c r="H46" s="1" t="str">
        <f t="shared" si="1"/>
        <v/>
      </c>
      <c r="I46" s="1">
        <v>1E-3</v>
      </c>
      <c r="J46" s="1">
        <f>+D46-F46+I46*O46</f>
        <v>3.8290000000000005E-2</v>
      </c>
      <c r="K46" s="1">
        <v>1.69170815497637E-2</v>
      </c>
      <c r="L46" s="1">
        <f>+K46-J46</f>
        <v>-2.1372918450236304E-2</v>
      </c>
      <c r="M46" s="1">
        <v>1.5917081549763699E-2</v>
      </c>
      <c r="N46" s="1">
        <f>+M46-J46</f>
        <v>-2.2372918450236305E-2</v>
      </c>
      <c r="O46">
        <v>2.29</v>
      </c>
      <c r="P46" t="s">
        <v>17</v>
      </c>
      <c r="Q46">
        <v>-0.01</v>
      </c>
      <c r="R46">
        <v>1.51172394752502E-2</v>
      </c>
      <c r="S46">
        <v>1.9636824727057899E-3</v>
      </c>
      <c r="T46">
        <v>0</v>
      </c>
      <c r="V46" t="s">
        <v>61</v>
      </c>
      <c r="W46" s="3">
        <f>AVERAGEIF(A:A,V46,F:F)</f>
        <v>-1.9411764705882346E-3</v>
      </c>
      <c r="Y46" s="3"/>
    </row>
    <row r="47" spans="1:25" x14ac:dyDescent="0.3">
      <c r="A47" t="s">
        <v>19</v>
      </c>
      <c r="B47">
        <v>2016</v>
      </c>
      <c r="C47">
        <v>906161.1875</v>
      </c>
      <c r="D47" s="1">
        <v>6.0000000000000001E-3</v>
      </c>
      <c r="E47" s="1">
        <v>0.93307286500930797</v>
      </c>
      <c r="F47" s="1">
        <v>7.0000000000000001E-3</v>
      </c>
      <c r="G47" s="1">
        <f t="shared" si="0"/>
        <v>5.7000000000000002E-2</v>
      </c>
      <c r="H47" s="1" t="str">
        <f t="shared" si="1"/>
        <v/>
      </c>
      <c r="I47" s="1">
        <v>0</v>
      </c>
      <c r="J47" s="1">
        <f>+D47-F47+I47*O47</f>
        <v>-1E-3</v>
      </c>
      <c r="K47" s="1">
        <v>2.8117239475250199E-2</v>
      </c>
      <c r="L47" s="1">
        <f>+K47-J47</f>
        <v>2.91172394752502E-2</v>
      </c>
      <c r="M47" s="1">
        <v>1.51172394752502E-2</v>
      </c>
      <c r="N47" s="1">
        <f>+M47-J47</f>
        <v>1.6117239475250199E-2</v>
      </c>
      <c r="O47">
        <v>2.2999999999999998</v>
      </c>
      <c r="P47" t="s">
        <v>15</v>
      </c>
      <c r="Q47">
        <v>0</v>
      </c>
      <c r="R47">
        <v>3.8748604208230899E-3</v>
      </c>
      <c r="S47">
        <v>1.0852869600058001E-3</v>
      </c>
      <c r="T47">
        <v>0.01</v>
      </c>
      <c r="V47" t="s">
        <v>62</v>
      </c>
      <c r="W47" s="3">
        <f>AVERAGEIF(A:A,V47,F:F)</f>
        <v>-4.1764705882352936E-3</v>
      </c>
      <c r="Y47" s="3"/>
    </row>
    <row r="48" spans="1:25" x14ac:dyDescent="0.3">
      <c r="A48" t="s">
        <v>19</v>
      </c>
      <c r="B48">
        <v>2017</v>
      </c>
      <c r="C48">
        <v>908417.75</v>
      </c>
      <c r="D48" s="1">
        <v>-2E-3</v>
      </c>
      <c r="E48" s="1">
        <v>0.92878252267837502</v>
      </c>
      <c r="F48" s="1">
        <v>-0.13300000000000001</v>
      </c>
      <c r="G48" s="1">
        <f t="shared" si="0"/>
        <v>-7.6000000000000012E-2</v>
      </c>
      <c r="H48" s="1" t="str">
        <f t="shared" si="1"/>
        <v/>
      </c>
      <c r="I48" s="1">
        <v>-4.0000000000000001E-3</v>
      </c>
      <c r="J48" s="1">
        <f>+D48-F48+I48*O48</f>
        <v>0.12304000000000001</v>
      </c>
      <c r="K48" s="1">
        <v>2.4874860420823101E-2</v>
      </c>
      <c r="L48" s="1">
        <f>+K48-J48</f>
        <v>-9.8165139579176913E-2</v>
      </c>
      <c r="M48" s="1">
        <v>3.8748604208230899E-3</v>
      </c>
      <c r="N48" s="1">
        <f>+M48-J48</f>
        <v>-0.11916513957917692</v>
      </c>
      <c r="O48">
        <v>1.99</v>
      </c>
      <c r="P48" t="s">
        <v>16</v>
      </c>
      <c r="Q48">
        <v>0</v>
      </c>
      <c r="R48">
        <v>1.0721314907074E-2</v>
      </c>
      <c r="S48">
        <v>1.5862919390202E-3</v>
      </c>
      <c r="T48">
        <v>-0.13</v>
      </c>
      <c r="V48" t="s">
        <v>63</v>
      </c>
      <c r="W48" s="3">
        <f>AVERAGEIF(A:A,V48,F:F)</f>
        <v>1.9400000000000001E-2</v>
      </c>
      <c r="Y48" s="3"/>
    </row>
    <row r="49" spans="1:25" x14ac:dyDescent="0.3">
      <c r="A49" t="s">
        <v>19</v>
      </c>
      <c r="B49">
        <v>2018</v>
      </c>
      <c r="C49">
        <v>910651.8125</v>
      </c>
      <c r="D49" s="1">
        <v>7.0000000000000001E-3</v>
      </c>
      <c r="E49" s="1">
        <v>0.93799877166748002</v>
      </c>
      <c r="F49" s="1">
        <v>0.06</v>
      </c>
      <c r="G49" s="1">
        <f t="shared" si="0"/>
        <v>-1.6000000000000014E-2</v>
      </c>
      <c r="H49" s="1" t="str">
        <f t="shared" si="1"/>
        <v/>
      </c>
      <c r="I49" s="1">
        <v>8.9999999999999993E-3</v>
      </c>
      <c r="J49" s="1">
        <f>+D49-F49+I49*O49</f>
        <v>-3.4009999999999999E-2</v>
      </c>
      <c r="K49" s="1">
        <v>3.4721314907074002E-2</v>
      </c>
      <c r="L49" s="1">
        <f>+K49-J49</f>
        <v>6.8731314907074001E-2</v>
      </c>
      <c r="M49" s="1">
        <v>1.0721314907074E-2</v>
      </c>
      <c r="N49" s="1">
        <f>+M49-J49</f>
        <v>4.4731314907074E-2</v>
      </c>
      <c r="O49">
        <v>2.11</v>
      </c>
      <c r="P49" t="s">
        <v>15</v>
      </c>
      <c r="Q49">
        <v>0</v>
      </c>
      <c r="R49">
        <v>3.9762879878282503E-2</v>
      </c>
      <c r="S49">
        <v>2.1961685270070998E-2</v>
      </c>
      <c r="T49">
        <v>7.0000000000000007E-2</v>
      </c>
      <c r="V49" t="s">
        <v>64</v>
      </c>
      <c r="W49" s="3">
        <f>AVERAGEIF(A:A,V49,F:F)</f>
        <v>-3.8823529411764718E-3</v>
      </c>
      <c r="Y49" s="3"/>
    </row>
    <row r="50" spans="1:25" x14ac:dyDescent="0.3">
      <c r="A50" t="s">
        <v>19</v>
      </c>
      <c r="B50">
        <v>2019</v>
      </c>
      <c r="C50">
        <v>914078.6875</v>
      </c>
      <c r="D50" s="1">
        <v>5.0000000000000001E-3</v>
      </c>
      <c r="E50" s="1">
        <v>0.94230151176452603</v>
      </c>
      <c r="F50" s="1">
        <v>5.1999999999999998E-2</v>
      </c>
      <c r="G50" s="1">
        <f t="shared" si="0"/>
        <v>3.5999999999999983E-2</v>
      </c>
      <c r="H50" s="1" t="str">
        <f t="shared" si="1"/>
        <v/>
      </c>
      <c r="I50" s="1">
        <v>4.0000000000000001E-3</v>
      </c>
      <c r="J50" s="1">
        <f>+D50-F50+I50*O50</f>
        <v>-3.8080000000000003E-2</v>
      </c>
      <c r="K50" s="1">
        <v>5.7762879878282498E-2</v>
      </c>
      <c r="L50" s="1">
        <f>+K50-J50</f>
        <v>9.5842879878282494E-2</v>
      </c>
      <c r="M50" s="1">
        <v>3.9762879878282503E-2</v>
      </c>
      <c r="N50" s="1">
        <f>+M50-J50</f>
        <v>7.7842879878282506E-2</v>
      </c>
      <c r="O50">
        <v>2.23</v>
      </c>
      <c r="P50" t="s">
        <v>15</v>
      </c>
      <c r="Q50">
        <v>0.02</v>
      </c>
      <c r="R50">
        <v>5.2995437860488902E-2</v>
      </c>
      <c r="S50">
        <v>3.4146247431635898E-2</v>
      </c>
      <c r="T50">
        <v>0.06</v>
      </c>
      <c r="V50" t="s">
        <v>65</v>
      </c>
      <c r="W50" s="3">
        <f>AVERAGEIF(A:A,V50,F:F)</f>
        <v>-2.4705882352941159E-3</v>
      </c>
      <c r="Y50" s="3"/>
    </row>
    <row r="51" spans="1:25" x14ac:dyDescent="0.3">
      <c r="A51" t="s">
        <v>19</v>
      </c>
      <c r="B51">
        <v>2020</v>
      </c>
      <c r="C51">
        <v>918201.8125</v>
      </c>
      <c r="D51" s="1">
        <v>8.0000000000000002E-3</v>
      </c>
      <c r="E51" s="1">
        <v>0.94807034730911299</v>
      </c>
      <c r="F51" s="1">
        <v>-0.14799999999999999</v>
      </c>
      <c r="G51" s="1">
        <f t="shared" si="0"/>
        <v>-0.11200000000000002</v>
      </c>
      <c r="H51" s="1" t="str">
        <f t="shared" si="1"/>
        <v/>
      </c>
      <c r="I51" s="1">
        <v>6.0000000000000001E-3</v>
      </c>
      <c r="J51" s="1">
        <f>+D51-F51+I51*O51</f>
        <v>0.16739999999999999</v>
      </c>
      <c r="K51" s="1">
        <v>6.4995437860488905E-2</v>
      </c>
      <c r="L51" s="1">
        <f>+K51-J51</f>
        <v>-0.10240456213951109</v>
      </c>
      <c r="M51" s="1">
        <v>5.2995437860488902E-2</v>
      </c>
      <c r="N51" s="1">
        <f>+M51-J51</f>
        <v>-0.11440456213951108</v>
      </c>
      <c r="O51">
        <v>1.9</v>
      </c>
      <c r="P51" t="s">
        <v>17</v>
      </c>
      <c r="Q51">
        <v>0.03</v>
      </c>
      <c r="R51">
        <v>9.0941524386406E-2</v>
      </c>
      <c r="S51">
        <v>4.7351911664008997E-2</v>
      </c>
      <c r="T51">
        <v>-0.11</v>
      </c>
      <c r="V51" t="s">
        <v>66</v>
      </c>
      <c r="W51" s="3">
        <f>AVERAGEIF(A:A,V51,F:F)</f>
        <v>-8.2352941176470581E-4</v>
      </c>
      <c r="Y51" s="3"/>
    </row>
    <row r="52" spans="1:25" x14ac:dyDescent="0.3">
      <c r="A52" t="s">
        <v>19</v>
      </c>
      <c r="B52">
        <v>2021</v>
      </c>
      <c r="C52">
        <v>919607.3125</v>
      </c>
      <c r="D52" s="1">
        <v>5.0000000000000001E-3</v>
      </c>
      <c r="E52" s="1">
        <v>0.95190584659576405</v>
      </c>
      <c r="F52" s="1">
        <v>0.14599999999999999</v>
      </c>
      <c r="G52" s="1">
        <f t="shared" si="0"/>
        <v>3.3999999999999975E-2</v>
      </c>
      <c r="H52" s="1" t="str">
        <f t="shared" si="1"/>
        <v/>
      </c>
      <c r="I52" s="1">
        <v>4.0000000000000001E-3</v>
      </c>
      <c r="J52" s="1">
        <f>+D52-F52+I52*O52</f>
        <v>-0.13231999999999999</v>
      </c>
      <c r="K52" s="1">
        <v>0.137941524386406</v>
      </c>
      <c r="L52" s="1">
        <f>+K52-J52</f>
        <v>0.27026152438640599</v>
      </c>
      <c r="M52" s="1">
        <v>9.0941524386406E-2</v>
      </c>
      <c r="N52" s="1">
        <f>+M52-J52</f>
        <v>0.22326152438640601</v>
      </c>
      <c r="O52">
        <v>2.17</v>
      </c>
      <c r="P52" t="s">
        <v>15</v>
      </c>
      <c r="Q52">
        <v>0.05</v>
      </c>
      <c r="R52">
        <v>-3.58714342117309E-3</v>
      </c>
      <c r="S52">
        <v>2.85163633525372E-2</v>
      </c>
      <c r="T52">
        <v>0.12</v>
      </c>
      <c r="V52" t="s">
        <v>67</v>
      </c>
      <c r="W52" s="3">
        <f>AVERAGEIF(A:A,V52,F:F)</f>
        <v>1.72E-2</v>
      </c>
      <c r="Y52" s="3"/>
    </row>
    <row r="53" spans="1:25" x14ac:dyDescent="0.3">
      <c r="A53" t="s">
        <v>19</v>
      </c>
      <c r="B53">
        <v>2022</v>
      </c>
      <c r="C53">
        <v>920852.625</v>
      </c>
      <c r="D53" s="1">
        <v>0</v>
      </c>
      <c r="E53" s="1">
        <v>0.93772214651107799</v>
      </c>
      <c r="F53" s="1">
        <v>-0.10199999999999999</v>
      </c>
      <c r="G53" s="1">
        <f t="shared" si="0"/>
        <v>-6.8000000000000019E-2</v>
      </c>
      <c r="H53" s="1" t="str">
        <f t="shared" si="1"/>
        <v/>
      </c>
      <c r="I53" s="1">
        <v>-1.4E-2</v>
      </c>
      <c r="J53" s="1">
        <f>+D53-F53+I53*O53</f>
        <v>7.4699999999999989E-2</v>
      </c>
      <c r="K53" s="1">
        <v>7.6412856578826904E-2</v>
      </c>
      <c r="L53" s="1">
        <f>+K53-J53</f>
        <v>1.7128565788269157E-3</v>
      </c>
      <c r="M53" s="1">
        <v>-3.58714342117309E-3</v>
      </c>
      <c r="N53" s="1">
        <f>+M53-J53</f>
        <v>-7.8287143421173072E-2</v>
      </c>
      <c r="O53">
        <v>1.95</v>
      </c>
      <c r="P53" t="s">
        <v>16</v>
      </c>
      <c r="Q53">
        <v>0.03</v>
      </c>
      <c r="R53">
        <v>-2.6645731911063199E-2</v>
      </c>
      <c r="S53">
        <v>-7.0868041366338999E-3</v>
      </c>
      <c r="T53">
        <v>-0.09</v>
      </c>
      <c r="V53" t="s">
        <v>68</v>
      </c>
      <c r="W53" s="3">
        <f>AVERAGEIF(A:A,V53,F:F)</f>
        <v>-2.0000000000000005E-3</v>
      </c>
      <c r="Y53" s="3"/>
    </row>
    <row r="54" spans="1:25" x14ac:dyDescent="0.3">
      <c r="A54" t="s">
        <v>20</v>
      </c>
      <c r="B54">
        <v>2006</v>
      </c>
      <c r="C54">
        <v>243130.29689999999</v>
      </c>
      <c r="D54" s="1">
        <v>2.7E-2</v>
      </c>
      <c r="E54" s="1">
        <v>0.90681856870651201</v>
      </c>
      <c r="F54" s="1">
        <v>0.125</v>
      </c>
      <c r="G54" s="1">
        <f t="shared" si="0"/>
        <v>0.125</v>
      </c>
      <c r="H54" s="1">
        <f t="shared" si="1"/>
        <v>2.3945032618939877E-2</v>
      </c>
      <c r="I54" s="1">
        <v>0</v>
      </c>
      <c r="J54" s="1">
        <f>+D54-F54+I54*O54</f>
        <v>-9.8000000000000004E-2</v>
      </c>
      <c r="K54" s="1">
        <v>3.7033025175333002E-2</v>
      </c>
      <c r="L54" s="1">
        <f>+K54-J54</f>
        <v>0.135033025175333</v>
      </c>
      <c r="M54" s="1">
        <v>5.0330251753329999E-3</v>
      </c>
      <c r="N54" s="1">
        <f>+M54-J54</f>
        <v>0.103033025175333</v>
      </c>
      <c r="O54">
        <v>2.3199999999999998</v>
      </c>
      <c r="P54" t="s">
        <v>15</v>
      </c>
      <c r="Q54">
        <v>0</v>
      </c>
      <c r="R54">
        <v>1.0557803422212599E-2</v>
      </c>
      <c r="S54">
        <v>1.14795593544841E-2</v>
      </c>
      <c r="T54">
        <v>0.12</v>
      </c>
      <c r="V54" t="s">
        <v>69</v>
      </c>
      <c r="W54" s="3">
        <f>AVERAGEIF(A:A,V54,F:F)</f>
        <v>-1.6000000000000001E-3</v>
      </c>
      <c r="Y54" s="3"/>
    </row>
    <row r="55" spans="1:25" x14ac:dyDescent="0.3">
      <c r="A55" t="s">
        <v>20</v>
      </c>
      <c r="B55">
        <v>2007</v>
      </c>
      <c r="C55">
        <v>245068.89060000001</v>
      </c>
      <c r="D55" s="1">
        <v>2E-3</v>
      </c>
      <c r="E55" s="1">
        <v>0.91461479663848899</v>
      </c>
      <c r="F55" s="1">
        <v>-3.1E-2</v>
      </c>
      <c r="G55" s="1">
        <f t="shared" si="0"/>
        <v>9.4E-2</v>
      </c>
      <c r="H55" s="1" t="str">
        <f t="shared" si="1"/>
        <v/>
      </c>
      <c r="I55" s="1">
        <v>8.0000000000000002E-3</v>
      </c>
      <c r="J55" s="1">
        <f>+D55-F55+I55*O55</f>
        <v>5.0920000000000007E-2</v>
      </c>
      <c r="K55" s="1">
        <v>3.9557803422212601E-2</v>
      </c>
      <c r="L55" s="1">
        <f>+K55-J55</f>
        <v>-1.1362196577787406E-2</v>
      </c>
      <c r="M55" s="1">
        <v>1.0557803422212599E-2</v>
      </c>
      <c r="N55" s="1">
        <f>+M55-J55</f>
        <v>-4.0362196577787404E-2</v>
      </c>
      <c r="O55">
        <v>2.2400000000000002</v>
      </c>
      <c r="P55" t="s">
        <v>17</v>
      </c>
      <c r="Q55">
        <v>0.01</v>
      </c>
      <c r="R55">
        <v>-2.9667738184332802E-2</v>
      </c>
      <c r="S55">
        <v>-1.5693390741944299E-4</v>
      </c>
      <c r="T55">
        <v>-0.03</v>
      </c>
      <c r="V55" t="s">
        <v>70</v>
      </c>
      <c r="W55" s="3">
        <f>AVERAGEIF(A:A,V55,F:F)</f>
        <v>2.6470588235294125E-3</v>
      </c>
      <c r="Y55" s="3"/>
    </row>
    <row r="56" spans="1:25" x14ac:dyDescent="0.3">
      <c r="A56" t="s">
        <v>20</v>
      </c>
      <c r="B56">
        <v>2008</v>
      </c>
      <c r="C56">
        <v>247197.29689999999</v>
      </c>
      <c r="D56" s="1">
        <v>7.0999999999999994E-2</v>
      </c>
      <c r="E56" s="1">
        <v>0.90661990642547596</v>
      </c>
      <c r="F56" s="1">
        <v>-3.0000000000000001E-3</v>
      </c>
      <c r="G56" s="1">
        <f t="shared" si="0"/>
        <v>9.0999999999999998E-2</v>
      </c>
      <c r="H56" s="1" t="str">
        <f t="shared" si="1"/>
        <v/>
      </c>
      <c r="I56" s="1">
        <v>-8.0000000000000002E-3</v>
      </c>
      <c r="J56" s="1">
        <f>+D56-F56+I56*O56</f>
        <v>5.6079999999999991E-2</v>
      </c>
      <c r="K56" s="1">
        <v>8.3322618156671507E-3</v>
      </c>
      <c r="L56" s="1">
        <f>+K56-J56</f>
        <v>-4.7747738184332839E-2</v>
      </c>
      <c r="M56" s="1">
        <v>-2.9667738184332802E-2</v>
      </c>
      <c r="N56" s="1">
        <f>+M56-J56</f>
        <v>-8.5747738184332789E-2</v>
      </c>
      <c r="O56">
        <v>2.2400000000000002</v>
      </c>
      <c r="P56" t="s">
        <v>16</v>
      </c>
      <c r="Q56">
        <v>0</v>
      </c>
      <c r="R56">
        <v>-2.5315553605556498E-2</v>
      </c>
      <c r="S56">
        <v>1.2511480599641501E-3</v>
      </c>
      <c r="T56">
        <v>-0.01</v>
      </c>
      <c r="V56" t="s">
        <v>71</v>
      </c>
      <c r="W56" s="3">
        <f>AVERAGEIF(A:A,V56,F:F)</f>
        <v>-2.4705882352941181E-3</v>
      </c>
      <c r="Y56" s="3"/>
    </row>
    <row r="57" spans="1:25" x14ac:dyDescent="0.3">
      <c r="A57" t="s">
        <v>20</v>
      </c>
      <c r="B57">
        <v>2009</v>
      </c>
      <c r="C57">
        <v>250232.5</v>
      </c>
      <c r="D57" s="1">
        <v>1E-3</v>
      </c>
      <c r="E57" s="1">
        <v>0.90047258138656605</v>
      </c>
      <c r="F57" s="1">
        <v>0.05</v>
      </c>
      <c r="G57" s="1">
        <f t="shared" si="0"/>
        <v>0.14100000000000001</v>
      </c>
      <c r="H57" s="1">
        <f t="shared" si="1"/>
        <v>7.3461290448904202E-3</v>
      </c>
      <c r="I57" s="1">
        <v>-6.0000000000000001E-3</v>
      </c>
      <c r="J57" s="1">
        <f>+D57-F57+I57*O57</f>
        <v>-6.3100000000000003E-2</v>
      </c>
      <c r="K57" s="1">
        <v>-2.9315553605556498E-2</v>
      </c>
      <c r="L57" s="1">
        <f>+K57-J57</f>
        <v>3.3784446394443501E-2</v>
      </c>
      <c r="M57" s="1">
        <v>-2.5315553605556498E-2</v>
      </c>
      <c r="N57" s="1">
        <f>+M57-J57</f>
        <v>3.7784446394443505E-2</v>
      </c>
      <c r="O57">
        <v>2.35</v>
      </c>
      <c r="P57" t="s">
        <v>17</v>
      </c>
      <c r="Q57">
        <v>0</v>
      </c>
      <c r="R57">
        <v>-1.33489418625831E-2</v>
      </c>
      <c r="S57">
        <v>-3.8888331037014701E-3</v>
      </c>
      <c r="T57">
        <v>0.03</v>
      </c>
      <c r="V57" t="s">
        <v>72</v>
      </c>
      <c r="W57" s="3">
        <f>AVERAGEIF(A:A,V57,F:F)</f>
        <v>5.2941176470588285E-4</v>
      </c>
      <c r="Y57" s="3"/>
    </row>
    <row r="58" spans="1:25" x14ac:dyDescent="0.3">
      <c r="A58" t="s">
        <v>20</v>
      </c>
      <c r="B58">
        <v>2010</v>
      </c>
      <c r="C58">
        <v>253668.70310000001</v>
      </c>
      <c r="D58" s="1">
        <v>0</v>
      </c>
      <c r="E58" s="1">
        <v>0.90407645702362105</v>
      </c>
      <c r="F58" s="1">
        <v>-4.5999999999999999E-2</v>
      </c>
      <c r="G58" s="1">
        <f t="shared" si="0"/>
        <v>9.5000000000000015E-2</v>
      </c>
      <c r="H58" s="1" t="str">
        <f t="shared" si="1"/>
        <v/>
      </c>
      <c r="I58" s="1">
        <v>4.0000000000000001E-3</v>
      </c>
      <c r="J58" s="1">
        <f>+D58-F58+I58*O58</f>
        <v>5.4960000000000002E-2</v>
      </c>
      <c r="K58" s="1">
        <v>2.65105813741684E-3</v>
      </c>
      <c r="L58" s="1">
        <f>+K58-J58</f>
        <v>-5.2308941862583162E-2</v>
      </c>
      <c r="M58" s="1">
        <v>-1.33489418625831E-2</v>
      </c>
      <c r="N58" s="1">
        <f>+M58-J58</f>
        <v>-6.83089418625831E-2</v>
      </c>
      <c r="O58">
        <v>2.2400000000000002</v>
      </c>
      <c r="P58" t="s">
        <v>17</v>
      </c>
      <c r="Q58">
        <v>0</v>
      </c>
      <c r="R58">
        <v>-1.9958800047635901E-2</v>
      </c>
      <c r="S58">
        <v>1.3249744661153E-3</v>
      </c>
      <c r="T58">
        <v>-0.05</v>
      </c>
      <c r="V58" t="s">
        <v>73</v>
      </c>
      <c r="W58" s="3">
        <f>AVERAGEIF(A:A,V58,F:F)</f>
        <v>-3.0588235294117644E-3</v>
      </c>
      <c r="Y58" s="3"/>
    </row>
    <row r="59" spans="1:25" x14ac:dyDescent="0.3">
      <c r="A59" t="s">
        <v>20</v>
      </c>
      <c r="B59">
        <v>2011</v>
      </c>
      <c r="C59">
        <v>256914.60939999999</v>
      </c>
      <c r="D59" s="1">
        <v>0</v>
      </c>
      <c r="E59" s="1">
        <v>0.90391284227371205</v>
      </c>
      <c r="F59" s="1">
        <v>2E-3</v>
      </c>
      <c r="G59" s="1">
        <f t="shared" si="0"/>
        <v>9.7000000000000017E-2</v>
      </c>
      <c r="H59" s="1" t="str">
        <f t="shared" si="1"/>
        <v/>
      </c>
      <c r="I59" s="1">
        <v>0</v>
      </c>
      <c r="J59" s="1">
        <f>+D59-F59+I59*O59</f>
        <v>-2E-3</v>
      </c>
      <c r="K59" s="1">
        <v>1.2041199952364001E-2</v>
      </c>
      <c r="L59" s="1">
        <f>+K59-J59</f>
        <v>1.4041199952364001E-2</v>
      </c>
      <c r="M59" s="1">
        <v>-1.9958800047635901E-2</v>
      </c>
      <c r="N59" s="1">
        <f>+M59-J59</f>
        <v>-1.7958800047635899E-2</v>
      </c>
      <c r="O59">
        <v>2.25</v>
      </c>
      <c r="P59" t="s">
        <v>17</v>
      </c>
      <c r="Q59">
        <v>0</v>
      </c>
      <c r="R59">
        <v>-4.3111893385649001E-3</v>
      </c>
      <c r="S59">
        <v>1.12701673060649E-3</v>
      </c>
      <c r="T59">
        <v>0</v>
      </c>
      <c r="V59" t="s">
        <v>74</v>
      </c>
      <c r="W59" s="3">
        <f>AVERAGEIF(A:A,V59,F:F)</f>
        <v>3.3529411764705894E-3</v>
      </c>
      <c r="Y59" s="3"/>
    </row>
    <row r="60" spans="1:25" x14ac:dyDescent="0.3">
      <c r="A60" t="s">
        <v>20</v>
      </c>
      <c r="B60">
        <v>2012</v>
      </c>
      <c r="C60">
        <v>258919.5938</v>
      </c>
      <c r="D60" s="1">
        <v>6.0000000000000001E-3</v>
      </c>
      <c r="E60" s="1">
        <v>0.90451043844223</v>
      </c>
      <c r="F60" s="1">
        <v>2.1999999999999999E-2</v>
      </c>
      <c r="G60" s="1">
        <f t="shared" si="0"/>
        <v>0.11900000000000002</v>
      </c>
      <c r="H60" s="1" t="str">
        <f t="shared" si="1"/>
        <v/>
      </c>
      <c r="I60" s="1">
        <v>1E-3</v>
      </c>
      <c r="J60" s="1">
        <f>+D60-F60+I60*O60</f>
        <v>-1.37E-2</v>
      </c>
      <c r="K60" s="1">
        <v>1.66888106614351E-2</v>
      </c>
      <c r="L60" s="1">
        <f>+K60-J60</f>
        <v>3.03888106614351E-2</v>
      </c>
      <c r="M60" s="1">
        <v>-4.3111893385649001E-3</v>
      </c>
      <c r="N60" s="1">
        <f>+M60-J60</f>
        <v>9.3888106614351003E-3</v>
      </c>
      <c r="O60">
        <v>2.2999999999999998</v>
      </c>
      <c r="P60" t="s">
        <v>15</v>
      </c>
      <c r="Q60">
        <v>0</v>
      </c>
      <c r="R60">
        <v>-5.1377840340139996E-4</v>
      </c>
      <c r="S60">
        <v>-6.6405497491359997E-3</v>
      </c>
      <c r="T60">
        <v>0.02</v>
      </c>
      <c r="V60" t="s">
        <v>75</v>
      </c>
      <c r="W60" s="3">
        <f>AVERAGEIF(A:A,V60,F:F)</f>
        <v>-1.5294117647058833E-3</v>
      </c>
      <c r="Y60" s="3"/>
    </row>
    <row r="61" spans="1:25" x14ac:dyDescent="0.3">
      <c r="A61" t="s">
        <v>20</v>
      </c>
      <c r="B61">
        <v>2013</v>
      </c>
      <c r="C61">
        <v>260501</v>
      </c>
      <c r="D61" s="1">
        <v>0.02</v>
      </c>
      <c r="E61" s="1">
        <v>0.90037417411804199</v>
      </c>
      <c r="F61" s="1">
        <v>9.0999999999999998E-2</v>
      </c>
      <c r="G61" s="1">
        <f t="shared" si="0"/>
        <v>0.21000000000000002</v>
      </c>
      <c r="H61" s="1">
        <f t="shared" si="1"/>
        <v>1.0254543391056336E-2</v>
      </c>
      <c r="I61" s="1">
        <v>-4.0000000000000001E-3</v>
      </c>
      <c r="J61" s="1">
        <f>+D61-F61+I61*O61</f>
        <v>-8.1039999999999987E-2</v>
      </c>
      <c r="K61" s="1">
        <v>1.4486221596598599E-2</v>
      </c>
      <c r="L61" s="1">
        <f>+K61-J61</f>
        <v>9.5526221596598584E-2</v>
      </c>
      <c r="M61" s="1">
        <v>-5.1377840340139996E-4</v>
      </c>
      <c r="N61" s="1">
        <f>+M61-J61</f>
        <v>8.0526221596598585E-2</v>
      </c>
      <c r="O61">
        <v>2.5099999999999998</v>
      </c>
      <c r="P61" t="s">
        <v>17</v>
      </c>
      <c r="Q61">
        <v>-0.01</v>
      </c>
      <c r="R61">
        <v>6.0507544875140003E-4</v>
      </c>
      <c r="S61">
        <v>-1.4029480516911E-3</v>
      </c>
      <c r="T61">
        <v>0.08</v>
      </c>
      <c r="V61" t="s">
        <v>76</v>
      </c>
      <c r="W61" s="3">
        <f>AVERAGEIF(A:A,V61,F:F)</f>
        <v>-4.2857142857142877E-3</v>
      </c>
      <c r="Y61" s="3"/>
    </row>
    <row r="62" spans="1:25" x14ac:dyDescent="0.3">
      <c r="A62" t="s">
        <v>20</v>
      </c>
      <c r="B62">
        <v>2014</v>
      </c>
      <c r="C62">
        <v>262482.3125</v>
      </c>
      <c r="D62" s="1">
        <v>1.7000000000000001E-2</v>
      </c>
      <c r="E62" s="1">
        <v>0.89598143100738503</v>
      </c>
      <c r="F62" s="1">
        <v>-2.8000000000000001E-2</v>
      </c>
      <c r="G62" s="1">
        <f t="shared" si="0"/>
        <v>0.18200000000000002</v>
      </c>
      <c r="H62" s="1">
        <f t="shared" si="1"/>
        <v>7.9772804165258848E-3</v>
      </c>
      <c r="I62" s="1">
        <v>-4.0000000000000001E-3</v>
      </c>
      <c r="J62" s="1">
        <f>+D62-F62+I62*O62</f>
        <v>3.524E-2</v>
      </c>
      <c r="K62" s="1">
        <v>1.6605075448751401E-2</v>
      </c>
      <c r="L62" s="1">
        <f>+K62-J62</f>
        <v>-1.8634924551248599E-2</v>
      </c>
      <c r="M62" s="1">
        <v>6.0507544875140003E-4</v>
      </c>
      <c r="N62" s="1">
        <f>+M62-J62</f>
        <v>-3.46349245512486E-2</v>
      </c>
      <c r="O62">
        <v>2.44</v>
      </c>
      <c r="P62" t="s">
        <v>16</v>
      </c>
      <c r="Q62">
        <v>0</v>
      </c>
      <c r="R62">
        <v>2.9040113333612702E-3</v>
      </c>
      <c r="S62">
        <v>-2.7359440689906402E-2</v>
      </c>
      <c r="T62">
        <v>-0.03</v>
      </c>
      <c r="V62" t="s">
        <v>77</v>
      </c>
      <c r="W62" s="3">
        <f>AVERAGEIF(A:A,V62,F:F)</f>
        <v>-1.5882352941176464E-3</v>
      </c>
      <c r="Y62" s="3"/>
    </row>
    <row r="63" spans="1:25" x14ac:dyDescent="0.3">
      <c r="A63" t="s">
        <v>20</v>
      </c>
      <c r="B63">
        <v>2015</v>
      </c>
      <c r="C63">
        <v>263689.3125</v>
      </c>
      <c r="D63" s="1">
        <v>6.6000000000000003E-2</v>
      </c>
      <c r="E63" s="1">
        <v>0.86821526288986195</v>
      </c>
      <c r="F63" s="1">
        <v>-5.1999999999999998E-2</v>
      </c>
      <c r="G63" s="1">
        <f t="shared" si="0"/>
        <v>0.13000000000000003</v>
      </c>
      <c r="H63" s="1">
        <f t="shared" si="1"/>
        <v>5.4942847345955496E-3</v>
      </c>
      <c r="I63" s="1">
        <v>-2.8000000000000001E-2</v>
      </c>
      <c r="J63" s="1">
        <f>+D63-F63+I63*O63</f>
        <v>5.3319999999999992E-2</v>
      </c>
      <c r="K63" s="1">
        <v>3.9040113333612702E-3</v>
      </c>
      <c r="L63" s="1">
        <f>+K63-J63</f>
        <v>-4.9415988666638724E-2</v>
      </c>
      <c r="M63" s="1">
        <v>2.9040113333612702E-3</v>
      </c>
      <c r="N63" s="1">
        <f>+M63-J63</f>
        <v>-5.0415988666638725E-2</v>
      </c>
      <c r="O63">
        <v>2.31</v>
      </c>
      <c r="P63" t="s">
        <v>16</v>
      </c>
      <c r="Q63">
        <v>-0.03</v>
      </c>
      <c r="R63">
        <v>-9.4945050030949903E-4</v>
      </c>
      <c r="S63">
        <v>-1.41030075028539E-2</v>
      </c>
      <c r="T63">
        <v>-0.04</v>
      </c>
      <c r="V63" t="s">
        <v>78</v>
      </c>
      <c r="W63" s="3">
        <f>AVERAGEIF(A:A,V63,F:F)</f>
        <v>-1.7647058823529419E-3</v>
      </c>
      <c r="Y63" s="3"/>
    </row>
    <row r="64" spans="1:25" x14ac:dyDescent="0.3">
      <c r="A64" t="s">
        <v>20</v>
      </c>
      <c r="B64">
        <v>2016</v>
      </c>
      <c r="C64">
        <v>265262.21879999997</v>
      </c>
      <c r="D64" s="1">
        <v>1.4999999999999999E-2</v>
      </c>
      <c r="E64" s="1">
        <v>0.85664898157119795</v>
      </c>
      <c r="F64" s="1">
        <v>0.05</v>
      </c>
      <c r="G64" s="1">
        <f t="shared" si="0"/>
        <v>0.18000000000000005</v>
      </c>
      <c r="H64" s="1">
        <f t="shared" si="1"/>
        <v>1.133192313136535E-2</v>
      </c>
      <c r="I64" s="1">
        <v>-1.2E-2</v>
      </c>
      <c r="J64" s="1">
        <f>+D64-F64+I64*O64</f>
        <v>-6.404E-2</v>
      </c>
      <c r="K64" s="1">
        <v>1.20505494996905E-2</v>
      </c>
      <c r="L64" s="1">
        <f>+K64-J64</f>
        <v>7.6090549499690505E-2</v>
      </c>
      <c r="M64" s="1">
        <v>-9.4945050030949903E-4</v>
      </c>
      <c r="N64" s="1">
        <f>+M64-J64</f>
        <v>6.3090549499690507E-2</v>
      </c>
      <c r="O64">
        <v>2.42</v>
      </c>
      <c r="P64" t="s">
        <v>17</v>
      </c>
      <c r="Q64">
        <v>-0.01</v>
      </c>
      <c r="R64">
        <v>-2.20619800304994E-2</v>
      </c>
      <c r="S64">
        <v>-2.48515534913166E-2</v>
      </c>
      <c r="T64">
        <v>0.05</v>
      </c>
      <c r="V64" t="s">
        <v>79</v>
      </c>
      <c r="W64" s="3">
        <f>AVERAGEIF(A:A,V64,F:F)</f>
        <v>5.2941176470588198E-4</v>
      </c>
      <c r="Y64" s="3"/>
    </row>
    <row r="65" spans="1:25" x14ac:dyDescent="0.3">
      <c r="A65" t="s">
        <v>20</v>
      </c>
      <c r="B65">
        <v>2017</v>
      </c>
      <c r="C65">
        <v>266460.6875</v>
      </c>
      <c r="D65" s="1">
        <v>-2E-3</v>
      </c>
      <c r="E65" s="1">
        <v>0.850566446781158</v>
      </c>
      <c r="F65" s="1">
        <v>-1.7000000000000001E-2</v>
      </c>
      <c r="G65" s="1">
        <f t="shared" si="0"/>
        <v>0.16300000000000003</v>
      </c>
      <c r="H65" s="1">
        <f t="shared" si="1"/>
        <v>2.8702957555651699E-2</v>
      </c>
      <c r="I65" s="1">
        <v>-6.0000000000000001E-3</v>
      </c>
      <c r="J65" s="1">
        <f>+D65-F65+I65*O65</f>
        <v>7.2000000000000189E-4</v>
      </c>
      <c r="K65" s="1">
        <v>-1.0619800304994E-3</v>
      </c>
      <c r="L65" s="1">
        <f>+K65-J65</f>
        <v>-1.7819800304994019E-3</v>
      </c>
      <c r="M65" s="1">
        <v>-2.20619800304994E-2</v>
      </c>
      <c r="N65" s="1">
        <f>+M65-J65</f>
        <v>-2.2781980030499402E-2</v>
      </c>
      <c r="O65">
        <v>2.38</v>
      </c>
      <c r="P65" t="s">
        <v>16</v>
      </c>
      <c r="Q65">
        <v>-0.02</v>
      </c>
      <c r="R65">
        <v>-2.74173706769902E-4</v>
      </c>
      <c r="S65">
        <v>-9.4091966748236899E-3</v>
      </c>
      <c r="T65">
        <v>-0.01</v>
      </c>
      <c r="V65" t="s">
        <v>80</v>
      </c>
      <c r="W65" s="3">
        <f>AVERAGEIF(A:A,V65,F:F)</f>
        <v>-4.1176470588235291E-4</v>
      </c>
      <c r="Y65" s="3"/>
    </row>
    <row r="66" spans="1:25" x14ac:dyDescent="0.3">
      <c r="A66" t="s">
        <v>20</v>
      </c>
      <c r="B66">
        <v>2018</v>
      </c>
      <c r="C66">
        <v>266793.21879999997</v>
      </c>
      <c r="D66" s="1">
        <v>0</v>
      </c>
      <c r="E66" s="1">
        <v>0.86155074834823597</v>
      </c>
      <c r="F66" s="1">
        <v>-6.6000000000000003E-2</v>
      </c>
      <c r="G66" s="1">
        <f t="shared" si="0"/>
        <v>9.7000000000000031E-2</v>
      </c>
      <c r="H66" s="1" t="str">
        <f t="shared" si="1"/>
        <v/>
      </c>
      <c r="I66" s="1">
        <v>1.0999999999999999E-2</v>
      </c>
      <c r="J66" s="1">
        <f>+D66-F66+I66*O66</f>
        <v>9.042E-2</v>
      </c>
      <c r="K66" s="1">
        <v>2.3725826293230098E-2</v>
      </c>
      <c r="L66" s="1">
        <f>+K66-J66</f>
        <v>-6.6694173706769902E-2</v>
      </c>
      <c r="M66" s="1">
        <v>-2.74173706769902E-4</v>
      </c>
      <c r="N66" s="1">
        <f>+M66-J66</f>
        <v>-9.0694173706769896E-2</v>
      </c>
      <c r="O66">
        <v>2.2200000000000002</v>
      </c>
      <c r="P66" t="s">
        <v>17</v>
      </c>
      <c r="Q66">
        <v>-0.01</v>
      </c>
      <c r="R66">
        <v>1.5680088818073298E-2</v>
      </c>
      <c r="S66">
        <v>-2.1211057901382E-3</v>
      </c>
      <c r="T66">
        <v>-0.06</v>
      </c>
      <c r="V66" t="s">
        <v>81</v>
      </c>
      <c r="W66" s="3">
        <f>AVERAGEIF(A:A,V66,F:F)</f>
        <v>-3.5294117647058772E-4</v>
      </c>
      <c r="Y66" s="3"/>
    </row>
    <row r="67" spans="1:25" x14ac:dyDescent="0.3">
      <c r="A67" t="s">
        <v>20</v>
      </c>
      <c r="B67">
        <v>2019</v>
      </c>
      <c r="C67">
        <v>267779.5</v>
      </c>
      <c r="D67" s="1">
        <v>0</v>
      </c>
      <c r="E67" s="1">
        <v>0.84440815448760997</v>
      </c>
      <c r="F67" s="1">
        <v>-7.0000000000000001E-3</v>
      </c>
      <c r="G67" s="1">
        <f t="shared" si="0"/>
        <v>9.0000000000000024E-2</v>
      </c>
      <c r="H67" s="1" t="str">
        <f t="shared" si="1"/>
        <v/>
      </c>
      <c r="I67" s="1">
        <v>-1.7000000000000001E-2</v>
      </c>
      <c r="J67" s="1">
        <f>+D67-F67+I67*O67</f>
        <v>-3.057E-2</v>
      </c>
      <c r="K67" s="1">
        <v>3.36800888180733E-2</v>
      </c>
      <c r="L67" s="1">
        <f>+K67-J67</f>
        <v>6.42500888180733E-2</v>
      </c>
      <c r="M67" s="1">
        <v>1.5680088818073298E-2</v>
      </c>
      <c r="N67" s="1">
        <f>+M67-J67</f>
        <v>4.6250088818073298E-2</v>
      </c>
      <c r="O67">
        <v>2.21</v>
      </c>
      <c r="P67" t="s">
        <v>16</v>
      </c>
      <c r="Q67">
        <v>0</v>
      </c>
      <c r="R67">
        <v>6.7970120459794996E-3</v>
      </c>
      <c r="S67">
        <v>-1.20521783828735E-2</v>
      </c>
      <c r="T67">
        <v>0</v>
      </c>
      <c r="V67" t="s">
        <v>82</v>
      </c>
      <c r="W67" s="3">
        <f>AVERAGEIF(A:A,V67,F:F)</f>
        <v>-4.7058823529411761E-3</v>
      </c>
      <c r="Y67" s="3"/>
    </row>
    <row r="68" spans="1:25" x14ac:dyDescent="0.3">
      <c r="A68" t="s">
        <v>20</v>
      </c>
      <c r="B68">
        <v>2020</v>
      </c>
      <c r="C68">
        <v>269244.28129999997</v>
      </c>
      <c r="D68" s="1">
        <v>5.0000000000000001E-3</v>
      </c>
      <c r="E68" s="1">
        <v>0.88618129491805997</v>
      </c>
      <c r="F68" s="1">
        <v>-7.0000000000000001E-3</v>
      </c>
      <c r="G68" s="1">
        <f t="shared" si="0"/>
        <v>8.3000000000000018E-2</v>
      </c>
      <c r="H68" s="1" t="str">
        <f t="shared" si="1"/>
        <v/>
      </c>
      <c r="I68" s="1">
        <v>4.2000000000000003E-2</v>
      </c>
      <c r="J68" s="1">
        <f>+D68-F68+I68*O68</f>
        <v>0.10398</v>
      </c>
      <c r="K68" s="1">
        <v>1.87970120459795E-2</v>
      </c>
      <c r="L68" s="1">
        <f>+K68-J68</f>
        <v>-8.5182987954020503E-2</v>
      </c>
      <c r="M68" s="1">
        <v>6.7970120459794996E-3</v>
      </c>
      <c r="N68" s="1">
        <f>+M68-J68</f>
        <v>-9.71829879540205E-2</v>
      </c>
      <c r="O68">
        <v>2.19</v>
      </c>
      <c r="P68" t="s">
        <v>17</v>
      </c>
      <c r="Q68">
        <v>-0.01</v>
      </c>
      <c r="R68">
        <v>4.7917118549346799E-2</v>
      </c>
      <c r="S68">
        <v>4.32750582694999E-3</v>
      </c>
      <c r="T68">
        <v>0.03</v>
      </c>
      <c r="V68" t="s">
        <v>83</v>
      </c>
      <c r="W68" s="3">
        <f>AVERAGEIF(A:A,V68,F:F)</f>
        <v>-7.0588235294117608E-4</v>
      </c>
      <c r="Y68" s="3"/>
    </row>
    <row r="69" spans="1:25" x14ac:dyDescent="0.3">
      <c r="A69" t="s">
        <v>20</v>
      </c>
      <c r="B69">
        <v>2021</v>
      </c>
      <c r="C69">
        <v>270021.3125</v>
      </c>
      <c r="D69" s="1">
        <v>1E-3</v>
      </c>
      <c r="E69" s="1">
        <v>0.90664732456207298</v>
      </c>
      <c r="F69" s="1">
        <v>1.7999999999999999E-2</v>
      </c>
      <c r="G69" s="1">
        <f t="shared" si="0"/>
        <v>0.10100000000000002</v>
      </c>
      <c r="H69" s="1" t="str">
        <f t="shared" si="1"/>
        <v/>
      </c>
      <c r="I69" s="1">
        <v>0.02</v>
      </c>
      <c r="J69" s="1">
        <f>+D69-F69+I69*O69</f>
        <v>2.7600000000000003E-2</v>
      </c>
      <c r="K69" s="1">
        <v>9.4917118549346896E-2</v>
      </c>
      <c r="L69" s="1">
        <f>+K69-J69</f>
        <v>6.7317118549346897E-2</v>
      </c>
      <c r="M69" s="1">
        <v>4.7917118549346799E-2</v>
      </c>
      <c r="N69" s="1">
        <f>+M69-J69</f>
        <v>2.0317118549346796E-2</v>
      </c>
      <c r="O69">
        <v>2.23</v>
      </c>
      <c r="P69" t="s">
        <v>15</v>
      </c>
      <c r="Q69">
        <v>0</v>
      </c>
      <c r="R69">
        <v>-1.42957586050034E-2</v>
      </c>
      <c r="S69">
        <v>1.7807748168706901E-2</v>
      </c>
      <c r="T69">
        <v>-0.01</v>
      </c>
      <c r="V69" t="s">
        <v>84</v>
      </c>
      <c r="W69" s="3">
        <f>AVERAGEIF(A:A,V69,F:F)</f>
        <v>-3.2352941176470593E-3</v>
      </c>
      <c r="Y69" s="3"/>
    </row>
    <row r="70" spans="1:25" x14ac:dyDescent="0.3">
      <c r="A70" t="s">
        <v>20</v>
      </c>
      <c r="B70">
        <v>2022</v>
      </c>
      <c r="C70">
        <v>271259.40629999997</v>
      </c>
      <c r="D70" s="1">
        <v>0</v>
      </c>
      <c r="E70" s="1">
        <v>0.88434898853302002</v>
      </c>
      <c r="F70" s="1">
        <v>-3.3000000000000002E-2</v>
      </c>
      <c r="G70" s="1">
        <f t="shared" si="0"/>
        <v>6.8000000000000019E-2</v>
      </c>
      <c r="H70" s="1" t="str">
        <f t="shared" si="1"/>
        <v/>
      </c>
      <c r="I70" s="1">
        <v>-2.1999999999999999E-2</v>
      </c>
      <c r="J70" s="1">
        <f>+D70-F70+I70*O70</f>
        <v>-1.4519999999999998E-2</v>
      </c>
      <c r="K70" s="1">
        <v>6.5704241394996601E-2</v>
      </c>
      <c r="L70" s="1">
        <f>+K70-J70</f>
        <v>8.0224241394996593E-2</v>
      </c>
      <c r="M70" s="1">
        <v>-1.42957586050034E-2</v>
      </c>
      <c r="N70" s="1">
        <f>+M70-J70</f>
        <v>2.2424139499659795E-4</v>
      </c>
      <c r="O70">
        <v>2.16</v>
      </c>
      <c r="P70" t="s">
        <v>16</v>
      </c>
      <c r="Q70">
        <v>0.02</v>
      </c>
      <c r="R70">
        <v>-1.57507888823748E-2</v>
      </c>
      <c r="S70">
        <v>3.8081388920544901E-3</v>
      </c>
      <c r="T70">
        <v>-0.02</v>
      </c>
      <c r="V70" t="s">
        <v>85</v>
      </c>
      <c r="W70" s="3">
        <f>AVERAGEIF(A:A,V70,F:F)</f>
        <v>1.5882352941176475E-3</v>
      </c>
      <c r="Y70" s="3"/>
    </row>
    <row r="71" spans="1:25" x14ac:dyDescent="0.3">
      <c r="A71" t="s">
        <v>21</v>
      </c>
      <c r="B71">
        <v>2006</v>
      </c>
      <c r="C71">
        <v>359066.8125</v>
      </c>
      <c r="D71" s="1">
        <v>2.4E-2</v>
      </c>
      <c r="E71" s="1">
        <v>0.95300459861755404</v>
      </c>
      <c r="F71" s="1">
        <v>2.4E-2</v>
      </c>
      <c r="G71" s="1">
        <f t="shared" ref="G71:G134" si="2">SUMIFS(F:F,A:A,A71,B:B,"&lt;="&amp;B71)</f>
        <v>2.4E-2</v>
      </c>
      <c r="H71" s="1" t="str">
        <f t="shared" ref="H71:H134" si="3">IFERROR(IF(ABS(G71)&gt;0.12,AVERAGEIFS(K:K,A:A,A71,B:B,"&gt;"&amp;B71,B:B,"&lt;"&amp;B71+3),""),"")</f>
        <v/>
      </c>
      <c r="I71" s="1">
        <v>4.0000000000000001E-3</v>
      </c>
      <c r="J71" s="1">
        <f>+D71-F71+I71*O71</f>
        <v>9.5600000000000008E-3</v>
      </c>
      <c r="K71" s="1">
        <v>6.1211522668600103E-2</v>
      </c>
      <c r="L71" s="1">
        <f>+K71-J71</f>
        <v>5.1651522668600104E-2</v>
      </c>
      <c r="M71" s="1">
        <v>2.9211522668600099E-2</v>
      </c>
      <c r="N71" s="1">
        <f>+M71-J71</f>
        <v>1.9651522668600097E-2</v>
      </c>
      <c r="O71">
        <v>2.39</v>
      </c>
      <c r="P71" t="s">
        <v>15</v>
      </c>
      <c r="Q71">
        <v>0.02</v>
      </c>
      <c r="R71">
        <v>1.9733148723840601E-2</v>
      </c>
      <c r="S71">
        <v>2.0654904656112201E-2</v>
      </c>
      <c r="T71">
        <v>0.02</v>
      </c>
      <c r="V71" t="s">
        <v>86</v>
      </c>
      <c r="W71" s="3">
        <f>AVERAGEIF(A:A,V71,F:F)</f>
        <v>-1.9411764705882346E-3</v>
      </c>
      <c r="Y71" s="3"/>
    </row>
    <row r="72" spans="1:25" x14ac:dyDescent="0.3">
      <c r="A72" t="s">
        <v>21</v>
      </c>
      <c r="B72">
        <v>2007</v>
      </c>
      <c r="C72">
        <v>361551.40629999997</v>
      </c>
      <c r="D72" s="1">
        <v>0.01</v>
      </c>
      <c r="E72" s="1">
        <v>0.95352858304977395</v>
      </c>
      <c r="F72" s="1">
        <v>5.2999999999999999E-2</v>
      </c>
      <c r="G72" s="1">
        <f t="shared" si="2"/>
        <v>7.6999999999999999E-2</v>
      </c>
      <c r="H72" s="1" t="str">
        <f t="shared" si="3"/>
        <v/>
      </c>
      <c r="I72" s="1">
        <v>1E-3</v>
      </c>
      <c r="J72" s="1">
        <f>+D72-F72+I72*O72</f>
        <v>-4.0479999999999995E-2</v>
      </c>
      <c r="K72" s="1">
        <v>4.87331487238407E-2</v>
      </c>
      <c r="L72" s="1">
        <f>+K72-J72</f>
        <v>8.9213148723840702E-2</v>
      </c>
      <c r="M72" s="1">
        <v>1.9733148723840601E-2</v>
      </c>
      <c r="N72" s="1">
        <f>+M72-J72</f>
        <v>6.0213148723840593E-2</v>
      </c>
      <c r="O72">
        <v>2.52</v>
      </c>
      <c r="P72" t="s">
        <v>15</v>
      </c>
      <c r="Q72">
        <v>0.02</v>
      </c>
      <c r="R72">
        <v>-2.9409990936517701E-2</v>
      </c>
      <c r="S72">
        <v>1.00813340395682E-4</v>
      </c>
      <c r="T72">
        <v>0.05</v>
      </c>
      <c r="V72" t="s">
        <v>87</v>
      </c>
      <c r="W72" s="3">
        <f>AVERAGEIF(A:A,V72,F:F)</f>
        <v>-4.7058823529411826E-4</v>
      </c>
      <c r="Y72" s="3"/>
    </row>
    <row r="73" spans="1:25" x14ac:dyDescent="0.3">
      <c r="A73" t="s">
        <v>21</v>
      </c>
      <c r="B73">
        <v>2008</v>
      </c>
      <c r="C73">
        <v>367880.875</v>
      </c>
      <c r="D73" s="1">
        <v>1E-3</v>
      </c>
      <c r="E73" s="1">
        <v>0.94625997543335005</v>
      </c>
      <c r="F73" s="1">
        <v>-7.3999999999999996E-2</v>
      </c>
      <c r="G73" s="1">
        <f t="shared" si="2"/>
        <v>3.0000000000000027E-3</v>
      </c>
      <c r="H73" s="1" t="str">
        <f t="shared" si="3"/>
        <v/>
      </c>
      <c r="I73" s="1">
        <v>-7.0000000000000001E-3</v>
      </c>
      <c r="J73" s="1">
        <f>+D73-F73+I73*O73</f>
        <v>5.8689999999999992E-2</v>
      </c>
      <c r="K73" s="1">
        <v>8.5900090634822793E-3</v>
      </c>
      <c r="L73" s="1">
        <f>+K73-J73</f>
        <v>-5.0099990936517715E-2</v>
      </c>
      <c r="M73" s="1">
        <v>-2.9409990936517701E-2</v>
      </c>
      <c r="N73" s="1">
        <f>+M73-J73</f>
        <v>-8.8099990936517686E-2</v>
      </c>
      <c r="O73">
        <v>2.33</v>
      </c>
      <c r="P73" t="s">
        <v>16</v>
      </c>
      <c r="Q73">
        <v>0</v>
      </c>
      <c r="R73">
        <v>-6.0613200724124801E-2</v>
      </c>
      <c r="S73">
        <v>-3.4046499058604199E-2</v>
      </c>
      <c r="T73">
        <v>-0.08</v>
      </c>
      <c r="V73" t="s">
        <v>88</v>
      </c>
      <c r="W73" s="3">
        <f>AVERAGEIF(A:A,V73,F:F)</f>
        <v>-4.8235294117647065E-3</v>
      </c>
      <c r="Y73" s="3"/>
    </row>
    <row r="74" spans="1:25" x14ac:dyDescent="0.3">
      <c r="A74" t="s">
        <v>21</v>
      </c>
      <c r="B74">
        <v>2009</v>
      </c>
      <c r="C74">
        <v>376824.40629999997</v>
      </c>
      <c r="D74" s="1">
        <v>-3.0000000000000001E-3</v>
      </c>
      <c r="E74" s="1">
        <v>0.93942481279373202</v>
      </c>
      <c r="F74" s="1">
        <v>4.2000000000000003E-2</v>
      </c>
      <c r="G74" s="1">
        <f t="shared" si="2"/>
        <v>4.5000000000000005E-2</v>
      </c>
      <c r="H74" s="1" t="str">
        <f t="shared" si="3"/>
        <v/>
      </c>
      <c r="I74" s="1">
        <v>-7.0000000000000001E-3</v>
      </c>
      <c r="J74" s="1">
        <f>+D74-F74+I74*O74</f>
        <v>-6.201000000000001E-2</v>
      </c>
      <c r="K74" s="1">
        <v>-6.4613200724124895E-2</v>
      </c>
      <c r="L74" s="1">
        <f>+K74-J74</f>
        <v>-2.603200724124885E-3</v>
      </c>
      <c r="M74" s="1">
        <v>-6.0613200724124801E-2</v>
      </c>
      <c r="N74" s="1">
        <f>+M74-J74</f>
        <v>1.3967992758752087E-3</v>
      </c>
      <c r="O74">
        <v>2.4300000000000002</v>
      </c>
      <c r="P74" t="s">
        <v>17</v>
      </c>
      <c r="Q74">
        <v>-0.03</v>
      </c>
      <c r="R74">
        <v>-8.5077822990715507E-3</v>
      </c>
      <c r="S74">
        <v>9.5232645981013395E-4</v>
      </c>
      <c r="T74">
        <v>0.02</v>
      </c>
      <c r="V74" t="s">
        <v>89</v>
      </c>
      <c r="W74" s="3">
        <f>AVERAGEIF(A:A,V74,F:F)</f>
        <v>1.1176470588235292E-3</v>
      </c>
      <c r="Y74" s="3"/>
    </row>
    <row r="75" spans="1:25" x14ac:dyDescent="0.3">
      <c r="A75" t="s">
        <v>21</v>
      </c>
      <c r="B75">
        <v>2010</v>
      </c>
      <c r="C75">
        <v>384787.90629999997</v>
      </c>
      <c r="D75" s="1">
        <v>1E-3</v>
      </c>
      <c r="E75" s="1">
        <v>0.94402372837066695</v>
      </c>
      <c r="F75" s="1">
        <v>1.7000000000000001E-2</v>
      </c>
      <c r="G75" s="1">
        <f t="shared" si="2"/>
        <v>6.2000000000000006E-2</v>
      </c>
      <c r="H75" s="1" t="str">
        <f t="shared" si="3"/>
        <v/>
      </c>
      <c r="I75" s="1">
        <v>5.0000000000000001E-3</v>
      </c>
      <c r="J75" s="1">
        <f>+D75-F75+I75*O75</f>
        <v>-3.6499999999999987E-3</v>
      </c>
      <c r="K75" s="1">
        <v>7.4922177009284496E-3</v>
      </c>
      <c r="L75" s="1">
        <f>+K75-J75</f>
        <v>1.1142217700928448E-2</v>
      </c>
      <c r="M75" s="1">
        <v>-8.5077822990715507E-3</v>
      </c>
      <c r="N75" s="1">
        <f>+M75-J75</f>
        <v>-4.857782299071552E-3</v>
      </c>
      <c r="O75">
        <v>2.4700000000000002</v>
      </c>
      <c r="P75" t="s">
        <v>15</v>
      </c>
      <c r="Q75">
        <v>0</v>
      </c>
      <c r="R75">
        <v>-2.09712296426296E-2</v>
      </c>
      <c r="S75">
        <v>3.1254487112169702E-4</v>
      </c>
      <c r="T75">
        <v>0.01</v>
      </c>
      <c r="V75" t="s">
        <v>90</v>
      </c>
      <c r="W75" s="3">
        <f>AVERAGEIF(A:A,V75,F:F)</f>
        <v>-3.5882352941176486E-3</v>
      </c>
      <c r="Y75" s="3"/>
    </row>
    <row r="76" spans="1:25" x14ac:dyDescent="0.3">
      <c r="A76" t="s">
        <v>21</v>
      </c>
      <c r="B76">
        <v>2011</v>
      </c>
      <c r="C76">
        <v>389558.5</v>
      </c>
      <c r="D76" s="1">
        <v>0</v>
      </c>
      <c r="E76" s="1">
        <v>0.94256240129470803</v>
      </c>
      <c r="F76" s="1">
        <v>-6.2E-2</v>
      </c>
      <c r="G76" s="1">
        <f t="shared" si="2"/>
        <v>6.9388939039072284E-18</v>
      </c>
      <c r="H76" s="1" t="str">
        <f t="shared" si="3"/>
        <v/>
      </c>
      <c r="I76" s="1">
        <v>-1E-3</v>
      </c>
      <c r="J76" s="1">
        <f>+D76-F76+I76*O76</f>
        <v>5.9679999999999997E-2</v>
      </c>
      <c r="K76" s="1">
        <v>1.1028770357370399E-2</v>
      </c>
      <c r="L76" s="1">
        <f>+K76-J76</f>
        <v>-4.86512296426296E-2</v>
      </c>
      <c r="M76" s="1">
        <v>-2.09712296426296E-2</v>
      </c>
      <c r="N76" s="1">
        <f>+M76-J76</f>
        <v>-8.0651229642629593E-2</v>
      </c>
      <c r="O76">
        <v>2.3199999999999998</v>
      </c>
      <c r="P76" t="s">
        <v>16</v>
      </c>
      <c r="Q76">
        <v>0</v>
      </c>
      <c r="R76">
        <v>1.63141423463819E-3</v>
      </c>
      <c r="S76">
        <v>7.0696203038095899E-3</v>
      </c>
      <c r="T76">
        <v>-0.06</v>
      </c>
      <c r="V76" t="s">
        <v>91</v>
      </c>
      <c r="W76" s="3">
        <f>AVERAGEIF(A:A,V76,F:F)</f>
        <v>-3.4705882352941177E-3</v>
      </c>
      <c r="Y76" s="3"/>
    </row>
    <row r="77" spans="1:25" x14ac:dyDescent="0.3">
      <c r="A77" t="s">
        <v>21</v>
      </c>
      <c r="B77">
        <v>2012</v>
      </c>
      <c r="C77">
        <v>394062.28129999997</v>
      </c>
      <c r="D77" s="1">
        <v>2E-3</v>
      </c>
      <c r="E77" s="1">
        <v>0.94151955842971802</v>
      </c>
      <c r="F77" s="1">
        <v>7.8E-2</v>
      </c>
      <c r="G77" s="1">
        <f t="shared" si="2"/>
        <v>7.8000000000000014E-2</v>
      </c>
      <c r="H77" s="1" t="str">
        <f t="shared" si="3"/>
        <v/>
      </c>
      <c r="I77" s="1">
        <v>-1E-3</v>
      </c>
      <c r="J77" s="1">
        <f>+D77-F77+I77*O77</f>
        <v>-7.85E-2</v>
      </c>
      <c r="K77" s="1">
        <v>2.26314142346382E-2</v>
      </c>
      <c r="L77" s="1">
        <f>+K77-J77</f>
        <v>0.1011314142346382</v>
      </c>
      <c r="M77" s="1">
        <v>1.63141423463819E-3</v>
      </c>
      <c r="N77" s="1">
        <f>+M77-J77</f>
        <v>8.0131414234638196E-2</v>
      </c>
      <c r="O77">
        <v>2.5</v>
      </c>
      <c r="P77" t="s">
        <v>17</v>
      </c>
      <c r="Q77">
        <v>0.01</v>
      </c>
      <c r="R77">
        <v>4.9622232466936004E-3</v>
      </c>
      <c r="S77">
        <v>-1.1645480990409901E-3</v>
      </c>
      <c r="T77">
        <v>7.0000000000000007E-2</v>
      </c>
      <c r="V77" t="s">
        <v>92</v>
      </c>
      <c r="W77" s="3">
        <f>AVERAGEIF(A:A,V77,F:F)</f>
        <v>3.0000000000000027E-3</v>
      </c>
      <c r="Y77" s="3"/>
    </row>
    <row r="78" spans="1:25" x14ac:dyDescent="0.3">
      <c r="A78" t="s">
        <v>21</v>
      </c>
      <c r="B78">
        <v>2013</v>
      </c>
      <c r="C78">
        <v>398276.625</v>
      </c>
      <c r="D78" s="1">
        <v>-2E-3</v>
      </c>
      <c r="E78" s="1">
        <v>0.94581156969070401</v>
      </c>
      <c r="F78" s="1">
        <v>-1E-3</v>
      </c>
      <c r="G78" s="1">
        <f t="shared" si="2"/>
        <v>7.7000000000000013E-2</v>
      </c>
      <c r="H78" s="1" t="str">
        <f t="shared" si="3"/>
        <v/>
      </c>
      <c r="I78" s="1">
        <v>4.0000000000000001E-3</v>
      </c>
      <c r="J78" s="1">
        <f>+D78-F78+I78*O78</f>
        <v>9.0000000000000011E-3</v>
      </c>
      <c r="K78" s="1">
        <v>1.9962223246693601E-2</v>
      </c>
      <c r="L78" s="1">
        <f>+K78-J78</f>
        <v>1.09622232466936E-2</v>
      </c>
      <c r="M78" s="1">
        <v>4.9622232466936004E-3</v>
      </c>
      <c r="N78" s="1">
        <f>+M78-J78</f>
        <v>-4.0377767533064006E-3</v>
      </c>
      <c r="O78">
        <v>2.5</v>
      </c>
      <c r="P78" t="s">
        <v>17</v>
      </c>
      <c r="Q78">
        <v>0</v>
      </c>
      <c r="R78">
        <v>-3.7871163189411002E-3</v>
      </c>
      <c r="S78">
        <v>-5.7951398193836004E-3</v>
      </c>
      <c r="T78">
        <v>-0.01</v>
      </c>
      <c r="V78" t="s">
        <v>93</v>
      </c>
      <c r="W78" s="3">
        <f>AVERAGEIF(A:A,V78,F:F)</f>
        <v>-6.6E-3</v>
      </c>
      <c r="Y78" s="3"/>
    </row>
    <row r="79" spans="1:25" x14ac:dyDescent="0.3">
      <c r="A79" t="s">
        <v>21</v>
      </c>
      <c r="B79">
        <v>2014</v>
      </c>
      <c r="C79">
        <v>399384.1875</v>
      </c>
      <c r="D79" s="1">
        <v>5.0000000000000001E-3</v>
      </c>
      <c r="E79" s="1">
        <v>0.94402050971984897</v>
      </c>
      <c r="F79" s="1">
        <v>-0.06</v>
      </c>
      <c r="G79" s="1">
        <f t="shared" si="2"/>
        <v>1.7000000000000015E-2</v>
      </c>
      <c r="H79" s="1" t="str">
        <f t="shared" si="3"/>
        <v/>
      </c>
      <c r="I79" s="1">
        <v>-2E-3</v>
      </c>
      <c r="J79" s="1">
        <f>+D79-F79+I79*O79</f>
        <v>6.0299999999999999E-2</v>
      </c>
      <c r="K79" s="1">
        <v>1.2212883681058899E-2</v>
      </c>
      <c r="L79" s="1">
        <f>+K79-J79</f>
        <v>-4.8087116318941102E-2</v>
      </c>
      <c r="M79" s="1">
        <v>-3.7871163189411002E-3</v>
      </c>
      <c r="N79" s="1">
        <f>+M79-J79</f>
        <v>-6.4087116318941095E-2</v>
      </c>
      <c r="O79">
        <v>2.35</v>
      </c>
      <c r="P79" t="s">
        <v>16</v>
      </c>
      <c r="Q79">
        <v>-0.01</v>
      </c>
      <c r="R79">
        <v>2.2563179265707701E-3</v>
      </c>
      <c r="S79">
        <v>-2.80071340966969E-2</v>
      </c>
      <c r="T79">
        <v>-0.06</v>
      </c>
      <c r="V79" t="s">
        <v>94</v>
      </c>
      <c r="W79" s="3">
        <f>AVERAGEIF(A:A,V79,F:F)</f>
        <v>-1.4117647058823535E-3</v>
      </c>
      <c r="Y79" s="3"/>
    </row>
    <row r="80" spans="1:25" x14ac:dyDescent="0.3">
      <c r="A80" t="s">
        <v>21</v>
      </c>
      <c r="B80">
        <v>2015</v>
      </c>
      <c r="C80">
        <v>400652.71879999997</v>
      </c>
      <c r="D80" s="1">
        <v>5.0000000000000001E-3</v>
      </c>
      <c r="E80" s="1">
        <v>0.94608199596404996</v>
      </c>
      <c r="F80" s="1">
        <v>3.9E-2</v>
      </c>
      <c r="G80" s="1">
        <f t="shared" si="2"/>
        <v>5.6000000000000015E-2</v>
      </c>
      <c r="H80" s="1" t="str">
        <f t="shared" si="3"/>
        <v/>
      </c>
      <c r="I80" s="1">
        <v>2E-3</v>
      </c>
      <c r="J80" s="1">
        <f>+D80-F80+I80*O80</f>
        <v>-2.9120000000000004E-2</v>
      </c>
      <c r="K80" s="1">
        <v>3.2563179265707701E-3</v>
      </c>
      <c r="L80" s="1">
        <f>+K80-J80</f>
        <v>3.2376317926570773E-2</v>
      </c>
      <c r="M80" s="1">
        <v>2.2563179265707701E-3</v>
      </c>
      <c r="N80" s="1">
        <f>+M80-J80</f>
        <v>3.1376317926570772E-2</v>
      </c>
      <c r="O80">
        <v>2.44</v>
      </c>
      <c r="P80" t="s">
        <v>15</v>
      </c>
      <c r="Q80">
        <v>-0.03</v>
      </c>
      <c r="R80">
        <v>-7.4876855790615093E-2</v>
      </c>
      <c r="S80">
        <v>-8.8030412793159499E-2</v>
      </c>
      <c r="T80">
        <v>0.05</v>
      </c>
      <c r="V80" t="s">
        <v>95</v>
      </c>
      <c r="W80" s="3">
        <f>AVERAGEIF(A:A,V80,F:F)</f>
        <v>1.4117647058823535E-3</v>
      </c>
      <c r="Y80" s="3"/>
    </row>
    <row r="81" spans="1:25" x14ac:dyDescent="0.3">
      <c r="A81" t="s">
        <v>21</v>
      </c>
      <c r="B81">
        <v>2016</v>
      </c>
      <c r="C81">
        <v>402706.09379999997</v>
      </c>
      <c r="D81" s="1">
        <v>4.0000000000000001E-3</v>
      </c>
      <c r="E81" s="1">
        <v>0.91890782117843595</v>
      </c>
      <c r="F81" s="1">
        <v>-0.02</v>
      </c>
      <c r="G81" s="1">
        <f t="shared" si="2"/>
        <v>3.6000000000000018E-2</v>
      </c>
      <c r="H81" s="1" t="str">
        <f t="shared" si="3"/>
        <v/>
      </c>
      <c r="I81" s="1">
        <v>-2.7E-2</v>
      </c>
      <c r="J81" s="1">
        <f>+D81-F81+I81*O81</f>
        <v>-4.0530000000000004E-2</v>
      </c>
      <c r="K81" s="1">
        <v>-6.1876855790615103E-2</v>
      </c>
      <c r="L81" s="1">
        <f>+K81-J81</f>
        <v>-2.1346855790615099E-2</v>
      </c>
      <c r="M81" s="1">
        <v>-7.4876855790615093E-2</v>
      </c>
      <c r="N81" s="1">
        <f>+M81-J81</f>
        <v>-3.434685579061509E-2</v>
      </c>
      <c r="O81">
        <v>2.39</v>
      </c>
      <c r="P81" t="s">
        <v>16</v>
      </c>
      <c r="Q81">
        <v>-0.09</v>
      </c>
      <c r="R81">
        <v>-1.39190366528928E-2</v>
      </c>
      <c r="S81">
        <v>-1.6708610113710099E-2</v>
      </c>
      <c r="T81">
        <v>-0.02</v>
      </c>
      <c r="V81" t="s">
        <v>96</v>
      </c>
      <c r="W81" s="3">
        <f>AVERAGEIF(A:A,V81,F:F)</f>
        <v>-3.4117647058823533E-3</v>
      </c>
      <c r="Y81" s="3"/>
    </row>
    <row r="82" spans="1:25" x14ac:dyDescent="0.3">
      <c r="A82" t="s">
        <v>21</v>
      </c>
      <c r="B82">
        <v>2017</v>
      </c>
      <c r="C82">
        <v>401472.8125</v>
      </c>
      <c r="D82" s="1">
        <v>3.0000000000000001E-3</v>
      </c>
      <c r="E82" s="1">
        <v>0.91557091474533103</v>
      </c>
      <c r="F82" s="1">
        <v>6.0999999999999999E-2</v>
      </c>
      <c r="G82" s="1">
        <f t="shared" si="2"/>
        <v>9.7000000000000017E-2</v>
      </c>
      <c r="H82" s="1" t="str">
        <f t="shared" si="3"/>
        <v/>
      </c>
      <c r="I82" s="1">
        <v>-3.0000000000000001E-3</v>
      </c>
      <c r="J82" s="1">
        <f>+D82-F82+I82*O82</f>
        <v>-6.5619999999999998E-2</v>
      </c>
      <c r="K82" s="1">
        <v>7.0809633471071703E-3</v>
      </c>
      <c r="L82" s="1">
        <f>+K82-J82</f>
        <v>7.270096334710717E-2</v>
      </c>
      <c r="M82" s="1">
        <v>-1.39190366528928E-2</v>
      </c>
      <c r="N82" s="1">
        <f>+M82-J82</f>
        <v>5.17009633471072E-2</v>
      </c>
      <c r="O82">
        <v>2.54</v>
      </c>
      <c r="P82" t="s">
        <v>17</v>
      </c>
      <c r="Q82">
        <v>-0.02</v>
      </c>
      <c r="R82">
        <v>-5.9810166954993998E-3</v>
      </c>
      <c r="S82">
        <v>-1.5116039663553099E-2</v>
      </c>
      <c r="T82">
        <v>0.06</v>
      </c>
      <c r="V82" t="s">
        <v>97</v>
      </c>
      <c r="W82" s="3">
        <f>AVERAGEIF(A:A,V82,F:F)</f>
        <v>-5.8823529411764842E-4</v>
      </c>
      <c r="Y82" s="3"/>
    </row>
    <row r="83" spans="1:25" x14ac:dyDescent="0.3">
      <c r="A83" t="s">
        <v>21</v>
      </c>
      <c r="B83">
        <v>2018</v>
      </c>
      <c r="C83">
        <v>399076.375</v>
      </c>
      <c r="D83" s="1">
        <v>7.0000000000000001E-3</v>
      </c>
      <c r="E83" s="1">
        <v>0.91411137580871604</v>
      </c>
      <c r="F83" s="1">
        <v>-6.9000000000000006E-2</v>
      </c>
      <c r="G83" s="1">
        <f t="shared" si="2"/>
        <v>2.8000000000000011E-2</v>
      </c>
      <c r="H83" s="1" t="str">
        <f t="shared" si="3"/>
        <v/>
      </c>
      <c r="I83" s="1">
        <v>-1E-3</v>
      </c>
      <c r="J83" s="1">
        <f>+D83-F83+I83*O83</f>
        <v>7.3640000000000011E-2</v>
      </c>
      <c r="K83" s="1">
        <v>1.8018983304500601E-2</v>
      </c>
      <c r="L83" s="1">
        <f>+K83-J83</f>
        <v>-5.562101669549941E-2</v>
      </c>
      <c r="M83" s="1">
        <v>-5.9810166954993998E-3</v>
      </c>
      <c r="N83" s="1">
        <f>+M83-J83</f>
        <v>-7.9621016695499411E-2</v>
      </c>
      <c r="O83">
        <v>2.36</v>
      </c>
      <c r="P83" t="s">
        <v>16</v>
      </c>
      <c r="Q83">
        <v>-0.02</v>
      </c>
      <c r="R83">
        <v>6.6078222990035998E-3</v>
      </c>
      <c r="S83">
        <v>-1.1193372309207901E-2</v>
      </c>
      <c r="T83">
        <v>-0.06</v>
      </c>
      <c r="V83" t="s">
        <v>98</v>
      </c>
      <c r="W83" s="3">
        <f>AVERAGEIF(A:A,V83,F:F)</f>
        <v>-5.8235294117647066E-3</v>
      </c>
      <c r="Y83" s="3"/>
    </row>
    <row r="84" spans="1:25" x14ac:dyDescent="0.3">
      <c r="A84" t="s">
        <v>21</v>
      </c>
      <c r="B84">
        <v>2019</v>
      </c>
      <c r="C84">
        <v>398190.71879999997</v>
      </c>
      <c r="D84" s="1">
        <v>4.0000000000000001E-3</v>
      </c>
      <c r="E84" s="1">
        <v>0.92941588163375899</v>
      </c>
      <c r="F84" s="1">
        <v>4.4999999999999998E-2</v>
      </c>
      <c r="G84" s="1">
        <f t="shared" si="2"/>
        <v>7.3000000000000009E-2</v>
      </c>
      <c r="H84" s="1" t="str">
        <f t="shared" si="3"/>
        <v/>
      </c>
      <c r="I84" s="1">
        <v>1.4999999999999999E-2</v>
      </c>
      <c r="J84" s="1">
        <f>+D84-F84+I84*O84</f>
        <v>-3.9499999999999952E-3</v>
      </c>
      <c r="K84" s="1">
        <v>2.4607822299003601E-2</v>
      </c>
      <c r="L84" s="1">
        <f>+K84-J84</f>
        <v>2.8557822299003596E-2</v>
      </c>
      <c r="M84" s="1">
        <v>6.6078222990035998E-3</v>
      </c>
      <c r="N84" s="1">
        <f>+M84-J84</f>
        <v>1.0557822299003594E-2</v>
      </c>
      <c r="O84">
        <v>2.4700000000000002</v>
      </c>
      <c r="P84" t="s">
        <v>15</v>
      </c>
      <c r="Q84">
        <v>-0.01</v>
      </c>
      <c r="R84">
        <v>2.3422485321760101E-2</v>
      </c>
      <c r="S84">
        <v>4.5732948929071903E-3</v>
      </c>
      <c r="T84">
        <v>0.05</v>
      </c>
      <c r="V84" t="s">
        <v>99</v>
      </c>
      <c r="W84" s="3">
        <f>AVERAGEIF(A:A,V84,F:F)</f>
        <v>1.2941176470588236E-3</v>
      </c>
      <c r="Y84" s="3"/>
    </row>
    <row r="85" spans="1:25" x14ac:dyDescent="0.3">
      <c r="A85" t="s">
        <v>21</v>
      </c>
      <c r="B85">
        <v>2020</v>
      </c>
      <c r="C85">
        <v>398788.6875</v>
      </c>
      <c r="D85" s="1">
        <v>-5.0000000000000001E-3</v>
      </c>
      <c r="E85" s="1">
        <v>0.95320355892181396</v>
      </c>
      <c r="F85" s="1">
        <v>-6.9000000000000006E-2</v>
      </c>
      <c r="G85" s="1">
        <f t="shared" si="2"/>
        <v>4.0000000000000036E-3</v>
      </c>
      <c r="H85" s="1" t="str">
        <f t="shared" si="3"/>
        <v/>
      </c>
      <c r="I85" s="1">
        <v>2.4E-2</v>
      </c>
      <c r="J85" s="1">
        <f>+D85-F85+I85*O85</f>
        <v>0.1192</v>
      </c>
      <c r="K85" s="1">
        <v>3.5422485321760198E-2</v>
      </c>
      <c r="L85" s="1">
        <f>+K85-J85</f>
        <v>-8.3777514678239795E-2</v>
      </c>
      <c r="M85" s="1">
        <v>2.3422485321760101E-2</v>
      </c>
      <c r="N85" s="1">
        <f>+M85-J85</f>
        <v>-9.5777514678239903E-2</v>
      </c>
      <c r="O85">
        <v>2.2999999999999998</v>
      </c>
      <c r="P85" t="s">
        <v>17</v>
      </c>
      <c r="Q85">
        <v>0</v>
      </c>
      <c r="R85">
        <v>5.2377259612083303E-2</v>
      </c>
      <c r="S85">
        <v>8.7876468896864804E-3</v>
      </c>
      <c r="T85">
        <v>-0.03</v>
      </c>
      <c r="V85" t="s">
        <v>100</v>
      </c>
      <c r="W85" s="3">
        <f>AVERAGEIF(A:A,V85,F:F)</f>
        <v>1.0000000000000009E-3</v>
      </c>
      <c r="Y85" s="3"/>
    </row>
    <row r="86" spans="1:25" x14ac:dyDescent="0.3">
      <c r="A86" t="s">
        <v>21</v>
      </c>
      <c r="B86">
        <v>2021</v>
      </c>
      <c r="C86">
        <v>400110.40629999997</v>
      </c>
      <c r="D86" s="1">
        <v>3.0000000000000001E-3</v>
      </c>
      <c r="E86" s="1">
        <v>0.97142261266708396</v>
      </c>
      <c r="F86" s="1">
        <v>-2.1000000000000001E-2</v>
      </c>
      <c r="G86" s="1">
        <f t="shared" si="2"/>
        <v>-1.6999999999999998E-2</v>
      </c>
      <c r="H86" s="1" t="str">
        <f t="shared" si="3"/>
        <v/>
      </c>
      <c r="I86" s="1">
        <v>1.7999999999999999E-2</v>
      </c>
      <c r="J86" s="1">
        <f>+D86-F86+I86*O86</f>
        <v>6.4500000000000002E-2</v>
      </c>
      <c r="K86" s="1">
        <v>9.9377259612083393E-2</v>
      </c>
      <c r="L86" s="1">
        <f>+K86-J86</f>
        <v>3.4877259612083392E-2</v>
      </c>
      <c r="M86" s="1">
        <v>5.2377259612083303E-2</v>
      </c>
      <c r="N86" s="1">
        <f>+M86-J86</f>
        <v>-1.2122740387916699E-2</v>
      </c>
      <c r="O86">
        <v>2.25</v>
      </c>
      <c r="P86" t="s">
        <v>17</v>
      </c>
      <c r="Q86">
        <v>0.01</v>
      </c>
      <c r="R86">
        <v>3.8920027017592899E-3</v>
      </c>
      <c r="S86">
        <v>3.5995509475469499E-2</v>
      </c>
      <c r="T86">
        <v>-0.05</v>
      </c>
      <c r="V86" t="s">
        <v>101</v>
      </c>
      <c r="W86" s="3">
        <f>AVERAGEIF(A:A,V86,F:F)</f>
        <v>1.176470588235287E-4</v>
      </c>
      <c r="Y86" s="3"/>
    </row>
    <row r="87" spans="1:25" x14ac:dyDescent="0.3">
      <c r="A87" t="s">
        <v>21</v>
      </c>
      <c r="B87">
        <v>2022</v>
      </c>
      <c r="C87">
        <v>401503.125</v>
      </c>
      <c r="D87" s="1">
        <v>-2E-3</v>
      </c>
      <c r="E87" s="1">
        <v>0.94760924577713002</v>
      </c>
      <c r="F87" s="1">
        <v>-0.01</v>
      </c>
      <c r="G87" s="1">
        <f t="shared" si="2"/>
        <v>-2.6999999999999996E-2</v>
      </c>
      <c r="H87" s="1" t="str">
        <f t="shared" si="3"/>
        <v/>
      </c>
      <c r="I87" s="1">
        <v>-2.4E-2</v>
      </c>
      <c r="J87" s="1">
        <f>+D87-F87+I87*O87</f>
        <v>-4.5519999999999998E-2</v>
      </c>
      <c r="K87" s="1">
        <v>8.3892002701759297E-2</v>
      </c>
      <c r="L87" s="1">
        <f>+K87-J87</f>
        <v>0.12941200270175929</v>
      </c>
      <c r="M87" s="1">
        <v>3.8920027017592899E-3</v>
      </c>
      <c r="N87" s="1">
        <f>+M87-J87</f>
        <v>4.9412002701759286E-2</v>
      </c>
      <c r="O87">
        <v>2.23</v>
      </c>
      <c r="P87" t="s">
        <v>16</v>
      </c>
      <c r="Q87">
        <v>0.04</v>
      </c>
      <c r="R87">
        <v>1.4757954716682301E-2</v>
      </c>
      <c r="S87">
        <v>3.43168824911117E-2</v>
      </c>
      <c r="T87">
        <v>0.01</v>
      </c>
      <c r="V87" t="s">
        <v>102</v>
      </c>
      <c r="W87" s="3">
        <f>AVERAGEIF(A:A,V87,F:F)</f>
        <v>-5.1764705882352928E-3</v>
      </c>
      <c r="Y87" s="3"/>
    </row>
    <row r="88" spans="1:25" x14ac:dyDescent="0.3">
      <c r="A88" t="s">
        <v>22</v>
      </c>
      <c r="B88">
        <v>2006</v>
      </c>
      <c r="C88">
        <v>344321.59379999997</v>
      </c>
      <c r="D88" s="1">
        <v>0</v>
      </c>
      <c r="E88" s="1">
        <v>0.94538241624832198</v>
      </c>
      <c r="F88" s="1">
        <v>2.3E-2</v>
      </c>
      <c r="G88" s="1">
        <f t="shared" si="2"/>
        <v>2.3E-2</v>
      </c>
      <c r="H88" s="1" t="str">
        <f t="shared" si="3"/>
        <v/>
      </c>
      <c r="I88" s="1">
        <v>1.2E-2</v>
      </c>
      <c r="J88" s="1">
        <f>+D88-F88+I88*O88</f>
        <v>7.6000000000000026E-4</v>
      </c>
      <c r="K88" s="1">
        <v>1.7762271687388399E-2</v>
      </c>
      <c r="L88" s="1">
        <f>+K88-J88</f>
        <v>1.7002271687388399E-2</v>
      </c>
      <c r="M88" s="1">
        <v>-1.42377283126116E-2</v>
      </c>
      <c r="N88" s="1">
        <f>+M88-J88</f>
        <v>-1.49977283126116E-2</v>
      </c>
      <c r="O88">
        <v>1.98</v>
      </c>
      <c r="P88" t="s">
        <v>15</v>
      </c>
      <c r="Q88">
        <v>-0.02</v>
      </c>
      <c r="R88">
        <v>-5.5077605843544004E-3</v>
      </c>
      <c r="S88">
        <v>-4.5860046520829001E-3</v>
      </c>
      <c r="T88">
        <v>0.02</v>
      </c>
      <c r="V88" t="s">
        <v>103</v>
      </c>
      <c r="W88" s="3">
        <f>AVERAGEIF(A:A,V88,F:F)</f>
        <v>-3.1764705882352945E-3</v>
      </c>
      <c r="Y88" s="3"/>
    </row>
    <row r="89" spans="1:25" x14ac:dyDescent="0.3">
      <c r="A89" t="s">
        <v>22</v>
      </c>
      <c r="B89">
        <v>2007</v>
      </c>
      <c r="C89">
        <v>344379</v>
      </c>
      <c r="D89" s="1">
        <v>1E-3</v>
      </c>
      <c r="E89" s="1">
        <v>0.94904631376266502</v>
      </c>
      <c r="F89" s="1">
        <v>5.8999999999999997E-2</v>
      </c>
      <c r="G89" s="1">
        <f t="shared" si="2"/>
        <v>8.199999999999999E-2</v>
      </c>
      <c r="H89" s="1" t="str">
        <f t="shared" si="3"/>
        <v/>
      </c>
      <c r="I89" s="1">
        <v>4.0000000000000001E-3</v>
      </c>
      <c r="J89" s="1">
        <f>+D89-F89+I89*O89</f>
        <v>-4.9639999999999997E-2</v>
      </c>
      <c r="K89" s="1">
        <v>2.3492239415645599E-2</v>
      </c>
      <c r="L89" s="1">
        <f>+K89-J89</f>
        <v>7.3132239415645589E-2</v>
      </c>
      <c r="M89" s="1">
        <v>-5.5077605843544004E-3</v>
      </c>
      <c r="N89" s="1">
        <f>+M89-J89</f>
        <v>4.4132239415645598E-2</v>
      </c>
      <c r="O89">
        <v>2.09</v>
      </c>
      <c r="P89" t="s">
        <v>15</v>
      </c>
      <c r="Q89">
        <v>0</v>
      </c>
      <c r="R89">
        <v>-2.5840917892754001E-2</v>
      </c>
      <c r="S89">
        <v>3.6698863841593001E-3</v>
      </c>
      <c r="T89">
        <v>0.06</v>
      </c>
      <c r="V89" t="s">
        <v>104</v>
      </c>
      <c r="W89" s="3">
        <f>AVERAGEIF(A:A,V89,F:F)</f>
        <v>-4.1764705882352945E-3</v>
      </c>
      <c r="Y89" s="3"/>
    </row>
    <row r="90" spans="1:25" x14ac:dyDescent="0.3">
      <c r="A90" t="s">
        <v>22</v>
      </c>
      <c r="B90">
        <v>2008</v>
      </c>
      <c r="C90">
        <v>342090.78129999997</v>
      </c>
      <c r="D90" s="1">
        <v>0</v>
      </c>
      <c r="E90" s="1">
        <v>0.94539988040924094</v>
      </c>
      <c r="F90" s="1">
        <v>-8.9999999999999993E-3</v>
      </c>
      <c r="G90" s="1">
        <f t="shared" si="2"/>
        <v>7.2999999999999995E-2</v>
      </c>
      <c r="H90" s="1" t="str">
        <f t="shared" si="3"/>
        <v/>
      </c>
      <c r="I90" s="1">
        <v>-4.0000000000000001E-3</v>
      </c>
      <c r="J90" s="1">
        <f>+D90-F90+I90*O90</f>
        <v>6.7999999999999831E-4</v>
      </c>
      <c r="K90" s="1">
        <v>1.21590821072459E-2</v>
      </c>
      <c r="L90" s="1">
        <f>+K90-J90</f>
        <v>1.1479082107245901E-2</v>
      </c>
      <c r="M90" s="1">
        <v>-2.5840917892754001E-2</v>
      </c>
      <c r="N90" s="1">
        <f>+M90-J90</f>
        <v>-2.6520917892754001E-2</v>
      </c>
      <c r="O90">
        <v>2.08</v>
      </c>
      <c r="P90" t="s">
        <v>16</v>
      </c>
      <c r="Q90">
        <v>0</v>
      </c>
      <c r="R90">
        <v>-2.0063430726528199E-2</v>
      </c>
      <c r="S90">
        <v>6.50327093899245E-3</v>
      </c>
      <c r="T90">
        <v>-0.01</v>
      </c>
      <c r="V90" t="s">
        <v>105</v>
      </c>
      <c r="W90" s="3">
        <f>AVERAGEIF(A:A,V90,F:F)</f>
        <v>-1.6470588235294129E-3</v>
      </c>
      <c r="Y90" s="3"/>
    </row>
    <row r="91" spans="1:25" x14ac:dyDescent="0.3">
      <c r="A91" t="s">
        <v>22</v>
      </c>
      <c r="B91">
        <v>2009</v>
      </c>
      <c r="C91">
        <v>344190</v>
      </c>
      <c r="D91" s="1">
        <v>0</v>
      </c>
      <c r="E91" s="1">
        <v>0.93825215101242099</v>
      </c>
      <c r="F91" s="1">
        <v>-5.3999999999999999E-2</v>
      </c>
      <c r="G91" s="1">
        <f t="shared" si="2"/>
        <v>1.8999999999999996E-2</v>
      </c>
      <c r="H91" s="1" t="str">
        <f t="shared" si="3"/>
        <v/>
      </c>
      <c r="I91" s="1">
        <v>-7.0000000000000001E-3</v>
      </c>
      <c r="J91" s="1">
        <f>+D91-F91+I91*O91</f>
        <v>4.0279999999999996E-2</v>
      </c>
      <c r="K91" s="1">
        <v>-2.4063430726528199E-2</v>
      </c>
      <c r="L91" s="1">
        <f>+K91-J91</f>
        <v>-6.4343430726528192E-2</v>
      </c>
      <c r="M91" s="1">
        <v>-2.0063430726528199E-2</v>
      </c>
      <c r="N91" s="1">
        <f>+M91-J91</f>
        <v>-6.0343430726528195E-2</v>
      </c>
      <c r="O91">
        <v>1.96</v>
      </c>
      <c r="P91" t="s">
        <v>16</v>
      </c>
      <c r="Q91">
        <v>0.01</v>
      </c>
      <c r="R91">
        <v>-9.7372598797082904E-3</v>
      </c>
      <c r="S91">
        <v>-2.7715112082660502E-4</v>
      </c>
      <c r="T91">
        <v>-7.0000000000000007E-2</v>
      </c>
      <c r="V91" t="s">
        <v>106</v>
      </c>
      <c r="W91" s="3">
        <f>AVERAGEIF(A:A,V91,F:F)</f>
        <v>-2.1333333333333343E-3</v>
      </c>
      <c r="Y91" s="3"/>
    </row>
    <row r="92" spans="1:25" x14ac:dyDescent="0.3">
      <c r="A92" t="s">
        <v>22</v>
      </c>
      <c r="B92">
        <v>2010</v>
      </c>
      <c r="C92">
        <v>347278.8125</v>
      </c>
      <c r="D92" s="1">
        <v>2E-3</v>
      </c>
      <c r="E92" s="1">
        <v>0.94448661804199197</v>
      </c>
      <c r="F92" s="1">
        <v>2.9000000000000001E-2</v>
      </c>
      <c r="G92" s="1">
        <f t="shared" si="2"/>
        <v>4.8000000000000001E-2</v>
      </c>
      <c r="H92" s="1" t="str">
        <f t="shared" si="3"/>
        <v/>
      </c>
      <c r="I92" s="1">
        <v>6.0000000000000001E-3</v>
      </c>
      <c r="J92" s="1">
        <f>+D92-F92+I92*O92</f>
        <v>-1.4880000000000003E-2</v>
      </c>
      <c r="K92" s="1">
        <v>6.2627401202917099E-3</v>
      </c>
      <c r="L92" s="1">
        <f>+K92-J92</f>
        <v>2.1142740120291714E-2</v>
      </c>
      <c r="M92" s="1">
        <v>-9.7372598797082904E-3</v>
      </c>
      <c r="N92" s="1">
        <f>+M92-J92</f>
        <v>5.1427401202917122E-3</v>
      </c>
      <c r="O92">
        <v>2.02</v>
      </c>
      <c r="P92" t="s">
        <v>15</v>
      </c>
      <c r="Q92">
        <v>0</v>
      </c>
      <c r="R92">
        <v>-1.25373456329107E-2</v>
      </c>
      <c r="S92">
        <v>8.7464288808405902E-3</v>
      </c>
      <c r="T92">
        <v>0.02</v>
      </c>
      <c r="V92" t="s">
        <v>107</v>
      </c>
      <c r="W92" s="3">
        <f>AVERAGEIF(A:A,V92,F:F)</f>
        <v>-1.088235294117647E-2</v>
      </c>
      <c r="Y92" s="3"/>
    </row>
    <row r="93" spans="1:25" x14ac:dyDescent="0.3">
      <c r="A93" t="s">
        <v>22</v>
      </c>
      <c r="B93">
        <v>2011</v>
      </c>
      <c r="C93">
        <v>351481.28129999997</v>
      </c>
      <c r="D93" s="1">
        <v>-5.0000000000000001E-3</v>
      </c>
      <c r="E93" s="1">
        <v>0.95220220088958696</v>
      </c>
      <c r="F93" s="1">
        <v>-3.5000000000000003E-2</v>
      </c>
      <c r="G93" s="1">
        <f t="shared" si="2"/>
        <v>1.2999999999999998E-2</v>
      </c>
      <c r="H93" s="1" t="str">
        <f t="shared" si="3"/>
        <v/>
      </c>
      <c r="I93" s="1">
        <v>8.0000000000000002E-3</v>
      </c>
      <c r="J93" s="1">
        <f>+D93-F93+I93*O93</f>
        <v>4.5600000000000002E-2</v>
      </c>
      <c r="K93" s="1">
        <v>1.9462654367089299E-2</v>
      </c>
      <c r="L93" s="1">
        <f>+K93-J93</f>
        <v>-2.6137345632910702E-2</v>
      </c>
      <c r="M93" s="1">
        <v>-1.25373456329107E-2</v>
      </c>
      <c r="N93" s="1">
        <f>+M93-J93</f>
        <v>-5.8137345632910703E-2</v>
      </c>
      <c r="O93">
        <v>1.95</v>
      </c>
      <c r="P93" t="s">
        <v>17</v>
      </c>
      <c r="Q93">
        <v>0.01</v>
      </c>
      <c r="R93">
        <v>2.63425723612308E-2</v>
      </c>
      <c r="S93">
        <v>3.17807784304023E-2</v>
      </c>
      <c r="T93">
        <v>-0.03</v>
      </c>
      <c r="V93" t="s">
        <v>108</v>
      </c>
      <c r="W93" s="3">
        <f>AVERAGEIF(A:A,V93,F:F)</f>
        <v>6.8235294117647075E-3</v>
      </c>
      <c r="Y93" s="3"/>
    </row>
    <row r="94" spans="1:25" x14ac:dyDescent="0.3">
      <c r="A94" t="s">
        <v>22</v>
      </c>
      <c r="B94">
        <v>2012</v>
      </c>
      <c r="C94">
        <v>354950.71879999997</v>
      </c>
      <c r="D94" s="1">
        <v>-2E-3</v>
      </c>
      <c r="E94" s="1">
        <v>0.96298193931579601</v>
      </c>
      <c r="F94" s="1">
        <v>0.121</v>
      </c>
      <c r="G94" s="1">
        <f t="shared" si="2"/>
        <v>0.13400000000000001</v>
      </c>
      <c r="H94" s="1">
        <f t="shared" si="3"/>
        <v>2.8604785911738852E-2</v>
      </c>
      <c r="I94" s="1">
        <v>1.0999999999999999E-2</v>
      </c>
      <c r="J94" s="1">
        <f>+D94-F94+I94*O94</f>
        <v>-9.8909999999999998E-2</v>
      </c>
      <c r="K94" s="1">
        <v>4.7342572361230899E-2</v>
      </c>
      <c r="L94" s="1">
        <f>+K94-J94</f>
        <v>0.1462525723612309</v>
      </c>
      <c r="M94" s="1">
        <v>2.63425723612308E-2</v>
      </c>
      <c r="N94" s="1">
        <f>+M94-J94</f>
        <v>0.1252525723612308</v>
      </c>
      <c r="O94">
        <v>2.19</v>
      </c>
      <c r="P94" t="s">
        <v>15</v>
      </c>
      <c r="Q94">
        <v>0.03</v>
      </c>
      <c r="R94">
        <v>1.1443546637892699E-2</v>
      </c>
      <c r="S94">
        <v>5.3167752921580904E-3</v>
      </c>
      <c r="T94">
        <v>0.12</v>
      </c>
      <c r="V94" t="s">
        <v>109</v>
      </c>
      <c r="W94" s="3">
        <f>AVERAGEIF(A:A,V94,F:F)</f>
        <v>-2.0000000000000005E-3</v>
      </c>
      <c r="Y94" s="3"/>
    </row>
    <row r="95" spans="1:25" x14ac:dyDescent="0.3">
      <c r="A95" t="s">
        <v>22</v>
      </c>
      <c r="B95">
        <v>2013</v>
      </c>
      <c r="C95">
        <v>359271.40629999997</v>
      </c>
      <c r="D95" s="1">
        <v>0</v>
      </c>
      <c r="E95" s="1">
        <v>0.96419858932495095</v>
      </c>
      <c r="F95" s="1">
        <v>-4.4999999999999998E-2</v>
      </c>
      <c r="G95" s="1">
        <f t="shared" si="2"/>
        <v>8.900000000000001E-2</v>
      </c>
      <c r="H95" s="1" t="str">
        <f t="shared" si="3"/>
        <v/>
      </c>
      <c r="I95" s="1">
        <v>1E-3</v>
      </c>
      <c r="J95" s="1">
        <f>+D95-F95+I95*O95</f>
        <v>4.709E-2</v>
      </c>
      <c r="K95" s="1">
        <v>2.6443546637892699E-2</v>
      </c>
      <c r="L95" s="1">
        <f>+K95-J95</f>
        <v>-2.0646453362107301E-2</v>
      </c>
      <c r="M95" s="1">
        <v>1.1443546637892699E-2</v>
      </c>
      <c r="N95" s="1">
        <f>+M95-J95</f>
        <v>-3.5646453362107297E-2</v>
      </c>
      <c r="O95">
        <v>2.09</v>
      </c>
      <c r="P95" t="s">
        <v>17</v>
      </c>
      <c r="Q95">
        <v>0.01</v>
      </c>
      <c r="R95">
        <v>1.4766025185585001E-2</v>
      </c>
      <c r="S95">
        <v>1.27580016851425E-2</v>
      </c>
      <c r="T95">
        <v>-0.05</v>
      </c>
      <c r="V95" t="s">
        <v>110</v>
      </c>
      <c r="W95" s="3">
        <f>AVERAGEIF(A:A,V95,F:F)</f>
        <v>-2.2941176470588228E-3</v>
      </c>
      <c r="Y95" s="3"/>
    </row>
    <row r="96" spans="1:25" x14ac:dyDescent="0.3">
      <c r="A96" t="s">
        <v>22</v>
      </c>
      <c r="B96">
        <v>2014</v>
      </c>
      <c r="C96">
        <v>363622</v>
      </c>
      <c r="D96" s="1">
        <v>8.9999999999999993E-3</v>
      </c>
      <c r="E96" s="1">
        <v>0.96385133266448997</v>
      </c>
      <c r="F96" s="1">
        <v>-2.4E-2</v>
      </c>
      <c r="G96" s="1">
        <f t="shared" si="2"/>
        <v>6.5000000000000002E-2</v>
      </c>
      <c r="H96" s="1" t="str">
        <f t="shared" si="3"/>
        <v/>
      </c>
      <c r="I96" s="1">
        <v>0</v>
      </c>
      <c r="J96" s="1">
        <f>+D96-F96+I96*O96</f>
        <v>3.3000000000000002E-2</v>
      </c>
      <c r="K96" s="1">
        <v>3.0766025185585001E-2</v>
      </c>
      <c r="L96" s="1">
        <f>+K96-J96</f>
        <v>-2.2339748144150004E-3</v>
      </c>
      <c r="M96" s="1">
        <v>1.4766025185585001E-2</v>
      </c>
      <c r="N96" s="1">
        <f>+M96-J96</f>
        <v>-1.8233974814415001E-2</v>
      </c>
      <c r="O96">
        <v>2.04</v>
      </c>
      <c r="P96" t="s">
        <v>16</v>
      </c>
      <c r="Q96">
        <v>0.01</v>
      </c>
      <c r="R96">
        <v>2.44468824714421E-2</v>
      </c>
      <c r="S96">
        <v>-5.8165695518254904E-3</v>
      </c>
      <c r="T96">
        <v>-0.03</v>
      </c>
      <c r="V96" t="s">
        <v>111</v>
      </c>
      <c r="W96" s="3">
        <f>AVERAGEIF(A:A,V96,F:F)</f>
        <v>1.1176470588235292E-3</v>
      </c>
      <c r="Y96" s="3"/>
    </row>
    <row r="97" spans="1:25" x14ac:dyDescent="0.3">
      <c r="A97" t="s">
        <v>22</v>
      </c>
      <c r="B97">
        <v>2015</v>
      </c>
      <c r="C97">
        <v>367239.40629999997</v>
      </c>
      <c r="D97" s="1">
        <v>6.0000000000000001E-3</v>
      </c>
      <c r="E97" s="1">
        <v>0.96170413494110096</v>
      </c>
      <c r="F97" s="1">
        <v>2.4E-2</v>
      </c>
      <c r="G97" s="1">
        <f t="shared" si="2"/>
        <v>8.8999999999999996E-2</v>
      </c>
      <c r="H97" s="1" t="str">
        <f t="shared" si="3"/>
        <v/>
      </c>
      <c r="I97" s="1">
        <v>-2E-3</v>
      </c>
      <c r="J97" s="1">
        <f>+D97-F97+I97*O97</f>
        <v>-2.2180000000000002E-2</v>
      </c>
      <c r="K97" s="1">
        <v>2.5446882471442198E-2</v>
      </c>
      <c r="L97" s="1">
        <f>+K97-J97</f>
        <v>4.76268824714422E-2</v>
      </c>
      <c r="M97" s="1">
        <v>2.44468824714421E-2</v>
      </c>
      <c r="N97" s="1">
        <f>+M97-J97</f>
        <v>4.6626882471442102E-2</v>
      </c>
      <c r="O97">
        <v>2.09</v>
      </c>
      <c r="P97" t="s">
        <v>17</v>
      </c>
      <c r="Q97">
        <v>-0.01</v>
      </c>
      <c r="R97">
        <v>2.7877990424633001E-2</v>
      </c>
      <c r="S97">
        <v>1.47244334220886E-2</v>
      </c>
      <c r="T97">
        <v>0.03</v>
      </c>
      <c r="V97" t="s">
        <v>112</v>
      </c>
      <c r="W97" s="3">
        <f>AVERAGEIF(A:A,V97,F:F)</f>
        <v>9.058823529411765E-3</v>
      </c>
      <c r="Y97" s="3"/>
    </row>
    <row r="98" spans="1:25" x14ac:dyDescent="0.3">
      <c r="A98" t="s">
        <v>22</v>
      </c>
      <c r="B98">
        <v>2016</v>
      </c>
      <c r="C98">
        <v>371019</v>
      </c>
      <c r="D98" s="1">
        <v>1.6E-2</v>
      </c>
      <c r="E98" s="1">
        <v>0.97008430957794201</v>
      </c>
      <c r="F98" s="1">
        <v>-7.9000000000000001E-2</v>
      </c>
      <c r="G98" s="1">
        <f t="shared" si="2"/>
        <v>9.999999999999995E-3</v>
      </c>
      <c r="H98" s="1" t="str">
        <f t="shared" si="3"/>
        <v/>
      </c>
      <c r="I98" s="1">
        <v>8.0000000000000002E-3</v>
      </c>
      <c r="J98" s="1">
        <f>+D98-F98+I98*O98</f>
        <v>0.11036</v>
      </c>
      <c r="K98" s="1">
        <v>4.0877990424632998E-2</v>
      </c>
      <c r="L98" s="1">
        <f>+K98-J98</f>
        <v>-6.9482009575367001E-2</v>
      </c>
      <c r="M98" s="1">
        <v>2.7877990424633001E-2</v>
      </c>
      <c r="N98" s="1">
        <f>+M98-J98</f>
        <v>-8.2482009575366999E-2</v>
      </c>
      <c r="O98">
        <v>1.92</v>
      </c>
      <c r="P98" t="s">
        <v>17</v>
      </c>
      <c r="Q98">
        <v>0.01</v>
      </c>
      <c r="R98">
        <v>3.3851397871971098E-2</v>
      </c>
      <c r="S98">
        <v>3.10618244111538E-2</v>
      </c>
      <c r="T98">
        <v>-0.08</v>
      </c>
      <c r="V98" t="s">
        <v>113</v>
      </c>
      <c r="W98" s="3">
        <f>AVERAGEIF(A:A,V98,F:F)</f>
        <v>-2.8823529411764709E-3</v>
      </c>
      <c r="Y98" s="3"/>
    </row>
    <row r="99" spans="1:25" x14ac:dyDescent="0.3">
      <c r="A99" t="s">
        <v>22</v>
      </c>
      <c r="B99">
        <v>2017</v>
      </c>
      <c r="C99">
        <v>373790.59379999997</v>
      </c>
      <c r="D99" s="1">
        <v>0</v>
      </c>
      <c r="E99" s="1">
        <v>0.96932375431060802</v>
      </c>
      <c r="F99" s="1">
        <v>0.11700000000000001</v>
      </c>
      <c r="G99" s="1">
        <f t="shared" si="2"/>
        <v>0.127</v>
      </c>
      <c r="H99" s="1">
        <f t="shared" si="3"/>
        <v>3.5897136665880652E-2</v>
      </c>
      <c r="I99" s="1">
        <v>-1E-3</v>
      </c>
      <c r="J99" s="1">
        <f>+D99-F99+I99*O99</f>
        <v>-0.11915000000000001</v>
      </c>
      <c r="K99" s="1">
        <v>5.4851397871971103E-2</v>
      </c>
      <c r="L99" s="1">
        <f>+K99-J99</f>
        <v>0.17400139787197111</v>
      </c>
      <c r="M99" s="1">
        <v>3.3851397871971098E-2</v>
      </c>
      <c r="N99" s="1">
        <f>+M99-J99</f>
        <v>0.15300139787197109</v>
      </c>
      <c r="O99">
        <v>2.15</v>
      </c>
      <c r="P99" t="s">
        <v>17</v>
      </c>
      <c r="Q99">
        <v>0.03</v>
      </c>
      <c r="R99">
        <v>1.2697709947823901E-3</v>
      </c>
      <c r="S99">
        <v>-7.8652519732713908E-3</v>
      </c>
      <c r="T99">
        <v>0.12</v>
      </c>
      <c r="V99" t="s">
        <v>114</v>
      </c>
      <c r="W99" s="3">
        <f>AVERAGEIF(A:A,V99,F:F)</f>
        <v>-2.8235294117647065E-3</v>
      </c>
      <c r="Y99" s="3"/>
    </row>
    <row r="100" spans="1:25" x14ac:dyDescent="0.3">
      <c r="A100" t="s">
        <v>22</v>
      </c>
      <c r="B100">
        <v>2018</v>
      </c>
      <c r="C100">
        <v>374353.40629999997</v>
      </c>
      <c r="D100" s="1">
        <v>1.4999999999999999E-2</v>
      </c>
      <c r="E100" s="1">
        <v>0.95353657007217396</v>
      </c>
      <c r="F100" s="1">
        <v>-1.2999999999999999E-2</v>
      </c>
      <c r="G100" s="1">
        <f t="shared" si="2"/>
        <v>0.114</v>
      </c>
      <c r="H100" s="1" t="str">
        <f t="shared" si="3"/>
        <v/>
      </c>
      <c r="I100" s="1">
        <v>-1.6E-2</v>
      </c>
      <c r="J100" s="1">
        <f>+D100-F100+I100*O100</f>
        <v>-5.9200000000000086E-3</v>
      </c>
      <c r="K100" s="1">
        <v>2.5269770994782399E-2</v>
      </c>
      <c r="L100" s="1">
        <f>+K100-J100</f>
        <v>3.1189770994782408E-2</v>
      </c>
      <c r="M100" s="1">
        <v>1.2697709947823901E-3</v>
      </c>
      <c r="N100" s="1">
        <f>+M100-J100</f>
        <v>7.1897709947823987E-3</v>
      </c>
      <c r="O100">
        <v>2.12</v>
      </c>
      <c r="P100" t="s">
        <v>16</v>
      </c>
      <c r="Q100">
        <v>-0.01</v>
      </c>
      <c r="R100">
        <v>2.85245023369789E-2</v>
      </c>
      <c r="S100">
        <v>1.07233077287673E-2</v>
      </c>
      <c r="T100">
        <v>0</v>
      </c>
      <c r="V100" t="s">
        <v>115</v>
      </c>
      <c r="W100" s="3">
        <f>AVERAGEIF(A:A,V100,F:F)</f>
        <v>-4.2352941176470593E-3</v>
      </c>
      <c r="Y100" s="3"/>
    </row>
    <row r="101" spans="1:25" x14ac:dyDescent="0.3">
      <c r="A101" t="s">
        <v>22</v>
      </c>
      <c r="B101">
        <v>2019</v>
      </c>
      <c r="C101">
        <v>372773.71879999997</v>
      </c>
      <c r="D101" s="1">
        <v>1.4999999999999999E-2</v>
      </c>
      <c r="E101" s="1">
        <v>0.960942983627319</v>
      </c>
      <c r="F101" s="1">
        <v>8.9999999999999993E-3</v>
      </c>
      <c r="G101" s="1">
        <f t="shared" si="2"/>
        <v>0.123</v>
      </c>
      <c r="H101" s="1">
        <f t="shared" si="3"/>
        <v>5.1151765044778599E-2</v>
      </c>
      <c r="I101" s="1">
        <v>7.0000000000000001E-3</v>
      </c>
      <c r="J101" s="1">
        <f>+D101-F101+I101*O101</f>
        <v>2.0980000000000002E-2</v>
      </c>
      <c r="K101" s="1">
        <v>4.6524502336978898E-2</v>
      </c>
      <c r="L101" s="1">
        <f>+K101-J101</f>
        <v>2.5544502336978896E-2</v>
      </c>
      <c r="M101" s="1">
        <v>2.85245023369789E-2</v>
      </c>
      <c r="N101" s="1">
        <f>+M101-J101</f>
        <v>7.5445023369788977E-3</v>
      </c>
      <c r="O101">
        <v>2.14</v>
      </c>
      <c r="P101" t="s">
        <v>15</v>
      </c>
      <c r="Q101">
        <v>0.01</v>
      </c>
      <c r="R101">
        <v>-2.8608263283970003E-4</v>
      </c>
      <c r="S101">
        <v>-1.9135273061692701E-2</v>
      </c>
      <c r="T101">
        <v>0.02</v>
      </c>
      <c r="V101" t="s">
        <v>116</v>
      </c>
      <c r="W101" s="3">
        <f>AVERAGEIF(A:A,V101,F:F)</f>
        <v>2.0000000000000009E-3</v>
      </c>
      <c r="Y101" s="3"/>
    </row>
    <row r="102" spans="1:25" x14ac:dyDescent="0.3">
      <c r="A102" t="s">
        <v>22</v>
      </c>
      <c r="B102">
        <v>2020</v>
      </c>
      <c r="C102">
        <v>370135.3125</v>
      </c>
      <c r="D102" s="1">
        <v>7.0000000000000001E-3</v>
      </c>
      <c r="E102" s="1">
        <v>0.95381009578704801</v>
      </c>
      <c r="F102" s="1">
        <v>-4.9000000000000002E-2</v>
      </c>
      <c r="G102" s="1">
        <f t="shared" si="2"/>
        <v>7.3999999999999996E-2</v>
      </c>
      <c r="H102" s="1" t="str">
        <f t="shared" si="3"/>
        <v/>
      </c>
      <c r="I102" s="1">
        <v>-7.0000000000000001E-3</v>
      </c>
      <c r="J102" s="1">
        <f>+D102-F102+I102*O102</f>
        <v>4.1790000000000001E-2</v>
      </c>
      <c r="K102" s="1">
        <v>1.1713917367160299E-2</v>
      </c>
      <c r="L102" s="1">
        <f>+K102-J102</f>
        <v>-3.0076082632839701E-2</v>
      </c>
      <c r="M102" s="1">
        <v>-2.8608263283970003E-4</v>
      </c>
      <c r="N102" s="1">
        <f>+M102-J102</f>
        <v>-4.2076082632839698E-2</v>
      </c>
      <c r="O102">
        <v>2.0299999999999998</v>
      </c>
      <c r="P102" t="s">
        <v>16</v>
      </c>
      <c r="Q102">
        <v>-0.02</v>
      </c>
      <c r="R102">
        <v>4.3589612722396899E-2</v>
      </c>
      <c r="S102">
        <v>0</v>
      </c>
      <c r="T102">
        <v>-0.01</v>
      </c>
      <c r="V102" t="s">
        <v>117</v>
      </c>
      <c r="W102" s="3">
        <f>AVERAGEIF(A:A,V102,F:F)</f>
        <v>-9.4117647058823445E-4</v>
      </c>
      <c r="Y102" s="3"/>
    </row>
    <row r="103" spans="1:25" x14ac:dyDescent="0.3">
      <c r="A103" t="s">
        <v>22</v>
      </c>
      <c r="B103">
        <v>2021</v>
      </c>
      <c r="C103">
        <v>365686.3125</v>
      </c>
      <c r="D103" s="1">
        <v>2.5999999999999999E-2</v>
      </c>
      <c r="E103" s="1">
        <v>0.97650593519210804</v>
      </c>
      <c r="F103" s="1">
        <v>5.0000000000000001E-3</v>
      </c>
      <c r="G103" s="1">
        <f t="shared" si="2"/>
        <v>7.9000000000000001E-2</v>
      </c>
      <c r="H103" s="1" t="str">
        <f t="shared" si="3"/>
        <v/>
      </c>
      <c r="I103" s="1">
        <v>2.3E-2</v>
      </c>
      <c r="J103" s="1">
        <f>+D103-F103+I103*O103</f>
        <v>6.7920000000000008E-2</v>
      </c>
      <c r="K103" s="1">
        <v>9.0589612722396906E-2</v>
      </c>
      <c r="L103" s="1">
        <f>+K103-J103</f>
        <v>2.2669612722396898E-2</v>
      </c>
      <c r="M103" s="1">
        <v>4.3589612722396899E-2</v>
      </c>
      <c r="N103" s="1">
        <f>+M103-J103</f>
        <v>-2.4330387277603109E-2</v>
      </c>
      <c r="O103">
        <v>2.04</v>
      </c>
      <c r="P103" t="s">
        <v>15</v>
      </c>
      <c r="Q103" t="s">
        <v>23</v>
      </c>
      <c r="R103">
        <v>-3.6197742372751203E-2</v>
      </c>
      <c r="S103">
        <v>-4.0942355990409001E-3</v>
      </c>
      <c r="T103">
        <v>-0.02</v>
      </c>
      <c r="V103" t="s">
        <v>118</v>
      </c>
      <c r="W103" s="3">
        <f>AVERAGEIF(A:A,V103,F:F)</f>
        <v>-1.764705882352941E-3</v>
      </c>
      <c r="Y103" s="3"/>
    </row>
    <row r="104" spans="1:25" x14ac:dyDescent="0.3">
      <c r="A104" t="s">
        <v>22</v>
      </c>
      <c r="B104">
        <v>2022</v>
      </c>
      <c r="C104">
        <v>368493.09379999997</v>
      </c>
      <c r="D104" s="1">
        <v>2E-3</v>
      </c>
      <c r="E104" s="1">
        <v>0.95579707622528098</v>
      </c>
      <c r="F104" s="1">
        <v>-6.0000000000000001E-3</v>
      </c>
      <c r="G104" s="1">
        <f t="shared" si="2"/>
        <v>7.2999999999999995E-2</v>
      </c>
      <c r="H104" s="1" t="str">
        <f t="shared" si="3"/>
        <v/>
      </c>
      <c r="I104" s="1">
        <v>-2.1000000000000001E-2</v>
      </c>
      <c r="J104" s="1">
        <f>+D104-F104+I104*O104</f>
        <v>-3.4630000000000001E-2</v>
      </c>
      <c r="K104" s="1">
        <v>4.3802257627248799E-2</v>
      </c>
      <c r="L104" s="1">
        <f>+K104-J104</f>
        <v>7.84322576272488E-2</v>
      </c>
      <c r="M104" s="1">
        <v>-3.6197742372751203E-2</v>
      </c>
      <c r="N104" s="1">
        <f>+M104-J104</f>
        <v>-1.5677423727512019E-3</v>
      </c>
      <c r="O104">
        <v>2.0299999999999998</v>
      </c>
      <c r="P104" t="s">
        <v>16</v>
      </c>
      <c r="Q104">
        <v>0</v>
      </c>
      <c r="R104">
        <v>-1.8602872997522401E-2</v>
      </c>
      <c r="S104">
        <v>9.5605477690690103E-4</v>
      </c>
      <c r="T104">
        <v>0.01</v>
      </c>
      <c r="V104" t="s">
        <v>119</v>
      </c>
      <c r="W104" s="3">
        <f>AVERAGEIF(A:A,V104,F:F)</f>
        <v>8.8235294117647084E-4</v>
      </c>
      <c r="Y104" s="3"/>
    </row>
    <row r="105" spans="1:25" x14ac:dyDescent="0.3">
      <c r="A105" t="s">
        <v>24</v>
      </c>
      <c r="B105">
        <v>2006</v>
      </c>
      <c r="C105">
        <v>184063.0938</v>
      </c>
      <c r="D105" s="1">
        <v>1.2E-2</v>
      </c>
      <c r="E105" s="1">
        <v>0.91946810483932495</v>
      </c>
      <c r="F105" s="1">
        <v>2.1999999999999999E-2</v>
      </c>
      <c r="G105" s="1">
        <f t="shared" si="2"/>
        <v>2.1999999999999999E-2</v>
      </c>
      <c r="H105" s="1" t="str">
        <f t="shared" si="3"/>
        <v/>
      </c>
      <c r="I105" s="1">
        <v>-1.0999999999999999E-2</v>
      </c>
      <c r="J105" s="1">
        <f>+D105-F105+I105*O105</f>
        <v>-3.6290000000000003E-2</v>
      </c>
      <c r="K105" s="1">
        <v>6.3534140586853E-2</v>
      </c>
      <c r="L105" s="1">
        <f>+K105-J105</f>
        <v>9.9824140586853002E-2</v>
      </c>
      <c r="M105" s="1">
        <v>3.1534140586852999E-2</v>
      </c>
      <c r="N105" s="1">
        <f>+M105-J105</f>
        <v>6.7824140586853002E-2</v>
      </c>
      <c r="O105">
        <v>2.39</v>
      </c>
      <c r="P105" t="s">
        <v>17</v>
      </c>
      <c r="Q105">
        <v>0.03</v>
      </c>
      <c r="R105">
        <v>-3.0761388093233002E-3</v>
      </c>
      <c r="S105">
        <v>-2.1543828770517999E-3</v>
      </c>
      <c r="T105">
        <v>0.02</v>
      </c>
      <c r="V105" t="s">
        <v>120</v>
      </c>
      <c r="W105" s="3">
        <f>AVERAGEIF(A:A,V105,F:F)</f>
        <v>1.7647058823529418E-4</v>
      </c>
      <c r="Y105" s="3"/>
    </row>
    <row r="106" spans="1:25" x14ac:dyDescent="0.3">
      <c r="A106" t="s">
        <v>24</v>
      </c>
      <c r="B106">
        <v>2007</v>
      </c>
      <c r="C106">
        <v>187571.5</v>
      </c>
      <c r="D106" s="1">
        <v>0.02</v>
      </c>
      <c r="E106" s="1">
        <v>0.89702212810516402</v>
      </c>
      <c r="F106" s="1">
        <v>-6.6000000000000003E-2</v>
      </c>
      <c r="G106" s="1">
        <f t="shared" si="2"/>
        <v>-4.4000000000000004E-2</v>
      </c>
      <c r="H106" s="1" t="str">
        <f t="shared" si="3"/>
        <v/>
      </c>
      <c r="I106" s="1">
        <v>-2.1999999999999999E-2</v>
      </c>
      <c r="J106" s="1">
        <f>+D106-F106+I106*O106</f>
        <v>3.6940000000000008E-2</v>
      </c>
      <c r="K106" s="1">
        <v>2.59238611906767E-2</v>
      </c>
      <c r="L106" s="1">
        <f>+K106-J106</f>
        <v>-1.1016138809323308E-2</v>
      </c>
      <c r="M106" s="1">
        <v>-3.0761388093233002E-3</v>
      </c>
      <c r="N106" s="1">
        <f>+M106-J106</f>
        <v>-4.0016138809323309E-2</v>
      </c>
      <c r="O106">
        <v>2.23</v>
      </c>
      <c r="P106" t="s">
        <v>16</v>
      </c>
      <c r="Q106">
        <v>0</v>
      </c>
      <c r="R106">
        <v>-5.31044335216284E-2</v>
      </c>
      <c r="S106">
        <v>-2.3593629244714899E-2</v>
      </c>
      <c r="T106">
        <v>-7.0000000000000007E-2</v>
      </c>
      <c r="V106" t="s">
        <v>121</v>
      </c>
      <c r="W106" s="3">
        <f>AVERAGEIF(A:A,V106,F:F)</f>
        <v>-2.3529411764705826E-4</v>
      </c>
      <c r="Y106" s="3"/>
    </row>
    <row r="107" spans="1:25" x14ac:dyDescent="0.3">
      <c r="A107" t="s">
        <v>24</v>
      </c>
      <c r="B107">
        <v>2008</v>
      </c>
      <c r="C107">
        <v>190474.29689999999</v>
      </c>
      <c r="D107" s="1">
        <v>1E-3</v>
      </c>
      <c r="E107" s="1">
        <v>0.89636373519897505</v>
      </c>
      <c r="F107" s="1">
        <v>-1E-3</v>
      </c>
      <c r="G107" s="1">
        <f t="shared" si="2"/>
        <v>-4.5000000000000005E-2</v>
      </c>
      <c r="H107" s="1" t="str">
        <f t="shared" si="3"/>
        <v/>
      </c>
      <c r="I107" s="1">
        <v>-1E-3</v>
      </c>
      <c r="J107" s="1">
        <f>+D107-F107+I107*O107</f>
        <v>-2.3000000000000017E-4</v>
      </c>
      <c r="K107" s="1">
        <v>-1.5104433521628401E-2</v>
      </c>
      <c r="L107" s="1">
        <f>+K107-J107</f>
        <v>-1.48744335216284E-2</v>
      </c>
      <c r="M107" s="1">
        <v>-5.31044335216284E-2</v>
      </c>
      <c r="N107" s="1">
        <f>+M107-J107</f>
        <v>-5.2874433521628399E-2</v>
      </c>
      <c r="O107">
        <v>2.23</v>
      </c>
      <c r="P107" t="s">
        <v>16</v>
      </c>
      <c r="Q107">
        <v>-0.02</v>
      </c>
      <c r="R107">
        <v>-2.9523261547088599E-2</v>
      </c>
      <c r="S107">
        <v>-2.9565598815679498E-3</v>
      </c>
      <c r="T107">
        <v>0</v>
      </c>
      <c r="V107" t="s">
        <v>122</v>
      </c>
      <c r="W107" s="3">
        <f>AVERAGEIF(A:A,V107,F:F)</f>
        <v>-2.4117647058823533E-3</v>
      </c>
      <c r="Y107" s="3"/>
    </row>
    <row r="108" spans="1:25" x14ac:dyDescent="0.3">
      <c r="A108" t="s">
        <v>24</v>
      </c>
      <c r="B108">
        <v>2009</v>
      </c>
      <c r="C108">
        <v>192392.8125</v>
      </c>
      <c r="D108" s="1">
        <v>1E-3</v>
      </c>
      <c r="E108" s="1">
        <v>0.90298163890838601</v>
      </c>
      <c r="F108" s="1">
        <v>5.5E-2</v>
      </c>
      <c r="G108" s="1">
        <f t="shared" si="2"/>
        <v>9.999999999999995E-3</v>
      </c>
      <c r="H108" s="1" t="str">
        <f t="shared" si="3"/>
        <v/>
      </c>
      <c r="I108" s="1">
        <v>7.0000000000000001E-3</v>
      </c>
      <c r="J108" s="1">
        <f>+D108-F108+I108*O108</f>
        <v>-3.755E-2</v>
      </c>
      <c r="K108" s="1">
        <v>-3.3523261547088602E-2</v>
      </c>
      <c r="L108" s="1">
        <f>+K108-J108</f>
        <v>4.0267384529113978E-3</v>
      </c>
      <c r="M108" s="1">
        <v>-2.9523261547088599E-2</v>
      </c>
      <c r="N108" s="1">
        <f>+M108-J108</f>
        <v>8.0267384529114014E-3</v>
      </c>
      <c r="O108">
        <v>2.35</v>
      </c>
      <c r="P108" t="s">
        <v>15</v>
      </c>
      <c r="Q108">
        <v>0</v>
      </c>
      <c r="R108">
        <v>-8.0958755537867497E-3</v>
      </c>
      <c r="S108">
        <v>1.36423320509493E-3</v>
      </c>
      <c r="T108">
        <v>0.04</v>
      </c>
      <c r="V108" t="s">
        <v>123</v>
      </c>
      <c r="W108" s="3">
        <f>AVERAGEIF(A:A,V108,F:F)</f>
        <v>-7.0588235294117522E-4</v>
      </c>
      <c r="Y108" s="3"/>
    </row>
    <row r="109" spans="1:25" x14ac:dyDescent="0.3">
      <c r="A109" t="s">
        <v>24</v>
      </c>
      <c r="B109">
        <v>2010</v>
      </c>
      <c r="C109">
        <v>193725.5938</v>
      </c>
      <c r="D109" s="1">
        <v>0</v>
      </c>
      <c r="E109" s="1">
        <v>0.91318821907043501</v>
      </c>
      <c r="F109" s="1">
        <v>-5.6000000000000001E-2</v>
      </c>
      <c r="G109" s="1">
        <f t="shared" si="2"/>
        <v>-4.6000000000000006E-2</v>
      </c>
      <c r="H109" s="1" t="str">
        <f t="shared" si="3"/>
        <v/>
      </c>
      <c r="I109" s="1">
        <v>0.01</v>
      </c>
      <c r="J109" s="1">
        <f>+D109-F109+I109*O109</f>
        <v>7.8200000000000006E-2</v>
      </c>
      <c r="K109" s="1">
        <v>7.9041244462132506E-3</v>
      </c>
      <c r="L109" s="1">
        <f>+K109-J109</f>
        <v>-7.029587555378676E-2</v>
      </c>
      <c r="M109" s="1">
        <v>-8.0958755537867497E-3</v>
      </c>
      <c r="N109" s="1">
        <f>+M109-J109</f>
        <v>-8.6295875553786761E-2</v>
      </c>
      <c r="O109">
        <v>2.2200000000000002</v>
      </c>
      <c r="P109" t="s">
        <v>17</v>
      </c>
      <c r="Q109">
        <v>0</v>
      </c>
      <c r="R109">
        <v>-2.1258155226707501E-2</v>
      </c>
      <c r="S109">
        <v>2.5619287043799401E-5</v>
      </c>
      <c r="T109">
        <v>-0.06</v>
      </c>
      <c r="V109" t="s">
        <v>124</v>
      </c>
      <c r="W109" s="3">
        <f>AVERAGEIF(A:A,V109,F:F)</f>
        <v>-4.7058823529411804E-4</v>
      </c>
      <c r="Y109" s="3"/>
    </row>
    <row r="110" spans="1:25" x14ac:dyDescent="0.3">
      <c r="A110" t="s">
        <v>25</v>
      </c>
      <c r="B110">
        <v>2006</v>
      </c>
      <c r="C110">
        <v>4965195</v>
      </c>
      <c r="D110" s="1">
        <v>1.4999999999999999E-2</v>
      </c>
      <c r="E110" s="1">
        <v>0.907628953456879</v>
      </c>
      <c r="F110" s="1">
        <v>-3.3000000000000002E-2</v>
      </c>
      <c r="G110" s="1">
        <f t="shared" si="2"/>
        <v>-3.3000000000000002E-2</v>
      </c>
      <c r="H110" s="1" t="str">
        <f t="shared" si="3"/>
        <v/>
      </c>
      <c r="I110" s="1">
        <v>-3.0000000000000001E-3</v>
      </c>
      <c r="J110" s="1">
        <f>+D110-F110+I110*O110</f>
        <v>4.1070000000000002E-2</v>
      </c>
      <c r="K110" s="1">
        <v>1.7372462898492799E-2</v>
      </c>
      <c r="L110" s="1">
        <f>+K110-J110</f>
        <v>-2.3697537101507203E-2</v>
      </c>
      <c r="M110" s="1">
        <v>-1.46275371015072E-2</v>
      </c>
      <c r="N110" s="1">
        <f>+M110-J110</f>
        <v>-5.5697537101507204E-2</v>
      </c>
      <c r="O110">
        <v>2.31</v>
      </c>
      <c r="P110" t="s">
        <v>16</v>
      </c>
      <c r="Q110">
        <v>-0.02</v>
      </c>
      <c r="R110">
        <v>-1.46215734034777E-2</v>
      </c>
      <c r="S110">
        <v>-1.36998174712062E-2</v>
      </c>
      <c r="T110">
        <v>-0.03</v>
      </c>
      <c r="V110" t="s">
        <v>125</v>
      </c>
      <c r="W110" s="3">
        <f>AVERAGEIF(A:A,V110,F:F)</f>
        <v>6.352941176470589E-3</v>
      </c>
      <c r="Y110" s="3"/>
    </row>
    <row r="111" spans="1:25" x14ac:dyDescent="0.3">
      <c r="A111" t="s">
        <v>25</v>
      </c>
      <c r="B111">
        <v>2007</v>
      </c>
      <c r="C111">
        <v>5092258</v>
      </c>
      <c r="D111" s="1">
        <v>1.2999999999999999E-2</v>
      </c>
      <c r="E111" s="1">
        <v>0.89656019210815396</v>
      </c>
      <c r="F111" s="1">
        <v>3.3000000000000002E-2</v>
      </c>
      <c r="G111" s="1">
        <f t="shared" si="2"/>
        <v>0</v>
      </c>
      <c r="H111" s="1" t="str">
        <f t="shared" si="3"/>
        <v/>
      </c>
      <c r="I111" s="1">
        <v>-1.0999999999999999E-2</v>
      </c>
      <c r="J111" s="1">
        <f>+D111-F111+I111*O111</f>
        <v>-4.6290000000000005E-2</v>
      </c>
      <c r="K111" s="1">
        <v>1.43784265965223E-2</v>
      </c>
      <c r="L111" s="1">
        <f>+K111-J111</f>
        <v>6.0668426596522301E-2</v>
      </c>
      <c r="M111" s="1">
        <v>-1.46215734034777E-2</v>
      </c>
      <c r="N111" s="1">
        <f>+M111-J111</f>
        <v>3.1668426596522303E-2</v>
      </c>
      <c r="O111">
        <v>2.39</v>
      </c>
      <c r="P111" t="s">
        <v>17</v>
      </c>
      <c r="Q111">
        <v>-0.01</v>
      </c>
      <c r="R111">
        <v>-5.5519464716315303E-2</v>
      </c>
      <c r="S111">
        <v>-2.60086604394019E-2</v>
      </c>
      <c r="T111">
        <v>0.03</v>
      </c>
      <c r="V111" t="s">
        <v>126</v>
      </c>
      <c r="W111" s="3">
        <f>AVERAGEIF(A:A,V111,F:F)</f>
        <v>1.4705882352941176E-3</v>
      </c>
      <c r="Y111" s="3"/>
    </row>
    <row r="112" spans="1:25" x14ac:dyDescent="0.3">
      <c r="A112" t="s">
        <v>25</v>
      </c>
      <c r="B112">
        <v>2008</v>
      </c>
      <c r="C112">
        <v>5188001</v>
      </c>
      <c r="D112" s="1">
        <v>2.8000000000000001E-2</v>
      </c>
      <c r="E112" s="1">
        <v>0.89292711019516002</v>
      </c>
      <c r="F112" s="1">
        <v>-8.0000000000000002E-3</v>
      </c>
      <c r="G112" s="1">
        <f t="shared" si="2"/>
        <v>-8.0000000000000002E-3</v>
      </c>
      <c r="H112" s="1" t="str">
        <f t="shared" si="3"/>
        <v/>
      </c>
      <c r="I112" s="1">
        <v>-4.0000000000000001E-3</v>
      </c>
      <c r="J112" s="1">
        <f>+D112-F112+I112*O112</f>
        <v>2.6520000000000002E-2</v>
      </c>
      <c r="K112" s="1">
        <v>-1.7519464716315301E-2</v>
      </c>
      <c r="L112" s="1">
        <f>+K112-J112</f>
        <v>-4.4039464716315299E-2</v>
      </c>
      <c r="M112" s="1">
        <v>-5.5519464716315303E-2</v>
      </c>
      <c r="N112" s="1">
        <f>+M112-J112</f>
        <v>-8.2039464716315305E-2</v>
      </c>
      <c r="O112">
        <v>2.37</v>
      </c>
      <c r="P112" t="s">
        <v>16</v>
      </c>
      <c r="Q112">
        <v>-0.03</v>
      </c>
      <c r="R112">
        <v>-2.97496437132358E-2</v>
      </c>
      <c r="S112">
        <v>-3.18294204771524E-3</v>
      </c>
      <c r="T112">
        <v>-0.01</v>
      </c>
      <c r="V112" t="s">
        <v>127</v>
      </c>
      <c r="W112" s="3">
        <f>AVERAGEIF(A:A,V112,F:F)</f>
        <v>-8.2352941176470646E-4</v>
      </c>
      <c r="Y112" s="3"/>
    </row>
    <row r="113" spans="1:25" x14ac:dyDescent="0.3">
      <c r="A113" t="s">
        <v>25</v>
      </c>
      <c r="B113">
        <v>2009</v>
      </c>
      <c r="C113">
        <v>5256739</v>
      </c>
      <c r="D113" s="1">
        <v>1.2E-2</v>
      </c>
      <c r="E113" s="1">
        <v>0.897097408771515</v>
      </c>
      <c r="F113" s="1">
        <v>1.7000000000000001E-2</v>
      </c>
      <c r="G113" s="1">
        <f t="shared" si="2"/>
        <v>9.0000000000000011E-3</v>
      </c>
      <c r="H113" s="1" t="str">
        <f t="shared" si="3"/>
        <v/>
      </c>
      <c r="I113" s="1">
        <v>4.0000000000000001E-3</v>
      </c>
      <c r="J113" s="1">
        <f>+D113-F113+I113*O113</f>
        <v>4.64E-3</v>
      </c>
      <c r="K113" s="1">
        <v>-3.3749643713235897E-2</v>
      </c>
      <c r="L113" s="1">
        <f>+K113-J113</f>
        <v>-3.8389643713235895E-2</v>
      </c>
      <c r="M113" s="1">
        <v>-2.97496437132358E-2</v>
      </c>
      <c r="N113" s="1">
        <f>+M113-J113</f>
        <v>-3.4389643713235801E-2</v>
      </c>
      <c r="O113">
        <v>2.41</v>
      </c>
      <c r="P113" t="s">
        <v>15</v>
      </c>
      <c r="Q113">
        <v>0</v>
      </c>
      <c r="R113">
        <v>-2.0765441175550198E-2</v>
      </c>
      <c r="S113">
        <v>-1.13053324166685E-2</v>
      </c>
      <c r="T113">
        <v>0</v>
      </c>
      <c r="V113" t="s">
        <v>128</v>
      </c>
      <c r="W113" s="3">
        <f>AVERAGEIF(A:A,V113,F:F)</f>
        <v>-5.7058823529411769E-3</v>
      </c>
      <c r="Y113" s="3"/>
    </row>
    <row r="114" spans="1:25" x14ac:dyDescent="0.3">
      <c r="A114" t="s">
        <v>25</v>
      </c>
      <c r="B114">
        <v>2010</v>
      </c>
      <c r="C114">
        <v>5319784</v>
      </c>
      <c r="D114" s="1">
        <v>6.0000000000000001E-3</v>
      </c>
      <c r="E114" s="1">
        <v>0.90631604194641102</v>
      </c>
      <c r="F114" s="1">
        <v>1.7000000000000001E-2</v>
      </c>
      <c r="G114" s="1">
        <f t="shared" si="2"/>
        <v>2.6000000000000002E-2</v>
      </c>
      <c r="H114" s="1" t="str">
        <f t="shared" si="3"/>
        <v/>
      </c>
      <c r="I114" s="1">
        <v>8.9999999999999993E-3</v>
      </c>
      <c r="J114" s="1">
        <f>+D114-F114+I114*O114</f>
        <v>1.1049999999999999E-2</v>
      </c>
      <c r="K114" s="1">
        <v>-4.7654411755502198E-3</v>
      </c>
      <c r="L114" s="1">
        <f>+K114-J114</f>
        <v>-1.581544117555022E-2</v>
      </c>
      <c r="M114" s="1">
        <v>-2.0765441175550198E-2</v>
      </c>
      <c r="N114" s="1">
        <f>+M114-J114</f>
        <v>-3.1815441175550199E-2</v>
      </c>
      <c r="O114">
        <v>2.4500000000000002</v>
      </c>
      <c r="P114" t="s">
        <v>15</v>
      </c>
      <c r="Q114">
        <v>-0.01</v>
      </c>
      <c r="R114">
        <v>-1.7565867274999598E-2</v>
      </c>
      <c r="S114">
        <v>3.7179072387517002E-3</v>
      </c>
      <c r="T114">
        <v>0.01</v>
      </c>
      <c r="V114" t="s">
        <v>129</v>
      </c>
      <c r="W114" s="3">
        <f>AVERAGEIF(A:A,V114,F:F)</f>
        <v>1.8235294117647073E-3</v>
      </c>
      <c r="Y114" s="3"/>
    </row>
    <row r="115" spans="1:25" x14ac:dyDescent="0.3">
      <c r="A115" t="s">
        <v>25</v>
      </c>
      <c r="B115">
        <v>2011</v>
      </c>
      <c r="C115">
        <v>5388462</v>
      </c>
      <c r="D115" s="1">
        <v>2E-3</v>
      </c>
      <c r="E115" s="1">
        <v>0.90554273128509499</v>
      </c>
      <c r="F115" s="1">
        <v>0</v>
      </c>
      <c r="G115" s="1">
        <f t="shared" si="2"/>
        <v>2.6000000000000002E-2</v>
      </c>
      <c r="H115" s="1" t="str">
        <f t="shared" si="3"/>
        <v/>
      </c>
      <c r="I115" s="1">
        <v>-1E-3</v>
      </c>
      <c r="J115" s="1">
        <f>+D115-F115+I115*O115</f>
        <v>-4.5000000000000031E-4</v>
      </c>
      <c r="K115" s="1">
        <v>1.4434132725000401E-2</v>
      </c>
      <c r="L115" s="1">
        <f>+K115-J115</f>
        <v>1.4884132725000401E-2</v>
      </c>
      <c r="M115" s="1">
        <v>-1.7565867274999598E-2</v>
      </c>
      <c r="N115" s="1">
        <f>+M115-J115</f>
        <v>-1.7115867274999599E-2</v>
      </c>
      <c r="O115">
        <v>2.4500000000000002</v>
      </c>
      <c r="P115" t="s">
        <v>17</v>
      </c>
      <c r="Q115">
        <v>0</v>
      </c>
      <c r="R115">
        <v>5.7536398023366898E-3</v>
      </c>
      <c r="S115">
        <v>1.1191845871508E-2</v>
      </c>
      <c r="T115">
        <v>0</v>
      </c>
      <c r="V115" t="s">
        <v>130</v>
      </c>
      <c r="W115" s="3">
        <f>AVERAGEIF(A:A,V115,F:F)</f>
        <v>7.64705882352941E-4</v>
      </c>
      <c r="Y115" s="3"/>
    </row>
    <row r="116" spans="1:25" x14ac:dyDescent="0.3">
      <c r="A116" t="s">
        <v>25</v>
      </c>
      <c r="B116">
        <v>2012</v>
      </c>
      <c r="C116">
        <v>5466024</v>
      </c>
      <c r="D116" s="1">
        <v>-5.0000000000000001E-3</v>
      </c>
      <c r="E116" s="1">
        <v>0.91628336906433105</v>
      </c>
      <c r="F116" s="1">
        <v>5.0000000000000001E-3</v>
      </c>
      <c r="G116" s="1">
        <f t="shared" si="2"/>
        <v>3.1000000000000003E-2</v>
      </c>
      <c r="H116" s="1" t="str">
        <f t="shared" si="3"/>
        <v/>
      </c>
      <c r="I116" s="1">
        <v>1.0999999999999999E-2</v>
      </c>
      <c r="J116" s="1">
        <f>+D116-F116+I116*O116</f>
        <v>1.7059999999999999E-2</v>
      </c>
      <c r="K116" s="1">
        <v>2.67536398023367E-2</v>
      </c>
      <c r="L116" s="1">
        <f>+K116-J116</f>
        <v>9.693639802336701E-3</v>
      </c>
      <c r="M116" s="1">
        <v>5.7536398023366898E-3</v>
      </c>
      <c r="N116" s="1">
        <f>+M116-J116</f>
        <v>-1.1306360197663309E-2</v>
      </c>
      <c r="O116">
        <v>2.46</v>
      </c>
      <c r="P116" t="s">
        <v>15</v>
      </c>
      <c r="Q116">
        <v>0.01</v>
      </c>
      <c r="R116">
        <v>1.9906752407550798E-2</v>
      </c>
      <c r="S116">
        <v>1.3779981061816099E-2</v>
      </c>
      <c r="T116">
        <v>0</v>
      </c>
      <c r="V116" t="s">
        <v>131</v>
      </c>
      <c r="W116" s="3">
        <f>AVERAGEIF(A:A,V116,F:F)</f>
        <v>-1.2352941176470603E-3</v>
      </c>
      <c r="Y116" s="3"/>
    </row>
    <row r="117" spans="1:25" x14ac:dyDescent="0.3">
      <c r="A117" t="s">
        <v>25</v>
      </c>
      <c r="B117">
        <v>2013</v>
      </c>
      <c r="C117">
        <v>5537353</v>
      </c>
      <c r="D117" s="1">
        <v>1.2999999999999999E-2</v>
      </c>
      <c r="E117" s="1">
        <v>0.92231214046478305</v>
      </c>
      <c r="F117" s="1">
        <v>-8.0000000000000002E-3</v>
      </c>
      <c r="G117" s="1">
        <f t="shared" si="2"/>
        <v>2.3000000000000003E-2</v>
      </c>
      <c r="H117" s="1" t="str">
        <f t="shared" si="3"/>
        <v/>
      </c>
      <c r="I117" s="1">
        <v>6.0000000000000001E-3</v>
      </c>
      <c r="J117" s="1">
        <f>+D117-F117+I117*O117</f>
        <v>3.5639999999999998E-2</v>
      </c>
      <c r="K117" s="1">
        <v>3.4906752407550798E-2</v>
      </c>
      <c r="L117" s="1">
        <f>+K117-J117</f>
        <v>-7.3324759244920018E-4</v>
      </c>
      <c r="M117" s="1">
        <v>1.9906752407550798E-2</v>
      </c>
      <c r="N117" s="1">
        <f>+M117-J117</f>
        <v>-1.57332475924492E-2</v>
      </c>
      <c r="O117">
        <v>2.44</v>
      </c>
      <c r="P117" t="s">
        <v>17</v>
      </c>
      <c r="Q117">
        <v>0.01</v>
      </c>
      <c r="R117">
        <v>1.8444287419319201E-2</v>
      </c>
      <c r="S117">
        <v>1.64362639188767E-2</v>
      </c>
      <c r="T117">
        <v>-0.02</v>
      </c>
      <c r="V117" t="s">
        <v>132</v>
      </c>
      <c r="W117" s="3">
        <f>AVERAGEIF(A:A,V117,F:F)</f>
        <v>2.0399999999999998E-2</v>
      </c>
      <c r="Y117" s="3"/>
    </row>
    <row r="118" spans="1:25" x14ac:dyDescent="0.3">
      <c r="A118" t="s">
        <v>25</v>
      </c>
      <c r="B118">
        <v>2014</v>
      </c>
      <c r="C118">
        <v>5625005</v>
      </c>
      <c r="D118" s="1">
        <v>1.2999999999999999E-2</v>
      </c>
      <c r="E118" s="1">
        <v>0.91777199506759599</v>
      </c>
      <c r="F118" s="1">
        <v>1.9E-2</v>
      </c>
      <c r="G118" s="1">
        <f t="shared" si="2"/>
        <v>4.2000000000000003E-2</v>
      </c>
      <c r="H118" s="1" t="str">
        <f t="shared" si="3"/>
        <v/>
      </c>
      <c r="I118" s="1">
        <v>-5.0000000000000001E-3</v>
      </c>
      <c r="J118" s="1">
        <f>+D118-F118+I118*O118</f>
        <v>-1.8450000000000001E-2</v>
      </c>
      <c r="K118" s="1">
        <v>3.4444287419319201E-2</v>
      </c>
      <c r="L118" s="1">
        <f>+K118-J118</f>
        <v>5.2894287419319203E-2</v>
      </c>
      <c r="M118" s="1">
        <v>1.8444287419319201E-2</v>
      </c>
      <c r="N118" s="1">
        <f>+M118-J118</f>
        <v>3.6894287419319202E-2</v>
      </c>
      <c r="O118">
        <v>2.4900000000000002</v>
      </c>
      <c r="P118" t="s">
        <v>17</v>
      </c>
      <c r="Q118">
        <v>0.02</v>
      </c>
      <c r="R118">
        <v>5.8711996465921401E-2</v>
      </c>
      <c r="S118">
        <v>2.8448544442653701E-2</v>
      </c>
      <c r="T118">
        <v>0.01</v>
      </c>
      <c r="V118" t="s">
        <v>133</v>
      </c>
      <c r="W118" s="3">
        <f>AVERAGEIF(A:A,V118,F:F)</f>
        <v>-2.3529411764705885E-3</v>
      </c>
      <c r="Y118" s="3"/>
    </row>
    <row r="119" spans="1:25" x14ac:dyDescent="0.3">
      <c r="A119" t="s">
        <v>25</v>
      </c>
      <c r="B119">
        <v>2015</v>
      </c>
      <c r="C119">
        <v>5721846</v>
      </c>
      <c r="D119" s="1">
        <v>1.7999999999999999E-2</v>
      </c>
      <c r="E119" s="1">
        <v>0.91949880123138406</v>
      </c>
      <c r="F119" s="1">
        <v>-3.0000000000000001E-3</v>
      </c>
      <c r="G119" s="1">
        <f t="shared" si="2"/>
        <v>3.9E-2</v>
      </c>
      <c r="H119" s="1" t="str">
        <f t="shared" si="3"/>
        <v/>
      </c>
      <c r="I119" s="1">
        <v>2E-3</v>
      </c>
      <c r="J119" s="1">
        <f>+D119-F119+I119*O119</f>
        <v>2.5959999999999997E-2</v>
      </c>
      <c r="K119" s="1">
        <v>5.9711996465921402E-2</v>
      </c>
      <c r="L119" s="1">
        <f>+K119-J119</f>
        <v>3.3751996465921405E-2</v>
      </c>
      <c r="M119" s="1">
        <v>5.8711996465921401E-2</v>
      </c>
      <c r="N119" s="1">
        <f>+M119-J119</f>
        <v>3.2751996465921404E-2</v>
      </c>
      <c r="O119">
        <v>2.48</v>
      </c>
      <c r="P119" t="s">
        <v>17</v>
      </c>
      <c r="Q119">
        <v>0.03</v>
      </c>
      <c r="R119">
        <v>2.6301253855228399E-2</v>
      </c>
      <c r="S119">
        <v>1.3147696852684E-2</v>
      </c>
      <c r="T119">
        <v>0.01</v>
      </c>
      <c r="V119" t="s">
        <v>134</v>
      </c>
      <c r="W119" s="3">
        <f>AVERAGEIF(A:A,V119,F:F)</f>
        <v>-2.9411764705882318E-4</v>
      </c>
      <c r="Y119" s="3"/>
    </row>
    <row r="120" spans="1:25" x14ac:dyDescent="0.3">
      <c r="A120" t="s">
        <v>25</v>
      </c>
      <c r="B120">
        <v>2016</v>
      </c>
      <c r="C120">
        <v>5822267</v>
      </c>
      <c r="D120" s="1">
        <v>1.7999999999999999E-2</v>
      </c>
      <c r="E120" s="1">
        <v>0.91096055507659901</v>
      </c>
      <c r="F120" s="1">
        <v>-2.1999999999999999E-2</v>
      </c>
      <c r="G120" s="1">
        <f t="shared" si="2"/>
        <v>1.7000000000000001E-2</v>
      </c>
      <c r="H120" s="1" t="str">
        <f t="shared" si="3"/>
        <v/>
      </c>
      <c r="I120" s="1">
        <v>-8.9999999999999993E-3</v>
      </c>
      <c r="J120" s="1">
        <f>+D120-F120+I120*O120</f>
        <v>1.8129999999999993E-2</v>
      </c>
      <c r="K120" s="1">
        <v>3.9301253855228403E-2</v>
      </c>
      <c r="L120" s="1">
        <f>+K120-J120</f>
        <v>2.117125385522841E-2</v>
      </c>
      <c r="M120" s="1">
        <v>2.6301253855228399E-2</v>
      </c>
      <c r="N120" s="1">
        <f>+M120-J120</f>
        <v>8.1712538552284053E-3</v>
      </c>
      <c r="O120">
        <v>2.4300000000000002</v>
      </c>
      <c r="P120" t="s">
        <v>16</v>
      </c>
      <c r="Q120">
        <v>0.01</v>
      </c>
      <c r="R120">
        <v>9.1978494971990902E-3</v>
      </c>
      <c r="S120">
        <v>6.4082760363818004E-3</v>
      </c>
      <c r="T120">
        <v>-0.02</v>
      </c>
      <c r="V120" t="s">
        <v>135</v>
      </c>
      <c r="W120" s="3">
        <f>AVERAGEIF(A:A,V120,F:F)</f>
        <v>-3.4117647058823537E-3</v>
      </c>
      <c r="Y120" s="3"/>
    </row>
    <row r="121" spans="1:25" x14ac:dyDescent="0.3">
      <c r="A121" t="s">
        <v>25</v>
      </c>
      <c r="B121">
        <v>2017</v>
      </c>
      <c r="C121">
        <v>5905755</v>
      </c>
      <c r="D121" s="1">
        <v>2.9000000000000001E-2</v>
      </c>
      <c r="E121" s="1">
        <v>0.906033575534821</v>
      </c>
      <c r="F121" s="1">
        <v>-7.0000000000000001E-3</v>
      </c>
      <c r="G121" s="1">
        <f t="shared" si="2"/>
        <v>1.0000000000000002E-2</v>
      </c>
      <c r="H121" s="1" t="str">
        <f t="shared" si="3"/>
        <v/>
      </c>
      <c r="I121" s="1">
        <v>-5.0000000000000001E-3</v>
      </c>
      <c r="J121" s="1">
        <f>+D121-F121+I121*O121</f>
        <v>2.3950000000000003E-2</v>
      </c>
      <c r="K121" s="1">
        <v>3.01978494971991E-2</v>
      </c>
      <c r="L121" s="1">
        <f>+K121-J121</f>
        <v>6.2478494971990976E-3</v>
      </c>
      <c r="M121" s="1">
        <v>9.1978494971990902E-3</v>
      </c>
      <c r="N121" s="1">
        <f>+M121-J121</f>
        <v>-1.4752150502800912E-2</v>
      </c>
      <c r="O121">
        <v>2.41</v>
      </c>
      <c r="P121" t="s">
        <v>16</v>
      </c>
      <c r="Q121">
        <v>0.01</v>
      </c>
      <c r="R121">
        <v>2.73398349285126E-2</v>
      </c>
      <c r="S121">
        <v>1.8204811960458801E-2</v>
      </c>
      <c r="T121">
        <v>0</v>
      </c>
      <c r="V121" t="s">
        <v>136</v>
      </c>
      <c r="W121" s="3">
        <f>AVERAGEIF(A:A,V121,F:F)</f>
        <v>-2.6470588235294116E-3</v>
      </c>
      <c r="Y121" s="3"/>
    </row>
    <row r="122" spans="1:25" x14ac:dyDescent="0.3">
      <c r="A122" t="s">
        <v>25</v>
      </c>
      <c r="B122">
        <v>2018</v>
      </c>
      <c r="C122">
        <v>5981888</v>
      </c>
      <c r="D122" s="1">
        <v>1.7000000000000001E-2</v>
      </c>
      <c r="E122" s="1">
        <v>0.91402238607406605</v>
      </c>
      <c r="F122" s="1">
        <v>-1.0999999999999999E-2</v>
      </c>
      <c r="G122" s="1">
        <f t="shared" si="2"/>
        <v>-9.9999999999999742E-4</v>
      </c>
      <c r="H122" s="1" t="str">
        <f t="shared" si="3"/>
        <v/>
      </c>
      <c r="I122" s="1">
        <v>8.0000000000000002E-3</v>
      </c>
      <c r="J122" s="1">
        <f>+D122-F122+I122*O122</f>
        <v>4.7039999999999998E-2</v>
      </c>
      <c r="K122" s="1">
        <v>5.1339834928512601E-2</v>
      </c>
      <c r="L122" s="1">
        <f>+K122-J122</f>
        <v>4.2998349285126025E-3</v>
      </c>
      <c r="M122" s="1">
        <v>2.73398349285126E-2</v>
      </c>
      <c r="N122" s="1">
        <f>+M122-J122</f>
        <v>-1.9700165071487398E-2</v>
      </c>
      <c r="O122">
        <v>2.38</v>
      </c>
      <c r="P122" t="s">
        <v>17</v>
      </c>
      <c r="Q122">
        <v>0.02</v>
      </c>
      <c r="R122">
        <v>2.4036157101392699E-2</v>
      </c>
      <c r="S122">
        <v>6.2349624931811896E-3</v>
      </c>
      <c r="T122">
        <v>0</v>
      </c>
      <c r="V122" t="s">
        <v>137</v>
      </c>
      <c r="W122" s="3">
        <f>AVERAGEIF(A:A,V122,F:F)</f>
        <v>-3.4705882352941181E-3</v>
      </c>
      <c r="Y122" s="3"/>
    </row>
    <row r="123" spans="1:25" x14ac:dyDescent="0.3">
      <c r="A123" t="s">
        <v>25</v>
      </c>
      <c r="B123">
        <v>2019</v>
      </c>
      <c r="C123">
        <v>6057035</v>
      </c>
      <c r="D123" s="1">
        <v>2.5999999999999999E-2</v>
      </c>
      <c r="E123" s="1">
        <v>0.91110908985137895</v>
      </c>
      <c r="F123" s="1">
        <v>-2.7E-2</v>
      </c>
      <c r="G123" s="1">
        <f t="shared" si="2"/>
        <v>-2.7999999999999997E-2</v>
      </c>
      <c r="H123" s="1" t="str">
        <f t="shared" si="3"/>
        <v/>
      </c>
      <c r="I123" s="1">
        <v>-3.0000000000000001E-3</v>
      </c>
      <c r="J123" s="1">
        <f>+D123-F123+I123*O123</f>
        <v>4.6039999999999998E-2</v>
      </c>
      <c r="K123" s="1">
        <v>4.2036157101392697E-2</v>
      </c>
      <c r="L123" s="1">
        <f>+K123-J123</f>
        <v>-4.0038428986073002E-3</v>
      </c>
      <c r="M123" s="1">
        <v>2.4036157101392699E-2</v>
      </c>
      <c r="N123" s="1">
        <f>+M123-J123</f>
        <v>-2.2003842898607299E-2</v>
      </c>
      <c r="O123">
        <v>2.3199999999999998</v>
      </c>
      <c r="P123" t="s">
        <v>16</v>
      </c>
      <c r="Q123">
        <v>0.01</v>
      </c>
      <c r="R123">
        <v>2.4170158535242101E-2</v>
      </c>
      <c r="S123">
        <v>5.3209681063891004E-3</v>
      </c>
      <c r="T123">
        <v>-0.02</v>
      </c>
      <c r="V123" t="s">
        <v>138</v>
      </c>
      <c r="W123" s="3">
        <f>AVERAGEIF(A:A,V123,F:F)</f>
        <v>-2.6470588235294116E-3</v>
      </c>
      <c r="Y123" s="3"/>
    </row>
    <row r="124" spans="1:25" x14ac:dyDescent="0.3">
      <c r="A124" t="s">
        <v>25</v>
      </c>
      <c r="B124">
        <v>2020</v>
      </c>
      <c r="C124">
        <v>6115917</v>
      </c>
      <c r="D124" s="1">
        <v>3.2000000000000001E-2</v>
      </c>
      <c r="E124" s="1">
        <v>0.91866725683212302</v>
      </c>
      <c r="F124" s="1">
        <v>-6.7000000000000004E-2</v>
      </c>
      <c r="G124" s="1">
        <f t="shared" si="2"/>
        <v>-9.5000000000000001E-2</v>
      </c>
      <c r="H124" s="1" t="str">
        <f t="shared" si="3"/>
        <v/>
      </c>
      <c r="I124" s="1">
        <v>8.0000000000000002E-3</v>
      </c>
      <c r="J124" s="1">
        <f>+D124-F124+I124*O124</f>
        <v>0.11628000000000001</v>
      </c>
      <c r="K124" s="1">
        <v>3.6170158535242102E-2</v>
      </c>
      <c r="L124" s="1">
        <f>+K124-J124</f>
        <v>-8.0109841464757914E-2</v>
      </c>
      <c r="M124" s="1">
        <v>2.4170158535242101E-2</v>
      </c>
      <c r="N124" s="1">
        <f>+M124-J124</f>
        <v>-9.2109841464757911E-2</v>
      </c>
      <c r="O124">
        <v>2.16</v>
      </c>
      <c r="P124" t="s">
        <v>17</v>
      </c>
      <c r="Q124">
        <v>0.01</v>
      </c>
      <c r="R124">
        <v>0.117288938045501</v>
      </c>
      <c r="S124">
        <v>7.3699325323104997E-2</v>
      </c>
      <c r="T124">
        <v>-0.03</v>
      </c>
      <c r="V124" t="s">
        <v>139</v>
      </c>
      <c r="W124" s="3">
        <f>AVERAGEIF(A:A,V124,F:F)</f>
        <v>-5.5882352941176491E-3</v>
      </c>
      <c r="Y124" s="3"/>
    </row>
    <row r="125" spans="1:25" x14ac:dyDescent="0.3">
      <c r="A125" t="s">
        <v>25</v>
      </c>
      <c r="B125">
        <v>2021</v>
      </c>
      <c r="C125">
        <v>6167900</v>
      </c>
      <c r="D125" s="1">
        <v>1.7999999999999999E-2</v>
      </c>
      <c r="E125" s="1">
        <v>0.938579201698303</v>
      </c>
      <c r="F125" s="1">
        <v>0.05</v>
      </c>
      <c r="G125" s="1">
        <f t="shared" si="2"/>
        <v>-4.4999999999999998E-2</v>
      </c>
      <c r="H125" s="1" t="str">
        <f t="shared" si="3"/>
        <v/>
      </c>
      <c r="I125" s="1">
        <v>0.02</v>
      </c>
      <c r="J125" s="1">
        <f>+D125-F125+I125*O125</f>
        <v>1.3400000000000002E-2</v>
      </c>
      <c r="K125" s="1">
        <v>0.16428893804550199</v>
      </c>
      <c r="L125" s="1">
        <f>+K125-J125</f>
        <v>0.15088893804550199</v>
      </c>
      <c r="M125" s="1">
        <v>0.117288938045501</v>
      </c>
      <c r="N125" s="1">
        <f>+M125-J125</f>
        <v>0.10388893804550101</v>
      </c>
      <c r="O125">
        <v>2.27</v>
      </c>
      <c r="P125" t="s">
        <v>15</v>
      </c>
      <c r="Q125">
        <v>7.0000000000000007E-2</v>
      </c>
      <c r="R125">
        <v>-6.2909524813294398E-2</v>
      </c>
      <c r="S125">
        <v>-3.0806018039584E-2</v>
      </c>
      <c r="T125">
        <v>0.02</v>
      </c>
      <c r="V125" t="s">
        <v>140</v>
      </c>
      <c r="W125" s="3">
        <f>AVERAGEIF(A:A,V125,F:F)</f>
        <v>-3.4117647058823529E-3</v>
      </c>
      <c r="Y125" s="3"/>
    </row>
    <row r="126" spans="1:25" x14ac:dyDescent="0.3">
      <c r="A126" t="s">
        <v>25</v>
      </c>
      <c r="B126">
        <v>2022</v>
      </c>
      <c r="C126">
        <v>6257506</v>
      </c>
      <c r="D126" s="1">
        <v>3.1E-2</v>
      </c>
      <c r="E126" s="1">
        <v>0.90623831748962402</v>
      </c>
      <c r="F126" s="1">
        <v>1.7000000000000001E-2</v>
      </c>
      <c r="G126" s="1">
        <f t="shared" si="2"/>
        <v>-2.7999999999999997E-2</v>
      </c>
      <c r="H126" s="1" t="str">
        <f t="shared" si="3"/>
        <v/>
      </c>
      <c r="I126" s="1">
        <v>-3.2000000000000001E-2</v>
      </c>
      <c r="J126" s="1">
        <f>+D126-F126+I126*O126</f>
        <v>-5.9920000000000001E-2</v>
      </c>
      <c r="K126" s="1">
        <v>1.70904751867056E-2</v>
      </c>
      <c r="L126" s="1">
        <f>+K126-J126</f>
        <v>7.7010475186705604E-2</v>
      </c>
      <c r="M126" s="1">
        <v>-6.2909524813294398E-2</v>
      </c>
      <c r="N126" s="1">
        <f>+M126-J126</f>
        <v>-2.9895248132943975E-3</v>
      </c>
      <c r="O126">
        <v>2.31</v>
      </c>
      <c r="P126" t="s">
        <v>17</v>
      </c>
      <c r="Q126">
        <v>-0.03</v>
      </c>
      <c r="R126">
        <v>-6.7408603414893201E-2</v>
      </c>
      <c r="S126">
        <v>-4.7849675640463898E-2</v>
      </c>
      <c r="T126">
        <v>0.03</v>
      </c>
      <c r="V126" t="s">
        <v>141</v>
      </c>
      <c r="W126" s="3">
        <f>AVERAGEIF(A:A,V126,F:F)</f>
        <v>1.1764705882352829E-4</v>
      </c>
      <c r="Y126" s="3"/>
    </row>
    <row r="127" spans="1:25" x14ac:dyDescent="0.3">
      <c r="A127" t="s">
        <v>26</v>
      </c>
      <c r="B127">
        <v>2006</v>
      </c>
      <c r="C127">
        <v>271879.6875</v>
      </c>
      <c r="D127" s="1">
        <v>0</v>
      </c>
      <c r="E127" s="1">
        <v>0.92754775285720803</v>
      </c>
      <c r="F127" s="1">
        <v>2.7E-2</v>
      </c>
      <c r="G127" s="1">
        <f t="shared" si="2"/>
        <v>2.7E-2</v>
      </c>
      <c r="H127" s="1" t="str">
        <f t="shared" si="3"/>
        <v/>
      </c>
      <c r="I127" s="1">
        <v>8.0000000000000002E-3</v>
      </c>
      <c r="J127" s="1">
        <f>+D127-F127+I127*O127</f>
        <v>-9.2399999999999982E-3</v>
      </c>
      <c r="K127" s="1">
        <v>2.9498875141143799E-2</v>
      </c>
      <c r="L127" s="1">
        <f>+K127-J127</f>
        <v>3.8738875141143797E-2</v>
      </c>
      <c r="M127" s="1">
        <v>-2.5011248588562001E-3</v>
      </c>
      <c r="N127" s="1">
        <f>+M127-J127</f>
        <v>6.7388751411437981E-3</v>
      </c>
      <c r="O127">
        <v>2.2200000000000002</v>
      </c>
      <c r="P127" t="s">
        <v>15</v>
      </c>
      <c r="Q127">
        <v>-0.01</v>
      </c>
      <c r="R127">
        <v>7.5092455744739698E-4</v>
      </c>
      <c r="S127">
        <v>1.67268048971889E-3</v>
      </c>
      <c r="T127">
        <v>0.03</v>
      </c>
      <c r="V127" t="s">
        <v>142</v>
      </c>
      <c r="W127" s="3">
        <f>AVERAGEIF(A:A,V127,F:F)</f>
        <v>2.7647058823529408E-3</v>
      </c>
      <c r="Y127" s="3"/>
    </row>
    <row r="128" spans="1:25" x14ac:dyDescent="0.3">
      <c r="A128" t="s">
        <v>26</v>
      </c>
      <c r="B128">
        <v>2007</v>
      </c>
      <c r="C128">
        <v>272478.90629999997</v>
      </c>
      <c r="D128" s="1">
        <v>0</v>
      </c>
      <c r="E128" s="1">
        <v>0.92615967988967896</v>
      </c>
      <c r="F128" s="1">
        <v>-2.5999999999999999E-2</v>
      </c>
      <c r="G128" s="1">
        <f t="shared" si="2"/>
        <v>1.0000000000000009E-3</v>
      </c>
      <c r="H128" s="1" t="str">
        <f t="shared" si="3"/>
        <v/>
      </c>
      <c r="I128" s="1">
        <v>-1E-3</v>
      </c>
      <c r="J128" s="1">
        <f>+D128-F128+I128*O128</f>
        <v>2.3829999999999997E-2</v>
      </c>
      <c r="K128" s="1">
        <v>2.9750924557447399E-2</v>
      </c>
      <c r="L128" s="1">
        <f>+K128-J128</f>
        <v>5.9209245574474018E-3</v>
      </c>
      <c r="M128" s="1">
        <v>7.5092455744739698E-4</v>
      </c>
      <c r="N128" s="1">
        <f>+M128-J128</f>
        <v>-2.30790754425526E-2</v>
      </c>
      <c r="O128">
        <v>2.17</v>
      </c>
      <c r="P128" t="s">
        <v>16</v>
      </c>
      <c r="Q128">
        <v>0</v>
      </c>
      <c r="R128">
        <v>-3.07803645841777E-2</v>
      </c>
      <c r="S128">
        <v>-1.26956030726432E-3</v>
      </c>
      <c r="T128">
        <v>-0.03</v>
      </c>
      <c r="V128" t="s">
        <v>143</v>
      </c>
      <c r="W128" s="3">
        <f>AVERAGEIF(A:A,V128,F:F)</f>
        <v>-2.3529411764705945E-4</v>
      </c>
      <c r="Y128" s="3"/>
    </row>
    <row r="129" spans="1:25" x14ac:dyDescent="0.3">
      <c r="A129" t="s">
        <v>26</v>
      </c>
      <c r="B129">
        <v>2008</v>
      </c>
      <c r="C129">
        <v>273284.40629999997</v>
      </c>
      <c r="D129" s="1">
        <v>0</v>
      </c>
      <c r="E129" s="1">
        <v>0.92422860860824596</v>
      </c>
      <c r="F129" s="1">
        <v>7.0999999999999994E-2</v>
      </c>
      <c r="G129" s="1">
        <f t="shared" si="2"/>
        <v>7.1999999999999995E-2</v>
      </c>
      <c r="H129" s="1" t="str">
        <f t="shared" si="3"/>
        <v/>
      </c>
      <c r="I129" s="1">
        <v>-2E-3</v>
      </c>
      <c r="J129" s="1">
        <f>+D129-F129+I129*O129</f>
        <v>-7.5639999999999999E-2</v>
      </c>
      <c r="K129" s="1">
        <v>7.2196354158222701E-3</v>
      </c>
      <c r="L129" s="1">
        <f>+K129-J129</f>
        <v>8.2859635415822266E-2</v>
      </c>
      <c r="M129" s="1">
        <v>-3.07803645841777E-2</v>
      </c>
      <c r="N129" s="1">
        <f>+M129-J129</f>
        <v>4.4859635415822302E-2</v>
      </c>
      <c r="O129">
        <v>2.3199999999999998</v>
      </c>
      <c r="P129" t="s">
        <v>17</v>
      </c>
      <c r="Q129">
        <v>0</v>
      </c>
      <c r="R129">
        <v>-2.0856835603714E-2</v>
      </c>
      <c r="S129">
        <v>5.7098660618066501E-3</v>
      </c>
      <c r="T129">
        <v>7.0000000000000007E-2</v>
      </c>
      <c r="V129" t="s">
        <v>144</v>
      </c>
      <c r="W129" s="3">
        <f>AVERAGEIF(A:A,V129,F:F)</f>
        <v>-1.4705882352941176E-3</v>
      </c>
      <c r="Y129" s="3"/>
    </row>
    <row r="130" spans="1:25" x14ac:dyDescent="0.3">
      <c r="A130" t="s">
        <v>26</v>
      </c>
      <c r="B130">
        <v>2009</v>
      </c>
      <c r="C130">
        <v>274288.3125</v>
      </c>
      <c r="D130" s="1">
        <v>0</v>
      </c>
      <c r="E130" s="1">
        <v>0.924546718597412</v>
      </c>
      <c r="F130" s="1">
        <v>1.4E-2</v>
      </c>
      <c r="G130" s="1">
        <f t="shared" si="2"/>
        <v>8.5999999999999993E-2</v>
      </c>
      <c r="H130" s="1" t="str">
        <f t="shared" si="3"/>
        <v/>
      </c>
      <c r="I130" s="1">
        <v>0</v>
      </c>
      <c r="J130" s="1">
        <f>+D130-F130+I130*O130</f>
        <v>-1.4E-2</v>
      </c>
      <c r="K130" s="1">
        <v>-2.4856835603714E-2</v>
      </c>
      <c r="L130" s="1">
        <f>+K130-J130</f>
        <v>-1.0856835603713999E-2</v>
      </c>
      <c r="M130" s="1">
        <v>-2.0856835603714E-2</v>
      </c>
      <c r="N130" s="1">
        <f>+M130-J130</f>
        <v>-6.8568356037139993E-3</v>
      </c>
      <c r="O130">
        <v>2.35</v>
      </c>
      <c r="P130" t="s">
        <v>15</v>
      </c>
      <c r="Q130">
        <v>0.01</v>
      </c>
      <c r="R130">
        <v>-1.30446738004679E-3</v>
      </c>
      <c r="S130">
        <v>8.1556413788348801E-3</v>
      </c>
      <c r="T130">
        <v>0</v>
      </c>
      <c r="V130" t="s">
        <v>145</v>
      </c>
      <c r="W130" s="3">
        <f>AVERAGEIF(A:A,V130,F:F)</f>
        <v>4.8235294117647065E-3</v>
      </c>
      <c r="Y130" s="3"/>
    </row>
    <row r="131" spans="1:25" x14ac:dyDescent="0.3">
      <c r="A131" t="s">
        <v>26</v>
      </c>
      <c r="B131">
        <v>2010</v>
      </c>
      <c r="C131">
        <v>275223.125</v>
      </c>
      <c r="D131" s="1">
        <v>1E-3</v>
      </c>
      <c r="E131" s="1">
        <v>0.92482191324233998</v>
      </c>
      <c r="F131" s="1">
        <v>-4.2000000000000003E-2</v>
      </c>
      <c r="G131" s="1">
        <f t="shared" si="2"/>
        <v>4.3999999999999991E-2</v>
      </c>
      <c r="H131" s="1" t="str">
        <f t="shared" si="3"/>
        <v/>
      </c>
      <c r="I131" s="1">
        <v>0</v>
      </c>
      <c r="J131" s="1">
        <f>+D131-F131+I131*O131</f>
        <v>4.3000000000000003E-2</v>
      </c>
      <c r="K131" s="1">
        <v>1.4695532619953201E-2</v>
      </c>
      <c r="L131" s="1">
        <f>+K131-J131</f>
        <v>-2.8304467380046803E-2</v>
      </c>
      <c r="M131" s="1">
        <v>-1.30446738004679E-3</v>
      </c>
      <c r="N131" s="1">
        <f>+M131-J131</f>
        <v>-4.4304467380046793E-2</v>
      </c>
      <c r="O131">
        <v>2.25</v>
      </c>
      <c r="P131" t="s">
        <v>17</v>
      </c>
      <c r="Q131">
        <v>0.01</v>
      </c>
      <c r="R131">
        <v>-2.09586446806788E-2</v>
      </c>
      <c r="S131">
        <v>3.2512983307249999E-4</v>
      </c>
      <c r="T131">
        <v>-0.05</v>
      </c>
      <c r="V131" t="s">
        <v>146</v>
      </c>
      <c r="W131" s="3">
        <f>AVERAGEIF(A:A,V131,F:F)</f>
        <v>7.64705882352941E-4</v>
      </c>
      <c r="Y131" s="3"/>
    </row>
    <row r="132" spans="1:25" x14ac:dyDescent="0.3">
      <c r="A132" t="s">
        <v>26</v>
      </c>
      <c r="B132">
        <v>2011</v>
      </c>
      <c r="C132">
        <v>276306.5</v>
      </c>
      <c r="D132" s="1">
        <v>0</v>
      </c>
      <c r="E132" s="1">
        <v>0.92722898721694902</v>
      </c>
      <c r="F132" s="1">
        <v>-2E-3</v>
      </c>
      <c r="G132" s="1">
        <f t="shared" si="2"/>
        <v>4.1999999999999989E-2</v>
      </c>
      <c r="H132" s="1" t="str">
        <f t="shared" si="3"/>
        <v/>
      </c>
      <c r="I132" s="1">
        <v>2E-3</v>
      </c>
      <c r="J132" s="1">
        <f>+D132-F132+I132*O132</f>
        <v>6.5000000000000006E-3</v>
      </c>
      <c r="K132" s="1">
        <v>1.1041355319321201E-2</v>
      </c>
      <c r="L132" s="1">
        <f>+K132-J132</f>
        <v>4.5413553193212001E-3</v>
      </c>
      <c r="M132" s="1">
        <v>-2.09586446806788E-2</v>
      </c>
      <c r="N132" s="1">
        <f>+M132-J132</f>
        <v>-2.7458644680678802E-2</v>
      </c>
      <c r="O132">
        <v>2.25</v>
      </c>
      <c r="P132" t="s">
        <v>17</v>
      </c>
      <c r="Q132">
        <v>0</v>
      </c>
      <c r="R132">
        <v>-1.97913703080266E-2</v>
      </c>
      <c r="S132">
        <v>-1.4353164238855199E-2</v>
      </c>
      <c r="T132">
        <v>0</v>
      </c>
      <c r="V132" t="s">
        <v>147</v>
      </c>
      <c r="W132" s="3">
        <f>AVERAGEIF(A:A,V132,F:F)</f>
        <v>-3.8823529411764709E-3</v>
      </c>
      <c r="Y132" s="3"/>
    </row>
    <row r="133" spans="1:25" x14ac:dyDescent="0.3">
      <c r="A133" t="s">
        <v>26</v>
      </c>
      <c r="B133">
        <v>2012</v>
      </c>
      <c r="C133">
        <v>277407.09379999997</v>
      </c>
      <c r="D133" s="1">
        <v>0</v>
      </c>
      <c r="E133" s="1">
        <v>0.92969441413879395</v>
      </c>
      <c r="F133" s="1">
        <v>8.3000000000000004E-2</v>
      </c>
      <c r="G133" s="1">
        <f t="shared" si="2"/>
        <v>0.125</v>
      </c>
      <c r="H133" s="1">
        <f t="shared" si="3"/>
        <v>1.6355533152818694E-2</v>
      </c>
      <c r="I133" s="1">
        <v>2E-3</v>
      </c>
      <c r="J133" s="1">
        <f>+D133-F133+I133*O133</f>
        <v>-7.8120000000000009E-2</v>
      </c>
      <c r="K133" s="1">
        <v>1.2086296919733301E-3</v>
      </c>
      <c r="L133" s="1">
        <f>+K133-J133</f>
        <v>7.9328629691973337E-2</v>
      </c>
      <c r="M133" s="1">
        <v>-1.97913703080266E-2</v>
      </c>
      <c r="N133" s="1">
        <f>+M133-J133</f>
        <v>5.8328629691973409E-2</v>
      </c>
      <c r="O133">
        <v>2.44</v>
      </c>
      <c r="P133" t="s">
        <v>15</v>
      </c>
      <c r="Q133">
        <v>-0.01</v>
      </c>
      <c r="R133">
        <v>1.0866623967885999E-2</v>
      </c>
      <c r="S133">
        <v>4.7398526221513904E-3</v>
      </c>
      <c r="T133">
        <v>0.08</v>
      </c>
      <c r="V133" t="s">
        <v>148</v>
      </c>
      <c r="W133" s="3">
        <f>AVERAGEIF(A:A,V133,F:F)</f>
        <v>3.8235294117647061E-3</v>
      </c>
      <c r="Y133" s="3"/>
    </row>
    <row r="134" spans="1:25" x14ac:dyDescent="0.3">
      <c r="A134" t="s">
        <v>26</v>
      </c>
      <c r="B134">
        <v>2013</v>
      </c>
      <c r="C134">
        <v>277835.375</v>
      </c>
      <c r="D134" s="1">
        <v>-8.0000000000000002E-3</v>
      </c>
      <c r="E134" s="1">
        <v>0.92063415050506603</v>
      </c>
      <c r="F134" s="1">
        <v>7.0000000000000001E-3</v>
      </c>
      <c r="G134" s="1">
        <f t="shared" si="2"/>
        <v>0.13200000000000001</v>
      </c>
      <c r="H134" s="1">
        <f t="shared" si="3"/>
        <v>9.569031186401844E-3</v>
      </c>
      <c r="I134" s="1">
        <v>-8.9999999999999993E-3</v>
      </c>
      <c r="J134" s="1">
        <f>+D134-F134+I134*O134</f>
        <v>-3.7139999999999992E-2</v>
      </c>
      <c r="K134" s="1">
        <v>2.5866623967885999E-2</v>
      </c>
      <c r="L134" s="1">
        <f>+K134-J134</f>
        <v>6.3006623967885991E-2</v>
      </c>
      <c r="M134" s="1">
        <v>1.0866623967885999E-2</v>
      </c>
      <c r="N134" s="1">
        <f>+M134-J134</f>
        <v>4.8006623967885992E-2</v>
      </c>
      <c r="O134">
        <v>2.46</v>
      </c>
      <c r="P134" t="s">
        <v>17</v>
      </c>
      <c r="Q134">
        <v>0</v>
      </c>
      <c r="R134">
        <v>-9.15555766224861E-3</v>
      </c>
      <c r="S134">
        <v>-1.1163581162691101E-2</v>
      </c>
      <c r="T134">
        <v>0</v>
      </c>
      <c r="V134" t="s">
        <v>149</v>
      </c>
      <c r="W134" s="3">
        <f>AVERAGEIF(A:A,V134,F:F)</f>
        <v>5.2941176470588241E-4</v>
      </c>
      <c r="Y134" s="3"/>
    </row>
    <row r="135" spans="1:25" x14ac:dyDescent="0.3">
      <c r="A135" t="s">
        <v>26</v>
      </c>
      <c r="B135">
        <v>2014</v>
      </c>
      <c r="C135">
        <v>277084.5</v>
      </c>
      <c r="D135" s="1">
        <v>-1.2E-2</v>
      </c>
      <c r="E135" s="1">
        <v>0.92250686883926403</v>
      </c>
      <c r="F135" s="1">
        <v>2.9000000000000001E-2</v>
      </c>
      <c r="G135" s="1">
        <f t="shared" ref="G135:G198" si="4">SUMIFS(F:F,A:A,A135,B:B,"&lt;="&amp;B135)</f>
        <v>0.161</v>
      </c>
      <c r="H135" s="1">
        <f t="shared" ref="H135:H198" si="5">IFERROR(IF(ABS(G135)&gt;0.12,AVERAGEIFS(K:K,A:A,A135,B:B,"&gt;"&amp;B135,B:B,"&lt;"&amp;B135+3),""),"")</f>
        <v>8.0169149441644549E-3</v>
      </c>
      <c r="I135" s="1">
        <v>2E-3</v>
      </c>
      <c r="J135" s="1">
        <f>+D135-F135+I135*O135</f>
        <v>-3.594E-2</v>
      </c>
      <c r="K135" s="1">
        <v>6.8444423377513903E-3</v>
      </c>
      <c r="L135" s="1">
        <f>+K135-J135</f>
        <v>4.2784442337751388E-2</v>
      </c>
      <c r="M135" s="1">
        <v>-9.15555766224861E-3</v>
      </c>
      <c r="N135" s="1">
        <f>+M135-J135</f>
        <v>2.6784442337751388E-2</v>
      </c>
      <c r="O135">
        <v>2.5299999999999998</v>
      </c>
      <c r="P135" t="s">
        <v>15</v>
      </c>
      <c r="Q135">
        <v>-0.01</v>
      </c>
      <c r="R135">
        <v>1.12936200350522E-2</v>
      </c>
      <c r="S135">
        <v>-1.8969831988215301E-2</v>
      </c>
      <c r="T135">
        <v>0.03</v>
      </c>
      <c r="V135" t="s">
        <v>150</v>
      </c>
      <c r="W135" s="3">
        <f>AVERAGEIF(A:A,V135,F:F)</f>
        <v>-4.647058823529413E-3</v>
      </c>
      <c r="Y135" s="3"/>
    </row>
    <row r="136" spans="1:25" x14ac:dyDescent="0.3">
      <c r="A136" t="s">
        <v>26</v>
      </c>
      <c r="B136">
        <v>2015</v>
      </c>
      <c r="C136">
        <v>275617.875</v>
      </c>
      <c r="D136" s="1">
        <v>7.0000000000000001E-3</v>
      </c>
      <c r="E136" s="1">
        <v>0.90896469354629505</v>
      </c>
      <c r="F136" s="1">
        <v>-3.5999999999999997E-2</v>
      </c>
      <c r="G136" s="1">
        <f t="shared" si="4"/>
        <v>0.125</v>
      </c>
      <c r="H136" s="1">
        <f t="shared" si="5"/>
        <v>1.1884740437380956E-2</v>
      </c>
      <c r="I136" s="1">
        <v>-1.4E-2</v>
      </c>
      <c r="J136" s="1">
        <f>+D136-F136+I136*O136</f>
        <v>8.8399999999999937E-3</v>
      </c>
      <c r="K136" s="1">
        <v>1.2293620035052299E-2</v>
      </c>
      <c r="L136" s="1">
        <f>+K136-J136</f>
        <v>3.4536200350523058E-3</v>
      </c>
      <c r="M136" s="1">
        <v>1.12936200350522E-2</v>
      </c>
      <c r="N136" s="1">
        <f>+M136-J136</f>
        <v>2.453620035052206E-3</v>
      </c>
      <c r="O136">
        <v>2.44</v>
      </c>
      <c r="P136" t="s">
        <v>16</v>
      </c>
      <c r="Q136">
        <v>-0.02</v>
      </c>
      <c r="R136">
        <v>-9.2597901467233804E-3</v>
      </c>
      <c r="S136">
        <v>-2.2413347149267699E-2</v>
      </c>
      <c r="T136">
        <v>-0.03</v>
      </c>
      <c r="V136" t="s">
        <v>151</v>
      </c>
      <c r="W136" s="3">
        <f>AVERAGEIF(A:A,V136,F:F)</f>
        <v>-1.4117647058823526E-3</v>
      </c>
      <c r="Y136" s="3"/>
    </row>
    <row r="137" spans="1:25" x14ac:dyDescent="0.3">
      <c r="A137" t="s">
        <v>26</v>
      </c>
      <c r="B137">
        <v>2016</v>
      </c>
      <c r="C137">
        <v>274070.3125</v>
      </c>
      <c r="D137" s="1">
        <v>0</v>
      </c>
      <c r="E137" s="1">
        <v>0.90127152204513505</v>
      </c>
      <c r="F137" s="1">
        <v>4.1000000000000002E-2</v>
      </c>
      <c r="G137" s="1">
        <f t="shared" si="4"/>
        <v>0.16600000000000001</v>
      </c>
      <c r="H137" s="1">
        <f t="shared" si="5"/>
        <v>3.051084000617265E-2</v>
      </c>
      <c r="I137" s="1">
        <v>-8.0000000000000002E-3</v>
      </c>
      <c r="J137" s="1">
        <f>+D137-F137+I137*O137</f>
        <v>-6.132E-2</v>
      </c>
      <c r="K137" s="1">
        <v>3.7402098532766099E-3</v>
      </c>
      <c r="L137" s="1">
        <f>+K137-J137</f>
        <v>6.506020985327661E-2</v>
      </c>
      <c r="M137" s="1">
        <v>-9.2597901467233804E-3</v>
      </c>
      <c r="N137" s="1">
        <f>+M137-J137</f>
        <v>5.2060209853276619E-2</v>
      </c>
      <c r="O137">
        <v>2.54</v>
      </c>
      <c r="P137" t="s">
        <v>17</v>
      </c>
      <c r="Q137">
        <v>-0.02</v>
      </c>
      <c r="R137">
        <v>-9.7072897851469995E-4</v>
      </c>
      <c r="S137">
        <v>-3.7603024393319901E-3</v>
      </c>
      <c r="T137">
        <v>0.04</v>
      </c>
      <c r="V137" t="s">
        <v>152</v>
      </c>
      <c r="W137" s="3">
        <f>AVERAGEIF(A:A,V137,F:F)</f>
        <v>1.8235294117647065E-3</v>
      </c>
      <c r="Y137" s="3"/>
    </row>
    <row r="138" spans="1:25" x14ac:dyDescent="0.3">
      <c r="A138" t="s">
        <v>26</v>
      </c>
      <c r="B138">
        <v>2017</v>
      </c>
      <c r="C138">
        <v>273493.40629999997</v>
      </c>
      <c r="D138" s="1">
        <v>8.0000000000000002E-3</v>
      </c>
      <c r="E138" s="1">
        <v>0.91367107629776001</v>
      </c>
      <c r="F138" s="1">
        <v>-4.8000000000000001E-2</v>
      </c>
      <c r="G138" s="1">
        <f t="shared" si="4"/>
        <v>0.11800000000000001</v>
      </c>
      <c r="H138" s="1" t="str">
        <f t="shared" si="5"/>
        <v/>
      </c>
      <c r="I138" s="1">
        <v>1.2E-2</v>
      </c>
      <c r="J138" s="1">
        <f>+D138-F138+I138*O138</f>
        <v>8.4919999999999995E-2</v>
      </c>
      <c r="K138" s="1">
        <v>2.0029271021485301E-2</v>
      </c>
      <c r="L138" s="1">
        <f>+K138-J138</f>
        <v>-6.4890728978514695E-2</v>
      </c>
      <c r="M138" s="1">
        <v>-9.7072897851469995E-4</v>
      </c>
      <c r="N138" s="1">
        <f>+M138-J138</f>
        <v>-8.5890728978514699E-2</v>
      </c>
      <c r="O138">
        <v>2.41</v>
      </c>
      <c r="P138" t="s">
        <v>17</v>
      </c>
      <c r="Q138">
        <v>0</v>
      </c>
      <c r="R138">
        <v>1.6992408990859999E-2</v>
      </c>
      <c r="S138">
        <v>7.8573860228062006E-3</v>
      </c>
      <c r="T138">
        <v>-0.05</v>
      </c>
      <c r="V138" t="s">
        <v>153</v>
      </c>
      <c r="W138" s="3">
        <f>AVERAGEIF(A:A,V138,F:F)</f>
        <v>-1.176470588235291E-4</v>
      </c>
      <c r="Y138" s="3"/>
    </row>
    <row r="139" spans="1:25" x14ac:dyDescent="0.3">
      <c r="A139" t="s">
        <v>26</v>
      </c>
      <c r="B139">
        <v>2018</v>
      </c>
      <c r="C139">
        <v>273430.5</v>
      </c>
      <c r="D139" s="1">
        <v>4.8000000000000001E-2</v>
      </c>
      <c r="E139" s="1">
        <v>0.92117112874984697</v>
      </c>
      <c r="F139" s="1">
        <v>-3.7999999999999999E-2</v>
      </c>
      <c r="G139" s="1">
        <f t="shared" si="4"/>
        <v>8.0000000000000016E-2</v>
      </c>
      <c r="H139" s="1" t="str">
        <f t="shared" si="5"/>
        <v/>
      </c>
      <c r="I139" s="1">
        <v>8.0000000000000002E-3</v>
      </c>
      <c r="J139" s="1">
        <f>+D139-F139+I139*O139</f>
        <v>0.10455999999999999</v>
      </c>
      <c r="K139" s="1">
        <v>4.0992408990859999E-2</v>
      </c>
      <c r="L139" s="1">
        <f>+K139-J139</f>
        <v>-6.3567591009139987E-2</v>
      </c>
      <c r="M139" s="1">
        <v>1.6992408990859999E-2</v>
      </c>
      <c r="N139" s="1">
        <f>+M139-J139</f>
        <v>-8.7567591009139994E-2</v>
      </c>
      <c r="O139">
        <v>2.3199999999999998</v>
      </c>
      <c r="P139" t="s">
        <v>17</v>
      </c>
      <c r="Q139">
        <v>0.01</v>
      </c>
      <c r="R139">
        <v>4.9453593492508E-3</v>
      </c>
      <c r="S139">
        <v>-1.28558352589607E-2</v>
      </c>
      <c r="T139">
        <v>-0.03</v>
      </c>
      <c r="V139" t="s">
        <v>154</v>
      </c>
      <c r="W139" s="3">
        <f>AVERAGEIF(A:A,V139,F:F)</f>
        <v>-4.7058823529411723E-4</v>
      </c>
      <c r="Y139" s="3"/>
    </row>
    <row r="140" spans="1:25" x14ac:dyDescent="0.3">
      <c r="A140" t="s">
        <v>26</v>
      </c>
      <c r="B140">
        <v>2019</v>
      </c>
      <c r="C140">
        <v>274183.1875</v>
      </c>
      <c r="D140" s="1">
        <v>5.2999999999999999E-2</v>
      </c>
      <c r="E140" s="1">
        <v>0.89461064338684104</v>
      </c>
      <c r="F140" s="1">
        <v>-3.9E-2</v>
      </c>
      <c r="G140" s="1">
        <f t="shared" si="4"/>
        <v>4.1000000000000016E-2</v>
      </c>
      <c r="H140" s="1" t="str">
        <f t="shared" si="5"/>
        <v/>
      </c>
      <c r="I140" s="1">
        <v>-2.7E-2</v>
      </c>
      <c r="J140" s="1">
        <f>+D140-F140+I140*O140</f>
        <v>3.1789999999999999E-2</v>
      </c>
      <c r="K140" s="1">
        <v>2.29453593492508E-2</v>
      </c>
      <c r="L140" s="1">
        <f>+K140-J140</f>
        <v>-8.8446406507491984E-3</v>
      </c>
      <c r="M140" s="1">
        <v>4.9453593492508E-3</v>
      </c>
      <c r="N140" s="1">
        <f>+M140-J140</f>
        <v>-2.6844640650749201E-2</v>
      </c>
      <c r="O140">
        <v>2.23</v>
      </c>
      <c r="P140" t="s">
        <v>16</v>
      </c>
      <c r="Q140">
        <v>-0.01</v>
      </c>
      <c r="R140">
        <v>6.4389715075492904E-2</v>
      </c>
      <c r="S140">
        <v>4.55405246466399E-2</v>
      </c>
      <c r="T140">
        <v>-0.03</v>
      </c>
      <c r="V140" t="s">
        <v>155</v>
      </c>
      <c r="W140" s="3">
        <f>AVERAGEIF(A:A,V140,F:F)</f>
        <v>-1.235294117647059E-3</v>
      </c>
      <c r="Y140" s="3"/>
    </row>
    <row r="141" spans="1:25" x14ac:dyDescent="0.3">
      <c r="A141" t="s">
        <v>26</v>
      </c>
      <c r="B141">
        <v>2020</v>
      </c>
      <c r="C141">
        <v>274386.09379999997</v>
      </c>
      <c r="D141" s="1">
        <v>4.4999999999999998E-2</v>
      </c>
      <c r="E141" s="1">
        <v>0.93170899152755704</v>
      </c>
      <c r="F141" s="1">
        <v>-2.1000000000000001E-2</v>
      </c>
      <c r="G141" s="1">
        <f t="shared" si="4"/>
        <v>2.0000000000000014E-2</v>
      </c>
      <c r="H141" s="1" t="str">
        <f t="shared" si="5"/>
        <v/>
      </c>
      <c r="I141" s="1">
        <v>3.6999999999999998E-2</v>
      </c>
      <c r="J141" s="1">
        <f>+D141-F141+I141*O141</f>
        <v>0.14666000000000001</v>
      </c>
      <c r="K141" s="1">
        <v>7.6389715075492901E-2</v>
      </c>
      <c r="L141" s="1">
        <f>+K141-J141</f>
        <v>-7.0270284924507112E-2</v>
      </c>
      <c r="M141" s="1">
        <v>6.4389715075492904E-2</v>
      </c>
      <c r="N141" s="1">
        <f>+M141-J141</f>
        <v>-8.2270284924507109E-2</v>
      </c>
      <c r="O141">
        <v>2.1800000000000002</v>
      </c>
      <c r="P141" t="s">
        <v>17</v>
      </c>
      <c r="Q141">
        <v>0.05</v>
      </c>
      <c r="R141">
        <v>8.9238008737564004E-2</v>
      </c>
      <c r="S141">
        <v>4.5648396015167098E-2</v>
      </c>
      <c r="T141">
        <v>0.02</v>
      </c>
      <c r="V141" t="s">
        <v>156</v>
      </c>
      <c r="W141" s="3">
        <f>AVERAGEIF(A:A,V141,F:F)</f>
        <v>2.2352941176470584E-3</v>
      </c>
      <c r="Y141" s="3"/>
    </row>
    <row r="142" spans="1:25" x14ac:dyDescent="0.3">
      <c r="A142" t="s">
        <v>26</v>
      </c>
      <c r="B142">
        <v>2021</v>
      </c>
      <c r="C142">
        <v>275209.90629999997</v>
      </c>
      <c r="D142" s="1">
        <v>0</v>
      </c>
      <c r="E142" s="1">
        <v>0.98233747482299805</v>
      </c>
      <c r="F142" s="1">
        <v>3.6999999999999998E-2</v>
      </c>
      <c r="G142" s="1">
        <f t="shared" si="4"/>
        <v>5.7000000000000009E-2</v>
      </c>
      <c r="H142" s="1" t="str">
        <f t="shared" si="5"/>
        <v/>
      </c>
      <c r="I142" s="1">
        <v>5.0999999999999997E-2</v>
      </c>
      <c r="J142" s="1">
        <f>+D142-F142+I142*O142</f>
        <v>7.8770000000000007E-2</v>
      </c>
      <c r="K142" s="1">
        <v>0.136238008737564</v>
      </c>
      <c r="L142" s="1">
        <f>+K142-J142</f>
        <v>5.7468008737563997E-2</v>
      </c>
      <c r="M142" s="1">
        <v>8.9238008737564004E-2</v>
      </c>
      <c r="N142" s="1">
        <f>+M142-J142</f>
        <v>1.0468008737563997E-2</v>
      </c>
      <c r="O142">
        <v>2.27</v>
      </c>
      <c r="P142" t="s">
        <v>15</v>
      </c>
      <c r="Q142">
        <v>0.05</v>
      </c>
      <c r="R142">
        <v>6.5731909871100903E-3</v>
      </c>
      <c r="S142">
        <v>3.8676697760820299E-2</v>
      </c>
      <c r="T142">
        <v>0.01</v>
      </c>
      <c r="V142" t="s">
        <v>157</v>
      </c>
      <c r="W142" s="3">
        <f>AVERAGEIF(A:A,V142,F:F)</f>
        <v>3.5294117647058816E-3</v>
      </c>
      <c r="Y142" s="3"/>
    </row>
    <row r="143" spans="1:25" x14ac:dyDescent="0.3">
      <c r="A143" t="s">
        <v>26</v>
      </c>
      <c r="B143">
        <v>2022</v>
      </c>
      <c r="C143">
        <v>276267.5</v>
      </c>
      <c r="D143" s="1">
        <v>0</v>
      </c>
      <c r="E143" s="1">
        <v>0.97293174266815197</v>
      </c>
      <c r="F143" s="1">
        <v>5.3999999999999999E-2</v>
      </c>
      <c r="G143" s="1">
        <f t="shared" si="4"/>
        <v>0.11100000000000002</v>
      </c>
      <c r="H143" s="1" t="str">
        <f t="shared" si="5"/>
        <v/>
      </c>
      <c r="I143" s="1">
        <v>-8.9999999999999993E-3</v>
      </c>
      <c r="J143" s="1">
        <f>+D143-F143+I143*O143</f>
        <v>-7.5509999999999994E-2</v>
      </c>
      <c r="K143" s="1">
        <v>8.6573190987110096E-2</v>
      </c>
      <c r="L143" s="1">
        <f>+K143-J143</f>
        <v>0.1620831909871101</v>
      </c>
      <c r="M143" s="1">
        <v>6.5731909871100903E-3</v>
      </c>
      <c r="N143" s="1">
        <f>+M143-J143</f>
        <v>8.2083190987110088E-2</v>
      </c>
      <c r="O143">
        <v>2.39</v>
      </c>
      <c r="P143" t="s">
        <v>17</v>
      </c>
      <c r="Q143">
        <v>0.04</v>
      </c>
      <c r="R143">
        <v>7.9642284810542904E-3</v>
      </c>
      <c r="S143">
        <v>2.75231562554836E-2</v>
      </c>
      <c r="T143">
        <v>7.0000000000000007E-2</v>
      </c>
      <c r="V143" t="s">
        <v>158</v>
      </c>
      <c r="W143" s="3">
        <f>AVERAGEIF(A:A,V143,F:F)</f>
        <v>3.5294117647058896E-4</v>
      </c>
      <c r="Y143" s="3"/>
    </row>
    <row r="144" spans="1:25" x14ac:dyDescent="0.3">
      <c r="A144" t="s">
        <v>27</v>
      </c>
      <c r="B144">
        <v>2006</v>
      </c>
      <c r="C144">
        <v>540332.8125</v>
      </c>
      <c r="D144" s="1">
        <v>8.9999999999999993E-3</v>
      </c>
      <c r="E144" s="1">
        <v>0.89671099185943604</v>
      </c>
      <c r="F144" s="1">
        <v>-0.13700000000000001</v>
      </c>
      <c r="G144" s="1">
        <f t="shared" si="4"/>
        <v>-0.13700000000000001</v>
      </c>
      <c r="H144" s="1">
        <f t="shared" si="5"/>
        <v>6.0374438762665003E-3</v>
      </c>
      <c r="I144" s="1">
        <v>-7.0000000000000001E-3</v>
      </c>
      <c r="J144" s="1">
        <f>+D144-F144+I144*O144</f>
        <v>0.13039000000000001</v>
      </c>
      <c r="K144" s="1">
        <v>6.2155343592166901E-2</v>
      </c>
      <c r="L144" s="1">
        <f>+K144-J144</f>
        <v>-6.8234656407833105E-2</v>
      </c>
      <c r="M144" s="1">
        <v>3.01553435921669E-2</v>
      </c>
      <c r="N144" s="1">
        <f>+M144-J144</f>
        <v>-0.10023465640783311</v>
      </c>
      <c r="O144">
        <v>2.23</v>
      </c>
      <c r="P144" t="s">
        <v>16</v>
      </c>
      <c r="Q144">
        <v>0.02</v>
      </c>
      <c r="R144">
        <v>-3.2549657821655002E-3</v>
      </c>
      <c r="S144">
        <v>-2.3332098498939999E-3</v>
      </c>
      <c r="T144">
        <v>-0.14000000000000001</v>
      </c>
      <c r="V144" t="s">
        <v>159</v>
      </c>
      <c r="W144" s="3">
        <f>AVERAGEIF(A:A,V144,F:F)</f>
        <v>-7.4117647058823529E-3</v>
      </c>
      <c r="Y144" s="3"/>
    </row>
    <row r="145" spans="1:25" x14ac:dyDescent="0.3">
      <c r="A145" t="s">
        <v>27</v>
      </c>
      <c r="B145">
        <v>2007</v>
      </c>
      <c r="C145">
        <v>547296.0625</v>
      </c>
      <c r="D145" s="1">
        <v>1.2E-2</v>
      </c>
      <c r="E145" s="1">
        <v>0.87953245639801003</v>
      </c>
      <c r="F145" s="1">
        <v>4.0000000000000001E-3</v>
      </c>
      <c r="G145" s="1">
        <f t="shared" si="4"/>
        <v>-0.13300000000000001</v>
      </c>
      <c r="H145" s="1">
        <f t="shared" si="5"/>
        <v>-2.4704921990633E-2</v>
      </c>
      <c r="I145" s="1">
        <v>-1.7000000000000001E-2</v>
      </c>
      <c r="J145" s="1">
        <f>+D145-F145+I145*O145</f>
        <v>-3.008000000000001E-2</v>
      </c>
      <c r="K145" s="1">
        <v>2.57450342178345E-2</v>
      </c>
      <c r="L145" s="1">
        <f>+K145-J145</f>
        <v>5.582503421783451E-2</v>
      </c>
      <c r="M145" s="1">
        <v>-3.2549657821655002E-3</v>
      </c>
      <c r="N145" s="1">
        <f>+M145-J145</f>
        <v>2.6825034217834508E-2</v>
      </c>
      <c r="O145">
        <v>2.2400000000000002</v>
      </c>
      <c r="P145" t="s">
        <v>17</v>
      </c>
      <c r="Q145">
        <v>0</v>
      </c>
      <c r="R145">
        <v>-5.1670146465301499E-2</v>
      </c>
      <c r="S145">
        <v>-2.2159342188388002E-2</v>
      </c>
      <c r="T145">
        <v>0</v>
      </c>
      <c r="V145" t="s">
        <v>160</v>
      </c>
      <c r="W145" s="3">
        <f>AVERAGEIF(A:A,V145,F:F)</f>
        <v>2.5882352941176486E-3</v>
      </c>
      <c r="Y145" s="3"/>
    </row>
    <row r="146" spans="1:25" x14ac:dyDescent="0.3">
      <c r="A146" t="s">
        <v>27</v>
      </c>
      <c r="B146">
        <v>2008</v>
      </c>
      <c r="C146">
        <v>554017.8125</v>
      </c>
      <c r="D146" s="1">
        <v>1.4999999999999999E-2</v>
      </c>
      <c r="E146" s="1">
        <v>0.87529003620147705</v>
      </c>
      <c r="F146" s="1">
        <v>6.7000000000000004E-2</v>
      </c>
      <c r="G146" s="1">
        <f t="shared" si="4"/>
        <v>-6.6000000000000003E-2</v>
      </c>
      <c r="H146" s="1" t="str">
        <f t="shared" si="5"/>
        <v/>
      </c>
      <c r="I146" s="1">
        <v>-4.0000000000000001E-3</v>
      </c>
      <c r="J146" s="1">
        <f>+D146-F146+I146*O146</f>
        <v>-6.1560000000000004E-2</v>
      </c>
      <c r="K146" s="1">
        <v>-1.36701464653015E-2</v>
      </c>
      <c r="L146" s="1">
        <f>+K146-J146</f>
        <v>4.7889853534698504E-2</v>
      </c>
      <c r="M146" s="1">
        <v>-5.1670146465301499E-2</v>
      </c>
      <c r="N146" s="1">
        <f>+M146-J146</f>
        <v>9.8898535346985048E-3</v>
      </c>
      <c r="O146">
        <v>2.39</v>
      </c>
      <c r="P146" t="s">
        <v>17</v>
      </c>
      <c r="Q146">
        <v>-0.02</v>
      </c>
      <c r="R146">
        <v>-3.1739697515964498E-2</v>
      </c>
      <c r="S146">
        <v>-5.1729958504438496E-3</v>
      </c>
      <c r="T146">
        <v>7.0000000000000007E-2</v>
      </c>
      <c r="V146" t="s">
        <v>161</v>
      </c>
      <c r="W146" s="3">
        <f>AVERAGEIF(A:A,V146,F:F)</f>
        <v>-5.8823529411764755E-4</v>
      </c>
      <c r="Y146" s="3"/>
    </row>
    <row r="147" spans="1:25" x14ac:dyDescent="0.3">
      <c r="A147" t="s">
        <v>27</v>
      </c>
      <c r="B147">
        <v>2009</v>
      </c>
      <c r="C147">
        <v>560270.375</v>
      </c>
      <c r="D147" s="1">
        <v>5.2999999999999999E-2</v>
      </c>
      <c r="E147" s="1">
        <v>0.88193655014038097</v>
      </c>
      <c r="F147" s="1">
        <v>2.1999999999999999E-2</v>
      </c>
      <c r="G147" s="1">
        <f t="shared" si="4"/>
        <v>-4.4000000000000004E-2</v>
      </c>
      <c r="H147" s="1" t="str">
        <f t="shared" si="5"/>
        <v/>
      </c>
      <c r="I147" s="1">
        <v>7.0000000000000001E-3</v>
      </c>
      <c r="J147" s="1">
        <f>+D147-F147+I147*O147</f>
        <v>4.8149999999999998E-2</v>
      </c>
      <c r="K147" s="1">
        <v>-3.5739697515964501E-2</v>
      </c>
      <c r="L147" s="1">
        <f>+K147-J147</f>
        <v>-8.3889697515964506E-2</v>
      </c>
      <c r="M147" s="1">
        <v>-3.1739697515964498E-2</v>
      </c>
      <c r="N147" s="1">
        <f>+M147-J147</f>
        <v>-7.9889697515964503E-2</v>
      </c>
      <c r="O147">
        <v>2.4500000000000002</v>
      </c>
      <c r="P147" t="s">
        <v>15</v>
      </c>
      <c r="Q147">
        <v>-0.01</v>
      </c>
      <c r="R147">
        <v>-4.8441385701299003E-3</v>
      </c>
      <c r="S147">
        <v>4.6159701887517803E-3</v>
      </c>
      <c r="T147">
        <v>0</v>
      </c>
      <c r="V147" t="s">
        <v>162</v>
      </c>
      <c r="W147" s="3">
        <f>AVERAGEIF(A:A,V147,F:F)</f>
        <v>-8.8235294117647019E-4</v>
      </c>
      <c r="Y147" s="3"/>
    </row>
    <row r="148" spans="1:25" x14ac:dyDescent="0.3">
      <c r="A148" t="s">
        <v>27</v>
      </c>
      <c r="B148">
        <v>2010</v>
      </c>
      <c r="C148">
        <v>567673.5</v>
      </c>
      <c r="D148" s="1">
        <v>1.7000000000000001E-2</v>
      </c>
      <c r="E148" s="1">
        <v>0.89419060945510898</v>
      </c>
      <c r="F148" s="1">
        <v>-4.5999999999999999E-2</v>
      </c>
      <c r="G148" s="1">
        <f t="shared" si="4"/>
        <v>-0.09</v>
      </c>
      <c r="H148" s="1" t="str">
        <f t="shared" si="5"/>
        <v/>
      </c>
      <c r="I148" s="1">
        <v>1.2E-2</v>
      </c>
      <c r="J148" s="1">
        <f>+D148-F148+I148*O148</f>
        <v>9.0959999999999999E-2</v>
      </c>
      <c r="K148" s="1">
        <v>1.1155861429870099E-2</v>
      </c>
      <c r="L148" s="1">
        <f>+K148-J148</f>
        <v>-7.9804138570129898E-2</v>
      </c>
      <c r="M148" s="1">
        <v>-4.8441385701299003E-3</v>
      </c>
      <c r="N148" s="1">
        <f>+M148-J148</f>
        <v>-9.5804138570129899E-2</v>
      </c>
      <c r="O148">
        <v>2.33</v>
      </c>
      <c r="P148" t="s">
        <v>17</v>
      </c>
      <c r="Q148">
        <v>0</v>
      </c>
      <c r="R148">
        <v>-1.9848239950835699E-2</v>
      </c>
      <c r="S148">
        <v>1.4355345629156E-3</v>
      </c>
      <c r="T148">
        <v>-0.05</v>
      </c>
      <c r="V148" t="s">
        <v>163</v>
      </c>
      <c r="W148" s="3">
        <f>AVERAGEIF(A:A,V148,F:F)</f>
        <v>1.371428571428571E-2</v>
      </c>
      <c r="Y148" s="3"/>
    </row>
    <row r="149" spans="1:25" x14ac:dyDescent="0.3">
      <c r="A149" t="s">
        <v>27</v>
      </c>
      <c r="B149">
        <v>2011</v>
      </c>
      <c r="C149">
        <v>571904.8125</v>
      </c>
      <c r="D149" s="1">
        <v>3.0000000000000001E-3</v>
      </c>
      <c r="E149" s="1">
        <v>0.89422583580017101</v>
      </c>
      <c r="F149" s="1">
        <v>5.6000000000000001E-2</v>
      </c>
      <c r="G149" s="1">
        <f t="shared" si="4"/>
        <v>-3.3999999999999996E-2</v>
      </c>
      <c r="H149" s="1" t="str">
        <f t="shared" si="5"/>
        <v/>
      </c>
      <c r="I149" s="1">
        <v>0</v>
      </c>
      <c r="J149" s="1">
        <f>+D149-F149+I149*O149</f>
        <v>-5.2999999999999999E-2</v>
      </c>
      <c r="K149" s="1">
        <v>1.21517600491643E-2</v>
      </c>
      <c r="L149" s="1">
        <f>+K149-J149</f>
        <v>6.5151760049164301E-2</v>
      </c>
      <c r="M149" s="1">
        <v>-1.9848239950835699E-2</v>
      </c>
      <c r="N149" s="1">
        <f>+M149-J149</f>
        <v>3.31517600491643E-2</v>
      </c>
      <c r="O149">
        <v>2.46</v>
      </c>
      <c r="P149" t="s">
        <v>15</v>
      </c>
      <c r="Q149">
        <v>0</v>
      </c>
      <c r="R149">
        <v>-4.6922828108071999E-3</v>
      </c>
      <c r="S149">
        <v>7.4592325836419799E-4</v>
      </c>
      <c r="T149">
        <v>0.06</v>
      </c>
      <c r="V149" t="s">
        <v>164</v>
      </c>
      <c r="W149" s="3">
        <f>AVERAGEIF(A:A,V149,F:F)</f>
        <v>1.2941176470588232E-3</v>
      </c>
      <c r="Y149" s="3"/>
    </row>
    <row r="150" spans="1:25" x14ac:dyDescent="0.3">
      <c r="A150" t="s">
        <v>27</v>
      </c>
      <c r="B150">
        <v>2012</v>
      </c>
      <c r="C150">
        <v>576721.375</v>
      </c>
      <c r="D150" s="1">
        <v>1.7999999999999999E-2</v>
      </c>
      <c r="E150" s="1">
        <v>0.89967674016952504</v>
      </c>
      <c r="F150" s="1">
        <v>-3.7999999999999999E-2</v>
      </c>
      <c r="G150" s="1">
        <f t="shared" si="4"/>
        <v>-7.1999999999999995E-2</v>
      </c>
      <c r="H150" s="1" t="str">
        <f t="shared" si="5"/>
        <v/>
      </c>
      <c r="I150" s="1">
        <v>5.0000000000000001E-3</v>
      </c>
      <c r="J150" s="1">
        <f>+D150-F150+I150*O150</f>
        <v>6.7849999999999994E-2</v>
      </c>
      <c r="K150" s="1">
        <v>1.63077171891928E-2</v>
      </c>
      <c r="L150" s="1">
        <f>+K150-J150</f>
        <v>-5.1542282810807194E-2</v>
      </c>
      <c r="M150" s="1">
        <v>-4.6922828108071999E-3</v>
      </c>
      <c r="N150" s="1">
        <f>+M150-J150</f>
        <v>-7.2542282810807199E-2</v>
      </c>
      <c r="O150">
        <v>2.37</v>
      </c>
      <c r="P150" t="s">
        <v>17</v>
      </c>
      <c r="Q150">
        <v>0</v>
      </c>
      <c r="R150">
        <v>4.7423845529556002E-3</v>
      </c>
      <c r="S150">
        <v>-1.384386792779E-3</v>
      </c>
      <c r="T150">
        <v>-0.04</v>
      </c>
      <c r="V150" t="s">
        <v>165</v>
      </c>
      <c r="W150" s="3">
        <f>AVERAGEIF(A:A,V150,F:F)</f>
        <v>7.0588235294117706E-4</v>
      </c>
      <c r="Y150" s="3"/>
    </row>
    <row r="151" spans="1:25" x14ac:dyDescent="0.3">
      <c r="A151" t="s">
        <v>27</v>
      </c>
      <c r="B151">
        <v>2013</v>
      </c>
      <c r="C151">
        <v>579987.1875</v>
      </c>
      <c r="D151" s="1">
        <v>8.9999999999999993E-3</v>
      </c>
      <c r="E151" s="1">
        <v>0.90831303596496604</v>
      </c>
      <c r="F151" s="1">
        <v>-2.9000000000000001E-2</v>
      </c>
      <c r="G151" s="1">
        <f t="shared" si="4"/>
        <v>-0.10099999999999999</v>
      </c>
      <c r="H151" s="1" t="str">
        <f t="shared" si="5"/>
        <v/>
      </c>
      <c r="I151" s="1">
        <v>8.9999999999999993E-3</v>
      </c>
      <c r="J151" s="1">
        <f>+D151-F151+I151*O151</f>
        <v>5.8699999999999995E-2</v>
      </c>
      <c r="K151" s="1">
        <v>1.97423845529556E-2</v>
      </c>
      <c r="L151" s="1">
        <f>+K151-J151</f>
        <v>-3.8957615447044396E-2</v>
      </c>
      <c r="M151" s="1">
        <v>4.7423845529556002E-3</v>
      </c>
      <c r="N151" s="1">
        <f>+M151-J151</f>
        <v>-5.3957615447044395E-2</v>
      </c>
      <c r="O151">
        <v>2.2999999999999998</v>
      </c>
      <c r="P151" t="s">
        <v>17</v>
      </c>
      <c r="Q151">
        <v>0</v>
      </c>
      <c r="R151">
        <v>4.8209156990050902E-3</v>
      </c>
      <c r="S151">
        <v>2.81289219856259E-3</v>
      </c>
      <c r="T151">
        <v>-0.04</v>
      </c>
      <c r="V151" t="s">
        <v>166</v>
      </c>
      <c r="W151" s="3">
        <f>AVERAGEIF(A:A,V151,F:F)</f>
        <v>-4.8235294117647057E-3</v>
      </c>
      <c r="Y151" s="3"/>
    </row>
    <row r="152" spans="1:25" x14ac:dyDescent="0.3">
      <c r="A152" t="s">
        <v>27</v>
      </c>
      <c r="B152">
        <v>2014</v>
      </c>
      <c r="C152">
        <v>583941.25</v>
      </c>
      <c r="D152" s="1">
        <v>2.1000000000000001E-2</v>
      </c>
      <c r="E152" s="1">
        <v>0.90445530414581299</v>
      </c>
      <c r="F152" s="1">
        <v>6.4000000000000001E-2</v>
      </c>
      <c r="G152" s="1">
        <f t="shared" si="4"/>
        <v>-3.6999999999999991E-2</v>
      </c>
      <c r="H152" s="1" t="str">
        <f t="shared" si="5"/>
        <v/>
      </c>
      <c r="I152" s="1">
        <v>-4.0000000000000001E-3</v>
      </c>
      <c r="J152" s="1">
        <f>+D152-F152+I152*O152</f>
        <v>-5.28E-2</v>
      </c>
      <c r="K152" s="1">
        <v>2.0820915699005099E-2</v>
      </c>
      <c r="L152" s="1">
        <f>+K152-J152</f>
        <v>7.3620915699005099E-2</v>
      </c>
      <c r="M152" s="1">
        <v>4.8209156990050902E-3</v>
      </c>
      <c r="N152" s="1">
        <f>+M152-J152</f>
        <v>5.7620915699005092E-2</v>
      </c>
      <c r="O152">
        <v>2.4500000000000002</v>
      </c>
      <c r="P152" t="s">
        <v>17</v>
      </c>
      <c r="Q152">
        <v>0</v>
      </c>
      <c r="R152">
        <v>1.60608423650264E-2</v>
      </c>
      <c r="S152">
        <v>-1.42026096582411E-2</v>
      </c>
      <c r="T152">
        <v>0.06</v>
      </c>
      <c r="V152" t="s">
        <v>167</v>
      </c>
      <c r="W152" s="3">
        <f>AVERAGEIF(A:A,V152,F:F)</f>
        <v>-6.0000000000000038E-4</v>
      </c>
      <c r="Y152" s="3"/>
    </row>
    <row r="153" spans="1:25" x14ac:dyDescent="0.3">
      <c r="A153" t="s">
        <v>27</v>
      </c>
      <c r="B153">
        <v>2015</v>
      </c>
      <c r="C153">
        <v>590014.5625</v>
      </c>
      <c r="D153" s="1">
        <v>5.2999999999999999E-2</v>
      </c>
      <c r="E153" s="1">
        <v>0.90257340669632002</v>
      </c>
      <c r="F153" s="1">
        <v>3.7999999999999999E-2</v>
      </c>
      <c r="G153" s="1">
        <f t="shared" si="4"/>
        <v>1.0000000000000078E-3</v>
      </c>
      <c r="H153" s="1" t="str">
        <f t="shared" si="5"/>
        <v/>
      </c>
      <c r="I153" s="1">
        <v>-2E-3</v>
      </c>
      <c r="J153" s="1">
        <f>+D153-F153+I153*O153</f>
        <v>9.9199999999999983E-3</v>
      </c>
      <c r="K153" s="1">
        <v>1.7060842365026498E-2</v>
      </c>
      <c r="L153" s="1">
        <f>+K153-J153</f>
        <v>7.1408423650265E-3</v>
      </c>
      <c r="M153" s="1">
        <v>1.60608423650264E-2</v>
      </c>
      <c r="N153" s="1">
        <f>+M153-J153</f>
        <v>6.140842365026402E-3</v>
      </c>
      <c r="O153">
        <v>2.54</v>
      </c>
      <c r="P153" t="s">
        <v>17</v>
      </c>
      <c r="Q153">
        <v>-0.01</v>
      </c>
      <c r="R153">
        <v>2.2325639501213999E-3</v>
      </c>
      <c r="S153">
        <v>-1.0920993052423E-2</v>
      </c>
      <c r="T153">
        <v>0.05</v>
      </c>
      <c r="V153" t="s">
        <v>168</v>
      </c>
      <c r="W153" s="3">
        <f>AVERAGEIF(A:A,V153,F:F)</f>
        <v>2.1176470588235297E-3</v>
      </c>
      <c r="Y153" s="3"/>
    </row>
    <row r="154" spans="1:25" x14ac:dyDescent="0.3">
      <c r="A154" t="s">
        <v>27</v>
      </c>
      <c r="B154">
        <v>2016</v>
      </c>
      <c r="C154">
        <v>595348.375</v>
      </c>
      <c r="D154" s="1">
        <v>2.9000000000000001E-2</v>
      </c>
      <c r="E154" s="1">
        <v>0.89717644453048695</v>
      </c>
      <c r="F154" s="1">
        <v>-3.9E-2</v>
      </c>
      <c r="G154" s="1">
        <f t="shared" si="4"/>
        <v>-3.7999999999999992E-2</v>
      </c>
      <c r="H154" s="1" t="str">
        <f t="shared" si="5"/>
        <v/>
      </c>
      <c r="I154" s="1">
        <v>-5.0000000000000001E-3</v>
      </c>
      <c r="J154" s="1">
        <f>+D154-F154+I154*O154</f>
        <v>5.5800000000000002E-2</v>
      </c>
      <c r="K154" s="1">
        <v>1.5232563950121399E-2</v>
      </c>
      <c r="L154" s="1">
        <f>+K154-J154</f>
        <v>-4.05674360498786E-2</v>
      </c>
      <c r="M154" s="1">
        <v>2.2325639501213999E-3</v>
      </c>
      <c r="N154" s="1">
        <f>+M154-J154</f>
        <v>-5.3567436049878604E-2</v>
      </c>
      <c r="O154">
        <v>2.44</v>
      </c>
      <c r="P154" t="s">
        <v>16</v>
      </c>
      <c r="Q154">
        <v>-0.01</v>
      </c>
      <c r="R154">
        <v>1.22654751837253E-2</v>
      </c>
      <c r="S154">
        <v>9.4759017229080998E-3</v>
      </c>
      <c r="T154">
        <v>-0.04</v>
      </c>
      <c r="V154" t="s">
        <v>169</v>
      </c>
      <c r="W154" s="3">
        <f>AVERAGEIF(A:A,V154,F:F)</f>
        <v>-8.2352941176470679E-4</v>
      </c>
      <c r="Y154" s="3"/>
    </row>
    <row r="155" spans="1:25" x14ac:dyDescent="0.3">
      <c r="A155" t="s">
        <v>27</v>
      </c>
      <c r="B155">
        <v>2017</v>
      </c>
      <c r="C155">
        <v>600068.8125</v>
      </c>
      <c r="D155" s="1">
        <v>1.7000000000000001E-2</v>
      </c>
      <c r="E155" s="1">
        <v>0.90865594148635898</v>
      </c>
      <c r="F155" s="1">
        <v>-3.5999999999999997E-2</v>
      </c>
      <c r="G155" s="1">
        <f t="shared" si="4"/>
        <v>-7.3999999999999982E-2</v>
      </c>
      <c r="H155" s="1" t="str">
        <f t="shared" si="5"/>
        <v/>
      </c>
      <c r="I155" s="1">
        <v>1.0999999999999999E-2</v>
      </c>
      <c r="J155" s="1">
        <f>+D155-F155+I155*O155</f>
        <v>7.8850000000000003E-2</v>
      </c>
      <c r="K155" s="1">
        <v>3.3265475183725399E-2</v>
      </c>
      <c r="L155" s="1">
        <f>+K155-J155</f>
        <v>-4.5584524816274605E-2</v>
      </c>
      <c r="M155" s="1">
        <v>1.22654751837253E-2</v>
      </c>
      <c r="N155" s="1">
        <f>+M155-J155</f>
        <v>-6.6584524816274707E-2</v>
      </c>
      <c r="O155">
        <v>2.35</v>
      </c>
      <c r="P155" t="s">
        <v>17</v>
      </c>
      <c r="Q155">
        <v>0.01</v>
      </c>
      <c r="R155">
        <v>7.1342179775237997E-3</v>
      </c>
      <c r="S155">
        <v>-2.0008049905299902E-3</v>
      </c>
      <c r="T155">
        <v>-0.03</v>
      </c>
      <c r="V155" t="s">
        <v>170</v>
      </c>
      <c r="W155" s="3">
        <f>AVERAGEIF(A:A,V155,F:F)</f>
        <v>4.1176470588235306E-3</v>
      </c>
      <c r="Y155" s="3"/>
    </row>
    <row r="156" spans="1:25" x14ac:dyDescent="0.3">
      <c r="A156" t="s">
        <v>27</v>
      </c>
      <c r="B156">
        <v>2018</v>
      </c>
      <c r="C156">
        <v>604204.875</v>
      </c>
      <c r="D156" s="1">
        <v>1.2999999999999999E-2</v>
      </c>
      <c r="E156" s="1">
        <v>0.90646588802337602</v>
      </c>
      <c r="F156" s="1">
        <v>-3.1E-2</v>
      </c>
      <c r="G156" s="1">
        <f t="shared" si="4"/>
        <v>-0.10499999999999998</v>
      </c>
      <c r="H156" s="1" t="str">
        <f t="shared" si="5"/>
        <v/>
      </c>
      <c r="I156" s="1">
        <v>-2E-3</v>
      </c>
      <c r="J156" s="1">
        <f>+D156-F156+I156*O156</f>
        <v>3.9439999999999996E-2</v>
      </c>
      <c r="K156" s="1">
        <v>3.11342179775238E-2</v>
      </c>
      <c r="L156" s="1">
        <f>+K156-J156</f>
        <v>-8.3057820224761957E-3</v>
      </c>
      <c r="M156" s="1">
        <v>7.1342179775237997E-3</v>
      </c>
      <c r="N156" s="1">
        <f>+M156-J156</f>
        <v>-3.2305782022476193E-2</v>
      </c>
      <c r="O156">
        <v>2.2799999999999998</v>
      </c>
      <c r="P156" t="s">
        <v>16</v>
      </c>
      <c r="Q156">
        <v>0</v>
      </c>
      <c r="R156">
        <v>3.4055824548006097E-2</v>
      </c>
      <c r="S156">
        <v>1.6254629939794499E-2</v>
      </c>
      <c r="T156">
        <v>-0.02</v>
      </c>
      <c r="V156" t="s">
        <v>171</v>
      </c>
      <c r="W156" s="3">
        <f>AVERAGEIF(A:A,V156,F:F)</f>
        <v>-3.6470588235294121E-3</v>
      </c>
      <c r="Y156" s="3"/>
    </row>
    <row r="157" spans="1:25" x14ac:dyDescent="0.3">
      <c r="A157" t="s">
        <v>27</v>
      </c>
      <c r="B157">
        <v>2019</v>
      </c>
      <c r="C157">
        <v>608788.5625</v>
      </c>
      <c r="D157" s="1">
        <v>3.3000000000000002E-2</v>
      </c>
      <c r="E157" s="1">
        <v>0.90877532958984397</v>
      </c>
      <c r="F157" s="1">
        <v>4.0000000000000001E-3</v>
      </c>
      <c r="G157" s="1">
        <f t="shared" si="4"/>
        <v>-0.10099999999999998</v>
      </c>
      <c r="H157" s="1" t="str">
        <f t="shared" si="5"/>
        <v/>
      </c>
      <c r="I157" s="1">
        <v>2E-3</v>
      </c>
      <c r="J157" s="1">
        <f>+D157-F157+I157*O157</f>
        <v>3.3579999999999999E-2</v>
      </c>
      <c r="K157" s="1">
        <v>5.2055824548006099E-2</v>
      </c>
      <c r="L157" s="1">
        <f>+K157-J157</f>
        <v>1.8475824548006101E-2</v>
      </c>
      <c r="M157" s="1">
        <v>3.4055824548006097E-2</v>
      </c>
      <c r="N157" s="1">
        <f>+M157-J157</f>
        <v>4.7582454800609852E-4</v>
      </c>
      <c r="O157">
        <v>2.29</v>
      </c>
      <c r="P157" t="s">
        <v>15</v>
      </c>
      <c r="Q157">
        <v>0.02</v>
      </c>
      <c r="R157">
        <v>4.0529726177453998E-2</v>
      </c>
      <c r="S157">
        <v>2.1680535748600901E-2</v>
      </c>
      <c r="T157">
        <v>0.01</v>
      </c>
      <c r="V157" t="s">
        <v>172</v>
      </c>
      <c r="W157" s="3">
        <f>AVERAGEIF(A:A,V157,F:F)</f>
        <v>3.6470588235294112E-3</v>
      </c>
      <c r="Y157" s="3"/>
    </row>
    <row r="158" spans="1:25" x14ac:dyDescent="0.3">
      <c r="A158" t="s">
        <v>27</v>
      </c>
      <c r="B158">
        <v>2020</v>
      </c>
      <c r="C158">
        <v>613228.5</v>
      </c>
      <c r="D158" s="1">
        <v>1.2E-2</v>
      </c>
      <c r="E158" s="1">
        <v>0.93004453182220503</v>
      </c>
      <c r="F158" s="1">
        <v>7.0000000000000001E-3</v>
      </c>
      <c r="G158" s="1">
        <f t="shared" si="4"/>
        <v>-9.3999999999999972E-2</v>
      </c>
      <c r="H158" s="1" t="str">
        <f t="shared" si="5"/>
        <v/>
      </c>
      <c r="I158" s="1">
        <v>2.1000000000000001E-2</v>
      </c>
      <c r="J158" s="1">
        <f>+D158-F158+I158*O158</f>
        <v>5.3510000000000002E-2</v>
      </c>
      <c r="K158" s="1">
        <v>5.2529726177454002E-2</v>
      </c>
      <c r="L158" s="1">
        <f>+K158-J158</f>
        <v>-9.8027382254600032E-4</v>
      </c>
      <c r="M158" s="1">
        <v>4.0529726177453998E-2</v>
      </c>
      <c r="N158" s="1">
        <f>+M158-J158</f>
        <v>-1.2980273822546004E-2</v>
      </c>
      <c r="O158">
        <v>2.31</v>
      </c>
      <c r="P158" t="s">
        <v>15</v>
      </c>
      <c r="Q158">
        <v>0.02</v>
      </c>
      <c r="R158">
        <v>4.1523291051387801E-2</v>
      </c>
      <c r="S158">
        <v>-2.0663216710091001E-3</v>
      </c>
      <c r="T158">
        <v>0.05</v>
      </c>
      <c r="V158" t="s">
        <v>173</v>
      </c>
      <c r="W158" s="3">
        <f>AVERAGEIF(A:A,V158,F:F)</f>
        <v>4.7058823529411752E-3</v>
      </c>
      <c r="Y158" s="3"/>
    </row>
    <row r="159" spans="1:25" x14ac:dyDescent="0.3">
      <c r="A159" t="s">
        <v>27</v>
      </c>
      <c r="B159">
        <v>2021</v>
      </c>
      <c r="C159">
        <v>618254.1875</v>
      </c>
      <c r="D159" s="1">
        <v>4.7E-2</v>
      </c>
      <c r="E159" s="1">
        <v>0.91065460443496704</v>
      </c>
      <c r="F159" s="1">
        <v>-3.5000000000000003E-2</v>
      </c>
      <c r="G159" s="1">
        <f t="shared" si="4"/>
        <v>-0.12899999999999998</v>
      </c>
      <c r="H159" s="1">
        <f t="shared" si="5"/>
        <v>3.5002648830413798E-2</v>
      </c>
      <c r="I159" s="1">
        <v>-1.9E-2</v>
      </c>
      <c r="J159" s="1">
        <f>+D159-F159+I159*O159</f>
        <v>3.9820000000000001E-2</v>
      </c>
      <c r="K159" s="1">
        <v>8.8523291051387801E-2</v>
      </c>
      <c r="L159" s="1">
        <f>+K159-J159</f>
        <v>4.87032910513878E-2</v>
      </c>
      <c r="M159" s="1">
        <v>4.1523291051387801E-2</v>
      </c>
      <c r="N159" s="1">
        <f>+M159-J159</f>
        <v>1.7032910513877994E-3</v>
      </c>
      <c r="O159">
        <v>2.2200000000000002</v>
      </c>
      <c r="P159" t="s">
        <v>16</v>
      </c>
      <c r="Q159">
        <v>0</v>
      </c>
      <c r="R159">
        <v>-4.4997351169586197E-2</v>
      </c>
      <c r="S159">
        <v>-1.28938443958759E-2</v>
      </c>
      <c r="T159">
        <v>-0.06</v>
      </c>
      <c r="V159" t="s">
        <v>174</v>
      </c>
      <c r="W159" s="3">
        <f>AVERAGEIF(A:A,V159,F:F)</f>
        <v>1.5882352941176485E-3</v>
      </c>
      <c r="Y159" s="3"/>
    </row>
    <row r="160" spans="1:25" x14ac:dyDescent="0.3">
      <c r="A160" t="s">
        <v>27</v>
      </c>
      <c r="B160">
        <v>2022</v>
      </c>
      <c r="C160">
        <v>626112.4375</v>
      </c>
      <c r="D160" s="1">
        <v>6.5000000000000002E-2</v>
      </c>
      <c r="E160" s="1">
        <v>0.87172782421112105</v>
      </c>
      <c r="F160" s="1">
        <v>6.5000000000000002E-2</v>
      </c>
      <c r="G160" s="1">
        <f t="shared" si="4"/>
        <v>-6.3999999999999974E-2</v>
      </c>
      <c r="H160" s="1" t="str">
        <f t="shared" si="5"/>
        <v/>
      </c>
      <c r="I160" s="1">
        <v>-3.9E-2</v>
      </c>
      <c r="J160" s="1">
        <f>+D160-F160+I160*O160</f>
        <v>-9.2429999999999998E-2</v>
      </c>
      <c r="K160" s="1">
        <v>3.5002648830413798E-2</v>
      </c>
      <c r="L160" s="1">
        <f>+K160-J160</f>
        <v>0.1274326488304138</v>
      </c>
      <c r="M160" s="1">
        <v>-4.4997351169586197E-2</v>
      </c>
      <c r="N160" s="1">
        <f>+M160-J160</f>
        <v>4.7432648830413801E-2</v>
      </c>
      <c r="O160">
        <v>2.37</v>
      </c>
      <c r="P160" t="s">
        <v>17</v>
      </c>
      <c r="Q160">
        <v>-0.01</v>
      </c>
      <c r="R160">
        <v>-3.6910011231899201E-2</v>
      </c>
      <c r="S160">
        <v>-1.7351083457469899E-2</v>
      </c>
      <c r="T160">
        <v>0.08</v>
      </c>
      <c r="V160" t="s">
        <v>175</v>
      </c>
      <c r="W160" s="3">
        <f>AVERAGEIF(A:A,V160,F:F)</f>
        <v>3.4117647058823555E-3</v>
      </c>
      <c r="Y160" s="3"/>
    </row>
    <row r="161" spans="1:25" x14ac:dyDescent="0.3">
      <c r="A161" t="s">
        <v>28</v>
      </c>
      <c r="B161">
        <v>2006</v>
      </c>
      <c r="C161">
        <v>1530992</v>
      </c>
      <c r="D161" s="1">
        <v>2.3E-2</v>
      </c>
      <c r="E161" s="1">
        <v>0.93183219432830799</v>
      </c>
      <c r="F161" s="1">
        <v>1.4999999999999999E-2</v>
      </c>
      <c r="G161" s="1">
        <f t="shared" si="4"/>
        <v>1.4999999999999999E-2</v>
      </c>
      <c r="H161" s="1" t="str">
        <f t="shared" si="5"/>
        <v/>
      </c>
      <c r="I161" s="1">
        <v>8.0000000000000002E-3</v>
      </c>
      <c r="J161" s="1">
        <f>+D161-F161+I161*O161</f>
        <v>2.5680000000000001E-2</v>
      </c>
      <c r="K161" s="1">
        <v>3.7076823413371998E-2</v>
      </c>
      <c r="L161" s="1">
        <f>+K161-J161</f>
        <v>1.1396823413371997E-2</v>
      </c>
      <c r="M161" s="1">
        <v>5.0768234133719897E-3</v>
      </c>
      <c r="N161" s="1">
        <f>+M161-J161</f>
        <v>-2.0603176586628011E-2</v>
      </c>
      <c r="O161">
        <v>2.21</v>
      </c>
      <c r="P161" t="s">
        <v>15</v>
      </c>
      <c r="Q161">
        <v>0</v>
      </c>
      <c r="R161">
        <v>1.6743726193904799E-2</v>
      </c>
      <c r="S161">
        <v>1.7665482126176399E-2</v>
      </c>
      <c r="T161">
        <v>0.01</v>
      </c>
      <c r="V161" t="s">
        <v>176</v>
      </c>
      <c r="W161" s="3">
        <f>AVERAGEIF(A:A,V161,F:F)</f>
        <v>2.3529411764705902E-4</v>
      </c>
      <c r="Y161" s="3"/>
    </row>
    <row r="162" spans="1:25" x14ac:dyDescent="0.3">
      <c r="A162" t="s">
        <v>28</v>
      </c>
      <c r="B162">
        <v>2007</v>
      </c>
      <c r="C162">
        <v>1591849</v>
      </c>
      <c r="D162" s="1">
        <v>2.1000000000000001E-2</v>
      </c>
      <c r="E162" s="1">
        <v>0.93416368961334195</v>
      </c>
      <c r="F162" s="1">
        <v>2.7E-2</v>
      </c>
      <c r="G162" s="1">
        <f t="shared" si="4"/>
        <v>4.1999999999999996E-2</v>
      </c>
      <c r="H162" s="1" t="str">
        <f t="shared" si="5"/>
        <v/>
      </c>
      <c r="I162" s="1">
        <v>2E-3</v>
      </c>
      <c r="J162" s="1">
        <f>+D162-F162+I162*O162</f>
        <v>-1.4599999999999986E-3</v>
      </c>
      <c r="K162" s="1">
        <v>4.5743726193904898E-2</v>
      </c>
      <c r="L162" s="1">
        <f>+K162-J162</f>
        <v>4.7203726193904894E-2</v>
      </c>
      <c r="M162" s="1">
        <v>1.6743726193904799E-2</v>
      </c>
      <c r="N162" s="1">
        <f>+M162-J162</f>
        <v>1.8203726193904798E-2</v>
      </c>
      <c r="O162">
        <v>2.27</v>
      </c>
      <c r="P162" t="s">
        <v>15</v>
      </c>
      <c r="Q162">
        <v>0.02</v>
      </c>
      <c r="R162">
        <v>-3.3056942570954498E-2</v>
      </c>
      <c r="S162">
        <v>-3.5461382940411498E-3</v>
      </c>
      <c r="T162">
        <v>0.03</v>
      </c>
      <c r="V162" t="s">
        <v>177</v>
      </c>
      <c r="W162" s="3">
        <f>AVERAGEIF(A:A,V162,F:F)</f>
        <v>-5.102127870520021E-19</v>
      </c>
      <c r="Y162" s="3"/>
    </row>
    <row r="163" spans="1:25" x14ac:dyDescent="0.3">
      <c r="A163" t="s">
        <v>28</v>
      </c>
      <c r="B163">
        <v>2008</v>
      </c>
      <c r="C163">
        <v>1646057</v>
      </c>
      <c r="D163" s="1">
        <v>6.9000000000000006E-2</v>
      </c>
      <c r="E163" s="1">
        <v>0.90785193443298295</v>
      </c>
      <c r="F163" s="1">
        <v>-1.0999999999999999E-2</v>
      </c>
      <c r="G163" s="1">
        <f t="shared" si="4"/>
        <v>3.0999999999999996E-2</v>
      </c>
      <c r="H163" s="1" t="str">
        <f t="shared" si="5"/>
        <v/>
      </c>
      <c r="I163" s="1">
        <v>-2.5999999999999999E-2</v>
      </c>
      <c r="J163" s="1">
        <f>+D163-F163+I163*O163</f>
        <v>2.1760000000000002E-2</v>
      </c>
      <c r="K163" s="1">
        <v>4.9430574290454396E-3</v>
      </c>
      <c r="L163" s="1">
        <f>+K163-J163</f>
        <v>-1.6816942570954563E-2</v>
      </c>
      <c r="M163" s="1">
        <v>-3.3056942570954498E-2</v>
      </c>
      <c r="N163" s="1">
        <f>+M163-J163</f>
        <v>-5.4816942570954499E-2</v>
      </c>
      <c r="O163">
        <v>2.2400000000000002</v>
      </c>
      <c r="P163" t="s">
        <v>16</v>
      </c>
      <c r="Q163">
        <v>0</v>
      </c>
      <c r="R163">
        <v>-3.9419398367404899E-2</v>
      </c>
      <c r="S163">
        <v>-1.28526967018842E-2</v>
      </c>
      <c r="T163">
        <v>-0.01</v>
      </c>
      <c r="V163" t="s">
        <v>178</v>
      </c>
      <c r="W163" s="3">
        <f>AVERAGEIF(A:A,V163,F:F)</f>
        <v>-8.2352941176470594E-3</v>
      </c>
      <c r="Y163" s="3"/>
    </row>
    <row r="164" spans="1:25" x14ac:dyDescent="0.3">
      <c r="A164" t="s">
        <v>28</v>
      </c>
      <c r="B164">
        <v>2009</v>
      </c>
      <c r="C164">
        <v>1693767</v>
      </c>
      <c r="D164" s="1">
        <v>2.7E-2</v>
      </c>
      <c r="E164" s="1">
        <v>0.90347921848297097</v>
      </c>
      <c r="F164" s="1">
        <v>8.9999999999999993E-3</v>
      </c>
      <c r="G164" s="1">
        <f t="shared" si="4"/>
        <v>3.9999999999999994E-2</v>
      </c>
      <c r="H164" s="1" t="str">
        <f t="shared" si="5"/>
        <v/>
      </c>
      <c r="I164" s="1">
        <v>-4.0000000000000001E-3</v>
      </c>
      <c r="J164" s="1">
        <f>+D164-F164+I164*O164</f>
        <v>8.9200000000000026E-3</v>
      </c>
      <c r="K164" s="1">
        <v>-4.3419398367404903E-2</v>
      </c>
      <c r="L164" s="1">
        <f>+K164-J164</f>
        <v>-5.2339398367404907E-2</v>
      </c>
      <c r="M164" s="1">
        <v>-3.9419398367404899E-2</v>
      </c>
      <c r="N164" s="1">
        <f>+M164-J164</f>
        <v>-4.8339398367404904E-2</v>
      </c>
      <c r="O164">
        <v>2.27</v>
      </c>
      <c r="P164" t="s">
        <v>17</v>
      </c>
      <c r="Q164">
        <v>-0.01</v>
      </c>
      <c r="R164">
        <v>-3.8640146926045E-3</v>
      </c>
      <c r="S164">
        <v>5.5960940662771802E-3</v>
      </c>
      <c r="T164">
        <v>-0.01</v>
      </c>
      <c r="V164" t="s">
        <v>179</v>
      </c>
      <c r="W164" s="3">
        <f>AVERAGEIF(A:A,V164,F:F)</f>
        <v>1.6470588235294125E-3</v>
      </c>
      <c r="Y164" s="3"/>
    </row>
    <row r="165" spans="1:25" x14ac:dyDescent="0.3">
      <c r="A165" t="s">
        <v>28</v>
      </c>
      <c r="B165">
        <v>2010</v>
      </c>
      <c r="C165">
        <v>1741076</v>
      </c>
      <c r="D165" s="1">
        <v>8.9999999999999993E-3</v>
      </c>
      <c r="E165" s="1">
        <v>0.92493540048599199</v>
      </c>
      <c r="F165" s="1">
        <v>4.2999999999999997E-2</v>
      </c>
      <c r="G165" s="1">
        <f t="shared" si="4"/>
        <v>8.299999999999999E-2</v>
      </c>
      <c r="H165" s="1" t="str">
        <f t="shared" si="5"/>
        <v/>
      </c>
      <c r="I165" s="1">
        <v>2.1000000000000001E-2</v>
      </c>
      <c r="J165" s="1">
        <f>+D165-F165+I165*O165</f>
        <v>1.5560000000000004E-2</v>
      </c>
      <c r="K165" s="1">
        <v>1.21359853073955E-2</v>
      </c>
      <c r="L165" s="1">
        <f>+K165-J165</f>
        <v>-3.4240146926045045E-3</v>
      </c>
      <c r="M165" s="1">
        <v>-3.8640146926045E-3</v>
      </c>
      <c r="N165" s="1">
        <f>+M165-J165</f>
        <v>-1.9424014692604505E-2</v>
      </c>
      <c r="O165">
        <v>2.36</v>
      </c>
      <c r="P165" t="s">
        <v>15</v>
      </c>
      <c r="Q165">
        <v>0.01</v>
      </c>
      <c r="R165">
        <v>-9.6910636574029999E-3</v>
      </c>
      <c r="S165">
        <v>1.15927108563483E-2</v>
      </c>
      <c r="T165">
        <v>0.03</v>
      </c>
      <c r="V165" t="s">
        <v>180</v>
      </c>
      <c r="W165" s="3">
        <f>AVERAGEIF(A:A,V165,F:F)</f>
        <v>2.6470588235294134E-3</v>
      </c>
      <c r="Y165" s="3"/>
    </row>
    <row r="166" spans="1:25" x14ac:dyDescent="0.3">
      <c r="A166" t="s">
        <v>28</v>
      </c>
      <c r="B166">
        <v>2011</v>
      </c>
      <c r="C166">
        <v>1794669</v>
      </c>
      <c r="D166" s="1">
        <v>2E-3</v>
      </c>
      <c r="E166" s="1">
        <v>0.93185597658157304</v>
      </c>
      <c r="F166" s="1">
        <v>-6.2E-2</v>
      </c>
      <c r="G166" s="1">
        <f t="shared" si="4"/>
        <v>2.0999999999999991E-2</v>
      </c>
      <c r="H166" s="1" t="str">
        <f t="shared" si="5"/>
        <v/>
      </c>
      <c r="I166" s="1">
        <v>7.0000000000000001E-3</v>
      </c>
      <c r="J166" s="1">
        <f>+D166-F166+I166*O166</f>
        <v>7.954E-2</v>
      </c>
      <c r="K166" s="1">
        <v>2.2308936342597001E-2</v>
      </c>
      <c r="L166" s="1">
        <f>+K166-J166</f>
        <v>-5.7231063657402999E-2</v>
      </c>
      <c r="M166" s="1">
        <v>-9.6910636574029999E-3</v>
      </c>
      <c r="N166" s="1">
        <f>+M166-J166</f>
        <v>-8.9231063657402993E-2</v>
      </c>
      <c r="O166">
        <v>2.2200000000000002</v>
      </c>
      <c r="P166" t="s">
        <v>17</v>
      </c>
      <c r="Q166">
        <v>0.01</v>
      </c>
      <c r="R166">
        <v>7.8966726511717003E-3</v>
      </c>
      <c r="S166">
        <v>1.3334878720343101E-2</v>
      </c>
      <c r="T166">
        <v>-0.06</v>
      </c>
      <c r="V166" t="s">
        <v>181</v>
      </c>
      <c r="W166" s="3">
        <f>AVERAGEIF(A:A,V166,F:F)</f>
        <v>-2.9411764705882353E-3</v>
      </c>
      <c r="Y166" s="3"/>
    </row>
    <row r="167" spans="1:25" x14ac:dyDescent="0.3">
      <c r="A167" t="s">
        <v>28</v>
      </c>
      <c r="B167">
        <v>2012</v>
      </c>
      <c r="C167">
        <v>1848120</v>
      </c>
      <c r="D167" s="1">
        <v>2.4E-2</v>
      </c>
      <c r="E167" s="1">
        <v>0.93640202283859297</v>
      </c>
      <c r="F167" s="1">
        <v>2.8000000000000001E-2</v>
      </c>
      <c r="G167" s="1">
        <f t="shared" si="4"/>
        <v>4.8999999999999988E-2</v>
      </c>
      <c r="H167" s="1" t="str">
        <f t="shared" si="5"/>
        <v/>
      </c>
      <c r="I167" s="1">
        <v>5.0000000000000001E-3</v>
      </c>
      <c r="J167" s="1">
        <f>+D167-F167+I167*O167</f>
        <v>7.3999999999999986E-3</v>
      </c>
      <c r="K167" s="1">
        <v>2.8896672651171702E-2</v>
      </c>
      <c r="L167" s="1">
        <f>+K167-J167</f>
        <v>2.1496672651171701E-2</v>
      </c>
      <c r="M167" s="1">
        <v>7.8966726511717003E-3</v>
      </c>
      <c r="N167" s="1">
        <f>+M167-J167</f>
        <v>4.9667265117170172E-4</v>
      </c>
      <c r="O167">
        <v>2.2799999999999998</v>
      </c>
      <c r="P167" t="s">
        <v>15</v>
      </c>
      <c r="Q167">
        <v>0.01</v>
      </c>
      <c r="R167">
        <v>1.9104745835065801E-2</v>
      </c>
      <c r="S167">
        <v>1.29779744893312E-2</v>
      </c>
      <c r="T167">
        <v>0.02</v>
      </c>
    </row>
    <row r="168" spans="1:25" x14ac:dyDescent="0.3">
      <c r="A168" t="s">
        <v>28</v>
      </c>
      <c r="B168">
        <v>2013</v>
      </c>
      <c r="C168">
        <v>1899710</v>
      </c>
      <c r="D168" s="1">
        <v>4.1000000000000002E-2</v>
      </c>
      <c r="E168" s="1">
        <v>0.93115162849426303</v>
      </c>
      <c r="F168" s="1">
        <v>-3.0000000000000001E-3</v>
      </c>
      <c r="G168" s="1">
        <f t="shared" si="4"/>
        <v>4.5999999999999985E-2</v>
      </c>
      <c r="H168" s="1" t="str">
        <f t="shared" si="5"/>
        <v/>
      </c>
      <c r="I168" s="1">
        <v>-5.0000000000000001E-3</v>
      </c>
      <c r="J168" s="1">
        <f>+D168-F168+I168*O168</f>
        <v>3.2650000000000005E-2</v>
      </c>
      <c r="K168" s="1">
        <v>3.41047458350658E-2</v>
      </c>
      <c r="L168" s="1">
        <f>+K168-J168</f>
        <v>1.4547458350657946E-3</v>
      </c>
      <c r="M168" s="1">
        <v>1.9104745835065801E-2</v>
      </c>
      <c r="N168" s="1">
        <f>+M168-J168</f>
        <v>-1.3545254164934205E-2</v>
      </c>
      <c r="O168">
        <v>2.27</v>
      </c>
      <c r="P168" t="s">
        <v>16</v>
      </c>
      <c r="Q168">
        <v>0.01</v>
      </c>
      <c r="R168">
        <v>9.2495761960744993E-3</v>
      </c>
      <c r="S168">
        <v>7.2415526956319896E-3</v>
      </c>
      <c r="T168">
        <v>-0.01</v>
      </c>
    </row>
    <row r="169" spans="1:25" x14ac:dyDescent="0.3">
      <c r="A169" t="s">
        <v>28</v>
      </c>
      <c r="B169">
        <v>2014</v>
      </c>
      <c r="C169">
        <v>1959680</v>
      </c>
      <c r="D169" s="1">
        <v>4.8000000000000001E-2</v>
      </c>
      <c r="E169" s="1">
        <v>0.92379623651504505</v>
      </c>
      <c r="F169" s="1">
        <v>-1.9E-2</v>
      </c>
      <c r="G169" s="1">
        <f t="shared" si="4"/>
        <v>2.6999999999999986E-2</v>
      </c>
      <c r="H169" s="1" t="str">
        <f t="shared" si="5"/>
        <v/>
      </c>
      <c r="I169" s="1">
        <v>-7.0000000000000001E-3</v>
      </c>
      <c r="J169" s="1">
        <f>+D169-F169+I169*O169</f>
        <v>5.1390000000000005E-2</v>
      </c>
      <c r="K169" s="1">
        <v>2.52495761960745E-2</v>
      </c>
      <c r="L169" s="1">
        <f>+K169-J169</f>
        <v>-2.6140423803925505E-2</v>
      </c>
      <c r="M169" s="1">
        <v>9.2495761960744993E-3</v>
      </c>
      <c r="N169" s="1">
        <f>+M169-J169</f>
        <v>-4.2140423803925506E-2</v>
      </c>
      <c r="O169">
        <v>2.23</v>
      </c>
      <c r="P169" t="s">
        <v>16</v>
      </c>
      <c r="Q169">
        <v>0.01</v>
      </c>
      <c r="R169">
        <v>4.5403832733631098E-2</v>
      </c>
      <c r="S169">
        <v>1.51403807103634E-2</v>
      </c>
      <c r="T169">
        <v>-0.02</v>
      </c>
    </row>
    <row r="170" spans="1:25" x14ac:dyDescent="0.3">
      <c r="A170" t="s">
        <v>28</v>
      </c>
      <c r="B170">
        <v>2015</v>
      </c>
      <c r="C170">
        <v>2019753</v>
      </c>
      <c r="D170" s="1">
        <v>4.8000000000000001E-2</v>
      </c>
      <c r="E170" s="1">
        <v>0.92827242612838701</v>
      </c>
      <c r="F170" s="1">
        <v>-3.0000000000000001E-3</v>
      </c>
      <c r="G170" s="1">
        <f t="shared" si="4"/>
        <v>2.3999999999999987E-2</v>
      </c>
      <c r="H170" s="1" t="str">
        <f t="shared" si="5"/>
        <v/>
      </c>
      <c r="I170" s="1">
        <v>4.0000000000000001E-3</v>
      </c>
      <c r="J170" s="1">
        <f>+D170-F170+I170*O170</f>
        <v>5.9880000000000003E-2</v>
      </c>
      <c r="K170" s="1">
        <v>4.6403832733631099E-2</v>
      </c>
      <c r="L170" s="1">
        <f>+K170-J170</f>
        <v>-1.3476167266368903E-2</v>
      </c>
      <c r="M170" s="1">
        <v>4.5403832733631098E-2</v>
      </c>
      <c r="N170" s="1">
        <f>+M170-J170</f>
        <v>-1.4476167266368904E-2</v>
      </c>
      <c r="O170">
        <v>2.2200000000000002</v>
      </c>
      <c r="P170" t="s">
        <v>17</v>
      </c>
      <c r="Q170">
        <v>0.02</v>
      </c>
      <c r="R170">
        <v>3.22852310538289E-3</v>
      </c>
      <c r="S170">
        <v>-9.9250338971614994E-3</v>
      </c>
      <c r="T170">
        <v>0.01</v>
      </c>
    </row>
    <row r="171" spans="1:25" x14ac:dyDescent="0.3">
      <c r="A171" t="s">
        <v>28</v>
      </c>
      <c r="B171">
        <v>2016</v>
      </c>
      <c r="C171">
        <v>2078534.875</v>
      </c>
      <c r="D171" s="1">
        <v>5.8999999999999997E-2</v>
      </c>
      <c r="E171" s="1">
        <v>0.910619556903839</v>
      </c>
      <c r="F171" s="1">
        <v>3.0000000000000001E-3</v>
      </c>
      <c r="G171" s="1">
        <f t="shared" si="4"/>
        <v>2.6999999999999986E-2</v>
      </c>
      <c r="H171" s="1" t="str">
        <f t="shared" si="5"/>
        <v/>
      </c>
      <c r="I171" s="1">
        <v>-1.7999999999999999E-2</v>
      </c>
      <c r="J171" s="1">
        <f>+D171-F171+I171*O171</f>
        <v>1.5859999999999999E-2</v>
      </c>
      <c r="K171" s="1">
        <v>1.6228523105382898E-2</v>
      </c>
      <c r="L171" s="1">
        <f>+K171-J171</f>
        <v>3.685231053828994E-4</v>
      </c>
      <c r="M171" s="1">
        <v>3.22852310538289E-3</v>
      </c>
      <c r="N171" s="1">
        <f>+M171-J171</f>
        <v>-1.2631476894617109E-2</v>
      </c>
      <c r="O171">
        <v>2.23</v>
      </c>
      <c r="P171" t="s">
        <v>17</v>
      </c>
      <c r="Q171">
        <v>-0.01</v>
      </c>
      <c r="R171">
        <v>-9.6946026235818997E-3</v>
      </c>
      <c r="S171">
        <v>-1.24841760843991E-2</v>
      </c>
      <c r="T171">
        <v>0</v>
      </c>
    </row>
    <row r="172" spans="1:25" x14ac:dyDescent="0.3">
      <c r="A172" t="s">
        <v>28</v>
      </c>
      <c r="B172">
        <v>2017</v>
      </c>
      <c r="C172">
        <v>2131416</v>
      </c>
      <c r="D172" s="1">
        <v>5.1999999999999998E-2</v>
      </c>
      <c r="E172" s="1">
        <v>0.90020132064819303</v>
      </c>
      <c r="F172" s="1">
        <v>-1.7999999999999999E-2</v>
      </c>
      <c r="G172" s="1">
        <f t="shared" si="4"/>
        <v>8.9999999999999872E-3</v>
      </c>
      <c r="H172" s="1" t="str">
        <f t="shared" si="5"/>
        <v/>
      </c>
      <c r="I172" s="1">
        <v>-0.01</v>
      </c>
      <c r="J172" s="1">
        <f>+D172-F172+I172*O172</f>
        <v>4.809999999999999E-2</v>
      </c>
      <c r="K172" s="1">
        <v>1.13053973764181E-2</v>
      </c>
      <c r="L172" s="1">
        <f>+K172-J172</f>
        <v>-3.679460262358189E-2</v>
      </c>
      <c r="M172" s="1">
        <v>-9.6946026235818997E-3</v>
      </c>
      <c r="N172" s="1">
        <f>+M172-J172</f>
        <v>-5.7794602623581888E-2</v>
      </c>
      <c r="O172">
        <v>2.19</v>
      </c>
      <c r="P172" t="s">
        <v>16</v>
      </c>
      <c r="Q172">
        <v>-0.01</v>
      </c>
      <c r="R172">
        <v>1.7121520102024099E-2</v>
      </c>
      <c r="S172">
        <v>7.9864971339703005E-3</v>
      </c>
      <c r="T172">
        <v>-0.02</v>
      </c>
    </row>
    <row r="173" spans="1:25" x14ac:dyDescent="0.3">
      <c r="A173" t="s">
        <v>28</v>
      </c>
      <c r="B173">
        <v>2018</v>
      </c>
      <c r="C173">
        <v>2185146</v>
      </c>
      <c r="D173" s="1">
        <v>3.3000000000000002E-2</v>
      </c>
      <c r="E173" s="1">
        <v>0.92175209522247303</v>
      </c>
      <c r="F173" s="1">
        <v>3.2000000000000001E-2</v>
      </c>
      <c r="G173" s="1">
        <f t="shared" si="4"/>
        <v>4.0999999999999988E-2</v>
      </c>
      <c r="H173" s="1" t="str">
        <f t="shared" si="5"/>
        <v/>
      </c>
      <c r="I173" s="1">
        <v>2.1999999999999999E-2</v>
      </c>
      <c r="J173" s="1">
        <f>+D173-F173+I173*O173</f>
        <v>5.0719999999999994E-2</v>
      </c>
      <c r="K173" s="1">
        <v>4.1121520102024099E-2</v>
      </c>
      <c r="L173" s="1">
        <f>+K173-J173</f>
        <v>-9.5984798979758951E-3</v>
      </c>
      <c r="M173" s="1">
        <v>1.7121520102024099E-2</v>
      </c>
      <c r="N173" s="1">
        <f>+M173-J173</f>
        <v>-3.3598479897975896E-2</v>
      </c>
      <c r="O173">
        <v>2.2599999999999998</v>
      </c>
      <c r="P173" t="s">
        <v>15</v>
      </c>
      <c r="Q173">
        <v>0.01</v>
      </c>
      <c r="R173">
        <v>2.9068804502487201E-2</v>
      </c>
      <c r="S173">
        <v>1.12676098942757E-2</v>
      </c>
      <c r="T173">
        <v>0.04</v>
      </c>
    </row>
    <row r="174" spans="1:25" x14ac:dyDescent="0.3">
      <c r="A174" t="s">
        <v>28</v>
      </c>
      <c r="B174">
        <v>2019</v>
      </c>
      <c r="C174">
        <v>2248783</v>
      </c>
      <c r="D174" s="1">
        <v>4.8000000000000001E-2</v>
      </c>
      <c r="E174" s="1">
        <v>0.91739618778228804</v>
      </c>
      <c r="F174" s="1">
        <v>-2.5000000000000001E-2</v>
      </c>
      <c r="G174" s="1">
        <f t="shared" si="4"/>
        <v>1.5999999999999986E-2</v>
      </c>
      <c r="H174" s="1" t="str">
        <f t="shared" si="5"/>
        <v/>
      </c>
      <c r="I174" s="1">
        <v>-4.0000000000000001E-3</v>
      </c>
      <c r="J174" s="1">
        <f>+D174-F174+I174*O174</f>
        <v>6.4200000000000007E-2</v>
      </c>
      <c r="K174" s="1">
        <v>4.7068804502487203E-2</v>
      </c>
      <c r="L174" s="1">
        <f>+K174-J174</f>
        <v>-1.7131195497512804E-2</v>
      </c>
      <c r="M174" s="1">
        <v>2.9068804502487201E-2</v>
      </c>
      <c r="N174" s="1">
        <f>+M174-J174</f>
        <v>-3.5131195497512806E-2</v>
      </c>
      <c r="O174">
        <v>2.2000000000000002</v>
      </c>
      <c r="P174" t="s">
        <v>16</v>
      </c>
      <c r="Q174">
        <v>0.01</v>
      </c>
      <c r="R174">
        <v>-2.0802583441138198E-2</v>
      </c>
      <c r="S174">
        <v>-3.9651773869991198E-2</v>
      </c>
      <c r="T174">
        <v>-0.02</v>
      </c>
    </row>
    <row r="175" spans="1:25" x14ac:dyDescent="0.3">
      <c r="A175" t="s">
        <v>28</v>
      </c>
      <c r="B175">
        <v>2020</v>
      </c>
      <c r="C175">
        <v>2314886</v>
      </c>
      <c r="D175" s="1">
        <v>5.5E-2</v>
      </c>
      <c r="E175" s="1">
        <v>0.89550727605819702</v>
      </c>
      <c r="F175" s="1">
        <v>-7.3999999999999996E-2</v>
      </c>
      <c r="G175" s="1">
        <f t="shared" si="4"/>
        <v>-5.800000000000001E-2</v>
      </c>
      <c r="H175" s="1" t="str">
        <f t="shared" si="5"/>
        <v/>
      </c>
      <c r="I175" s="1">
        <v>-2.1999999999999999E-2</v>
      </c>
      <c r="J175" s="1">
        <f>+D175-F175+I175*O175</f>
        <v>8.412E-2</v>
      </c>
      <c r="K175" s="1">
        <v>-8.8025834411382693E-3</v>
      </c>
      <c r="L175" s="1">
        <f>+K175-J175</f>
        <v>-9.2922583441138268E-2</v>
      </c>
      <c r="M175" s="1">
        <v>-2.0802583441138198E-2</v>
      </c>
      <c r="N175" s="1">
        <f>+M175-J175</f>
        <v>-0.1049225834411382</v>
      </c>
      <c r="O175">
        <v>2.04</v>
      </c>
      <c r="P175" t="s">
        <v>16</v>
      </c>
      <c r="Q175">
        <v>-0.04</v>
      </c>
      <c r="R175">
        <v>0.114389887332916</v>
      </c>
      <c r="S175">
        <v>7.0800274610519104E-2</v>
      </c>
      <c r="T175">
        <v>-0.03</v>
      </c>
    </row>
    <row r="176" spans="1:25" x14ac:dyDescent="0.3">
      <c r="A176" t="s">
        <v>28</v>
      </c>
      <c r="B176">
        <v>2021</v>
      </c>
      <c r="C176">
        <v>2376382</v>
      </c>
      <c r="D176" s="1">
        <v>4.9000000000000002E-2</v>
      </c>
      <c r="E176" s="1">
        <v>0.934503674507141</v>
      </c>
      <c r="F176" s="1">
        <v>1.4E-2</v>
      </c>
      <c r="G176" s="1">
        <f t="shared" si="4"/>
        <v>-4.4000000000000011E-2</v>
      </c>
      <c r="H176" s="1" t="str">
        <f t="shared" si="5"/>
        <v/>
      </c>
      <c r="I176" s="1">
        <v>3.9E-2</v>
      </c>
      <c r="J176" s="1">
        <f>+D176-F176+I176*O176</f>
        <v>0.11573</v>
      </c>
      <c r="K176" s="1">
        <v>0.16138988733291601</v>
      </c>
      <c r="L176" s="1">
        <f>+K176-J176</f>
        <v>4.565988733291601E-2</v>
      </c>
      <c r="M176" s="1">
        <v>0.114389887332916</v>
      </c>
      <c r="N176" s="1">
        <f>+M176-J176</f>
        <v>-1.3401126670840036E-3</v>
      </c>
      <c r="O176">
        <v>2.0699999999999998</v>
      </c>
      <c r="P176" t="s">
        <v>15</v>
      </c>
      <c r="Q176">
        <v>7.0000000000000007E-2</v>
      </c>
      <c r="R176">
        <v>-5.34023809432983E-2</v>
      </c>
      <c r="S176">
        <v>-2.1298874169587999E-2</v>
      </c>
      <c r="T176">
        <v>-0.01</v>
      </c>
    </row>
    <row r="177" spans="1:20" x14ac:dyDescent="0.3">
      <c r="A177" t="s">
        <v>28</v>
      </c>
      <c r="B177">
        <v>2022</v>
      </c>
      <c r="C177">
        <v>2445493</v>
      </c>
      <c r="D177" s="1">
        <v>5.8000000000000003E-2</v>
      </c>
      <c r="E177" s="1">
        <v>0.90637254714965798</v>
      </c>
      <c r="F177" s="1">
        <v>-3.0000000000000001E-3</v>
      </c>
      <c r="G177" s="1">
        <f t="shared" si="4"/>
        <v>-4.7000000000000014E-2</v>
      </c>
      <c r="H177" s="1" t="str">
        <f t="shared" si="5"/>
        <v/>
      </c>
      <c r="I177" s="1">
        <v>-2.8000000000000001E-2</v>
      </c>
      <c r="J177" s="1">
        <f>+D177-F177+I177*O177</f>
        <v>3.3200000000000035E-3</v>
      </c>
      <c r="K177" s="1">
        <v>2.6597619056701698E-2</v>
      </c>
      <c r="L177" s="1">
        <f>+K177-J177</f>
        <v>2.3277619056701695E-2</v>
      </c>
      <c r="M177" s="1">
        <v>-5.34023809432983E-2</v>
      </c>
      <c r="N177" s="1">
        <f>+M177-J177</f>
        <v>-5.6722380943298303E-2</v>
      </c>
      <c r="O177">
        <v>2.06</v>
      </c>
      <c r="P177" t="s">
        <v>16</v>
      </c>
      <c r="Q177">
        <v>-0.02</v>
      </c>
      <c r="R177">
        <v>-9.0634419381618495E-2</v>
      </c>
      <c r="S177">
        <v>-7.1075491607189206E-2</v>
      </c>
      <c r="T177">
        <v>0.01</v>
      </c>
    </row>
    <row r="178" spans="1:20" x14ac:dyDescent="0.3">
      <c r="A178" t="s">
        <v>29</v>
      </c>
      <c r="B178">
        <v>2006</v>
      </c>
      <c r="C178">
        <v>789159.125</v>
      </c>
      <c r="D178" s="1">
        <v>2.7E-2</v>
      </c>
      <c r="E178" s="1">
        <v>0.94811427593231201</v>
      </c>
      <c r="F178" s="1">
        <v>5.6000000000000001E-2</v>
      </c>
      <c r="G178" s="1">
        <f t="shared" si="4"/>
        <v>5.6000000000000001E-2</v>
      </c>
      <c r="H178" s="1" t="str">
        <f t="shared" si="5"/>
        <v/>
      </c>
      <c r="I178" s="1">
        <v>1E-3</v>
      </c>
      <c r="J178" s="1">
        <f>+D178-F178+I178*O178</f>
        <v>-2.5910000000000002E-2</v>
      </c>
      <c r="K178" s="1">
        <v>5.6987073272466701E-2</v>
      </c>
      <c r="L178" s="1">
        <f>+K178-J178</f>
        <v>8.2897073272466704E-2</v>
      </c>
      <c r="M178" s="1">
        <v>2.4987073272466701E-2</v>
      </c>
      <c r="N178" s="1">
        <f>+M178-J178</f>
        <v>5.0897073272466703E-2</v>
      </c>
      <c r="O178">
        <v>3.09</v>
      </c>
      <c r="P178" t="s">
        <v>15</v>
      </c>
      <c r="Q178">
        <v>0.02</v>
      </c>
      <c r="R178">
        <v>1.48841804862021E-2</v>
      </c>
      <c r="S178">
        <v>1.58059364184737E-2</v>
      </c>
      <c r="T178">
        <v>0.05</v>
      </c>
    </row>
    <row r="179" spans="1:20" x14ac:dyDescent="0.3">
      <c r="A179" t="s">
        <v>29</v>
      </c>
      <c r="B179">
        <v>2007</v>
      </c>
      <c r="C179">
        <v>807037.1875</v>
      </c>
      <c r="D179" s="1">
        <v>3.2000000000000001E-2</v>
      </c>
      <c r="E179" s="1">
        <v>0.94531559944152799</v>
      </c>
      <c r="F179" s="1">
        <v>-8.0000000000000002E-3</v>
      </c>
      <c r="G179" s="1">
        <f t="shared" si="4"/>
        <v>4.8000000000000001E-2</v>
      </c>
      <c r="H179" s="1" t="str">
        <f t="shared" si="5"/>
        <v/>
      </c>
      <c r="I179" s="1">
        <v>-3.0000000000000001E-3</v>
      </c>
      <c r="J179" s="1">
        <f>+D179-F179+I179*O179</f>
        <v>3.082E-2</v>
      </c>
      <c r="K179" s="1">
        <v>4.3884180486202198E-2</v>
      </c>
      <c r="L179" s="1">
        <f>+K179-J179</f>
        <v>1.3064180486202198E-2</v>
      </c>
      <c r="M179" s="1">
        <v>1.48841804862021E-2</v>
      </c>
      <c r="N179" s="1">
        <f>+M179-J179</f>
        <v>-1.59358195137979E-2</v>
      </c>
      <c r="O179">
        <v>3.06</v>
      </c>
      <c r="P179" t="s">
        <v>16</v>
      </c>
      <c r="Q179">
        <v>0.02</v>
      </c>
      <c r="R179">
        <v>-3.0229137569665901E-2</v>
      </c>
      <c r="S179">
        <v>-7.1833329275250402E-4</v>
      </c>
      <c r="T179">
        <v>-0.01</v>
      </c>
    </row>
    <row r="180" spans="1:20" x14ac:dyDescent="0.3">
      <c r="A180" t="s">
        <v>29</v>
      </c>
      <c r="B180">
        <v>2008</v>
      </c>
      <c r="C180">
        <v>821314.375</v>
      </c>
      <c r="D180" s="1">
        <v>0.02</v>
      </c>
      <c r="E180" s="1">
        <v>0.94060128927230802</v>
      </c>
      <c r="F180" s="1">
        <v>-3.9E-2</v>
      </c>
      <c r="G180" s="1">
        <f t="shared" si="4"/>
        <v>9.0000000000000011E-3</v>
      </c>
      <c r="H180" s="1" t="str">
        <f t="shared" si="5"/>
        <v/>
      </c>
      <c r="I180" s="1">
        <v>-5.0000000000000001E-3</v>
      </c>
      <c r="J180" s="1">
        <f>+D180-F180+I180*O180</f>
        <v>4.4249999999999998E-2</v>
      </c>
      <c r="K180" s="1">
        <v>7.7708624303340903E-3</v>
      </c>
      <c r="L180" s="1">
        <f>+K180-J180</f>
        <v>-3.6479137569665906E-2</v>
      </c>
      <c r="M180" s="1">
        <v>-3.0229137569665901E-2</v>
      </c>
      <c r="N180" s="1">
        <f>+M180-J180</f>
        <v>-7.4479137569665899E-2</v>
      </c>
      <c r="O180">
        <v>2.95</v>
      </c>
      <c r="P180" t="s">
        <v>16</v>
      </c>
      <c r="Q180">
        <v>0</v>
      </c>
      <c r="R180">
        <v>-5.6625921934843101E-2</v>
      </c>
      <c r="S180">
        <v>-3.0059220269322399E-2</v>
      </c>
      <c r="T180">
        <v>-0.04</v>
      </c>
    </row>
    <row r="181" spans="1:20" x14ac:dyDescent="0.3">
      <c r="A181" t="s">
        <v>29</v>
      </c>
      <c r="B181">
        <v>2009</v>
      </c>
      <c r="C181">
        <v>833048.5625</v>
      </c>
      <c r="D181" s="1">
        <v>4.0000000000000001E-3</v>
      </c>
      <c r="E181" s="1">
        <v>0.93400764465331998</v>
      </c>
      <c r="F181" s="1">
        <v>6.3E-2</v>
      </c>
      <c r="G181" s="1">
        <f t="shared" si="4"/>
        <v>7.2000000000000008E-2</v>
      </c>
      <c r="H181" s="1" t="str">
        <f t="shared" si="5"/>
        <v/>
      </c>
      <c r="I181" s="1">
        <v>-7.0000000000000001E-3</v>
      </c>
      <c r="J181" s="1">
        <f>+D181-F181+I181*O181</f>
        <v>-8.0909999999999996E-2</v>
      </c>
      <c r="K181" s="1">
        <v>-6.0625921934843098E-2</v>
      </c>
      <c r="L181" s="1">
        <f>+K181-J181</f>
        <v>2.0284078065156898E-2</v>
      </c>
      <c r="M181" s="1">
        <v>-5.6625921934843101E-2</v>
      </c>
      <c r="N181" s="1">
        <f>+M181-J181</f>
        <v>2.4284078065156894E-2</v>
      </c>
      <c r="O181">
        <v>3.13</v>
      </c>
      <c r="P181" t="s">
        <v>17</v>
      </c>
      <c r="Q181">
        <v>-0.03</v>
      </c>
      <c r="R181">
        <v>-8.0432465150952308E-3</v>
      </c>
      <c r="S181">
        <v>1.4168622437864501E-3</v>
      </c>
      <c r="T181">
        <v>0.04</v>
      </c>
    </row>
    <row r="182" spans="1:20" x14ac:dyDescent="0.3">
      <c r="A182" t="s">
        <v>29</v>
      </c>
      <c r="B182">
        <v>2010</v>
      </c>
      <c r="C182">
        <v>843624.875</v>
      </c>
      <c r="D182" s="1">
        <v>3.0000000000000001E-3</v>
      </c>
      <c r="E182" s="1">
        <v>0.94078838825225797</v>
      </c>
      <c r="F182" s="1">
        <v>-1.9E-2</v>
      </c>
      <c r="G182" s="1">
        <f t="shared" si="4"/>
        <v>5.3000000000000005E-2</v>
      </c>
      <c r="H182" s="1" t="str">
        <f t="shared" si="5"/>
        <v/>
      </c>
      <c r="I182" s="1">
        <v>7.0000000000000001E-3</v>
      </c>
      <c r="J182" s="1">
        <f>+D182-F182+I182*O182</f>
        <v>4.3490000000000001E-2</v>
      </c>
      <c r="K182" s="1">
        <v>7.9567534849047696E-3</v>
      </c>
      <c r="L182" s="1">
        <f>+K182-J182</f>
        <v>-3.5533246515095235E-2</v>
      </c>
      <c r="M182" s="1">
        <v>-8.0432465150952308E-3</v>
      </c>
      <c r="N182" s="1">
        <f>+M182-J182</f>
        <v>-5.1533246515095235E-2</v>
      </c>
      <c r="O182">
        <v>3.07</v>
      </c>
      <c r="P182" t="s">
        <v>17</v>
      </c>
      <c r="Q182">
        <v>0</v>
      </c>
      <c r="R182">
        <v>-1.58000796735287E-2</v>
      </c>
      <c r="S182">
        <v>5.4836948402225997E-3</v>
      </c>
      <c r="T182">
        <v>-0.03</v>
      </c>
    </row>
    <row r="183" spans="1:20" x14ac:dyDescent="0.3">
      <c r="A183" t="s">
        <v>29</v>
      </c>
      <c r="B183">
        <v>2011</v>
      </c>
      <c r="C183">
        <v>851223.5625</v>
      </c>
      <c r="D183" s="1">
        <v>1.0999999999999999E-2</v>
      </c>
      <c r="E183" s="1">
        <v>0.94050973653793302</v>
      </c>
      <c r="F183" s="1">
        <v>4.1000000000000002E-2</v>
      </c>
      <c r="G183" s="1">
        <f t="shared" si="4"/>
        <v>9.4E-2</v>
      </c>
      <c r="H183" s="1" t="str">
        <f t="shared" si="5"/>
        <v/>
      </c>
      <c r="I183" s="1">
        <v>0</v>
      </c>
      <c r="J183" s="1">
        <f>+D183-F183+I183*O183</f>
        <v>-3.0000000000000002E-2</v>
      </c>
      <c r="K183" s="1">
        <v>1.6199920326471301E-2</v>
      </c>
      <c r="L183" s="1">
        <f>+K183-J183</f>
        <v>4.61999203264713E-2</v>
      </c>
      <c r="M183" s="1">
        <v>-1.58000796735287E-2</v>
      </c>
      <c r="N183" s="1">
        <f>+M183-J183</f>
        <v>1.4199920326471303E-2</v>
      </c>
      <c r="O183">
        <v>3.2</v>
      </c>
      <c r="P183" t="s">
        <v>17</v>
      </c>
      <c r="Q183">
        <v>0.01</v>
      </c>
      <c r="R183">
        <v>1.1594590693711901E-3</v>
      </c>
      <c r="S183">
        <v>6.5976651385425897E-3</v>
      </c>
      <c r="T183">
        <v>0.04</v>
      </c>
    </row>
    <row r="184" spans="1:20" x14ac:dyDescent="0.3">
      <c r="A184" t="s">
        <v>29</v>
      </c>
      <c r="B184">
        <v>2012</v>
      </c>
      <c r="C184">
        <v>858512.0625</v>
      </c>
      <c r="D184" s="1">
        <v>1E-3</v>
      </c>
      <c r="E184" s="1">
        <v>0.93638116121292103</v>
      </c>
      <c r="F184" s="1">
        <v>-6.0000000000000001E-3</v>
      </c>
      <c r="G184" s="1">
        <f t="shared" si="4"/>
        <v>8.7999999999999995E-2</v>
      </c>
      <c r="H184" s="1" t="str">
        <f t="shared" si="5"/>
        <v/>
      </c>
      <c r="I184" s="1">
        <v>-4.0000000000000001E-3</v>
      </c>
      <c r="J184" s="1">
        <f>+D184-F184+I184*O184</f>
        <v>-5.7200000000000003E-3</v>
      </c>
      <c r="K184" s="1">
        <v>2.2159459069371199E-2</v>
      </c>
      <c r="L184" s="1">
        <f>+K184-J184</f>
        <v>2.7879459069371199E-2</v>
      </c>
      <c r="M184" s="1">
        <v>1.1594590693711901E-3</v>
      </c>
      <c r="N184" s="1">
        <f>+M184-J184</f>
        <v>6.8794590693711903E-3</v>
      </c>
      <c r="O184">
        <v>3.18</v>
      </c>
      <c r="P184" t="s">
        <v>16</v>
      </c>
      <c r="Q184">
        <v>0.01</v>
      </c>
      <c r="R184">
        <v>3.967514634132E-4</v>
      </c>
      <c r="S184">
        <v>-5.7300198823213898E-3</v>
      </c>
      <c r="T184">
        <v>-0.01</v>
      </c>
    </row>
    <row r="185" spans="1:20" x14ac:dyDescent="0.3">
      <c r="A185" t="s">
        <v>29</v>
      </c>
      <c r="B185">
        <v>2013</v>
      </c>
      <c r="C185">
        <v>867212.8125</v>
      </c>
      <c r="D185" s="1">
        <v>1.0999999999999999E-2</v>
      </c>
      <c r="E185" s="1">
        <v>0.93488919734954801</v>
      </c>
      <c r="F185" s="1">
        <v>-2.5000000000000001E-2</v>
      </c>
      <c r="G185" s="1">
        <f t="shared" si="4"/>
        <v>6.3E-2</v>
      </c>
      <c r="H185" s="1" t="str">
        <f t="shared" si="5"/>
        <v/>
      </c>
      <c r="I185" s="1">
        <v>-1E-3</v>
      </c>
      <c r="J185" s="1">
        <f>+D185-F185+I185*O185</f>
        <v>3.2900000000000006E-2</v>
      </c>
      <c r="K185" s="1">
        <v>1.53967514634132E-2</v>
      </c>
      <c r="L185" s="1">
        <f>+K185-J185</f>
        <v>-1.7503248536586805E-2</v>
      </c>
      <c r="M185" s="1">
        <v>3.967514634132E-4</v>
      </c>
      <c r="N185" s="1">
        <f>+M185-J185</f>
        <v>-3.2503248536586808E-2</v>
      </c>
      <c r="O185">
        <v>3.1</v>
      </c>
      <c r="P185" t="s">
        <v>16</v>
      </c>
      <c r="Q185">
        <v>-0.01</v>
      </c>
      <c r="R185">
        <v>-4.9704007655382004E-3</v>
      </c>
      <c r="S185">
        <v>-6.9784242659806997E-3</v>
      </c>
      <c r="T185">
        <v>-0.03</v>
      </c>
    </row>
    <row r="186" spans="1:20" x14ac:dyDescent="0.3">
      <c r="A186" t="s">
        <v>29</v>
      </c>
      <c r="B186">
        <v>2014</v>
      </c>
      <c r="C186">
        <v>875106.0625</v>
      </c>
      <c r="D186" s="1">
        <v>1.4999999999999999E-2</v>
      </c>
      <c r="E186" s="1">
        <v>0.93180644512176503</v>
      </c>
      <c r="F186" s="1">
        <v>0.04</v>
      </c>
      <c r="G186" s="1">
        <f t="shared" si="4"/>
        <v>0.10300000000000001</v>
      </c>
      <c r="H186" s="1" t="str">
        <f t="shared" si="5"/>
        <v/>
      </c>
      <c r="I186" s="1">
        <v>-3.0000000000000001E-3</v>
      </c>
      <c r="J186" s="1">
        <f>+D186-F186+I186*O186</f>
        <v>-3.4660000000000003E-2</v>
      </c>
      <c r="K186" s="1">
        <v>1.10295992344618E-2</v>
      </c>
      <c r="L186" s="1">
        <f>+K186-J186</f>
        <v>4.5689599234461802E-2</v>
      </c>
      <c r="M186" s="1">
        <v>-4.9704007655382004E-3</v>
      </c>
      <c r="N186" s="1">
        <f>+M186-J186</f>
        <v>2.9689599234461801E-2</v>
      </c>
      <c r="O186">
        <v>3.22</v>
      </c>
      <c r="P186" t="s">
        <v>17</v>
      </c>
      <c r="Q186">
        <v>-0.01</v>
      </c>
      <c r="R186">
        <v>1.4852171927690399E-2</v>
      </c>
      <c r="S186">
        <v>-1.5411280095577099E-2</v>
      </c>
      <c r="T186">
        <v>0.04</v>
      </c>
    </row>
    <row r="187" spans="1:20" x14ac:dyDescent="0.3">
      <c r="A187" t="s">
        <v>29</v>
      </c>
      <c r="B187">
        <v>2015</v>
      </c>
      <c r="C187">
        <v>882005</v>
      </c>
      <c r="D187" s="1">
        <v>2E-3</v>
      </c>
      <c r="E187" s="1">
        <v>0.94514650106430098</v>
      </c>
      <c r="F187" s="1">
        <v>-3.7999999999999999E-2</v>
      </c>
      <c r="G187" s="1">
        <f t="shared" si="4"/>
        <v>6.5000000000000002E-2</v>
      </c>
      <c r="H187" s="1" t="str">
        <f t="shared" si="5"/>
        <v/>
      </c>
      <c r="I187" s="1">
        <v>1.2999999999999999E-2</v>
      </c>
      <c r="J187" s="1">
        <f>+D187-F187+I187*O187</f>
        <v>8.030000000000001E-2</v>
      </c>
      <c r="K187" s="1">
        <v>1.5852171927690499E-2</v>
      </c>
      <c r="L187" s="1">
        <f>+K187-J187</f>
        <v>-6.4447828072309504E-2</v>
      </c>
      <c r="M187" s="1">
        <v>1.4852171927690399E-2</v>
      </c>
      <c r="N187" s="1">
        <f>+M187-J187</f>
        <v>-6.5447828072309616E-2</v>
      </c>
      <c r="O187">
        <v>3.1</v>
      </c>
      <c r="P187" t="s">
        <v>17</v>
      </c>
      <c r="Q187">
        <v>-0.02</v>
      </c>
      <c r="R187">
        <v>1.0908654227852799E-2</v>
      </c>
      <c r="S187">
        <v>-2.24490277469159E-3</v>
      </c>
      <c r="T187">
        <v>-0.03</v>
      </c>
    </row>
    <row r="188" spans="1:20" x14ac:dyDescent="0.3">
      <c r="A188" t="s">
        <v>29</v>
      </c>
      <c r="B188">
        <v>2016</v>
      </c>
      <c r="C188">
        <v>887814.6875</v>
      </c>
      <c r="D188" s="1">
        <v>1.4E-2</v>
      </c>
      <c r="E188" s="1">
        <v>0.94754397869110096</v>
      </c>
      <c r="F188" s="1">
        <v>-2.1000000000000001E-2</v>
      </c>
      <c r="G188" s="1">
        <f t="shared" si="4"/>
        <v>4.3999999999999997E-2</v>
      </c>
      <c r="H188" s="1" t="str">
        <f t="shared" si="5"/>
        <v/>
      </c>
      <c r="I188" s="1">
        <v>2E-3</v>
      </c>
      <c r="J188" s="1">
        <f>+D188-F188+I188*O188</f>
        <v>4.1059999999999999E-2</v>
      </c>
      <c r="K188" s="1">
        <v>2.3908654227852801E-2</v>
      </c>
      <c r="L188" s="1">
        <f>+K188-J188</f>
        <v>-1.7151345772147199E-2</v>
      </c>
      <c r="M188" s="1">
        <v>1.0908654227852799E-2</v>
      </c>
      <c r="N188" s="1">
        <f>+M188-J188</f>
        <v>-3.01513457721472E-2</v>
      </c>
      <c r="O188">
        <v>3.03</v>
      </c>
      <c r="P188" t="s">
        <v>17</v>
      </c>
      <c r="Q188">
        <v>0</v>
      </c>
      <c r="R188">
        <v>1.26351506412028E-2</v>
      </c>
      <c r="S188">
        <v>9.8455771803856E-3</v>
      </c>
      <c r="T188">
        <v>-0.02</v>
      </c>
    </row>
    <row r="189" spans="1:20" x14ac:dyDescent="0.3">
      <c r="A189" t="s">
        <v>29</v>
      </c>
      <c r="B189">
        <v>2017</v>
      </c>
      <c r="C189">
        <v>894813</v>
      </c>
      <c r="D189" s="1">
        <v>3.0000000000000001E-3</v>
      </c>
      <c r="E189" s="1">
        <v>0.95296186208724998</v>
      </c>
      <c r="F189" s="1">
        <v>3.5000000000000003E-2</v>
      </c>
      <c r="G189" s="1">
        <f t="shared" si="4"/>
        <v>7.9000000000000001E-2</v>
      </c>
      <c r="H189" s="1" t="str">
        <f t="shared" si="5"/>
        <v/>
      </c>
      <c r="I189" s="1">
        <v>5.0000000000000001E-3</v>
      </c>
      <c r="J189" s="1">
        <f>+D189-F189+I189*O189</f>
        <v>-1.6299999999999999E-2</v>
      </c>
      <c r="K189" s="1">
        <v>3.3635150641202899E-2</v>
      </c>
      <c r="L189" s="1">
        <f>+K189-J189</f>
        <v>4.9935150641202894E-2</v>
      </c>
      <c r="M189" s="1">
        <v>1.26351506412028E-2</v>
      </c>
      <c r="N189" s="1">
        <f>+M189-J189</f>
        <v>2.8935150641202799E-2</v>
      </c>
      <c r="O189">
        <v>3.14</v>
      </c>
      <c r="P189" t="s">
        <v>15</v>
      </c>
      <c r="Q189">
        <v>0.01</v>
      </c>
      <c r="R189">
        <v>1.7443880647420799E-2</v>
      </c>
      <c r="S189">
        <v>8.3088576793671001E-3</v>
      </c>
      <c r="T189">
        <v>0.04</v>
      </c>
    </row>
    <row r="190" spans="1:20" x14ac:dyDescent="0.3">
      <c r="A190" t="s">
        <v>29</v>
      </c>
      <c r="B190">
        <v>2018</v>
      </c>
      <c r="C190">
        <v>901621.1875</v>
      </c>
      <c r="D190" s="1">
        <v>0</v>
      </c>
      <c r="E190" s="1">
        <v>0.95990574359893799</v>
      </c>
      <c r="F190" s="1">
        <v>-4.2999999999999997E-2</v>
      </c>
      <c r="G190" s="1">
        <f t="shared" si="4"/>
        <v>3.6000000000000004E-2</v>
      </c>
      <c r="H190" s="1" t="str">
        <f t="shared" si="5"/>
        <v/>
      </c>
      <c r="I190" s="1">
        <v>7.0000000000000001E-3</v>
      </c>
      <c r="J190" s="1">
        <f>+D190-F190+I190*O190</f>
        <v>6.4000000000000001E-2</v>
      </c>
      <c r="K190" s="1">
        <v>4.1443880647420897E-2</v>
      </c>
      <c r="L190" s="1">
        <f>+K190-J190</f>
        <v>-2.2556119352579104E-2</v>
      </c>
      <c r="M190" s="1">
        <v>1.7443880647420799E-2</v>
      </c>
      <c r="N190" s="1">
        <f>+M190-J190</f>
        <v>-4.6556119352579202E-2</v>
      </c>
      <c r="O190">
        <v>3</v>
      </c>
      <c r="P190" t="s">
        <v>17</v>
      </c>
      <c r="Q190">
        <v>0.01</v>
      </c>
      <c r="R190">
        <v>2.44382276833057E-2</v>
      </c>
      <c r="S190">
        <v>6.6370330750941901E-3</v>
      </c>
      <c r="T190">
        <v>-0.03</v>
      </c>
    </row>
    <row r="191" spans="1:20" x14ac:dyDescent="0.3">
      <c r="A191" t="s">
        <v>29</v>
      </c>
      <c r="B191">
        <v>2019</v>
      </c>
      <c r="C191">
        <v>907308</v>
      </c>
      <c r="D191" s="1">
        <v>6.0000000000000001E-3</v>
      </c>
      <c r="E191" s="1">
        <v>0.95606899261474598</v>
      </c>
      <c r="F191" s="1">
        <v>-2.5000000000000001E-2</v>
      </c>
      <c r="G191" s="1">
        <f t="shared" si="4"/>
        <v>1.1000000000000003E-2</v>
      </c>
      <c r="H191" s="1" t="str">
        <f t="shared" si="5"/>
        <v/>
      </c>
      <c r="I191" s="1">
        <v>-4.0000000000000001E-3</v>
      </c>
      <c r="J191" s="1">
        <f>+D191-F191+I191*O191</f>
        <v>1.9279999999999999E-2</v>
      </c>
      <c r="K191" s="1">
        <v>4.2438227683305699E-2</v>
      </c>
      <c r="L191" s="1">
        <f>+K191-J191</f>
        <v>2.31582276833057E-2</v>
      </c>
      <c r="M191" s="1">
        <v>2.44382276833057E-2</v>
      </c>
      <c r="N191" s="1">
        <f>+M191-J191</f>
        <v>5.1582276833057016E-3</v>
      </c>
      <c r="O191">
        <v>2.93</v>
      </c>
      <c r="P191" t="s">
        <v>16</v>
      </c>
      <c r="Q191">
        <v>0.01</v>
      </c>
      <c r="R191">
        <v>3.7741651862859701E-2</v>
      </c>
      <c r="S191">
        <v>1.8892461434006701E-2</v>
      </c>
      <c r="T191">
        <v>-0.02</v>
      </c>
    </row>
    <row r="192" spans="1:20" x14ac:dyDescent="0.3">
      <c r="A192" t="s">
        <v>29</v>
      </c>
      <c r="B192">
        <v>2020</v>
      </c>
      <c r="C192">
        <v>907759.875</v>
      </c>
      <c r="D192" s="1">
        <v>1.9E-2</v>
      </c>
      <c r="E192" s="1">
        <v>0.97074764966964699</v>
      </c>
      <c r="F192" s="1">
        <v>3.2000000000000001E-2</v>
      </c>
      <c r="G192" s="1">
        <f t="shared" si="4"/>
        <v>4.3000000000000003E-2</v>
      </c>
      <c r="H192" s="1" t="str">
        <f t="shared" si="5"/>
        <v/>
      </c>
      <c r="I192" s="1">
        <v>1.4999999999999999E-2</v>
      </c>
      <c r="J192" s="1">
        <f>+D192-F192+I192*O192</f>
        <v>3.2299999999999995E-2</v>
      </c>
      <c r="K192" s="1">
        <v>4.9741651862859698E-2</v>
      </c>
      <c r="L192" s="1">
        <f>+K192-J192</f>
        <v>1.7441651862859703E-2</v>
      </c>
      <c r="M192" s="1">
        <v>3.7741651862859701E-2</v>
      </c>
      <c r="N192" s="1">
        <f>+M192-J192</f>
        <v>5.441651862859706E-3</v>
      </c>
      <c r="O192">
        <v>3.02</v>
      </c>
      <c r="P192" t="s">
        <v>15</v>
      </c>
      <c r="Q192">
        <v>0.02</v>
      </c>
      <c r="R192">
        <v>8.0358511090278903E-2</v>
      </c>
      <c r="S192">
        <v>3.6768898367881997E-2</v>
      </c>
      <c r="T192">
        <v>7.0000000000000007E-2</v>
      </c>
    </row>
    <row r="193" spans="1:20" x14ac:dyDescent="0.3">
      <c r="A193" t="s">
        <v>29</v>
      </c>
      <c r="B193">
        <v>2021</v>
      </c>
      <c r="C193">
        <v>913706.8125</v>
      </c>
      <c r="D193" s="1">
        <v>3.2000000000000001E-2</v>
      </c>
      <c r="E193" s="1">
        <v>0.96925097703933705</v>
      </c>
      <c r="F193" s="1">
        <v>-2.1000000000000001E-2</v>
      </c>
      <c r="G193" s="1">
        <f t="shared" si="4"/>
        <v>2.2000000000000002E-2</v>
      </c>
      <c r="H193" s="1" t="str">
        <f t="shared" si="5"/>
        <v/>
      </c>
      <c r="I193" s="1">
        <v>-1E-3</v>
      </c>
      <c r="J193" s="1">
        <f>+D193-F193+I193*O193</f>
        <v>5.0040000000000008E-2</v>
      </c>
      <c r="K193" s="1">
        <v>0.12735851109027899</v>
      </c>
      <c r="L193" s="1">
        <f>+K193-J193</f>
        <v>7.7318511090278985E-2</v>
      </c>
      <c r="M193" s="1">
        <v>8.0358511090278903E-2</v>
      </c>
      <c r="N193" s="1">
        <f>+M193-J193</f>
        <v>3.0318511090278895E-2</v>
      </c>
      <c r="O193">
        <v>2.96</v>
      </c>
      <c r="P193" t="s">
        <v>16</v>
      </c>
      <c r="Q193">
        <v>0.04</v>
      </c>
      <c r="R193">
        <v>-2.5902906358241998E-2</v>
      </c>
      <c r="S193">
        <v>6.2006004154682897E-3</v>
      </c>
      <c r="T193">
        <v>-0.05</v>
      </c>
    </row>
    <row r="194" spans="1:20" x14ac:dyDescent="0.3">
      <c r="A194" t="s">
        <v>29</v>
      </c>
      <c r="B194">
        <v>2022</v>
      </c>
      <c r="C194">
        <v>916965.25</v>
      </c>
      <c r="D194" s="1">
        <v>0</v>
      </c>
      <c r="E194" s="1">
        <v>0.964957594871521</v>
      </c>
      <c r="F194" s="1">
        <v>-2E-3</v>
      </c>
      <c r="G194" s="1">
        <f t="shared" si="4"/>
        <v>2.0000000000000004E-2</v>
      </c>
      <c r="H194" s="1" t="str">
        <f t="shared" si="5"/>
        <v/>
      </c>
      <c r="I194" s="1">
        <v>-4.0000000000000001E-3</v>
      </c>
      <c r="J194" s="1">
        <f>+D194-F194+I194*O194</f>
        <v>-9.8000000000000014E-3</v>
      </c>
      <c r="K194" s="1">
        <v>5.4097093641758E-2</v>
      </c>
      <c r="L194" s="1">
        <f>+K194-J194</f>
        <v>6.3897093641757996E-2</v>
      </c>
      <c r="M194" s="1">
        <v>-2.5902906358241998E-2</v>
      </c>
      <c r="N194" s="1">
        <f>+M194-J194</f>
        <v>-1.6102906358241999E-2</v>
      </c>
      <c r="O194">
        <v>2.95</v>
      </c>
      <c r="P194" t="s">
        <v>16</v>
      </c>
      <c r="Q194">
        <v>0.01</v>
      </c>
      <c r="R194">
        <v>-1.2588222309947E-2</v>
      </c>
      <c r="S194">
        <v>6.9707054644822996E-3</v>
      </c>
      <c r="T194">
        <v>0.01</v>
      </c>
    </row>
    <row r="195" spans="1:20" x14ac:dyDescent="0.3">
      <c r="A195" t="s">
        <v>30</v>
      </c>
      <c r="B195">
        <v>2006</v>
      </c>
      <c r="C195">
        <v>2660376</v>
      </c>
      <c r="D195" s="1">
        <v>4.0000000000000001E-3</v>
      </c>
      <c r="E195" s="1">
        <v>0.93478703498840299</v>
      </c>
      <c r="F195" s="1">
        <v>1.6E-2</v>
      </c>
      <c r="G195" s="1">
        <f t="shared" si="4"/>
        <v>1.6E-2</v>
      </c>
      <c r="H195" s="1" t="str">
        <f t="shared" si="5"/>
        <v/>
      </c>
      <c r="I195" s="1">
        <v>-2E-3</v>
      </c>
      <c r="J195" s="1">
        <f>+D195-F195+I195*O195</f>
        <v>-1.636E-2</v>
      </c>
      <c r="K195" s="1">
        <v>3.0137360095977801E-2</v>
      </c>
      <c r="L195" s="1">
        <f>+K195-J195</f>
        <v>4.6497360095977797E-2</v>
      </c>
      <c r="M195" s="1">
        <v>-1.8626399040221999E-3</v>
      </c>
      <c r="N195" s="1">
        <f>+M195-J195</f>
        <v>1.4497360095977799E-2</v>
      </c>
      <c r="O195">
        <v>2.1800000000000002</v>
      </c>
      <c r="P195" t="s">
        <v>17</v>
      </c>
      <c r="Q195">
        <v>-0.01</v>
      </c>
      <c r="R195">
        <v>-9.8474593460559992E-4</v>
      </c>
      <c r="S195">
        <v>-6.2990002334098794E-5</v>
      </c>
      <c r="T195">
        <v>0.01</v>
      </c>
    </row>
    <row r="196" spans="1:20" x14ac:dyDescent="0.3">
      <c r="A196" t="s">
        <v>30</v>
      </c>
      <c r="B196">
        <v>2007</v>
      </c>
      <c r="C196">
        <v>2670651</v>
      </c>
      <c r="D196" s="1">
        <v>1.2E-2</v>
      </c>
      <c r="E196" s="1">
        <v>0.93277972936630205</v>
      </c>
      <c r="F196" s="1">
        <v>-1.4E-2</v>
      </c>
      <c r="G196" s="1">
        <f t="shared" si="4"/>
        <v>2E-3</v>
      </c>
      <c r="H196" s="1" t="str">
        <f t="shared" si="5"/>
        <v/>
      </c>
      <c r="I196" s="1">
        <v>-2E-3</v>
      </c>
      <c r="J196" s="1">
        <f>+D196-F196+I196*O196</f>
        <v>2.1700000000000004E-2</v>
      </c>
      <c r="K196" s="1">
        <v>2.8015254065394402E-2</v>
      </c>
      <c r="L196" s="1">
        <f>+K196-J196</f>
        <v>6.3152540653943975E-3</v>
      </c>
      <c r="M196" s="1">
        <v>-9.8474593460559992E-4</v>
      </c>
      <c r="N196" s="1">
        <f>+M196-J196</f>
        <v>-2.2684745934605604E-2</v>
      </c>
      <c r="O196">
        <v>2.15</v>
      </c>
      <c r="P196" t="s">
        <v>16</v>
      </c>
      <c r="Q196">
        <v>0</v>
      </c>
      <c r="R196">
        <v>-2.8236776880919901E-2</v>
      </c>
      <c r="S196">
        <v>1.2740273959934701E-3</v>
      </c>
      <c r="T196">
        <v>-0.02</v>
      </c>
    </row>
    <row r="197" spans="1:20" x14ac:dyDescent="0.3">
      <c r="A197" t="s">
        <v>30</v>
      </c>
      <c r="B197">
        <v>2008</v>
      </c>
      <c r="C197">
        <v>2683983</v>
      </c>
      <c r="D197" s="1">
        <v>6.0000000000000001E-3</v>
      </c>
      <c r="E197" s="1">
        <v>0.93154871463775601</v>
      </c>
      <c r="F197" s="1">
        <v>2.4E-2</v>
      </c>
      <c r="G197" s="1">
        <f t="shared" si="4"/>
        <v>2.6000000000000002E-2</v>
      </c>
      <c r="H197" s="1" t="str">
        <f t="shared" si="5"/>
        <v/>
      </c>
      <c r="I197" s="1">
        <v>-1E-3</v>
      </c>
      <c r="J197" s="1">
        <f>+D197-F197+I197*O197</f>
        <v>-2.0200000000000003E-2</v>
      </c>
      <c r="K197" s="1">
        <v>9.7632231190800702E-3</v>
      </c>
      <c r="L197" s="1">
        <f>+K197-J197</f>
        <v>2.9963223119080073E-2</v>
      </c>
      <c r="M197" s="1">
        <v>-2.8236776880919901E-2</v>
      </c>
      <c r="N197" s="1">
        <f>+M197-J197</f>
        <v>-8.0367768809198985E-3</v>
      </c>
      <c r="O197">
        <v>2.2000000000000002</v>
      </c>
      <c r="P197" t="s">
        <v>17</v>
      </c>
      <c r="Q197">
        <v>0</v>
      </c>
      <c r="R197">
        <v>-1.54871093481779E-3</v>
      </c>
      <c r="S197">
        <v>2.5017990730702801E-2</v>
      </c>
      <c r="T197">
        <v>0.02</v>
      </c>
    </row>
    <row r="198" spans="1:20" x14ac:dyDescent="0.3">
      <c r="A198" t="s">
        <v>30</v>
      </c>
      <c r="B198">
        <v>2009</v>
      </c>
      <c r="C198">
        <v>2701402</v>
      </c>
      <c r="D198" s="1">
        <v>8.9999999999999993E-3</v>
      </c>
      <c r="E198" s="1">
        <v>0.935164093971252</v>
      </c>
      <c r="F198" s="1">
        <v>-2E-3</v>
      </c>
      <c r="G198" s="1">
        <f t="shared" si="4"/>
        <v>2.4E-2</v>
      </c>
      <c r="H198" s="1" t="str">
        <f t="shared" si="5"/>
        <v/>
      </c>
      <c r="I198" s="1">
        <v>4.0000000000000001E-3</v>
      </c>
      <c r="J198" s="1">
        <f>+D198-F198+I198*O198</f>
        <v>1.9799999999999998E-2</v>
      </c>
      <c r="K198" s="1">
        <v>-5.5487109348177901E-3</v>
      </c>
      <c r="L198" s="1">
        <f>+K198-J198</f>
        <v>-2.5348710934817789E-2</v>
      </c>
      <c r="M198" s="1">
        <v>-1.54871093481779E-3</v>
      </c>
      <c r="N198" s="1">
        <f>+M198-J198</f>
        <v>-2.1348710934817789E-2</v>
      </c>
      <c r="O198">
        <v>2.2000000000000002</v>
      </c>
      <c r="P198" t="s">
        <v>17</v>
      </c>
      <c r="Q198">
        <v>0.03</v>
      </c>
      <c r="R198">
        <v>1.53175395131111E-2</v>
      </c>
      <c r="S198">
        <v>2.4777648271992699E-2</v>
      </c>
      <c r="T198">
        <v>-0.02</v>
      </c>
    </row>
    <row r="199" spans="1:20" x14ac:dyDescent="0.3">
      <c r="A199" t="s">
        <v>30</v>
      </c>
      <c r="B199">
        <v>2010</v>
      </c>
      <c r="C199">
        <v>2722588</v>
      </c>
      <c r="D199" s="1">
        <v>3.0000000000000001E-3</v>
      </c>
      <c r="E199" s="1">
        <v>0.94007700681686401</v>
      </c>
      <c r="F199" s="1">
        <v>4.7E-2</v>
      </c>
      <c r="G199" s="1">
        <f t="shared" ref="G199:G262" si="6">SUMIFS(F:F,A:A,A199,B:B,"&lt;="&amp;B199)</f>
        <v>7.1000000000000008E-2</v>
      </c>
      <c r="H199" s="1" t="str">
        <f t="shared" ref="H199:H262" si="7">IFERROR(IF(ABS(G199)&gt;0.12,AVERAGEIFS(K:K,A:A,A199,B:B,"&gt;"&amp;B199,B:B,"&lt;"&amp;B199+3),""),"")</f>
        <v/>
      </c>
      <c r="I199" s="1">
        <v>5.0000000000000001E-3</v>
      </c>
      <c r="J199" s="1">
        <f>+D199-F199+I199*O199</f>
        <v>-3.2500000000000001E-2</v>
      </c>
      <c r="K199" s="1">
        <v>3.1317539513111101E-2</v>
      </c>
      <c r="L199" s="1">
        <f>+K199-J199</f>
        <v>6.3817539513111102E-2</v>
      </c>
      <c r="M199" s="1">
        <v>1.53175395131111E-2</v>
      </c>
      <c r="N199" s="1">
        <f>+M199-J199</f>
        <v>4.7817539513111101E-2</v>
      </c>
      <c r="O199">
        <v>2.2999999999999998</v>
      </c>
      <c r="P199" t="s">
        <v>15</v>
      </c>
      <c r="Q199">
        <v>0.02</v>
      </c>
      <c r="R199">
        <v>-1.4945559546351401E-2</v>
      </c>
      <c r="S199">
        <v>6.3382149673998902E-3</v>
      </c>
      <c r="T199">
        <v>0.04</v>
      </c>
    </row>
    <row r="200" spans="1:20" x14ac:dyDescent="0.3">
      <c r="A200" t="s">
        <v>30</v>
      </c>
      <c r="B200">
        <v>2011</v>
      </c>
      <c r="C200">
        <v>2745445</v>
      </c>
      <c r="D200" s="1">
        <v>8.0000000000000002E-3</v>
      </c>
      <c r="E200" s="1">
        <v>0.93964642286300704</v>
      </c>
      <c r="F200" s="1">
        <v>-2.8000000000000001E-2</v>
      </c>
      <c r="G200" s="1">
        <f t="shared" si="6"/>
        <v>4.300000000000001E-2</v>
      </c>
      <c r="H200" s="1" t="str">
        <f t="shared" si="7"/>
        <v/>
      </c>
      <c r="I200" s="1">
        <v>0</v>
      </c>
      <c r="J200" s="1">
        <f>+D200-F200+I200*O200</f>
        <v>3.6000000000000004E-2</v>
      </c>
      <c r="K200" s="1">
        <v>1.7054440453648598E-2</v>
      </c>
      <c r="L200" s="1">
        <f>+K200-J200</f>
        <v>-1.8945559546351406E-2</v>
      </c>
      <c r="M200" s="1">
        <v>-1.4945559546351401E-2</v>
      </c>
      <c r="N200" s="1">
        <f>+M200-J200</f>
        <v>-5.0945559546351403E-2</v>
      </c>
      <c r="O200">
        <v>2.23</v>
      </c>
      <c r="P200" t="s">
        <v>16</v>
      </c>
      <c r="Q200">
        <v>0.01</v>
      </c>
      <c r="R200">
        <v>-8.0214480906724995E-3</v>
      </c>
      <c r="S200">
        <v>-2.5832420215010999E-3</v>
      </c>
      <c r="T200">
        <v>-0.03</v>
      </c>
    </row>
    <row r="201" spans="1:20" x14ac:dyDescent="0.3">
      <c r="A201" t="s">
        <v>30</v>
      </c>
      <c r="B201">
        <v>2012</v>
      </c>
      <c r="C201">
        <v>2769260</v>
      </c>
      <c r="D201" s="1">
        <v>1.2999999999999999E-2</v>
      </c>
      <c r="E201" s="1">
        <v>0.94287973642349199</v>
      </c>
      <c r="F201" s="1">
        <v>6.0000000000000001E-3</v>
      </c>
      <c r="G201" s="1">
        <f t="shared" si="6"/>
        <v>4.9000000000000009E-2</v>
      </c>
      <c r="H201" s="1" t="str">
        <f t="shared" si="7"/>
        <v/>
      </c>
      <c r="I201" s="1">
        <v>3.0000000000000001E-3</v>
      </c>
      <c r="J201" s="1">
        <f>+D201-F201+I201*O201</f>
        <v>1.3749999999999998E-2</v>
      </c>
      <c r="K201" s="1">
        <v>1.29785519093275E-2</v>
      </c>
      <c r="L201" s="1">
        <f>+K201-J201</f>
        <v>-7.7144809067249825E-4</v>
      </c>
      <c r="M201" s="1">
        <v>-8.0214480906724995E-3</v>
      </c>
      <c r="N201" s="1">
        <f>+M201-J201</f>
        <v>-2.1771448090672496E-2</v>
      </c>
      <c r="O201">
        <v>2.25</v>
      </c>
      <c r="P201" t="s">
        <v>15</v>
      </c>
      <c r="Q201">
        <v>0</v>
      </c>
      <c r="R201">
        <v>7.3321188241243004E-3</v>
      </c>
      <c r="S201">
        <v>1.2053474783897001E-3</v>
      </c>
      <c r="T201">
        <v>0</v>
      </c>
    </row>
    <row r="202" spans="1:20" x14ac:dyDescent="0.3">
      <c r="A202" t="s">
        <v>30</v>
      </c>
      <c r="B202">
        <v>2013</v>
      </c>
      <c r="C202">
        <v>2786456</v>
      </c>
      <c r="D202" s="1">
        <v>1.9E-2</v>
      </c>
      <c r="E202" s="1">
        <v>0.93944466114044201</v>
      </c>
      <c r="F202" s="1">
        <v>-1.0999999999999999E-2</v>
      </c>
      <c r="G202" s="1">
        <f t="shared" si="6"/>
        <v>3.8000000000000006E-2</v>
      </c>
      <c r="H202" s="1" t="str">
        <f t="shared" si="7"/>
        <v/>
      </c>
      <c r="I202" s="1">
        <v>-3.0000000000000001E-3</v>
      </c>
      <c r="J202" s="1">
        <f>+D202-F202+I202*O202</f>
        <v>2.334E-2</v>
      </c>
      <c r="K202" s="1">
        <v>2.2332118824124302E-2</v>
      </c>
      <c r="L202" s="1">
        <f>+K202-J202</f>
        <v>-1.0078811758756981E-3</v>
      </c>
      <c r="M202" s="1">
        <v>7.3321188241243004E-3</v>
      </c>
      <c r="N202" s="1">
        <f>+M202-J202</f>
        <v>-1.6007881175875698E-2</v>
      </c>
      <c r="O202">
        <v>2.2200000000000002</v>
      </c>
      <c r="P202" t="s">
        <v>16</v>
      </c>
      <c r="Q202">
        <v>0</v>
      </c>
      <c r="R202">
        <v>-1.55714078247549E-3</v>
      </c>
      <c r="S202">
        <v>-3.5651642829179998E-3</v>
      </c>
      <c r="T202">
        <v>-0.02</v>
      </c>
    </row>
    <row r="203" spans="1:20" x14ac:dyDescent="0.3">
      <c r="A203" t="s">
        <v>30</v>
      </c>
      <c r="B203">
        <v>2014</v>
      </c>
      <c r="C203">
        <v>2802469</v>
      </c>
      <c r="D203" s="1">
        <v>1.7000000000000001E-2</v>
      </c>
      <c r="E203" s="1">
        <v>0.941994369029999</v>
      </c>
      <c r="F203" s="1">
        <v>1.9E-2</v>
      </c>
      <c r="G203" s="1">
        <f t="shared" si="6"/>
        <v>5.7000000000000009E-2</v>
      </c>
      <c r="H203" s="1" t="str">
        <f t="shared" si="7"/>
        <v/>
      </c>
      <c r="I203" s="1">
        <v>3.0000000000000001E-3</v>
      </c>
      <c r="J203" s="1">
        <f>+D203-F203+I203*O203</f>
        <v>4.8100000000000018E-3</v>
      </c>
      <c r="K203" s="1">
        <v>1.4442859217524501E-2</v>
      </c>
      <c r="L203" s="1">
        <f>+K203-J203</f>
        <v>9.632859217524499E-3</v>
      </c>
      <c r="M203" s="1">
        <v>-1.55714078247549E-3</v>
      </c>
      <c r="N203" s="1">
        <f>+M203-J203</f>
        <v>-6.3671407824754918E-3</v>
      </c>
      <c r="O203">
        <v>2.27</v>
      </c>
      <c r="P203" t="s">
        <v>15</v>
      </c>
      <c r="Q203">
        <v>0</v>
      </c>
      <c r="R203">
        <v>1.9861843600869199E-2</v>
      </c>
      <c r="S203">
        <v>-1.0401608422398401E-2</v>
      </c>
      <c r="T203">
        <v>0.02</v>
      </c>
    </row>
    <row r="204" spans="1:20" x14ac:dyDescent="0.3">
      <c r="A204" t="s">
        <v>30</v>
      </c>
      <c r="B204">
        <v>2015</v>
      </c>
      <c r="C204">
        <v>2815029</v>
      </c>
      <c r="D204" s="1">
        <v>1.2999999999999999E-2</v>
      </c>
      <c r="E204" s="1">
        <v>0.93975889682769798</v>
      </c>
      <c r="F204" s="1">
        <v>1.4999999999999999E-2</v>
      </c>
      <c r="G204" s="1">
        <f t="shared" si="6"/>
        <v>7.2000000000000008E-2</v>
      </c>
      <c r="H204" s="1" t="str">
        <f t="shared" si="7"/>
        <v/>
      </c>
      <c r="I204" s="1">
        <v>-2E-3</v>
      </c>
      <c r="J204" s="1">
        <f>+D204-F204+I204*O204</f>
        <v>-6.6E-3</v>
      </c>
      <c r="K204" s="1">
        <v>2.08618436008692E-2</v>
      </c>
      <c r="L204" s="1">
        <f>+K204-J204</f>
        <v>2.7461843600869201E-2</v>
      </c>
      <c r="M204" s="1">
        <v>1.9861843600869199E-2</v>
      </c>
      <c r="N204" s="1">
        <f>+M204-J204</f>
        <v>2.64618436008692E-2</v>
      </c>
      <c r="O204">
        <v>2.2999999999999998</v>
      </c>
      <c r="P204" t="s">
        <v>17</v>
      </c>
      <c r="Q204">
        <v>-0.01</v>
      </c>
      <c r="R204">
        <v>-4.2345688790082804E-3</v>
      </c>
      <c r="S204">
        <v>-1.7388125881552599E-2</v>
      </c>
      <c r="T204">
        <v>0.03</v>
      </c>
    </row>
    <row r="205" spans="1:20" x14ac:dyDescent="0.3">
      <c r="A205" t="s">
        <v>30</v>
      </c>
      <c r="B205">
        <v>2016</v>
      </c>
      <c r="C205">
        <v>2823673</v>
      </c>
      <c r="D205" s="1">
        <v>1.4E-2</v>
      </c>
      <c r="E205" s="1">
        <v>0.93059861660003695</v>
      </c>
      <c r="F205" s="1">
        <v>-2.3E-2</v>
      </c>
      <c r="G205" s="1">
        <f t="shared" si="6"/>
        <v>4.9000000000000009E-2</v>
      </c>
      <c r="H205" s="1" t="str">
        <f t="shared" si="7"/>
        <v/>
      </c>
      <c r="I205" s="1">
        <v>-8.9999999999999993E-3</v>
      </c>
      <c r="J205" s="1">
        <f>+D205-F205+I205*O205</f>
        <v>1.6750000000000001E-2</v>
      </c>
      <c r="K205" s="1">
        <v>8.7654311209917103E-3</v>
      </c>
      <c r="L205" s="1">
        <f>+K205-J205</f>
        <v>-7.9845688790082907E-3</v>
      </c>
      <c r="M205" s="1">
        <v>-4.2345688790082804E-3</v>
      </c>
      <c r="N205" s="1">
        <f>+M205-J205</f>
        <v>-2.0984568879008281E-2</v>
      </c>
      <c r="O205">
        <v>2.25</v>
      </c>
      <c r="P205" t="s">
        <v>16</v>
      </c>
      <c r="Q205">
        <v>-0.02</v>
      </c>
      <c r="R205">
        <v>-4.7420862168073997E-3</v>
      </c>
      <c r="S205">
        <v>-7.5316596776246903E-3</v>
      </c>
      <c r="T205">
        <v>-0.02</v>
      </c>
    </row>
    <row r="206" spans="1:20" x14ac:dyDescent="0.3">
      <c r="A206" t="s">
        <v>30</v>
      </c>
      <c r="B206">
        <v>2017</v>
      </c>
      <c r="C206">
        <v>2831946</v>
      </c>
      <c r="D206" s="1">
        <v>2.1000000000000001E-2</v>
      </c>
      <c r="E206" s="1">
        <v>0.92620706558227495</v>
      </c>
      <c r="F206" s="1">
        <v>-4.0000000000000001E-3</v>
      </c>
      <c r="G206" s="1">
        <f t="shared" si="6"/>
        <v>4.5000000000000012E-2</v>
      </c>
      <c r="H206" s="1" t="str">
        <f t="shared" si="7"/>
        <v/>
      </c>
      <c r="I206" s="1">
        <v>-4.0000000000000001E-3</v>
      </c>
      <c r="J206" s="1">
        <f>+D206-F206+I206*O206</f>
        <v>1.6039999999999999E-2</v>
      </c>
      <c r="K206" s="1">
        <v>1.62579137831926E-2</v>
      </c>
      <c r="L206" s="1">
        <f>+K206-J206</f>
        <v>2.1791378319260118E-4</v>
      </c>
      <c r="M206" s="1">
        <v>-4.7420862168073997E-3</v>
      </c>
      <c r="N206" s="1">
        <f>+M206-J206</f>
        <v>-2.0782086216807397E-2</v>
      </c>
      <c r="O206">
        <v>2.2400000000000002</v>
      </c>
      <c r="P206" t="s">
        <v>16</v>
      </c>
      <c r="Q206">
        <v>-0.01</v>
      </c>
      <c r="R206">
        <v>4.7560503929852897E-3</v>
      </c>
      <c r="S206">
        <v>-4.3789725750684903E-3</v>
      </c>
      <c r="T206">
        <v>0</v>
      </c>
    </row>
    <row r="207" spans="1:20" x14ac:dyDescent="0.3">
      <c r="A207" t="s">
        <v>30</v>
      </c>
      <c r="B207">
        <v>2018</v>
      </c>
      <c r="C207">
        <v>2838570</v>
      </c>
      <c r="D207" s="1">
        <v>1.7999999999999999E-2</v>
      </c>
      <c r="E207" s="1">
        <v>0.93149757385253895</v>
      </c>
      <c r="F207" s="1">
        <v>-4.5999999999999999E-2</v>
      </c>
      <c r="G207" s="1">
        <f t="shared" si="6"/>
        <v>-9.9999999999998701E-4</v>
      </c>
      <c r="H207" s="1" t="str">
        <f t="shared" si="7"/>
        <v/>
      </c>
      <c r="I207" s="1">
        <v>5.0000000000000001E-3</v>
      </c>
      <c r="J207" s="1">
        <f>+D207-F207+I207*O207</f>
        <v>7.4649999999999994E-2</v>
      </c>
      <c r="K207" s="1">
        <v>2.8756050392985299E-2</v>
      </c>
      <c r="L207" s="1">
        <f>+K207-J207</f>
        <v>-4.5893949607014692E-2</v>
      </c>
      <c r="M207" s="1">
        <v>4.7560503929852897E-3</v>
      </c>
      <c r="N207" s="1">
        <f>+M207-J207</f>
        <v>-6.9893949607014699E-2</v>
      </c>
      <c r="O207">
        <v>2.13</v>
      </c>
      <c r="P207" t="s">
        <v>17</v>
      </c>
      <c r="Q207">
        <v>0</v>
      </c>
      <c r="R207">
        <v>1.56357541382313E-2</v>
      </c>
      <c r="S207">
        <v>-2.1654404699802E-3</v>
      </c>
      <c r="T207">
        <v>-0.04</v>
      </c>
    </row>
    <row r="208" spans="1:20" x14ac:dyDescent="0.3">
      <c r="A208" t="s">
        <v>30</v>
      </c>
      <c r="B208">
        <v>2019</v>
      </c>
      <c r="C208">
        <v>2843757</v>
      </c>
      <c r="D208" s="1">
        <v>1.4E-2</v>
      </c>
      <c r="E208" s="1">
        <v>0.93573409318923995</v>
      </c>
      <c r="F208" s="1">
        <v>4.2000000000000003E-2</v>
      </c>
      <c r="G208" s="1">
        <f t="shared" si="6"/>
        <v>4.1000000000000016E-2</v>
      </c>
      <c r="H208" s="1" t="str">
        <f t="shared" si="7"/>
        <v/>
      </c>
      <c r="I208" s="1">
        <v>4.0000000000000001E-3</v>
      </c>
      <c r="J208" s="1">
        <f>+D208-F208+I208*O208</f>
        <v>-1.9120000000000005E-2</v>
      </c>
      <c r="K208" s="1">
        <v>3.3635754138231298E-2</v>
      </c>
      <c r="L208" s="1">
        <f>+K208-J208</f>
        <v>5.2755754138231303E-2</v>
      </c>
      <c r="M208" s="1">
        <v>1.56357541382313E-2</v>
      </c>
      <c r="N208" s="1">
        <f>+M208-J208</f>
        <v>3.4755754138231301E-2</v>
      </c>
      <c r="O208">
        <v>2.2200000000000002</v>
      </c>
      <c r="P208" t="s">
        <v>15</v>
      </c>
      <c r="Q208">
        <v>0</v>
      </c>
      <c r="R208">
        <v>2.31201184093951E-2</v>
      </c>
      <c r="S208">
        <v>4.2709279805421899E-3</v>
      </c>
      <c r="T208">
        <v>0.05</v>
      </c>
    </row>
    <row r="209" spans="1:20" x14ac:dyDescent="0.3">
      <c r="A209" t="s">
        <v>30</v>
      </c>
      <c r="B209">
        <v>2020</v>
      </c>
      <c r="C209">
        <v>2847001</v>
      </c>
      <c r="D209" s="1">
        <v>1.9E-2</v>
      </c>
      <c r="E209" s="1">
        <v>0.94748902320861805</v>
      </c>
      <c r="F209" s="1">
        <v>-8.5000000000000006E-2</v>
      </c>
      <c r="G209" s="1">
        <f t="shared" si="6"/>
        <v>-4.3999999999999991E-2</v>
      </c>
      <c r="H209" s="1" t="str">
        <f t="shared" si="7"/>
        <v/>
      </c>
      <c r="I209" s="1">
        <v>1.2E-2</v>
      </c>
      <c r="J209" s="1">
        <f>+D209-F209+I209*O209</f>
        <v>0.12848000000000001</v>
      </c>
      <c r="K209" s="1">
        <v>3.5120118409395197E-2</v>
      </c>
      <c r="L209" s="1">
        <f>+K209-J209</f>
        <v>-9.3359881590604821E-2</v>
      </c>
      <c r="M209" s="1">
        <v>2.31201184093951E-2</v>
      </c>
      <c r="N209" s="1">
        <f>+M209-J209</f>
        <v>-0.10535988159060491</v>
      </c>
      <c r="O209">
        <v>2.04</v>
      </c>
      <c r="P209" t="s">
        <v>17</v>
      </c>
      <c r="Q209">
        <v>0</v>
      </c>
      <c r="R209">
        <v>5.9280580163002E-2</v>
      </c>
      <c r="S209">
        <v>1.5690967440605001E-2</v>
      </c>
      <c r="T209">
        <v>-0.05</v>
      </c>
    </row>
    <row r="210" spans="1:20" x14ac:dyDescent="0.3">
      <c r="A210" t="s">
        <v>30</v>
      </c>
      <c r="B210">
        <v>2021</v>
      </c>
      <c r="C210">
        <v>2846509</v>
      </c>
      <c r="D210" s="1">
        <v>8.0000000000000002E-3</v>
      </c>
      <c r="E210" s="1">
        <v>0.95880860090255704</v>
      </c>
      <c r="F210" s="1">
        <v>5.8999999999999997E-2</v>
      </c>
      <c r="G210" s="1">
        <f t="shared" si="6"/>
        <v>1.5000000000000006E-2</v>
      </c>
      <c r="H210" s="1" t="str">
        <f t="shared" si="7"/>
        <v/>
      </c>
      <c r="I210" s="1">
        <v>1.0999999999999999E-2</v>
      </c>
      <c r="J210" s="1">
        <f>+D210-F210+I210*O210</f>
        <v>-2.7349999999999999E-2</v>
      </c>
      <c r="K210" s="1">
        <v>0.106280580163002</v>
      </c>
      <c r="L210" s="1">
        <f>+K210-J210</f>
        <v>0.133630580163002</v>
      </c>
      <c r="M210" s="1">
        <v>5.9280580163002E-2</v>
      </c>
      <c r="N210" s="1">
        <f>+M210-J210</f>
        <v>8.6630580163001999E-2</v>
      </c>
      <c r="O210">
        <v>2.15</v>
      </c>
      <c r="P210" t="s">
        <v>15</v>
      </c>
      <c r="Q210">
        <v>0.02</v>
      </c>
      <c r="R210">
        <v>-5.1370672807097402E-2</v>
      </c>
      <c r="S210">
        <v>-1.9267166033387101E-2</v>
      </c>
      <c r="T210">
        <v>0.03</v>
      </c>
    </row>
    <row r="211" spans="1:20" x14ac:dyDescent="0.3">
      <c r="A211" t="s">
        <v>30</v>
      </c>
      <c r="B211">
        <v>2022</v>
      </c>
      <c r="C211">
        <v>2845911</v>
      </c>
      <c r="D211" s="1">
        <v>6.0000000000000001E-3</v>
      </c>
      <c r="E211" s="1">
        <v>0.936695337295532</v>
      </c>
      <c r="F211" s="1">
        <v>-3.3000000000000002E-2</v>
      </c>
      <c r="G211" s="1">
        <f t="shared" si="6"/>
        <v>-1.7999999999999995E-2</v>
      </c>
      <c r="H211" s="1" t="str">
        <f t="shared" si="7"/>
        <v/>
      </c>
      <c r="I211" s="1">
        <v>-2.1999999999999999E-2</v>
      </c>
      <c r="J211" s="1">
        <f>+D211-F211+I211*O211</f>
        <v>-6.7600000000000021E-3</v>
      </c>
      <c r="K211" s="1">
        <v>2.86293271929026E-2</v>
      </c>
      <c r="L211" s="1">
        <f>+K211-J211</f>
        <v>3.5389327192902602E-2</v>
      </c>
      <c r="M211" s="1">
        <v>-5.1370672807097402E-2</v>
      </c>
      <c r="N211" s="1">
        <f>+M211-J211</f>
        <v>-4.46106728070974E-2</v>
      </c>
      <c r="O211">
        <v>2.08</v>
      </c>
      <c r="P211" t="s">
        <v>16</v>
      </c>
      <c r="Q211">
        <v>-0.02</v>
      </c>
      <c r="R211">
        <v>-2.9299562595784701E-2</v>
      </c>
      <c r="S211">
        <v>-9.7406348213553897E-3</v>
      </c>
      <c r="T211">
        <v>-0.02</v>
      </c>
    </row>
    <row r="212" spans="1:20" x14ac:dyDescent="0.3">
      <c r="A212" t="s">
        <v>31</v>
      </c>
      <c r="B212">
        <v>2006</v>
      </c>
      <c r="C212">
        <v>773860.4375</v>
      </c>
      <c r="D212" s="1">
        <v>0.01</v>
      </c>
      <c r="E212" s="1">
        <v>0.92814165353775002</v>
      </c>
      <c r="F212" s="1">
        <v>0</v>
      </c>
      <c r="G212" s="1">
        <f t="shared" si="6"/>
        <v>0</v>
      </c>
      <c r="H212" s="1" t="str">
        <f t="shared" si="7"/>
        <v/>
      </c>
      <c r="I212" s="1">
        <v>8.0000000000000002E-3</v>
      </c>
      <c r="J212" s="1">
        <f>+D212-F212+I212*O212</f>
        <v>2.8720000000000002E-2</v>
      </c>
      <c r="K212" s="1">
        <v>6.4860619604587597E-2</v>
      </c>
      <c r="L212" s="1">
        <f>+K212-J212</f>
        <v>3.6140619604587594E-2</v>
      </c>
      <c r="M212" s="1">
        <v>3.2860619604587499E-2</v>
      </c>
      <c r="N212" s="1">
        <f>+M212-J212</f>
        <v>4.1406196045874963E-3</v>
      </c>
      <c r="O212">
        <v>2.34</v>
      </c>
      <c r="P212" t="s">
        <v>17</v>
      </c>
      <c r="Q212">
        <v>0.03</v>
      </c>
      <c r="R212">
        <v>-5.9567865878343996E-3</v>
      </c>
      <c r="S212">
        <v>-5.0350306555629002E-3</v>
      </c>
      <c r="T212">
        <v>0</v>
      </c>
    </row>
    <row r="213" spans="1:20" x14ac:dyDescent="0.3">
      <c r="A213" t="s">
        <v>31</v>
      </c>
      <c r="B213">
        <v>2007</v>
      </c>
      <c r="C213">
        <v>781783.625</v>
      </c>
      <c r="D213" s="1">
        <v>3.7999999999999999E-2</v>
      </c>
      <c r="E213" s="1">
        <v>0.90007376670837402</v>
      </c>
      <c r="F213" s="1">
        <v>-8.1000000000000003E-2</v>
      </c>
      <c r="G213" s="1">
        <f t="shared" si="6"/>
        <v>-8.1000000000000003E-2</v>
      </c>
      <c r="H213" s="1" t="str">
        <f t="shared" si="7"/>
        <v/>
      </c>
      <c r="I213" s="1">
        <v>-2.8000000000000001E-2</v>
      </c>
      <c r="J213" s="1">
        <f>+D213-F213+I213*O213</f>
        <v>5.8799999999999998E-2</v>
      </c>
      <c r="K213" s="1">
        <v>2.30432134121656E-2</v>
      </c>
      <c r="L213" s="1">
        <f>+K213-J213</f>
        <v>-3.5756786587834398E-2</v>
      </c>
      <c r="M213" s="1">
        <v>-5.9567865878343996E-3</v>
      </c>
      <c r="N213" s="1">
        <f>+M213-J213</f>
        <v>-6.4756786587834403E-2</v>
      </c>
      <c r="O213">
        <v>2.15</v>
      </c>
      <c r="P213" t="s">
        <v>16</v>
      </c>
      <c r="Q213">
        <v>-0.01</v>
      </c>
      <c r="R213">
        <v>-5.5172815278172499E-2</v>
      </c>
      <c r="S213">
        <v>-2.5662011001258998E-2</v>
      </c>
      <c r="T213">
        <v>-0.08</v>
      </c>
    </row>
    <row r="214" spans="1:20" x14ac:dyDescent="0.3">
      <c r="A214" t="s">
        <v>31</v>
      </c>
      <c r="B214">
        <v>2008</v>
      </c>
      <c r="C214">
        <v>789833.125</v>
      </c>
      <c r="D214" s="1">
        <v>7.8E-2</v>
      </c>
      <c r="E214" s="1">
        <v>0.891712546348572</v>
      </c>
      <c r="F214" s="1">
        <v>0.109</v>
      </c>
      <c r="G214" s="1">
        <f t="shared" si="6"/>
        <v>2.7999999999999997E-2</v>
      </c>
      <c r="H214" s="1" t="str">
        <f t="shared" si="7"/>
        <v/>
      </c>
      <c r="I214" s="1">
        <v>-8.0000000000000002E-3</v>
      </c>
      <c r="J214" s="1">
        <f>+D214-F214+I214*O214</f>
        <v>-5.0040000000000001E-2</v>
      </c>
      <c r="K214" s="1">
        <v>-1.71728152781725E-2</v>
      </c>
      <c r="L214" s="1">
        <f>+K214-J214</f>
        <v>3.2867184721827501E-2</v>
      </c>
      <c r="M214" s="1">
        <v>-5.5172815278172499E-2</v>
      </c>
      <c r="N214" s="1">
        <f>+M214-J214</f>
        <v>-5.1328152781724978E-3</v>
      </c>
      <c r="O214">
        <v>2.38</v>
      </c>
      <c r="P214" t="s">
        <v>17</v>
      </c>
      <c r="Q214">
        <v>-0.03</v>
      </c>
      <c r="R214">
        <v>-2.31485801786184E-2</v>
      </c>
      <c r="S214">
        <v>3.4181214869022499E-3</v>
      </c>
      <c r="T214">
        <v>0.11</v>
      </c>
    </row>
    <row r="215" spans="1:20" x14ac:dyDescent="0.3">
      <c r="A215" t="s">
        <v>31</v>
      </c>
      <c r="B215">
        <v>2009</v>
      </c>
      <c r="C215">
        <v>798139</v>
      </c>
      <c r="D215" s="1">
        <v>8.9999999999999993E-3</v>
      </c>
      <c r="E215" s="1">
        <v>0.90832912921905495</v>
      </c>
      <c r="F215" s="1">
        <v>-6.0000000000000001E-3</v>
      </c>
      <c r="G215" s="1">
        <f t="shared" si="6"/>
        <v>2.1999999999999999E-2</v>
      </c>
      <c r="H215" s="1" t="str">
        <f t="shared" si="7"/>
        <v/>
      </c>
      <c r="I215" s="1">
        <v>1.7000000000000001E-2</v>
      </c>
      <c r="J215" s="1">
        <f>+D215-F215+I215*O215</f>
        <v>5.5290000000000006E-2</v>
      </c>
      <c r="K215" s="1">
        <v>-2.71485801786184E-2</v>
      </c>
      <c r="L215" s="1">
        <f>+K215-J215</f>
        <v>-8.2438580178618409E-2</v>
      </c>
      <c r="M215" s="1">
        <v>-2.31485801786184E-2</v>
      </c>
      <c r="N215" s="1">
        <f>+M215-J215</f>
        <v>-7.8438580178618406E-2</v>
      </c>
      <c r="O215">
        <v>2.37</v>
      </c>
      <c r="P215" t="s">
        <v>17</v>
      </c>
      <c r="Q215">
        <v>0</v>
      </c>
      <c r="R215">
        <v>-7.7394137009978298E-3</v>
      </c>
      <c r="S215">
        <v>1.72069505788385E-3</v>
      </c>
      <c r="T215">
        <v>-0.02</v>
      </c>
    </row>
    <row r="216" spans="1:20" x14ac:dyDescent="0.3">
      <c r="A216" t="s">
        <v>31</v>
      </c>
      <c r="B216">
        <v>2010</v>
      </c>
      <c r="C216">
        <v>806026.625</v>
      </c>
      <c r="D216" s="1">
        <v>0.01</v>
      </c>
      <c r="E216" s="1">
        <v>0.91767418384552002</v>
      </c>
      <c r="F216" s="1">
        <v>-0.04</v>
      </c>
      <c r="G216" s="1">
        <f t="shared" si="6"/>
        <v>-1.8000000000000002E-2</v>
      </c>
      <c r="H216" s="1" t="str">
        <f t="shared" si="7"/>
        <v/>
      </c>
      <c r="I216" s="1">
        <v>8.9999999999999993E-3</v>
      </c>
      <c r="J216" s="1">
        <f>+D216-F216+I216*O216</f>
        <v>7.0430000000000006E-2</v>
      </c>
      <c r="K216" s="1">
        <v>8.2605862990021706E-3</v>
      </c>
      <c r="L216" s="1">
        <f>+K216-J216</f>
        <v>-6.2169413700997836E-2</v>
      </c>
      <c r="M216" s="1">
        <v>-7.7394137009978298E-3</v>
      </c>
      <c r="N216" s="1">
        <f>+M216-J216</f>
        <v>-7.8169413700997836E-2</v>
      </c>
      <c r="O216">
        <v>2.27</v>
      </c>
      <c r="P216" t="s">
        <v>17</v>
      </c>
      <c r="Q216">
        <v>0</v>
      </c>
      <c r="R216">
        <v>-2.6730084668844901E-2</v>
      </c>
      <c r="S216">
        <v>-5.44631015509363E-3</v>
      </c>
      <c r="T216">
        <v>-0.05</v>
      </c>
    </row>
    <row r="217" spans="1:20" x14ac:dyDescent="0.3">
      <c r="A217" t="s">
        <v>31</v>
      </c>
      <c r="B217">
        <v>2011</v>
      </c>
      <c r="C217">
        <v>811475</v>
      </c>
      <c r="D217" s="1">
        <v>1.2E-2</v>
      </c>
      <c r="E217" s="1">
        <v>0.91895896196365401</v>
      </c>
      <c r="F217" s="1">
        <v>4.3999999999999997E-2</v>
      </c>
      <c r="G217" s="1">
        <f t="shared" si="6"/>
        <v>2.5999999999999995E-2</v>
      </c>
      <c r="H217" s="1" t="str">
        <f t="shared" si="7"/>
        <v/>
      </c>
      <c r="I217" s="1">
        <v>1E-3</v>
      </c>
      <c r="J217" s="1">
        <f>+D217-F217+I217*O217</f>
        <v>-2.963E-2</v>
      </c>
      <c r="K217" s="1">
        <v>5.26991533115506E-3</v>
      </c>
      <c r="L217" s="1">
        <f>+K217-J217</f>
        <v>3.4899915331155058E-2</v>
      </c>
      <c r="M217" s="1">
        <v>-2.6730084668844901E-2</v>
      </c>
      <c r="N217" s="1">
        <f>+M217-J217</f>
        <v>2.8999153311550993E-3</v>
      </c>
      <c r="O217">
        <v>2.37</v>
      </c>
      <c r="P217" t="s">
        <v>15</v>
      </c>
      <c r="Q217">
        <v>-0.01</v>
      </c>
      <c r="R217">
        <v>-9.4734237566589993E-3</v>
      </c>
      <c r="S217">
        <v>-4.0352176874875996E-3</v>
      </c>
      <c r="T217">
        <v>0.05</v>
      </c>
    </row>
    <row r="218" spans="1:20" x14ac:dyDescent="0.3">
      <c r="A218" t="s">
        <v>31</v>
      </c>
      <c r="B218">
        <v>2012</v>
      </c>
      <c r="C218">
        <v>817948.75</v>
      </c>
      <c r="D218" s="1">
        <v>0</v>
      </c>
      <c r="E218" s="1">
        <v>0.92783480882644698</v>
      </c>
      <c r="F218" s="1">
        <v>-0.02</v>
      </c>
      <c r="G218" s="1">
        <f t="shared" si="6"/>
        <v>5.9999999999999949E-3</v>
      </c>
      <c r="H218" s="1" t="str">
        <f t="shared" si="7"/>
        <v/>
      </c>
      <c r="I218" s="1">
        <v>8.9999999999999993E-3</v>
      </c>
      <c r="J218" s="1">
        <f>+D218-F218+I218*O218</f>
        <v>4.0969999999999999E-2</v>
      </c>
      <c r="K218" s="1">
        <v>1.1526576243341E-2</v>
      </c>
      <c r="L218" s="1">
        <f>+K218-J218</f>
        <v>-2.9443423756658999E-2</v>
      </c>
      <c r="M218" s="1">
        <v>-9.4734237566589993E-3</v>
      </c>
      <c r="N218" s="1">
        <f>+M218-J218</f>
        <v>-5.0443423756659E-2</v>
      </c>
      <c r="O218">
        <v>2.33</v>
      </c>
      <c r="P218" t="s">
        <v>17</v>
      </c>
      <c r="Q218">
        <v>0</v>
      </c>
      <c r="R218">
        <v>5.7002721726894003E-3</v>
      </c>
      <c r="S218">
        <v>-4.2649917304520002E-4</v>
      </c>
      <c r="T218">
        <v>-0.02</v>
      </c>
    </row>
    <row r="219" spans="1:20" x14ac:dyDescent="0.3">
      <c r="A219" t="s">
        <v>31</v>
      </c>
      <c r="B219">
        <v>2013</v>
      </c>
      <c r="C219">
        <v>824664.6875</v>
      </c>
      <c r="D219" s="1">
        <v>3.0000000000000001E-3</v>
      </c>
      <c r="E219" s="1">
        <v>0.93034708499908403</v>
      </c>
      <c r="F219" s="1">
        <v>-3.9E-2</v>
      </c>
      <c r="G219" s="1">
        <f t="shared" si="6"/>
        <v>-3.3000000000000002E-2</v>
      </c>
      <c r="H219" s="1" t="str">
        <f t="shared" si="7"/>
        <v/>
      </c>
      <c r="I219" s="1">
        <v>3.0000000000000001E-3</v>
      </c>
      <c r="J219" s="1">
        <f>+D219-F219+I219*O219</f>
        <v>4.8690000000000004E-2</v>
      </c>
      <c r="K219" s="1">
        <v>2.07002721726894E-2</v>
      </c>
      <c r="L219" s="1">
        <f>+K219-J219</f>
        <v>-2.7989727827310604E-2</v>
      </c>
      <c r="M219" s="1">
        <v>5.7002721726894003E-3</v>
      </c>
      <c r="N219" s="1">
        <f>+M219-J219</f>
        <v>-4.29897278273106E-2</v>
      </c>
      <c r="O219">
        <v>2.23</v>
      </c>
      <c r="P219" t="s">
        <v>17</v>
      </c>
      <c r="Q219">
        <v>0</v>
      </c>
      <c r="R219">
        <v>3.39200982451439E-3</v>
      </c>
      <c r="S219">
        <v>1.38398632407189E-3</v>
      </c>
      <c r="T219">
        <v>-0.05</v>
      </c>
    </row>
    <row r="220" spans="1:20" x14ac:dyDescent="0.3">
      <c r="A220" t="s">
        <v>31</v>
      </c>
      <c r="B220">
        <v>2014</v>
      </c>
      <c r="C220">
        <v>830950.9375</v>
      </c>
      <c r="D220" s="1">
        <v>5.0000000000000001E-3</v>
      </c>
      <c r="E220" s="1">
        <v>0.92323583364486705</v>
      </c>
      <c r="F220" s="1">
        <v>0.05</v>
      </c>
      <c r="G220" s="1">
        <f t="shared" si="6"/>
        <v>1.7000000000000001E-2</v>
      </c>
      <c r="H220" s="1" t="str">
        <f t="shared" si="7"/>
        <v/>
      </c>
      <c r="I220" s="1">
        <v>-7.0000000000000001E-3</v>
      </c>
      <c r="J220" s="1">
        <f>+D220-F220+I220*O220</f>
        <v>-6.1450000000000005E-2</v>
      </c>
      <c r="K220" s="1">
        <v>1.9392009824514399E-2</v>
      </c>
      <c r="L220" s="1">
        <f>+K220-J220</f>
        <v>8.0842009824514408E-2</v>
      </c>
      <c r="M220" s="1">
        <v>3.39200982451439E-3</v>
      </c>
      <c r="N220" s="1">
        <f>+M220-J220</f>
        <v>6.4842009824514393E-2</v>
      </c>
      <c r="O220">
        <v>2.35</v>
      </c>
      <c r="P220" t="s">
        <v>17</v>
      </c>
      <c r="Q220">
        <v>0</v>
      </c>
      <c r="R220">
        <v>2.2886298760771799E-2</v>
      </c>
      <c r="S220">
        <v>-7.3771532624958896E-3</v>
      </c>
      <c r="T220">
        <v>0.05</v>
      </c>
    </row>
    <row r="221" spans="1:20" x14ac:dyDescent="0.3">
      <c r="A221" t="s">
        <v>31</v>
      </c>
      <c r="B221">
        <v>2015</v>
      </c>
      <c r="C221">
        <v>837054.375</v>
      </c>
      <c r="D221" s="1">
        <v>6.0000000000000001E-3</v>
      </c>
      <c r="E221" s="1">
        <v>0.91496920585632302</v>
      </c>
      <c r="F221" s="1">
        <v>-5.7000000000000002E-2</v>
      </c>
      <c r="G221" s="1">
        <f t="shared" si="6"/>
        <v>-0.04</v>
      </c>
      <c r="H221" s="1" t="str">
        <f t="shared" si="7"/>
        <v/>
      </c>
      <c r="I221" s="1">
        <v>-8.0000000000000002E-3</v>
      </c>
      <c r="J221" s="1">
        <f>+D221-F221+I221*O221</f>
        <v>4.5319999999999999E-2</v>
      </c>
      <c r="K221" s="1">
        <v>2.38862987607718E-2</v>
      </c>
      <c r="L221" s="1">
        <f>+K221-J221</f>
        <v>-2.1433701239228199E-2</v>
      </c>
      <c r="M221" s="1">
        <v>2.2886298760771799E-2</v>
      </c>
      <c r="N221" s="1">
        <f>+M221-J221</f>
        <v>-2.24337012392282E-2</v>
      </c>
      <c r="O221">
        <v>2.21</v>
      </c>
      <c r="P221" t="s">
        <v>16</v>
      </c>
      <c r="Q221">
        <v>-0.01</v>
      </c>
      <c r="R221">
        <v>3.8271930336952198E-2</v>
      </c>
      <c r="S221">
        <v>2.5118373334407799E-2</v>
      </c>
      <c r="T221">
        <v>-0.05</v>
      </c>
    </row>
    <row r="222" spans="1:20" x14ac:dyDescent="0.3">
      <c r="A222" t="s">
        <v>31</v>
      </c>
      <c r="B222">
        <v>2016</v>
      </c>
      <c r="C222">
        <v>842251.5625</v>
      </c>
      <c r="D222" s="1">
        <v>2.4E-2</v>
      </c>
      <c r="E222" s="1">
        <v>0.91662007570266701</v>
      </c>
      <c r="F222" s="1">
        <v>7.0000000000000007E-2</v>
      </c>
      <c r="G222" s="1">
        <f t="shared" si="6"/>
        <v>3.0000000000000006E-2</v>
      </c>
      <c r="H222" s="1" t="str">
        <f t="shared" si="7"/>
        <v/>
      </c>
      <c r="I222" s="1">
        <v>2E-3</v>
      </c>
      <c r="J222" s="1">
        <f>+D222-F222+I222*O222</f>
        <v>-4.1260000000000005E-2</v>
      </c>
      <c r="K222" s="1">
        <v>5.1271930336952203E-2</v>
      </c>
      <c r="L222" s="1">
        <f>+K222-J222</f>
        <v>9.2531930336952201E-2</v>
      </c>
      <c r="M222" s="1">
        <v>3.8271930336952198E-2</v>
      </c>
      <c r="N222" s="1">
        <f>+M222-J222</f>
        <v>7.9531930336952203E-2</v>
      </c>
      <c r="O222">
        <v>2.37</v>
      </c>
      <c r="P222" t="s">
        <v>15</v>
      </c>
      <c r="Q222">
        <v>0.03</v>
      </c>
      <c r="R222">
        <v>-3.2820063926279501E-2</v>
      </c>
      <c r="S222">
        <v>-3.5609637387096799E-2</v>
      </c>
      <c r="T222">
        <v>7.0000000000000007E-2</v>
      </c>
    </row>
    <row r="223" spans="1:20" x14ac:dyDescent="0.3">
      <c r="A223" t="s">
        <v>31</v>
      </c>
      <c r="B223">
        <v>2017</v>
      </c>
      <c r="C223">
        <v>842001.5</v>
      </c>
      <c r="D223" s="1">
        <v>1.7000000000000001E-2</v>
      </c>
      <c r="E223" s="1">
        <v>0.88219505548477195</v>
      </c>
      <c r="F223" s="1">
        <v>-8.0000000000000002E-3</v>
      </c>
      <c r="G223" s="1">
        <f t="shared" si="6"/>
        <v>2.2000000000000006E-2</v>
      </c>
      <c r="H223" s="1" t="str">
        <f t="shared" si="7"/>
        <v/>
      </c>
      <c r="I223" s="1">
        <v>-3.4000000000000002E-2</v>
      </c>
      <c r="J223" s="1">
        <f>+D223-F223+I223*O223</f>
        <v>-5.4900000000000011E-2</v>
      </c>
      <c r="K223" s="1">
        <v>-1.18200639262795E-2</v>
      </c>
      <c r="L223" s="1">
        <f>+K223-J223</f>
        <v>4.3079936073720515E-2</v>
      </c>
      <c r="M223" s="1">
        <v>-3.2820063926279501E-2</v>
      </c>
      <c r="N223" s="1">
        <f>+M223-J223</f>
        <v>2.207993607372051E-2</v>
      </c>
      <c r="O223">
        <v>2.35</v>
      </c>
      <c r="P223" t="s">
        <v>16</v>
      </c>
      <c r="Q223">
        <v>-0.04</v>
      </c>
      <c r="R223">
        <v>-2.7948622848838499E-2</v>
      </c>
      <c r="S223">
        <v>-3.7083645816892302E-2</v>
      </c>
      <c r="T223">
        <v>0</v>
      </c>
    </row>
    <row r="224" spans="1:20" x14ac:dyDescent="0.3">
      <c r="A224" t="s">
        <v>31</v>
      </c>
      <c r="B224">
        <v>2018</v>
      </c>
      <c r="C224">
        <v>844395.625</v>
      </c>
      <c r="D224" s="1">
        <v>5.2999999999999999E-2</v>
      </c>
      <c r="E224" s="1">
        <v>0.85163360834121704</v>
      </c>
      <c r="F224" s="1">
        <v>-4.7E-2</v>
      </c>
      <c r="G224" s="1">
        <f t="shared" si="6"/>
        <v>-2.4999999999999994E-2</v>
      </c>
      <c r="H224" s="1" t="str">
        <f t="shared" si="7"/>
        <v/>
      </c>
      <c r="I224" s="1">
        <v>-3.1E-2</v>
      </c>
      <c r="J224" s="1">
        <f>+D224-F224+I224*O224</f>
        <v>3.0560000000000004E-2</v>
      </c>
      <c r="K224" s="1">
        <v>-3.9486228488385703E-3</v>
      </c>
      <c r="L224" s="1">
        <f>+K224-J224</f>
        <v>-3.4508622848838572E-2</v>
      </c>
      <c r="M224" s="1">
        <v>-2.7948622848838499E-2</v>
      </c>
      <c r="N224" s="1">
        <f>+M224-J224</f>
        <v>-5.8508622848838503E-2</v>
      </c>
      <c r="O224">
        <v>2.2400000000000002</v>
      </c>
      <c r="P224" t="s">
        <v>16</v>
      </c>
      <c r="Q224">
        <v>-0.04</v>
      </c>
      <c r="R224">
        <v>-2.0245307667180801E-2</v>
      </c>
      <c r="S224">
        <v>-3.8046502275392399E-2</v>
      </c>
      <c r="T224">
        <v>-0.04</v>
      </c>
    </row>
    <row r="225" spans="1:20" x14ac:dyDescent="0.3">
      <c r="A225" t="s">
        <v>31</v>
      </c>
      <c r="B225">
        <v>2019</v>
      </c>
      <c r="C225">
        <v>847852.125</v>
      </c>
      <c r="D225" s="1">
        <v>1.9E-2</v>
      </c>
      <c r="E225" s="1">
        <v>0.87194919586181596</v>
      </c>
      <c r="F225" s="1">
        <v>-4.2000000000000003E-2</v>
      </c>
      <c r="G225" s="1">
        <f t="shared" si="6"/>
        <v>-6.7000000000000004E-2</v>
      </c>
      <c r="H225" s="1" t="str">
        <f t="shared" si="7"/>
        <v/>
      </c>
      <c r="I225" s="1">
        <v>0.02</v>
      </c>
      <c r="J225" s="1">
        <f>+D225-F225+I225*O225</f>
        <v>0.1038</v>
      </c>
      <c r="K225" s="1">
        <v>-2.2453076671809001E-3</v>
      </c>
      <c r="L225" s="1">
        <f>+K225-J225</f>
        <v>-0.1060453076671809</v>
      </c>
      <c r="M225" s="1">
        <v>-2.0245307667180801E-2</v>
      </c>
      <c r="N225" s="1">
        <f>+M225-J225</f>
        <v>-0.1240453076671808</v>
      </c>
      <c r="O225">
        <v>2.14</v>
      </c>
      <c r="P225" t="s">
        <v>17</v>
      </c>
      <c r="Q225">
        <v>-0.04</v>
      </c>
      <c r="R225">
        <v>1.9653337180614499E-2</v>
      </c>
      <c r="S225">
        <v>8.0414675176149805E-4</v>
      </c>
      <c r="T225">
        <v>-0.03</v>
      </c>
    </row>
    <row r="226" spans="1:20" x14ac:dyDescent="0.3">
      <c r="A226" t="s">
        <v>31</v>
      </c>
      <c r="B226">
        <v>2020</v>
      </c>
      <c r="C226">
        <v>850013.5</v>
      </c>
      <c r="D226" s="1">
        <v>1.2E-2</v>
      </c>
      <c r="E226" s="1">
        <v>0.89413988590240501</v>
      </c>
      <c r="F226" s="1">
        <v>-6.3E-2</v>
      </c>
      <c r="G226" s="1">
        <f t="shared" si="6"/>
        <v>-0.13</v>
      </c>
      <c r="H226" s="1">
        <f t="shared" si="7"/>
        <v>5.0372778438031653E-2</v>
      </c>
      <c r="I226" s="1">
        <v>2.1999999999999999E-2</v>
      </c>
      <c r="J226" s="1">
        <f>+D226-F226+I226*O226</f>
        <v>0.11921999999999999</v>
      </c>
      <c r="K226" s="1">
        <v>3.1653337180614499E-2</v>
      </c>
      <c r="L226" s="1">
        <f>+K226-J226</f>
        <v>-8.7566662819385493E-2</v>
      </c>
      <c r="M226" s="1">
        <v>1.9653337180614499E-2</v>
      </c>
      <c r="N226" s="1">
        <f>+M226-J226</f>
        <v>-9.956666281938549E-2</v>
      </c>
      <c r="O226">
        <v>2.0099999999999998</v>
      </c>
      <c r="P226" t="s">
        <v>17</v>
      </c>
      <c r="Q226">
        <v>0</v>
      </c>
      <c r="R226">
        <v>2.9781935989856699E-2</v>
      </c>
      <c r="S226">
        <v>-1.38076767325402E-2</v>
      </c>
      <c r="T226">
        <v>-0.02</v>
      </c>
    </row>
    <row r="227" spans="1:20" x14ac:dyDescent="0.3">
      <c r="A227" t="s">
        <v>31</v>
      </c>
      <c r="B227">
        <v>2021</v>
      </c>
      <c r="C227">
        <v>852156.5</v>
      </c>
      <c r="D227" s="1">
        <v>1.0999999999999999E-2</v>
      </c>
      <c r="E227" s="1">
        <v>0.91992127895355202</v>
      </c>
      <c r="F227" s="1">
        <v>0.13500000000000001</v>
      </c>
      <c r="G227" s="1">
        <f t="shared" si="6"/>
        <v>5.0000000000000044E-3</v>
      </c>
      <c r="H227" s="1" t="str">
        <f t="shared" si="7"/>
        <v/>
      </c>
      <c r="I227" s="1">
        <v>2.5999999999999999E-2</v>
      </c>
      <c r="J227" s="1">
        <f>+D227-F227+I227*O227</f>
        <v>-6.4720000000000028E-2</v>
      </c>
      <c r="K227" s="1">
        <v>7.6781935989856706E-2</v>
      </c>
      <c r="L227" s="1">
        <f>+K227-J227</f>
        <v>0.14150193598985672</v>
      </c>
      <c r="M227" s="1">
        <v>2.9781935989856699E-2</v>
      </c>
      <c r="N227" s="1">
        <f>+M227-J227</f>
        <v>9.4501935989856733E-2</v>
      </c>
      <c r="O227">
        <v>2.2799999999999998</v>
      </c>
      <c r="P227" t="s">
        <v>15</v>
      </c>
      <c r="Q227">
        <v>-0.01</v>
      </c>
      <c r="R227">
        <v>-5.6036379113793403E-2</v>
      </c>
      <c r="S227">
        <v>-2.3932872340083101E-2</v>
      </c>
      <c r="T227">
        <v>0.11</v>
      </c>
    </row>
    <row r="228" spans="1:20" x14ac:dyDescent="0.3">
      <c r="A228" t="s">
        <v>31</v>
      </c>
      <c r="B228">
        <v>2022</v>
      </c>
      <c r="C228">
        <v>853922</v>
      </c>
      <c r="D228" s="1">
        <v>8.0000000000000002E-3</v>
      </c>
      <c r="E228" s="1">
        <v>0.89594829082489003</v>
      </c>
      <c r="F228" s="1">
        <v>-7.2999999999999995E-2</v>
      </c>
      <c r="G228" s="1">
        <f t="shared" si="6"/>
        <v>-6.7999999999999991E-2</v>
      </c>
      <c r="H228" s="1" t="str">
        <f t="shared" si="7"/>
        <v/>
      </c>
      <c r="I228" s="1">
        <v>-2.4E-2</v>
      </c>
      <c r="J228" s="1">
        <f>+D228-F228+I228*O228</f>
        <v>3.0359999999999991E-2</v>
      </c>
      <c r="K228" s="1">
        <v>2.3963620886206599E-2</v>
      </c>
      <c r="L228" s="1">
        <f>+K228-J228</f>
        <v>-6.396379113793392E-3</v>
      </c>
      <c r="M228" s="1">
        <v>-5.6036379113793403E-2</v>
      </c>
      <c r="N228" s="1">
        <f>+M228-J228</f>
        <v>-8.6396379113793387E-2</v>
      </c>
      <c r="O228">
        <v>2.11</v>
      </c>
      <c r="P228" t="s">
        <v>16</v>
      </c>
      <c r="Q228">
        <v>-0.02</v>
      </c>
      <c r="R228">
        <v>-2.3158957049250601E-2</v>
      </c>
      <c r="S228">
        <v>-3.6000292748212901E-3</v>
      </c>
      <c r="T228">
        <v>-0.06</v>
      </c>
    </row>
    <row r="229" spans="1:20" x14ac:dyDescent="0.3">
      <c r="A229" t="s">
        <v>32</v>
      </c>
      <c r="B229">
        <v>2006</v>
      </c>
      <c r="C229">
        <v>394245.09379999997</v>
      </c>
      <c r="D229" s="1">
        <v>1.6E-2</v>
      </c>
      <c r="E229" s="1">
        <v>0.92615175247192405</v>
      </c>
      <c r="F229" s="1">
        <v>5.3999999999999999E-2</v>
      </c>
      <c r="G229" s="1">
        <f t="shared" si="6"/>
        <v>5.3999999999999999E-2</v>
      </c>
      <c r="H229" s="1" t="str">
        <f t="shared" si="7"/>
        <v/>
      </c>
      <c r="I229" s="1">
        <v>1.6E-2</v>
      </c>
      <c r="J229" s="1">
        <f>+D229-F229+I229*O229</f>
        <v>-3.9999999999999758E-4</v>
      </c>
      <c r="K229" s="1">
        <v>4.0835920721292503E-2</v>
      </c>
      <c r="L229" s="1">
        <f>+K229-J229</f>
        <v>4.12359207212925E-2</v>
      </c>
      <c r="M229" s="1">
        <v>8.8359207212925003E-3</v>
      </c>
      <c r="N229" s="1">
        <f>+M229-J229</f>
        <v>9.2359207212924978E-3</v>
      </c>
      <c r="O229">
        <v>2.35</v>
      </c>
      <c r="P229" t="s">
        <v>15</v>
      </c>
      <c r="Q229">
        <v>0</v>
      </c>
      <c r="R229">
        <v>1.5682454317808198E-2</v>
      </c>
      <c r="S229">
        <v>1.6604210250079701E-2</v>
      </c>
      <c r="T229">
        <v>0.05</v>
      </c>
    </row>
    <row r="230" spans="1:20" x14ac:dyDescent="0.3">
      <c r="A230" t="s">
        <v>32</v>
      </c>
      <c r="B230">
        <v>2007</v>
      </c>
      <c r="C230">
        <v>397406.40629999997</v>
      </c>
      <c r="D230" s="1">
        <v>0</v>
      </c>
      <c r="E230" s="1">
        <v>0.93614548444747903</v>
      </c>
      <c r="F230" s="1">
        <v>-5.6000000000000001E-2</v>
      </c>
      <c r="G230" s="1">
        <f t="shared" si="6"/>
        <v>-2.0000000000000018E-3</v>
      </c>
      <c r="H230" s="1" t="str">
        <f t="shared" si="7"/>
        <v/>
      </c>
      <c r="I230" s="1">
        <v>0.01</v>
      </c>
      <c r="J230" s="1">
        <f>+D230-F230+I230*O230</f>
        <v>7.8200000000000006E-2</v>
      </c>
      <c r="K230" s="1">
        <v>4.46824543178082E-2</v>
      </c>
      <c r="L230" s="1">
        <f>+K230-J230</f>
        <v>-3.3517545682191806E-2</v>
      </c>
      <c r="M230" s="1">
        <v>1.5682454317808198E-2</v>
      </c>
      <c r="N230" s="1">
        <f>+M230-J230</f>
        <v>-6.2517545682191811E-2</v>
      </c>
      <c r="O230">
        <v>2.2200000000000002</v>
      </c>
      <c r="P230" t="s">
        <v>17</v>
      </c>
      <c r="Q230">
        <v>0.02</v>
      </c>
      <c r="R230">
        <v>-1.9939850375056301E-2</v>
      </c>
      <c r="S230">
        <v>9.5709539018570995E-3</v>
      </c>
      <c r="T230">
        <v>-0.06</v>
      </c>
    </row>
    <row r="231" spans="1:20" x14ac:dyDescent="0.3">
      <c r="A231" t="s">
        <v>32</v>
      </c>
      <c r="B231">
        <v>2008</v>
      </c>
      <c r="C231">
        <v>400145.8125</v>
      </c>
      <c r="D231" s="1">
        <v>3.5999999999999997E-2</v>
      </c>
      <c r="E231" s="1">
        <v>0.93837130069732699</v>
      </c>
      <c r="F231" s="1">
        <v>1.2999999999999999E-2</v>
      </c>
      <c r="G231" s="1">
        <f t="shared" si="6"/>
        <v>1.0999999999999998E-2</v>
      </c>
      <c r="H231" s="1" t="str">
        <f t="shared" si="7"/>
        <v/>
      </c>
      <c r="I231" s="1">
        <v>2E-3</v>
      </c>
      <c r="J231" s="1">
        <f>+D231-F231+I231*O231</f>
        <v>2.75E-2</v>
      </c>
      <c r="K231" s="1">
        <v>1.8060149624943699E-2</v>
      </c>
      <c r="L231" s="1">
        <f>+K231-J231</f>
        <v>-9.4398503750563016E-3</v>
      </c>
      <c r="M231" s="1">
        <v>-1.9939850375056301E-2</v>
      </c>
      <c r="N231" s="1">
        <f>+M231-J231</f>
        <v>-4.7439850375056297E-2</v>
      </c>
      <c r="O231">
        <v>2.25</v>
      </c>
      <c r="P231" t="s">
        <v>15</v>
      </c>
      <c r="Q231">
        <v>0.01</v>
      </c>
      <c r="R231">
        <v>-1.9244868963956802E-2</v>
      </c>
      <c r="S231">
        <v>7.3218327015638403E-3</v>
      </c>
      <c r="T231">
        <v>0.01</v>
      </c>
    </row>
    <row r="232" spans="1:20" x14ac:dyDescent="0.3">
      <c r="A232" t="s">
        <v>32</v>
      </c>
      <c r="B232">
        <v>2009</v>
      </c>
      <c r="C232">
        <v>402175.125</v>
      </c>
      <c r="D232" s="1">
        <v>3.6999999999999998E-2</v>
      </c>
      <c r="E232" s="1">
        <v>0.90458214282989502</v>
      </c>
      <c r="F232" s="1">
        <v>8.9999999999999993E-3</v>
      </c>
      <c r="G232" s="1">
        <f t="shared" si="6"/>
        <v>1.9999999999999997E-2</v>
      </c>
      <c r="H232" s="1" t="str">
        <f t="shared" si="7"/>
        <v/>
      </c>
      <c r="I232" s="1">
        <v>-3.4000000000000002E-2</v>
      </c>
      <c r="J232" s="1">
        <f>+D232-F232+I232*O232</f>
        <v>-4.9180000000000015E-2</v>
      </c>
      <c r="K232" s="1">
        <v>-2.3244868963956802E-2</v>
      </c>
      <c r="L232" s="1">
        <f>+K232-J232</f>
        <v>2.5935131036043214E-2</v>
      </c>
      <c r="M232" s="1">
        <v>-1.9244868963956802E-2</v>
      </c>
      <c r="N232" s="1">
        <f>+M232-J232</f>
        <v>2.9935131036043214E-2</v>
      </c>
      <c r="O232">
        <v>2.27</v>
      </c>
      <c r="P232" t="s">
        <v>17</v>
      </c>
      <c r="Q232">
        <v>0.01</v>
      </c>
      <c r="R232">
        <v>-2.1866364575922399E-2</v>
      </c>
      <c r="S232">
        <v>-1.2406255817040799E-2</v>
      </c>
      <c r="T232">
        <v>-0.01</v>
      </c>
    </row>
    <row r="233" spans="1:20" x14ac:dyDescent="0.3">
      <c r="A233" t="s">
        <v>32</v>
      </c>
      <c r="B233">
        <v>2010</v>
      </c>
      <c r="C233">
        <v>404398</v>
      </c>
      <c r="D233" s="1">
        <v>0.108</v>
      </c>
      <c r="E233" s="1">
        <v>0.89969080686569203</v>
      </c>
      <c r="F233" s="1">
        <v>1.7000000000000001E-2</v>
      </c>
      <c r="G233" s="1">
        <f t="shared" si="6"/>
        <v>3.6999999999999998E-2</v>
      </c>
      <c r="H233" s="1" t="str">
        <f t="shared" si="7"/>
        <v/>
      </c>
      <c r="I233" s="1">
        <v>-5.0000000000000001E-3</v>
      </c>
      <c r="J233" s="1">
        <f>+D233-F233+I233*O233</f>
        <v>7.9449999999999993E-2</v>
      </c>
      <c r="K233" s="1">
        <v>-5.86636457592249E-3</v>
      </c>
      <c r="L233" s="1">
        <f>+K233-J233</f>
        <v>-8.5316364575922482E-2</v>
      </c>
      <c r="M233" s="1">
        <v>-2.1866364575922399E-2</v>
      </c>
      <c r="N233" s="1">
        <f>+M233-J233</f>
        <v>-0.10131636457592239</v>
      </c>
      <c r="O233">
        <v>2.31</v>
      </c>
      <c r="P233" t="s">
        <v>17</v>
      </c>
      <c r="Q233">
        <v>-0.01</v>
      </c>
      <c r="R233">
        <v>-2.3473146714270102E-2</v>
      </c>
      <c r="S233">
        <v>-2.1893722005188001E-3</v>
      </c>
      <c r="T233">
        <v>0.01</v>
      </c>
    </row>
    <row r="234" spans="1:20" x14ac:dyDescent="0.3">
      <c r="A234" t="s">
        <v>32</v>
      </c>
      <c r="B234">
        <v>2011</v>
      </c>
      <c r="C234">
        <v>405797.5</v>
      </c>
      <c r="D234" s="1">
        <v>1.2E-2</v>
      </c>
      <c r="E234" s="1">
        <v>0.90756100416183505</v>
      </c>
      <c r="F234" s="1">
        <v>8.6999999999999994E-2</v>
      </c>
      <c r="G234" s="1">
        <f t="shared" si="6"/>
        <v>0.124</v>
      </c>
      <c r="H234" s="1">
        <f t="shared" si="7"/>
        <v>7.2901633102446604E-3</v>
      </c>
      <c r="I234" s="1">
        <v>8.0000000000000002E-3</v>
      </c>
      <c r="J234" s="1">
        <f>+D234-F234+I234*O234</f>
        <v>-5.4919999999999997E-2</v>
      </c>
      <c r="K234" s="1">
        <v>8.5268532857298903E-3</v>
      </c>
      <c r="L234" s="1">
        <f>+K234-J234</f>
        <v>6.3446853285729882E-2</v>
      </c>
      <c r="M234" s="1">
        <v>-2.3473146714270102E-2</v>
      </c>
      <c r="N234" s="1">
        <f>+M234-J234</f>
        <v>3.1446853285729895E-2</v>
      </c>
      <c r="O234">
        <v>2.5099999999999998</v>
      </c>
      <c r="P234" t="s">
        <v>15</v>
      </c>
      <c r="Q234">
        <v>0</v>
      </c>
      <c r="R234">
        <v>-1.9247554991394199E-2</v>
      </c>
      <c r="S234">
        <v>-1.3809348922222801E-2</v>
      </c>
      <c r="T234">
        <v>0.09</v>
      </c>
    </row>
    <row r="235" spans="1:20" x14ac:dyDescent="0.3">
      <c r="A235" t="s">
        <v>32</v>
      </c>
      <c r="B235">
        <v>2012</v>
      </c>
      <c r="C235">
        <v>405633.59379999997</v>
      </c>
      <c r="D235" s="1">
        <v>1.2E-2</v>
      </c>
      <c r="E235" s="1">
        <v>0.90439844131469704</v>
      </c>
      <c r="F235" s="1">
        <v>-0.11</v>
      </c>
      <c r="G235" s="1">
        <f t="shared" si="6"/>
        <v>1.3999999999999999E-2</v>
      </c>
      <c r="H235" s="1" t="str">
        <f t="shared" si="7"/>
        <v/>
      </c>
      <c r="I235" s="1">
        <v>-3.0000000000000001E-3</v>
      </c>
      <c r="J235" s="1">
        <f>+D235-F235+I235*O235</f>
        <v>0.11531</v>
      </c>
      <c r="K235" s="1">
        <v>1.7524450086057199E-3</v>
      </c>
      <c r="L235" s="1">
        <f>+K235-J235</f>
        <v>-0.11355755499139428</v>
      </c>
      <c r="M235" s="1">
        <v>-1.9247554991394199E-2</v>
      </c>
      <c r="N235" s="1">
        <f>+M235-J235</f>
        <v>-0.13455755499139418</v>
      </c>
      <c r="O235">
        <v>2.23</v>
      </c>
      <c r="P235" t="s">
        <v>16</v>
      </c>
      <c r="Q235">
        <v>-0.01</v>
      </c>
      <c r="R235">
        <v>-2.1721183881163899E-3</v>
      </c>
      <c r="S235">
        <v>-8.2988897338509993E-3</v>
      </c>
      <c r="T235">
        <v>-0.11</v>
      </c>
    </row>
    <row r="236" spans="1:20" x14ac:dyDescent="0.3">
      <c r="A236" t="s">
        <v>32</v>
      </c>
      <c r="B236">
        <v>2013</v>
      </c>
      <c r="C236">
        <v>407266.21879999997</v>
      </c>
      <c r="D236" s="1">
        <v>0</v>
      </c>
      <c r="E236" s="1">
        <v>0.88858610391616799</v>
      </c>
      <c r="F236" s="1">
        <v>-2.4E-2</v>
      </c>
      <c r="G236" s="1">
        <f t="shared" si="6"/>
        <v>-1.0000000000000002E-2</v>
      </c>
      <c r="H236" s="1" t="str">
        <f t="shared" si="7"/>
        <v/>
      </c>
      <c r="I236" s="1">
        <v>-1.6E-2</v>
      </c>
      <c r="J236" s="1">
        <f>+D236-F236+I236*O236</f>
        <v>-1.0880000000000001E-2</v>
      </c>
      <c r="K236" s="1">
        <v>1.28278816118836E-2</v>
      </c>
      <c r="L236" s="1">
        <f>+K236-J236</f>
        <v>2.3707881611883599E-2</v>
      </c>
      <c r="M236" s="1">
        <v>-2.1721183881163899E-3</v>
      </c>
      <c r="N236" s="1">
        <f>+M236-J236</f>
        <v>8.7078816118836104E-3</v>
      </c>
      <c r="O236">
        <v>2.1800000000000002</v>
      </c>
      <c r="P236" t="s">
        <v>16</v>
      </c>
      <c r="Q236">
        <v>-0.01</v>
      </c>
      <c r="R236">
        <v>-1.9566343948245E-3</v>
      </c>
      <c r="S236">
        <v>-3.9646578952670002E-3</v>
      </c>
      <c r="T236">
        <v>-0.03</v>
      </c>
    </row>
    <row r="237" spans="1:20" x14ac:dyDescent="0.3">
      <c r="A237" t="s">
        <v>32</v>
      </c>
      <c r="B237">
        <v>2014</v>
      </c>
      <c r="C237">
        <v>408839.28129999997</v>
      </c>
      <c r="D237" s="1">
        <v>0</v>
      </c>
      <c r="E237" s="1">
        <v>0.91315466165542603</v>
      </c>
      <c r="F237" s="1">
        <v>2.7E-2</v>
      </c>
      <c r="G237" s="1">
        <f t="shared" si="6"/>
        <v>1.6999999999999998E-2</v>
      </c>
      <c r="H237" s="1" t="str">
        <f t="shared" si="7"/>
        <v/>
      </c>
      <c r="I237" s="1">
        <v>2.5000000000000001E-2</v>
      </c>
      <c r="J237" s="1">
        <f>+D237-F237+I237*O237</f>
        <v>2.9000000000000008E-2</v>
      </c>
      <c r="K237" s="1">
        <v>1.40433656051755E-2</v>
      </c>
      <c r="L237" s="1">
        <f>+K237-J237</f>
        <v>-1.4956634394824508E-2</v>
      </c>
      <c r="M237" s="1">
        <v>-1.9566343948245E-3</v>
      </c>
      <c r="N237" s="1">
        <f>+M237-J237</f>
        <v>-3.095663439482451E-2</v>
      </c>
      <c r="O237">
        <v>2.2400000000000002</v>
      </c>
      <c r="P237" t="s">
        <v>15</v>
      </c>
      <c r="Q237">
        <v>0</v>
      </c>
      <c r="R237">
        <v>2.3589022621512301E-2</v>
      </c>
      <c r="S237">
        <v>-6.6744294017552896E-3</v>
      </c>
      <c r="T237">
        <v>0.02</v>
      </c>
    </row>
    <row r="238" spans="1:20" x14ac:dyDescent="0.3">
      <c r="A238" t="s">
        <v>32</v>
      </c>
      <c r="B238">
        <v>2015</v>
      </c>
      <c r="C238">
        <v>412001.3125</v>
      </c>
      <c r="D238" s="1">
        <v>3.0000000000000001E-3</v>
      </c>
      <c r="E238" s="1">
        <v>0.91583830118179299</v>
      </c>
      <c r="F238" s="1">
        <v>5.6000000000000001E-2</v>
      </c>
      <c r="G238" s="1">
        <f t="shared" si="6"/>
        <v>7.2999999999999995E-2</v>
      </c>
      <c r="H238" s="1" t="str">
        <f t="shared" si="7"/>
        <v/>
      </c>
      <c r="I238" s="1">
        <v>3.0000000000000001E-3</v>
      </c>
      <c r="J238" s="1">
        <f>+D238-F238+I238*O238</f>
        <v>-4.5920000000000002E-2</v>
      </c>
      <c r="K238" s="1">
        <v>2.4589022621512399E-2</v>
      </c>
      <c r="L238" s="1">
        <f>+K238-J238</f>
        <v>7.0509022621512402E-2</v>
      </c>
      <c r="M238" s="1">
        <v>2.3589022621512301E-2</v>
      </c>
      <c r="N238" s="1">
        <f>+M238-J238</f>
        <v>6.9509022621512304E-2</v>
      </c>
      <c r="O238">
        <v>2.36</v>
      </c>
      <c r="P238" t="s">
        <v>15</v>
      </c>
      <c r="Q238">
        <v>-0.01</v>
      </c>
      <c r="R238">
        <v>1.54587778151035E-2</v>
      </c>
      <c r="S238">
        <v>2.3052208125591001E-3</v>
      </c>
      <c r="T238">
        <v>7.0000000000000007E-2</v>
      </c>
    </row>
    <row r="239" spans="1:20" x14ac:dyDescent="0.3">
      <c r="A239" t="s">
        <v>32</v>
      </c>
      <c r="B239">
        <v>2016</v>
      </c>
      <c r="C239">
        <v>414101.71879999997</v>
      </c>
      <c r="D239" s="1">
        <v>0</v>
      </c>
      <c r="E239" s="1">
        <v>0.91160827875137296</v>
      </c>
      <c r="F239" s="1">
        <v>-2.5000000000000001E-2</v>
      </c>
      <c r="G239" s="1">
        <f t="shared" si="6"/>
        <v>4.7999999999999994E-2</v>
      </c>
      <c r="H239" s="1" t="str">
        <f t="shared" si="7"/>
        <v/>
      </c>
      <c r="I239" s="1">
        <v>-4.0000000000000001E-3</v>
      </c>
      <c r="J239" s="1">
        <f>+D239-F239+I239*O239</f>
        <v>1.5800000000000002E-2</v>
      </c>
      <c r="K239" s="1">
        <v>2.84587778151035E-2</v>
      </c>
      <c r="L239" s="1">
        <f>+K239-J239</f>
        <v>1.2658777815103498E-2</v>
      </c>
      <c r="M239" s="1">
        <v>1.54587778151035E-2</v>
      </c>
      <c r="N239" s="1">
        <f>+M239-J239</f>
        <v>-3.4122218489650129E-4</v>
      </c>
      <c r="O239">
        <v>2.2999999999999998</v>
      </c>
      <c r="P239" t="s">
        <v>16</v>
      </c>
      <c r="Q239">
        <v>0</v>
      </c>
      <c r="R239">
        <v>3.3272036999464003E-2</v>
      </c>
      <c r="S239">
        <v>3.0482463538646701E-2</v>
      </c>
      <c r="T239">
        <v>-0.02</v>
      </c>
    </row>
    <row r="240" spans="1:20" x14ac:dyDescent="0.3">
      <c r="A240" t="s">
        <v>32</v>
      </c>
      <c r="B240">
        <v>2017</v>
      </c>
      <c r="C240">
        <v>414155.5</v>
      </c>
      <c r="D240" s="1">
        <v>0</v>
      </c>
      <c r="E240" s="1">
        <v>0.87499415874481201</v>
      </c>
      <c r="F240" s="1">
        <v>-1.6E-2</v>
      </c>
      <c r="G240" s="1">
        <f t="shared" si="6"/>
        <v>3.1999999999999994E-2</v>
      </c>
      <c r="H240" s="1" t="str">
        <f t="shared" si="7"/>
        <v/>
      </c>
      <c r="I240" s="1">
        <v>-3.6999999999999998E-2</v>
      </c>
      <c r="J240" s="1">
        <f>+D240-F240+I240*O240</f>
        <v>-6.7989999999999995E-2</v>
      </c>
      <c r="K240" s="1">
        <v>5.4272036999464E-2</v>
      </c>
      <c r="L240" s="1">
        <f>+K240-J240</f>
        <v>0.122262036999464</v>
      </c>
      <c r="M240" s="1">
        <v>3.3272036999464003E-2</v>
      </c>
      <c r="N240" s="1">
        <f>+M240-J240</f>
        <v>0.101262036999464</v>
      </c>
      <c r="O240">
        <v>2.27</v>
      </c>
      <c r="P240" t="s">
        <v>16</v>
      </c>
      <c r="Q240">
        <v>0.03</v>
      </c>
      <c r="R240">
        <v>-3.8698090016841902E-3</v>
      </c>
      <c r="S240">
        <v>-1.3004831969737901E-2</v>
      </c>
      <c r="T240">
        <v>-0.01</v>
      </c>
    </row>
    <row r="241" spans="1:20" x14ac:dyDescent="0.3">
      <c r="A241" t="s">
        <v>32</v>
      </c>
      <c r="B241">
        <v>2018</v>
      </c>
      <c r="C241">
        <v>410440</v>
      </c>
      <c r="D241" s="1">
        <v>0</v>
      </c>
      <c r="E241" s="1">
        <v>0.88110816478729204</v>
      </c>
      <c r="F241" s="1">
        <v>-1E-3</v>
      </c>
      <c r="G241" s="1">
        <f t="shared" si="6"/>
        <v>3.0999999999999993E-2</v>
      </c>
      <c r="H241" s="1" t="str">
        <f t="shared" si="7"/>
        <v/>
      </c>
      <c r="I241" s="1">
        <v>6.0000000000000001E-3</v>
      </c>
      <c r="J241" s="1">
        <f>+D241-F241+I241*O241</f>
        <v>1.456E-2</v>
      </c>
      <c r="K241" s="1">
        <v>2.0130190998315801E-2</v>
      </c>
      <c r="L241" s="1">
        <f>+K241-J241</f>
        <v>5.5701909983158007E-3</v>
      </c>
      <c r="M241" s="1">
        <v>-3.8698090016841902E-3</v>
      </c>
      <c r="N241" s="1">
        <f>+M241-J241</f>
        <v>-1.8429809001684189E-2</v>
      </c>
      <c r="O241">
        <v>2.2599999999999998</v>
      </c>
      <c r="P241" t="s">
        <v>17</v>
      </c>
      <c r="Q241">
        <v>-0.01</v>
      </c>
      <c r="R241">
        <v>1.18906378448009E-2</v>
      </c>
      <c r="S241">
        <v>-5.9105567634106003E-3</v>
      </c>
      <c r="T241">
        <v>0.01</v>
      </c>
    </row>
    <row r="242" spans="1:20" x14ac:dyDescent="0.3">
      <c r="A242" t="s">
        <v>32</v>
      </c>
      <c r="B242">
        <v>2019</v>
      </c>
      <c r="C242">
        <v>409984</v>
      </c>
      <c r="D242" s="1">
        <v>3.0000000000000001E-3</v>
      </c>
      <c r="E242" s="1">
        <v>0.88785505294799805</v>
      </c>
      <c r="F242" s="1">
        <v>3.5999999999999997E-2</v>
      </c>
      <c r="G242" s="1">
        <f t="shared" si="6"/>
        <v>6.699999999999999E-2</v>
      </c>
      <c r="H242" s="1" t="str">
        <f t="shared" si="7"/>
        <v/>
      </c>
      <c r="I242" s="1">
        <v>7.0000000000000001E-3</v>
      </c>
      <c r="J242" s="1">
        <f>+D242-F242+I242*O242</f>
        <v>-1.6619999999999996E-2</v>
      </c>
      <c r="K242" s="1">
        <v>2.9890637844800901E-2</v>
      </c>
      <c r="L242" s="1">
        <f>+K242-J242</f>
        <v>4.6510637844800896E-2</v>
      </c>
      <c r="M242" s="1">
        <v>1.18906378448009E-2</v>
      </c>
      <c r="N242" s="1">
        <f>+M242-J242</f>
        <v>2.8510637844800894E-2</v>
      </c>
      <c r="O242">
        <v>2.34</v>
      </c>
      <c r="P242" t="s">
        <v>15</v>
      </c>
      <c r="Q242">
        <v>-0.01</v>
      </c>
      <c r="R242">
        <v>-1.08371756626293E-2</v>
      </c>
      <c r="S242">
        <v>-2.96863660914823E-2</v>
      </c>
      <c r="T242">
        <v>0.04</v>
      </c>
    </row>
    <row r="243" spans="1:20" x14ac:dyDescent="0.3">
      <c r="A243" t="s">
        <v>32</v>
      </c>
      <c r="B243">
        <v>2020</v>
      </c>
      <c r="C243">
        <v>409027.59379999997</v>
      </c>
      <c r="D243" s="1">
        <v>2.1999999999999999E-2</v>
      </c>
      <c r="E243" s="1">
        <v>0.89026683568954501</v>
      </c>
      <c r="F243" s="1">
        <v>-7.0000000000000007E-2</v>
      </c>
      <c r="G243" s="1">
        <f t="shared" si="6"/>
        <v>-3.0000000000000165E-3</v>
      </c>
      <c r="H243" s="1" t="str">
        <f t="shared" si="7"/>
        <v/>
      </c>
      <c r="I243" s="1">
        <v>2E-3</v>
      </c>
      <c r="J243" s="1">
        <f>+D243-F243+I243*O243</f>
        <v>9.6360000000000001E-2</v>
      </c>
      <c r="K243" s="1">
        <v>1.16282433737069E-3</v>
      </c>
      <c r="L243" s="1">
        <f>+K243-J243</f>
        <v>-9.5197175662629308E-2</v>
      </c>
      <c r="M243" s="1">
        <v>-1.08371756626293E-2</v>
      </c>
      <c r="N243" s="1">
        <f>+M243-J243</f>
        <v>-0.1071971756626293</v>
      </c>
      <c r="O243">
        <v>2.1800000000000002</v>
      </c>
      <c r="P243" t="s">
        <v>17</v>
      </c>
      <c r="Q243">
        <v>-0.03</v>
      </c>
      <c r="R243">
        <v>4.6491048038005897E-3</v>
      </c>
      <c r="S243">
        <v>-3.8940507918596302E-2</v>
      </c>
      <c r="T243">
        <v>-0.03</v>
      </c>
    </row>
    <row r="244" spans="1:20" x14ac:dyDescent="0.3">
      <c r="A244" t="s">
        <v>32</v>
      </c>
      <c r="B244">
        <v>2021</v>
      </c>
      <c r="C244">
        <v>407556.21879999997</v>
      </c>
      <c r="D244" s="1">
        <v>1.2999999999999999E-2</v>
      </c>
      <c r="E244" s="1">
        <v>0.89242607355117798</v>
      </c>
      <c r="F244" s="1">
        <v>2.1000000000000001E-2</v>
      </c>
      <c r="G244" s="1">
        <f t="shared" si="6"/>
        <v>1.7999999999999985E-2</v>
      </c>
      <c r="H244" s="1" t="str">
        <f t="shared" si="7"/>
        <v/>
      </c>
      <c r="I244" s="1">
        <v>2E-3</v>
      </c>
      <c r="J244" s="1">
        <f>+D244-F244+I244*O244</f>
        <v>-3.5400000000000015E-3</v>
      </c>
      <c r="K244" s="1">
        <v>5.1649104803800597E-2</v>
      </c>
      <c r="L244" s="1">
        <f>+K244-J244</f>
        <v>5.5189104803800598E-2</v>
      </c>
      <c r="M244" s="1">
        <v>4.6491048038005897E-3</v>
      </c>
      <c r="N244" s="1">
        <f>+M244-J244</f>
        <v>8.1891048038005912E-3</v>
      </c>
      <c r="O244">
        <v>2.23</v>
      </c>
      <c r="P244" t="s">
        <v>15</v>
      </c>
      <c r="Q244">
        <v>-0.04</v>
      </c>
      <c r="R244">
        <v>-4.56432829797268E-2</v>
      </c>
      <c r="S244">
        <v>-1.35397762060164E-2</v>
      </c>
      <c r="T244">
        <v>-0.01</v>
      </c>
    </row>
    <row r="245" spans="1:20" x14ac:dyDescent="0.3">
      <c r="A245" t="s">
        <v>32</v>
      </c>
      <c r="B245">
        <v>2022</v>
      </c>
      <c r="C245">
        <v>407656.71879999997</v>
      </c>
      <c r="D245" s="1">
        <v>3.5000000000000003E-2</v>
      </c>
      <c r="E245" s="1">
        <v>0.87179940938949596</v>
      </c>
      <c r="F245" s="1">
        <v>9.9000000000000005E-2</v>
      </c>
      <c r="G245" s="1">
        <f t="shared" si="6"/>
        <v>0.11699999999999999</v>
      </c>
      <c r="H245" s="1" t="str">
        <f t="shared" si="7"/>
        <v/>
      </c>
      <c r="I245" s="1">
        <v>-2.1000000000000001E-2</v>
      </c>
      <c r="J245" s="1">
        <f>+D245-F245+I245*O245</f>
        <v>-0.11545000000000001</v>
      </c>
      <c r="K245" s="1">
        <v>3.4356717020273202E-2</v>
      </c>
      <c r="L245" s="1">
        <f>+K245-J245</f>
        <v>0.14980671702027321</v>
      </c>
      <c r="M245" s="1">
        <v>-4.56432829797268E-2</v>
      </c>
      <c r="N245" s="1">
        <f>+M245-J245</f>
        <v>6.9806717020273218E-2</v>
      </c>
      <c r="O245">
        <v>2.4500000000000002</v>
      </c>
      <c r="P245" t="s">
        <v>17</v>
      </c>
      <c r="Q245">
        <v>-0.01</v>
      </c>
      <c r="R245">
        <v>7.0498969554900898E-3</v>
      </c>
      <c r="S245">
        <v>2.6608824729919399E-2</v>
      </c>
      <c r="T245">
        <v>0.11</v>
      </c>
    </row>
    <row r="246" spans="1:20" x14ac:dyDescent="0.3">
      <c r="A246" t="s">
        <v>33</v>
      </c>
      <c r="B246">
        <v>2006</v>
      </c>
      <c r="C246">
        <v>252427</v>
      </c>
      <c r="D246" s="1">
        <v>0</v>
      </c>
      <c r="E246" s="1">
        <v>0.94425231218338002</v>
      </c>
      <c r="F246" s="1">
        <v>0.03</v>
      </c>
      <c r="G246" s="1">
        <f t="shared" si="6"/>
        <v>0.03</v>
      </c>
      <c r="H246" s="1" t="str">
        <f t="shared" si="7"/>
        <v/>
      </c>
      <c r="I246" s="1">
        <v>6.0000000000000001E-3</v>
      </c>
      <c r="J246" s="1">
        <f>+D246-F246+I246*O246</f>
        <v>-1.8239999999999999E-2</v>
      </c>
      <c r="K246" s="1">
        <v>3.2375045120716102E-2</v>
      </c>
      <c r="L246" s="1">
        <f>+K246-J246</f>
        <v>5.0615045120716101E-2</v>
      </c>
      <c r="M246" s="1">
        <v>3.7504512071610103E-4</v>
      </c>
      <c r="N246" s="1">
        <f>+M246-J246</f>
        <v>1.8615045120716101E-2</v>
      </c>
      <c r="O246">
        <v>1.96</v>
      </c>
      <c r="P246" t="s">
        <v>15</v>
      </c>
      <c r="Q246">
        <v>-0.01</v>
      </c>
      <c r="R246">
        <v>3.4193350970744998E-3</v>
      </c>
      <c r="S246">
        <v>4.3410910293459996E-3</v>
      </c>
      <c r="T246">
        <v>0.03</v>
      </c>
    </row>
    <row r="247" spans="1:20" x14ac:dyDescent="0.3">
      <c r="A247" t="s">
        <v>33</v>
      </c>
      <c r="B247">
        <v>2007</v>
      </c>
      <c r="C247">
        <v>252461.5938</v>
      </c>
      <c r="D247" s="1">
        <v>1E-3</v>
      </c>
      <c r="E247" s="1">
        <v>0.94291114807128895</v>
      </c>
      <c r="F247" s="1">
        <v>3.2000000000000001E-2</v>
      </c>
      <c r="G247" s="1">
        <f t="shared" si="6"/>
        <v>6.2E-2</v>
      </c>
      <c r="H247" s="1" t="str">
        <f t="shared" si="7"/>
        <v/>
      </c>
      <c r="I247" s="1">
        <v>-1E-3</v>
      </c>
      <c r="J247" s="1">
        <f>+D247-F247+I247*O247</f>
        <v>-3.3029999999999997E-2</v>
      </c>
      <c r="K247" s="1">
        <v>3.2419335097074502E-2</v>
      </c>
      <c r="L247" s="1">
        <f>+K247-J247</f>
        <v>6.5449335097074499E-2</v>
      </c>
      <c r="M247" s="1">
        <v>3.4193350970744998E-3</v>
      </c>
      <c r="N247" s="1">
        <f>+M247-J247</f>
        <v>3.6449335097074494E-2</v>
      </c>
      <c r="O247">
        <v>2.0299999999999998</v>
      </c>
      <c r="P247" t="s">
        <v>17</v>
      </c>
      <c r="Q247">
        <v>0</v>
      </c>
      <c r="R247">
        <v>-3.0697911337018002E-2</v>
      </c>
      <c r="S247">
        <v>-1.1871070601046001E-3</v>
      </c>
      <c r="T247">
        <v>0.03</v>
      </c>
    </row>
    <row r="248" spans="1:20" x14ac:dyDescent="0.3">
      <c r="A248" t="s">
        <v>33</v>
      </c>
      <c r="B248">
        <v>2008</v>
      </c>
      <c r="C248">
        <v>252448.70310000001</v>
      </c>
      <c r="D248" s="1">
        <v>0</v>
      </c>
      <c r="E248" s="1">
        <v>0.94226413965225198</v>
      </c>
      <c r="F248" s="1">
        <v>-0.03</v>
      </c>
      <c r="G248" s="1">
        <f t="shared" si="6"/>
        <v>3.2000000000000001E-2</v>
      </c>
      <c r="H248" s="1" t="str">
        <f t="shared" si="7"/>
        <v/>
      </c>
      <c r="I248" s="1">
        <v>-1E-3</v>
      </c>
      <c r="J248" s="1">
        <f>+D248-F248+I248*O248</f>
        <v>2.8029999999999999E-2</v>
      </c>
      <c r="K248" s="1">
        <v>7.3020886629819896E-3</v>
      </c>
      <c r="L248" s="1">
        <f>+K248-J248</f>
        <v>-2.0727911337018009E-2</v>
      </c>
      <c r="M248" s="1">
        <v>-3.0697911337018002E-2</v>
      </c>
      <c r="N248" s="1">
        <f>+M248-J248</f>
        <v>-5.8727911337018004E-2</v>
      </c>
      <c r="O248">
        <v>1.97</v>
      </c>
      <c r="P248" t="s">
        <v>16</v>
      </c>
      <c r="Q248">
        <v>0</v>
      </c>
      <c r="R248">
        <v>-2.60510656088591E-2</v>
      </c>
      <c r="S248">
        <v>5.1563605666155E-4</v>
      </c>
      <c r="T248">
        <v>-0.03</v>
      </c>
    </row>
    <row r="249" spans="1:20" x14ac:dyDescent="0.3">
      <c r="A249" t="s">
        <v>33</v>
      </c>
      <c r="B249">
        <v>2009</v>
      </c>
      <c r="C249">
        <v>252074.0938</v>
      </c>
      <c r="D249" s="1">
        <v>0</v>
      </c>
      <c r="E249" s="1">
        <v>0.94276583194732699</v>
      </c>
      <c r="F249" s="1">
        <v>4.2000000000000003E-2</v>
      </c>
      <c r="G249" s="1">
        <f t="shared" si="6"/>
        <v>7.400000000000001E-2</v>
      </c>
      <c r="H249" s="1" t="str">
        <f t="shared" si="7"/>
        <v/>
      </c>
      <c r="I249" s="1">
        <v>1E-3</v>
      </c>
      <c r="J249" s="1">
        <f>+D249-F249+I249*O249</f>
        <v>-3.9949999999999999E-2</v>
      </c>
      <c r="K249" s="1">
        <v>-3.00510656088591E-2</v>
      </c>
      <c r="L249" s="1">
        <f>+K249-J249</f>
        <v>9.898934391140899E-3</v>
      </c>
      <c r="M249" s="1">
        <v>-2.60510656088591E-2</v>
      </c>
      <c r="N249" s="1">
        <f>+M249-J249</f>
        <v>1.3898934391140899E-2</v>
      </c>
      <c r="O249">
        <v>2.0499999999999998</v>
      </c>
      <c r="P249" t="s">
        <v>15</v>
      </c>
      <c r="Q249">
        <v>0</v>
      </c>
      <c r="R249">
        <v>9.7847372293499699E-5</v>
      </c>
      <c r="S249">
        <v>9.5579561311751795E-3</v>
      </c>
      <c r="T249">
        <v>0.02</v>
      </c>
    </row>
    <row r="250" spans="1:20" x14ac:dyDescent="0.3">
      <c r="A250" t="s">
        <v>33</v>
      </c>
      <c r="B250">
        <v>2010</v>
      </c>
      <c r="C250">
        <v>251653.3125</v>
      </c>
      <c r="D250" s="1">
        <v>2E-3</v>
      </c>
      <c r="E250" s="1">
        <v>0.94253849983215299</v>
      </c>
      <c r="F250" s="1">
        <v>6.5000000000000002E-2</v>
      </c>
      <c r="G250" s="1">
        <f t="shared" si="6"/>
        <v>0.13900000000000001</v>
      </c>
      <c r="H250" s="1">
        <f t="shared" si="7"/>
        <v>6.5050979610532548E-3</v>
      </c>
      <c r="I250" s="1">
        <v>0</v>
      </c>
      <c r="J250" s="1">
        <f>+D250-F250+I250*O250</f>
        <v>-6.3E-2</v>
      </c>
      <c r="K250" s="1">
        <v>1.60978473722935E-2</v>
      </c>
      <c r="L250" s="1">
        <f>+K250-J250</f>
        <v>7.90978473722935E-2</v>
      </c>
      <c r="M250" s="1">
        <v>9.7847372293499699E-5</v>
      </c>
      <c r="N250" s="1">
        <f>+M250-J250</f>
        <v>6.30978473722935E-2</v>
      </c>
      <c r="O250">
        <v>2.1800000000000002</v>
      </c>
      <c r="P250" t="s">
        <v>17</v>
      </c>
      <c r="Q250">
        <v>0.01</v>
      </c>
      <c r="R250">
        <v>-2.4505189497023801E-2</v>
      </c>
      <c r="S250">
        <v>-3.22141498327252E-3</v>
      </c>
      <c r="T250">
        <v>0.06</v>
      </c>
    </row>
    <row r="251" spans="1:20" x14ac:dyDescent="0.3">
      <c r="A251" t="s">
        <v>33</v>
      </c>
      <c r="B251">
        <v>2011</v>
      </c>
      <c r="C251">
        <v>251312.39060000001</v>
      </c>
      <c r="D251" s="1">
        <v>0</v>
      </c>
      <c r="E251" s="1">
        <v>0.94513255357742298</v>
      </c>
      <c r="F251" s="1">
        <v>-6.8000000000000005E-2</v>
      </c>
      <c r="G251" s="1">
        <f t="shared" si="6"/>
        <v>7.1000000000000008E-2</v>
      </c>
      <c r="H251" s="1" t="str">
        <f t="shared" si="7"/>
        <v/>
      </c>
      <c r="I251" s="1">
        <v>3.0000000000000001E-3</v>
      </c>
      <c r="J251" s="1">
        <f>+D251-F251+I251*O251</f>
        <v>7.4090000000000003E-2</v>
      </c>
      <c r="K251" s="1">
        <v>7.49481050297618E-3</v>
      </c>
      <c r="L251" s="1">
        <f>+K251-J251</f>
        <v>-6.6595189497023824E-2</v>
      </c>
      <c r="M251" s="1">
        <v>-2.4505189497023801E-2</v>
      </c>
      <c r="N251" s="1">
        <f>+M251-J251</f>
        <v>-9.8595189497023811E-2</v>
      </c>
      <c r="O251">
        <v>2.0299999999999998</v>
      </c>
      <c r="P251" t="s">
        <v>17</v>
      </c>
      <c r="Q251">
        <v>0</v>
      </c>
      <c r="R251">
        <v>-1.54846145808696E-2</v>
      </c>
      <c r="S251">
        <v>-1.0046408511698199E-2</v>
      </c>
      <c r="T251">
        <v>-7.0000000000000007E-2</v>
      </c>
    </row>
    <row r="252" spans="1:20" x14ac:dyDescent="0.3">
      <c r="A252" t="s">
        <v>33</v>
      </c>
      <c r="B252">
        <v>2012</v>
      </c>
      <c r="C252">
        <v>251091.9063</v>
      </c>
      <c r="D252" s="1">
        <v>0</v>
      </c>
      <c r="E252" s="1">
        <v>0.94749015569686901</v>
      </c>
      <c r="F252" s="1">
        <v>3.2000000000000001E-2</v>
      </c>
      <c r="G252" s="1">
        <f t="shared" si="6"/>
        <v>0.10300000000000001</v>
      </c>
      <c r="H252" s="1" t="str">
        <f t="shared" si="7"/>
        <v/>
      </c>
      <c r="I252" s="1">
        <v>2E-3</v>
      </c>
      <c r="J252" s="1">
        <f>+D252-F252+I252*O252</f>
        <v>-2.7799999999999998E-2</v>
      </c>
      <c r="K252" s="1">
        <v>5.5153854191303297E-3</v>
      </c>
      <c r="L252" s="1">
        <f>+K252-J252</f>
        <v>3.3315385419130331E-2</v>
      </c>
      <c r="M252" s="1">
        <v>-1.54846145808696E-2</v>
      </c>
      <c r="N252" s="1">
        <f>+M252-J252</f>
        <v>1.2315385419130399E-2</v>
      </c>
      <c r="O252">
        <v>2.1</v>
      </c>
      <c r="P252" t="s">
        <v>15</v>
      </c>
      <c r="Q252">
        <v>-0.01</v>
      </c>
      <c r="R252">
        <v>-4.3961222842335904E-3</v>
      </c>
      <c r="S252">
        <v>-1.0522893629968199E-2</v>
      </c>
      <c r="T252">
        <v>0.03</v>
      </c>
    </row>
    <row r="253" spans="1:20" x14ac:dyDescent="0.3">
      <c r="A253" t="s">
        <v>33</v>
      </c>
      <c r="B253">
        <v>2013</v>
      </c>
      <c r="C253">
        <v>251070.6875</v>
      </c>
      <c r="D253" s="1">
        <v>0</v>
      </c>
      <c r="E253" s="1">
        <v>0.949990093708038</v>
      </c>
      <c r="F253" s="1">
        <v>1E-3</v>
      </c>
      <c r="G253" s="1">
        <f t="shared" si="6"/>
        <v>0.10400000000000001</v>
      </c>
      <c r="H253" s="1" t="str">
        <f t="shared" si="7"/>
        <v/>
      </c>
      <c r="I253" s="1">
        <v>2E-3</v>
      </c>
      <c r="J253" s="1">
        <f>+D253-F253+I253*O253</f>
        <v>3.2000000000000006E-3</v>
      </c>
      <c r="K253" s="1">
        <v>1.06038777157664E-2</v>
      </c>
      <c r="L253" s="1">
        <f>+K253-J253</f>
        <v>7.4038777157663998E-3</v>
      </c>
      <c r="M253" s="1">
        <v>-4.3961222842335904E-3</v>
      </c>
      <c r="N253" s="1">
        <f>+M253-J253</f>
        <v>-7.5961222842335909E-3</v>
      </c>
      <c r="O253">
        <v>2.1</v>
      </c>
      <c r="P253" t="s">
        <v>15</v>
      </c>
      <c r="Q253">
        <v>-0.01</v>
      </c>
      <c r="R253">
        <v>-5.4639663398265998E-3</v>
      </c>
      <c r="S253">
        <v>-7.4719898402691E-3</v>
      </c>
      <c r="T253">
        <v>-0.01</v>
      </c>
    </row>
    <row r="254" spans="1:20" x14ac:dyDescent="0.3">
      <c r="A254" t="s">
        <v>33</v>
      </c>
      <c r="B254">
        <v>2014</v>
      </c>
      <c r="C254">
        <v>250880</v>
      </c>
      <c r="D254" s="1">
        <v>0</v>
      </c>
      <c r="E254" s="1">
        <v>0.95105236768722501</v>
      </c>
      <c r="F254" s="1">
        <v>8.9999999999999993E-3</v>
      </c>
      <c r="G254" s="1">
        <f t="shared" si="6"/>
        <v>0.113</v>
      </c>
      <c r="H254" s="1" t="str">
        <f t="shared" si="7"/>
        <v/>
      </c>
      <c r="I254" s="1">
        <v>1E-3</v>
      </c>
      <c r="J254" s="1">
        <f>+D254-F254+I254*O254</f>
        <v>-6.879999999999999E-3</v>
      </c>
      <c r="K254" s="1">
        <v>1.0536033660173401E-2</v>
      </c>
      <c r="L254" s="1">
        <f>+K254-J254</f>
        <v>1.7416033660173399E-2</v>
      </c>
      <c r="M254" s="1">
        <v>-5.4639663398265998E-3</v>
      </c>
      <c r="N254" s="1">
        <f>+M254-J254</f>
        <v>1.4160336601733992E-3</v>
      </c>
      <c r="O254">
        <v>2.12</v>
      </c>
      <c r="P254" t="s">
        <v>15</v>
      </c>
      <c r="Q254">
        <v>-0.01</v>
      </c>
      <c r="R254">
        <v>1.9537909120321301E-2</v>
      </c>
      <c r="S254">
        <v>-1.07255429029463E-2</v>
      </c>
      <c r="T254">
        <v>0</v>
      </c>
    </row>
    <row r="255" spans="1:20" x14ac:dyDescent="0.3">
      <c r="A255" t="s">
        <v>33</v>
      </c>
      <c r="B255">
        <v>2015</v>
      </c>
      <c r="C255">
        <v>249969.79689999999</v>
      </c>
      <c r="D255" s="1">
        <v>4.0000000000000001E-3</v>
      </c>
      <c r="E255" s="1">
        <v>0.94890671968460105</v>
      </c>
      <c r="F255" s="1">
        <v>-3.3000000000000002E-2</v>
      </c>
      <c r="G255" s="1">
        <f t="shared" si="6"/>
        <v>0.08</v>
      </c>
      <c r="H255" s="1" t="str">
        <f t="shared" si="7"/>
        <v/>
      </c>
      <c r="I255" s="1">
        <v>-2E-3</v>
      </c>
      <c r="J255" s="1">
        <f>+D255-F255+I255*O255</f>
        <v>3.2900000000000006E-2</v>
      </c>
      <c r="K255" s="1">
        <v>2.0537909120321302E-2</v>
      </c>
      <c r="L255" s="1">
        <f>+K255-J255</f>
        <v>-1.2362090879678704E-2</v>
      </c>
      <c r="M255" s="1">
        <v>1.9537909120321301E-2</v>
      </c>
      <c r="N255" s="1">
        <f>+M255-J255</f>
        <v>-1.3362090879678705E-2</v>
      </c>
      <c r="O255">
        <v>2.0499999999999998</v>
      </c>
      <c r="P255" t="s">
        <v>16</v>
      </c>
      <c r="Q255">
        <v>-0.01</v>
      </c>
      <c r="R255">
        <v>3.2644479423760901E-3</v>
      </c>
      <c r="S255">
        <v>-9.8891090601682993E-3</v>
      </c>
      <c r="T255">
        <v>-0.02</v>
      </c>
    </row>
    <row r="256" spans="1:20" x14ac:dyDescent="0.3">
      <c r="A256" t="s">
        <v>33</v>
      </c>
      <c r="B256">
        <v>2016</v>
      </c>
      <c r="C256">
        <v>249078.4063</v>
      </c>
      <c r="D256" s="1">
        <v>-3.0000000000000001E-3</v>
      </c>
      <c r="E256" s="1">
        <v>0.95611733198165905</v>
      </c>
      <c r="F256" s="1">
        <v>0.05</v>
      </c>
      <c r="G256" s="1">
        <f t="shared" si="6"/>
        <v>0.13</v>
      </c>
      <c r="H256" s="1">
        <f t="shared" si="7"/>
        <v>1.3536640908569101E-2</v>
      </c>
      <c r="I256" s="1">
        <v>7.0000000000000001E-3</v>
      </c>
      <c r="J256" s="1">
        <f>+D256-F256+I256*O256</f>
        <v>-3.7950000000000005E-2</v>
      </c>
      <c r="K256" s="1">
        <v>1.6264447942376099E-2</v>
      </c>
      <c r="L256" s="1">
        <f>+K256-J256</f>
        <v>5.4214447942376107E-2</v>
      </c>
      <c r="M256" s="1">
        <v>3.2644479423760901E-3</v>
      </c>
      <c r="N256" s="1">
        <f>+M256-J256</f>
        <v>4.1214447942376095E-2</v>
      </c>
      <c r="O256">
        <v>2.15</v>
      </c>
      <c r="P256" t="s">
        <v>15</v>
      </c>
      <c r="Q256">
        <v>-0.01</v>
      </c>
      <c r="R256">
        <v>-6.4766186326742003E-3</v>
      </c>
      <c r="S256">
        <v>-9.2661920934914901E-3</v>
      </c>
      <c r="T256">
        <v>0.05</v>
      </c>
    </row>
    <row r="257" spans="1:20" x14ac:dyDescent="0.3">
      <c r="A257" t="s">
        <v>33</v>
      </c>
      <c r="B257">
        <v>2017</v>
      </c>
      <c r="C257">
        <v>248560.8125</v>
      </c>
      <c r="D257" s="1">
        <v>0</v>
      </c>
      <c r="E257" s="1">
        <v>0.95067286491393999</v>
      </c>
      <c r="F257" s="1">
        <v>-8.4000000000000005E-2</v>
      </c>
      <c r="G257" s="1">
        <f t="shared" si="6"/>
        <v>4.5999999999999999E-2</v>
      </c>
      <c r="H257" s="1" t="str">
        <f t="shared" si="7"/>
        <v/>
      </c>
      <c r="I257" s="1">
        <v>-5.0000000000000001E-3</v>
      </c>
      <c r="J257" s="1">
        <f>+D257-F257+I257*O257</f>
        <v>7.4150000000000008E-2</v>
      </c>
      <c r="K257" s="1">
        <v>1.45233813673258E-2</v>
      </c>
      <c r="L257" s="1">
        <f>+K257-J257</f>
        <v>-5.9626618632674211E-2</v>
      </c>
      <c r="M257" s="1">
        <v>-6.4766186326742003E-3</v>
      </c>
      <c r="N257" s="1">
        <f>+M257-J257</f>
        <v>-8.0626618632674202E-2</v>
      </c>
      <c r="O257">
        <v>1.97</v>
      </c>
      <c r="P257" t="s">
        <v>16</v>
      </c>
      <c r="Q257">
        <v>-0.01</v>
      </c>
      <c r="R257">
        <v>-1.14500995501876E-2</v>
      </c>
      <c r="S257">
        <v>-2.0585122518241399E-2</v>
      </c>
      <c r="T257">
        <v>-0.08</v>
      </c>
    </row>
    <row r="258" spans="1:20" x14ac:dyDescent="0.3">
      <c r="A258" t="s">
        <v>33</v>
      </c>
      <c r="B258">
        <v>2018</v>
      </c>
      <c r="C258">
        <v>248150.5</v>
      </c>
      <c r="D258" s="1">
        <v>1.4E-2</v>
      </c>
      <c r="E258" s="1">
        <v>0.95918387174606301</v>
      </c>
      <c r="F258" s="1">
        <v>-2.3E-2</v>
      </c>
      <c r="G258" s="1">
        <f t="shared" si="6"/>
        <v>2.3E-2</v>
      </c>
      <c r="H258" s="1" t="str">
        <f t="shared" si="7"/>
        <v/>
      </c>
      <c r="I258" s="1">
        <v>8.9999999999999993E-3</v>
      </c>
      <c r="J258" s="1">
        <f>+D258-F258+I258*O258</f>
        <v>5.4279999999999995E-2</v>
      </c>
      <c r="K258" s="1">
        <v>1.25499004498124E-2</v>
      </c>
      <c r="L258" s="1">
        <f>+K258-J258</f>
        <v>-4.1730099550187597E-2</v>
      </c>
      <c r="M258" s="1">
        <v>-1.14500995501876E-2</v>
      </c>
      <c r="N258" s="1">
        <f>+M258-J258</f>
        <v>-6.573009955018759E-2</v>
      </c>
      <c r="O258">
        <v>1.92</v>
      </c>
      <c r="P258" t="s">
        <v>17</v>
      </c>
      <c r="Q258">
        <v>-0.02</v>
      </c>
      <c r="R258">
        <v>3.0684332996607001E-3</v>
      </c>
      <c r="S258">
        <v>-1.47327613085508E-2</v>
      </c>
      <c r="T258">
        <v>-0.01</v>
      </c>
    </row>
    <row r="259" spans="1:20" x14ac:dyDescent="0.3">
      <c r="A259" t="s">
        <v>33</v>
      </c>
      <c r="B259">
        <v>2019</v>
      </c>
      <c r="C259">
        <v>247385.29689999999</v>
      </c>
      <c r="D259" s="1">
        <v>3.2000000000000001E-2</v>
      </c>
      <c r="E259" s="1">
        <v>0.96745896339416504</v>
      </c>
      <c r="F259" s="1">
        <v>3.3000000000000002E-2</v>
      </c>
      <c r="G259" s="1">
        <f t="shared" si="6"/>
        <v>5.6000000000000001E-2</v>
      </c>
      <c r="H259" s="1" t="str">
        <f t="shared" si="7"/>
        <v/>
      </c>
      <c r="I259" s="1">
        <v>8.0000000000000002E-3</v>
      </c>
      <c r="J259" s="1">
        <f>+D259-F259+I259*O259</f>
        <v>1.4919999999999999E-2</v>
      </c>
      <c r="K259" s="1">
        <v>2.10684332996607E-2</v>
      </c>
      <c r="L259" s="1">
        <f>+K259-J259</f>
        <v>6.1484332996607008E-3</v>
      </c>
      <c r="M259" s="1">
        <v>3.0684332996607001E-3</v>
      </c>
      <c r="N259" s="1">
        <f>+M259-J259</f>
        <v>-1.18515667003393E-2</v>
      </c>
      <c r="O259">
        <v>1.99</v>
      </c>
      <c r="P259" t="s">
        <v>15</v>
      </c>
      <c r="Q259">
        <v>-0.01</v>
      </c>
      <c r="R259">
        <v>5.8741756826638999E-3</v>
      </c>
      <c r="S259">
        <v>-1.29750147461891E-2</v>
      </c>
      <c r="T259">
        <v>0.04</v>
      </c>
    </row>
    <row r="260" spans="1:20" x14ac:dyDescent="0.3">
      <c r="A260" t="s">
        <v>33</v>
      </c>
      <c r="B260">
        <v>2020</v>
      </c>
      <c r="C260">
        <v>246558.20310000001</v>
      </c>
      <c r="D260" s="1">
        <v>8.9999999999999993E-3</v>
      </c>
      <c r="E260" s="1">
        <v>0.971233010292053</v>
      </c>
      <c r="F260" s="1">
        <v>-2.8000000000000001E-2</v>
      </c>
      <c r="G260" s="1">
        <f t="shared" si="6"/>
        <v>2.8000000000000001E-2</v>
      </c>
      <c r="H260" s="1" t="str">
        <f t="shared" si="7"/>
        <v/>
      </c>
      <c r="I260" s="1">
        <v>4.0000000000000001E-3</v>
      </c>
      <c r="J260" s="1">
        <f>+D260-F260+I260*O260</f>
        <v>4.4719999999999996E-2</v>
      </c>
      <c r="K260" s="1">
        <v>1.78741756826639E-2</v>
      </c>
      <c r="L260" s="1">
        <f>+K260-J260</f>
        <v>-2.6845824317336096E-2</v>
      </c>
      <c r="M260" s="1">
        <v>5.8741756826638999E-3</v>
      </c>
      <c r="N260" s="1">
        <f>+M260-J260</f>
        <v>-3.8845824317336096E-2</v>
      </c>
      <c r="O260">
        <v>1.93</v>
      </c>
      <c r="P260" t="s">
        <v>17</v>
      </c>
      <c r="Q260">
        <v>-0.01</v>
      </c>
      <c r="R260">
        <v>6.9817739725110096E-4</v>
      </c>
      <c r="S260">
        <v>-4.2891435325145798E-2</v>
      </c>
      <c r="T260">
        <v>0.01</v>
      </c>
    </row>
    <row r="261" spans="1:20" x14ac:dyDescent="0.3">
      <c r="A261" t="s">
        <v>34</v>
      </c>
      <c r="B261">
        <v>2006</v>
      </c>
      <c r="C261">
        <v>1100865</v>
      </c>
      <c r="D261" s="1">
        <v>4.0000000000000001E-3</v>
      </c>
      <c r="E261" s="1">
        <v>0.91405725479125999</v>
      </c>
      <c r="F261" s="1">
        <v>-3.7999999999999999E-2</v>
      </c>
      <c r="G261" s="1">
        <f t="shared" si="6"/>
        <v>-3.7999999999999999E-2</v>
      </c>
      <c r="H261" s="1" t="str">
        <f t="shared" si="7"/>
        <v/>
      </c>
      <c r="I261" s="1">
        <v>-7.0000000000000001E-3</v>
      </c>
      <c r="J261" s="1">
        <f>+D261-F261+I261*O261</f>
        <v>2.6529999999999998E-2</v>
      </c>
      <c r="K261" s="1">
        <v>6.1463214457035099E-2</v>
      </c>
      <c r="L261" s="1">
        <f>+K261-J261</f>
        <v>3.4933214457035101E-2</v>
      </c>
      <c r="M261" s="1">
        <v>2.9463214457035099E-2</v>
      </c>
      <c r="N261" s="1">
        <f>+M261-J261</f>
        <v>2.9332144570351007E-3</v>
      </c>
      <c r="O261">
        <v>2.21</v>
      </c>
      <c r="P261" t="s">
        <v>16</v>
      </c>
      <c r="Q261">
        <v>0.02</v>
      </c>
      <c r="R261">
        <v>-4.6018873304129E-3</v>
      </c>
      <c r="S261">
        <v>-3.6801313981413902E-3</v>
      </c>
      <c r="T261">
        <v>-0.04</v>
      </c>
    </row>
    <row r="262" spans="1:20" x14ac:dyDescent="0.3">
      <c r="A262" t="s">
        <v>34</v>
      </c>
      <c r="B262">
        <v>2007</v>
      </c>
      <c r="C262">
        <v>1109710</v>
      </c>
      <c r="D262" s="1">
        <v>0.03</v>
      </c>
      <c r="E262" s="1">
        <v>0.90303713083267201</v>
      </c>
      <c r="F262" s="1">
        <v>1E-3</v>
      </c>
      <c r="G262" s="1">
        <f t="shared" si="6"/>
        <v>-3.6999999999999998E-2</v>
      </c>
      <c r="H262" s="1" t="str">
        <f t="shared" si="7"/>
        <v/>
      </c>
      <c r="I262" s="1">
        <v>-1.0999999999999999E-2</v>
      </c>
      <c r="J262" s="1">
        <f>+D262-F262+I262*O262</f>
        <v>4.6899999999999997E-3</v>
      </c>
      <c r="K262" s="1">
        <v>2.4398112669587101E-2</v>
      </c>
      <c r="L262" s="1">
        <f>+K262-J262</f>
        <v>1.9708112669587101E-2</v>
      </c>
      <c r="M262" s="1">
        <v>-4.6018873304129E-3</v>
      </c>
      <c r="N262" s="1">
        <f>+M262-J262</f>
        <v>-9.2918873304129006E-3</v>
      </c>
      <c r="O262">
        <v>2.21</v>
      </c>
      <c r="P262" t="s">
        <v>17</v>
      </c>
      <c r="Q262">
        <v>0</v>
      </c>
      <c r="R262">
        <v>-5.1956232927739598E-2</v>
      </c>
      <c r="S262">
        <v>-2.2445428650826101E-2</v>
      </c>
      <c r="T262">
        <v>0</v>
      </c>
    </row>
    <row r="263" spans="1:20" x14ac:dyDescent="0.3">
      <c r="A263" t="s">
        <v>34</v>
      </c>
      <c r="B263">
        <v>2008</v>
      </c>
      <c r="C263">
        <v>1119191</v>
      </c>
      <c r="D263" s="1">
        <v>2E-3</v>
      </c>
      <c r="E263" s="1">
        <v>0.90070617198944103</v>
      </c>
      <c r="F263" s="1">
        <v>1.0999999999999999E-2</v>
      </c>
      <c r="G263" s="1">
        <f t="shared" ref="G263:G326" si="8">SUMIFS(F:F,A:A,A263,B:B,"&lt;="&amp;B263)</f>
        <v>-2.5999999999999999E-2</v>
      </c>
      <c r="H263" s="1" t="str">
        <f t="shared" ref="H263:H326" si="9">IFERROR(IF(ABS(G263)&gt;0.12,AVERAGEIFS(K:K,A:A,A263,B:B,"&gt;"&amp;B263,B:B,"&lt;"&amp;B263+3),""),"")</f>
        <v/>
      </c>
      <c r="I263" s="1">
        <v>-2E-3</v>
      </c>
      <c r="J263" s="1">
        <f>+D263-F263+I263*O263</f>
        <v>-1.346E-2</v>
      </c>
      <c r="K263" s="1">
        <v>-1.3956232927739599E-2</v>
      </c>
      <c r="L263" s="1">
        <f>+K263-J263</f>
        <v>-4.9623292773959965E-4</v>
      </c>
      <c r="M263" s="1">
        <v>-5.1956232927739598E-2</v>
      </c>
      <c r="N263" s="1">
        <f>+M263-J263</f>
        <v>-3.8496232927739599E-2</v>
      </c>
      <c r="O263">
        <v>2.23</v>
      </c>
      <c r="P263" t="s">
        <v>17</v>
      </c>
      <c r="Q263">
        <v>-0.02</v>
      </c>
      <c r="R263">
        <v>-2.79386832416058E-2</v>
      </c>
      <c r="S263">
        <v>-1.3719815760851401E-3</v>
      </c>
      <c r="T263">
        <v>0.01</v>
      </c>
    </row>
    <row r="264" spans="1:20" x14ac:dyDescent="0.3">
      <c r="A264" t="s">
        <v>34</v>
      </c>
      <c r="B264">
        <v>2009</v>
      </c>
      <c r="C264">
        <v>1126366</v>
      </c>
      <c r="D264" s="1">
        <v>1.0999999999999999E-2</v>
      </c>
      <c r="E264" s="1">
        <v>0.90403270721435502</v>
      </c>
      <c r="F264" s="1">
        <v>1.7999999999999999E-2</v>
      </c>
      <c r="G264" s="1">
        <f t="shared" si="8"/>
        <v>-8.0000000000000002E-3</v>
      </c>
      <c r="H264" s="1" t="str">
        <f t="shared" si="9"/>
        <v/>
      </c>
      <c r="I264" s="1">
        <v>3.0000000000000001E-3</v>
      </c>
      <c r="J264" s="1">
        <f>+D264-F264+I264*O264</f>
        <v>-1.5999999999999955E-4</v>
      </c>
      <c r="K264" s="1">
        <v>-3.19386832416058E-2</v>
      </c>
      <c r="L264" s="1">
        <f>+K264-J264</f>
        <v>-3.17786832416058E-2</v>
      </c>
      <c r="M264" s="1">
        <v>-2.79386832416058E-2</v>
      </c>
      <c r="N264" s="1">
        <f>+M264-J264</f>
        <v>-2.77786832416058E-2</v>
      </c>
      <c r="O264">
        <v>2.2799999999999998</v>
      </c>
      <c r="P264" t="s">
        <v>15</v>
      </c>
      <c r="Q264">
        <v>0</v>
      </c>
      <c r="R264">
        <v>-1.0214449077844599E-2</v>
      </c>
      <c r="S264">
        <v>-7.5434031896293499E-4</v>
      </c>
      <c r="T264">
        <v>0</v>
      </c>
    </row>
    <row r="265" spans="1:20" x14ac:dyDescent="0.3">
      <c r="A265" t="s">
        <v>34</v>
      </c>
      <c r="B265">
        <v>2010</v>
      </c>
      <c r="C265">
        <v>1130535</v>
      </c>
      <c r="D265" s="1">
        <v>1.2999999999999999E-2</v>
      </c>
      <c r="E265" s="1">
        <v>0.91348785161972001</v>
      </c>
      <c r="F265" s="1">
        <v>-1.7999999999999999E-2</v>
      </c>
      <c r="G265" s="1">
        <f t="shared" si="8"/>
        <v>-2.5999999999999999E-2</v>
      </c>
      <c r="H265" s="1" t="str">
        <f t="shared" si="9"/>
        <v/>
      </c>
      <c r="I265" s="1">
        <v>8.9999999999999993E-3</v>
      </c>
      <c r="J265" s="1">
        <f>+D265-F265+I265*O265</f>
        <v>5.1159999999999997E-2</v>
      </c>
      <c r="K265" s="1">
        <v>5.7855509221553802E-3</v>
      </c>
      <c r="L265" s="1">
        <f>+K265-J265</f>
        <v>-4.5374449077844617E-2</v>
      </c>
      <c r="M265" s="1">
        <v>-1.0214449077844599E-2</v>
      </c>
      <c r="N265" s="1">
        <f>+M265-J265</f>
        <v>-6.1374449077844596E-2</v>
      </c>
      <c r="O265">
        <v>2.2400000000000002</v>
      </c>
      <c r="P265" t="s">
        <v>17</v>
      </c>
      <c r="Q265">
        <v>0</v>
      </c>
      <c r="R265">
        <v>-2.6721088558435399E-2</v>
      </c>
      <c r="S265">
        <v>-5.4373140446841396E-3</v>
      </c>
      <c r="T265">
        <v>-0.03</v>
      </c>
    </row>
    <row r="266" spans="1:20" x14ac:dyDescent="0.3">
      <c r="A266" t="s">
        <v>34</v>
      </c>
      <c r="B266">
        <v>2011</v>
      </c>
      <c r="C266">
        <v>1135198</v>
      </c>
      <c r="D266" s="1">
        <v>5.0000000000000001E-3</v>
      </c>
      <c r="E266" s="1">
        <v>0.91710197925567605</v>
      </c>
      <c r="F266" s="1">
        <v>1.6E-2</v>
      </c>
      <c r="G266" s="1">
        <f t="shared" si="8"/>
        <v>-9.9999999999999985E-3</v>
      </c>
      <c r="H266" s="1" t="str">
        <f t="shared" si="9"/>
        <v/>
      </c>
      <c r="I266" s="1">
        <v>4.0000000000000001E-3</v>
      </c>
      <c r="J266" s="1">
        <f>+D266-F266+I266*O266</f>
        <v>-1.9199999999999998E-3</v>
      </c>
      <c r="K266" s="1">
        <v>5.2789114415645599E-3</v>
      </c>
      <c r="L266" s="1">
        <f>+K266-J266</f>
        <v>7.1989114415645598E-3</v>
      </c>
      <c r="M266" s="1">
        <v>-2.6721088558435399E-2</v>
      </c>
      <c r="N266" s="1">
        <f>+M266-J266</f>
        <v>-2.4801088558435401E-2</v>
      </c>
      <c r="O266">
        <v>2.27</v>
      </c>
      <c r="P266" t="s">
        <v>15</v>
      </c>
      <c r="Q266">
        <v>-0.01</v>
      </c>
      <c r="R266">
        <v>-9.0068926140666004E-3</v>
      </c>
      <c r="S266">
        <v>-3.5686865448951999E-3</v>
      </c>
      <c r="T266">
        <v>0.02</v>
      </c>
    </row>
    <row r="267" spans="1:20" x14ac:dyDescent="0.3">
      <c r="A267" t="s">
        <v>34</v>
      </c>
      <c r="B267">
        <v>2012</v>
      </c>
      <c r="C267">
        <v>1141482</v>
      </c>
      <c r="D267" s="1">
        <v>8.0000000000000002E-3</v>
      </c>
      <c r="E267" s="1">
        <v>0.91125470399856601</v>
      </c>
      <c r="F267" s="1">
        <v>-1.0999999999999999E-2</v>
      </c>
      <c r="G267" s="1">
        <f t="shared" si="8"/>
        <v>-2.0999999999999998E-2</v>
      </c>
      <c r="H267" s="1" t="str">
        <f t="shared" si="9"/>
        <v/>
      </c>
      <c r="I267" s="1">
        <v>-6.0000000000000001E-3</v>
      </c>
      <c r="J267" s="1">
        <f>+D267-F267+I267*O267</f>
        <v>5.4999999999999997E-3</v>
      </c>
      <c r="K267" s="1">
        <v>1.1993107385933399E-2</v>
      </c>
      <c r="L267" s="1">
        <f>+K267-J267</f>
        <v>6.4931073859333995E-3</v>
      </c>
      <c r="M267" s="1">
        <v>-9.0068926140666004E-3</v>
      </c>
      <c r="N267" s="1">
        <f>+M267-J267</f>
        <v>-1.45068926140666E-2</v>
      </c>
      <c r="O267">
        <v>2.25</v>
      </c>
      <c r="P267" t="s">
        <v>16</v>
      </c>
      <c r="Q267">
        <v>0</v>
      </c>
      <c r="R267">
        <v>1.0949155911803199E-2</v>
      </c>
      <c r="S267">
        <v>4.8223845660685999E-3</v>
      </c>
      <c r="T267">
        <v>-0.01</v>
      </c>
    </row>
    <row r="268" spans="1:20" x14ac:dyDescent="0.3">
      <c r="A268" t="s">
        <v>34</v>
      </c>
      <c r="B268">
        <v>2013</v>
      </c>
      <c r="C268">
        <v>1148346</v>
      </c>
      <c r="D268" s="1">
        <v>8.9999999999999993E-3</v>
      </c>
      <c r="E268" s="1">
        <v>0.90932363271713301</v>
      </c>
      <c r="F268" s="1">
        <v>4.0000000000000001E-3</v>
      </c>
      <c r="G268" s="1">
        <f t="shared" si="8"/>
        <v>-1.6999999999999998E-2</v>
      </c>
      <c r="H268" s="1" t="str">
        <f t="shared" si="9"/>
        <v/>
      </c>
      <c r="I268" s="1">
        <v>-2E-3</v>
      </c>
      <c r="J268" s="1">
        <f>+D268-F268+I268*O268</f>
        <v>4.9999999999999871E-4</v>
      </c>
      <c r="K268" s="1">
        <v>2.59491559118032E-2</v>
      </c>
      <c r="L268" s="1">
        <f>+K268-J268</f>
        <v>2.5449155911803203E-2</v>
      </c>
      <c r="M268" s="1">
        <v>1.0949155911803199E-2</v>
      </c>
      <c r="N268" s="1">
        <f>+M268-J268</f>
        <v>1.0449155911803201E-2</v>
      </c>
      <c r="O268">
        <v>2.25</v>
      </c>
      <c r="P268" t="s">
        <v>17</v>
      </c>
      <c r="Q268">
        <v>0</v>
      </c>
      <c r="R268">
        <v>-8.8570669144392E-3</v>
      </c>
      <c r="S268">
        <v>-1.0865090414881699E-2</v>
      </c>
      <c r="T268">
        <v>0</v>
      </c>
    </row>
    <row r="269" spans="1:20" x14ac:dyDescent="0.3">
      <c r="A269" t="s">
        <v>34</v>
      </c>
      <c r="B269">
        <v>2014</v>
      </c>
      <c r="C269">
        <v>1153943</v>
      </c>
      <c r="D269" s="1">
        <v>1.9E-2</v>
      </c>
      <c r="E269" s="1">
        <v>0.89627039432525601</v>
      </c>
      <c r="F269" s="1">
        <v>3.5999999999999997E-2</v>
      </c>
      <c r="G269" s="1">
        <f t="shared" si="8"/>
        <v>1.9E-2</v>
      </c>
      <c r="H269" s="1" t="str">
        <f t="shared" si="9"/>
        <v/>
      </c>
      <c r="I269" s="1">
        <v>-1.2999999999999999E-2</v>
      </c>
      <c r="J269" s="1">
        <f>+D269-F269+I269*O269</f>
        <v>-4.741999999999999E-2</v>
      </c>
      <c r="K269" s="1">
        <v>7.1429330855608004E-3</v>
      </c>
      <c r="L269" s="1">
        <f>+K269-J269</f>
        <v>5.4562933085560789E-2</v>
      </c>
      <c r="M269" s="1">
        <v>-8.8570669144392E-3</v>
      </c>
      <c r="N269" s="1">
        <f>+M269-J269</f>
        <v>3.8562933085560788E-2</v>
      </c>
      <c r="O269">
        <v>2.34</v>
      </c>
      <c r="P269" t="s">
        <v>17</v>
      </c>
      <c r="Q269">
        <v>-0.01</v>
      </c>
      <c r="R269">
        <v>2.2977395147085199E-2</v>
      </c>
      <c r="S269">
        <v>-7.2860568761824902E-3</v>
      </c>
      <c r="T269">
        <v>0.03</v>
      </c>
    </row>
    <row r="270" spans="1:20" x14ac:dyDescent="0.3">
      <c r="A270" t="s">
        <v>34</v>
      </c>
      <c r="B270">
        <v>2015</v>
      </c>
      <c r="C270">
        <v>1159589</v>
      </c>
      <c r="D270" s="1">
        <v>1.2E-2</v>
      </c>
      <c r="E270" s="1">
        <v>0.89189058542251598</v>
      </c>
      <c r="F270" s="1">
        <v>-7.8E-2</v>
      </c>
      <c r="G270" s="1">
        <f t="shared" si="8"/>
        <v>-5.8999999999999997E-2</v>
      </c>
      <c r="H270" s="1" t="str">
        <f t="shared" si="9"/>
        <v/>
      </c>
      <c r="I270" s="1">
        <v>-4.0000000000000001E-3</v>
      </c>
      <c r="J270" s="1">
        <f>+D270-F270+I270*O270</f>
        <v>8.14E-2</v>
      </c>
      <c r="K270" s="1">
        <v>2.39773951470852E-2</v>
      </c>
      <c r="L270" s="1">
        <f>+K270-J270</f>
        <v>-5.7422604852914796E-2</v>
      </c>
      <c r="M270" s="1">
        <v>2.2977395147085199E-2</v>
      </c>
      <c r="N270" s="1">
        <f>+M270-J270</f>
        <v>-5.8422604852914797E-2</v>
      </c>
      <c r="O270">
        <v>2.15</v>
      </c>
      <c r="P270" t="s">
        <v>16</v>
      </c>
      <c r="Q270">
        <v>-0.01</v>
      </c>
      <c r="R270">
        <v>6.9969094246626002E-3</v>
      </c>
      <c r="S270">
        <v>-6.1566475778817896E-3</v>
      </c>
      <c r="T270">
        <v>-7.0000000000000007E-2</v>
      </c>
    </row>
    <row r="271" spans="1:20" x14ac:dyDescent="0.3">
      <c r="A271" t="s">
        <v>34</v>
      </c>
      <c r="B271">
        <v>2016</v>
      </c>
      <c r="C271">
        <v>1164841</v>
      </c>
      <c r="D271" s="1">
        <v>2.7E-2</v>
      </c>
      <c r="E271" s="1">
        <v>0.88933527469634999</v>
      </c>
      <c r="F271" s="1">
        <v>1.6E-2</v>
      </c>
      <c r="G271" s="1">
        <f t="shared" si="8"/>
        <v>-4.2999999999999997E-2</v>
      </c>
      <c r="H271" s="1" t="str">
        <f t="shared" si="9"/>
        <v/>
      </c>
      <c r="I271" s="1">
        <v>-3.0000000000000001E-3</v>
      </c>
      <c r="J271" s="1">
        <f>+D271-F271+I271*O271</f>
        <v>4.429999999999999E-3</v>
      </c>
      <c r="K271" s="1">
        <v>1.99969094246626E-2</v>
      </c>
      <c r="L271" s="1">
        <f>+K271-J271</f>
        <v>1.5566909424662601E-2</v>
      </c>
      <c r="M271" s="1">
        <v>6.9969094246626002E-3</v>
      </c>
      <c r="N271" s="1">
        <f>+M271-J271</f>
        <v>2.5669094246626011E-3</v>
      </c>
      <c r="O271">
        <v>2.19</v>
      </c>
      <c r="P271" t="s">
        <v>17</v>
      </c>
      <c r="Q271">
        <v>-0.01</v>
      </c>
      <c r="R271">
        <v>-1.1895711570978E-3</v>
      </c>
      <c r="S271">
        <v>-3.9791446179150902E-3</v>
      </c>
      <c r="T271">
        <v>0.02</v>
      </c>
    </row>
    <row r="272" spans="1:20" x14ac:dyDescent="0.3">
      <c r="A272" t="s">
        <v>34</v>
      </c>
      <c r="B272">
        <v>2017</v>
      </c>
      <c r="C272">
        <v>1169507</v>
      </c>
      <c r="D272" s="1">
        <v>5.0000000000000001E-3</v>
      </c>
      <c r="E272" s="1">
        <v>0.89937084913253795</v>
      </c>
      <c r="F272" s="1">
        <v>-1.7000000000000001E-2</v>
      </c>
      <c r="G272" s="1">
        <f t="shared" si="8"/>
        <v>-0.06</v>
      </c>
      <c r="H272" s="1" t="str">
        <f t="shared" si="9"/>
        <v/>
      </c>
      <c r="I272" s="1">
        <v>0.01</v>
      </c>
      <c r="J272" s="1">
        <f>+D272-F272+I272*O272</f>
        <v>4.3499999999999997E-2</v>
      </c>
      <c r="K272" s="1">
        <v>1.9810428842902201E-2</v>
      </c>
      <c r="L272" s="1">
        <f>+K272-J272</f>
        <v>-2.3689571157097796E-2</v>
      </c>
      <c r="M272" s="1">
        <v>-1.1895711570978E-3</v>
      </c>
      <c r="N272" s="1">
        <f>+M272-J272</f>
        <v>-4.4689571157097797E-2</v>
      </c>
      <c r="O272">
        <v>2.15</v>
      </c>
      <c r="P272" t="s">
        <v>17</v>
      </c>
      <c r="Q272">
        <v>0</v>
      </c>
      <c r="R272">
        <v>3.3183776050805899E-2</v>
      </c>
      <c r="S272">
        <v>2.40487530827522E-2</v>
      </c>
      <c r="T272">
        <v>-0.01</v>
      </c>
    </row>
    <row r="273" spans="1:20" x14ac:dyDescent="0.3">
      <c r="A273" t="s">
        <v>34</v>
      </c>
      <c r="B273">
        <v>2018</v>
      </c>
      <c r="C273">
        <v>1174202</v>
      </c>
      <c r="D273" s="1">
        <v>0</v>
      </c>
      <c r="E273" s="1">
        <v>0.91259330511093095</v>
      </c>
      <c r="F273" s="1">
        <v>1.4E-2</v>
      </c>
      <c r="G273" s="1">
        <f t="shared" si="8"/>
        <v>-4.5999999999999999E-2</v>
      </c>
      <c r="H273" s="1" t="str">
        <f t="shared" si="9"/>
        <v/>
      </c>
      <c r="I273" s="1">
        <v>1.2999999999999999E-2</v>
      </c>
      <c r="J273" s="1">
        <f>+D273-F273+I273*O273</f>
        <v>1.434E-2</v>
      </c>
      <c r="K273" s="1">
        <v>5.7183776050805997E-2</v>
      </c>
      <c r="L273" s="1">
        <f>+K273-J273</f>
        <v>4.2843776050805998E-2</v>
      </c>
      <c r="M273" s="1">
        <v>3.3183776050805899E-2</v>
      </c>
      <c r="N273" s="1">
        <f>+M273-J273</f>
        <v>1.8843776050805901E-2</v>
      </c>
      <c r="O273">
        <v>2.1800000000000002</v>
      </c>
      <c r="P273" t="s">
        <v>15</v>
      </c>
      <c r="Q273">
        <v>0.02</v>
      </c>
      <c r="R273">
        <v>2.2254656225442902E-2</v>
      </c>
      <c r="S273">
        <v>4.4534616172313898E-3</v>
      </c>
      <c r="T273">
        <v>0.02</v>
      </c>
    </row>
    <row r="274" spans="1:20" x14ac:dyDescent="0.3">
      <c r="A274" t="s">
        <v>34</v>
      </c>
      <c r="B274">
        <v>2019</v>
      </c>
      <c r="C274">
        <v>1178841</v>
      </c>
      <c r="D274" s="1">
        <v>0</v>
      </c>
      <c r="E274" s="1">
        <v>0.91269820928573597</v>
      </c>
      <c r="F274" s="1">
        <v>-1.2E-2</v>
      </c>
      <c r="G274" s="1">
        <f t="shared" si="8"/>
        <v>-5.7999999999999996E-2</v>
      </c>
      <c r="H274" s="1" t="str">
        <f t="shared" si="9"/>
        <v/>
      </c>
      <c r="I274" s="1">
        <v>0</v>
      </c>
      <c r="J274" s="1">
        <f>+D274-F274+I274*O274</f>
        <v>1.2E-2</v>
      </c>
      <c r="K274" s="1">
        <v>4.02546562254429E-2</v>
      </c>
      <c r="L274" s="1">
        <f>+K274-J274</f>
        <v>2.82546562254429E-2</v>
      </c>
      <c r="M274" s="1">
        <v>2.2254656225442902E-2</v>
      </c>
      <c r="N274" s="1">
        <f>+M274-J274</f>
        <v>1.0254656225442901E-2</v>
      </c>
      <c r="O274">
        <v>2.16</v>
      </c>
      <c r="P274" t="s">
        <v>17</v>
      </c>
      <c r="Q274">
        <v>0</v>
      </c>
      <c r="R274">
        <v>1.8849190428853E-2</v>
      </c>
      <c r="S274">
        <v>0</v>
      </c>
      <c r="T274">
        <v>0</v>
      </c>
    </row>
    <row r="275" spans="1:20" x14ac:dyDescent="0.3">
      <c r="A275" t="s">
        <v>34</v>
      </c>
      <c r="B275">
        <v>2020</v>
      </c>
      <c r="C275">
        <v>1181616</v>
      </c>
      <c r="D275" s="1">
        <v>1.2999999999999999E-2</v>
      </c>
      <c r="E275" s="1">
        <v>0.90743291378021196</v>
      </c>
      <c r="F275" s="1">
        <v>-0.10299999999999999</v>
      </c>
      <c r="G275" s="1">
        <f t="shared" si="8"/>
        <v>-0.16099999999999998</v>
      </c>
      <c r="H275" s="1">
        <f t="shared" si="9"/>
        <v>6.3729839399457006E-2</v>
      </c>
      <c r="I275" s="1">
        <v>-5.0000000000000001E-3</v>
      </c>
      <c r="J275" s="1">
        <f>+D275-F275+I275*O275</f>
        <v>0.10634999999999999</v>
      </c>
      <c r="K275" s="1">
        <v>3.0849190428853E-2</v>
      </c>
      <c r="L275" s="1">
        <f>+K275-J275</f>
        <v>-7.5500809571146993E-2</v>
      </c>
      <c r="M275" s="1">
        <v>1.8849190428853E-2</v>
      </c>
      <c r="N275" s="1">
        <f>+M275-J275</f>
        <v>-8.750080957114699E-2</v>
      </c>
      <c r="O275">
        <v>1.93</v>
      </c>
      <c r="P275" t="s">
        <v>16</v>
      </c>
      <c r="Q275" t="s">
        <v>23</v>
      </c>
      <c r="R275">
        <v>4.5810764908790602E-2</v>
      </c>
      <c r="S275">
        <v>2.2211521863936901E-3</v>
      </c>
      <c r="T275">
        <v>-0.06</v>
      </c>
    </row>
    <row r="276" spans="1:20" x14ac:dyDescent="0.3">
      <c r="A276" t="s">
        <v>34</v>
      </c>
      <c r="B276">
        <v>2021</v>
      </c>
      <c r="C276">
        <v>1180936</v>
      </c>
      <c r="D276" s="1">
        <v>1.6E-2</v>
      </c>
      <c r="E276" s="1">
        <v>0.91671782732009899</v>
      </c>
      <c r="F276" s="1">
        <v>0.109</v>
      </c>
      <c r="G276" s="1">
        <f t="shared" si="8"/>
        <v>-5.1999999999999977E-2</v>
      </c>
      <c r="H276" s="1" t="str">
        <f t="shared" si="9"/>
        <v/>
      </c>
      <c r="I276" s="1">
        <v>8.9999999999999993E-3</v>
      </c>
      <c r="J276" s="1">
        <f>+D276-F276+I276*O276</f>
        <v>-7.374E-2</v>
      </c>
      <c r="K276" s="1">
        <v>9.2810764908790602E-2</v>
      </c>
      <c r="L276" s="1">
        <f>+K276-J276</f>
        <v>0.16655076490879062</v>
      </c>
      <c r="M276" s="1">
        <v>4.5810764908790602E-2</v>
      </c>
      <c r="N276" s="1">
        <f>+M276-J276</f>
        <v>0.1195507649087906</v>
      </c>
      <c r="O276">
        <v>2.14</v>
      </c>
      <c r="P276" t="s">
        <v>15</v>
      </c>
      <c r="Q276">
        <v>0</v>
      </c>
      <c r="R276">
        <v>-4.53510861098766E-2</v>
      </c>
      <c r="S276">
        <v>-1.32475793361662E-2</v>
      </c>
      <c r="T276">
        <v>0.08</v>
      </c>
    </row>
    <row r="277" spans="1:20" x14ac:dyDescent="0.3">
      <c r="A277" t="s">
        <v>34</v>
      </c>
      <c r="B277">
        <v>2022</v>
      </c>
      <c r="C277">
        <v>1182311</v>
      </c>
      <c r="D277" s="1">
        <v>1.2999999999999999E-2</v>
      </c>
      <c r="E277" s="1">
        <v>0.89364254474639904</v>
      </c>
      <c r="F277" s="1">
        <v>-1.2999999999999999E-2</v>
      </c>
      <c r="G277" s="1">
        <f t="shared" si="8"/>
        <v>-6.4999999999999974E-2</v>
      </c>
      <c r="H277" s="1" t="str">
        <f t="shared" si="9"/>
        <v/>
      </c>
      <c r="I277" s="1">
        <v>-2.3E-2</v>
      </c>
      <c r="J277" s="1">
        <f>+D277-F277+I277*O277</f>
        <v>-2.2760000000000006E-2</v>
      </c>
      <c r="K277" s="1">
        <v>3.4648913890123402E-2</v>
      </c>
      <c r="L277" s="1">
        <f>+K277-J277</f>
        <v>5.7408913890123411E-2</v>
      </c>
      <c r="M277" s="1">
        <v>-4.53510861098766E-2</v>
      </c>
      <c r="N277" s="1">
        <f>+M277-J277</f>
        <v>-2.2591086109876594E-2</v>
      </c>
      <c r="O277">
        <v>2.12</v>
      </c>
      <c r="P277" t="s">
        <v>16</v>
      </c>
      <c r="Q277">
        <v>-0.01</v>
      </c>
      <c r="R277">
        <v>-3.2693284362554503E-2</v>
      </c>
      <c r="S277">
        <v>-1.3134356588125199E-2</v>
      </c>
      <c r="T277">
        <v>0</v>
      </c>
    </row>
    <row r="278" spans="1:20" x14ac:dyDescent="0.3">
      <c r="A278" t="s">
        <v>35</v>
      </c>
      <c r="B278">
        <v>2006</v>
      </c>
      <c r="C278">
        <v>180268.79689999999</v>
      </c>
      <c r="D278" s="1">
        <v>0</v>
      </c>
      <c r="E278" s="1">
        <v>0.889248847961426</v>
      </c>
      <c r="F278" s="1">
        <v>-2.1000000000000001E-2</v>
      </c>
      <c r="G278" s="1">
        <f t="shared" si="8"/>
        <v>-2.1000000000000001E-2</v>
      </c>
      <c r="H278" s="1" t="str">
        <f t="shared" si="9"/>
        <v/>
      </c>
      <c r="I278" s="1">
        <v>8.9999999999999993E-3</v>
      </c>
      <c r="J278" s="1">
        <f>+D278-F278+I278*O278</f>
        <v>4.0260000000000004E-2</v>
      </c>
      <c r="K278" s="1">
        <v>2.0031152293086101E-2</v>
      </c>
      <c r="L278" s="1">
        <f>+K278-J278</f>
        <v>-2.0228847706913904E-2</v>
      </c>
      <c r="M278" s="1">
        <v>-1.19688477069139E-2</v>
      </c>
      <c r="N278" s="1">
        <f>+M278-J278</f>
        <v>-5.2228847706913904E-2</v>
      </c>
      <c r="O278">
        <v>2.14</v>
      </c>
      <c r="P278" t="s">
        <v>17</v>
      </c>
      <c r="Q278">
        <v>-0.02</v>
      </c>
      <c r="R278">
        <v>-8.4916845858097004E-3</v>
      </c>
      <c r="S278">
        <v>-7.5699286535382002E-3</v>
      </c>
      <c r="T278">
        <v>-0.02</v>
      </c>
    </row>
    <row r="279" spans="1:20" x14ac:dyDescent="0.3">
      <c r="A279" t="s">
        <v>35</v>
      </c>
      <c r="B279">
        <v>2007</v>
      </c>
      <c r="C279">
        <v>182362</v>
      </c>
      <c r="D279" s="1">
        <v>1.4999999999999999E-2</v>
      </c>
      <c r="E279" s="1">
        <v>0.88890135288238503</v>
      </c>
      <c r="F279" s="1">
        <v>-4.5999999999999999E-2</v>
      </c>
      <c r="G279" s="1">
        <f t="shared" si="8"/>
        <v>-6.7000000000000004E-2</v>
      </c>
      <c r="H279" s="1" t="str">
        <f t="shared" si="9"/>
        <v/>
      </c>
      <c r="I279" s="1">
        <v>0</v>
      </c>
      <c r="J279" s="1">
        <f>+D279-F279+I279*O279</f>
        <v>6.0999999999999999E-2</v>
      </c>
      <c r="K279" s="1">
        <v>2.0508315414190299E-2</v>
      </c>
      <c r="L279" s="1">
        <f>+K279-J279</f>
        <v>-4.0491684585809699E-2</v>
      </c>
      <c r="M279" s="1">
        <v>-8.4916845858097004E-3</v>
      </c>
      <c r="N279" s="1">
        <f>+M279-J279</f>
        <v>-6.9491684585809704E-2</v>
      </c>
      <c r="O279">
        <v>2.04</v>
      </c>
      <c r="P279" t="s">
        <v>16</v>
      </c>
      <c r="Q279">
        <v>-0.01</v>
      </c>
      <c r="R279">
        <v>-2.35974745005368E-2</v>
      </c>
      <c r="S279">
        <v>5.9133297763764997E-3</v>
      </c>
      <c r="T279">
        <v>-0.05</v>
      </c>
    </row>
    <row r="280" spans="1:20" x14ac:dyDescent="0.3">
      <c r="A280" t="s">
        <v>35</v>
      </c>
      <c r="B280">
        <v>2008</v>
      </c>
      <c r="C280">
        <v>183992.5938</v>
      </c>
      <c r="D280" s="1">
        <v>0</v>
      </c>
      <c r="E280" s="1">
        <v>0.90368229150772095</v>
      </c>
      <c r="F280" s="1">
        <v>-1.4999999999999999E-2</v>
      </c>
      <c r="G280" s="1">
        <f t="shared" si="8"/>
        <v>-8.2000000000000003E-2</v>
      </c>
      <c r="H280" s="1" t="str">
        <f t="shared" si="9"/>
        <v/>
      </c>
      <c r="I280" s="1">
        <v>1.4999999999999999E-2</v>
      </c>
      <c r="J280" s="1">
        <f>+D280-F280+I280*O280</f>
        <v>4.5149999999999996E-2</v>
      </c>
      <c r="K280" s="1">
        <v>1.44025254994631E-2</v>
      </c>
      <c r="L280" s="1">
        <f>+K280-J280</f>
        <v>-3.0747474500536894E-2</v>
      </c>
      <c r="M280" s="1">
        <v>-2.35974745005368E-2</v>
      </c>
      <c r="N280" s="1">
        <f>+M280-J280</f>
        <v>-6.8747474500536795E-2</v>
      </c>
      <c r="O280">
        <v>2.0099999999999998</v>
      </c>
      <c r="P280" t="s">
        <v>17</v>
      </c>
      <c r="Q280">
        <v>0.01</v>
      </c>
      <c r="R280">
        <v>-1.69112782031298E-2</v>
      </c>
      <c r="S280">
        <v>9.6554234623908494E-3</v>
      </c>
      <c r="T280">
        <v>-0.02</v>
      </c>
    </row>
    <row r="281" spans="1:20" x14ac:dyDescent="0.3">
      <c r="A281" t="s">
        <v>35</v>
      </c>
      <c r="B281">
        <v>2009</v>
      </c>
      <c r="C281">
        <v>185560.39060000001</v>
      </c>
      <c r="D281" s="1">
        <v>3.0000000000000001E-3</v>
      </c>
      <c r="E281" s="1">
        <v>0.90213316679000899</v>
      </c>
      <c r="F281" s="1">
        <v>-3.0000000000000001E-3</v>
      </c>
      <c r="G281" s="1">
        <f t="shared" si="8"/>
        <v>-8.5000000000000006E-2</v>
      </c>
      <c r="H281" s="1" t="str">
        <f t="shared" si="9"/>
        <v/>
      </c>
      <c r="I281" s="1">
        <v>-2E-3</v>
      </c>
      <c r="J281" s="1">
        <f>+D281-F281+I281*O281</f>
        <v>2E-3</v>
      </c>
      <c r="K281" s="1">
        <v>-2.09112782031298E-2</v>
      </c>
      <c r="L281" s="1">
        <f>+K281-J281</f>
        <v>-2.2911278203129798E-2</v>
      </c>
      <c r="M281" s="1">
        <v>-1.69112782031298E-2</v>
      </c>
      <c r="N281" s="1">
        <f>+M281-J281</f>
        <v>-1.8911278203129801E-2</v>
      </c>
      <c r="O281">
        <v>2</v>
      </c>
      <c r="P281" t="s">
        <v>16</v>
      </c>
      <c r="Q281">
        <v>0.01</v>
      </c>
      <c r="R281">
        <v>-1.5218927056062899E-2</v>
      </c>
      <c r="S281">
        <v>-5.7588182971812802E-3</v>
      </c>
      <c r="T281">
        <v>-0.02</v>
      </c>
    </row>
    <row r="282" spans="1:20" x14ac:dyDescent="0.3">
      <c r="A282" t="s">
        <v>35</v>
      </c>
      <c r="B282">
        <v>2010</v>
      </c>
      <c r="C282">
        <v>186669.5</v>
      </c>
      <c r="D282" s="1">
        <v>2E-3</v>
      </c>
      <c r="E282" s="1">
        <v>0.90212339162826505</v>
      </c>
      <c r="F282" s="1">
        <v>4.4999999999999998E-2</v>
      </c>
      <c r="G282" s="1">
        <f t="shared" si="8"/>
        <v>-4.0000000000000008E-2</v>
      </c>
      <c r="H282" s="1" t="str">
        <f t="shared" si="9"/>
        <v/>
      </c>
      <c r="I282" s="1">
        <v>0</v>
      </c>
      <c r="J282" s="1">
        <f>+D282-F282+I282*O282</f>
        <v>-4.2999999999999997E-2</v>
      </c>
      <c r="K282" s="1">
        <v>7.8107294393703298E-4</v>
      </c>
      <c r="L282" s="1">
        <f>+K282-J282</f>
        <v>4.378107294393703E-2</v>
      </c>
      <c r="M282" s="1">
        <v>-1.5218927056062899E-2</v>
      </c>
      <c r="N282" s="1">
        <f>+M282-J282</f>
        <v>2.7781072943937099E-2</v>
      </c>
      <c r="O282">
        <v>2.09</v>
      </c>
      <c r="P282" t="s">
        <v>17</v>
      </c>
      <c r="Q282">
        <v>-0.01</v>
      </c>
      <c r="R282">
        <v>-2.3841400973498801E-2</v>
      </c>
      <c r="S282">
        <v>-2.5576264597475199E-3</v>
      </c>
      <c r="T282">
        <v>0.04</v>
      </c>
    </row>
    <row r="283" spans="1:20" x14ac:dyDescent="0.3">
      <c r="A283" t="s">
        <v>35</v>
      </c>
      <c r="B283">
        <v>2011</v>
      </c>
      <c r="C283">
        <v>187869.79689999999</v>
      </c>
      <c r="D283" s="1">
        <v>0</v>
      </c>
      <c r="E283" s="1">
        <v>0.91006618738174405</v>
      </c>
      <c r="F283" s="1">
        <v>-2.9000000000000001E-2</v>
      </c>
      <c r="G283" s="1">
        <f t="shared" si="8"/>
        <v>-6.9000000000000006E-2</v>
      </c>
      <c r="H283" s="1" t="str">
        <f t="shared" si="9"/>
        <v/>
      </c>
      <c r="I283" s="1">
        <v>8.0000000000000002E-3</v>
      </c>
      <c r="J283" s="1">
        <f>+D283-F283+I283*O283</f>
        <v>4.5240000000000002E-2</v>
      </c>
      <c r="K283" s="1">
        <v>8.1585990265011805E-3</v>
      </c>
      <c r="L283" s="1">
        <f>+K283-J283</f>
        <v>-3.7081400973498824E-2</v>
      </c>
      <c r="M283" s="1">
        <v>-2.3841400973498801E-2</v>
      </c>
      <c r="N283" s="1">
        <f>+M283-J283</f>
        <v>-6.9081400973498797E-2</v>
      </c>
      <c r="O283">
        <v>2.0299999999999998</v>
      </c>
      <c r="P283" t="s">
        <v>17</v>
      </c>
      <c r="Q283">
        <v>0</v>
      </c>
      <c r="R283">
        <v>-4.1439759582281004E-3</v>
      </c>
      <c r="S283">
        <v>1.2942301109432901E-3</v>
      </c>
      <c r="T283">
        <v>-0.03</v>
      </c>
    </row>
    <row r="284" spans="1:20" x14ac:dyDescent="0.3">
      <c r="A284" t="s">
        <v>35</v>
      </c>
      <c r="B284">
        <v>2012</v>
      </c>
      <c r="C284">
        <v>189735.70310000001</v>
      </c>
      <c r="D284" s="1">
        <v>8.0000000000000002E-3</v>
      </c>
      <c r="E284" s="1">
        <v>0.91123580932617199</v>
      </c>
      <c r="F284" s="1">
        <v>8.5999999999999993E-2</v>
      </c>
      <c r="G284" s="1">
        <f t="shared" si="8"/>
        <v>1.6999999999999987E-2</v>
      </c>
      <c r="H284" s="1" t="str">
        <f t="shared" si="9"/>
        <v/>
      </c>
      <c r="I284" s="1">
        <v>1E-3</v>
      </c>
      <c r="J284" s="1">
        <f>+D284-F284+I284*O284</f>
        <v>-7.5789999999999982E-2</v>
      </c>
      <c r="K284" s="1">
        <v>1.6856024041771899E-2</v>
      </c>
      <c r="L284" s="1">
        <f>+K284-J284</f>
        <v>9.2646024041771885E-2</v>
      </c>
      <c r="M284" s="1">
        <v>-4.1439759582281004E-3</v>
      </c>
      <c r="N284" s="1">
        <f>+M284-J284</f>
        <v>7.164602404177188E-2</v>
      </c>
      <c r="O284">
        <v>2.21</v>
      </c>
      <c r="P284" t="s">
        <v>15</v>
      </c>
      <c r="Q284">
        <v>0</v>
      </c>
      <c r="R284">
        <v>-6.1984084174036896E-3</v>
      </c>
      <c r="S284">
        <v>-1.2325179763138299E-2</v>
      </c>
      <c r="T284">
        <v>0.08</v>
      </c>
    </row>
    <row r="285" spans="1:20" x14ac:dyDescent="0.3">
      <c r="A285" t="s">
        <v>35</v>
      </c>
      <c r="B285">
        <v>2013</v>
      </c>
      <c r="C285">
        <v>191063.4063</v>
      </c>
      <c r="D285" s="1">
        <v>0</v>
      </c>
      <c r="E285" s="1">
        <v>0.90751302242279097</v>
      </c>
      <c r="F285" s="1">
        <v>1.0999999999999999E-2</v>
      </c>
      <c r="G285" s="1">
        <f t="shared" si="8"/>
        <v>2.7999999999999987E-2</v>
      </c>
      <c r="H285" s="1" t="str">
        <f t="shared" si="9"/>
        <v/>
      </c>
      <c r="I285" s="1">
        <v>-4.0000000000000001E-3</v>
      </c>
      <c r="J285" s="1">
        <f>+D285-F285+I285*O285</f>
        <v>-1.992E-2</v>
      </c>
      <c r="K285" s="1">
        <v>8.8015915825963003E-3</v>
      </c>
      <c r="L285" s="1">
        <f>+K285-J285</f>
        <v>2.8721591582596302E-2</v>
      </c>
      <c r="M285" s="1">
        <v>-6.1984084174036896E-3</v>
      </c>
      <c r="N285" s="1">
        <f>+M285-J285</f>
        <v>1.372159158259631E-2</v>
      </c>
      <c r="O285">
        <v>2.23</v>
      </c>
      <c r="P285" t="s">
        <v>17</v>
      </c>
      <c r="Q285">
        <v>-0.01</v>
      </c>
      <c r="R285">
        <v>-6.7027268782258002E-3</v>
      </c>
      <c r="S285">
        <v>-8.7107503786682996E-3</v>
      </c>
      <c r="T285">
        <v>0</v>
      </c>
    </row>
    <row r="286" spans="1:20" x14ac:dyDescent="0.3">
      <c r="A286" t="s">
        <v>35</v>
      </c>
      <c r="B286">
        <v>2014</v>
      </c>
      <c r="C286">
        <v>189999.6875</v>
      </c>
      <c r="D286" s="1">
        <v>0</v>
      </c>
      <c r="E286" s="1">
        <v>0.90718674659729004</v>
      </c>
      <c r="F286" s="1">
        <v>1.6E-2</v>
      </c>
      <c r="G286" s="1">
        <f t="shared" si="8"/>
        <v>4.3999999999999984E-2</v>
      </c>
      <c r="H286" s="1" t="str">
        <f t="shared" si="9"/>
        <v/>
      </c>
      <c r="I286" s="1">
        <v>0</v>
      </c>
      <c r="J286" s="1">
        <f>+D286-F286+I286*O286</f>
        <v>-1.6E-2</v>
      </c>
      <c r="K286" s="1">
        <v>9.2972731217742001E-3</v>
      </c>
      <c r="L286" s="1">
        <f>+K286-J286</f>
        <v>2.52972731217742E-2</v>
      </c>
      <c r="M286" s="1">
        <v>-6.7027268782258002E-3</v>
      </c>
      <c r="N286" s="1">
        <f>+M286-J286</f>
        <v>9.2972731217742001E-3</v>
      </c>
      <c r="O286">
        <v>2.2599999999999998</v>
      </c>
      <c r="P286" t="s">
        <v>17</v>
      </c>
      <c r="Q286">
        <v>-0.01</v>
      </c>
      <c r="R286">
        <v>3.8115924000740099E-3</v>
      </c>
      <c r="S286">
        <v>-2.6451859623193599E-2</v>
      </c>
      <c r="T286">
        <v>0.01</v>
      </c>
    </row>
    <row r="287" spans="1:20" x14ac:dyDescent="0.3">
      <c r="A287" t="s">
        <v>35</v>
      </c>
      <c r="B287">
        <v>2015</v>
      </c>
      <c r="C287">
        <v>189198.5938</v>
      </c>
      <c r="D287" s="1">
        <v>0</v>
      </c>
      <c r="E287" s="1">
        <v>0.92003619670867898</v>
      </c>
      <c r="F287" s="1">
        <v>-4.9000000000000002E-2</v>
      </c>
      <c r="G287" s="1">
        <f t="shared" si="8"/>
        <v>-5.0000000000000183E-3</v>
      </c>
      <c r="H287" s="1" t="str">
        <f t="shared" si="9"/>
        <v/>
      </c>
      <c r="I287" s="1">
        <v>1.2999999999999999E-2</v>
      </c>
      <c r="J287" s="1">
        <f>+D287-F287+I287*O287</f>
        <v>7.6950000000000005E-2</v>
      </c>
      <c r="K287" s="1">
        <v>4.8115924000740103E-3</v>
      </c>
      <c r="L287" s="1">
        <f>+K287-J287</f>
        <v>-7.2138407599925999E-2</v>
      </c>
      <c r="M287" s="1">
        <v>3.8115924000740099E-3</v>
      </c>
      <c r="N287" s="1">
        <f>+M287-J287</f>
        <v>-7.3138407599926E-2</v>
      </c>
      <c r="O287">
        <v>2.15</v>
      </c>
      <c r="P287" t="s">
        <v>17</v>
      </c>
      <c r="Q287">
        <v>-0.03</v>
      </c>
      <c r="R287">
        <v>4.7853573113679996E-3</v>
      </c>
      <c r="S287">
        <v>-8.3681996911764006E-3</v>
      </c>
      <c r="T287">
        <v>-0.04</v>
      </c>
    </row>
    <row r="288" spans="1:20" x14ac:dyDescent="0.3">
      <c r="A288" t="s">
        <v>35</v>
      </c>
      <c r="B288">
        <v>2016</v>
      </c>
      <c r="C288">
        <v>188945.6875</v>
      </c>
      <c r="D288" s="1">
        <v>0</v>
      </c>
      <c r="E288" s="1">
        <v>0.92123806476592995</v>
      </c>
      <c r="F288" s="1">
        <v>-3.1E-2</v>
      </c>
      <c r="G288" s="1">
        <f t="shared" si="8"/>
        <v>-3.6000000000000018E-2</v>
      </c>
      <c r="H288" s="1" t="str">
        <f t="shared" si="9"/>
        <v/>
      </c>
      <c r="I288" s="1">
        <v>1E-3</v>
      </c>
      <c r="J288" s="1">
        <f>+D288-F288+I288*O288</f>
        <v>3.3090000000000001E-2</v>
      </c>
      <c r="K288" s="1">
        <v>1.7785357311367999E-2</v>
      </c>
      <c r="L288" s="1">
        <f>+K288-J288</f>
        <v>-1.5304642688632002E-2</v>
      </c>
      <c r="M288" s="1">
        <v>4.7853573113679996E-3</v>
      </c>
      <c r="N288" s="1">
        <f>+M288-J288</f>
        <v>-2.8304642688632003E-2</v>
      </c>
      <c r="O288">
        <v>2.09</v>
      </c>
      <c r="P288" t="s">
        <v>17</v>
      </c>
      <c r="Q288">
        <v>-0.01</v>
      </c>
      <c r="R288">
        <v>-3.4258996419608598E-2</v>
      </c>
      <c r="S288">
        <v>-3.7048569880425798E-2</v>
      </c>
      <c r="T288">
        <v>-0.03</v>
      </c>
    </row>
    <row r="289" spans="1:20" x14ac:dyDescent="0.3">
      <c r="A289" t="s">
        <v>35</v>
      </c>
      <c r="B289">
        <v>2017</v>
      </c>
      <c r="C289">
        <v>188297.10939999999</v>
      </c>
      <c r="D289" s="1">
        <v>5.0000000000000001E-3</v>
      </c>
      <c r="E289" s="1">
        <v>0.92727810144424405</v>
      </c>
      <c r="F289" s="1">
        <v>7.0000000000000007E-2</v>
      </c>
      <c r="G289" s="1">
        <f t="shared" si="8"/>
        <v>3.3999999999999989E-2</v>
      </c>
      <c r="H289" s="1" t="str">
        <f t="shared" si="9"/>
        <v/>
      </c>
      <c r="I289" s="1">
        <v>6.0000000000000001E-3</v>
      </c>
      <c r="J289" s="1">
        <f>+D289-F289+I289*O289</f>
        <v>-5.1619999999999999E-2</v>
      </c>
      <c r="K289" s="1">
        <v>-1.32589964196086E-2</v>
      </c>
      <c r="L289" s="1">
        <f>+K289-J289</f>
        <v>3.8361003580391399E-2</v>
      </c>
      <c r="M289" s="1">
        <v>-3.4258996419608598E-2</v>
      </c>
      <c r="N289" s="1">
        <f>+M289-J289</f>
        <v>1.7361003580391401E-2</v>
      </c>
      <c r="O289">
        <v>2.23</v>
      </c>
      <c r="P289" t="s">
        <v>15</v>
      </c>
      <c r="Q289">
        <v>-0.04</v>
      </c>
      <c r="R289">
        <v>4.0276872217655003E-3</v>
      </c>
      <c r="S289">
        <v>-5.10733574628829E-3</v>
      </c>
      <c r="T289">
        <v>7.0000000000000007E-2</v>
      </c>
    </row>
    <row r="290" spans="1:20" x14ac:dyDescent="0.3">
      <c r="A290" t="s">
        <v>35</v>
      </c>
      <c r="B290">
        <v>2018</v>
      </c>
      <c r="C290">
        <v>187542.60939999999</v>
      </c>
      <c r="D290" s="1">
        <v>0</v>
      </c>
      <c r="E290" s="1">
        <v>0.91305947303771995</v>
      </c>
      <c r="F290" s="1">
        <v>-0.10299999999999999</v>
      </c>
      <c r="G290" s="1">
        <f t="shared" si="8"/>
        <v>-6.9000000000000006E-2</v>
      </c>
      <c r="H290" s="1" t="str">
        <f t="shared" si="9"/>
        <v/>
      </c>
      <c r="I290" s="1">
        <v>-1.4E-2</v>
      </c>
      <c r="J290" s="1">
        <f>+D290-F290+I290*O290</f>
        <v>7.4999999999999997E-2</v>
      </c>
      <c r="K290" s="1">
        <v>2.8027687221765501E-2</v>
      </c>
      <c r="L290" s="1">
        <f>+K290-J290</f>
        <v>-4.6972312778234493E-2</v>
      </c>
      <c r="M290" s="1">
        <v>4.0276872217655003E-3</v>
      </c>
      <c r="N290" s="1">
        <f>+M290-J290</f>
        <v>-7.09723127782345E-2</v>
      </c>
      <c r="O290">
        <v>2</v>
      </c>
      <c r="P290" t="s">
        <v>16</v>
      </c>
      <c r="Q290">
        <v>-0.01</v>
      </c>
      <c r="R290">
        <v>1.20635416060686E-2</v>
      </c>
      <c r="S290">
        <v>-5.7376530021429001E-3</v>
      </c>
      <c r="T290">
        <v>-0.09</v>
      </c>
    </row>
    <row r="291" spans="1:20" x14ac:dyDescent="0.3">
      <c r="A291" t="s">
        <v>35</v>
      </c>
      <c r="B291">
        <v>2019</v>
      </c>
      <c r="C291">
        <v>186587.29689999999</v>
      </c>
      <c r="D291" s="1">
        <v>0</v>
      </c>
      <c r="E291" s="1">
        <v>0.92973595857620195</v>
      </c>
      <c r="F291" s="1">
        <v>9.2999999999999999E-2</v>
      </c>
      <c r="G291" s="1">
        <f t="shared" si="8"/>
        <v>2.3999999999999994E-2</v>
      </c>
      <c r="H291" s="1" t="str">
        <f t="shared" si="9"/>
        <v/>
      </c>
      <c r="I291" s="1">
        <v>1.7000000000000001E-2</v>
      </c>
      <c r="J291" s="1">
        <f>+D291-F291+I291*O291</f>
        <v>-5.577E-2</v>
      </c>
      <c r="K291" s="1">
        <v>3.0063541606068601E-2</v>
      </c>
      <c r="L291" s="1">
        <f>+K291-J291</f>
        <v>8.5833541606068597E-2</v>
      </c>
      <c r="M291" s="1">
        <v>1.20635416060686E-2</v>
      </c>
      <c r="N291" s="1">
        <f>+M291-J291</f>
        <v>6.7833541606068595E-2</v>
      </c>
      <c r="O291">
        <v>2.19</v>
      </c>
      <c r="P291" t="s">
        <v>15</v>
      </c>
      <c r="Q291">
        <v>-0.01</v>
      </c>
      <c r="R291">
        <v>1.94342901110648E-2</v>
      </c>
      <c r="S291">
        <v>5.8509968221189597E-4</v>
      </c>
      <c r="T291">
        <v>0.1</v>
      </c>
    </row>
    <row r="292" spans="1:20" x14ac:dyDescent="0.3">
      <c r="A292" t="s">
        <v>35</v>
      </c>
      <c r="B292">
        <v>2020</v>
      </c>
      <c r="C292">
        <v>186724.39060000001</v>
      </c>
      <c r="D292" s="1">
        <v>2.5999999999999999E-2</v>
      </c>
      <c r="E292" s="1">
        <v>0.95507681369781505</v>
      </c>
      <c r="F292" s="1">
        <v>-0.16500000000000001</v>
      </c>
      <c r="G292" s="1">
        <f t="shared" si="8"/>
        <v>-0.14100000000000001</v>
      </c>
      <c r="H292" s="1">
        <f t="shared" si="9"/>
        <v>9.5323365181684411E-2</v>
      </c>
      <c r="I292" s="1">
        <v>2.5000000000000001E-2</v>
      </c>
      <c r="J292" s="1">
        <f>+D292-F292+I292*O292</f>
        <v>0.23675000000000002</v>
      </c>
      <c r="K292" s="1">
        <v>3.1434290111064897E-2</v>
      </c>
      <c r="L292" s="1">
        <f>+K292-J292</f>
        <v>-0.20531570988893511</v>
      </c>
      <c r="M292" s="1">
        <v>1.94342901110648E-2</v>
      </c>
      <c r="N292" s="1">
        <f>+M292-J292</f>
        <v>-0.21731570988893523</v>
      </c>
      <c r="O292">
        <v>1.83</v>
      </c>
      <c r="P292" t="s">
        <v>17</v>
      </c>
      <c r="Q292">
        <v>0</v>
      </c>
      <c r="R292">
        <v>8.2428371787071006E-2</v>
      </c>
      <c r="S292">
        <v>3.88387590646741E-2</v>
      </c>
      <c r="T292">
        <v>-0.13</v>
      </c>
    </row>
    <row r="293" spans="1:20" x14ac:dyDescent="0.3">
      <c r="A293" t="s">
        <v>35</v>
      </c>
      <c r="B293">
        <v>2021</v>
      </c>
      <c r="C293">
        <v>186802.3125</v>
      </c>
      <c r="D293" s="1">
        <v>0</v>
      </c>
      <c r="E293" s="1">
        <v>0.97779750823974598</v>
      </c>
      <c r="F293" s="1">
        <v>8.5999999999999993E-2</v>
      </c>
      <c r="G293" s="1">
        <f t="shared" si="8"/>
        <v>-5.5000000000000021E-2</v>
      </c>
      <c r="H293" s="1" t="str">
        <f t="shared" si="9"/>
        <v/>
      </c>
      <c r="I293" s="1">
        <v>2.3E-2</v>
      </c>
      <c r="J293" s="1">
        <f>+D293-F293+I293*O293</f>
        <v>-4.0459999999999996E-2</v>
      </c>
      <c r="K293" s="1">
        <v>0.12942837178707101</v>
      </c>
      <c r="L293" s="1">
        <f>+K293-J293</f>
        <v>0.169888371787071</v>
      </c>
      <c r="M293" s="1">
        <v>8.2428371787071006E-2</v>
      </c>
      <c r="N293" s="1">
        <f>+M293-J293</f>
        <v>0.122888371787071</v>
      </c>
      <c r="O293">
        <v>1.98</v>
      </c>
      <c r="P293" t="s">
        <v>15</v>
      </c>
      <c r="Q293">
        <v>0.04</v>
      </c>
      <c r="R293">
        <v>-1.87816414237022E-2</v>
      </c>
      <c r="S293">
        <v>1.3321865350008099E-2</v>
      </c>
      <c r="T293">
        <v>0.06</v>
      </c>
    </row>
    <row r="294" spans="1:20" x14ac:dyDescent="0.3">
      <c r="A294" t="s">
        <v>35</v>
      </c>
      <c r="B294">
        <v>2022</v>
      </c>
      <c r="C294">
        <v>186856.20310000001</v>
      </c>
      <c r="D294" s="1">
        <v>0</v>
      </c>
      <c r="E294" s="1">
        <v>0.96691936254501298</v>
      </c>
      <c r="F294" s="1">
        <v>-0.104</v>
      </c>
      <c r="G294" s="1">
        <f t="shared" si="8"/>
        <v>-0.15900000000000003</v>
      </c>
      <c r="H294" s="1" t="str">
        <f t="shared" si="9"/>
        <v/>
      </c>
      <c r="I294" s="1">
        <v>-1.0999999999999999E-2</v>
      </c>
      <c r="J294" s="1">
        <f>+D294-F294+I294*O294</f>
        <v>8.4419999999999995E-2</v>
      </c>
      <c r="K294" s="1">
        <v>6.1218358576297802E-2</v>
      </c>
      <c r="L294" s="1">
        <f>+K294-J294</f>
        <v>-2.3201641423702193E-2</v>
      </c>
      <c r="M294" s="1">
        <v>-1.87816414237022E-2</v>
      </c>
      <c r="N294" s="1">
        <f>+M294-J294</f>
        <v>-0.1032016414237022</v>
      </c>
      <c r="O294">
        <v>1.78</v>
      </c>
      <c r="P294" t="s">
        <v>16</v>
      </c>
      <c r="Q294">
        <v>0.01</v>
      </c>
      <c r="R294">
        <v>4.7734537363052297E-2</v>
      </c>
      <c r="S294">
        <v>6.7293465137481606E-2</v>
      </c>
      <c r="T294">
        <v>-0.09</v>
      </c>
    </row>
    <row r="295" spans="1:20" x14ac:dyDescent="0.3">
      <c r="A295" t="s">
        <v>36</v>
      </c>
      <c r="B295">
        <v>2006</v>
      </c>
      <c r="C295">
        <v>152990.4063</v>
      </c>
      <c r="D295" s="1">
        <v>4.0000000000000001E-3</v>
      </c>
      <c r="E295" s="1">
        <v>0.91705739498138406</v>
      </c>
      <c r="F295" s="1">
        <v>6.7000000000000004E-2</v>
      </c>
      <c r="G295" s="1">
        <f t="shared" si="8"/>
        <v>6.7000000000000004E-2</v>
      </c>
      <c r="H295" s="1" t="str">
        <f t="shared" si="9"/>
        <v/>
      </c>
      <c r="I295" s="1">
        <v>8.0000000000000002E-3</v>
      </c>
      <c r="J295" s="1">
        <f>+D295-F295+I295*O295</f>
        <v>-4.6920000000000003E-2</v>
      </c>
      <c r="K295" s="1">
        <v>2.0222961902618401E-2</v>
      </c>
      <c r="L295" s="1">
        <f>+K295-J295</f>
        <v>6.7142961902618398E-2</v>
      </c>
      <c r="M295" s="1">
        <v>-1.1777038097381599E-2</v>
      </c>
      <c r="N295" s="1">
        <f>+M295-J295</f>
        <v>3.5142961902618404E-2</v>
      </c>
      <c r="O295">
        <v>2.0099999999999998</v>
      </c>
      <c r="P295" t="s">
        <v>15</v>
      </c>
      <c r="Q295">
        <v>-0.02</v>
      </c>
      <c r="R295">
        <v>-6.2738870233296998E-3</v>
      </c>
      <c r="S295">
        <v>-5.3521310910581996E-3</v>
      </c>
      <c r="T295">
        <v>0.06</v>
      </c>
    </row>
    <row r="296" spans="1:20" x14ac:dyDescent="0.3">
      <c r="A296" t="s">
        <v>36</v>
      </c>
      <c r="B296">
        <v>2007</v>
      </c>
      <c r="C296">
        <v>154804</v>
      </c>
      <c r="D296" s="1">
        <v>1E-3</v>
      </c>
      <c r="E296" s="1">
        <v>0.92467647790908802</v>
      </c>
      <c r="F296" s="1">
        <v>6.0999999999999999E-2</v>
      </c>
      <c r="G296" s="1">
        <f t="shared" si="8"/>
        <v>0.128</v>
      </c>
      <c r="H296" s="1">
        <f t="shared" si="9"/>
        <v>-3.0398801900446493E-3</v>
      </c>
      <c r="I296" s="1">
        <v>8.0000000000000002E-3</v>
      </c>
      <c r="J296" s="1">
        <f>+D296-F296+I296*O296</f>
        <v>-4.2959999999999998E-2</v>
      </c>
      <c r="K296" s="1">
        <v>2.27261129766703E-2</v>
      </c>
      <c r="L296" s="1">
        <f>+K296-J296</f>
        <v>6.5686112976670291E-2</v>
      </c>
      <c r="M296" s="1">
        <v>-6.2738870233296998E-3</v>
      </c>
      <c r="N296" s="1">
        <f>+M296-J296</f>
        <v>3.66861129766703E-2</v>
      </c>
      <c r="O296">
        <v>2.13</v>
      </c>
      <c r="P296" t="s">
        <v>15</v>
      </c>
      <c r="Q296">
        <v>-0.01</v>
      </c>
      <c r="R296">
        <v>-2.3818223096430301E-2</v>
      </c>
      <c r="S296">
        <v>5.6925811804831002E-3</v>
      </c>
      <c r="T296">
        <v>0.06</v>
      </c>
    </row>
    <row r="297" spans="1:20" x14ac:dyDescent="0.3">
      <c r="A297" t="s">
        <v>36</v>
      </c>
      <c r="B297">
        <v>2008</v>
      </c>
      <c r="C297">
        <v>156589.5938</v>
      </c>
      <c r="D297" s="1">
        <v>6.0000000000000001E-3</v>
      </c>
      <c r="E297" s="1">
        <v>0.93334490060806297</v>
      </c>
      <c r="F297" s="1">
        <v>-0.14599999999999999</v>
      </c>
      <c r="G297" s="1">
        <f t="shared" si="8"/>
        <v>-1.7999999999999988E-2</v>
      </c>
      <c r="H297" s="1" t="str">
        <f t="shared" si="9"/>
        <v/>
      </c>
      <c r="I297" s="1">
        <v>8.9999999999999993E-3</v>
      </c>
      <c r="J297" s="1">
        <f>+D297-F297+I297*O297</f>
        <v>0.16838</v>
      </c>
      <c r="K297" s="1">
        <v>1.41817769035697E-2</v>
      </c>
      <c r="L297" s="1">
        <f>+K297-J297</f>
        <v>-0.1541982230964303</v>
      </c>
      <c r="M297" s="1">
        <v>-2.3818223096430301E-2</v>
      </c>
      <c r="N297" s="1">
        <f>+M297-J297</f>
        <v>-0.19219822309643031</v>
      </c>
      <c r="O297">
        <v>1.82</v>
      </c>
      <c r="P297" t="s">
        <v>17</v>
      </c>
      <c r="Q297">
        <v>0.01</v>
      </c>
      <c r="R297">
        <v>-1.6261537283658999E-2</v>
      </c>
      <c r="S297">
        <v>1.03051643818616E-2</v>
      </c>
      <c r="T297">
        <v>-0.15</v>
      </c>
    </row>
    <row r="298" spans="1:20" x14ac:dyDescent="0.3">
      <c r="A298" t="s">
        <v>36</v>
      </c>
      <c r="B298">
        <v>2009</v>
      </c>
      <c r="C298">
        <v>158375.10939999999</v>
      </c>
      <c r="D298" s="1">
        <v>1E-3</v>
      </c>
      <c r="E298" s="1">
        <v>0.930988550186157</v>
      </c>
      <c r="F298" s="1">
        <v>0.14299999999999999</v>
      </c>
      <c r="G298" s="1">
        <f t="shared" si="8"/>
        <v>0.125</v>
      </c>
      <c r="H298" s="1">
        <f t="shared" si="9"/>
        <v>5.2821002900600451E-3</v>
      </c>
      <c r="I298" s="1">
        <v>-2E-3</v>
      </c>
      <c r="J298" s="1">
        <f>+D298-F298+I298*O298</f>
        <v>-0.14615999999999998</v>
      </c>
      <c r="K298" s="1">
        <v>-2.0261537283658999E-2</v>
      </c>
      <c r="L298" s="1">
        <f>+K298-J298</f>
        <v>0.12589846271634098</v>
      </c>
      <c r="M298" s="1">
        <v>-1.6261537283658999E-2</v>
      </c>
      <c r="N298" s="1">
        <f>+M298-J298</f>
        <v>0.12989846271634098</v>
      </c>
      <c r="O298">
        <v>2.08</v>
      </c>
      <c r="P298" t="s">
        <v>17</v>
      </c>
      <c r="Q298">
        <v>0.01</v>
      </c>
      <c r="R298">
        <v>-1.39796754196286E-2</v>
      </c>
      <c r="S298">
        <v>-4.5195666607469303E-3</v>
      </c>
      <c r="T298">
        <v>0.12</v>
      </c>
    </row>
    <row r="299" spans="1:20" x14ac:dyDescent="0.3">
      <c r="A299" t="s">
        <v>36</v>
      </c>
      <c r="B299">
        <v>2010</v>
      </c>
      <c r="C299">
        <v>160151.79689999999</v>
      </c>
      <c r="D299" s="1">
        <v>0.02</v>
      </c>
      <c r="E299" s="1">
        <v>0.93025285005569502</v>
      </c>
      <c r="F299" s="1">
        <v>-4.1000000000000002E-2</v>
      </c>
      <c r="G299" s="1">
        <f t="shared" si="8"/>
        <v>8.3999999999999991E-2</v>
      </c>
      <c r="H299" s="1" t="str">
        <f t="shared" si="9"/>
        <v/>
      </c>
      <c r="I299" s="1">
        <v>-1E-3</v>
      </c>
      <c r="J299" s="1">
        <f>+D299-F299+I299*O299</f>
        <v>5.901E-2</v>
      </c>
      <c r="K299" s="1">
        <v>2.0203245803713799E-3</v>
      </c>
      <c r="L299" s="1">
        <f>+K299-J299</f>
        <v>-5.698967541962862E-2</v>
      </c>
      <c r="M299" s="1">
        <v>-1.39796754196286E-2</v>
      </c>
      <c r="N299" s="1">
        <f>+M299-J299</f>
        <v>-7.29896754196286E-2</v>
      </c>
      <c r="O299">
        <v>1.99</v>
      </c>
      <c r="P299" t="s">
        <v>16</v>
      </c>
      <c r="Q299">
        <v>0</v>
      </c>
      <c r="R299">
        <v>-2.34561240002512E-2</v>
      </c>
      <c r="S299">
        <v>-2.1723494864999901E-3</v>
      </c>
      <c r="T299">
        <v>-0.05</v>
      </c>
    </row>
    <row r="300" spans="1:20" x14ac:dyDescent="0.3">
      <c r="A300" t="s">
        <v>36</v>
      </c>
      <c r="B300">
        <v>2011</v>
      </c>
      <c r="C300">
        <v>160840.29689999999</v>
      </c>
      <c r="D300" s="1">
        <v>1.0999999999999999E-2</v>
      </c>
      <c r="E300" s="1">
        <v>0.93769735097885099</v>
      </c>
      <c r="F300" s="1">
        <v>-7.9000000000000001E-2</v>
      </c>
      <c r="G300" s="1">
        <f t="shared" si="8"/>
        <v>4.9999999999999906E-3</v>
      </c>
      <c r="H300" s="1" t="str">
        <f t="shared" si="9"/>
        <v/>
      </c>
      <c r="I300" s="1">
        <v>7.0000000000000001E-3</v>
      </c>
      <c r="J300" s="1">
        <f>+D300-F300+I300*O300</f>
        <v>0.10288</v>
      </c>
      <c r="K300" s="1">
        <v>8.5438759997487103E-3</v>
      </c>
      <c r="L300" s="1">
        <f>+K300-J300</f>
        <v>-9.4336124000251292E-2</v>
      </c>
      <c r="M300" s="1">
        <v>-2.34561240002512E-2</v>
      </c>
      <c r="N300" s="1">
        <f>+M300-J300</f>
        <v>-0.12633612400025121</v>
      </c>
      <c r="O300">
        <v>1.84</v>
      </c>
      <c r="P300" t="s">
        <v>17</v>
      </c>
      <c r="Q300">
        <v>0</v>
      </c>
      <c r="R300">
        <v>-3.8518070280552002E-3</v>
      </c>
      <c r="S300">
        <v>1.5863990411161899E-3</v>
      </c>
      <c r="T300">
        <v>-0.08</v>
      </c>
    </row>
    <row r="301" spans="1:20" x14ac:dyDescent="0.3">
      <c r="A301" t="s">
        <v>36</v>
      </c>
      <c r="B301">
        <v>2012</v>
      </c>
      <c r="C301">
        <v>161028.5</v>
      </c>
      <c r="D301" s="1">
        <v>0</v>
      </c>
      <c r="E301" s="1">
        <v>0.94823437929153398</v>
      </c>
      <c r="F301" s="1">
        <v>5.1999999999999998E-2</v>
      </c>
      <c r="G301" s="1">
        <f t="shared" si="8"/>
        <v>5.6999999999999988E-2</v>
      </c>
      <c r="H301" s="1" t="str">
        <f t="shared" si="9"/>
        <v/>
      </c>
      <c r="I301" s="1">
        <v>1.0999999999999999E-2</v>
      </c>
      <c r="J301" s="1">
        <f>+D301-F301+I301*O301</f>
        <v>-3.0769999999999999E-2</v>
      </c>
      <c r="K301" s="1">
        <v>1.7148192971944799E-2</v>
      </c>
      <c r="L301" s="1">
        <f>+K301-J301</f>
        <v>4.7918192971944801E-2</v>
      </c>
      <c r="M301" s="1">
        <v>-3.8518070280552002E-3</v>
      </c>
      <c r="N301" s="1">
        <f>+M301-J301</f>
        <v>2.6918192971944799E-2</v>
      </c>
      <c r="O301">
        <v>1.93</v>
      </c>
      <c r="P301" t="s">
        <v>15</v>
      </c>
      <c r="Q301">
        <v>0</v>
      </c>
      <c r="R301">
        <v>-5.2392774820327701E-3</v>
      </c>
      <c r="S301">
        <v>-1.1366048827767299E-2</v>
      </c>
      <c r="T301">
        <v>0.05</v>
      </c>
    </row>
    <row r="302" spans="1:20" x14ac:dyDescent="0.3">
      <c r="A302" t="s">
        <v>36</v>
      </c>
      <c r="B302">
        <v>2013</v>
      </c>
      <c r="C302">
        <v>160806.5938</v>
      </c>
      <c r="D302" s="1">
        <v>7.0000000000000001E-3</v>
      </c>
      <c r="E302" s="1">
        <v>0.95230561494827304</v>
      </c>
      <c r="F302" s="1">
        <v>-1.7999999999999999E-2</v>
      </c>
      <c r="G302" s="1">
        <f t="shared" si="8"/>
        <v>3.8999999999999993E-2</v>
      </c>
      <c r="H302" s="1" t="str">
        <f t="shared" si="9"/>
        <v/>
      </c>
      <c r="I302" s="1">
        <v>4.0000000000000001E-3</v>
      </c>
      <c r="J302" s="1">
        <f>+D302-F302+I302*O302</f>
        <v>3.2599999999999997E-2</v>
      </c>
      <c r="K302" s="1">
        <v>9.7607225179672207E-3</v>
      </c>
      <c r="L302" s="1">
        <f>+K302-J302</f>
        <v>-2.2839277482032776E-2</v>
      </c>
      <c r="M302" s="1">
        <v>-5.2392774820327701E-3</v>
      </c>
      <c r="N302" s="1">
        <f>+M302-J302</f>
        <v>-3.7839277482032765E-2</v>
      </c>
      <c r="O302">
        <v>1.9</v>
      </c>
      <c r="P302" t="s">
        <v>17</v>
      </c>
      <c r="Q302">
        <v>-0.01</v>
      </c>
      <c r="R302">
        <v>-1.6737257243599701E-2</v>
      </c>
      <c r="S302">
        <v>-1.8745280744042199E-2</v>
      </c>
      <c r="T302">
        <v>-0.03</v>
      </c>
    </row>
    <row r="303" spans="1:20" x14ac:dyDescent="0.3">
      <c r="A303" t="s">
        <v>36</v>
      </c>
      <c r="B303">
        <v>2014</v>
      </c>
      <c r="C303">
        <v>161112</v>
      </c>
      <c r="D303" s="1">
        <v>5.0000000000000001E-3</v>
      </c>
      <c r="E303" s="1">
        <v>0.93764626979827903</v>
      </c>
      <c r="F303" s="1">
        <v>9.6000000000000002E-2</v>
      </c>
      <c r="G303" s="1">
        <f t="shared" si="8"/>
        <v>0.13500000000000001</v>
      </c>
      <c r="H303" s="1">
        <f t="shared" si="9"/>
        <v>2.7602502144873149E-2</v>
      </c>
      <c r="I303" s="1">
        <v>-1.4999999999999999E-2</v>
      </c>
      <c r="J303" s="1">
        <f>+D303-F303+I303*O303</f>
        <v>-0.1222</v>
      </c>
      <c r="K303" s="1">
        <v>-7.3725724359974298E-4</v>
      </c>
      <c r="L303" s="1">
        <f>+K303-J303</f>
        <v>0.12146274275640026</v>
      </c>
      <c r="M303" s="1">
        <v>-1.6737257243599701E-2</v>
      </c>
      <c r="N303" s="1">
        <f>+M303-J303</f>
        <v>0.1054627427564003</v>
      </c>
      <c r="O303">
        <v>2.08</v>
      </c>
      <c r="P303" t="s">
        <v>17</v>
      </c>
      <c r="Q303">
        <v>-0.02</v>
      </c>
      <c r="R303">
        <v>2.01267601698637E-2</v>
      </c>
      <c r="S303">
        <v>-1.0136691853403899E-2</v>
      </c>
      <c r="T303">
        <v>0.09</v>
      </c>
    </row>
    <row r="304" spans="1:20" x14ac:dyDescent="0.3">
      <c r="A304" t="s">
        <v>36</v>
      </c>
      <c r="B304">
        <v>2015</v>
      </c>
      <c r="C304">
        <v>161201.79689999999</v>
      </c>
      <c r="D304" s="1">
        <v>1.2999999999999999E-2</v>
      </c>
      <c r="E304" s="1">
        <v>0.95414769649505604</v>
      </c>
      <c r="F304" s="1">
        <v>-2.5999999999999999E-2</v>
      </c>
      <c r="G304" s="1">
        <f t="shared" si="8"/>
        <v>0.10900000000000001</v>
      </c>
      <c r="H304" s="1" t="str">
        <f t="shared" si="9"/>
        <v/>
      </c>
      <c r="I304" s="1">
        <v>1.7000000000000001E-2</v>
      </c>
      <c r="J304" s="1">
        <f>+D304-F304+I304*O304</f>
        <v>7.3509999999999992E-2</v>
      </c>
      <c r="K304" s="1">
        <v>2.1126760169863701E-2</v>
      </c>
      <c r="L304" s="1">
        <f>+K304-J304</f>
        <v>-5.2383239830136291E-2</v>
      </c>
      <c r="M304" s="1">
        <v>2.01267601698637E-2</v>
      </c>
      <c r="N304" s="1">
        <f>+M304-J304</f>
        <v>-5.3383239830136292E-2</v>
      </c>
      <c r="O304">
        <v>2.0299999999999998</v>
      </c>
      <c r="P304" t="s">
        <v>17</v>
      </c>
      <c r="Q304">
        <v>-0.01</v>
      </c>
      <c r="R304">
        <v>2.10782441198826E-2</v>
      </c>
      <c r="S304">
        <v>7.9246871173381996E-3</v>
      </c>
      <c r="T304">
        <v>-0.02</v>
      </c>
    </row>
    <row r="305" spans="1:20" x14ac:dyDescent="0.3">
      <c r="A305" t="s">
        <v>36</v>
      </c>
      <c r="B305">
        <v>2016</v>
      </c>
      <c r="C305">
        <v>161783.0938</v>
      </c>
      <c r="D305" s="1">
        <v>2.7E-2</v>
      </c>
      <c r="E305" s="1">
        <v>0.952448129653931</v>
      </c>
      <c r="F305" s="1">
        <v>3.1E-2</v>
      </c>
      <c r="G305" s="1">
        <f t="shared" si="8"/>
        <v>0.14000000000000001</v>
      </c>
      <c r="H305" s="1">
        <f t="shared" si="9"/>
        <v>1.8196773715317249E-2</v>
      </c>
      <c r="I305" s="1">
        <v>-2E-3</v>
      </c>
      <c r="J305" s="1">
        <f>+D305-F305+I305*O305</f>
        <v>-8.1799999999999998E-3</v>
      </c>
      <c r="K305" s="1">
        <v>3.4078244119882597E-2</v>
      </c>
      <c r="L305" s="1">
        <f>+K305-J305</f>
        <v>4.2258244119882597E-2</v>
      </c>
      <c r="M305" s="1">
        <v>2.10782441198826E-2</v>
      </c>
      <c r="N305" s="1">
        <f>+M305-J305</f>
        <v>2.92582441198826E-2</v>
      </c>
      <c r="O305">
        <v>2.09</v>
      </c>
      <c r="P305" t="s">
        <v>17</v>
      </c>
      <c r="Q305">
        <v>0.01</v>
      </c>
      <c r="R305">
        <v>-5.2104055881501501E-5</v>
      </c>
      <c r="S305">
        <v>-2.84167751669879E-3</v>
      </c>
      <c r="T305">
        <v>0.03</v>
      </c>
    </row>
    <row r="306" spans="1:20" x14ac:dyDescent="0.3">
      <c r="A306" t="s">
        <v>36</v>
      </c>
      <c r="B306">
        <v>2017</v>
      </c>
      <c r="C306">
        <v>161725.4063</v>
      </c>
      <c r="D306" s="1">
        <v>-1.2E-2</v>
      </c>
      <c r="E306" s="1">
        <v>0.96468251943588301</v>
      </c>
      <c r="F306" s="1">
        <v>8.9999999999999993E-3</v>
      </c>
      <c r="G306" s="1">
        <f t="shared" si="8"/>
        <v>0.14900000000000002</v>
      </c>
      <c r="H306" s="1">
        <f t="shared" si="9"/>
        <v>2.449494879692795E-2</v>
      </c>
      <c r="I306" s="1">
        <v>1.2E-2</v>
      </c>
      <c r="J306" s="1">
        <f>+D306-F306+I306*O306</f>
        <v>4.3200000000000009E-3</v>
      </c>
      <c r="K306" s="1">
        <v>2.09478959441185E-2</v>
      </c>
      <c r="L306" s="1">
        <f>+K306-J306</f>
        <v>1.6627895944118499E-2</v>
      </c>
      <c r="M306" s="1">
        <v>-5.2104055881501501E-5</v>
      </c>
      <c r="N306" s="1">
        <f>+M306-J306</f>
        <v>-4.3721040558815025E-3</v>
      </c>
      <c r="O306">
        <v>2.11</v>
      </c>
      <c r="P306" t="s">
        <v>15</v>
      </c>
      <c r="Q306">
        <v>0</v>
      </c>
      <c r="R306">
        <v>-8.5543485134839999E-3</v>
      </c>
      <c r="S306">
        <v>-1.7689371481537701E-2</v>
      </c>
      <c r="T306">
        <v>0.01</v>
      </c>
    </row>
    <row r="307" spans="1:20" x14ac:dyDescent="0.3">
      <c r="A307" t="s">
        <v>36</v>
      </c>
      <c r="B307">
        <v>2018</v>
      </c>
      <c r="C307">
        <v>161608.3125</v>
      </c>
      <c r="D307" s="1">
        <v>1.2E-2</v>
      </c>
      <c r="E307" s="1">
        <v>0.96478509902954102</v>
      </c>
      <c r="F307" s="1">
        <v>-0.03</v>
      </c>
      <c r="G307" s="1">
        <f t="shared" si="8"/>
        <v>0.11900000000000002</v>
      </c>
      <c r="H307" s="1" t="str">
        <f t="shared" si="9"/>
        <v/>
      </c>
      <c r="I307" s="1">
        <v>0</v>
      </c>
      <c r="J307" s="1">
        <f>+D307-F307+I307*O307</f>
        <v>4.1999999999999996E-2</v>
      </c>
      <c r="K307" s="1">
        <v>1.5445651486516001E-2</v>
      </c>
      <c r="L307" s="1">
        <f>+K307-J307</f>
        <v>-2.6554348513483997E-2</v>
      </c>
      <c r="M307" s="1">
        <v>-8.5543485134839999E-3</v>
      </c>
      <c r="N307" s="1">
        <f>+M307-J307</f>
        <v>-5.0554348513483997E-2</v>
      </c>
      <c r="O307">
        <v>2.0499999999999998</v>
      </c>
      <c r="P307" t="s">
        <v>17</v>
      </c>
      <c r="Q307">
        <v>-0.02</v>
      </c>
      <c r="R307">
        <v>1.55442461073399E-2</v>
      </c>
      <c r="S307">
        <v>-2.2569485008716002E-3</v>
      </c>
      <c r="T307">
        <v>-0.02</v>
      </c>
    </row>
    <row r="308" spans="1:20" x14ac:dyDescent="0.3">
      <c r="A308" t="s">
        <v>36</v>
      </c>
      <c r="B308">
        <v>2019</v>
      </c>
      <c r="C308">
        <v>161405.5938</v>
      </c>
      <c r="D308" s="1">
        <v>2E-3</v>
      </c>
      <c r="E308" s="1">
        <v>0.97929996252059903</v>
      </c>
      <c r="F308" s="1">
        <v>3.3000000000000002E-2</v>
      </c>
      <c r="G308" s="1">
        <f t="shared" si="8"/>
        <v>0.15200000000000002</v>
      </c>
      <c r="H308" s="1">
        <f t="shared" si="9"/>
        <v>3.3405601978302002E-2</v>
      </c>
      <c r="I308" s="1">
        <v>1.4999999999999999E-2</v>
      </c>
      <c r="J308" s="1">
        <f>+D308-F308+I308*O308</f>
        <v>6.499999999999978E-4</v>
      </c>
      <c r="K308" s="1">
        <v>3.3544246107339901E-2</v>
      </c>
      <c r="L308" s="1">
        <f>+K308-J308</f>
        <v>3.2894246107339903E-2</v>
      </c>
      <c r="M308" s="1">
        <v>1.55442461073399E-2</v>
      </c>
      <c r="N308" s="1">
        <f>+M308-J308</f>
        <v>1.4894246107339902E-2</v>
      </c>
      <c r="O308">
        <v>2.11</v>
      </c>
      <c r="P308" t="s">
        <v>15</v>
      </c>
      <c r="Q308">
        <v>0</v>
      </c>
      <c r="R308">
        <v>1.48529616296291E-2</v>
      </c>
      <c r="S308">
        <v>-3.9962287992238998E-3</v>
      </c>
      <c r="T308">
        <v>0.04</v>
      </c>
    </row>
    <row r="309" spans="1:20" x14ac:dyDescent="0.3">
      <c r="A309" t="s">
        <v>36</v>
      </c>
      <c r="B309">
        <v>2020</v>
      </c>
      <c r="C309">
        <v>162162.20310000001</v>
      </c>
      <c r="D309" s="1">
        <v>2.4E-2</v>
      </c>
      <c r="E309" s="1">
        <v>0.97475689649581898</v>
      </c>
      <c r="F309" s="1">
        <v>-6.2E-2</v>
      </c>
      <c r="G309" s="1">
        <f t="shared" si="8"/>
        <v>9.0000000000000024E-2</v>
      </c>
      <c r="H309" s="1" t="str">
        <f t="shared" si="9"/>
        <v/>
      </c>
      <c r="I309" s="1">
        <v>-5.0000000000000001E-3</v>
      </c>
      <c r="J309" s="1">
        <f>+D309-F309+I309*O309</f>
        <v>7.6099999999999987E-2</v>
      </c>
      <c r="K309" s="1">
        <v>2.68529616296291E-2</v>
      </c>
      <c r="L309" s="1">
        <f>+K309-J309</f>
        <v>-4.9247038370370887E-2</v>
      </c>
      <c r="M309" s="1">
        <v>1.48529616296291E-2</v>
      </c>
      <c r="N309" s="1">
        <f>+M309-J309</f>
        <v>-6.124703837037089E-2</v>
      </c>
      <c r="O309">
        <v>1.98</v>
      </c>
      <c r="P309" t="s">
        <v>16</v>
      </c>
      <c r="Q309">
        <v>0</v>
      </c>
      <c r="R309">
        <v>-7.0417576730250897E-3</v>
      </c>
      <c r="S309">
        <v>-5.0631370395422003E-2</v>
      </c>
      <c r="T309">
        <v>-0.02</v>
      </c>
    </row>
    <row r="310" spans="1:20" x14ac:dyDescent="0.3">
      <c r="A310" t="s">
        <v>36</v>
      </c>
      <c r="B310">
        <v>2021</v>
      </c>
      <c r="C310">
        <v>162718.5938</v>
      </c>
      <c r="D310" s="1">
        <v>3.0000000000000001E-3</v>
      </c>
      <c r="E310" s="1">
        <v>0.98504269123077404</v>
      </c>
      <c r="F310" s="1">
        <v>-4.7E-2</v>
      </c>
      <c r="G310" s="1">
        <f t="shared" si="8"/>
        <v>4.3000000000000024E-2</v>
      </c>
      <c r="H310" s="1" t="str">
        <f t="shared" si="9"/>
        <v/>
      </c>
      <c r="I310" s="1">
        <v>0.01</v>
      </c>
      <c r="J310" s="1">
        <f>+D310-F310+I310*O310</f>
        <v>6.8900000000000003E-2</v>
      </c>
      <c r="K310" s="1">
        <v>3.9958242326974897E-2</v>
      </c>
      <c r="L310" s="1">
        <f>+K310-J310</f>
        <v>-2.8941757673025106E-2</v>
      </c>
      <c r="M310" s="1">
        <v>-7.0417576730250897E-3</v>
      </c>
      <c r="N310" s="1">
        <f>+M310-J310</f>
        <v>-7.5941757673025093E-2</v>
      </c>
      <c r="O310">
        <v>1.89</v>
      </c>
      <c r="P310" t="s">
        <v>17</v>
      </c>
      <c r="Q310">
        <v>-0.05</v>
      </c>
      <c r="R310">
        <v>-1.8428930938243899E-2</v>
      </c>
      <c r="S310">
        <v>1.36745758354663E-2</v>
      </c>
      <c r="T310">
        <v>-0.08</v>
      </c>
    </row>
    <row r="311" spans="1:20" x14ac:dyDescent="0.3">
      <c r="A311" t="s">
        <v>36</v>
      </c>
      <c r="B311">
        <v>2022</v>
      </c>
      <c r="C311">
        <v>162727.0938</v>
      </c>
      <c r="D311" s="1">
        <v>1.6E-2</v>
      </c>
      <c r="E311" s="1">
        <v>0.97672778367996205</v>
      </c>
      <c r="F311" s="1">
        <v>-1.7999999999999999E-2</v>
      </c>
      <c r="G311" s="1">
        <f t="shared" si="8"/>
        <v>2.5000000000000026E-2</v>
      </c>
      <c r="H311" s="1" t="str">
        <f t="shared" si="9"/>
        <v/>
      </c>
      <c r="I311" s="1">
        <v>-8.0000000000000002E-3</v>
      </c>
      <c r="J311" s="1">
        <f>+D311-F311+I311*O311</f>
        <v>1.9200000000000002E-2</v>
      </c>
      <c r="K311" s="1">
        <v>6.1571069061756099E-2</v>
      </c>
      <c r="L311" s="1">
        <f>+K311-J311</f>
        <v>4.2371069061756098E-2</v>
      </c>
      <c r="M311" s="1">
        <v>-1.8428930938243899E-2</v>
      </c>
      <c r="N311" s="1">
        <f>+M311-J311</f>
        <v>-3.7628930938243904E-2</v>
      </c>
      <c r="O311">
        <v>1.85</v>
      </c>
      <c r="P311" t="s">
        <v>16</v>
      </c>
      <c r="Q311">
        <v>0.01</v>
      </c>
      <c r="R311">
        <v>-5.2733186483382901E-3</v>
      </c>
      <c r="S311">
        <v>1.4285609126091E-2</v>
      </c>
      <c r="T311">
        <v>0</v>
      </c>
    </row>
    <row r="312" spans="1:20" x14ac:dyDescent="0.3">
      <c r="A312" t="s">
        <v>37</v>
      </c>
      <c r="B312">
        <v>2006</v>
      </c>
      <c r="C312">
        <v>575487.4375</v>
      </c>
      <c r="D312" s="1">
        <v>2.9000000000000001E-2</v>
      </c>
      <c r="E312" s="1">
        <v>0.95532393455505404</v>
      </c>
      <c r="F312" s="1">
        <v>-6.0000000000000001E-3</v>
      </c>
      <c r="G312" s="1">
        <f t="shared" si="8"/>
        <v>-6.0000000000000001E-3</v>
      </c>
      <c r="H312" s="1" t="str">
        <f t="shared" si="9"/>
        <v/>
      </c>
      <c r="I312" s="1">
        <v>1.2999999999999999E-2</v>
      </c>
      <c r="J312" s="1">
        <f>+D312-F312+I312*O312</f>
        <v>6.5939999999999999E-2</v>
      </c>
      <c r="K312" s="1">
        <v>5.9268414974212598E-2</v>
      </c>
      <c r="L312" s="1">
        <f>+K312-J312</f>
        <v>-6.6715850257874007E-3</v>
      </c>
      <c r="M312" s="1">
        <v>2.72684149742125E-2</v>
      </c>
      <c r="N312" s="1">
        <f>+M312-J312</f>
        <v>-3.8671585025787499E-2</v>
      </c>
      <c r="O312">
        <v>2.38</v>
      </c>
      <c r="P312" t="s">
        <v>17</v>
      </c>
      <c r="Q312">
        <v>0.02</v>
      </c>
      <c r="R312">
        <v>1.7820595860481198E-2</v>
      </c>
      <c r="S312">
        <v>1.8742351792752798E-2</v>
      </c>
      <c r="T312">
        <v>-0.01</v>
      </c>
    </row>
    <row r="313" spans="1:20" x14ac:dyDescent="0.3">
      <c r="A313" t="s">
        <v>37</v>
      </c>
      <c r="B313">
        <v>2007</v>
      </c>
      <c r="C313">
        <v>593548</v>
      </c>
      <c r="D313" s="1">
        <v>0.04</v>
      </c>
      <c r="E313" s="1">
        <v>0.94713830947875999</v>
      </c>
      <c r="F313" s="1">
        <v>8.9999999999999993E-3</v>
      </c>
      <c r="G313" s="1">
        <f t="shared" si="8"/>
        <v>2.9999999999999992E-3</v>
      </c>
      <c r="H313" s="1" t="str">
        <f t="shared" si="9"/>
        <v/>
      </c>
      <c r="I313" s="1">
        <v>-8.0000000000000002E-3</v>
      </c>
      <c r="J313" s="1">
        <f>+D313-F313+I313*O313</f>
        <v>1.1800000000000001E-2</v>
      </c>
      <c r="K313" s="1">
        <v>4.6820595860481297E-2</v>
      </c>
      <c r="L313" s="1">
        <f>+K313-J313</f>
        <v>3.5020595860481299E-2</v>
      </c>
      <c r="M313" s="1">
        <v>1.7820595860481198E-2</v>
      </c>
      <c r="N313" s="1">
        <f>+M313-J313</f>
        <v>6.0205958604811968E-3</v>
      </c>
      <c r="O313">
        <v>2.4</v>
      </c>
      <c r="P313" t="s">
        <v>17</v>
      </c>
      <c r="Q313">
        <v>0.02</v>
      </c>
      <c r="R313">
        <v>-2.9953238844871499E-2</v>
      </c>
      <c r="S313">
        <v>-4.4243456795811599E-4</v>
      </c>
      <c r="T313">
        <v>0.01</v>
      </c>
    </row>
    <row r="314" spans="1:20" x14ac:dyDescent="0.3">
      <c r="A314" t="s">
        <v>37</v>
      </c>
      <c r="B314">
        <v>2008</v>
      </c>
      <c r="C314">
        <v>605274.5</v>
      </c>
      <c r="D314" s="1">
        <v>2.3E-2</v>
      </c>
      <c r="E314" s="1">
        <v>0.93383759260177601</v>
      </c>
      <c r="F314" s="1">
        <v>3.2000000000000001E-2</v>
      </c>
      <c r="G314" s="1">
        <f t="shared" si="8"/>
        <v>3.5000000000000003E-2</v>
      </c>
      <c r="H314" s="1" t="str">
        <f t="shared" si="9"/>
        <v/>
      </c>
      <c r="I314" s="1">
        <v>-1.2999999999999999E-2</v>
      </c>
      <c r="J314" s="1">
        <f>+D314-F314+I314*O314</f>
        <v>-4.1110000000000001E-2</v>
      </c>
      <c r="K314" s="1">
        <v>8.0467611551284807E-3</v>
      </c>
      <c r="L314" s="1">
        <f>+K314-J314</f>
        <v>4.915676115512848E-2</v>
      </c>
      <c r="M314" s="1">
        <v>-2.9953238844871499E-2</v>
      </c>
      <c r="N314" s="1">
        <f>+M314-J314</f>
        <v>1.1156761155128501E-2</v>
      </c>
      <c r="O314">
        <v>2.4700000000000002</v>
      </c>
      <c r="P314" t="s">
        <v>17</v>
      </c>
      <c r="Q314">
        <v>0</v>
      </c>
      <c r="R314">
        <v>-5.8760762870311602E-2</v>
      </c>
      <c r="S314">
        <v>-3.2194061204791E-2</v>
      </c>
      <c r="T314">
        <v>0.03</v>
      </c>
    </row>
    <row r="315" spans="1:20" x14ac:dyDescent="0.3">
      <c r="A315" t="s">
        <v>37</v>
      </c>
      <c r="B315">
        <v>2009</v>
      </c>
      <c r="C315">
        <v>613015.9375</v>
      </c>
      <c r="D315" s="1">
        <v>8.9999999999999993E-3</v>
      </c>
      <c r="E315" s="1">
        <v>0.92540818452835105</v>
      </c>
      <c r="F315" s="1">
        <v>1.9E-2</v>
      </c>
      <c r="G315" s="1">
        <f t="shared" si="8"/>
        <v>5.4000000000000006E-2</v>
      </c>
      <c r="H315" s="1" t="str">
        <f t="shared" si="9"/>
        <v/>
      </c>
      <c r="I315" s="1">
        <v>-8.0000000000000002E-3</v>
      </c>
      <c r="J315" s="1">
        <f>+D315-F315+I315*O315</f>
        <v>-3.0159999999999999E-2</v>
      </c>
      <c r="K315" s="1">
        <v>-6.2760762870311695E-2</v>
      </c>
      <c r="L315" s="1">
        <f>+K315-J315</f>
        <v>-3.2600762870311696E-2</v>
      </c>
      <c r="M315" s="1">
        <v>-5.8760762870311602E-2</v>
      </c>
      <c r="N315" s="1">
        <f>+M315-J315</f>
        <v>-2.8600762870311602E-2</v>
      </c>
      <c r="O315">
        <v>2.52</v>
      </c>
      <c r="P315" t="s">
        <v>17</v>
      </c>
      <c r="Q315">
        <v>-0.03</v>
      </c>
      <c r="R315">
        <v>-9.2619440369307998E-3</v>
      </c>
      <c r="S315">
        <v>1.98164721950885E-4</v>
      </c>
      <c r="T315">
        <v>0</v>
      </c>
    </row>
    <row r="316" spans="1:20" x14ac:dyDescent="0.3">
      <c r="A316" t="s">
        <v>37</v>
      </c>
      <c r="B316">
        <v>2010</v>
      </c>
      <c r="C316">
        <v>620364.0625</v>
      </c>
      <c r="D316" s="1">
        <v>0</v>
      </c>
      <c r="E316" s="1">
        <v>0.93705278635025002</v>
      </c>
      <c r="F316" s="1">
        <v>-3.5000000000000003E-2</v>
      </c>
      <c r="G316" s="1">
        <f t="shared" si="8"/>
        <v>1.9000000000000003E-2</v>
      </c>
      <c r="H316" s="1" t="str">
        <f t="shared" si="9"/>
        <v/>
      </c>
      <c r="I316" s="1">
        <v>1.2E-2</v>
      </c>
      <c r="J316" s="1">
        <f>+D316-F316+I316*O316</f>
        <v>6.4160000000000009E-2</v>
      </c>
      <c r="K316" s="1">
        <v>6.7380559630691996E-3</v>
      </c>
      <c r="L316" s="1">
        <f>+K316-J316</f>
        <v>-5.7421944036930808E-2</v>
      </c>
      <c r="M316" s="1">
        <v>-9.2619440369307998E-3</v>
      </c>
      <c r="N316" s="1">
        <f>+M316-J316</f>
        <v>-7.3421944036930809E-2</v>
      </c>
      <c r="O316">
        <v>2.4300000000000002</v>
      </c>
      <c r="P316" t="s">
        <v>17</v>
      </c>
      <c r="Q316">
        <v>0</v>
      </c>
      <c r="R316">
        <v>-1.9489016726613E-2</v>
      </c>
      <c r="S316">
        <v>1.7947577871383E-3</v>
      </c>
      <c r="T316">
        <v>-0.04</v>
      </c>
    </row>
    <row r="317" spans="1:20" x14ac:dyDescent="0.3">
      <c r="A317" t="s">
        <v>37</v>
      </c>
      <c r="B317">
        <v>2011</v>
      </c>
      <c r="C317">
        <v>630100.125</v>
      </c>
      <c r="D317" s="1">
        <v>0</v>
      </c>
      <c r="E317" s="1">
        <v>0.94053381681442305</v>
      </c>
      <c r="F317" s="1">
        <v>1.4E-2</v>
      </c>
      <c r="G317" s="1">
        <f t="shared" si="8"/>
        <v>3.3000000000000002E-2</v>
      </c>
      <c r="H317" s="1" t="str">
        <f t="shared" si="9"/>
        <v/>
      </c>
      <c r="I317" s="1">
        <v>3.0000000000000001E-3</v>
      </c>
      <c r="J317" s="1">
        <f>+D317-F317+I317*O317</f>
        <v>-6.5899999999999995E-3</v>
      </c>
      <c r="K317" s="1">
        <v>1.2510983273387E-2</v>
      </c>
      <c r="L317" s="1">
        <f>+K317-J317</f>
        <v>1.9100983273386999E-2</v>
      </c>
      <c r="M317" s="1">
        <v>-1.9489016726613E-2</v>
      </c>
      <c r="N317" s="1">
        <f>+M317-J317</f>
        <v>-1.2899016726613002E-2</v>
      </c>
      <c r="O317">
        <v>2.4700000000000002</v>
      </c>
      <c r="P317" t="s">
        <v>15</v>
      </c>
      <c r="Q317">
        <v>0</v>
      </c>
      <c r="R317">
        <v>1.54335954785349E-3</v>
      </c>
      <c r="S317">
        <v>6.9815656170249003E-3</v>
      </c>
      <c r="T317">
        <v>0.02</v>
      </c>
    </row>
    <row r="318" spans="1:20" x14ac:dyDescent="0.3">
      <c r="A318" t="s">
        <v>37</v>
      </c>
      <c r="B318">
        <v>2012</v>
      </c>
      <c r="C318">
        <v>640452.8125</v>
      </c>
      <c r="D318" s="1">
        <v>2.3E-2</v>
      </c>
      <c r="E318" s="1">
        <v>0.93984532356262196</v>
      </c>
      <c r="F318" s="1">
        <v>1.7999999999999999E-2</v>
      </c>
      <c r="G318" s="1">
        <f t="shared" si="8"/>
        <v>5.1000000000000004E-2</v>
      </c>
      <c r="H318" s="1" t="str">
        <f t="shared" si="9"/>
        <v/>
      </c>
      <c r="I318" s="1">
        <v>-1E-3</v>
      </c>
      <c r="J318" s="1">
        <f>+D318-F318+I318*O318</f>
        <v>2.4900000000000013E-3</v>
      </c>
      <c r="K318" s="1">
        <v>2.2543359547853501E-2</v>
      </c>
      <c r="L318" s="1">
        <f>+K318-J318</f>
        <v>2.0053359547853498E-2</v>
      </c>
      <c r="M318" s="1">
        <v>1.54335954785349E-3</v>
      </c>
      <c r="N318" s="1">
        <f>+M318-J318</f>
        <v>-9.4664045214651132E-4</v>
      </c>
      <c r="O318">
        <v>2.5099999999999998</v>
      </c>
      <c r="P318" t="s">
        <v>17</v>
      </c>
      <c r="Q318">
        <v>0.01</v>
      </c>
      <c r="R318">
        <v>1.09682890027761E-2</v>
      </c>
      <c r="S318">
        <v>4.8415176570415002E-3</v>
      </c>
      <c r="T318">
        <v>0.01</v>
      </c>
    </row>
    <row r="319" spans="1:20" x14ac:dyDescent="0.3">
      <c r="A319" t="s">
        <v>37</v>
      </c>
      <c r="B319">
        <v>2013</v>
      </c>
      <c r="C319">
        <v>652568.75</v>
      </c>
      <c r="D319" s="1">
        <v>1.0999999999999999E-2</v>
      </c>
      <c r="E319" s="1">
        <v>0.948430895805359</v>
      </c>
      <c r="F319" s="1">
        <v>4.4999999999999998E-2</v>
      </c>
      <c r="G319" s="1">
        <f t="shared" si="8"/>
        <v>9.6000000000000002E-2</v>
      </c>
      <c r="H319" s="1" t="str">
        <f t="shared" si="9"/>
        <v/>
      </c>
      <c r="I319" s="1">
        <v>8.9999999999999993E-3</v>
      </c>
      <c r="J319" s="1">
        <f>+D319-F319+I319*O319</f>
        <v>-1.0330000000000006E-2</v>
      </c>
      <c r="K319" s="1">
        <v>2.5968289002776101E-2</v>
      </c>
      <c r="L319" s="1">
        <f>+K319-J319</f>
        <v>3.629828900277611E-2</v>
      </c>
      <c r="M319" s="1">
        <v>1.09682890027761E-2</v>
      </c>
      <c r="N319" s="1">
        <f>+M319-J319</f>
        <v>2.1298289002776104E-2</v>
      </c>
      <c r="O319">
        <v>2.63</v>
      </c>
      <c r="P319" t="s">
        <v>15</v>
      </c>
      <c r="Q319">
        <v>0</v>
      </c>
      <c r="R319">
        <v>5.9039767980576001E-3</v>
      </c>
      <c r="S319">
        <v>3.8959532976150998E-3</v>
      </c>
      <c r="T319">
        <v>0.04</v>
      </c>
    </row>
    <row r="320" spans="1:20" x14ac:dyDescent="0.3">
      <c r="A320" t="s">
        <v>37</v>
      </c>
      <c r="B320">
        <v>2014</v>
      </c>
      <c r="C320">
        <v>665717.6875</v>
      </c>
      <c r="D320" s="1">
        <v>2.4E-2</v>
      </c>
      <c r="E320" s="1">
        <v>0.94614362716674805</v>
      </c>
      <c r="F320" s="1">
        <v>-0.08</v>
      </c>
      <c r="G320" s="1">
        <f t="shared" si="8"/>
        <v>1.6E-2</v>
      </c>
      <c r="H320" s="1" t="str">
        <f t="shared" si="9"/>
        <v/>
      </c>
      <c r="I320" s="1">
        <v>-2E-3</v>
      </c>
      <c r="J320" s="1">
        <f>+D320-F320+I320*O320</f>
        <v>9.9160000000000012E-2</v>
      </c>
      <c r="K320" s="1">
        <v>2.1903976798057601E-2</v>
      </c>
      <c r="L320" s="1">
        <f>+K320-J320</f>
        <v>-7.7256023201942414E-2</v>
      </c>
      <c r="M320" s="1">
        <v>5.9039767980576001E-3</v>
      </c>
      <c r="N320" s="1">
        <f>+M320-J320</f>
        <v>-9.3256023201942415E-2</v>
      </c>
      <c r="O320">
        <v>2.42</v>
      </c>
      <c r="P320" t="s">
        <v>16</v>
      </c>
      <c r="Q320">
        <v>0</v>
      </c>
      <c r="R320">
        <v>1.9283536985516499E-2</v>
      </c>
      <c r="S320">
        <v>-1.0979915037751101E-2</v>
      </c>
      <c r="T320">
        <v>-0.08</v>
      </c>
    </row>
    <row r="321" spans="1:20" x14ac:dyDescent="0.3">
      <c r="A321" t="s">
        <v>37</v>
      </c>
      <c r="B321">
        <v>2015</v>
      </c>
      <c r="C321">
        <v>678874.0625</v>
      </c>
      <c r="D321" s="1">
        <v>0.08</v>
      </c>
      <c r="E321" s="1">
        <v>0.939830303192139</v>
      </c>
      <c r="F321" s="1">
        <v>-7.8E-2</v>
      </c>
      <c r="G321" s="1">
        <f t="shared" si="8"/>
        <v>-6.2E-2</v>
      </c>
      <c r="H321" s="1" t="str">
        <f t="shared" si="9"/>
        <v/>
      </c>
      <c r="I321" s="1">
        <v>-6.0000000000000001E-3</v>
      </c>
      <c r="J321" s="1">
        <f>+D321-F321+I321*O321</f>
        <v>0.14462</v>
      </c>
      <c r="K321" s="1">
        <v>2.02835369855165E-2</v>
      </c>
      <c r="L321" s="1">
        <f>+K321-J321</f>
        <v>-0.12433646301448351</v>
      </c>
      <c r="M321" s="1">
        <v>1.9283536985516499E-2</v>
      </c>
      <c r="N321" s="1">
        <f>+M321-J321</f>
        <v>-0.12533646301448351</v>
      </c>
      <c r="O321">
        <v>2.23</v>
      </c>
      <c r="P321" t="s">
        <v>16</v>
      </c>
      <c r="Q321">
        <v>-0.01</v>
      </c>
      <c r="R321">
        <v>3.0135780841112101E-2</v>
      </c>
      <c r="S321">
        <v>1.6982223838567699E-2</v>
      </c>
      <c r="T321">
        <v>-7.0000000000000007E-2</v>
      </c>
    </row>
    <row r="322" spans="1:20" x14ac:dyDescent="0.3">
      <c r="A322" t="s">
        <v>37</v>
      </c>
      <c r="B322">
        <v>2016</v>
      </c>
      <c r="C322">
        <v>696030</v>
      </c>
      <c r="D322" s="1">
        <v>4.2000000000000003E-2</v>
      </c>
      <c r="E322" s="1">
        <v>0.94288808107376099</v>
      </c>
      <c r="F322" s="1">
        <v>1.7000000000000001E-2</v>
      </c>
      <c r="G322" s="1">
        <f t="shared" si="8"/>
        <v>-4.4999999999999998E-2</v>
      </c>
      <c r="H322" s="1" t="str">
        <f t="shared" si="9"/>
        <v/>
      </c>
      <c r="I322" s="1">
        <v>3.0000000000000001E-3</v>
      </c>
      <c r="J322" s="1">
        <f>+D322-F322+I322*O322</f>
        <v>3.1810000000000005E-2</v>
      </c>
      <c r="K322" s="1">
        <v>4.3135780841112102E-2</v>
      </c>
      <c r="L322" s="1">
        <f>+K322-J322</f>
        <v>1.1325780841112097E-2</v>
      </c>
      <c r="M322" s="1">
        <v>3.0135780841112101E-2</v>
      </c>
      <c r="N322" s="1">
        <f>+M322-J322</f>
        <v>-1.6742191588879039E-3</v>
      </c>
      <c r="O322">
        <v>2.27</v>
      </c>
      <c r="P322" t="s">
        <v>15</v>
      </c>
      <c r="Q322">
        <v>0.02</v>
      </c>
      <c r="R322">
        <v>1.9970496833324299E-2</v>
      </c>
      <c r="S322">
        <v>1.7180923372507099E-2</v>
      </c>
      <c r="T322">
        <v>0.02</v>
      </c>
    </row>
    <row r="323" spans="1:20" x14ac:dyDescent="0.3">
      <c r="A323" t="s">
        <v>37</v>
      </c>
      <c r="B323">
        <v>2017</v>
      </c>
      <c r="C323">
        <v>714540.5625</v>
      </c>
      <c r="D323" s="1">
        <v>5.5E-2</v>
      </c>
      <c r="E323" s="1">
        <v>0.94593268632888805</v>
      </c>
      <c r="F323" s="1">
        <v>4.3999999999999997E-2</v>
      </c>
      <c r="G323" s="1">
        <f t="shared" si="8"/>
        <v>-1.0000000000000009E-3</v>
      </c>
      <c r="H323" s="1" t="str">
        <f t="shared" si="9"/>
        <v/>
      </c>
      <c r="I323" s="1">
        <v>3.0000000000000001E-3</v>
      </c>
      <c r="J323" s="1">
        <f>+D323-F323+I323*O323</f>
        <v>1.8110000000000005E-2</v>
      </c>
      <c r="K323" s="1">
        <v>4.0970496833324398E-2</v>
      </c>
      <c r="L323" s="1">
        <f>+K323-J323</f>
        <v>2.2860496833324393E-2</v>
      </c>
      <c r="M323" s="1">
        <v>1.9970496833324299E-2</v>
      </c>
      <c r="N323" s="1">
        <f>+M323-J323</f>
        <v>1.8604968333242947E-3</v>
      </c>
      <c r="O323">
        <v>2.37</v>
      </c>
      <c r="P323" t="s">
        <v>15</v>
      </c>
      <c r="Q323">
        <v>0.02</v>
      </c>
      <c r="R323">
        <v>1.9071798980236102E-2</v>
      </c>
      <c r="S323">
        <v>9.9367760121822999E-3</v>
      </c>
      <c r="T323">
        <v>0.05</v>
      </c>
    </row>
    <row r="324" spans="1:20" x14ac:dyDescent="0.3">
      <c r="A324" t="s">
        <v>37</v>
      </c>
      <c r="B324">
        <v>2018</v>
      </c>
      <c r="C324">
        <v>733983.5625</v>
      </c>
      <c r="D324" s="1">
        <v>8.5000000000000006E-2</v>
      </c>
      <c r="E324" s="1">
        <v>0.95379060506820701</v>
      </c>
      <c r="F324" s="1">
        <v>0</v>
      </c>
      <c r="G324" s="1">
        <f t="shared" si="8"/>
        <v>-1.0000000000000009E-3</v>
      </c>
      <c r="H324" s="1" t="str">
        <f t="shared" si="9"/>
        <v/>
      </c>
      <c r="I324" s="1">
        <v>8.0000000000000002E-3</v>
      </c>
      <c r="J324" s="1">
        <f>+D324-F324+I324*O324</f>
        <v>0.10396000000000001</v>
      </c>
      <c r="K324" s="1">
        <v>4.3071798980236102E-2</v>
      </c>
      <c r="L324" s="1">
        <f>+K324-J324</f>
        <v>-6.0888201019763909E-2</v>
      </c>
      <c r="M324" s="1">
        <v>1.9071798980236102E-2</v>
      </c>
      <c r="N324" s="1">
        <f>+M324-J324</f>
        <v>-8.4888201019763909E-2</v>
      </c>
      <c r="O324">
        <v>2.37</v>
      </c>
      <c r="P324" t="s">
        <v>15</v>
      </c>
      <c r="Q324">
        <v>0.01</v>
      </c>
      <c r="R324">
        <v>2.1389032870531101E-2</v>
      </c>
      <c r="S324">
        <v>3.58783826231959E-3</v>
      </c>
      <c r="T324">
        <v>0.01</v>
      </c>
    </row>
    <row r="325" spans="1:20" x14ac:dyDescent="0.3">
      <c r="A325" t="s">
        <v>37</v>
      </c>
      <c r="B325">
        <v>2019</v>
      </c>
      <c r="C325">
        <v>754370.8125</v>
      </c>
      <c r="D325" s="1">
        <v>0.09</v>
      </c>
      <c r="E325" s="1">
        <v>0.93591326475143399</v>
      </c>
      <c r="F325" s="1">
        <v>2.3E-2</v>
      </c>
      <c r="G325" s="1">
        <f t="shared" si="8"/>
        <v>2.1999999999999999E-2</v>
      </c>
      <c r="H325" s="1" t="str">
        <f t="shared" si="9"/>
        <v/>
      </c>
      <c r="I325" s="1">
        <v>-1.7999999999999999E-2</v>
      </c>
      <c r="J325" s="1">
        <f>+D325-F325+I325*O325</f>
        <v>2.3440000000000009E-2</v>
      </c>
      <c r="K325" s="1">
        <v>3.9389032870531103E-2</v>
      </c>
      <c r="L325" s="1">
        <f>+K325-J325</f>
        <v>1.5949032870531094E-2</v>
      </c>
      <c r="M325" s="1">
        <v>2.1389032870531101E-2</v>
      </c>
      <c r="N325" s="1">
        <f>+M325-J325</f>
        <v>-2.0509671294689086E-3</v>
      </c>
      <c r="O325">
        <v>2.42</v>
      </c>
      <c r="P325" t="s">
        <v>17</v>
      </c>
      <c r="Q325">
        <v>0</v>
      </c>
      <c r="R325">
        <v>4.5967863976955403E-2</v>
      </c>
      <c r="S325">
        <v>2.71186735481024E-2</v>
      </c>
      <c r="T325">
        <v>0.03</v>
      </c>
    </row>
    <row r="326" spans="1:20" x14ac:dyDescent="0.3">
      <c r="A326" t="s">
        <v>37</v>
      </c>
      <c r="B326">
        <v>2020</v>
      </c>
      <c r="C326">
        <v>776969.125</v>
      </c>
      <c r="D326" s="1">
        <v>9.9000000000000005E-2</v>
      </c>
      <c r="E326" s="1">
        <v>0.950023293495178</v>
      </c>
      <c r="F326" s="1">
        <v>-8.2000000000000003E-2</v>
      </c>
      <c r="G326" s="1">
        <f t="shared" si="8"/>
        <v>-6.0000000000000005E-2</v>
      </c>
      <c r="H326" s="1" t="str">
        <f t="shared" si="9"/>
        <v/>
      </c>
      <c r="I326" s="1">
        <v>1.4E-2</v>
      </c>
      <c r="J326" s="1">
        <f>+D326-F326+I326*O326</f>
        <v>0.21207999999999999</v>
      </c>
      <c r="K326" s="1">
        <v>5.79678639769554E-2</v>
      </c>
      <c r="L326" s="1">
        <f>+K326-J326</f>
        <v>-0.15411213602304458</v>
      </c>
      <c r="M326" s="1">
        <v>4.5967863976955403E-2</v>
      </c>
      <c r="N326" s="1">
        <f>+M326-J326</f>
        <v>-0.16611213602304459</v>
      </c>
      <c r="O326">
        <v>2.2200000000000002</v>
      </c>
      <c r="P326" t="s">
        <v>17</v>
      </c>
      <c r="Q326">
        <v>0.03</v>
      </c>
      <c r="R326">
        <v>5.6655353188515001E-2</v>
      </c>
      <c r="S326">
        <v>1.3065740466117999E-2</v>
      </c>
      <c r="T326">
        <v>-0.04</v>
      </c>
    </row>
    <row r="327" spans="1:20" x14ac:dyDescent="0.3">
      <c r="A327" t="s">
        <v>37</v>
      </c>
      <c r="B327">
        <v>2021</v>
      </c>
      <c r="C327">
        <v>801222.75</v>
      </c>
      <c r="D327" s="1">
        <v>7.6999999999999999E-2</v>
      </c>
      <c r="E327" s="1">
        <v>0.94453078508377097</v>
      </c>
      <c r="F327" s="1">
        <v>0.106</v>
      </c>
      <c r="G327" s="1">
        <f t="shared" ref="G327:G390" si="10">SUMIFS(F:F,A:A,A327,B:B,"&lt;="&amp;B327)</f>
        <v>4.5999999999999992E-2</v>
      </c>
      <c r="H327" s="1" t="str">
        <f t="shared" ref="H327:H390" si="11">IFERROR(IF(ABS(G327)&gt;0.12,AVERAGEIFS(K:K,A:A,A327,B:B,"&gt;"&amp;B327,B:B,"&lt;"&amp;B327+3),""),"")</f>
        <v/>
      </c>
      <c r="I327" s="1">
        <v>-5.0000000000000001E-3</v>
      </c>
      <c r="J327" s="1">
        <f>+D327-F327+I327*O327</f>
        <v>-4.1299999999999996E-2</v>
      </c>
      <c r="K327" s="1">
        <v>0.103655353188515</v>
      </c>
      <c r="L327" s="1">
        <f>+K327-J327</f>
        <v>0.14495535318851499</v>
      </c>
      <c r="M327" s="1">
        <v>5.6655353188515001E-2</v>
      </c>
      <c r="N327" s="1">
        <f>+M327-J327</f>
        <v>9.7955353188515004E-2</v>
      </c>
      <c r="O327">
        <v>2.46</v>
      </c>
      <c r="P327" t="s">
        <v>17</v>
      </c>
      <c r="Q327">
        <v>0.01</v>
      </c>
      <c r="R327">
        <v>-5.6720994338393199E-2</v>
      </c>
      <c r="S327">
        <v>-2.4617487564682801E-2</v>
      </c>
      <c r="T327">
        <v>0.08</v>
      </c>
    </row>
    <row r="328" spans="1:20" x14ac:dyDescent="0.3">
      <c r="A328" t="s">
        <v>37</v>
      </c>
      <c r="B328">
        <v>2022</v>
      </c>
      <c r="C328">
        <v>817483.25</v>
      </c>
      <c r="D328" s="1">
        <v>7.5999999999999998E-2</v>
      </c>
      <c r="E328" s="1">
        <v>0.91608625650405895</v>
      </c>
      <c r="F328" s="1">
        <v>-6.0000000000000001E-3</v>
      </c>
      <c r="G328" s="1">
        <f t="shared" si="10"/>
        <v>3.9999999999999994E-2</v>
      </c>
      <c r="H328" s="1" t="str">
        <f t="shared" si="11"/>
        <v/>
      </c>
      <c r="I328" s="1">
        <v>-2.8000000000000001E-2</v>
      </c>
      <c r="J328" s="1">
        <f>+D328-F328+I328*O328</f>
        <v>1.3679999999999998E-2</v>
      </c>
      <c r="K328" s="1">
        <v>2.3279005661606799E-2</v>
      </c>
      <c r="L328" s="1">
        <f>+K328-J328</f>
        <v>9.5990056616068013E-3</v>
      </c>
      <c r="M328" s="1">
        <v>-5.6720994338393199E-2</v>
      </c>
      <c r="N328" s="1">
        <f>+M328-J328</f>
        <v>-7.0400994338393197E-2</v>
      </c>
      <c r="O328">
        <v>2.44</v>
      </c>
      <c r="P328" t="s">
        <v>16</v>
      </c>
      <c r="Q328">
        <v>-0.02</v>
      </c>
      <c r="R328">
        <v>-6.8601027861237507E-2</v>
      </c>
      <c r="S328">
        <v>-4.9042100086808198E-2</v>
      </c>
      <c r="T328">
        <v>0.01</v>
      </c>
    </row>
    <row r="329" spans="1:20" x14ac:dyDescent="0.3">
      <c r="A329" t="s">
        <v>38</v>
      </c>
      <c r="B329">
        <v>2006</v>
      </c>
      <c r="C329">
        <v>4432227</v>
      </c>
      <c r="D329" s="1">
        <v>3.7999999999999999E-2</v>
      </c>
      <c r="E329" s="1">
        <v>0.94813269376754805</v>
      </c>
      <c r="F329" s="1">
        <v>-3.1E-2</v>
      </c>
      <c r="G329" s="1">
        <f t="shared" si="10"/>
        <v>-3.1E-2</v>
      </c>
      <c r="H329" s="1" t="str">
        <f t="shared" si="11"/>
        <v/>
      </c>
      <c r="I329" s="1">
        <v>-1E-3</v>
      </c>
      <c r="J329" s="1">
        <f>+D329-F329+I329*O329</f>
        <v>6.6920000000000007E-2</v>
      </c>
      <c r="K329" s="1">
        <v>1.2963890098035301E-2</v>
      </c>
      <c r="L329" s="1">
        <f>+K329-J329</f>
        <v>-5.3956109901964706E-2</v>
      </c>
      <c r="M329" s="1">
        <v>-1.90361099019647E-2</v>
      </c>
      <c r="N329" s="1">
        <f>+M329-J329</f>
        <v>-8.59561099019647E-2</v>
      </c>
      <c r="O329">
        <v>2.08</v>
      </c>
      <c r="P329" t="s">
        <v>16</v>
      </c>
      <c r="Q329">
        <v>-0.03</v>
      </c>
      <c r="R329">
        <v>2.81068599224089E-3</v>
      </c>
      <c r="S329">
        <v>3.7324419245123898E-3</v>
      </c>
      <c r="T329">
        <v>-0.03</v>
      </c>
    </row>
    <row r="330" spans="1:20" x14ac:dyDescent="0.3">
      <c r="A330" t="s">
        <v>38</v>
      </c>
      <c r="B330">
        <v>2007</v>
      </c>
      <c r="C330">
        <v>4456634</v>
      </c>
      <c r="D330" s="1">
        <v>2.1000000000000001E-2</v>
      </c>
      <c r="E330" s="1">
        <v>0.94858753681182895</v>
      </c>
      <c r="F330" s="1">
        <v>-1.6E-2</v>
      </c>
      <c r="G330" s="1">
        <f t="shared" si="10"/>
        <v>-4.7E-2</v>
      </c>
      <c r="H330" s="1" t="str">
        <f t="shared" si="11"/>
        <v/>
      </c>
      <c r="I330" s="1">
        <v>0</v>
      </c>
      <c r="J330" s="1">
        <f>+D330-F330+I330*O330</f>
        <v>3.7000000000000005E-2</v>
      </c>
      <c r="K330" s="1">
        <v>3.1810685992240899E-2</v>
      </c>
      <c r="L330" s="1">
        <f>+K330-J330</f>
        <v>-5.1893140077591063E-3</v>
      </c>
      <c r="M330" s="1">
        <v>2.81068599224089E-3</v>
      </c>
      <c r="N330" s="1">
        <f>+M330-J330</f>
        <v>-3.4189314007759118E-2</v>
      </c>
      <c r="O330">
        <v>2.0499999999999998</v>
      </c>
      <c r="P330" t="s">
        <v>17</v>
      </c>
      <c r="Q330">
        <v>0</v>
      </c>
      <c r="R330">
        <v>-2.09187747091054E-2</v>
      </c>
      <c r="S330">
        <v>8.5920295678079007E-3</v>
      </c>
      <c r="T330">
        <v>-0.02</v>
      </c>
    </row>
    <row r="331" spans="1:20" x14ac:dyDescent="0.3">
      <c r="A331" t="s">
        <v>38</v>
      </c>
      <c r="B331">
        <v>2008</v>
      </c>
      <c r="C331">
        <v>4494352</v>
      </c>
      <c r="D331" s="1">
        <v>2.4E-2</v>
      </c>
      <c r="E331" s="1">
        <v>0.94660174846649203</v>
      </c>
      <c r="F331" s="1">
        <v>0.01</v>
      </c>
      <c r="G331" s="1">
        <f t="shared" si="10"/>
        <v>-3.6999999999999998E-2</v>
      </c>
      <c r="H331" s="1" t="str">
        <f t="shared" si="11"/>
        <v/>
      </c>
      <c r="I331" s="1">
        <v>-2E-3</v>
      </c>
      <c r="J331" s="1">
        <f>+D331-F331+I331*O331</f>
        <v>9.8600000000000007E-3</v>
      </c>
      <c r="K331" s="1">
        <v>1.7081225290894501E-2</v>
      </c>
      <c r="L331" s="1">
        <f>+K331-J331</f>
        <v>7.2212252908945007E-3</v>
      </c>
      <c r="M331" s="1">
        <v>-2.09187747091054E-2</v>
      </c>
      <c r="N331" s="1">
        <f>+M331-J331</f>
        <v>-3.0778774709105401E-2</v>
      </c>
      <c r="O331">
        <v>2.0699999999999998</v>
      </c>
      <c r="P331" t="s">
        <v>17</v>
      </c>
      <c r="Q331">
        <v>0.01</v>
      </c>
      <c r="R331">
        <v>-3.6727373212575798E-2</v>
      </c>
      <c r="S331">
        <v>-1.0160671547055199E-2</v>
      </c>
      <c r="T331">
        <v>0.01</v>
      </c>
    </row>
    <row r="332" spans="1:20" x14ac:dyDescent="0.3">
      <c r="A332" t="s">
        <v>38</v>
      </c>
      <c r="B332">
        <v>2009</v>
      </c>
      <c r="C332">
        <v>4537709</v>
      </c>
      <c r="D332" s="1">
        <v>1.6E-2</v>
      </c>
      <c r="E332" s="1">
        <v>0.94725227355956998</v>
      </c>
      <c r="F332" s="1">
        <v>2E-3</v>
      </c>
      <c r="G332" s="1">
        <f t="shared" si="10"/>
        <v>-3.4999999999999996E-2</v>
      </c>
      <c r="H332" s="1" t="str">
        <f t="shared" si="11"/>
        <v/>
      </c>
      <c r="I332" s="1">
        <v>1E-3</v>
      </c>
      <c r="J332" s="1">
        <f>+D332-F332+I332*O332</f>
        <v>1.6080000000000001E-2</v>
      </c>
      <c r="K332" s="1">
        <v>-4.0727373212575899E-2</v>
      </c>
      <c r="L332" s="1">
        <f>+K332-J332</f>
        <v>-5.6807373212575896E-2</v>
      </c>
      <c r="M332" s="1">
        <v>-3.6727373212575798E-2</v>
      </c>
      <c r="N332" s="1">
        <f>+M332-J332</f>
        <v>-5.2807373212575795E-2</v>
      </c>
      <c r="O332">
        <v>2.08</v>
      </c>
      <c r="P332" t="s">
        <v>15</v>
      </c>
      <c r="Q332">
        <v>-0.01</v>
      </c>
      <c r="R332">
        <v>4.8350364118813901E-3</v>
      </c>
      <c r="S332">
        <v>1.4295145170763E-2</v>
      </c>
      <c r="T332">
        <v>-0.02</v>
      </c>
    </row>
    <row r="333" spans="1:20" x14ac:dyDescent="0.3">
      <c r="A333" t="s">
        <v>38</v>
      </c>
      <c r="B333">
        <v>2010</v>
      </c>
      <c r="C333">
        <v>4580697</v>
      </c>
      <c r="D333" s="1">
        <v>7.0000000000000001E-3</v>
      </c>
      <c r="E333" s="1">
        <v>0.95275467634201005</v>
      </c>
      <c r="F333" s="1">
        <v>1.7000000000000001E-2</v>
      </c>
      <c r="G333" s="1">
        <f t="shared" si="10"/>
        <v>-1.7999999999999995E-2</v>
      </c>
      <c r="H333" s="1" t="str">
        <f t="shared" si="11"/>
        <v/>
      </c>
      <c r="I333" s="1">
        <v>6.0000000000000001E-3</v>
      </c>
      <c r="J333" s="1">
        <f>+D333-F333+I333*O333</f>
        <v>2.6599999999999974E-3</v>
      </c>
      <c r="K333" s="1">
        <v>2.0835036411881398E-2</v>
      </c>
      <c r="L333" s="1">
        <f>+K333-J333</f>
        <v>1.8175036411881403E-2</v>
      </c>
      <c r="M333" s="1">
        <v>4.8350364118813901E-3</v>
      </c>
      <c r="N333" s="1">
        <f>+M333-J333</f>
        <v>2.1750364118813927E-3</v>
      </c>
      <c r="O333">
        <v>2.11</v>
      </c>
      <c r="P333" t="s">
        <v>15</v>
      </c>
      <c r="Q333">
        <v>0.01</v>
      </c>
      <c r="R333">
        <v>-1.53443313837051E-2</v>
      </c>
      <c r="S333">
        <v>5.9394431300461899E-3</v>
      </c>
      <c r="T333">
        <v>0.01</v>
      </c>
    </row>
    <row r="334" spans="1:20" x14ac:dyDescent="0.3">
      <c r="A334" t="s">
        <v>38</v>
      </c>
      <c r="B334">
        <v>2011</v>
      </c>
      <c r="C334">
        <v>4631012</v>
      </c>
      <c r="D334" s="1">
        <v>1E-3</v>
      </c>
      <c r="E334" s="1">
        <v>0.954489886760712</v>
      </c>
      <c r="F334" s="1">
        <v>1.4E-2</v>
      </c>
      <c r="G334" s="1">
        <f t="shared" si="10"/>
        <v>-3.9999999999999949E-3</v>
      </c>
      <c r="H334" s="1" t="str">
        <f t="shared" si="11"/>
        <v/>
      </c>
      <c r="I334" s="1">
        <v>2E-3</v>
      </c>
      <c r="J334" s="1">
        <f>+D334-F334+I334*O334</f>
        <v>-8.7200000000000021E-3</v>
      </c>
      <c r="K334" s="1">
        <v>1.6655668616294899E-2</v>
      </c>
      <c r="L334" s="1">
        <f>+K334-J334</f>
        <v>2.5375668616294901E-2</v>
      </c>
      <c r="M334" s="1">
        <v>-1.53443313837051E-2</v>
      </c>
      <c r="N334" s="1">
        <f>+M334-J334</f>
        <v>-6.6243313837050979E-3</v>
      </c>
      <c r="O334">
        <v>2.14</v>
      </c>
      <c r="P334" t="s">
        <v>15</v>
      </c>
      <c r="Q334">
        <v>0.01</v>
      </c>
      <c r="R334">
        <v>-4.2552131265402001E-3</v>
      </c>
      <c r="S334">
        <v>1.18299294263119E-3</v>
      </c>
      <c r="T334">
        <v>0.02</v>
      </c>
    </row>
    <row r="335" spans="1:20" x14ac:dyDescent="0.3">
      <c r="A335" t="s">
        <v>38</v>
      </c>
      <c r="B335">
        <v>2012</v>
      </c>
      <c r="C335">
        <v>4684876</v>
      </c>
      <c r="D335" s="1">
        <v>1.7000000000000001E-2</v>
      </c>
      <c r="E335" s="1">
        <v>0.95249396562576305</v>
      </c>
      <c r="F335" s="1">
        <v>-3.0000000000000001E-3</v>
      </c>
      <c r="G335" s="1">
        <f t="shared" si="10"/>
        <v>-6.9999999999999949E-3</v>
      </c>
      <c r="H335" s="1" t="str">
        <f t="shared" si="11"/>
        <v/>
      </c>
      <c r="I335" s="1">
        <v>-2E-3</v>
      </c>
      <c r="J335" s="1">
        <f>+D335-F335+I335*O335</f>
        <v>1.5720000000000001E-2</v>
      </c>
      <c r="K335" s="1">
        <v>1.6744786873459799E-2</v>
      </c>
      <c r="L335" s="1">
        <f>+K335-J335</f>
        <v>1.0247868734597973E-3</v>
      </c>
      <c r="M335" s="1">
        <v>-4.2552131265402001E-3</v>
      </c>
      <c r="N335" s="1">
        <f>+M335-J335</f>
        <v>-1.9975213126540201E-2</v>
      </c>
      <c r="O335">
        <v>2.14</v>
      </c>
      <c r="P335" t="s">
        <v>16</v>
      </c>
      <c r="Q335">
        <v>0</v>
      </c>
      <c r="R335">
        <v>8.0604913085699E-3</v>
      </c>
      <c r="S335">
        <v>1.9337199628353E-3</v>
      </c>
      <c r="T335">
        <v>-0.01</v>
      </c>
    </row>
    <row r="336" spans="1:20" x14ac:dyDescent="0.3">
      <c r="A336" t="s">
        <v>38</v>
      </c>
      <c r="B336">
        <v>2013</v>
      </c>
      <c r="C336">
        <v>4736530</v>
      </c>
      <c r="D336" s="1">
        <v>1.7999999999999999E-2</v>
      </c>
      <c r="E336" s="1">
        <v>0.94966101646423295</v>
      </c>
      <c r="F336" s="1">
        <v>5.0000000000000001E-3</v>
      </c>
      <c r="G336" s="1">
        <f t="shared" si="10"/>
        <v>-1.9999999999999948E-3</v>
      </c>
      <c r="H336" s="1" t="str">
        <f t="shared" si="11"/>
        <v/>
      </c>
      <c r="I336" s="1">
        <v>-3.0000000000000001E-3</v>
      </c>
      <c r="J336" s="1">
        <f>+D336-F336+I336*O336</f>
        <v>6.5499999999999977E-3</v>
      </c>
      <c r="K336" s="1">
        <v>2.3060491308569901E-2</v>
      </c>
      <c r="L336" s="1">
        <f>+K336-J336</f>
        <v>1.6510491308569904E-2</v>
      </c>
      <c r="M336" s="1">
        <v>8.0604913085699E-3</v>
      </c>
      <c r="N336" s="1">
        <f>+M336-J336</f>
        <v>1.5104913085699024E-3</v>
      </c>
      <c r="O336">
        <v>2.15</v>
      </c>
      <c r="P336" t="s">
        <v>17</v>
      </c>
      <c r="Q336">
        <v>0</v>
      </c>
      <c r="R336">
        <v>6.9659732431173E-3</v>
      </c>
      <c r="S336">
        <v>4.9579497426747998E-3</v>
      </c>
      <c r="T336">
        <v>0</v>
      </c>
    </row>
    <row r="337" spans="1:20" x14ac:dyDescent="0.3">
      <c r="A337" t="s">
        <v>38</v>
      </c>
      <c r="B337">
        <v>2014</v>
      </c>
      <c r="C337">
        <v>4784529</v>
      </c>
      <c r="D337" s="1">
        <v>2.5999999999999999E-2</v>
      </c>
      <c r="E337" s="1">
        <v>0.95106452703475997</v>
      </c>
      <c r="F337" s="1">
        <v>1.4E-2</v>
      </c>
      <c r="G337" s="1">
        <f t="shared" si="10"/>
        <v>1.2000000000000005E-2</v>
      </c>
      <c r="H337" s="1" t="str">
        <f t="shared" si="11"/>
        <v/>
      </c>
      <c r="I337" s="1">
        <v>1E-3</v>
      </c>
      <c r="J337" s="1">
        <f>+D337-F337+I337*O337</f>
        <v>1.4179999999999998E-2</v>
      </c>
      <c r="K337" s="1">
        <v>2.2965973243117301E-2</v>
      </c>
      <c r="L337" s="1">
        <f>+K337-J337</f>
        <v>8.7859732431173031E-3</v>
      </c>
      <c r="M337" s="1">
        <v>6.9659732431173E-3</v>
      </c>
      <c r="N337" s="1">
        <f>+M337-J337</f>
        <v>-7.2140267568826981E-3</v>
      </c>
      <c r="O337">
        <v>2.1800000000000002</v>
      </c>
      <c r="P337" t="s">
        <v>15</v>
      </c>
      <c r="Q337">
        <v>0</v>
      </c>
      <c r="R337">
        <v>4.7188190907239899E-2</v>
      </c>
      <c r="S337">
        <v>1.6924738883972199E-2</v>
      </c>
      <c r="T337">
        <v>0.01</v>
      </c>
    </row>
    <row r="338" spans="1:20" x14ac:dyDescent="0.3">
      <c r="A338" t="s">
        <v>38</v>
      </c>
      <c r="B338">
        <v>2015</v>
      </c>
      <c r="C338">
        <v>4822188</v>
      </c>
      <c r="D338" s="1">
        <v>4.3999999999999997E-2</v>
      </c>
      <c r="E338" s="1">
        <v>0.94234180450439498</v>
      </c>
      <c r="F338" s="1">
        <v>2E-3</v>
      </c>
      <c r="G338" s="1">
        <f t="shared" si="10"/>
        <v>1.4000000000000005E-2</v>
      </c>
      <c r="H338" s="1" t="str">
        <f t="shared" si="11"/>
        <v/>
      </c>
      <c r="I338" s="1">
        <v>-8.9999999999999993E-3</v>
      </c>
      <c r="J338" s="1">
        <f>+D338-F338+I338*O338</f>
        <v>2.2379999999999997E-2</v>
      </c>
      <c r="K338" s="1">
        <v>4.81881909072399E-2</v>
      </c>
      <c r="L338" s="1">
        <f>+K338-J338</f>
        <v>2.5808190907239903E-2</v>
      </c>
      <c r="M338" s="1">
        <v>4.7188190907239899E-2</v>
      </c>
      <c r="N338" s="1">
        <f>+M338-J338</f>
        <v>2.4808190907239902E-2</v>
      </c>
      <c r="O338">
        <v>2.1800000000000002</v>
      </c>
      <c r="P338" t="s">
        <v>17</v>
      </c>
      <c r="Q338">
        <v>0.02</v>
      </c>
      <c r="R338">
        <v>3.2294637411832902E-3</v>
      </c>
      <c r="S338">
        <v>-9.9240932613610996E-3</v>
      </c>
      <c r="T338">
        <v>0.01</v>
      </c>
    </row>
    <row r="339" spans="1:20" x14ac:dyDescent="0.3">
      <c r="A339" t="s">
        <v>38</v>
      </c>
      <c r="B339">
        <v>2016</v>
      </c>
      <c r="C339">
        <v>4860300</v>
      </c>
      <c r="D339" s="1">
        <v>0.03</v>
      </c>
      <c r="E339" s="1">
        <v>0.94829541444778398</v>
      </c>
      <c r="F339" s="1">
        <v>-1.2E-2</v>
      </c>
      <c r="G339" s="1">
        <f t="shared" si="10"/>
        <v>2.0000000000000052E-3</v>
      </c>
      <c r="H339" s="1" t="str">
        <f t="shared" si="11"/>
        <v/>
      </c>
      <c r="I339" s="1">
        <v>6.0000000000000001E-3</v>
      </c>
      <c r="J339" s="1">
        <f>+D339-F339+I339*O339</f>
        <v>5.4959999999999995E-2</v>
      </c>
      <c r="K339" s="1">
        <v>1.6229463741183298E-2</v>
      </c>
      <c r="L339" s="1">
        <f>+K339-J339</f>
        <v>-3.87305362588167E-2</v>
      </c>
      <c r="M339" s="1">
        <v>3.2294637411832902E-3</v>
      </c>
      <c r="N339" s="1">
        <f>+M339-J339</f>
        <v>-5.1730536258816705E-2</v>
      </c>
      <c r="O339">
        <v>2.16</v>
      </c>
      <c r="P339" t="s">
        <v>17</v>
      </c>
      <c r="Q339">
        <v>-0.01</v>
      </c>
      <c r="R339">
        <v>4.0078383833169898E-3</v>
      </c>
      <c r="S339">
        <v>1.2182649224997E-3</v>
      </c>
      <c r="T339">
        <v>-0.01</v>
      </c>
    </row>
    <row r="340" spans="1:20" x14ac:dyDescent="0.3">
      <c r="A340" t="s">
        <v>38</v>
      </c>
      <c r="B340">
        <v>2017</v>
      </c>
      <c r="C340">
        <v>4895391</v>
      </c>
      <c r="D340" s="1">
        <v>4.2000000000000003E-2</v>
      </c>
      <c r="E340" s="1">
        <v>0.94030553102493297</v>
      </c>
      <c r="F340" s="1">
        <v>4.0000000000000001E-3</v>
      </c>
      <c r="G340" s="1">
        <f t="shared" si="10"/>
        <v>6.0000000000000053E-3</v>
      </c>
      <c r="H340" s="1" t="str">
        <f t="shared" si="11"/>
        <v/>
      </c>
      <c r="I340" s="1">
        <v>-8.0000000000000002E-3</v>
      </c>
      <c r="J340" s="1">
        <f>+D340-F340+I340*O340</f>
        <v>2.0640000000000006E-2</v>
      </c>
      <c r="K340" s="1">
        <v>2.5007838383317001E-2</v>
      </c>
      <c r="L340" s="1">
        <f>+K340-J340</f>
        <v>4.3678383833169951E-3</v>
      </c>
      <c r="M340" s="1">
        <v>4.0078383833169898E-3</v>
      </c>
      <c r="N340" s="1">
        <f>+M340-J340</f>
        <v>-1.6632161616683017E-2</v>
      </c>
      <c r="O340">
        <v>2.17</v>
      </c>
      <c r="P340" t="s">
        <v>17</v>
      </c>
      <c r="Q340">
        <v>0</v>
      </c>
      <c r="R340">
        <v>1.1543378442525801E-2</v>
      </c>
      <c r="S340">
        <v>2.4083554744721001E-3</v>
      </c>
      <c r="T340">
        <v>0.01</v>
      </c>
    </row>
    <row r="341" spans="1:20" x14ac:dyDescent="0.3">
      <c r="A341" t="s">
        <v>38</v>
      </c>
      <c r="B341">
        <v>2018</v>
      </c>
      <c r="C341">
        <v>4917657</v>
      </c>
      <c r="D341" s="1">
        <v>3.6999999999999998E-2</v>
      </c>
      <c r="E341" s="1">
        <v>0.946735620498657</v>
      </c>
      <c r="F341" s="1">
        <v>-6.0000000000000001E-3</v>
      </c>
      <c r="G341" s="1">
        <f t="shared" si="10"/>
        <v>5.2041704279304213E-18</v>
      </c>
      <c r="H341" s="1" t="str">
        <f t="shared" si="11"/>
        <v/>
      </c>
      <c r="I341" s="1">
        <v>6.0000000000000001E-3</v>
      </c>
      <c r="J341" s="1">
        <f>+D341-F341+I341*O341</f>
        <v>5.5899999999999998E-2</v>
      </c>
      <c r="K341" s="1">
        <v>3.5543378442525898E-2</v>
      </c>
      <c r="L341" s="1">
        <f>+K341-J341</f>
        <v>-2.03566215574741E-2</v>
      </c>
      <c r="M341" s="1">
        <v>1.1543378442525801E-2</v>
      </c>
      <c r="N341" s="1">
        <f>+M341-J341</f>
        <v>-4.4356621557474198E-2</v>
      </c>
      <c r="O341">
        <v>2.15</v>
      </c>
      <c r="P341" t="s">
        <v>17</v>
      </c>
      <c r="Q341">
        <v>0</v>
      </c>
      <c r="R341">
        <v>1.99397831857204E-2</v>
      </c>
      <c r="S341">
        <v>2.13858857750889E-3</v>
      </c>
      <c r="T341">
        <v>0</v>
      </c>
    </row>
    <row r="342" spans="1:20" x14ac:dyDescent="0.3">
      <c r="A342" t="s">
        <v>38</v>
      </c>
      <c r="B342">
        <v>2019</v>
      </c>
      <c r="C342">
        <v>4936642</v>
      </c>
      <c r="D342" s="1">
        <v>3.4000000000000002E-2</v>
      </c>
      <c r="E342" s="1">
        <v>0.94593524932861295</v>
      </c>
      <c r="F342" s="1">
        <v>-4.0000000000000001E-3</v>
      </c>
      <c r="G342" s="1">
        <f t="shared" si="10"/>
        <v>-3.9999999999999949E-3</v>
      </c>
      <c r="H342" s="1" t="str">
        <f t="shared" si="11"/>
        <v/>
      </c>
      <c r="I342" s="1">
        <v>-1E-3</v>
      </c>
      <c r="J342" s="1">
        <f>+D342-F342+I342*O342</f>
        <v>3.5860000000000003E-2</v>
      </c>
      <c r="K342" s="1">
        <v>3.7939783185720402E-2</v>
      </c>
      <c r="L342" s="1">
        <f>+K342-J342</f>
        <v>2.0797831857203991E-3</v>
      </c>
      <c r="M342" s="1">
        <v>1.99397831857204E-2</v>
      </c>
      <c r="N342" s="1">
        <f>+M342-J342</f>
        <v>-1.5920216814279603E-2</v>
      </c>
      <c r="O342">
        <v>2.14</v>
      </c>
      <c r="P342" t="s">
        <v>16</v>
      </c>
      <c r="Q342">
        <v>0</v>
      </c>
      <c r="R342">
        <v>-5.3301768273115099E-2</v>
      </c>
      <c r="S342">
        <v>-7.2150958701968096E-2</v>
      </c>
      <c r="T342">
        <v>0</v>
      </c>
    </row>
    <row r="343" spans="1:20" x14ac:dyDescent="0.3">
      <c r="A343" t="s">
        <v>38</v>
      </c>
      <c r="B343">
        <v>2020</v>
      </c>
      <c r="C343">
        <v>4925667</v>
      </c>
      <c r="D343" s="1">
        <v>4.8000000000000001E-2</v>
      </c>
      <c r="E343" s="1">
        <v>0.91970938444137595</v>
      </c>
      <c r="F343" s="1">
        <v>-6.0000000000000001E-3</v>
      </c>
      <c r="G343" s="1">
        <f t="shared" si="10"/>
        <v>-9.999999999999995E-3</v>
      </c>
      <c r="H343" s="1" t="str">
        <f t="shared" si="11"/>
        <v/>
      </c>
      <c r="I343" s="1">
        <v>-2.5999999999999999E-2</v>
      </c>
      <c r="J343" s="1">
        <f>+D343-F343+I343*O343</f>
        <v>-1.3799999999999923E-3</v>
      </c>
      <c r="K343" s="1">
        <v>-4.13017682731152E-2</v>
      </c>
      <c r="L343" s="1">
        <f>+K343-J343</f>
        <v>-3.9921768273115207E-2</v>
      </c>
      <c r="M343" s="1">
        <v>-5.3301768273115099E-2</v>
      </c>
      <c r="N343" s="1">
        <f>+M343-J343</f>
        <v>-5.1921768273115107E-2</v>
      </c>
      <c r="O343">
        <v>2.13</v>
      </c>
      <c r="P343" t="s">
        <v>16</v>
      </c>
      <c r="Q343">
        <v>-7.0000000000000007E-2</v>
      </c>
      <c r="R343">
        <v>6.3217459499835996E-2</v>
      </c>
      <c r="S343">
        <v>1.9627846777438999E-2</v>
      </c>
      <c r="T343">
        <v>0.03</v>
      </c>
    </row>
    <row r="344" spans="1:20" x14ac:dyDescent="0.3">
      <c r="A344" t="s">
        <v>38</v>
      </c>
      <c r="B344">
        <v>2021</v>
      </c>
      <c r="C344">
        <v>4915604</v>
      </c>
      <c r="D344" s="1">
        <v>3.2000000000000001E-2</v>
      </c>
      <c r="E344" s="1">
        <v>0.95548796653747603</v>
      </c>
      <c r="F344" s="1">
        <v>0.01</v>
      </c>
      <c r="G344" s="1">
        <f t="shared" si="10"/>
        <v>5.2041704279304213E-18</v>
      </c>
      <c r="H344" s="1" t="str">
        <f t="shared" si="11"/>
        <v/>
      </c>
      <c r="I344" s="1">
        <v>3.5999999999999997E-2</v>
      </c>
      <c r="J344" s="1">
        <f>+D344-F344+I344*O344</f>
        <v>9.9399999999999988E-2</v>
      </c>
      <c r="K344" s="1">
        <v>0.110217459499836</v>
      </c>
      <c r="L344" s="1">
        <f>+K344-J344</f>
        <v>1.0817459499836007E-2</v>
      </c>
      <c r="M344" s="1">
        <v>6.3217459499835996E-2</v>
      </c>
      <c r="N344" s="1">
        <f>+M344-J344</f>
        <v>-3.6182540500163993E-2</v>
      </c>
      <c r="O344">
        <v>2.15</v>
      </c>
      <c r="P344" t="s">
        <v>15</v>
      </c>
      <c r="Q344">
        <v>0.02</v>
      </c>
      <c r="R344">
        <v>-3.25822103023529E-2</v>
      </c>
      <c r="S344">
        <v>-4.7870352864259799E-4</v>
      </c>
      <c r="T344">
        <v>-0.02</v>
      </c>
    </row>
    <row r="345" spans="1:20" x14ac:dyDescent="0.3">
      <c r="A345" t="s">
        <v>38</v>
      </c>
      <c r="B345">
        <v>2022</v>
      </c>
      <c r="C345">
        <v>4939754</v>
      </c>
      <c r="D345" s="1">
        <v>2.5000000000000001E-2</v>
      </c>
      <c r="E345" s="1">
        <v>0.95054918527603105</v>
      </c>
      <c r="F345" s="1">
        <v>-1.4E-2</v>
      </c>
      <c r="G345" s="1">
        <f t="shared" si="10"/>
        <v>-1.3999999999999995E-2</v>
      </c>
      <c r="H345" s="1" t="str">
        <f t="shared" si="11"/>
        <v/>
      </c>
      <c r="I345" s="1">
        <v>-5.0000000000000001E-3</v>
      </c>
      <c r="J345" s="1">
        <f>+D345-F345+I345*O345</f>
        <v>2.8400000000000002E-2</v>
      </c>
      <c r="K345" s="1">
        <v>4.7417789697647102E-2</v>
      </c>
      <c r="L345" s="1">
        <f>+K345-J345</f>
        <v>1.90177896976471E-2</v>
      </c>
      <c r="M345" s="1">
        <v>-3.25822103023529E-2</v>
      </c>
      <c r="N345" s="1">
        <f>+M345-J345</f>
        <v>-6.0982210302352902E-2</v>
      </c>
      <c r="O345">
        <v>2.12</v>
      </c>
      <c r="P345" t="s">
        <v>16</v>
      </c>
      <c r="Q345" t="s">
        <v>23</v>
      </c>
      <c r="R345">
        <v>-1.49620368927717E-2</v>
      </c>
      <c r="S345">
        <v>4.5968908816576004E-3</v>
      </c>
      <c r="T345">
        <v>0</v>
      </c>
    </row>
    <row r="346" spans="1:20" x14ac:dyDescent="0.3">
      <c r="A346" t="s">
        <v>39</v>
      </c>
      <c r="B346">
        <v>2006</v>
      </c>
      <c r="C346">
        <v>244803</v>
      </c>
      <c r="D346" s="1">
        <v>2E-3</v>
      </c>
      <c r="E346" s="1">
        <v>0.95120614767074596</v>
      </c>
      <c r="F346" s="1">
        <v>-1.7000000000000001E-2</v>
      </c>
      <c r="G346" s="1">
        <f t="shared" si="10"/>
        <v>-1.7000000000000001E-2</v>
      </c>
      <c r="H346" s="1" t="str">
        <f t="shared" si="11"/>
        <v/>
      </c>
      <c r="I346" s="1">
        <v>1E-3</v>
      </c>
      <c r="J346" s="1">
        <f>+D346-F346+I346*O346</f>
        <v>2.1230000000000002E-2</v>
      </c>
      <c r="K346" s="1">
        <v>6.0408953577280003E-2</v>
      </c>
      <c r="L346" s="1">
        <f>+K346-J346</f>
        <v>3.9178953577280004E-2</v>
      </c>
      <c r="M346" s="1">
        <v>2.8408953577279999E-2</v>
      </c>
      <c r="N346" s="1">
        <f>+M346-J346</f>
        <v>7.1789535772799964E-3</v>
      </c>
      <c r="O346">
        <v>2.23</v>
      </c>
      <c r="P346" t="s">
        <v>17</v>
      </c>
      <c r="Q346">
        <v>0.02</v>
      </c>
      <c r="R346">
        <v>1.6587223023176199E-2</v>
      </c>
      <c r="S346">
        <v>1.7508978955447702E-2</v>
      </c>
      <c r="T346">
        <v>-0.02</v>
      </c>
    </row>
    <row r="347" spans="1:20" x14ac:dyDescent="0.3">
      <c r="A347" t="s">
        <v>39</v>
      </c>
      <c r="B347">
        <v>2007</v>
      </c>
      <c r="C347">
        <v>244805.0938</v>
      </c>
      <c r="D347" s="1">
        <v>-1E-3</v>
      </c>
      <c r="E347" s="1">
        <v>0.95101130008697499</v>
      </c>
      <c r="F347" s="1">
        <v>3.4000000000000002E-2</v>
      </c>
      <c r="G347" s="1">
        <f t="shared" si="10"/>
        <v>1.7000000000000001E-2</v>
      </c>
      <c r="H347" s="1" t="str">
        <f t="shared" si="11"/>
        <v/>
      </c>
      <c r="I347" s="1">
        <v>0</v>
      </c>
      <c r="J347" s="1">
        <f>+D347-F347+I347*O347</f>
        <v>-3.5000000000000003E-2</v>
      </c>
      <c r="K347" s="1">
        <v>4.55872230231762E-2</v>
      </c>
      <c r="L347" s="1">
        <f>+K347-J347</f>
        <v>8.0587223023176197E-2</v>
      </c>
      <c r="M347" s="1">
        <v>1.6587223023176199E-2</v>
      </c>
      <c r="N347" s="1">
        <f>+M347-J347</f>
        <v>5.1587223023176199E-2</v>
      </c>
      <c r="O347">
        <v>2.2999999999999998</v>
      </c>
      <c r="P347" t="s">
        <v>17</v>
      </c>
      <c r="Q347">
        <v>0.02</v>
      </c>
      <c r="R347">
        <v>-2.70874614939094E-2</v>
      </c>
      <c r="S347">
        <v>2.4233427830039999E-3</v>
      </c>
      <c r="T347">
        <v>0.03</v>
      </c>
    </row>
    <row r="348" spans="1:20" x14ac:dyDescent="0.3">
      <c r="A348" t="s">
        <v>39</v>
      </c>
      <c r="B348">
        <v>2008</v>
      </c>
      <c r="C348">
        <v>247394.5</v>
      </c>
      <c r="D348" s="1">
        <v>0</v>
      </c>
      <c r="E348" s="1">
        <v>0.94362694025039695</v>
      </c>
      <c r="F348" s="1">
        <v>-4.2999999999999997E-2</v>
      </c>
      <c r="G348" s="1">
        <f t="shared" si="10"/>
        <v>-2.5999999999999995E-2</v>
      </c>
      <c r="H348" s="1" t="str">
        <f t="shared" si="11"/>
        <v/>
      </c>
      <c r="I348" s="1">
        <v>-7.0000000000000001E-3</v>
      </c>
      <c r="J348" s="1">
        <f>+D348-F348+I348*O348</f>
        <v>2.7599999999999993E-2</v>
      </c>
      <c r="K348" s="1">
        <v>1.0912538506090599E-2</v>
      </c>
      <c r="L348" s="1">
        <f>+K348-J348</f>
        <v>-1.6687461493909393E-2</v>
      </c>
      <c r="M348" s="1">
        <v>-2.70874614939094E-2</v>
      </c>
      <c r="N348" s="1">
        <f>+M348-J348</f>
        <v>-5.4687461493909392E-2</v>
      </c>
      <c r="O348">
        <v>2.2000000000000002</v>
      </c>
      <c r="P348" t="s">
        <v>16</v>
      </c>
      <c r="Q348">
        <v>0</v>
      </c>
      <c r="R348">
        <v>-4.9524993360042499E-2</v>
      </c>
      <c r="S348">
        <v>-2.2958291694521901E-2</v>
      </c>
      <c r="T348">
        <v>-0.04</v>
      </c>
    </row>
    <row r="349" spans="1:20" x14ac:dyDescent="0.3">
      <c r="A349" t="s">
        <v>39</v>
      </c>
      <c r="B349">
        <v>2009</v>
      </c>
      <c r="C349">
        <v>249558.20310000001</v>
      </c>
      <c r="D349" s="1">
        <v>1.4E-2</v>
      </c>
      <c r="E349" s="1">
        <v>0.93235135078430198</v>
      </c>
      <c r="F349" s="1">
        <v>9.4E-2</v>
      </c>
      <c r="G349" s="1">
        <f t="shared" si="10"/>
        <v>6.8000000000000005E-2</v>
      </c>
      <c r="H349" s="1" t="str">
        <f t="shared" si="11"/>
        <v/>
      </c>
      <c r="I349" s="1">
        <v>-1.0999999999999999E-2</v>
      </c>
      <c r="J349" s="1">
        <f>+D349-F349+I349*O349</f>
        <v>-0.10650999999999999</v>
      </c>
      <c r="K349" s="1">
        <v>-5.35249933600426E-2</v>
      </c>
      <c r="L349" s="1">
        <f>+K349-J349</f>
        <v>5.2985006639957394E-2</v>
      </c>
      <c r="M349" s="1">
        <v>-4.9524993360042499E-2</v>
      </c>
      <c r="N349" s="1">
        <f>+M349-J349</f>
        <v>5.6985006639957494E-2</v>
      </c>
      <c r="O349">
        <v>2.41</v>
      </c>
      <c r="P349" t="s">
        <v>17</v>
      </c>
      <c r="Q349">
        <v>-0.02</v>
      </c>
      <c r="R349">
        <v>2.0954150855540901E-3</v>
      </c>
      <c r="S349">
        <v>1.15555238444357E-2</v>
      </c>
      <c r="T349">
        <v>0.08</v>
      </c>
    </row>
    <row r="350" spans="1:20" x14ac:dyDescent="0.3">
      <c r="A350" t="s">
        <v>39</v>
      </c>
      <c r="B350">
        <v>2010</v>
      </c>
      <c r="C350">
        <v>252514.0938</v>
      </c>
      <c r="D350" s="1">
        <v>0</v>
      </c>
      <c r="E350" s="1">
        <v>0.93790382146835305</v>
      </c>
      <c r="F350" s="1">
        <v>-5.0999999999999997E-2</v>
      </c>
      <c r="G350" s="1">
        <f t="shared" si="10"/>
        <v>1.7000000000000008E-2</v>
      </c>
      <c r="H350" s="1" t="str">
        <f t="shared" si="11"/>
        <v/>
      </c>
      <c r="I350" s="1">
        <v>6.0000000000000001E-3</v>
      </c>
      <c r="J350" s="1">
        <f>+D350-F350+I350*O350</f>
        <v>6.4739999999999992E-2</v>
      </c>
      <c r="K350" s="1">
        <v>1.8095415085554099E-2</v>
      </c>
      <c r="L350" s="1">
        <f>+K350-J350</f>
        <v>-4.6644584914445897E-2</v>
      </c>
      <c r="M350" s="1">
        <v>2.0954150855540901E-3</v>
      </c>
      <c r="N350" s="1">
        <f>+M350-J350</f>
        <v>-6.2644584914445897E-2</v>
      </c>
      <c r="O350">
        <v>2.29</v>
      </c>
      <c r="P350" t="s">
        <v>17</v>
      </c>
      <c r="Q350">
        <v>0.01</v>
      </c>
      <c r="R350">
        <v>-2.13093938007951E-2</v>
      </c>
      <c r="S350">
        <v>-2.5619287043799401E-5</v>
      </c>
      <c r="T350">
        <v>-0.06</v>
      </c>
    </row>
    <row r="351" spans="1:20" x14ac:dyDescent="0.3">
      <c r="A351" t="s">
        <v>39</v>
      </c>
      <c r="B351">
        <v>2011</v>
      </c>
      <c r="C351">
        <v>254777.5</v>
      </c>
      <c r="D351" s="1">
        <v>0</v>
      </c>
      <c r="E351" s="1">
        <v>0.92752343416214</v>
      </c>
      <c r="F351" s="1">
        <v>3.6999999999999998E-2</v>
      </c>
      <c r="G351" s="1">
        <f t="shared" si="10"/>
        <v>5.4000000000000006E-2</v>
      </c>
      <c r="H351" s="1" t="str">
        <f t="shared" si="11"/>
        <v/>
      </c>
      <c r="I351" s="1">
        <v>-0.01</v>
      </c>
      <c r="J351" s="1">
        <f>+D351-F351+I351*O351</f>
        <v>-6.0700000000000004E-2</v>
      </c>
      <c r="K351" s="1">
        <v>1.0690606199204899E-2</v>
      </c>
      <c r="L351" s="1">
        <f>+K351-J351</f>
        <v>7.1390606199204898E-2</v>
      </c>
      <c r="M351" s="1">
        <v>-2.13093938007951E-2</v>
      </c>
      <c r="N351" s="1">
        <f>+M351-J351</f>
        <v>3.9390606199204904E-2</v>
      </c>
      <c r="O351">
        <v>2.37</v>
      </c>
      <c r="P351" t="s">
        <v>17</v>
      </c>
      <c r="Q351">
        <v>0</v>
      </c>
      <c r="R351">
        <v>-4.1089749932288998E-3</v>
      </c>
      <c r="S351">
        <v>1.3292310759425001E-3</v>
      </c>
      <c r="T351">
        <v>0.04</v>
      </c>
    </row>
    <row r="352" spans="1:20" x14ac:dyDescent="0.3">
      <c r="A352" t="s">
        <v>39</v>
      </c>
      <c r="B352">
        <v>2012</v>
      </c>
      <c r="C352">
        <v>254671.20310000001</v>
      </c>
      <c r="D352" s="1">
        <v>0</v>
      </c>
      <c r="E352" s="1">
        <v>0.92972034215927102</v>
      </c>
      <c r="F352" s="1">
        <v>-7.1999999999999995E-2</v>
      </c>
      <c r="G352" s="1">
        <f t="shared" si="10"/>
        <v>-1.7999999999999988E-2</v>
      </c>
      <c r="H352" s="1" t="str">
        <f t="shared" si="11"/>
        <v/>
      </c>
      <c r="I352" s="1">
        <v>2E-3</v>
      </c>
      <c r="J352" s="1">
        <f>+D352-F352+I352*O352</f>
        <v>7.6399999999999996E-2</v>
      </c>
      <c r="K352" s="1">
        <v>1.6891025006771102E-2</v>
      </c>
      <c r="L352" s="1">
        <f>+K352-J352</f>
        <v>-5.9508974993228894E-2</v>
      </c>
      <c r="M352" s="1">
        <v>-4.1089749932288998E-3</v>
      </c>
      <c r="N352" s="1">
        <f>+M352-J352</f>
        <v>-8.0508974993228899E-2</v>
      </c>
      <c r="O352">
        <v>2.2000000000000002</v>
      </c>
      <c r="P352" t="s">
        <v>17</v>
      </c>
      <c r="Q352">
        <v>0</v>
      </c>
      <c r="R352">
        <v>4.2489642649888998E-3</v>
      </c>
      <c r="S352">
        <v>-1.8778070807457001E-3</v>
      </c>
      <c r="T352">
        <v>-0.08</v>
      </c>
    </row>
    <row r="353" spans="1:20" x14ac:dyDescent="0.3">
      <c r="A353" t="s">
        <v>39</v>
      </c>
      <c r="B353">
        <v>2013</v>
      </c>
      <c r="C353">
        <v>253770.0938</v>
      </c>
      <c r="D353" s="1">
        <v>0</v>
      </c>
      <c r="E353" s="1">
        <v>0.94228655099868797</v>
      </c>
      <c r="F353" s="1">
        <v>0.09</v>
      </c>
      <c r="G353" s="1">
        <f t="shared" si="10"/>
        <v>7.2000000000000008E-2</v>
      </c>
      <c r="H353" s="1" t="str">
        <f t="shared" si="11"/>
        <v/>
      </c>
      <c r="I353" s="1">
        <v>1.2999999999999999E-2</v>
      </c>
      <c r="J353" s="1">
        <f>+D353-F353+I353*O353</f>
        <v>-5.8799999999999998E-2</v>
      </c>
      <c r="K353" s="1">
        <v>1.9248964264988899E-2</v>
      </c>
      <c r="L353" s="1">
        <f>+K353-J353</f>
        <v>7.804896426498889E-2</v>
      </c>
      <c r="M353" s="1">
        <v>4.2489642649888998E-3</v>
      </c>
      <c r="N353" s="1">
        <f>+M353-J353</f>
        <v>6.3048964264988905E-2</v>
      </c>
      <c r="O353">
        <v>2.4</v>
      </c>
      <c r="P353" t="s">
        <v>15</v>
      </c>
      <c r="Q353">
        <v>0</v>
      </c>
      <c r="R353">
        <v>1.7649872988462399E-2</v>
      </c>
      <c r="S353">
        <v>1.5641849488019801E-2</v>
      </c>
      <c r="T353">
        <v>0.08</v>
      </c>
    </row>
    <row r="354" spans="1:20" x14ac:dyDescent="0.3">
      <c r="A354" t="s">
        <v>39</v>
      </c>
      <c r="B354">
        <v>2014</v>
      </c>
      <c r="C354">
        <v>256327.0938</v>
      </c>
      <c r="D354" s="1">
        <v>3.1E-2</v>
      </c>
      <c r="E354" s="1">
        <v>0.94155663251876798</v>
      </c>
      <c r="F354" s="1">
        <v>-5.1999999999999998E-2</v>
      </c>
      <c r="G354" s="1">
        <f t="shared" si="10"/>
        <v>2.0000000000000011E-2</v>
      </c>
      <c r="H354" s="1" t="str">
        <f t="shared" si="11"/>
        <v/>
      </c>
      <c r="I354" s="1">
        <v>-1E-3</v>
      </c>
      <c r="J354" s="1">
        <f>+D354-F354+I354*O354</f>
        <v>8.0719999999999986E-2</v>
      </c>
      <c r="K354" s="1">
        <v>3.36498729884624E-2</v>
      </c>
      <c r="L354" s="1">
        <f>+K354-J354</f>
        <v>-4.7070127011537587E-2</v>
      </c>
      <c r="M354" s="1">
        <v>1.7649872988462399E-2</v>
      </c>
      <c r="N354" s="1">
        <f>+M354-J354</f>
        <v>-6.307012701153758E-2</v>
      </c>
      <c r="O354">
        <v>2.2799999999999998</v>
      </c>
      <c r="P354" t="s">
        <v>16</v>
      </c>
      <c r="Q354">
        <v>0.02</v>
      </c>
      <c r="R354">
        <v>7.8267896711826296E-2</v>
      </c>
      <c r="S354">
        <v>4.8004444688558599E-2</v>
      </c>
      <c r="T354">
        <v>-0.06</v>
      </c>
    </row>
    <row r="355" spans="1:20" x14ac:dyDescent="0.3">
      <c r="A355" t="s">
        <v>39</v>
      </c>
      <c r="B355">
        <v>2015</v>
      </c>
      <c r="C355">
        <v>262004.29689999999</v>
      </c>
      <c r="D355" s="1">
        <v>1E-3</v>
      </c>
      <c r="E355" s="1">
        <v>0.95322978496551503</v>
      </c>
      <c r="F355" s="1">
        <v>1.6E-2</v>
      </c>
      <c r="G355" s="1">
        <f t="shared" si="10"/>
        <v>3.6000000000000011E-2</v>
      </c>
      <c r="H355" s="1" t="str">
        <f t="shared" si="11"/>
        <v/>
      </c>
      <c r="I355" s="1">
        <v>1.2E-2</v>
      </c>
      <c r="J355" s="1">
        <f>+D355-F355+I355*O355</f>
        <v>1.2720000000000002E-2</v>
      </c>
      <c r="K355" s="1">
        <v>7.9267896711826297E-2</v>
      </c>
      <c r="L355" s="1">
        <f>+K355-J355</f>
        <v>6.6547896711826288E-2</v>
      </c>
      <c r="M355" s="1">
        <v>7.8267896711826296E-2</v>
      </c>
      <c r="N355" s="1">
        <f>+M355-J355</f>
        <v>6.5547896711826287E-2</v>
      </c>
      <c r="O355">
        <v>2.31</v>
      </c>
      <c r="P355" t="s">
        <v>15</v>
      </c>
      <c r="Q355">
        <v>0.05</v>
      </c>
      <c r="R355">
        <v>3.9897453308105499E-2</v>
      </c>
      <c r="S355">
        <v>2.67438963055611E-2</v>
      </c>
      <c r="T355">
        <v>0.03</v>
      </c>
    </row>
    <row r="356" spans="1:20" x14ac:dyDescent="0.3">
      <c r="A356" t="s">
        <v>39</v>
      </c>
      <c r="B356">
        <v>2016</v>
      </c>
      <c r="C356">
        <v>266072</v>
      </c>
      <c r="D356" s="1">
        <v>8.9999999999999993E-3</v>
      </c>
      <c r="E356" s="1">
        <v>0.94378054141998302</v>
      </c>
      <c r="F356" s="1">
        <v>0.06</v>
      </c>
      <c r="G356" s="1">
        <f t="shared" si="10"/>
        <v>9.6000000000000002E-2</v>
      </c>
      <c r="H356" s="1" t="str">
        <f t="shared" si="11"/>
        <v/>
      </c>
      <c r="I356" s="1">
        <v>-8.9999999999999993E-3</v>
      </c>
      <c r="J356" s="1">
        <f>+D356-F356+I356*O356</f>
        <v>-7.3050000000000004E-2</v>
      </c>
      <c r="K356" s="1">
        <v>5.2897453308105503E-2</v>
      </c>
      <c r="L356" s="1">
        <f>+K356-J356</f>
        <v>0.1259474533081055</v>
      </c>
      <c r="M356" s="1">
        <v>3.9897453308105499E-2</v>
      </c>
      <c r="N356" s="1">
        <f>+M356-J356</f>
        <v>0.1129474533081055</v>
      </c>
      <c r="O356">
        <v>2.4500000000000002</v>
      </c>
      <c r="P356" t="s">
        <v>17</v>
      </c>
      <c r="Q356">
        <v>0.03</v>
      </c>
      <c r="R356">
        <v>3.4210944265127198E-2</v>
      </c>
      <c r="S356">
        <v>3.14213708043099E-2</v>
      </c>
      <c r="T356">
        <v>0.06</v>
      </c>
    </row>
    <row r="357" spans="1:20" x14ac:dyDescent="0.3">
      <c r="A357" t="s">
        <v>39</v>
      </c>
      <c r="B357">
        <v>2017</v>
      </c>
      <c r="C357">
        <v>269494.8125</v>
      </c>
      <c r="D357" s="1">
        <v>2.7E-2</v>
      </c>
      <c r="E357" s="1">
        <v>0.94569230079650901</v>
      </c>
      <c r="F357" s="1">
        <v>-7.5999999999999998E-2</v>
      </c>
      <c r="G357" s="1">
        <f t="shared" si="10"/>
        <v>2.0000000000000004E-2</v>
      </c>
      <c r="H357" s="1" t="str">
        <f t="shared" si="11"/>
        <v/>
      </c>
      <c r="I357" s="1">
        <v>2E-3</v>
      </c>
      <c r="J357" s="1">
        <f>+D357-F357+I357*O357</f>
        <v>0.10754</v>
      </c>
      <c r="K357" s="1">
        <v>5.5210944265127203E-2</v>
      </c>
      <c r="L357" s="1">
        <f>+K357-J357</f>
        <v>-5.2329055734872794E-2</v>
      </c>
      <c r="M357" s="1">
        <v>3.4210944265127198E-2</v>
      </c>
      <c r="N357" s="1">
        <f>+M357-J357</f>
        <v>-7.3329055734872806E-2</v>
      </c>
      <c r="O357">
        <v>2.27</v>
      </c>
      <c r="P357" t="s">
        <v>17</v>
      </c>
      <c r="Q357">
        <v>0.03</v>
      </c>
      <c r="R357">
        <v>3.9738234341144603E-2</v>
      </c>
      <c r="S357">
        <v>3.06032113730908E-2</v>
      </c>
      <c r="T357">
        <v>-7.0000000000000007E-2</v>
      </c>
    </row>
    <row r="358" spans="1:20" x14ac:dyDescent="0.3">
      <c r="A358" t="s">
        <v>39</v>
      </c>
      <c r="B358">
        <v>2018</v>
      </c>
      <c r="C358">
        <v>272658.5</v>
      </c>
      <c r="D358" s="1">
        <v>1.7999999999999999E-2</v>
      </c>
      <c r="E358" s="1">
        <v>0.94227105379104603</v>
      </c>
      <c r="F358" s="1">
        <v>-1.2E-2</v>
      </c>
      <c r="G358" s="1">
        <f t="shared" si="10"/>
        <v>8.0000000000000036E-3</v>
      </c>
      <c r="H358" s="1" t="str">
        <f t="shared" si="11"/>
        <v/>
      </c>
      <c r="I358" s="1">
        <v>-3.0000000000000001E-3</v>
      </c>
      <c r="J358" s="1">
        <f>+D358-F358+I358*O358</f>
        <v>2.3279999999999999E-2</v>
      </c>
      <c r="K358" s="1">
        <v>6.3738234341144603E-2</v>
      </c>
      <c r="L358" s="1">
        <f>+K358-J358</f>
        <v>4.0458234341144608E-2</v>
      </c>
      <c r="M358" s="1">
        <v>3.9738234341144603E-2</v>
      </c>
      <c r="N358" s="1">
        <f>+M358-J358</f>
        <v>1.6458234341144604E-2</v>
      </c>
      <c r="O358">
        <v>2.2400000000000002</v>
      </c>
      <c r="P358" t="s">
        <v>16</v>
      </c>
      <c r="Q358">
        <v>0.03</v>
      </c>
      <c r="R358">
        <v>2.6325929135084199E-2</v>
      </c>
      <c r="S358">
        <v>8.5247345268726904E-3</v>
      </c>
      <c r="T358">
        <v>0</v>
      </c>
    </row>
    <row r="359" spans="1:20" x14ac:dyDescent="0.3">
      <c r="A359" t="s">
        <v>39</v>
      </c>
      <c r="B359">
        <v>2019</v>
      </c>
      <c r="C359">
        <v>275165.1875</v>
      </c>
      <c r="D359" s="1">
        <v>1.2E-2</v>
      </c>
      <c r="E359" s="1">
        <v>0.93922823667526201</v>
      </c>
      <c r="F359" s="1">
        <v>9.4E-2</v>
      </c>
      <c r="G359" s="1">
        <f t="shared" si="10"/>
        <v>0.10200000000000001</v>
      </c>
      <c r="H359" s="1" t="str">
        <f t="shared" si="11"/>
        <v/>
      </c>
      <c r="I359" s="1">
        <v>-3.0000000000000001E-3</v>
      </c>
      <c r="J359" s="1">
        <f>+D359-F359+I359*O359</f>
        <v>-8.9349999999999999E-2</v>
      </c>
      <c r="K359" s="1">
        <v>4.4325929135084201E-2</v>
      </c>
      <c r="L359" s="1">
        <f>+K359-J359</f>
        <v>0.13367592913508419</v>
      </c>
      <c r="M359" s="1">
        <v>2.6325929135084199E-2</v>
      </c>
      <c r="N359" s="1">
        <f>+M359-J359</f>
        <v>0.1156759291350842</v>
      </c>
      <c r="O359">
        <v>2.4500000000000002</v>
      </c>
      <c r="P359" t="s">
        <v>17</v>
      </c>
      <c r="Q359">
        <v>0.01</v>
      </c>
      <c r="R359">
        <v>1.5940498664975201E-2</v>
      </c>
      <c r="S359">
        <v>-2.9086917638777902E-3</v>
      </c>
      <c r="T359">
        <v>0.1</v>
      </c>
    </row>
    <row r="360" spans="1:20" x14ac:dyDescent="0.3">
      <c r="A360" t="s">
        <v>39</v>
      </c>
      <c r="B360">
        <v>2020</v>
      </c>
      <c r="C360">
        <v>276022.625</v>
      </c>
      <c r="D360" s="1">
        <v>3.5000000000000003E-2</v>
      </c>
      <c r="E360" s="1">
        <v>0.94198602437973</v>
      </c>
      <c r="F360" s="1">
        <v>-0.08</v>
      </c>
      <c r="G360" s="1">
        <f t="shared" si="10"/>
        <v>2.2000000000000006E-2</v>
      </c>
      <c r="H360" s="1" t="str">
        <f t="shared" si="11"/>
        <v/>
      </c>
      <c r="I360" s="1">
        <v>3.0000000000000001E-3</v>
      </c>
      <c r="J360" s="1">
        <f>+D360-F360+I360*O360</f>
        <v>0.12175000000000001</v>
      </c>
      <c r="K360" s="1">
        <v>2.7940498664975201E-2</v>
      </c>
      <c r="L360" s="1">
        <f>+K360-J360</f>
        <v>-9.3809501335024803E-2</v>
      </c>
      <c r="M360" s="1">
        <v>1.5940498664975201E-2</v>
      </c>
      <c r="N360" s="1">
        <f>+M360-J360</f>
        <v>-0.10580950133502481</v>
      </c>
      <c r="O360">
        <v>2.25</v>
      </c>
      <c r="P360" t="s">
        <v>17</v>
      </c>
      <c r="Q360">
        <v>0</v>
      </c>
      <c r="R360">
        <v>8.3845963954925995E-2</v>
      </c>
      <c r="S360">
        <v>4.0256351232529103E-2</v>
      </c>
      <c r="T360">
        <v>-0.04</v>
      </c>
    </row>
    <row r="361" spans="1:20" x14ac:dyDescent="0.3">
      <c r="A361" t="s">
        <v>39</v>
      </c>
      <c r="B361">
        <v>2021</v>
      </c>
      <c r="C361">
        <v>276879.3125</v>
      </c>
      <c r="D361" s="1">
        <v>4.3999999999999997E-2</v>
      </c>
      <c r="E361" s="1">
        <v>0.94005882740020796</v>
      </c>
      <c r="F361" s="1">
        <v>-4.0000000000000001E-3</v>
      </c>
      <c r="G361" s="1">
        <f t="shared" si="10"/>
        <v>1.8000000000000006E-2</v>
      </c>
      <c r="H361" s="1" t="str">
        <f t="shared" si="11"/>
        <v/>
      </c>
      <c r="I361" s="1">
        <v>-2E-3</v>
      </c>
      <c r="J361" s="1">
        <f>+D361-F361+I361*O361</f>
        <v>4.3520000000000003E-2</v>
      </c>
      <c r="K361" s="1">
        <v>0.13084596395492601</v>
      </c>
      <c r="L361" s="1">
        <f>+K361-J361</f>
        <v>8.7325963954926006E-2</v>
      </c>
      <c r="M361" s="1">
        <v>8.3845963954925995E-2</v>
      </c>
      <c r="N361" s="1">
        <f>+M361-J361</f>
        <v>4.0325963954925992E-2</v>
      </c>
      <c r="O361">
        <v>2.2400000000000002</v>
      </c>
      <c r="P361" t="s">
        <v>16</v>
      </c>
      <c r="Q361">
        <v>0.04</v>
      </c>
      <c r="R361">
        <v>-9.8796937540173504E-2</v>
      </c>
      <c r="S361">
        <v>-6.6693430766463196E-2</v>
      </c>
      <c r="T361">
        <v>-0.03</v>
      </c>
    </row>
    <row r="362" spans="1:20" x14ac:dyDescent="0.3">
      <c r="A362" t="s">
        <v>39</v>
      </c>
      <c r="B362">
        <v>2022</v>
      </c>
      <c r="C362">
        <v>277769.1875</v>
      </c>
      <c r="D362" s="1">
        <v>6.3E-2</v>
      </c>
      <c r="E362" s="1">
        <v>0.88603454828262296</v>
      </c>
      <c r="F362" s="1">
        <v>4.9000000000000002E-2</v>
      </c>
      <c r="G362" s="1">
        <f t="shared" si="10"/>
        <v>6.7000000000000004E-2</v>
      </c>
      <c r="H362" s="1" t="str">
        <f t="shared" si="11"/>
        <v/>
      </c>
      <c r="I362" s="1">
        <v>-5.3999999999999999E-2</v>
      </c>
      <c r="J362" s="1">
        <f>+D362-F362+I362*O362</f>
        <v>-0.11290000000000001</v>
      </c>
      <c r="K362" s="1">
        <v>-1.8796937540173499E-2</v>
      </c>
      <c r="L362" s="1">
        <f>+K362-J362</f>
        <v>9.4103062459826511E-2</v>
      </c>
      <c r="M362" s="1">
        <v>-9.8796937540173504E-2</v>
      </c>
      <c r="N362" s="1">
        <f>+M362-J362</f>
        <v>1.410306245982651E-2</v>
      </c>
      <c r="O362">
        <v>2.35</v>
      </c>
      <c r="P362" t="s">
        <v>17</v>
      </c>
      <c r="Q362">
        <v>-7.0000000000000007E-2</v>
      </c>
      <c r="R362">
        <v>-3.2724533028900597E-2</v>
      </c>
      <c r="S362">
        <v>-1.31656052544713E-2</v>
      </c>
      <c r="T362">
        <v>0.06</v>
      </c>
    </row>
    <row r="363" spans="1:20" x14ac:dyDescent="0.3">
      <c r="A363" t="s">
        <v>40</v>
      </c>
      <c r="B363">
        <v>2006</v>
      </c>
      <c r="C363">
        <v>381681.78129999997</v>
      </c>
      <c r="D363" s="1">
        <v>6.7000000000000004E-2</v>
      </c>
      <c r="E363" s="1">
        <v>0.93242102861404397</v>
      </c>
      <c r="F363" s="1">
        <v>-5.3999999999999999E-2</v>
      </c>
      <c r="G363" s="1">
        <f t="shared" si="10"/>
        <v>-5.3999999999999999E-2</v>
      </c>
      <c r="H363" s="1" t="str">
        <f t="shared" si="11"/>
        <v/>
      </c>
      <c r="I363" s="1">
        <v>4.0000000000000001E-3</v>
      </c>
      <c r="J363" s="1">
        <f>+D363-F363+I363*O363</f>
        <v>0.13324</v>
      </c>
      <c r="K363" s="1">
        <v>3.8183130323886899E-2</v>
      </c>
      <c r="L363" s="1">
        <f>+K363-J363</f>
        <v>-9.5056869676113098E-2</v>
      </c>
      <c r="M363" s="1">
        <v>6.1831303238868898E-3</v>
      </c>
      <c r="N363" s="1">
        <f>+M363-J363</f>
        <v>-0.1270568696761131</v>
      </c>
      <c r="O363">
        <v>3.06</v>
      </c>
      <c r="P363" t="s">
        <v>17</v>
      </c>
      <c r="Q363">
        <v>0</v>
      </c>
      <c r="R363">
        <v>1.45559079051017E-2</v>
      </c>
      <c r="S363">
        <v>1.5477663837373199E-2</v>
      </c>
      <c r="T363">
        <v>-0.06</v>
      </c>
    </row>
    <row r="364" spans="1:20" x14ac:dyDescent="0.3">
      <c r="A364" t="s">
        <v>40</v>
      </c>
      <c r="B364">
        <v>2007</v>
      </c>
      <c r="C364">
        <v>387976.90629999997</v>
      </c>
      <c r="D364" s="1">
        <v>8.9999999999999993E-3</v>
      </c>
      <c r="E364" s="1">
        <v>0.93833279609680198</v>
      </c>
      <c r="F364" s="1">
        <v>3.3000000000000002E-2</v>
      </c>
      <c r="G364" s="1">
        <f t="shared" si="10"/>
        <v>-2.0999999999999998E-2</v>
      </c>
      <c r="H364" s="1" t="str">
        <f t="shared" si="11"/>
        <v/>
      </c>
      <c r="I364" s="1">
        <v>6.0000000000000001E-3</v>
      </c>
      <c r="J364" s="1">
        <f>+D364-F364+I364*O364</f>
        <v>-5.0399999999999993E-3</v>
      </c>
      <c r="K364" s="1">
        <v>4.3555907905101797E-2</v>
      </c>
      <c r="L364" s="1">
        <f>+K364-J364</f>
        <v>4.8595907905101793E-2</v>
      </c>
      <c r="M364" s="1">
        <v>1.45559079051017E-2</v>
      </c>
      <c r="N364" s="1">
        <f>+M364-J364</f>
        <v>1.9595907905101698E-2</v>
      </c>
      <c r="O364">
        <v>3.16</v>
      </c>
      <c r="P364" t="s">
        <v>15</v>
      </c>
      <c r="Q364">
        <v>0.02</v>
      </c>
      <c r="R364">
        <v>-2.72342267557978E-2</v>
      </c>
      <c r="S364">
        <v>2.2765775211154998E-3</v>
      </c>
      <c r="T364">
        <v>0.03</v>
      </c>
    </row>
    <row r="365" spans="1:20" x14ac:dyDescent="0.3">
      <c r="A365" t="s">
        <v>40</v>
      </c>
      <c r="B365">
        <v>2008</v>
      </c>
      <c r="C365">
        <v>394842.5</v>
      </c>
      <c r="D365" s="1">
        <v>6.0000000000000001E-3</v>
      </c>
      <c r="E365" s="1">
        <v>0.932958483695984</v>
      </c>
      <c r="F365" s="1">
        <v>-9.5000000000000001E-2</v>
      </c>
      <c r="G365" s="1">
        <f t="shared" si="10"/>
        <v>-0.11599999999999999</v>
      </c>
      <c r="H365" s="1" t="str">
        <f t="shared" si="11"/>
        <v/>
      </c>
      <c r="I365" s="1">
        <v>-5.0000000000000001E-3</v>
      </c>
      <c r="J365" s="1">
        <f>+D365-F365+I365*O365</f>
        <v>8.6699999999999999E-2</v>
      </c>
      <c r="K365" s="1">
        <v>1.0765773244202101E-2</v>
      </c>
      <c r="L365" s="1">
        <f>+K365-J365</f>
        <v>-7.5934226755797904E-2</v>
      </c>
      <c r="M365" s="1">
        <v>-2.72342267557978E-2</v>
      </c>
      <c r="N365" s="1">
        <f>+M365-J365</f>
        <v>-0.1139342267557978</v>
      </c>
      <c r="O365">
        <v>2.86</v>
      </c>
      <c r="P365" t="s">
        <v>16</v>
      </c>
      <c r="Q365">
        <v>0</v>
      </c>
      <c r="R365">
        <v>-3.1904332995414703E-2</v>
      </c>
      <c r="S365">
        <v>-5.3376313298940502E-3</v>
      </c>
      <c r="T365">
        <v>-0.1</v>
      </c>
    </row>
    <row r="366" spans="1:20" x14ac:dyDescent="0.3">
      <c r="A366" t="s">
        <v>40</v>
      </c>
      <c r="B366">
        <v>2009</v>
      </c>
      <c r="C366">
        <v>402136.40629999997</v>
      </c>
      <c r="D366" s="1">
        <v>2.5000000000000001E-2</v>
      </c>
      <c r="E366" s="1">
        <v>0.91598016023635898</v>
      </c>
      <c r="F366" s="1">
        <v>0.10100000000000001</v>
      </c>
      <c r="G366" s="1">
        <f t="shared" si="10"/>
        <v>-1.4999999999999986E-2</v>
      </c>
      <c r="H366" s="1" t="str">
        <f t="shared" si="11"/>
        <v/>
      </c>
      <c r="I366" s="1">
        <v>-1.7000000000000001E-2</v>
      </c>
      <c r="J366" s="1">
        <f>+D366-F366+I366*O366</f>
        <v>-0.12955</v>
      </c>
      <c r="K366" s="1">
        <v>-3.5904332995414699E-2</v>
      </c>
      <c r="L366" s="1">
        <f>+K366-J366</f>
        <v>9.3645667004585292E-2</v>
      </c>
      <c r="M366" s="1">
        <v>-3.1904332995414703E-2</v>
      </c>
      <c r="N366" s="1">
        <f>+M366-J366</f>
        <v>9.7645667004585296E-2</v>
      </c>
      <c r="O366">
        <v>3.15</v>
      </c>
      <c r="P366" t="s">
        <v>17</v>
      </c>
      <c r="Q366">
        <v>-0.01</v>
      </c>
      <c r="R366">
        <v>-1.8584072528406902E-2</v>
      </c>
      <c r="S366">
        <v>-9.1239637695252895E-3</v>
      </c>
      <c r="T366">
        <v>0.08</v>
      </c>
    </row>
    <row r="367" spans="1:20" x14ac:dyDescent="0.3">
      <c r="A367" t="s">
        <v>40</v>
      </c>
      <c r="B367">
        <v>2010</v>
      </c>
      <c r="C367">
        <v>408849.6875</v>
      </c>
      <c r="D367" s="1">
        <v>2.5000000000000001E-2</v>
      </c>
      <c r="E367" s="1">
        <v>0.91017132997512795</v>
      </c>
      <c r="F367" s="1">
        <v>1.4E-2</v>
      </c>
      <c r="G367" s="1">
        <f t="shared" si="10"/>
        <v>-9.9999999999998528E-4</v>
      </c>
      <c r="H367" s="1" t="str">
        <f t="shared" si="11"/>
        <v/>
      </c>
      <c r="I367" s="1">
        <v>-6.0000000000000001E-3</v>
      </c>
      <c r="J367" s="1">
        <f>+D367-F367+I367*O367</f>
        <v>-8.2000000000000007E-3</v>
      </c>
      <c r="K367" s="1">
        <v>-2.5840725284069798E-3</v>
      </c>
      <c r="L367" s="1">
        <f>+K367-J367</f>
        <v>5.6159274715930213E-3</v>
      </c>
      <c r="M367" s="1">
        <v>-1.8584072528406902E-2</v>
      </c>
      <c r="N367" s="1">
        <f>+M367-J367</f>
        <v>-1.0384072528406901E-2</v>
      </c>
      <c r="O367">
        <v>3.2</v>
      </c>
      <c r="P367" t="s">
        <v>17</v>
      </c>
      <c r="Q367">
        <v>-0.01</v>
      </c>
      <c r="R367">
        <v>-2.3250588558614199E-2</v>
      </c>
      <c r="S367">
        <v>-1.96681404486295E-3</v>
      </c>
      <c r="T367">
        <v>0.01</v>
      </c>
    </row>
    <row r="368" spans="1:20" x14ac:dyDescent="0.3">
      <c r="A368" t="s">
        <v>40</v>
      </c>
      <c r="B368">
        <v>2011</v>
      </c>
      <c r="C368">
        <v>413276.875</v>
      </c>
      <c r="D368" s="1">
        <v>1.7000000000000001E-2</v>
      </c>
      <c r="E368" s="1">
        <v>0.91461706161499001</v>
      </c>
      <c r="F368" s="1">
        <v>-4.0000000000000001E-3</v>
      </c>
      <c r="G368" s="1">
        <f t="shared" si="10"/>
        <v>-4.9999999999999854E-3</v>
      </c>
      <c r="H368" s="1" t="str">
        <f t="shared" si="11"/>
        <v/>
      </c>
      <c r="I368" s="1">
        <v>4.0000000000000001E-3</v>
      </c>
      <c r="J368" s="1">
        <f>+D368-F368+I368*O368</f>
        <v>3.372E-2</v>
      </c>
      <c r="K368" s="1">
        <v>8.7494114413857495E-3</v>
      </c>
      <c r="L368" s="1">
        <f>+K368-J368</f>
        <v>-2.4970588558614251E-2</v>
      </c>
      <c r="M368" s="1">
        <v>-2.3250588558614199E-2</v>
      </c>
      <c r="N368" s="1">
        <f>+M368-J368</f>
        <v>-5.6970588558614199E-2</v>
      </c>
      <c r="O368">
        <v>3.18</v>
      </c>
      <c r="P368" t="s">
        <v>17</v>
      </c>
      <c r="Q368">
        <v>0</v>
      </c>
      <c r="R368">
        <v>-8.1882386505603994E-3</v>
      </c>
      <c r="S368">
        <v>-2.7500325813889998E-3</v>
      </c>
      <c r="T368">
        <v>0</v>
      </c>
    </row>
    <row r="369" spans="1:20" x14ac:dyDescent="0.3">
      <c r="A369" t="s">
        <v>40</v>
      </c>
      <c r="B369">
        <v>2012</v>
      </c>
      <c r="C369">
        <v>415324.40629999997</v>
      </c>
      <c r="D369" s="1">
        <v>7.0000000000000001E-3</v>
      </c>
      <c r="E369" s="1">
        <v>0.91661334037780795</v>
      </c>
      <c r="F369" s="1">
        <v>-2.5999999999999999E-2</v>
      </c>
      <c r="G369" s="1">
        <f t="shared" si="10"/>
        <v>-3.0999999999999986E-2</v>
      </c>
      <c r="H369" s="1" t="str">
        <f t="shared" si="11"/>
        <v/>
      </c>
      <c r="I369" s="1">
        <v>2E-3</v>
      </c>
      <c r="J369" s="1">
        <f>+D369-F369+I369*O369</f>
        <v>3.9199999999999999E-2</v>
      </c>
      <c r="K369" s="1">
        <v>1.28117613494396E-2</v>
      </c>
      <c r="L369" s="1">
        <f>+K369-J369</f>
        <v>-2.6388238650560399E-2</v>
      </c>
      <c r="M369" s="1">
        <v>-8.1882386505603994E-3</v>
      </c>
      <c r="N369" s="1">
        <f>+M369-J369</f>
        <v>-4.7388238650560396E-2</v>
      </c>
      <c r="O369">
        <v>3.1</v>
      </c>
      <c r="P369" t="s">
        <v>17</v>
      </c>
      <c r="Q369">
        <v>0</v>
      </c>
      <c r="R369">
        <v>-1.7266369983554E-3</v>
      </c>
      <c r="S369">
        <v>-7.8534083440900005E-3</v>
      </c>
      <c r="T369">
        <v>-0.03</v>
      </c>
    </row>
    <row r="370" spans="1:20" x14ac:dyDescent="0.3">
      <c r="A370" t="s">
        <v>40</v>
      </c>
      <c r="B370">
        <v>2013</v>
      </c>
      <c r="C370">
        <v>416396.09379999997</v>
      </c>
      <c r="D370" s="1">
        <v>1E-3</v>
      </c>
      <c r="E370" s="1">
        <v>0.92324018478393599</v>
      </c>
      <c r="F370" s="1">
        <v>1E-3</v>
      </c>
      <c r="G370" s="1">
        <f t="shared" si="10"/>
        <v>-2.9999999999999985E-2</v>
      </c>
      <c r="H370" s="1" t="str">
        <f t="shared" si="11"/>
        <v/>
      </c>
      <c r="I370" s="1">
        <v>7.0000000000000001E-3</v>
      </c>
      <c r="J370" s="1">
        <f>+D370-F370+I370*O370</f>
        <v>2.1700000000000001E-2</v>
      </c>
      <c r="K370" s="1">
        <v>1.3273363001644599E-2</v>
      </c>
      <c r="L370" s="1">
        <f>+K370-J370</f>
        <v>-8.4266369983554013E-3</v>
      </c>
      <c r="M370" s="1">
        <v>-1.7266369983554E-3</v>
      </c>
      <c r="N370" s="1">
        <f>+M370-J370</f>
        <v>-2.3426636998355399E-2</v>
      </c>
      <c r="O370">
        <v>3.1</v>
      </c>
      <c r="P370" t="s">
        <v>15</v>
      </c>
      <c r="Q370">
        <v>-0.01</v>
      </c>
      <c r="R370">
        <v>-1.3942522400990099E-2</v>
      </c>
      <c r="S370">
        <v>-1.5950545901432599E-2</v>
      </c>
      <c r="T370">
        <v>-0.01</v>
      </c>
    </row>
    <row r="371" spans="1:20" x14ac:dyDescent="0.3">
      <c r="A371" t="s">
        <v>40</v>
      </c>
      <c r="B371">
        <v>2014</v>
      </c>
      <c r="C371">
        <v>417394.8125</v>
      </c>
      <c r="D371" s="1">
        <v>4.4999999999999998E-2</v>
      </c>
      <c r="E371" s="1">
        <v>0.91770040988922097</v>
      </c>
      <c r="F371" s="1">
        <v>8.9999999999999993E-3</v>
      </c>
      <c r="G371" s="1">
        <f t="shared" si="10"/>
        <v>-2.0999999999999984E-2</v>
      </c>
      <c r="H371" s="1" t="str">
        <f t="shared" si="11"/>
        <v/>
      </c>
      <c r="I371" s="1">
        <v>-6.0000000000000001E-3</v>
      </c>
      <c r="J371" s="1">
        <f>+D371-F371+I371*O371</f>
        <v>1.7219999999999999E-2</v>
      </c>
      <c r="K371" s="1">
        <v>2.0574775990098702E-3</v>
      </c>
      <c r="L371" s="1">
        <f>+K371-J371</f>
        <v>-1.5162522400990129E-2</v>
      </c>
      <c r="M371" s="1">
        <v>-1.3942522400990099E-2</v>
      </c>
      <c r="N371" s="1">
        <f>+M371-J371</f>
        <v>-3.11625224009901E-2</v>
      </c>
      <c r="O371">
        <v>3.13</v>
      </c>
      <c r="P371" t="s">
        <v>17</v>
      </c>
      <c r="Q371">
        <v>-0.02</v>
      </c>
      <c r="R371">
        <v>9.5207050219177896E-3</v>
      </c>
      <c r="S371">
        <v>-2.0742747001349801E-2</v>
      </c>
      <c r="T371">
        <v>0.01</v>
      </c>
    </row>
    <row r="372" spans="1:20" x14ac:dyDescent="0.3">
      <c r="A372" t="s">
        <v>40</v>
      </c>
      <c r="B372">
        <v>2015</v>
      </c>
      <c r="C372">
        <v>417783.125</v>
      </c>
      <c r="D372" s="1">
        <v>5.1999999999999998E-2</v>
      </c>
      <c r="E372" s="1">
        <v>0.92078453302383401</v>
      </c>
      <c r="F372" s="1">
        <v>-4.1000000000000002E-2</v>
      </c>
      <c r="G372" s="1">
        <f t="shared" si="10"/>
        <v>-6.1999999999999986E-2</v>
      </c>
      <c r="H372" s="1" t="str">
        <f t="shared" si="11"/>
        <v/>
      </c>
      <c r="I372" s="1">
        <v>3.0000000000000001E-3</v>
      </c>
      <c r="J372" s="1">
        <f>+D372-F372+I372*O372</f>
        <v>0.10200000000000001</v>
      </c>
      <c r="K372" s="1">
        <v>1.0520705021917799E-2</v>
      </c>
      <c r="L372" s="1">
        <f>+K372-J372</f>
        <v>-9.1479294978082215E-2</v>
      </c>
      <c r="M372" s="1">
        <v>9.5207050219177896E-3</v>
      </c>
      <c r="N372" s="1">
        <f>+M372-J372</f>
        <v>-9.2479294978082216E-2</v>
      </c>
      <c r="O372">
        <v>3</v>
      </c>
      <c r="P372" t="s">
        <v>17</v>
      </c>
      <c r="Q372">
        <v>-0.02</v>
      </c>
      <c r="R372">
        <v>-5.20115412026643E-3</v>
      </c>
      <c r="S372">
        <v>-1.8354711122810799E-2</v>
      </c>
      <c r="T372">
        <v>-0.03</v>
      </c>
    </row>
    <row r="373" spans="1:20" x14ac:dyDescent="0.3">
      <c r="A373" t="s">
        <v>40</v>
      </c>
      <c r="B373">
        <v>2016</v>
      </c>
      <c r="C373">
        <v>419020.8125</v>
      </c>
      <c r="D373" s="1">
        <v>4.2000000000000003E-2</v>
      </c>
      <c r="E373" s="1">
        <v>0.91704577207565297</v>
      </c>
      <c r="F373" s="1">
        <v>-0.01</v>
      </c>
      <c r="G373" s="1">
        <f t="shared" si="10"/>
        <v>-7.1999999999999981E-2</v>
      </c>
      <c r="H373" s="1" t="str">
        <f t="shared" si="11"/>
        <v/>
      </c>
      <c r="I373" s="1">
        <v>-4.0000000000000001E-3</v>
      </c>
      <c r="J373" s="1">
        <f>+D373-F373+I373*O373</f>
        <v>4.0120000000000003E-2</v>
      </c>
      <c r="K373" s="1">
        <v>7.7988458797335599E-3</v>
      </c>
      <c r="L373" s="1">
        <f>+K373-J373</f>
        <v>-3.232115412026644E-2</v>
      </c>
      <c r="M373" s="1">
        <v>-5.20115412026643E-3</v>
      </c>
      <c r="N373" s="1">
        <f>+M373-J373</f>
        <v>-4.5321154120266431E-2</v>
      </c>
      <c r="O373">
        <v>2.97</v>
      </c>
      <c r="P373" t="s">
        <v>16</v>
      </c>
      <c r="Q373">
        <v>-0.02</v>
      </c>
      <c r="R373">
        <v>-5.2354822903872E-3</v>
      </c>
      <c r="S373">
        <v>-8.0250557512044907E-3</v>
      </c>
      <c r="T373">
        <v>-0.01</v>
      </c>
    </row>
    <row r="374" spans="1:20" x14ac:dyDescent="0.3">
      <c r="A374" t="s">
        <v>40</v>
      </c>
      <c r="B374">
        <v>2017</v>
      </c>
      <c r="C374">
        <v>419135.5</v>
      </c>
      <c r="D374" s="1">
        <v>1.2999999999999999E-2</v>
      </c>
      <c r="E374" s="1">
        <v>0.90632820129394498</v>
      </c>
      <c r="F374" s="1">
        <v>3.5999999999999997E-2</v>
      </c>
      <c r="G374" s="1">
        <f t="shared" si="10"/>
        <v>-3.5999999999999983E-2</v>
      </c>
      <c r="H374" s="1" t="str">
        <f t="shared" si="11"/>
        <v/>
      </c>
      <c r="I374" s="1">
        <v>-1.0999999999999999E-2</v>
      </c>
      <c r="J374" s="1">
        <f>+D374-F374+I374*O374</f>
        <v>-5.688E-2</v>
      </c>
      <c r="K374" s="1">
        <v>1.5764517709612801E-2</v>
      </c>
      <c r="L374" s="1">
        <f>+K374-J374</f>
        <v>7.2644517709612805E-2</v>
      </c>
      <c r="M374" s="1">
        <v>-5.2354822903872E-3</v>
      </c>
      <c r="N374" s="1">
        <f>+M374-J374</f>
        <v>5.16445177096128E-2</v>
      </c>
      <c r="O374">
        <v>3.08</v>
      </c>
      <c r="P374" t="s">
        <v>17</v>
      </c>
      <c r="Q374">
        <v>-0.01</v>
      </c>
      <c r="R374">
        <v>-9.3110145777464005E-3</v>
      </c>
      <c r="S374">
        <v>-1.8446037545800101E-2</v>
      </c>
      <c r="T374">
        <v>0.04</v>
      </c>
    </row>
    <row r="375" spans="1:20" x14ac:dyDescent="0.3">
      <c r="A375" t="s">
        <v>40</v>
      </c>
      <c r="B375">
        <v>2018</v>
      </c>
      <c r="C375">
        <v>419065.40629999997</v>
      </c>
      <c r="D375" s="1">
        <v>2.7E-2</v>
      </c>
      <c r="E375" s="1">
        <v>0.92833721637725797</v>
      </c>
      <c r="F375" s="1">
        <v>3.0000000000000001E-3</v>
      </c>
      <c r="G375" s="1">
        <f t="shared" si="10"/>
        <v>-3.2999999999999981E-2</v>
      </c>
      <c r="H375" s="1" t="str">
        <f t="shared" si="11"/>
        <v/>
      </c>
      <c r="I375" s="1">
        <v>2.1999999999999999E-2</v>
      </c>
      <c r="J375" s="1">
        <f>+D375-F375+I375*O375</f>
        <v>9.1980000000000006E-2</v>
      </c>
      <c r="K375" s="1">
        <v>1.46889854222536E-2</v>
      </c>
      <c r="L375" s="1">
        <f>+K375-J375</f>
        <v>-7.7291014577746411E-2</v>
      </c>
      <c r="M375" s="1">
        <v>-9.3110145777464005E-3</v>
      </c>
      <c r="N375" s="1">
        <f>+M375-J375</f>
        <v>-0.1012910145777464</v>
      </c>
      <c r="O375">
        <v>3.09</v>
      </c>
      <c r="P375" t="s">
        <v>15</v>
      </c>
      <c r="Q375">
        <v>-0.02</v>
      </c>
      <c r="R375">
        <v>1.1304055497050301E-2</v>
      </c>
      <c r="S375">
        <v>-6.4971391111611999E-3</v>
      </c>
      <c r="T375">
        <v>0.01</v>
      </c>
    </row>
    <row r="376" spans="1:20" x14ac:dyDescent="0.3">
      <c r="A376" t="s">
        <v>40</v>
      </c>
      <c r="B376">
        <v>2019</v>
      </c>
      <c r="C376">
        <v>420172.6875</v>
      </c>
      <c r="D376" s="1">
        <v>4.0000000000000001E-3</v>
      </c>
      <c r="E376" s="1">
        <v>0.94107568264007602</v>
      </c>
      <c r="F376" s="1">
        <v>-0.02</v>
      </c>
      <c r="G376" s="1">
        <f t="shared" si="10"/>
        <v>-5.2999999999999978E-2</v>
      </c>
      <c r="H376" s="1" t="str">
        <f t="shared" si="11"/>
        <v/>
      </c>
      <c r="I376" s="1">
        <v>1.2999999999999999E-2</v>
      </c>
      <c r="J376" s="1">
        <f>+D376-F376+I376*O376</f>
        <v>6.3390000000000002E-2</v>
      </c>
      <c r="K376" s="1">
        <v>2.9304055497050299E-2</v>
      </c>
      <c r="L376" s="1">
        <f>+K376-J376</f>
        <v>-3.4085944502949703E-2</v>
      </c>
      <c r="M376" s="1">
        <v>1.1304055497050301E-2</v>
      </c>
      <c r="N376" s="1">
        <f>+M376-J376</f>
        <v>-5.2085944502949705E-2</v>
      </c>
      <c r="O376">
        <v>3.03</v>
      </c>
      <c r="P376" t="s">
        <v>17</v>
      </c>
      <c r="Q376">
        <v>-0.01</v>
      </c>
      <c r="R376">
        <v>2.0017904341220901E-3</v>
      </c>
      <c r="S376">
        <v>-1.6847399994730901E-2</v>
      </c>
      <c r="T376">
        <v>-0.01</v>
      </c>
    </row>
    <row r="377" spans="1:20" x14ac:dyDescent="0.3">
      <c r="A377" t="s">
        <v>40</v>
      </c>
      <c r="B377">
        <v>2020</v>
      </c>
      <c r="C377">
        <v>421882</v>
      </c>
      <c r="D377" s="1">
        <v>8.0000000000000002E-3</v>
      </c>
      <c r="E377" s="1">
        <v>0.95772707462310802</v>
      </c>
      <c r="F377" s="1">
        <v>-3.9E-2</v>
      </c>
      <c r="G377" s="1">
        <f t="shared" si="10"/>
        <v>-9.1999999999999971E-2</v>
      </c>
      <c r="H377" s="1" t="str">
        <f t="shared" si="11"/>
        <v/>
      </c>
      <c r="I377" s="1">
        <v>1.7000000000000001E-2</v>
      </c>
      <c r="J377" s="1">
        <f>+D377-F377+I377*O377</f>
        <v>9.647E-2</v>
      </c>
      <c r="K377" s="1">
        <v>1.4001790434122099E-2</v>
      </c>
      <c r="L377" s="1">
        <f>+K377-J377</f>
        <v>-8.2468209565877901E-2</v>
      </c>
      <c r="M377" s="1">
        <v>2.0017904341220901E-3</v>
      </c>
      <c r="N377" s="1">
        <f>+M377-J377</f>
        <v>-9.4468209565877911E-2</v>
      </c>
      <c r="O377">
        <v>2.91</v>
      </c>
      <c r="P377" t="s">
        <v>17</v>
      </c>
      <c r="Q377">
        <v>-0.02</v>
      </c>
      <c r="R377">
        <v>3.31288634538651E-2</v>
      </c>
      <c r="S377">
        <v>-1.0460749268531799E-2</v>
      </c>
      <c r="T377">
        <v>0</v>
      </c>
    </row>
    <row r="378" spans="1:20" x14ac:dyDescent="0.3">
      <c r="A378" t="s">
        <v>40</v>
      </c>
      <c r="B378">
        <v>2021</v>
      </c>
      <c r="C378">
        <v>423464.5</v>
      </c>
      <c r="D378" s="1">
        <v>3.2000000000000001E-2</v>
      </c>
      <c r="E378" s="1">
        <v>0.96240592002868697</v>
      </c>
      <c r="F378" s="1">
        <v>-5.0000000000000001E-3</v>
      </c>
      <c r="G378" s="1">
        <f t="shared" si="10"/>
        <v>-9.6999999999999975E-2</v>
      </c>
      <c r="H378" s="1" t="str">
        <f t="shared" si="11"/>
        <v/>
      </c>
      <c r="I378" s="1">
        <v>5.0000000000000001E-3</v>
      </c>
      <c r="J378" s="1">
        <f>+D378-F378+I378*O378</f>
        <v>5.1499999999999997E-2</v>
      </c>
      <c r="K378" s="1">
        <v>8.0128863453865107E-2</v>
      </c>
      <c r="L378" s="1">
        <f>+K378-J378</f>
        <v>2.862886345386511E-2</v>
      </c>
      <c r="M378" s="1">
        <v>3.31288634538651E-2</v>
      </c>
      <c r="N378" s="1">
        <f>+M378-J378</f>
        <v>-1.8371136546134897E-2</v>
      </c>
      <c r="O378">
        <v>2.9</v>
      </c>
      <c r="P378" t="s">
        <v>17</v>
      </c>
      <c r="Q378">
        <v>-0.01</v>
      </c>
      <c r="R378">
        <v>2.3518559336661998E-3</v>
      </c>
      <c r="S378">
        <v>3.4455362707376501E-2</v>
      </c>
      <c r="T378">
        <v>-0.03</v>
      </c>
    </row>
    <row r="379" spans="1:20" x14ac:dyDescent="0.3">
      <c r="A379" t="s">
        <v>40</v>
      </c>
      <c r="B379">
        <v>2022</v>
      </c>
      <c r="C379">
        <v>426414.09379999997</v>
      </c>
      <c r="D379" s="1">
        <v>5.0000000000000001E-3</v>
      </c>
      <c r="E379" s="1">
        <v>0.95485424995422397</v>
      </c>
      <c r="F379" s="1">
        <v>-6.0999999999999999E-2</v>
      </c>
      <c r="G379" s="1">
        <f t="shared" si="10"/>
        <v>-0.15799999999999997</v>
      </c>
      <c r="H379" s="1" t="str">
        <f t="shared" si="11"/>
        <v/>
      </c>
      <c r="I379" s="1">
        <v>-8.0000000000000002E-3</v>
      </c>
      <c r="J379" s="1">
        <f>+D379-F379+I379*O379</f>
        <v>4.4240000000000002E-2</v>
      </c>
      <c r="K379" s="1">
        <v>8.2351855933666201E-2</v>
      </c>
      <c r="L379" s="1">
        <f>+K379-J379</f>
        <v>3.81118559336662E-2</v>
      </c>
      <c r="M379" s="1">
        <v>2.3518559336661998E-3</v>
      </c>
      <c r="N379" s="1">
        <f>+M379-J379</f>
        <v>-4.1888144066333802E-2</v>
      </c>
      <c r="O379">
        <v>2.72</v>
      </c>
      <c r="P379" t="s">
        <v>16</v>
      </c>
      <c r="Q379">
        <v>0.03</v>
      </c>
      <c r="R379">
        <v>-2.2924717366695001E-3</v>
      </c>
      <c r="S379">
        <v>1.7266456037759802E-2</v>
      </c>
      <c r="T379">
        <v>-0.04</v>
      </c>
    </row>
    <row r="380" spans="1:20" x14ac:dyDescent="0.3">
      <c r="A380" t="s">
        <v>41</v>
      </c>
      <c r="B380">
        <v>2006</v>
      </c>
      <c r="C380">
        <v>1140639</v>
      </c>
      <c r="D380" s="1">
        <v>1E-3</v>
      </c>
      <c r="E380" s="1">
        <v>0.91067528724670399</v>
      </c>
      <c r="F380" s="1">
        <v>3.5999999999999997E-2</v>
      </c>
      <c r="G380" s="1">
        <f t="shared" si="10"/>
        <v>3.5999999999999997E-2</v>
      </c>
      <c r="H380" s="1" t="str">
        <f t="shared" si="11"/>
        <v/>
      </c>
      <c r="I380" s="1">
        <v>-2E-3</v>
      </c>
      <c r="J380" s="1">
        <f>+D380-F380+I380*O380</f>
        <v>-3.9059999999999997E-2</v>
      </c>
      <c r="K380" s="1">
        <v>3.06087881326675E-2</v>
      </c>
      <c r="L380" s="1">
        <f>+K380-J380</f>
        <v>6.9668788132667497E-2</v>
      </c>
      <c r="M380" s="1">
        <v>-1.3912118673324999E-3</v>
      </c>
      <c r="N380" s="1">
        <f>+M380-J380</f>
        <v>3.7668788132667497E-2</v>
      </c>
      <c r="O380">
        <v>2.0299999999999998</v>
      </c>
      <c r="P380" t="s">
        <v>17</v>
      </c>
      <c r="Q380">
        <v>-0.01</v>
      </c>
      <c r="R380">
        <v>3.5344949960708998E-3</v>
      </c>
      <c r="S380">
        <v>4.4562509283423996E-3</v>
      </c>
      <c r="T380">
        <v>0.03</v>
      </c>
    </row>
    <row r="381" spans="1:20" x14ac:dyDescent="0.3">
      <c r="A381" t="s">
        <v>41</v>
      </c>
      <c r="B381">
        <v>2007</v>
      </c>
      <c r="C381">
        <v>1137342</v>
      </c>
      <c r="D381" s="1">
        <v>-1E-3</v>
      </c>
      <c r="E381" s="1">
        <v>0.91810971498489402</v>
      </c>
      <c r="F381" s="1">
        <v>6.0000000000000001E-3</v>
      </c>
      <c r="G381" s="1">
        <f t="shared" si="10"/>
        <v>4.1999999999999996E-2</v>
      </c>
      <c r="H381" s="1" t="str">
        <f t="shared" si="11"/>
        <v/>
      </c>
      <c r="I381" s="1">
        <v>7.0000000000000001E-3</v>
      </c>
      <c r="J381" s="1">
        <f>+D381-F381+I381*O381</f>
        <v>7.2800000000000009E-3</v>
      </c>
      <c r="K381" s="1">
        <v>3.2534494996070903E-2</v>
      </c>
      <c r="L381" s="1">
        <f>+K381-J381</f>
        <v>2.5254494996070902E-2</v>
      </c>
      <c r="M381" s="1">
        <v>3.5344949960708998E-3</v>
      </c>
      <c r="N381" s="1">
        <f>+M381-J381</f>
        <v>-3.7455050039291011E-3</v>
      </c>
      <c r="O381">
        <v>2.04</v>
      </c>
      <c r="P381" t="s">
        <v>15</v>
      </c>
      <c r="Q381">
        <v>0</v>
      </c>
      <c r="R381">
        <v>-3.0377463728189402E-2</v>
      </c>
      <c r="S381">
        <v>-8.6665945127606305E-4</v>
      </c>
      <c r="T381">
        <v>0</v>
      </c>
    </row>
    <row r="382" spans="1:20" x14ac:dyDescent="0.3">
      <c r="A382" t="s">
        <v>41</v>
      </c>
      <c r="B382">
        <v>2008</v>
      </c>
      <c r="C382">
        <v>1136166</v>
      </c>
      <c r="D382" s="1">
        <v>0</v>
      </c>
      <c r="E382" s="1">
        <v>0.92455798387527499</v>
      </c>
      <c r="F382" s="1">
        <v>-1.2E-2</v>
      </c>
      <c r="G382" s="1">
        <f t="shared" si="10"/>
        <v>2.9999999999999995E-2</v>
      </c>
      <c r="H382" s="1" t="str">
        <f t="shared" si="11"/>
        <v/>
      </c>
      <c r="I382" s="1">
        <v>6.0000000000000001E-3</v>
      </c>
      <c r="J382" s="1">
        <f>+D382-F382+I382*O382</f>
        <v>2.4120000000000003E-2</v>
      </c>
      <c r="K382" s="1">
        <v>7.6225362718105299E-3</v>
      </c>
      <c r="L382" s="1">
        <f>+K382-J382</f>
        <v>-1.6497463728189471E-2</v>
      </c>
      <c r="M382" s="1">
        <v>-3.0377463728189402E-2</v>
      </c>
      <c r="N382" s="1">
        <f>+M382-J382</f>
        <v>-5.4497463728189408E-2</v>
      </c>
      <c r="O382">
        <v>2.02</v>
      </c>
      <c r="P382" t="s">
        <v>17</v>
      </c>
      <c r="Q382">
        <v>0</v>
      </c>
      <c r="R382">
        <v>-2.6287152156233801E-2</v>
      </c>
      <c r="S382">
        <v>2.79549509286849E-4</v>
      </c>
      <c r="T382">
        <v>-0.01</v>
      </c>
    </row>
    <row r="383" spans="1:20" x14ac:dyDescent="0.3">
      <c r="A383" t="s">
        <v>41</v>
      </c>
      <c r="B383">
        <v>2009</v>
      </c>
      <c r="C383">
        <v>1135766</v>
      </c>
      <c r="D383" s="1">
        <v>3.0000000000000001E-3</v>
      </c>
      <c r="E383" s="1">
        <v>0.91805016994476296</v>
      </c>
      <c r="F383" s="1">
        <v>-3.4000000000000002E-2</v>
      </c>
      <c r="G383" s="1">
        <f t="shared" si="10"/>
        <v>-4.000000000000007E-3</v>
      </c>
      <c r="H383" s="1" t="str">
        <f t="shared" si="11"/>
        <v/>
      </c>
      <c r="I383" s="1">
        <v>-7.0000000000000001E-3</v>
      </c>
      <c r="J383" s="1">
        <f>+D383-F383+I383*O383</f>
        <v>2.3350000000000003E-2</v>
      </c>
      <c r="K383" s="1">
        <v>-3.0287152156233801E-2</v>
      </c>
      <c r="L383" s="1">
        <f>+K383-J383</f>
        <v>-5.3637152156233804E-2</v>
      </c>
      <c r="M383" s="1">
        <v>-2.6287152156233801E-2</v>
      </c>
      <c r="N383" s="1">
        <f>+M383-J383</f>
        <v>-4.9637152156233807E-2</v>
      </c>
      <c r="O383">
        <v>1.95</v>
      </c>
      <c r="P383" t="s">
        <v>16</v>
      </c>
      <c r="Q383">
        <v>0</v>
      </c>
      <c r="R383">
        <v>7.0401729643339902E-4</v>
      </c>
      <c r="S383">
        <v>1.0164126055315E-2</v>
      </c>
      <c r="T383">
        <v>-0.05</v>
      </c>
    </row>
    <row r="384" spans="1:20" x14ac:dyDescent="0.3">
      <c r="A384" t="s">
        <v>41</v>
      </c>
      <c r="B384">
        <v>2010</v>
      </c>
      <c r="C384">
        <v>1137687</v>
      </c>
      <c r="D384" s="1">
        <v>1E-3</v>
      </c>
      <c r="E384" s="1">
        <v>0.92341363430023204</v>
      </c>
      <c r="F384" s="1">
        <v>5.0999999999999997E-2</v>
      </c>
      <c r="G384" s="1">
        <f t="shared" si="10"/>
        <v>4.6999999999999986E-2</v>
      </c>
      <c r="H384" s="1" t="str">
        <f t="shared" si="11"/>
        <v/>
      </c>
      <c r="I384" s="1">
        <v>5.0000000000000001E-3</v>
      </c>
      <c r="J384" s="1">
        <f>+D384-F384+I384*O384</f>
        <v>-3.9749999999999994E-2</v>
      </c>
      <c r="K384" s="1">
        <v>1.67040172964334E-2</v>
      </c>
      <c r="L384" s="1">
        <f>+K384-J384</f>
        <v>5.6454017296433394E-2</v>
      </c>
      <c r="M384" s="1">
        <v>7.0401729643339902E-4</v>
      </c>
      <c r="N384" s="1">
        <f>+M384-J384</f>
        <v>4.0454017296433394E-2</v>
      </c>
      <c r="O384">
        <v>2.0499999999999998</v>
      </c>
      <c r="P384" t="s">
        <v>15</v>
      </c>
      <c r="Q384">
        <v>0.01</v>
      </c>
      <c r="R384">
        <v>-2.1399041049182398E-2</v>
      </c>
      <c r="S384">
        <v>-1.15266535431101E-4</v>
      </c>
      <c r="T384">
        <v>0.04</v>
      </c>
    </row>
    <row r="385" spans="1:20" x14ac:dyDescent="0.3">
      <c r="A385" t="s">
        <v>41</v>
      </c>
      <c r="B385">
        <v>2011</v>
      </c>
      <c r="C385">
        <v>1141333</v>
      </c>
      <c r="D385" s="1">
        <v>1.0999999999999999E-2</v>
      </c>
      <c r="E385" s="1">
        <v>0.92796051502227805</v>
      </c>
      <c r="F385" s="1">
        <v>-2.1999999999999999E-2</v>
      </c>
      <c r="G385" s="1">
        <f t="shared" si="10"/>
        <v>2.4999999999999988E-2</v>
      </c>
      <c r="H385" s="1" t="str">
        <f t="shared" si="11"/>
        <v/>
      </c>
      <c r="I385" s="1">
        <v>5.0000000000000001E-3</v>
      </c>
      <c r="J385" s="1">
        <f>+D385-F385+I385*O385</f>
        <v>4.3000000000000003E-2</v>
      </c>
      <c r="K385" s="1">
        <v>1.0600958950817601E-2</v>
      </c>
      <c r="L385" s="1">
        <f>+K385-J385</f>
        <v>-3.2399041049182405E-2</v>
      </c>
      <c r="M385" s="1">
        <v>-2.1399041049182398E-2</v>
      </c>
      <c r="N385" s="1">
        <f>+M385-J385</f>
        <v>-6.4399041049182398E-2</v>
      </c>
      <c r="O385">
        <v>2</v>
      </c>
      <c r="P385" t="s">
        <v>17</v>
      </c>
      <c r="Q385">
        <v>0</v>
      </c>
      <c r="R385">
        <v>-8.2489962726830998E-3</v>
      </c>
      <c r="S385">
        <v>-2.8107902035117002E-3</v>
      </c>
      <c r="T385">
        <v>-0.02</v>
      </c>
    </row>
    <row r="386" spans="1:20" x14ac:dyDescent="0.3">
      <c r="A386" t="s">
        <v>41</v>
      </c>
      <c r="B386">
        <v>2012</v>
      </c>
      <c r="C386">
        <v>1144908</v>
      </c>
      <c r="D386" s="1">
        <v>1E-3</v>
      </c>
      <c r="E386" s="1">
        <v>0.93270748853683505</v>
      </c>
      <c r="F386" s="1">
        <v>1.4E-2</v>
      </c>
      <c r="G386" s="1">
        <f t="shared" si="10"/>
        <v>3.8999999999999986E-2</v>
      </c>
      <c r="H386" s="1" t="str">
        <f t="shared" si="11"/>
        <v/>
      </c>
      <c r="I386" s="1">
        <v>5.0000000000000001E-3</v>
      </c>
      <c r="J386" s="1">
        <f>+D386-F386+I386*O386</f>
        <v>-2.8500000000000018E-3</v>
      </c>
      <c r="K386" s="1">
        <v>1.27510037273169E-2</v>
      </c>
      <c r="L386" s="1">
        <f>+K386-J386</f>
        <v>1.5601003727316902E-2</v>
      </c>
      <c r="M386" s="1">
        <v>-8.2489962726830998E-3</v>
      </c>
      <c r="N386" s="1">
        <f>+M386-J386</f>
        <v>-5.398996272683098E-3</v>
      </c>
      <c r="O386">
        <v>2.0299999999999998</v>
      </c>
      <c r="P386" t="s">
        <v>15</v>
      </c>
      <c r="Q386">
        <v>0</v>
      </c>
      <c r="R386">
        <v>2.1609241515397901E-3</v>
      </c>
      <c r="S386">
        <v>-3.9658471941947998E-3</v>
      </c>
      <c r="T386">
        <v>0.01</v>
      </c>
    </row>
    <row r="387" spans="1:20" x14ac:dyDescent="0.3">
      <c r="A387" t="s">
        <v>41</v>
      </c>
      <c r="B387">
        <v>2013</v>
      </c>
      <c r="C387">
        <v>1149094</v>
      </c>
      <c r="D387" s="1">
        <v>7.0000000000000001E-3</v>
      </c>
      <c r="E387" s="1">
        <v>0.93025881052017201</v>
      </c>
      <c r="F387" s="1">
        <v>7.0000000000000001E-3</v>
      </c>
      <c r="G387" s="1">
        <f t="shared" si="10"/>
        <v>4.5999999999999985E-2</v>
      </c>
      <c r="H387" s="1" t="str">
        <f t="shared" si="11"/>
        <v/>
      </c>
      <c r="I387" s="1">
        <v>-2E-3</v>
      </c>
      <c r="J387" s="1">
        <f>+D387-F387+I387*O387</f>
        <v>-4.0999999999999995E-3</v>
      </c>
      <c r="K387" s="1">
        <v>1.7160924151539799E-2</v>
      </c>
      <c r="L387" s="1">
        <f>+K387-J387</f>
        <v>2.1260924151539799E-2</v>
      </c>
      <c r="M387" s="1">
        <v>2.1609241515397901E-3</v>
      </c>
      <c r="N387" s="1">
        <f>+M387-J387</f>
        <v>6.2609241515397896E-3</v>
      </c>
      <c r="O387">
        <v>2.0499999999999998</v>
      </c>
      <c r="P387" t="s">
        <v>17</v>
      </c>
      <c r="Q387">
        <v>0</v>
      </c>
      <c r="R387">
        <v>-8.8562799468636499E-3</v>
      </c>
      <c r="S387">
        <v>-1.0864303447306101E-2</v>
      </c>
      <c r="T387">
        <v>0</v>
      </c>
    </row>
    <row r="388" spans="1:20" x14ac:dyDescent="0.3">
      <c r="A388" t="s">
        <v>41</v>
      </c>
      <c r="B388">
        <v>2014</v>
      </c>
      <c r="C388">
        <v>1152803</v>
      </c>
      <c r="D388" s="1">
        <v>8.9999999999999993E-3</v>
      </c>
      <c r="E388" s="1">
        <v>0.93061739206314098</v>
      </c>
      <c r="F388" s="1">
        <v>2.8000000000000001E-2</v>
      </c>
      <c r="G388" s="1">
        <f t="shared" si="10"/>
        <v>7.3999999999999982E-2</v>
      </c>
      <c r="H388" s="1" t="str">
        <f t="shared" si="11"/>
        <v/>
      </c>
      <c r="I388" s="1">
        <v>0</v>
      </c>
      <c r="J388" s="1">
        <f>+D388-F388+I388*O388</f>
        <v>-1.9000000000000003E-2</v>
      </c>
      <c r="K388" s="1">
        <v>7.1437200531363496E-3</v>
      </c>
      <c r="L388" s="1">
        <f>+K388-J388</f>
        <v>2.6143720053136352E-2</v>
      </c>
      <c r="M388" s="1">
        <v>-8.8562799468636499E-3</v>
      </c>
      <c r="N388" s="1">
        <f>+M388-J388</f>
        <v>1.0143720053136353E-2</v>
      </c>
      <c r="O388">
        <v>2.1</v>
      </c>
      <c r="P388" t="s">
        <v>15</v>
      </c>
      <c r="Q388">
        <v>-0.01</v>
      </c>
      <c r="R388">
        <v>2.21304354965687E-2</v>
      </c>
      <c r="S388">
        <v>-8.1330165266989898E-3</v>
      </c>
      <c r="T388">
        <v>0.02</v>
      </c>
    </row>
    <row r="389" spans="1:20" x14ac:dyDescent="0.3">
      <c r="A389" t="s">
        <v>41</v>
      </c>
      <c r="B389">
        <v>2015</v>
      </c>
      <c r="C389">
        <v>1154536</v>
      </c>
      <c r="D389" s="1">
        <v>1.6E-2</v>
      </c>
      <c r="E389" s="1">
        <v>0.933310866355896</v>
      </c>
      <c r="F389" s="1">
        <v>-3.3000000000000002E-2</v>
      </c>
      <c r="G389" s="1">
        <f t="shared" si="10"/>
        <v>4.0999999999999981E-2</v>
      </c>
      <c r="H389" s="1" t="str">
        <f t="shared" si="11"/>
        <v/>
      </c>
      <c r="I389" s="1">
        <v>3.0000000000000001E-3</v>
      </c>
      <c r="J389" s="1">
        <f>+D389-F389+I389*O389</f>
        <v>5.509E-2</v>
      </c>
      <c r="K389" s="1">
        <v>2.3130435496568701E-2</v>
      </c>
      <c r="L389" s="1">
        <f>+K389-J389</f>
        <v>-3.1959564503431299E-2</v>
      </c>
      <c r="M389" s="1">
        <v>2.21304354965687E-2</v>
      </c>
      <c r="N389" s="1">
        <f>+M389-J389</f>
        <v>-3.29595645034313E-2</v>
      </c>
      <c r="O389">
        <v>2.0299999999999998</v>
      </c>
      <c r="P389" t="s">
        <v>17</v>
      </c>
      <c r="Q389">
        <v>-0.01</v>
      </c>
      <c r="R389">
        <v>8.2620446383949999E-4</v>
      </c>
      <c r="S389">
        <v>-1.23273525387049E-2</v>
      </c>
      <c r="T389">
        <v>-0.02</v>
      </c>
    </row>
    <row r="390" spans="1:20" x14ac:dyDescent="0.3">
      <c r="A390" t="s">
        <v>41</v>
      </c>
      <c r="B390">
        <v>2016</v>
      </c>
      <c r="C390">
        <v>1156519</v>
      </c>
      <c r="D390" s="1">
        <v>2.5000000000000001E-2</v>
      </c>
      <c r="E390" s="1">
        <v>0.93475860357284501</v>
      </c>
      <c r="F390" s="1">
        <v>-1.6E-2</v>
      </c>
      <c r="G390" s="1">
        <f t="shared" si="10"/>
        <v>2.4999999999999981E-2</v>
      </c>
      <c r="H390" s="1" t="str">
        <f t="shared" si="11"/>
        <v/>
      </c>
      <c r="I390" s="1">
        <v>1E-3</v>
      </c>
      <c r="J390" s="1">
        <f>+D390-F390+I390*O390</f>
        <v>4.3000000000000003E-2</v>
      </c>
      <c r="K390" s="1">
        <v>1.38262044638395E-2</v>
      </c>
      <c r="L390" s="1">
        <f>+K390-J390</f>
        <v>-2.9173795536160504E-2</v>
      </c>
      <c r="M390" s="1">
        <v>8.2620446383949999E-4</v>
      </c>
      <c r="N390" s="1">
        <f>+M390-J390</f>
        <v>-4.2173795536160505E-2</v>
      </c>
      <c r="O390">
        <v>2</v>
      </c>
      <c r="P390" t="s">
        <v>17</v>
      </c>
      <c r="Q390">
        <v>-0.01</v>
      </c>
      <c r="R390">
        <v>1.75130525231359E-3</v>
      </c>
      <c r="S390">
        <v>-1.03826820850369E-3</v>
      </c>
      <c r="T390">
        <v>-0.01</v>
      </c>
    </row>
    <row r="391" spans="1:20" x14ac:dyDescent="0.3">
      <c r="A391" t="s">
        <v>41</v>
      </c>
      <c r="B391">
        <v>2017</v>
      </c>
      <c r="C391">
        <v>1160267</v>
      </c>
      <c r="D391" s="1">
        <v>2.5000000000000001E-2</v>
      </c>
      <c r="E391" s="1">
        <v>0.93752056360244795</v>
      </c>
      <c r="F391" s="1">
        <v>1.4999999999999999E-2</v>
      </c>
      <c r="G391" s="1">
        <f t="shared" ref="G391:G454" si="12">SUMIFS(F:F,A:A,A391,B:B,"&lt;="&amp;B391)</f>
        <v>3.999999999999998E-2</v>
      </c>
      <c r="H391" s="1" t="str">
        <f t="shared" ref="H391:H454" si="13">IFERROR(IF(ABS(G391)&gt;0.12,AVERAGEIFS(K:K,A:A,A391,B:B,"&gt;"&amp;B391,B:B,"&lt;"&amp;B391+3),""),"")</f>
        <v/>
      </c>
      <c r="I391" s="1">
        <v>3.0000000000000001E-3</v>
      </c>
      <c r="J391" s="1">
        <f>+D391-F391+I391*O391</f>
        <v>1.609E-2</v>
      </c>
      <c r="K391" s="1">
        <v>2.27513052523136E-2</v>
      </c>
      <c r="L391" s="1">
        <f>+K391-J391</f>
        <v>6.6613052523135999E-3</v>
      </c>
      <c r="M391" s="1">
        <v>1.75130525231359E-3</v>
      </c>
      <c r="N391" s="1">
        <f>+M391-J391</f>
        <v>-1.433869474768641E-2</v>
      </c>
      <c r="O391">
        <v>2.0299999999999998</v>
      </c>
      <c r="P391" t="s">
        <v>15</v>
      </c>
      <c r="Q391">
        <v>0</v>
      </c>
      <c r="R391">
        <v>-6.5635310113429997E-4</v>
      </c>
      <c r="S391">
        <v>-9.7913760691880902E-3</v>
      </c>
      <c r="T391">
        <v>0.02</v>
      </c>
    </row>
    <row r="392" spans="1:20" x14ac:dyDescent="0.3">
      <c r="A392" t="s">
        <v>41</v>
      </c>
      <c r="B392">
        <v>2018</v>
      </c>
      <c r="C392">
        <v>1163725</v>
      </c>
      <c r="D392" s="1">
        <v>1.6E-2</v>
      </c>
      <c r="E392" s="1">
        <v>0.95159256458282504</v>
      </c>
      <c r="F392" s="1">
        <v>-0.02</v>
      </c>
      <c r="G392" s="1">
        <f t="shared" si="12"/>
        <v>1.999999999999998E-2</v>
      </c>
      <c r="H392" s="1" t="str">
        <f t="shared" si="13"/>
        <v/>
      </c>
      <c r="I392" s="1">
        <v>1.4E-2</v>
      </c>
      <c r="J392" s="1">
        <f>+D392-F392+I392*O392</f>
        <v>6.386E-2</v>
      </c>
      <c r="K392" s="1">
        <v>2.33436468988657E-2</v>
      </c>
      <c r="L392" s="1">
        <f>+K392-J392</f>
        <v>-4.05163531011343E-2</v>
      </c>
      <c r="M392" s="1">
        <v>-6.5635310113429997E-4</v>
      </c>
      <c r="N392" s="1">
        <f>+M392-J392</f>
        <v>-6.4516353101134294E-2</v>
      </c>
      <c r="O392">
        <v>1.99</v>
      </c>
      <c r="P392" t="s">
        <v>17</v>
      </c>
      <c r="Q392">
        <v>-0.01</v>
      </c>
      <c r="R392">
        <v>2.9628548473120001E-3</v>
      </c>
      <c r="S392">
        <v>-1.48383397608995E-2</v>
      </c>
      <c r="T392">
        <v>-0.01</v>
      </c>
    </row>
    <row r="393" spans="1:20" x14ac:dyDescent="0.3">
      <c r="A393" t="s">
        <v>41</v>
      </c>
      <c r="B393">
        <v>2019</v>
      </c>
      <c r="C393">
        <v>1165853</v>
      </c>
      <c r="D393" s="1">
        <v>2.4E-2</v>
      </c>
      <c r="E393" s="1">
        <v>0.95631802082061801</v>
      </c>
      <c r="F393" s="1">
        <v>1E-3</v>
      </c>
      <c r="G393" s="1">
        <f t="shared" si="12"/>
        <v>2.099999999999998E-2</v>
      </c>
      <c r="H393" s="1" t="str">
        <f t="shared" si="13"/>
        <v/>
      </c>
      <c r="I393" s="1">
        <v>5.0000000000000001E-3</v>
      </c>
      <c r="J393" s="1">
        <f>+D393-F393+I393*O393</f>
        <v>3.295E-2</v>
      </c>
      <c r="K393" s="1">
        <v>2.0962854847312001E-2</v>
      </c>
      <c r="L393" s="1">
        <f>+K393-J393</f>
        <v>-1.1987145152687999E-2</v>
      </c>
      <c r="M393" s="1">
        <v>2.9628548473120001E-3</v>
      </c>
      <c r="N393" s="1">
        <f>+M393-J393</f>
        <v>-2.9987145152688001E-2</v>
      </c>
      <c r="O393">
        <v>1.99</v>
      </c>
      <c r="P393" t="s">
        <v>15</v>
      </c>
      <c r="Q393">
        <v>-0.01</v>
      </c>
      <c r="R393">
        <v>1.9301233917474601E-2</v>
      </c>
      <c r="S393">
        <v>4.5204348862169699E-4</v>
      </c>
      <c r="T393">
        <v>0.01</v>
      </c>
    </row>
    <row r="394" spans="1:20" x14ac:dyDescent="0.3">
      <c r="A394" t="s">
        <v>41</v>
      </c>
      <c r="B394">
        <v>2020</v>
      </c>
      <c r="C394">
        <v>1164522</v>
      </c>
      <c r="D394" s="1">
        <v>1.9E-2</v>
      </c>
      <c r="E394" s="1">
        <v>0.96074348688125599</v>
      </c>
      <c r="F394" s="1">
        <v>-7.3999999999999996E-2</v>
      </c>
      <c r="G394" s="1">
        <f t="shared" si="12"/>
        <v>-5.3000000000000019E-2</v>
      </c>
      <c r="H394" s="1" t="str">
        <f t="shared" si="13"/>
        <v/>
      </c>
      <c r="I394" s="1">
        <v>4.0000000000000001E-3</v>
      </c>
      <c r="J394" s="1">
        <f>+D394-F394+I394*O394</f>
        <v>0.1004</v>
      </c>
      <c r="K394" s="1">
        <v>3.1301233917474698E-2</v>
      </c>
      <c r="L394" s="1">
        <f>+K394-J394</f>
        <v>-6.9098766082525298E-2</v>
      </c>
      <c r="M394" s="1">
        <v>1.9301233917474601E-2</v>
      </c>
      <c r="N394" s="1">
        <f>+M394-J394</f>
        <v>-8.1098766082525406E-2</v>
      </c>
      <c r="O394">
        <v>1.85</v>
      </c>
      <c r="P394" t="s">
        <v>17</v>
      </c>
      <c r="Q394">
        <v>0</v>
      </c>
      <c r="R394">
        <v>-1.71695810556409E-3</v>
      </c>
      <c r="S394">
        <v>-4.5306570827961003E-2</v>
      </c>
      <c r="T394">
        <v>-0.03</v>
      </c>
    </row>
    <row r="395" spans="1:20" x14ac:dyDescent="0.3">
      <c r="A395" t="s">
        <v>41</v>
      </c>
      <c r="B395">
        <v>2021</v>
      </c>
      <c r="C395">
        <v>1163127</v>
      </c>
      <c r="D395" s="1">
        <v>2.7E-2</v>
      </c>
      <c r="E395" s="1">
        <v>0.963448226451874</v>
      </c>
      <c r="F395" s="1">
        <v>0.06</v>
      </c>
      <c r="G395" s="1">
        <f t="shared" si="12"/>
        <v>6.9999999999999785E-3</v>
      </c>
      <c r="H395" s="1" t="str">
        <f t="shared" si="13"/>
        <v/>
      </c>
      <c r="I395" s="1">
        <v>3.0000000000000001E-3</v>
      </c>
      <c r="J395" s="1">
        <f>+D395-F395+I395*O395</f>
        <v>-2.7120000000000002E-2</v>
      </c>
      <c r="K395" s="1">
        <v>4.5283041894435903E-2</v>
      </c>
      <c r="L395" s="1">
        <f>+K395-J395</f>
        <v>7.2403041894435902E-2</v>
      </c>
      <c r="M395" s="1">
        <v>-1.71695810556409E-3</v>
      </c>
      <c r="N395" s="1">
        <f>+M395-J395</f>
        <v>2.5403041894435912E-2</v>
      </c>
      <c r="O395">
        <v>1.96</v>
      </c>
      <c r="P395" t="s">
        <v>15</v>
      </c>
      <c r="Q395">
        <v>-0.05</v>
      </c>
      <c r="R395">
        <v>-3.3924216330051403E-2</v>
      </c>
      <c r="S395">
        <v>-1.8207095563410999E-3</v>
      </c>
      <c r="T395">
        <v>0.03</v>
      </c>
    </row>
    <row r="396" spans="1:20" x14ac:dyDescent="0.3">
      <c r="A396" t="s">
        <v>41</v>
      </c>
      <c r="B396">
        <v>2022</v>
      </c>
      <c r="C396">
        <v>1158716</v>
      </c>
      <c r="D396" s="1">
        <v>1.6E-2</v>
      </c>
      <c r="E396" s="1">
        <v>0.96082341670990001</v>
      </c>
      <c r="F396" s="1">
        <v>-1.0999999999999999E-2</v>
      </c>
      <c r="G396" s="1">
        <f t="shared" si="12"/>
        <v>-4.0000000000000209E-3</v>
      </c>
      <c r="H396" s="1" t="str">
        <f t="shared" si="13"/>
        <v/>
      </c>
      <c r="I396" s="1">
        <v>-3.0000000000000001E-3</v>
      </c>
      <c r="J396" s="1">
        <f>+D396-F396+I396*O396</f>
        <v>2.1180000000000001E-2</v>
      </c>
      <c r="K396" s="1">
        <v>4.6075783669948599E-2</v>
      </c>
      <c r="L396" s="1">
        <f>+K396-J396</f>
        <v>2.4895783669948598E-2</v>
      </c>
      <c r="M396" s="1">
        <v>-3.3924216330051403E-2</v>
      </c>
      <c r="N396" s="1">
        <f>+M396-J396</f>
        <v>-5.51042163300514E-2</v>
      </c>
      <c r="O396">
        <v>1.94</v>
      </c>
      <c r="P396" t="s">
        <v>16</v>
      </c>
      <c r="Q396">
        <v>0</v>
      </c>
      <c r="R396">
        <v>-4.8567790389060896E-3</v>
      </c>
      <c r="S396">
        <v>1.47021487355232E-2</v>
      </c>
      <c r="T396">
        <v>0.01</v>
      </c>
    </row>
    <row r="397" spans="1:20" x14ac:dyDescent="0.3">
      <c r="A397" t="s">
        <v>42</v>
      </c>
      <c r="B397">
        <v>2006</v>
      </c>
      <c r="C397">
        <v>405469.21879999997</v>
      </c>
      <c r="D397" s="1">
        <v>1E-3</v>
      </c>
      <c r="E397" s="1">
        <v>0.92131990194320701</v>
      </c>
      <c r="F397" s="1">
        <v>-5.3999999999999999E-2</v>
      </c>
      <c r="G397" s="1">
        <f t="shared" si="12"/>
        <v>-5.3999999999999999E-2</v>
      </c>
      <c r="H397" s="1" t="str">
        <f t="shared" si="13"/>
        <v/>
      </c>
      <c r="I397" s="1">
        <v>8.0000000000000002E-3</v>
      </c>
      <c r="J397" s="1">
        <f>+D397-F397+I397*O397</f>
        <v>7.1879999999999999E-2</v>
      </c>
      <c r="K397" s="1">
        <v>2.0152514800429299E-2</v>
      </c>
      <c r="L397" s="1">
        <f>+K397-J397</f>
        <v>-5.1727485199570697E-2</v>
      </c>
      <c r="M397" s="1">
        <v>-1.18474851995707E-2</v>
      </c>
      <c r="N397" s="1">
        <f>+M397-J397</f>
        <v>-8.3727485199570698E-2</v>
      </c>
      <c r="O397">
        <v>2.11</v>
      </c>
      <c r="P397" t="s">
        <v>17</v>
      </c>
      <c r="Q397">
        <v>-0.02</v>
      </c>
      <c r="R397">
        <v>-5.9616238772869003E-3</v>
      </c>
      <c r="S397">
        <v>-5.0398679450154001E-3</v>
      </c>
      <c r="T397">
        <v>-0.06</v>
      </c>
    </row>
    <row r="398" spans="1:20" x14ac:dyDescent="0.3">
      <c r="A398" t="s">
        <v>42</v>
      </c>
      <c r="B398">
        <v>2007</v>
      </c>
      <c r="C398">
        <v>405986.59379999997</v>
      </c>
      <c r="D398" s="1">
        <v>4.0000000000000001E-3</v>
      </c>
      <c r="E398" s="1">
        <v>0.92715042829513505</v>
      </c>
      <c r="F398" s="1">
        <v>-5.5E-2</v>
      </c>
      <c r="G398" s="1">
        <f t="shared" si="12"/>
        <v>-0.109</v>
      </c>
      <c r="H398" s="1" t="str">
        <f t="shared" si="13"/>
        <v/>
      </c>
      <c r="I398" s="1">
        <v>6.0000000000000001E-3</v>
      </c>
      <c r="J398" s="1">
        <f>+D398-F398+I398*O398</f>
        <v>7.0940000000000003E-2</v>
      </c>
      <c r="K398" s="1">
        <v>2.3038376122713099E-2</v>
      </c>
      <c r="L398" s="1">
        <f>+K398-J398</f>
        <v>-4.79016238772869E-2</v>
      </c>
      <c r="M398" s="1">
        <v>-5.9616238772869003E-3</v>
      </c>
      <c r="N398" s="1">
        <f>+M398-J398</f>
        <v>-7.6901623877286898E-2</v>
      </c>
      <c r="O398">
        <v>1.99</v>
      </c>
      <c r="P398" t="s">
        <v>17</v>
      </c>
      <c r="Q398">
        <v>-0.01</v>
      </c>
      <c r="R398">
        <v>-2.3328238457441301E-2</v>
      </c>
      <c r="S398">
        <v>6.1825658194720997E-3</v>
      </c>
      <c r="T398">
        <v>-0.06</v>
      </c>
    </row>
    <row r="399" spans="1:20" x14ac:dyDescent="0.3">
      <c r="A399" t="s">
        <v>42</v>
      </c>
      <c r="B399">
        <v>2008</v>
      </c>
      <c r="C399">
        <v>405904</v>
      </c>
      <c r="D399" s="1">
        <v>0</v>
      </c>
      <c r="E399" s="1">
        <v>0.93629688024520896</v>
      </c>
      <c r="F399" s="1">
        <v>0.16</v>
      </c>
      <c r="G399" s="1">
        <f t="shared" si="12"/>
        <v>5.1000000000000004E-2</v>
      </c>
      <c r="H399" s="1" t="str">
        <f t="shared" si="13"/>
        <v/>
      </c>
      <c r="I399" s="1">
        <v>8.9999999999999993E-3</v>
      </c>
      <c r="J399" s="1">
        <f>+D399-F399+I399*O399</f>
        <v>-0.13921</v>
      </c>
      <c r="K399" s="1">
        <v>1.46717615425587E-2</v>
      </c>
      <c r="L399" s="1">
        <f>+K399-J399</f>
        <v>0.1538817615425587</v>
      </c>
      <c r="M399" s="1">
        <v>-2.3328238457441301E-2</v>
      </c>
      <c r="N399" s="1">
        <f>+M399-J399</f>
        <v>0.11588176154255869</v>
      </c>
      <c r="O399">
        <v>2.31</v>
      </c>
      <c r="P399" t="s">
        <v>15</v>
      </c>
      <c r="Q399">
        <v>0.01</v>
      </c>
      <c r="R399">
        <v>-1.8538110613822899E-2</v>
      </c>
      <c r="S399">
        <v>8.0285910516977501E-3</v>
      </c>
      <c r="T399">
        <v>0.16</v>
      </c>
    </row>
    <row r="400" spans="1:20" x14ac:dyDescent="0.3">
      <c r="A400" t="s">
        <v>42</v>
      </c>
      <c r="B400">
        <v>2009</v>
      </c>
      <c r="C400">
        <v>404952</v>
      </c>
      <c r="D400" s="1">
        <v>0</v>
      </c>
      <c r="E400" s="1">
        <v>0.93303740024566695</v>
      </c>
      <c r="F400" s="1">
        <v>-5.8999999999999997E-2</v>
      </c>
      <c r="G400" s="1">
        <f t="shared" si="12"/>
        <v>-7.9999999999999932E-3</v>
      </c>
      <c r="H400" s="1" t="str">
        <f t="shared" si="13"/>
        <v/>
      </c>
      <c r="I400" s="1">
        <v>-3.0000000000000001E-3</v>
      </c>
      <c r="J400" s="1">
        <f>+D400-F400+I400*O400</f>
        <v>5.2459999999999993E-2</v>
      </c>
      <c r="K400" s="1">
        <v>-2.2538110613822899E-2</v>
      </c>
      <c r="L400" s="1">
        <f>+K400-J400</f>
        <v>-7.4998110613822888E-2</v>
      </c>
      <c r="M400" s="1">
        <v>-1.8538110613822899E-2</v>
      </c>
      <c r="N400" s="1">
        <f>+M400-J400</f>
        <v>-7.0998110613822885E-2</v>
      </c>
      <c r="O400">
        <v>2.1800000000000002</v>
      </c>
      <c r="P400" t="s">
        <v>16</v>
      </c>
      <c r="Q400">
        <v>0.01</v>
      </c>
      <c r="R400">
        <v>-1.50862555569037E-2</v>
      </c>
      <c r="S400">
        <v>-5.6261467980220897E-3</v>
      </c>
      <c r="T400">
        <v>-0.08</v>
      </c>
    </row>
    <row r="401" spans="1:20" x14ac:dyDescent="0.3">
      <c r="A401" t="s">
        <v>42</v>
      </c>
      <c r="B401">
        <v>2010</v>
      </c>
      <c r="C401">
        <v>404237.21879999997</v>
      </c>
      <c r="D401" s="1">
        <v>0</v>
      </c>
      <c r="E401" s="1">
        <v>0.93236315250396695</v>
      </c>
      <c r="F401" s="1">
        <v>-1.0999999999999999E-2</v>
      </c>
      <c r="G401" s="1">
        <f t="shared" si="12"/>
        <v>-1.8999999999999993E-2</v>
      </c>
      <c r="H401" s="1" t="str">
        <f t="shared" si="13"/>
        <v/>
      </c>
      <c r="I401" s="1">
        <v>-1E-3</v>
      </c>
      <c r="J401" s="1">
        <f>+D401-F401+I401*O401</f>
        <v>8.8500000000000002E-3</v>
      </c>
      <c r="K401" s="1">
        <v>9.1374444309621995E-4</v>
      </c>
      <c r="L401" s="1">
        <f>+K401-J401</f>
        <v>-7.9362555569037797E-3</v>
      </c>
      <c r="M401" s="1">
        <v>-1.50862555569037E-2</v>
      </c>
      <c r="N401" s="1">
        <f>+M401-J401</f>
        <v>-2.39362555569037E-2</v>
      </c>
      <c r="O401">
        <v>2.15</v>
      </c>
      <c r="P401" t="s">
        <v>16</v>
      </c>
      <c r="Q401">
        <v>-0.01</v>
      </c>
      <c r="R401">
        <v>-2.53075439184904E-2</v>
      </c>
      <c r="S401">
        <v>-4.0237694047391102E-3</v>
      </c>
      <c r="T401">
        <v>-0.02</v>
      </c>
    </row>
    <row r="402" spans="1:20" x14ac:dyDescent="0.3">
      <c r="A402" t="s">
        <v>42</v>
      </c>
      <c r="B402">
        <v>2011</v>
      </c>
      <c r="C402">
        <v>404026.625</v>
      </c>
      <c r="D402" s="1">
        <v>0</v>
      </c>
      <c r="E402" s="1">
        <v>0.93928027153015103</v>
      </c>
      <c r="F402" s="1">
        <v>5.8000000000000003E-2</v>
      </c>
      <c r="G402" s="1">
        <f t="shared" si="12"/>
        <v>3.9000000000000007E-2</v>
      </c>
      <c r="H402" s="1" t="str">
        <f t="shared" si="13"/>
        <v/>
      </c>
      <c r="I402" s="1">
        <v>7.0000000000000001E-3</v>
      </c>
      <c r="J402" s="1">
        <f>+D402-F402+I402*O402</f>
        <v>-4.2040000000000008E-2</v>
      </c>
      <c r="K402" s="1">
        <v>6.6924560815095901E-3</v>
      </c>
      <c r="L402" s="1">
        <f>+K402-J402</f>
        <v>4.8732456081509598E-2</v>
      </c>
      <c r="M402" s="1">
        <v>-2.53075439184904E-2</v>
      </c>
      <c r="N402" s="1">
        <f>+M402-J402</f>
        <v>1.6732456081509608E-2</v>
      </c>
      <c r="O402">
        <v>2.2799999999999998</v>
      </c>
      <c r="P402" t="s">
        <v>15</v>
      </c>
      <c r="Q402">
        <v>0</v>
      </c>
      <c r="R402">
        <v>-1.3656369693577201E-2</v>
      </c>
      <c r="S402">
        <v>-8.2181636244058904E-3</v>
      </c>
      <c r="T402">
        <v>0.06</v>
      </c>
    </row>
    <row r="403" spans="1:20" x14ac:dyDescent="0.3">
      <c r="A403" t="s">
        <v>42</v>
      </c>
      <c r="B403">
        <v>2012</v>
      </c>
      <c r="C403">
        <v>404607.6875</v>
      </c>
      <c r="D403" s="1">
        <v>0</v>
      </c>
      <c r="E403" s="1">
        <v>0.946549892425537</v>
      </c>
      <c r="F403" s="1">
        <v>-6.3E-2</v>
      </c>
      <c r="G403" s="1">
        <f t="shared" si="12"/>
        <v>-2.3999999999999994E-2</v>
      </c>
      <c r="H403" s="1" t="str">
        <f t="shared" si="13"/>
        <v/>
      </c>
      <c r="I403" s="1">
        <v>7.0000000000000001E-3</v>
      </c>
      <c r="J403" s="1">
        <f>+D403-F403+I403*O403</f>
        <v>7.7910000000000007E-2</v>
      </c>
      <c r="K403" s="1">
        <v>7.3436303064227104E-3</v>
      </c>
      <c r="L403" s="1">
        <f>+K403-J403</f>
        <v>-7.0566369693577297E-2</v>
      </c>
      <c r="M403" s="1">
        <v>-1.3656369693577201E-2</v>
      </c>
      <c r="N403" s="1">
        <f>+M403-J403</f>
        <v>-9.1566369693577204E-2</v>
      </c>
      <c r="O403">
        <v>2.13</v>
      </c>
      <c r="P403" t="s">
        <v>17</v>
      </c>
      <c r="Q403">
        <v>-0.01</v>
      </c>
      <c r="R403">
        <v>8.056374639273E-4</v>
      </c>
      <c r="S403">
        <v>-5.32113388180729E-3</v>
      </c>
      <c r="T403">
        <v>-7.0000000000000007E-2</v>
      </c>
    </row>
    <row r="404" spans="1:20" x14ac:dyDescent="0.3">
      <c r="A404" t="s">
        <v>42</v>
      </c>
      <c r="B404">
        <v>2013</v>
      </c>
      <c r="C404">
        <v>405052.09379999997</v>
      </c>
      <c r="D404" s="1">
        <v>3.0000000000000001E-3</v>
      </c>
      <c r="E404" s="1">
        <v>0.94492787122726396</v>
      </c>
      <c r="F404" s="1">
        <v>3.3000000000000002E-2</v>
      </c>
      <c r="G404" s="1">
        <f t="shared" si="12"/>
        <v>9.000000000000008E-3</v>
      </c>
      <c r="H404" s="1" t="str">
        <f t="shared" si="13"/>
        <v/>
      </c>
      <c r="I404" s="1">
        <v>-2E-3</v>
      </c>
      <c r="J404" s="1">
        <f>+D404-F404+I404*O404</f>
        <v>-3.44E-2</v>
      </c>
      <c r="K404" s="1">
        <v>1.58056374639273E-2</v>
      </c>
      <c r="L404" s="1">
        <f>+K404-J404</f>
        <v>5.0205637463927297E-2</v>
      </c>
      <c r="M404" s="1">
        <v>8.056374639273E-4</v>
      </c>
      <c r="N404" s="1">
        <f>+M404-J404</f>
        <v>3.5205637463927297E-2</v>
      </c>
      <c r="O404">
        <v>2.2000000000000002</v>
      </c>
      <c r="P404" t="s">
        <v>17</v>
      </c>
      <c r="Q404">
        <v>-0.01</v>
      </c>
      <c r="R404">
        <v>2.5849796980618998E-3</v>
      </c>
      <c r="S404">
        <v>5.7695619761940001E-4</v>
      </c>
      <c r="T404">
        <v>0.02</v>
      </c>
    </row>
    <row r="405" spans="1:20" x14ac:dyDescent="0.3">
      <c r="A405" t="s">
        <v>42</v>
      </c>
      <c r="B405">
        <v>2014</v>
      </c>
      <c r="C405">
        <v>405484.59379999997</v>
      </c>
      <c r="D405" s="1">
        <v>3.0000000000000001E-3</v>
      </c>
      <c r="E405" s="1">
        <v>0.94946086406707797</v>
      </c>
      <c r="F405" s="1">
        <v>1.0999999999999999E-2</v>
      </c>
      <c r="G405" s="1">
        <f t="shared" si="12"/>
        <v>2.0000000000000007E-2</v>
      </c>
      <c r="H405" s="1" t="str">
        <f t="shared" si="13"/>
        <v/>
      </c>
      <c r="I405" s="1">
        <v>5.0000000000000001E-3</v>
      </c>
      <c r="J405" s="1">
        <f>+D405-F405+I405*O405</f>
        <v>3.15E-3</v>
      </c>
      <c r="K405" s="1">
        <v>1.8584979698061901E-2</v>
      </c>
      <c r="L405" s="1">
        <f>+K405-J405</f>
        <v>1.5434979698061901E-2</v>
      </c>
      <c r="M405" s="1">
        <v>2.5849796980618998E-3</v>
      </c>
      <c r="N405" s="1">
        <f>+M405-J405</f>
        <v>-5.6502030193810024E-4</v>
      </c>
      <c r="O405">
        <v>2.23</v>
      </c>
      <c r="P405" t="s">
        <v>15</v>
      </c>
      <c r="Q405">
        <v>0</v>
      </c>
      <c r="R405">
        <v>2.65428760796785E-2</v>
      </c>
      <c r="S405">
        <v>-3.7205759435891901E-3</v>
      </c>
      <c r="T405">
        <v>0.01</v>
      </c>
    </row>
    <row r="406" spans="1:20" x14ac:dyDescent="0.3">
      <c r="A406" t="s">
        <v>42</v>
      </c>
      <c r="B406">
        <v>2015</v>
      </c>
      <c r="C406">
        <v>404651</v>
      </c>
      <c r="D406" s="1">
        <v>1.6E-2</v>
      </c>
      <c r="E406" s="1">
        <v>0.94225281476974498</v>
      </c>
      <c r="F406" s="1">
        <v>1E-3</v>
      </c>
      <c r="G406" s="1">
        <f t="shared" si="12"/>
        <v>2.1000000000000008E-2</v>
      </c>
      <c r="H406" s="1" t="str">
        <f t="shared" si="13"/>
        <v/>
      </c>
      <c r="I406" s="1">
        <v>-7.0000000000000001E-3</v>
      </c>
      <c r="J406" s="1">
        <f>+D406-F406+I406*O406</f>
        <v>-6.1000000000000117E-4</v>
      </c>
      <c r="K406" s="1">
        <v>2.7542876079678501E-2</v>
      </c>
      <c r="L406" s="1">
        <f>+K406-J406</f>
        <v>2.81528760796785E-2</v>
      </c>
      <c r="M406" s="1">
        <v>2.65428760796785E-2</v>
      </c>
      <c r="N406" s="1">
        <f>+M406-J406</f>
        <v>2.7152876079678499E-2</v>
      </c>
      <c r="O406">
        <v>2.23</v>
      </c>
      <c r="P406" t="s">
        <v>17</v>
      </c>
      <c r="Q406">
        <v>0</v>
      </c>
      <c r="R406">
        <v>-7.1376470960676603E-3</v>
      </c>
      <c r="S406">
        <v>-2.0291204098612001E-2</v>
      </c>
      <c r="T406">
        <v>0.01</v>
      </c>
    </row>
    <row r="407" spans="1:20" x14ac:dyDescent="0.3">
      <c r="A407" t="s">
        <v>42</v>
      </c>
      <c r="B407">
        <v>2016</v>
      </c>
      <c r="C407">
        <v>403683</v>
      </c>
      <c r="D407" s="1">
        <v>1.9E-2</v>
      </c>
      <c r="E407" s="1">
        <v>0.93048912286758401</v>
      </c>
      <c r="F407" s="1">
        <v>-3.4000000000000002E-2</v>
      </c>
      <c r="G407" s="1">
        <f t="shared" si="12"/>
        <v>-1.2999999999999994E-2</v>
      </c>
      <c r="H407" s="1" t="str">
        <f t="shared" si="13"/>
        <v/>
      </c>
      <c r="I407" s="1">
        <v>-1.2E-2</v>
      </c>
      <c r="J407" s="1">
        <f>+D407-F407+I407*O407</f>
        <v>2.7200000000000005E-2</v>
      </c>
      <c r="K407" s="1">
        <v>5.8623529039323304E-3</v>
      </c>
      <c r="L407" s="1">
        <f>+K407-J407</f>
        <v>-2.1337647096067676E-2</v>
      </c>
      <c r="M407" s="1">
        <v>-7.1376470960676603E-3</v>
      </c>
      <c r="N407" s="1">
        <f>+M407-J407</f>
        <v>-3.4337647096067667E-2</v>
      </c>
      <c r="O407">
        <v>2.15</v>
      </c>
      <c r="P407" t="s">
        <v>16</v>
      </c>
      <c r="Q407">
        <v>-0.02</v>
      </c>
      <c r="R407">
        <v>2.6501432061197501E-5</v>
      </c>
      <c r="S407">
        <v>-2.7630720287561E-3</v>
      </c>
      <c r="T407">
        <v>-0.03</v>
      </c>
    </row>
    <row r="408" spans="1:20" x14ac:dyDescent="0.3">
      <c r="A408" t="s">
        <v>42</v>
      </c>
      <c r="B408">
        <v>2017</v>
      </c>
      <c r="C408">
        <v>402590.09379999997</v>
      </c>
      <c r="D408" s="1">
        <v>8.0000000000000002E-3</v>
      </c>
      <c r="E408" s="1">
        <v>0.93452173471450795</v>
      </c>
      <c r="F408" s="1">
        <v>8.4000000000000005E-2</v>
      </c>
      <c r="G408" s="1">
        <f t="shared" si="12"/>
        <v>7.1000000000000008E-2</v>
      </c>
      <c r="H408" s="1" t="str">
        <f t="shared" si="13"/>
        <v/>
      </c>
      <c r="I408" s="1">
        <v>4.0000000000000001E-3</v>
      </c>
      <c r="J408" s="1">
        <f>+D408-F408+I408*O408</f>
        <v>-6.6640000000000005E-2</v>
      </c>
      <c r="K408" s="1">
        <v>2.1026501432061199E-2</v>
      </c>
      <c r="L408" s="1">
        <f>+K408-J408</f>
        <v>8.76665014320612E-2</v>
      </c>
      <c r="M408" s="1">
        <v>2.6501432061197501E-5</v>
      </c>
      <c r="N408" s="1">
        <f>+M408-J408</f>
        <v>6.6666501432061195E-2</v>
      </c>
      <c r="O408">
        <v>2.34</v>
      </c>
      <c r="P408" t="s">
        <v>15</v>
      </c>
      <c r="Q408">
        <v>0</v>
      </c>
      <c r="R408">
        <v>2.0998755693435998E-3</v>
      </c>
      <c r="S408">
        <v>-7.0351473987101901E-3</v>
      </c>
      <c r="T408">
        <v>0.09</v>
      </c>
    </row>
    <row r="409" spans="1:20" x14ac:dyDescent="0.3">
      <c r="A409" t="s">
        <v>42</v>
      </c>
      <c r="B409">
        <v>2018</v>
      </c>
      <c r="C409">
        <v>402138.6875</v>
      </c>
      <c r="D409" s="1">
        <v>0</v>
      </c>
      <c r="E409" s="1">
        <v>0.94314843416214</v>
      </c>
      <c r="F409" s="1">
        <v>-9.4E-2</v>
      </c>
      <c r="G409" s="1">
        <f t="shared" si="12"/>
        <v>-2.2999999999999993E-2</v>
      </c>
      <c r="H409" s="1" t="str">
        <f t="shared" si="13"/>
        <v/>
      </c>
      <c r="I409" s="1">
        <v>8.9999999999999993E-3</v>
      </c>
      <c r="J409" s="1">
        <f>+D409-F409+I409*O409</f>
        <v>0.11308</v>
      </c>
      <c r="K409" s="1">
        <v>2.6099875569343602E-2</v>
      </c>
      <c r="L409" s="1">
        <f>+K409-J409</f>
        <v>-8.6980124430656391E-2</v>
      </c>
      <c r="M409" s="1">
        <v>2.0998755693435998E-3</v>
      </c>
      <c r="N409" s="1">
        <f>+M409-J409</f>
        <v>-0.1109801244306564</v>
      </c>
      <c r="O409">
        <v>2.12</v>
      </c>
      <c r="P409" t="s">
        <v>17</v>
      </c>
      <c r="Q409">
        <v>-0.01</v>
      </c>
      <c r="R409">
        <v>1.1196158051490801E-2</v>
      </c>
      <c r="S409">
        <v>-6.6050365567206998E-3</v>
      </c>
      <c r="T409">
        <v>-0.08</v>
      </c>
    </row>
    <row r="410" spans="1:20" x14ac:dyDescent="0.3">
      <c r="A410" t="s">
        <v>42</v>
      </c>
      <c r="B410">
        <v>2019</v>
      </c>
      <c r="C410">
        <v>401751.59379999997</v>
      </c>
      <c r="D410" s="1">
        <v>0</v>
      </c>
      <c r="E410" s="1">
        <v>0.94450414180755604</v>
      </c>
      <c r="F410" s="1">
        <v>-1.9E-2</v>
      </c>
      <c r="G410" s="1">
        <f t="shared" si="12"/>
        <v>-4.1999999999999996E-2</v>
      </c>
      <c r="H410" s="1" t="str">
        <f t="shared" si="13"/>
        <v/>
      </c>
      <c r="I410" s="1">
        <v>1E-3</v>
      </c>
      <c r="J410" s="1">
        <f>+D410-F410+I410*O410</f>
        <v>2.1080000000000002E-2</v>
      </c>
      <c r="K410" s="1">
        <v>2.9196158051490801E-2</v>
      </c>
      <c r="L410" s="1">
        <f>+K410-J410</f>
        <v>8.1161580514907995E-3</v>
      </c>
      <c r="M410" s="1">
        <v>1.1196158051490801E-2</v>
      </c>
      <c r="N410" s="1">
        <f>+M410-J410</f>
        <v>-9.8838419485092009E-3</v>
      </c>
      <c r="O410">
        <v>2.08</v>
      </c>
      <c r="P410" t="s">
        <v>17</v>
      </c>
      <c r="Q410">
        <v>-0.01</v>
      </c>
      <c r="R410">
        <v>1.4409957557916599E-2</v>
      </c>
      <c r="S410">
        <v>-4.4392328709363998E-3</v>
      </c>
      <c r="T410">
        <v>-0.01</v>
      </c>
    </row>
    <row r="411" spans="1:20" x14ac:dyDescent="0.3">
      <c r="A411" t="s">
        <v>42</v>
      </c>
      <c r="B411">
        <v>2020</v>
      </c>
      <c r="C411">
        <v>401068.59379999997</v>
      </c>
      <c r="D411" s="1">
        <v>0</v>
      </c>
      <c r="E411" s="1">
        <v>0.96945995092392001</v>
      </c>
      <c r="F411" s="1">
        <v>-1.0999999999999999E-2</v>
      </c>
      <c r="G411" s="1">
        <f t="shared" si="12"/>
        <v>-5.2999999999999992E-2</v>
      </c>
      <c r="H411" s="1" t="str">
        <f t="shared" si="13"/>
        <v/>
      </c>
      <c r="I411" s="1">
        <v>2.5000000000000001E-2</v>
      </c>
      <c r="J411" s="1">
        <f>+D411-F411+I411*O411</f>
        <v>6.225E-2</v>
      </c>
      <c r="K411" s="1">
        <v>2.64099575579166E-2</v>
      </c>
      <c r="L411" s="1">
        <f>+K411-J411</f>
        <v>-3.58400424420834E-2</v>
      </c>
      <c r="M411" s="1">
        <v>1.4409957557916599E-2</v>
      </c>
      <c r="N411" s="1">
        <f>+M411-J411</f>
        <v>-4.7840042442083397E-2</v>
      </c>
      <c r="O411">
        <v>2.0499999999999998</v>
      </c>
      <c r="P411" t="s">
        <v>17</v>
      </c>
      <c r="Q411">
        <v>0</v>
      </c>
      <c r="R411">
        <v>-4.0868574082850899E-3</v>
      </c>
      <c r="S411">
        <v>-4.7676470130681999E-2</v>
      </c>
      <c r="T411">
        <v>0.03</v>
      </c>
    </row>
    <row r="412" spans="1:20" x14ac:dyDescent="0.3">
      <c r="A412" t="s">
        <v>42</v>
      </c>
      <c r="B412">
        <v>2021</v>
      </c>
      <c r="C412">
        <v>400254.59379999997</v>
      </c>
      <c r="D412" s="1">
        <v>1.4E-2</v>
      </c>
      <c r="E412" s="1">
        <v>0.96336126327514604</v>
      </c>
      <c r="F412" s="1">
        <v>1.4E-2</v>
      </c>
      <c r="G412" s="1">
        <f t="shared" si="12"/>
        <v>-3.8999999999999993E-2</v>
      </c>
      <c r="H412" s="1" t="str">
        <f t="shared" si="13"/>
        <v/>
      </c>
      <c r="I412" s="1">
        <v>-6.0000000000000001E-3</v>
      </c>
      <c r="J412" s="1">
        <f>+D412-F412+I412*O412</f>
        <v>-1.2480000000000002E-2</v>
      </c>
      <c r="K412" s="1">
        <v>4.2913142591714901E-2</v>
      </c>
      <c r="L412" s="1">
        <f>+K412-J412</f>
        <v>5.5393142591714906E-2</v>
      </c>
      <c r="M412" s="1">
        <v>-4.0868574082850899E-3</v>
      </c>
      <c r="N412" s="1">
        <f>+M412-J412</f>
        <v>8.3931425917149124E-3</v>
      </c>
      <c r="O412">
        <v>2.08</v>
      </c>
      <c r="P412" t="s">
        <v>17</v>
      </c>
      <c r="Q412">
        <v>-0.05</v>
      </c>
      <c r="R412">
        <v>-1.6906829476356501E-2</v>
      </c>
      <c r="S412">
        <v>1.5196677297353699E-2</v>
      </c>
      <c r="T412">
        <v>-0.01</v>
      </c>
    </row>
    <row r="413" spans="1:20" x14ac:dyDescent="0.3">
      <c r="A413" t="s">
        <v>42</v>
      </c>
      <c r="B413">
        <v>2022</v>
      </c>
      <c r="C413">
        <v>399642.90629999997</v>
      </c>
      <c r="D413" s="1">
        <v>6.0000000000000001E-3</v>
      </c>
      <c r="E413" s="1">
        <v>0.95815861225128196</v>
      </c>
      <c r="F413" s="1">
        <v>0.05</v>
      </c>
      <c r="G413" s="1">
        <f t="shared" si="12"/>
        <v>1.100000000000001E-2</v>
      </c>
      <c r="H413" s="1" t="str">
        <f t="shared" si="13"/>
        <v/>
      </c>
      <c r="I413" s="1">
        <v>-5.0000000000000001E-3</v>
      </c>
      <c r="J413" s="1">
        <f>+D413-F413+I413*O413</f>
        <v>-5.4950000000000006E-2</v>
      </c>
      <c r="K413" s="1">
        <v>6.3093170523643494E-2</v>
      </c>
      <c r="L413" s="1">
        <f>+K413-J413</f>
        <v>0.11804317052364349</v>
      </c>
      <c r="M413" s="1">
        <v>-1.6906829476356501E-2</v>
      </c>
      <c r="N413" s="1">
        <f>+M413-J413</f>
        <v>3.8043170523643505E-2</v>
      </c>
      <c r="O413">
        <v>2.19</v>
      </c>
      <c r="P413" t="s">
        <v>17</v>
      </c>
      <c r="Q413">
        <v>0.02</v>
      </c>
      <c r="R413">
        <v>-2.1390940845012999E-3</v>
      </c>
      <c r="S413">
        <v>1.7419833689927999E-2</v>
      </c>
      <c r="T413">
        <v>7.0000000000000007E-2</v>
      </c>
    </row>
    <row r="414" spans="1:20" x14ac:dyDescent="0.3">
      <c r="A414" t="s">
        <v>43</v>
      </c>
      <c r="B414">
        <v>2006</v>
      </c>
      <c r="C414">
        <v>225328.29689999999</v>
      </c>
      <c r="D414" s="1">
        <v>3.3000000000000002E-2</v>
      </c>
      <c r="E414" s="1">
        <v>0.88347780704498302</v>
      </c>
      <c r="F414" s="1">
        <v>-4.5999999999999999E-2</v>
      </c>
      <c r="G414" s="1">
        <f t="shared" si="12"/>
        <v>-4.5999999999999999E-2</v>
      </c>
      <c r="H414" s="1" t="str">
        <f t="shared" si="13"/>
        <v/>
      </c>
      <c r="I414" s="1">
        <v>3.0000000000000001E-3</v>
      </c>
      <c r="J414" s="1">
        <f>+D414-F414+I414*O414</f>
        <v>8.4790000000000004E-2</v>
      </c>
      <c r="K414" s="1">
        <v>1.71829909086227E-2</v>
      </c>
      <c r="L414" s="1">
        <f>+K414-J414</f>
        <v>-6.7607009091377304E-2</v>
      </c>
      <c r="M414" s="1">
        <v>-1.4817009091377301E-2</v>
      </c>
      <c r="N414" s="1">
        <f>+M414-J414</f>
        <v>-9.9607009091377305E-2</v>
      </c>
      <c r="O414">
        <v>1.93</v>
      </c>
      <c r="P414" t="s">
        <v>17</v>
      </c>
      <c r="Q414">
        <v>-0.02</v>
      </c>
      <c r="R414">
        <v>-4.4131678491830997E-3</v>
      </c>
      <c r="S414">
        <v>-3.4914119169115999E-3</v>
      </c>
      <c r="T414">
        <v>-0.05</v>
      </c>
    </row>
    <row r="415" spans="1:20" x14ac:dyDescent="0.3">
      <c r="A415" t="s">
        <v>43</v>
      </c>
      <c r="B415">
        <v>2007</v>
      </c>
      <c r="C415">
        <v>227717.1875</v>
      </c>
      <c r="D415" s="1">
        <v>1E-3</v>
      </c>
      <c r="E415" s="1">
        <v>0.89524388313293501</v>
      </c>
      <c r="F415" s="1">
        <v>0.14399999999999999</v>
      </c>
      <c r="G415" s="1">
        <f t="shared" si="12"/>
        <v>9.799999999999999E-2</v>
      </c>
      <c r="H415" s="1" t="str">
        <f t="shared" si="13"/>
        <v/>
      </c>
      <c r="I415" s="1">
        <v>1.2E-2</v>
      </c>
      <c r="J415" s="1">
        <f>+D415-F415+I415*O415</f>
        <v>-0.11647999999999999</v>
      </c>
      <c r="K415" s="1">
        <v>2.45868321508169E-2</v>
      </c>
      <c r="L415" s="1">
        <f>+K415-J415</f>
        <v>0.14106683215081689</v>
      </c>
      <c r="M415" s="1">
        <v>-4.4131678491830997E-3</v>
      </c>
      <c r="N415" s="1">
        <f>+M415-J415</f>
        <v>0.11206683215081689</v>
      </c>
      <c r="O415">
        <v>2.21</v>
      </c>
      <c r="P415" t="s">
        <v>15</v>
      </c>
      <c r="Q415">
        <v>0</v>
      </c>
      <c r="R415">
        <v>-2.60580576136707E-2</v>
      </c>
      <c r="S415">
        <v>3.4527466632426002E-3</v>
      </c>
      <c r="T415">
        <v>0.14000000000000001</v>
      </c>
    </row>
    <row r="416" spans="1:20" x14ac:dyDescent="0.3">
      <c r="A416" t="s">
        <v>43</v>
      </c>
      <c r="B416">
        <v>2008</v>
      </c>
      <c r="C416">
        <v>229002</v>
      </c>
      <c r="D416" s="1">
        <v>0</v>
      </c>
      <c r="E416" s="1">
        <v>0.90574085712432895</v>
      </c>
      <c r="F416" s="1">
        <v>-7.0000000000000007E-2</v>
      </c>
      <c r="G416" s="1">
        <f t="shared" si="12"/>
        <v>2.7999999999999983E-2</v>
      </c>
      <c r="H416" s="1" t="str">
        <f t="shared" si="13"/>
        <v/>
      </c>
      <c r="I416" s="1">
        <v>0.01</v>
      </c>
      <c r="J416" s="1">
        <f>+D416-F416+I416*O416</f>
        <v>9.0600000000000014E-2</v>
      </c>
      <c r="K416" s="1">
        <v>1.19419423863292E-2</v>
      </c>
      <c r="L416" s="1">
        <f>+K416-J416</f>
        <v>-7.8658057613670812E-2</v>
      </c>
      <c r="M416" s="1">
        <v>-2.60580576136707E-2</v>
      </c>
      <c r="N416" s="1">
        <f>+M416-J416</f>
        <v>-0.11665805761367071</v>
      </c>
      <c r="O416">
        <v>2.06</v>
      </c>
      <c r="P416" t="s">
        <v>17</v>
      </c>
      <c r="Q416">
        <v>0</v>
      </c>
      <c r="R416">
        <v>-1.7312838420271901E-2</v>
      </c>
      <c r="S416">
        <v>9.2538632452487495E-3</v>
      </c>
      <c r="T416">
        <v>-7.0000000000000007E-2</v>
      </c>
    </row>
    <row r="417" spans="1:20" x14ac:dyDescent="0.3">
      <c r="A417" t="s">
        <v>43</v>
      </c>
      <c r="B417">
        <v>2009</v>
      </c>
      <c r="C417">
        <v>231203.9063</v>
      </c>
      <c r="D417" s="1">
        <v>0</v>
      </c>
      <c r="E417" s="1">
        <v>0.90216845273971602</v>
      </c>
      <c r="F417" s="1">
        <v>9.0999999999999998E-2</v>
      </c>
      <c r="G417" s="1">
        <f t="shared" si="12"/>
        <v>0.11899999999999998</v>
      </c>
      <c r="H417" s="1" t="str">
        <f t="shared" si="13"/>
        <v/>
      </c>
      <c r="I417" s="1">
        <v>-4.0000000000000001E-3</v>
      </c>
      <c r="J417" s="1">
        <f>+D417-F417+I417*O417</f>
        <v>-0.1</v>
      </c>
      <c r="K417" s="1">
        <v>-2.1312838420271901E-2</v>
      </c>
      <c r="L417" s="1">
        <f>+K417-J417</f>
        <v>7.8687161579728104E-2</v>
      </c>
      <c r="M417" s="1">
        <v>-1.7312838420271901E-2</v>
      </c>
      <c r="N417" s="1">
        <f>+M417-J417</f>
        <v>8.2687161579728108E-2</v>
      </c>
      <c r="O417">
        <v>2.25</v>
      </c>
      <c r="P417" t="s">
        <v>17</v>
      </c>
      <c r="Q417">
        <v>0.01</v>
      </c>
      <c r="R417">
        <v>-1.50525715984404E-2</v>
      </c>
      <c r="S417">
        <v>-5.5924628395587197E-3</v>
      </c>
      <c r="T417">
        <v>7.0000000000000007E-2</v>
      </c>
    </row>
    <row r="418" spans="1:20" x14ac:dyDescent="0.3">
      <c r="A418" t="s">
        <v>43</v>
      </c>
      <c r="B418">
        <v>2010</v>
      </c>
      <c r="C418">
        <v>232583.5</v>
      </c>
      <c r="D418" s="1">
        <v>0</v>
      </c>
      <c r="E418" s="1">
        <v>0.90213203430175803</v>
      </c>
      <c r="F418" s="1">
        <v>-9.1999999999999998E-2</v>
      </c>
      <c r="G418" s="1">
        <f t="shared" si="12"/>
        <v>2.6999999999999982E-2</v>
      </c>
      <c r="H418" s="1" t="str">
        <f t="shared" si="13"/>
        <v/>
      </c>
      <c r="I418" s="1">
        <v>0</v>
      </c>
      <c r="J418" s="1">
        <f>+D418-F418+I418*O418</f>
        <v>9.1999999999999998E-2</v>
      </c>
      <c r="K418" s="1">
        <v>9.4742840155959097E-4</v>
      </c>
      <c r="L418" s="1">
        <f>+K418-J418</f>
        <v>-9.1052571598440407E-2</v>
      </c>
      <c r="M418" s="1">
        <v>-1.50525715984404E-2</v>
      </c>
      <c r="N418" s="1">
        <f>+M418-J418</f>
        <v>-0.10705257159844039</v>
      </c>
      <c r="O418">
        <v>2.04</v>
      </c>
      <c r="P418" t="s">
        <v>16</v>
      </c>
      <c r="Q418">
        <v>-0.01</v>
      </c>
      <c r="R418">
        <v>-2.6585427455604001E-2</v>
      </c>
      <c r="S418">
        <v>-5.3016529418527802E-3</v>
      </c>
      <c r="T418">
        <v>-0.1</v>
      </c>
    </row>
    <row r="419" spans="1:20" x14ac:dyDescent="0.3">
      <c r="A419" t="s">
        <v>43</v>
      </c>
      <c r="B419">
        <v>2011</v>
      </c>
      <c r="C419">
        <v>233696.20310000001</v>
      </c>
      <c r="D419" s="1">
        <v>6.7000000000000004E-2</v>
      </c>
      <c r="E419" s="1">
        <v>0.90141731500625599</v>
      </c>
      <c r="F419" s="1">
        <v>0.10100000000000001</v>
      </c>
      <c r="G419" s="1">
        <f t="shared" si="12"/>
        <v>0.128</v>
      </c>
      <c r="H419" s="1">
        <f t="shared" si="13"/>
        <v>1.39478147029877E-2</v>
      </c>
      <c r="I419" s="1">
        <v>-1E-3</v>
      </c>
      <c r="J419" s="1">
        <f>+D419-F419+I419*O419</f>
        <v>-3.6250000000000004E-2</v>
      </c>
      <c r="K419" s="1">
        <v>5.4145725443959201E-3</v>
      </c>
      <c r="L419" s="1">
        <f>+K419-J419</f>
        <v>4.1664572544395928E-2</v>
      </c>
      <c r="M419" s="1">
        <v>-2.6585427455604001E-2</v>
      </c>
      <c r="N419" s="1">
        <f>+M419-J419</f>
        <v>9.6645725443960037E-3</v>
      </c>
      <c r="O419">
        <v>2.25</v>
      </c>
      <c r="P419" t="s">
        <v>17</v>
      </c>
      <c r="Q419">
        <v>-0.01</v>
      </c>
      <c r="R419">
        <v>-8.2275963425635992E-3</v>
      </c>
      <c r="S419">
        <v>-2.7893902733922E-3</v>
      </c>
      <c r="T419">
        <v>0.1</v>
      </c>
    </row>
    <row r="420" spans="1:20" x14ac:dyDescent="0.3">
      <c r="A420" t="s">
        <v>43</v>
      </c>
      <c r="B420">
        <v>2012</v>
      </c>
      <c r="C420">
        <v>234803</v>
      </c>
      <c r="D420" s="1">
        <v>3.7999999999999999E-2</v>
      </c>
      <c r="E420" s="1">
        <v>0.90560597181320202</v>
      </c>
      <c r="F420" s="1">
        <v>-3.6999999999999998E-2</v>
      </c>
      <c r="G420" s="1">
        <f t="shared" si="12"/>
        <v>9.0999999999999998E-2</v>
      </c>
      <c r="H420" s="1" t="str">
        <f t="shared" si="13"/>
        <v/>
      </c>
      <c r="I420" s="1">
        <v>4.0000000000000001E-3</v>
      </c>
      <c r="J420" s="1">
        <f>+D420-F420+I420*O420</f>
        <v>8.3639999999999992E-2</v>
      </c>
      <c r="K420" s="1">
        <v>1.27724036574364E-2</v>
      </c>
      <c r="L420" s="1">
        <f>+K420-J420</f>
        <v>-7.0867596342563594E-2</v>
      </c>
      <c r="M420" s="1">
        <v>-8.2275963425635992E-3</v>
      </c>
      <c r="N420" s="1">
        <f>+M420-J420</f>
        <v>-9.1867596342563584E-2</v>
      </c>
      <c r="O420">
        <v>2.16</v>
      </c>
      <c r="P420" t="s">
        <v>17</v>
      </c>
      <c r="Q420">
        <v>0</v>
      </c>
      <c r="R420">
        <v>1.2322574853900099E-4</v>
      </c>
      <c r="S420">
        <v>-6.0035455971955897E-3</v>
      </c>
      <c r="T420">
        <v>-0.04</v>
      </c>
    </row>
    <row r="421" spans="1:20" x14ac:dyDescent="0.3">
      <c r="A421" t="s">
        <v>43</v>
      </c>
      <c r="B421">
        <v>2013</v>
      </c>
      <c r="C421">
        <v>236010.89060000001</v>
      </c>
      <c r="D421" s="1">
        <v>0</v>
      </c>
      <c r="E421" s="1">
        <v>0.922163546085358</v>
      </c>
      <c r="F421" s="1">
        <v>-7.9000000000000001E-2</v>
      </c>
      <c r="G421" s="1">
        <f t="shared" si="12"/>
        <v>1.1999999999999997E-2</v>
      </c>
      <c r="H421" s="1" t="str">
        <f t="shared" si="13"/>
        <v/>
      </c>
      <c r="I421" s="1">
        <v>1.7000000000000001E-2</v>
      </c>
      <c r="J421" s="1">
        <f>+D421-F421+I421*O421</f>
        <v>0.11283</v>
      </c>
      <c r="K421" s="1">
        <v>1.5123225748539E-2</v>
      </c>
      <c r="L421" s="1">
        <f>+K421-J421</f>
        <v>-9.7706774251461001E-2</v>
      </c>
      <c r="M421" s="1">
        <v>1.2322574853900099E-4</v>
      </c>
      <c r="N421" s="1">
        <f>+M421-J421</f>
        <v>-0.112706774251461</v>
      </c>
      <c r="O421">
        <v>1.99</v>
      </c>
      <c r="P421" t="s">
        <v>17</v>
      </c>
      <c r="Q421">
        <v>-0.01</v>
      </c>
      <c r="R421">
        <v>3.38883587718009E-3</v>
      </c>
      <c r="S421">
        <v>1.3808123767375901E-3</v>
      </c>
      <c r="T421">
        <v>-0.09</v>
      </c>
    </row>
    <row r="422" spans="1:20" x14ac:dyDescent="0.3">
      <c r="A422" t="s">
        <v>43</v>
      </c>
      <c r="B422">
        <v>2014</v>
      </c>
      <c r="C422">
        <v>237154.29689999999</v>
      </c>
      <c r="D422" s="1">
        <v>4.0000000000000001E-3</v>
      </c>
      <c r="E422" s="1">
        <v>0.91651839017867998</v>
      </c>
      <c r="F422" s="1">
        <v>0.115</v>
      </c>
      <c r="G422" s="1">
        <f t="shared" si="12"/>
        <v>0.127</v>
      </c>
      <c r="H422" s="1">
        <f t="shared" si="13"/>
        <v>1.0652650380507096E-2</v>
      </c>
      <c r="I422" s="1">
        <v>-6.0000000000000001E-3</v>
      </c>
      <c r="J422" s="1">
        <f>+D422-F422+I422*O422</f>
        <v>-0.12432</v>
      </c>
      <c r="K422" s="1">
        <v>1.9388835877180099E-2</v>
      </c>
      <c r="L422" s="1">
        <f>+K422-J422</f>
        <v>0.14370883587718009</v>
      </c>
      <c r="M422" s="1">
        <v>3.38883587718009E-3</v>
      </c>
      <c r="N422" s="1">
        <f>+M422-J422</f>
        <v>0.1277088358771801</v>
      </c>
      <c r="O422">
        <v>2.2200000000000002</v>
      </c>
      <c r="P422" t="s">
        <v>17</v>
      </c>
      <c r="Q422">
        <v>0</v>
      </c>
      <c r="R422">
        <v>1.7161270767450301E-2</v>
      </c>
      <c r="S422">
        <v>-1.3102181255817301E-2</v>
      </c>
      <c r="T422">
        <v>0.11</v>
      </c>
    </row>
    <row r="423" spans="1:20" x14ac:dyDescent="0.3">
      <c r="A423" t="s">
        <v>43</v>
      </c>
      <c r="B423">
        <v>2015</v>
      </c>
      <c r="C423">
        <v>238119</v>
      </c>
      <c r="D423" s="1">
        <v>-2E-3</v>
      </c>
      <c r="E423" s="1">
        <v>0.92842030525207497</v>
      </c>
      <c r="F423" s="1">
        <v>-0.10100000000000001</v>
      </c>
      <c r="G423" s="1">
        <f t="shared" si="12"/>
        <v>2.5999999999999995E-2</v>
      </c>
      <c r="H423" s="1" t="str">
        <f t="shared" si="13"/>
        <v/>
      </c>
      <c r="I423" s="1">
        <v>1.2E-2</v>
      </c>
      <c r="J423" s="1">
        <f>+D423-F423+I423*O423</f>
        <v>0.123</v>
      </c>
      <c r="K423" s="1">
        <v>1.8161270767450301E-2</v>
      </c>
      <c r="L423" s="1">
        <f>+K423-J423</f>
        <v>-0.10483872923254969</v>
      </c>
      <c r="M423" s="1">
        <v>1.7161270767450301E-2</v>
      </c>
      <c r="N423" s="1">
        <f>+M423-J423</f>
        <v>-0.10583872923254969</v>
      </c>
      <c r="O423">
        <v>2</v>
      </c>
      <c r="P423" t="s">
        <v>17</v>
      </c>
      <c r="Q423">
        <v>-0.01</v>
      </c>
      <c r="R423">
        <v>-9.8559700064361003E-3</v>
      </c>
      <c r="S423">
        <v>-2.3009527008980499E-2</v>
      </c>
      <c r="T423">
        <v>-0.09</v>
      </c>
    </row>
    <row r="424" spans="1:20" x14ac:dyDescent="0.3">
      <c r="A424" t="s">
        <v>43</v>
      </c>
      <c r="B424">
        <v>2016</v>
      </c>
      <c r="C424">
        <v>238506.60939999999</v>
      </c>
      <c r="D424" s="1">
        <v>1.4999999999999999E-2</v>
      </c>
      <c r="E424" s="1">
        <v>0.91013789176940896</v>
      </c>
      <c r="F424" s="1">
        <v>-7.0000000000000007E-2</v>
      </c>
      <c r="G424" s="1">
        <f t="shared" si="12"/>
        <v>-4.4000000000000011E-2</v>
      </c>
      <c r="H424" s="1" t="str">
        <f t="shared" si="13"/>
        <v/>
      </c>
      <c r="I424" s="1">
        <v>-1.7999999999999999E-2</v>
      </c>
      <c r="J424" s="1">
        <f>+D424-F424+I424*O424</f>
        <v>5.152000000000001E-2</v>
      </c>
      <c r="K424" s="1">
        <v>3.14402999356389E-3</v>
      </c>
      <c r="L424" s="1">
        <f>+K424-J424</f>
        <v>-4.837597000643612E-2</v>
      </c>
      <c r="M424" s="1">
        <v>-9.8559700064361003E-3</v>
      </c>
      <c r="N424" s="1">
        <f>+M424-J424</f>
        <v>-6.1375970006436111E-2</v>
      </c>
      <c r="O424">
        <v>1.86</v>
      </c>
      <c r="P424" t="s">
        <v>16</v>
      </c>
      <c r="Q424">
        <v>-0.02</v>
      </c>
      <c r="R424">
        <v>-9.8403508812188994E-3</v>
      </c>
      <c r="S424">
        <v>-1.26299243420361E-2</v>
      </c>
      <c r="T424">
        <v>-7.0000000000000007E-2</v>
      </c>
    </row>
    <row r="425" spans="1:20" x14ac:dyDescent="0.3">
      <c r="A425" t="s">
        <v>43</v>
      </c>
      <c r="B425">
        <v>2017</v>
      </c>
      <c r="C425">
        <v>238164.0938</v>
      </c>
      <c r="D425" s="1">
        <v>1.2E-2</v>
      </c>
      <c r="E425" s="1">
        <v>0.90615886449813798</v>
      </c>
      <c r="F425" s="1">
        <v>4.2000000000000003E-2</v>
      </c>
      <c r="G425" s="1">
        <f t="shared" si="12"/>
        <v>-2.0000000000000087E-3</v>
      </c>
      <c r="H425" s="1" t="str">
        <f t="shared" si="13"/>
        <v/>
      </c>
      <c r="I425" s="1">
        <v>-4.0000000000000001E-3</v>
      </c>
      <c r="J425" s="1">
        <f>+D425-F425+I425*O425</f>
        <v>-3.7760000000000002E-2</v>
      </c>
      <c r="K425" s="1">
        <v>1.11596491187811E-2</v>
      </c>
      <c r="L425" s="1">
        <f>+K425-J425</f>
        <v>4.8919649118781106E-2</v>
      </c>
      <c r="M425" s="1">
        <v>-9.8403508812188994E-3</v>
      </c>
      <c r="N425" s="1">
        <f>+M425-J425</f>
        <v>2.7919649118781101E-2</v>
      </c>
      <c r="O425">
        <v>1.94</v>
      </c>
      <c r="P425" t="s">
        <v>17</v>
      </c>
      <c r="Q425">
        <v>-0.01</v>
      </c>
      <c r="R425">
        <v>4.4990575164556897E-3</v>
      </c>
      <c r="S425">
        <v>-4.6359654515980902E-3</v>
      </c>
      <c r="T425">
        <v>0.04</v>
      </c>
    </row>
    <row r="426" spans="1:20" x14ac:dyDescent="0.3">
      <c r="A426" t="s">
        <v>43</v>
      </c>
      <c r="B426">
        <v>2018</v>
      </c>
      <c r="C426">
        <v>237265.39060000001</v>
      </c>
      <c r="D426" s="1">
        <v>-1E-3</v>
      </c>
      <c r="E426" s="1">
        <v>0.90757530927658103</v>
      </c>
      <c r="F426" s="1">
        <v>-5.1999999999999998E-2</v>
      </c>
      <c r="G426" s="1">
        <f t="shared" si="12"/>
        <v>-5.4000000000000006E-2</v>
      </c>
      <c r="H426" s="1" t="str">
        <f t="shared" si="13"/>
        <v/>
      </c>
      <c r="I426" s="1">
        <v>1E-3</v>
      </c>
      <c r="J426" s="1">
        <f>+D426-F426+I426*O426</f>
        <v>5.2839999999999998E-2</v>
      </c>
      <c r="K426" s="1">
        <v>2.8499057516455699E-2</v>
      </c>
      <c r="L426" s="1">
        <f>+K426-J426</f>
        <v>-2.4340942483544299E-2</v>
      </c>
      <c r="M426" s="1">
        <v>4.4990575164556897E-3</v>
      </c>
      <c r="N426" s="1">
        <f>+M426-J426</f>
        <v>-4.8340942483544307E-2</v>
      </c>
      <c r="O426">
        <v>1.84</v>
      </c>
      <c r="P426" t="s">
        <v>17</v>
      </c>
      <c r="Q426">
        <v>0</v>
      </c>
      <c r="R426">
        <v>5.1410786509513999E-3</v>
      </c>
      <c r="S426">
        <v>-1.2660115957260101E-2</v>
      </c>
      <c r="T426">
        <v>-0.04</v>
      </c>
    </row>
    <row r="427" spans="1:20" x14ac:dyDescent="0.3">
      <c r="A427" t="s">
        <v>43</v>
      </c>
      <c r="B427">
        <v>2019</v>
      </c>
      <c r="C427">
        <v>236369.29689999999</v>
      </c>
      <c r="D427" s="1">
        <v>8.0000000000000002E-3</v>
      </c>
      <c r="E427" s="1">
        <v>0.91693615913391102</v>
      </c>
      <c r="F427" s="1">
        <v>0.14699999999999999</v>
      </c>
      <c r="G427" s="1">
        <f t="shared" si="12"/>
        <v>9.2999999999999985E-2</v>
      </c>
      <c r="H427" s="1" t="str">
        <f t="shared" si="13"/>
        <v/>
      </c>
      <c r="I427" s="1">
        <v>8.9999999999999993E-3</v>
      </c>
      <c r="J427" s="1">
        <f>+D427-F427+I427*O427</f>
        <v>-0.12000999999999999</v>
      </c>
      <c r="K427" s="1">
        <v>2.3141078650951399E-2</v>
      </c>
      <c r="L427" s="1">
        <f>+K427-J427</f>
        <v>0.14315107865095139</v>
      </c>
      <c r="M427" s="1">
        <v>5.1410786509513999E-3</v>
      </c>
      <c r="N427" s="1">
        <f>+M427-J427</f>
        <v>0.1251510786509514</v>
      </c>
      <c r="O427">
        <v>2.11</v>
      </c>
      <c r="P427" t="s">
        <v>15</v>
      </c>
      <c r="Q427">
        <v>-0.01</v>
      </c>
      <c r="R427">
        <v>2.8195410147309002E-3</v>
      </c>
      <c r="S427">
        <v>-1.6029649414122001E-2</v>
      </c>
      <c r="T427">
        <v>0.16</v>
      </c>
    </row>
    <row r="428" spans="1:20" x14ac:dyDescent="0.3">
      <c r="A428" t="s">
        <v>43</v>
      </c>
      <c r="B428">
        <v>2020</v>
      </c>
      <c r="C428">
        <v>236696.10939999999</v>
      </c>
      <c r="D428" s="1">
        <v>2.7E-2</v>
      </c>
      <c r="E428" s="1">
        <v>0.93327134847641002</v>
      </c>
      <c r="F428" s="1">
        <v>-3.1E-2</v>
      </c>
      <c r="G428" s="1">
        <f t="shared" si="12"/>
        <v>6.1999999999999986E-2</v>
      </c>
      <c r="H428" s="1" t="str">
        <f t="shared" si="13"/>
        <v/>
      </c>
      <c r="I428" s="1">
        <v>1.6E-2</v>
      </c>
      <c r="J428" s="1">
        <f>+D428-F428+I428*O428</f>
        <v>9.0639999999999998E-2</v>
      </c>
      <c r="K428" s="1">
        <v>1.4819541014730901E-2</v>
      </c>
      <c r="L428" s="1">
        <f>+K428-J428</f>
        <v>-7.5820458985269096E-2</v>
      </c>
      <c r="M428" s="1">
        <v>2.8195410147309002E-3</v>
      </c>
      <c r="N428" s="1">
        <f>+M428-J428</f>
        <v>-8.7820458985269093E-2</v>
      </c>
      <c r="O428">
        <v>2.04</v>
      </c>
      <c r="P428" t="s">
        <v>17</v>
      </c>
      <c r="Q428">
        <v>-0.02</v>
      </c>
      <c r="R428">
        <v>-1.5235857367515899E-3</v>
      </c>
      <c r="S428">
        <v>-4.5113198459148497E-2</v>
      </c>
      <c r="T428">
        <v>0.01</v>
      </c>
    </row>
    <row r="429" spans="1:20" x14ac:dyDescent="0.3">
      <c r="A429" t="s">
        <v>44</v>
      </c>
      <c r="B429">
        <v>2006</v>
      </c>
      <c r="C429">
        <v>617908.375</v>
      </c>
      <c r="D429" s="1">
        <v>2.7E-2</v>
      </c>
      <c r="E429" s="1">
        <v>0.92040562629699696</v>
      </c>
      <c r="F429" s="1">
        <v>-2.1000000000000001E-2</v>
      </c>
      <c r="G429" s="1">
        <f t="shared" si="12"/>
        <v>-2.1000000000000001E-2</v>
      </c>
      <c r="H429" s="1" t="str">
        <f t="shared" si="13"/>
        <v/>
      </c>
      <c r="I429" s="1">
        <v>-8.0000000000000002E-3</v>
      </c>
      <c r="J429" s="1">
        <f>+D429-F429+I429*O429</f>
        <v>2.9760000000000002E-2</v>
      </c>
      <c r="K429" s="1">
        <v>6.3100121915340396E-2</v>
      </c>
      <c r="L429" s="1">
        <f>+K429-J429</f>
        <v>3.3340121915340394E-2</v>
      </c>
      <c r="M429" s="1">
        <v>3.1100121915340301E-2</v>
      </c>
      <c r="N429" s="1">
        <f>+M429-J429</f>
        <v>1.3401219153402998E-3</v>
      </c>
      <c r="O429">
        <v>2.2799999999999998</v>
      </c>
      <c r="P429" t="s">
        <v>16</v>
      </c>
      <c r="Q429">
        <v>0.02</v>
      </c>
      <c r="R429">
        <v>4.88170519471198E-4</v>
      </c>
      <c r="S429">
        <v>1.4099264517426901E-3</v>
      </c>
      <c r="T429">
        <v>-0.02</v>
      </c>
    </row>
    <row r="430" spans="1:20" x14ac:dyDescent="0.3">
      <c r="A430" t="s">
        <v>44</v>
      </c>
      <c r="B430">
        <v>2007</v>
      </c>
      <c r="C430">
        <v>632187.0625</v>
      </c>
      <c r="D430" s="1">
        <v>2.5999999999999999E-2</v>
      </c>
      <c r="E430" s="1">
        <v>0.91040837764740001</v>
      </c>
      <c r="F430" s="1">
        <v>-3.7999999999999999E-2</v>
      </c>
      <c r="G430" s="1">
        <f t="shared" si="12"/>
        <v>-5.8999999999999997E-2</v>
      </c>
      <c r="H430" s="1" t="str">
        <f t="shared" si="13"/>
        <v/>
      </c>
      <c r="I430" s="1">
        <v>-0.01</v>
      </c>
      <c r="J430" s="1">
        <f>+D430-F430+I430*O430</f>
        <v>4.1999999999999996E-2</v>
      </c>
      <c r="K430" s="1">
        <v>2.94881705194712E-2</v>
      </c>
      <c r="L430" s="1">
        <f>+K430-J430</f>
        <v>-1.2511829480528796E-2</v>
      </c>
      <c r="M430" s="1">
        <v>4.88170519471198E-4</v>
      </c>
      <c r="N430" s="1">
        <f>+M430-J430</f>
        <v>-4.1511829480528797E-2</v>
      </c>
      <c r="O430">
        <v>2.2000000000000002</v>
      </c>
      <c r="P430" t="s">
        <v>16</v>
      </c>
      <c r="Q430">
        <v>0</v>
      </c>
      <c r="R430">
        <v>-6.1148145526647601E-2</v>
      </c>
      <c r="S430">
        <v>-3.1637341249734198E-2</v>
      </c>
      <c r="T430">
        <v>-0.04</v>
      </c>
    </row>
    <row r="431" spans="1:20" x14ac:dyDescent="0.3">
      <c r="A431" t="s">
        <v>44</v>
      </c>
      <c r="B431">
        <v>2008</v>
      </c>
      <c r="C431">
        <v>646598.875</v>
      </c>
      <c r="D431" s="1">
        <v>6.5000000000000002E-2</v>
      </c>
      <c r="E431" s="1">
        <v>0.89641642570495605</v>
      </c>
      <c r="F431" s="1">
        <v>3.9E-2</v>
      </c>
      <c r="G431" s="1">
        <f t="shared" si="12"/>
        <v>-1.9999999999999997E-2</v>
      </c>
      <c r="H431" s="1" t="str">
        <f t="shared" si="13"/>
        <v/>
      </c>
      <c r="I431" s="1">
        <v>-1.4E-2</v>
      </c>
      <c r="J431" s="1">
        <f>+D431-F431+I431*O431</f>
        <v>-5.9199999999999947E-3</v>
      </c>
      <c r="K431" s="1">
        <v>-2.3148145526647599E-2</v>
      </c>
      <c r="L431" s="1">
        <f>+K431-J431</f>
        <v>-1.7228145526647604E-2</v>
      </c>
      <c r="M431" s="1">
        <v>-6.1148145526647601E-2</v>
      </c>
      <c r="N431" s="1">
        <f>+M431-J431</f>
        <v>-5.5228145526647607E-2</v>
      </c>
      <c r="O431">
        <v>2.2799999999999998</v>
      </c>
      <c r="P431" t="s">
        <v>17</v>
      </c>
      <c r="Q431">
        <v>-0.03</v>
      </c>
      <c r="R431">
        <v>-2.7187126412987699E-2</v>
      </c>
      <c r="S431">
        <v>-6.2042474746704795E-4</v>
      </c>
      <c r="T431">
        <v>0.04</v>
      </c>
    </row>
    <row r="432" spans="1:20" x14ac:dyDescent="0.3">
      <c r="A432" t="s">
        <v>44</v>
      </c>
      <c r="B432">
        <v>2009</v>
      </c>
      <c r="C432">
        <v>658397.5</v>
      </c>
      <c r="D432" s="1">
        <v>3.4000000000000002E-2</v>
      </c>
      <c r="E432" s="1">
        <v>0.905062556266785</v>
      </c>
      <c r="F432" s="1">
        <v>-2E-3</v>
      </c>
      <c r="G432" s="1">
        <f t="shared" si="12"/>
        <v>-2.1999999999999999E-2</v>
      </c>
      <c r="H432" s="1" t="str">
        <f t="shared" si="13"/>
        <v/>
      </c>
      <c r="I432" s="1">
        <v>8.9999999999999993E-3</v>
      </c>
      <c r="J432" s="1">
        <f>+D432-F432+I432*O432</f>
        <v>5.6520000000000001E-2</v>
      </c>
      <c r="K432" s="1">
        <v>-3.1187126412987699E-2</v>
      </c>
      <c r="L432" s="1">
        <f>+K432-J432</f>
        <v>-8.7707126412987696E-2</v>
      </c>
      <c r="M432" s="1">
        <v>-2.7187126412987699E-2</v>
      </c>
      <c r="N432" s="1">
        <f>+M432-J432</f>
        <v>-8.3707126412987692E-2</v>
      </c>
      <c r="O432">
        <v>2.2799999999999998</v>
      </c>
      <c r="P432" t="s">
        <v>17</v>
      </c>
      <c r="Q432">
        <v>0</v>
      </c>
      <c r="R432">
        <v>-5.2378514632582997E-3</v>
      </c>
      <c r="S432">
        <v>4.22225729562338E-3</v>
      </c>
      <c r="T432">
        <v>-0.02</v>
      </c>
    </row>
    <row r="433" spans="1:20" x14ac:dyDescent="0.3">
      <c r="A433" t="s">
        <v>44</v>
      </c>
      <c r="B433">
        <v>2010</v>
      </c>
      <c r="C433">
        <v>670175.625</v>
      </c>
      <c r="D433" s="1">
        <v>1.6E-2</v>
      </c>
      <c r="E433" s="1">
        <v>0.91997140645980802</v>
      </c>
      <c r="F433" s="1">
        <v>6.5000000000000002E-2</v>
      </c>
      <c r="G433" s="1">
        <f t="shared" si="12"/>
        <v>4.3000000000000003E-2</v>
      </c>
      <c r="H433" s="1" t="str">
        <f t="shared" si="13"/>
        <v/>
      </c>
      <c r="I433" s="1">
        <v>1.4999999999999999E-2</v>
      </c>
      <c r="J433" s="1">
        <f>+D433-F433+I433*O433</f>
        <v>-1.2549999999999999E-2</v>
      </c>
      <c r="K433" s="1">
        <v>1.0762148536741701E-2</v>
      </c>
      <c r="L433" s="1">
        <f>+K433-J433</f>
        <v>2.3312148536741698E-2</v>
      </c>
      <c r="M433" s="1">
        <v>-5.2378514632582997E-3</v>
      </c>
      <c r="N433" s="1">
        <f>+M433-J433</f>
        <v>7.3121485367416989E-3</v>
      </c>
      <c r="O433">
        <v>2.4300000000000002</v>
      </c>
      <c r="P433" t="s">
        <v>15</v>
      </c>
      <c r="Q433">
        <v>0</v>
      </c>
      <c r="R433">
        <v>-1.31099767684937E-2</v>
      </c>
      <c r="S433">
        <v>8.17379774525759E-3</v>
      </c>
      <c r="T433">
        <v>0.06</v>
      </c>
    </row>
    <row r="434" spans="1:20" x14ac:dyDescent="0.3">
      <c r="A434" t="s">
        <v>44</v>
      </c>
      <c r="B434">
        <v>2011</v>
      </c>
      <c r="C434">
        <v>682831.4375</v>
      </c>
      <c r="D434" s="1">
        <v>0</v>
      </c>
      <c r="E434" s="1">
        <v>0.925295829772949</v>
      </c>
      <c r="F434" s="1">
        <v>-2.3E-2</v>
      </c>
      <c r="G434" s="1">
        <f t="shared" si="12"/>
        <v>2.0000000000000004E-2</v>
      </c>
      <c r="H434" s="1" t="str">
        <f t="shared" si="13"/>
        <v/>
      </c>
      <c r="I434" s="1">
        <v>5.0000000000000001E-3</v>
      </c>
      <c r="J434" s="1">
        <f>+D434-F434+I434*O434</f>
        <v>3.4849999999999999E-2</v>
      </c>
      <c r="K434" s="1">
        <v>1.8890023231506299E-2</v>
      </c>
      <c r="L434" s="1">
        <f>+K434-J434</f>
        <v>-1.59599767684937E-2</v>
      </c>
      <c r="M434" s="1">
        <v>-1.31099767684937E-2</v>
      </c>
      <c r="N434" s="1">
        <f>+M434-J434</f>
        <v>-4.7959976768493701E-2</v>
      </c>
      <c r="O434">
        <v>2.37</v>
      </c>
      <c r="P434" t="s">
        <v>17</v>
      </c>
      <c r="Q434">
        <v>0.01</v>
      </c>
      <c r="R434">
        <v>4.7343009710309997E-4</v>
      </c>
      <c r="S434">
        <v>5.9116361662744999E-3</v>
      </c>
      <c r="T434">
        <v>-0.02</v>
      </c>
    </row>
    <row r="435" spans="1:20" x14ac:dyDescent="0.3">
      <c r="A435" t="s">
        <v>44</v>
      </c>
      <c r="B435">
        <v>2012</v>
      </c>
      <c r="C435">
        <v>696729.625</v>
      </c>
      <c r="D435" s="1">
        <v>0.02</v>
      </c>
      <c r="E435" s="1">
        <v>0.93060463666915905</v>
      </c>
      <c r="F435" s="1">
        <v>-2.5999999999999999E-2</v>
      </c>
      <c r="G435" s="1">
        <f t="shared" si="12"/>
        <v>-5.9999999999999949E-3</v>
      </c>
      <c r="H435" s="1" t="str">
        <f t="shared" si="13"/>
        <v/>
      </c>
      <c r="I435" s="1">
        <v>5.0000000000000001E-3</v>
      </c>
      <c r="J435" s="1">
        <f>+D435-F435+I435*O435</f>
        <v>5.7550000000000004E-2</v>
      </c>
      <c r="K435" s="1">
        <v>2.1473430097103102E-2</v>
      </c>
      <c r="L435" s="1">
        <f>+K435-J435</f>
        <v>-3.6076569902896899E-2</v>
      </c>
      <c r="M435" s="1">
        <v>4.7343009710309997E-4</v>
      </c>
      <c r="N435" s="1">
        <f>+M435-J435</f>
        <v>-5.7076569902896904E-2</v>
      </c>
      <c r="O435">
        <v>2.31</v>
      </c>
      <c r="P435" t="s">
        <v>17</v>
      </c>
      <c r="Q435">
        <v>0.01</v>
      </c>
      <c r="R435">
        <v>5.8064261823892998E-3</v>
      </c>
      <c r="S435">
        <v>-3.2034516334529799E-4</v>
      </c>
      <c r="T435">
        <v>-0.03</v>
      </c>
    </row>
    <row r="436" spans="1:20" x14ac:dyDescent="0.3">
      <c r="A436" t="s">
        <v>44</v>
      </c>
      <c r="B436">
        <v>2013</v>
      </c>
      <c r="C436">
        <v>709825.5</v>
      </c>
      <c r="D436" s="1">
        <v>4.9000000000000002E-2</v>
      </c>
      <c r="E436" s="1">
        <v>0.91976523399353005</v>
      </c>
      <c r="F436" s="1">
        <v>-3.0000000000000001E-3</v>
      </c>
      <c r="G436" s="1">
        <f t="shared" si="12"/>
        <v>-8.9999999999999941E-3</v>
      </c>
      <c r="H436" s="1" t="str">
        <f t="shared" si="13"/>
        <v/>
      </c>
      <c r="I436" s="1">
        <v>-1.0999999999999999E-2</v>
      </c>
      <c r="J436" s="1">
        <f>+D436-F436+I436*O436</f>
        <v>2.6700000000000008E-2</v>
      </c>
      <c r="K436" s="1">
        <v>2.0806426182389301E-2</v>
      </c>
      <c r="L436" s="1">
        <f>+K436-J436</f>
        <v>-5.8935738176107075E-3</v>
      </c>
      <c r="M436" s="1">
        <v>5.8064261823892998E-3</v>
      </c>
      <c r="N436" s="1">
        <f>+M436-J436</f>
        <v>-2.0893573817610707E-2</v>
      </c>
      <c r="O436">
        <v>2.2999999999999998</v>
      </c>
      <c r="P436" t="s">
        <v>16</v>
      </c>
      <c r="Q436">
        <v>0</v>
      </c>
      <c r="R436">
        <v>2.0033079028129501E-2</v>
      </c>
      <c r="S436">
        <v>1.8025055527687E-2</v>
      </c>
      <c r="T436">
        <v>-0.01</v>
      </c>
    </row>
    <row r="437" spans="1:20" x14ac:dyDescent="0.3">
      <c r="A437" t="s">
        <v>44</v>
      </c>
      <c r="B437">
        <v>2014</v>
      </c>
      <c r="C437">
        <v>724652.5625</v>
      </c>
      <c r="D437" s="1">
        <v>7.2999999999999995E-2</v>
      </c>
      <c r="E437" s="1">
        <v>0.92704254388809204</v>
      </c>
      <c r="F437" s="1">
        <v>-1.9E-2</v>
      </c>
      <c r="G437" s="1">
        <f t="shared" si="12"/>
        <v>-2.7999999999999994E-2</v>
      </c>
      <c r="H437" s="1" t="str">
        <f t="shared" si="13"/>
        <v/>
      </c>
      <c r="I437" s="1">
        <v>7.0000000000000001E-3</v>
      </c>
      <c r="J437" s="1">
        <f>+D437-F437+I437*O437</f>
        <v>0.10782</v>
      </c>
      <c r="K437" s="1">
        <v>3.6033079028129598E-2</v>
      </c>
      <c r="L437" s="1">
        <f>+K437-J437</f>
        <v>-7.1786920971870394E-2</v>
      </c>
      <c r="M437" s="1">
        <v>2.0033079028129501E-2</v>
      </c>
      <c r="N437" s="1">
        <f>+M437-J437</f>
        <v>-8.7786920971870491E-2</v>
      </c>
      <c r="O437">
        <v>2.2599999999999998</v>
      </c>
      <c r="P437" t="s">
        <v>17</v>
      </c>
      <c r="Q437">
        <v>0.02</v>
      </c>
      <c r="R437">
        <v>3.9273882448673199E-2</v>
      </c>
      <c r="S437">
        <v>9.0104304254055006E-3</v>
      </c>
      <c r="T437">
        <v>-0.02</v>
      </c>
    </row>
    <row r="438" spans="1:20" x14ac:dyDescent="0.3">
      <c r="A438" t="s">
        <v>44</v>
      </c>
      <c r="B438">
        <v>2015</v>
      </c>
      <c r="C438">
        <v>740963.3125</v>
      </c>
      <c r="D438" s="1">
        <v>0.05</v>
      </c>
      <c r="E438" s="1">
        <v>0.91723197698593095</v>
      </c>
      <c r="F438" s="1">
        <v>-2.5999999999999999E-2</v>
      </c>
      <c r="G438" s="1">
        <f t="shared" si="12"/>
        <v>-5.3999999999999992E-2</v>
      </c>
      <c r="H438" s="1" t="str">
        <f t="shared" si="13"/>
        <v/>
      </c>
      <c r="I438" s="1">
        <v>-0.01</v>
      </c>
      <c r="J438" s="1">
        <f>+D438-F438+I438*O438</f>
        <v>5.3999999999999992E-2</v>
      </c>
      <c r="K438" s="1">
        <v>4.02738824486732E-2</v>
      </c>
      <c r="L438" s="1">
        <f>+K438-J438</f>
        <v>-1.3726117551326793E-2</v>
      </c>
      <c r="M438" s="1">
        <v>3.9273882448673199E-2</v>
      </c>
      <c r="N438" s="1">
        <f>+M438-J438</f>
        <v>-1.4726117551326794E-2</v>
      </c>
      <c r="O438">
        <v>2.2000000000000002</v>
      </c>
      <c r="P438" t="s">
        <v>16</v>
      </c>
      <c r="Q438">
        <v>0.01</v>
      </c>
      <c r="R438">
        <v>1.19793231487274E-2</v>
      </c>
      <c r="S438">
        <v>-1.174233853817E-3</v>
      </c>
      <c r="T438">
        <v>-0.02</v>
      </c>
    </row>
    <row r="439" spans="1:20" x14ac:dyDescent="0.3">
      <c r="A439" t="s">
        <v>44</v>
      </c>
      <c r="B439">
        <v>2016</v>
      </c>
      <c r="C439">
        <v>755333.375</v>
      </c>
      <c r="D439" s="1">
        <v>0.04</v>
      </c>
      <c r="E439" s="1">
        <v>0.90047538280487105</v>
      </c>
      <c r="F439" s="1">
        <v>-3.7999999999999999E-2</v>
      </c>
      <c r="G439" s="1">
        <f t="shared" si="12"/>
        <v>-9.1999999999999998E-2</v>
      </c>
      <c r="H439" s="1" t="str">
        <f t="shared" si="13"/>
        <v/>
      </c>
      <c r="I439" s="1">
        <v>-1.7000000000000001E-2</v>
      </c>
      <c r="J439" s="1">
        <f>+D439-F439+I439*O439</f>
        <v>4.1959999999999997E-2</v>
      </c>
      <c r="K439" s="1">
        <v>2.49793231487274E-2</v>
      </c>
      <c r="L439" s="1">
        <f>+K439-J439</f>
        <v>-1.6980676851272598E-2</v>
      </c>
      <c r="M439" s="1">
        <v>1.19793231487274E-2</v>
      </c>
      <c r="N439" s="1">
        <f>+M439-J439</f>
        <v>-2.9980676851272599E-2</v>
      </c>
      <c r="O439">
        <v>2.12</v>
      </c>
      <c r="P439" t="s">
        <v>16</v>
      </c>
      <c r="Q439">
        <v>0</v>
      </c>
      <c r="R439">
        <v>-9.3652189746499005E-3</v>
      </c>
      <c r="S439">
        <v>-1.2154792435467099E-2</v>
      </c>
      <c r="T439">
        <v>-0.04</v>
      </c>
    </row>
    <row r="440" spans="1:20" x14ac:dyDescent="0.3">
      <c r="A440" t="s">
        <v>44</v>
      </c>
      <c r="B440">
        <v>2017</v>
      </c>
      <c r="C440">
        <v>767765.375</v>
      </c>
      <c r="D440" s="1">
        <v>0.1</v>
      </c>
      <c r="E440" s="1">
        <v>0.87342494726180997</v>
      </c>
      <c r="F440" s="1">
        <v>-1.0999999999999999E-2</v>
      </c>
      <c r="G440" s="1">
        <f t="shared" si="12"/>
        <v>-0.10299999999999999</v>
      </c>
      <c r="H440" s="1" t="str">
        <f t="shared" si="13"/>
        <v/>
      </c>
      <c r="I440" s="1">
        <v>-2.7E-2</v>
      </c>
      <c r="J440" s="1">
        <f>+D440-F440+I440*O440</f>
        <v>5.4570000000000007E-2</v>
      </c>
      <c r="K440" s="1">
        <v>1.1634781025350101E-2</v>
      </c>
      <c r="L440" s="1">
        <f>+K440-J440</f>
        <v>-4.2935218974649907E-2</v>
      </c>
      <c r="M440" s="1">
        <v>-9.3652189746499005E-3</v>
      </c>
      <c r="N440" s="1">
        <f>+M440-J440</f>
        <v>-6.3935218974649904E-2</v>
      </c>
      <c r="O440">
        <v>2.09</v>
      </c>
      <c r="P440" t="s">
        <v>16</v>
      </c>
      <c r="Q440">
        <v>-0.01</v>
      </c>
      <c r="R440">
        <v>-1.0126510411501001E-3</v>
      </c>
      <c r="S440">
        <v>-1.01476740092038E-2</v>
      </c>
      <c r="T440">
        <v>-0.01</v>
      </c>
    </row>
    <row r="441" spans="1:20" x14ac:dyDescent="0.3">
      <c r="A441" t="s">
        <v>44</v>
      </c>
      <c r="B441">
        <v>2018</v>
      </c>
      <c r="C441">
        <v>779496.8125</v>
      </c>
      <c r="D441" s="1">
        <v>7.1999999999999995E-2</v>
      </c>
      <c r="E441" s="1">
        <v>0.87849384546279896</v>
      </c>
      <c r="F441" s="1">
        <v>5.6000000000000001E-2</v>
      </c>
      <c r="G441" s="1">
        <f t="shared" si="12"/>
        <v>-4.6999999999999993E-2</v>
      </c>
      <c r="H441" s="1" t="str">
        <f t="shared" si="13"/>
        <v/>
      </c>
      <c r="I441" s="1">
        <v>5.0000000000000001E-3</v>
      </c>
      <c r="J441" s="1">
        <f>+D441-F441+I441*O441</f>
        <v>2.7049999999999994E-2</v>
      </c>
      <c r="K441" s="1">
        <v>2.29873489588499E-2</v>
      </c>
      <c r="L441" s="1">
        <f>+K441-J441</f>
        <v>-4.0626510411500942E-3</v>
      </c>
      <c r="M441" s="1">
        <v>-1.0126510411501001E-3</v>
      </c>
      <c r="N441" s="1">
        <f>+M441-J441</f>
        <v>-2.8062651041150095E-2</v>
      </c>
      <c r="O441">
        <v>2.21</v>
      </c>
      <c r="P441" t="s">
        <v>15</v>
      </c>
      <c r="Q441">
        <v>-0.01</v>
      </c>
      <c r="R441">
        <v>2.1722617715597199E-2</v>
      </c>
      <c r="S441">
        <v>3.92142310738569E-3</v>
      </c>
      <c r="T441">
        <v>7.0000000000000007E-2</v>
      </c>
    </row>
    <row r="442" spans="1:20" x14ac:dyDescent="0.3">
      <c r="A442" t="s">
        <v>44</v>
      </c>
      <c r="B442">
        <v>2019</v>
      </c>
      <c r="C442">
        <v>792814.375</v>
      </c>
      <c r="D442" s="1">
        <v>0.04</v>
      </c>
      <c r="E442" s="1">
        <v>0.89721870422363303</v>
      </c>
      <c r="F442" s="1">
        <v>4.0000000000000001E-3</v>
      </c>
      <c r="G442" s="1">
        <f t="shared" si="12"/>
        <v>-4.2999999999999997E-2</v>
      </c>
      <c r="H442" s="1" t="str">
        <f t="shared" si="13"/>
        <v/>
      </c>
      <c r="I442" s="1">
        <v>1.9E-2</v>
      </c>
      <c r="J442" s="1">
        <f>+D442-F442+I442*O442</f>
        <v>7.8179999999999999E-2</v>
      </c>
      <c r="K442" s="1">
        <v>3.9722617715597201E-2</v>
      </c>
      <c r="L442" s="1">
        <f>+K442-J442</f>
        <v>-3.8457382284402798E-2</v>
      </c>
      <c r="M442" s="1">
        <v>2.1722617715597199E-2</v>
      </c>
      <c r="N442" s="1">
        <f>+M442-J442</f>
        <v>-5.64573822844028E-2</v>
      </c>
      <c r="O442">
        <v>2.2200000000000002</v>
      </c>
      <c r="P442" t="s">
        <v>15</v>
      </c>
      <c r="Q442">
        <v>0</v>
      </c>
      <c r="R442">
        <v>9.4490909129381004E-3</v>
      </c>
      <c r="S442">
        <v>-9.4000995159148996E-3</v>
      </c>
      <c r="T442">
        <v>0.01</v>
      </c>
    </row>
    <row r="443" spans="1:20" x14ac:dyDescent="0.3">
      <c r="A443" t="s">
        <v>44</v>
      </c>
      <c r="B443">
        <v>2020</v>
      </c>
      <c r="C443">
        <v>806353.5625</v>
      </c>
      <c r="D443" s="1">
        <v>7.0000000000000007E-2</v>
      </c>
      <c r="E443" s="1">
        <v>0.88999783992767301</v>
      </c>
      <c r="F443" s="1">
        <v>-1.6E-2</v>
      </c>
      <c r="G443" s="1">
        <f t="shared" si="12"/>
        <v>-5.8999999999999997E-2</v>
      </c>
      <c r="H443" s="1" t="str">
        <f t="shared" si="13"/>
        <v/>
      </c>
      <c r="I443" s="1">
        <v>-7.0000000000000001E-3</v>
      </c>
      <c r="J443" s="1">
        <f>+D443-F443+I443*O443</f>
        <v>7.0740000000000011E-2</v>
      </c>
      <c r="K443" s="1">
        <v>2.1449090912938101E-2</v>
      </c>
      <c r="L443" s="1">
        <f>+K443-J443</f>
        <v>-4.9290909087061907E-2</v>
      </c>
      <c r="M443" s="1">
        <v>9.4490909129381004E-3</v>
      </c>
      <c r="N443" s="1">
        <f>+M443-J443</f>
        <v>-6.1290909087061911E-2</v>
      </c>
      <c r="O443">
        <v>2.1800000000000002</v>
      </c>
      <c r="P443" t="s">
        <v>16</v>
      </c>
      <c r="Q443">
        <v>-0.01</v>
      </c>
      <c r="R443">
        <v>9.0766674160957003E-2</v>
      </c>
      <c r="S443">
        <v>4.7177061438560097E-2</v>
      </c>
      <c r="T443">
        <v>0.02</v>
      </c>
    </row>
    <row r="444" spans="1:20" x14ac:dyDescent="0.3">
      <c r="A444" t="s">
        <v>44</v>
      </c>
      <c r="B444">
        <v>2021</v>
      </c>
      <c r="C444">
        <v>818831.4375</v>
      </c>
      <c r="D444" s="1">
        <v>7.4999999999999997E-2</v>
      </c>
      <c r="E444" s="1">
        <v>0.91229373216628995</v>
      </c>
      <c r="F444" s="1">
        <v>-1.4999999999999999E-2</v>
      </c>
      <c r="G444" s="1">
        <f t="shared" si="12"/>
        <v>-7.3999999999999996E-2</v>
      </c>
      <c r="H444" s="1" t="str">
        <f t="shared" si="13"/>
        <v/>
      </c>
      <c r="I444" s="1">
        <v>2.1999999999999999E-2</v>
      </c>
      <c r="J444" s="1">
        <f>+D444-F444+I444*O444</f>
        <v>0.13729999999999998</v>
      </c>
      <c r="K444" s="1">
        <v>0.137766674160957</v>
      </c>
      <c r="L444" s="1">
        <f>+K444-J444</f>
        <v>4.6667416095702574E-4</v>
      </c>
      <c r="M444" s="1">
        <v>9.0766674160957003E-2</v>
      </c>
      <c r="N444" s="1">
        <f>+M444-J444</f>
        <v>-4.6533325839042974E-2</v>
      </c>
      <c r="O444">
        <v>2.15</v>
      </c>
      <c r="P444" t="s">
        <v>17</v>
      </c>
      <c r="Q444">
        <v>0.05</v>
      </c>
      <c r="R444">
        <v>-3.1321290135384E-3</v>
      </c>
      <c r="S444">
        <v>2.89713777601718E-2</v>
      </c>
      <c r="T444">
        <v>-0.04</v>
      </c>
    </row>
    <row r="445" spans="1:20" x14ac:dyDescent="0.3">
      <c r="A445" t="s">
        <v>44</v>
      </c>
      <c r="B445">
        <v>2022</v>
      </c>
      <c r="C445">
        <v>836195.6875</v>
      </c>
      <c r="D445" s="1">
        <v>4.8000000000000001E-2</v>
      </c>
      <c r="E445" s="1">
        <v>0.90881091356277499</v>
      </c>
      <c r="F445" s="1">
        <v>-7.3999999999999996E-2</v>
      </c>
      <c r="G445" s="1">
        <f t="shared" si="12"/>
        <v>-0.14799999999999999</v>
      </c>
      <c r="H445" s="1" t="str">
        <f t="shared" si="13"/>
        <v/>
      </c>
      <c r="I445" s="1">
        <v>-3.0000000000000001E-3</v>
      </c>
      <c r="J445" s="1">
        <f>+D445-F445+I445*O445</f>
        <v>0.11602999999999999</v>
      </c>
      <c r="K445" s="1">
        <v>7.6867870986461598E-2</v>
      </c>
      <c r="L445" s="1">
        <f>+K445-J445</f>
        <v>-3.9162129013538396E-2</v>
      </c>
      <c r="M445" s="1">
        <v>-3.1321290135384E-3</v>
      </c>
      <c r="N445" s="1">
        <f>+M445-J445</f>
        <v>-0.1191621290135384</v>
      </c>
      <c r="O445">
        <v>1.99</v>
      </c>
      <c r="P445" t="s">
        <v>16</v>
      </c>
      <c r="Q445">
        <v>0.03</v>
      </c>
      <c r="R445">
        <v>-2.9009377382695701E-2</v>
      </c>
      <c r="S445">
        <v>-9.45044960826639E-3</v>
      </c>
      <c r="T445">
        <v>-0.06</v>
      </c>
    </row>
    <row r="446" spans="1:20" x14ac:dyDescent="0.3">
      <c r="A446" t="s">
        <v>45</v>
      </c>
      <c r="B446">
        <v>2006</v>
      </c>
      <c r="C446">
        <v>2028353</v>
      </c>
      <c r="D446" s="1">
        <v>0.02</v>
      </c>
      <c r="E446" s="1">
        <v>0.925442814826965</v>
      </c>
      <c r="F446" s="1">
        <v>-0.04</v>
      </c>
      <c r="G446" s="1">
        <f t="shared" si="12"/>
        <v>-0.04</v>
      </c>
      <c r="H446" s="1" t="str">
        <f t="shared" si="13"/>
        <v/>
      </c>
      <c r="I446" s="1">
        <v>-7.0000000000000001E-3</v>
      </c>
      <c r="J446" s="1">
        <f>+D446-F446+I446*O446</f>
        <v>4.4249999999999998E-2</v>
      </c>
      <c r="K446" s="1">
        <v>2.51121930778027E-2</v>
      </c>
      <c r="L446" s="1">
        <f>+K446-J446</f>
        <v>-1.9137806922197298E-2</v>
      </c>
      <c r="M446" s="1">
        <v>-6.8878069221973001E-3</v>
      </c>
      <c r="N446" s="1">
        <f>+M446-J446</f>
        <v>-5.1137806922197299E-2</v>
      </c>
      <c r="O446">
        <v>2.25</v>
      </c>
      <c r="P446" t="s">
        <v>16</v>
      </c>
      <c r="Q446">
        <v>-0.01</v>
      </c>
      <c r="R446">
        <v>-9.7447344660760095E-4</v>
      </c>
      <c r="S446">
        <v>-5.27175143361004E-5</v>
      </c>
      <c r="T446">
        <v>-0.04</v>
      </c>
    </row>
    <row r="447" spans="1:20" x14ac:dyDescent="0.3">
      <c r="A447" t="s">
        <v>45</v>
      </c>
      <c r="B447">
        <v>2007</v>
      </c>
      <c r="C447">
        <v>2102540</v>
      </c>
      <c r="D447" s="1">
        <v>3.3000000000000002E-2</v>
      </c>
      <c r="E447" s="1">
        <v>0.91287809610366799</v>
      </c>
      <c r="F447" s="1">
        <v>2.7E-2</v>
      </c>
      <c r="G447" s="1">
        <f t="shared" si="12"/>
        <v>-1.3000000000000001E-2</v>
      </c>
      <c r="H447" s="1" t="str">
        <f t="shared" si="13"/>
        <v/>
      </c>
      <c r="I447" s="1">
        <v>-1.2999999999999999E-2</v>
      </c>
      <c r="J447" s="1">
        <f>+D447-F447+I447*O447</f>
        <v>-2.4029999999999996E-2</v>
      </c>
      <c r="K447" s="1">
        <v>2.80255265533924E-2</v>
      </c>
      <c r="L447" s="1">
        <f>+K447-J447</f>
        <v>5.2055526553392392E-2</v>
      </c>
      <c r="M447" s="1">
        <v>-9.7447344660760095E-4</v>
      </c>
      <c r="N447" s="1">
        <f>+M447-J447</f>
        <v>2.3055526553392394E-2</v>
      </c>
      <c r="O447">
        <v>2.31</v>
      </c>
      <c r="P447" t="s">
        <v>17</v>
      </c>
      <c r="Q447">
        <v>0</v>
      </c>
      <c r="R447">
        <v>-5.2310542494058601E-2</v>
      </c>
      <c r="S447">
        <v>-2.27997382171451E-2</v>
      </c>
      <c r="T447">
        <v>0.03</v>
      </c>
    </row>
    <row r="448" spans="1:20" x14ac:dyDescent="0.3">
      <c r="A448" t="s">
        <v>45</v>
      </c>
      <c r="B448">
        <v>2008</v>
      </c>
      <c r="C448">
        <v>2162873</v>
      </c>
      <c r="D448" s="1">
        <v>0.03</v>
      </c>
      <c r="E448" s="1">
        <v>0.90680074691772505</v>
      </c>
      <c r="F448" s="1">
        <v>7.0000000000000001E-3</v>
      </c>
      <c r="G448" s="1">
        <f t="shared" si="12"/>
        <v>-6.000000000000001E-3</v>
      </c>
      <c r="H448" s="1" t="str">
        <f t="shared" si="13"/>
        <v/>
      </c>
      <c r="I448" s="1">
        <v>-6.0000000000000001E-3</v>
      </c>
      <c r="J448" s="1">
        <f>+D448-F448+I448*O448</f>
        <v>9.0199999999999985E-3</v>
      </c>
      <c r="K448" s="1">
        <v>-1.43105424940586E-2</v>
      </c>
      <c r="L448" s="1">
        <f>+K448-J448</f>
        <v>-2.3330542494058599E-2</v>
      </c>
      <c r="M448" s="1">
        <v>-5.2310542494058601E-2</v>
      </c>
      <c r="N448" s="1">
        <f>+M448-J448</f>
        <v>-6.1330542494058601E-2</v>
      </c>
      <c r="O448">
        <v>2.33</v>
      </c>
      <c r="P448" t="s">
        <v>17</v>
      </c>
      <c r="Q448">
        <v>-0.02</v>
      </c>
      <c r="R448">
        <v>-5.9818745315074903E-2</v>
      </c>
      <c r="S448">
        <v>-3.3252043649554197E-2</v>
      </c>
      <c r="T448">
        <v>0.01</v>
      </c>
    </row>
    <row r="449" spans="1:20" x14ac:dyDescent="0.3">
      <c r="A449" t="s">
        <v>45</v>
      </c>
      <c r="B449">
        <v>2009</v>
      </c>
      <c r="C449">
        <v>2202796</v>
      </c>
      <c r="D449" s="1">
        <v>4.2999999999999997E-2</v>
      </c>
      <c r="E449" s="1">
        <v>0.90831071138382002</v>
      </c>
      <c r="F449" s="1">
        <v>0</v>
      </c>
      <c r="G449" s="1">
        <f t="shared" si="12"/>
        <v>-6.000000000000001E-3</v>
      </c>
      <c r="H449" s="1" t="str">
        <f t="shared" si="13"/>
        <v/>
      </c>
      <c r="I449" s="1">
        <v>2E-3</v>
      </c>
      <c r="J449" s="1">
        <f>+D449-F449+I449*O449</f>
        <v>4.7659999999999994E-2</v>
      </c>
      <c r="K449" s="1">
        <v>-6.3818745315074907E-2</v>
      </c>
      <c r="L449" s="1">
        <f>+K449-J449</f>
        <v>-0.1114787453150749</v>
      </c>
      <c r="M449" s="1">
        <v>-5.9818745315074903E-2</v>
      </c>
      <c r="N449" s="1">
        <f>+M449-J449</f>
        <v>-0.1074787453150749</v>
      </c>
      <c r="O449">
        <v>2.33</v>
      </c>
      <c r="P449" t="s">
        <v>15</v>
      </c>
      <c r="Q449">
        <v>-0.03</v>
      </c>
      <c r="R449">
        <v>-3.1978524461388602E-2</v>
      </c>
      <c r="S449">
        <v>-2.25184157025069E-2</v>
      </c>
      <c r="T449">
        <v>-0.02</v>
      </c>
    </row>
    <row r="450" spans="1:20" x14ac:dyDescent="0.3">
      <c r="A450" t="s">
        <v>45</v>
      </c>
      <c r="B450">
        <v>2010</v>
      </c>
      <c r="C450">
        <v>2230784</v>
      </c>
      <c r="D450" s="1">
        <v>0.02</v>
      </c>
      <c r="E450" s="1">
        <v>0.92203211784362804</v>
      </c>
      <c r="F450" s="1">
        <v>2.1000000000000001E-2</v>
      </c>
      <c r="G450" s="1">
        <f t="shared" si="12"/>
        <v>1.4999999999999999E-2</v>
      </c>
      <c r="H450" s="1" t="str">
        <f t="shared" si="13"/>
        <v/>
      </c>
      <c r="I450" s="1">
        <v>1.4E-2</v>
      </c>
      <c r="J450" s="1">
        <f>+D450-F450+I450*O450</f>
        <v>3.2320000000000002E-2</v>
      </c>
      <c r="K450" s="1">
        <v>-1.5978524461388598E-2</v>
      </c>
      <c r="L450" s="1">
        <f>+K450-J450</f>
        <v>-4.8298524461388603E-2</v>
      </c>
      <c r="M450" s="1">
        <v>-3.1978524461388602E-2</v>
      </c>
      <c r="N450" s="1">
        <f>+M450-J450</f>
        <v>-6.4298524461388604E-2</v>
      </c>
      <c r="O450">
        <v>2.38</v>
      </c>
      <c r="P450" t="s">
        <v>15</v>
      </c>
      <c r="Q450">
        <v>-0.02</v>
      </c>
      <c r="R450">
        <v>-1.6140262007713301E-2</v>
      </c>
      <c r="S450">
        <v>5.1435125060379904E-3</v>
      </c>
      <c r="T450">
        <v>0.01</v>
      </c>
    </row>
    <row r="451" spans="1:20" x14ac:dyDescent="0.3">
      <c r="A451" t="s">
        <v>45</v>
      </c>
      <c r="B451">
        <v>2011</v>
      </c>
      <c r="C451">
        <v>2262619</v>
      </c>
      <c r="D451" s="1">
        <v>3.0000000000000001E-3</v>
      </c>
      <c r="E451" s="1">
        <v>0.92601460218429599</v>
      </c>
      <c r="F451" s="1">
        <v>2.3E-2</v>
      </c>
      <c r="G451" s="1">
        <f t="shared" si="12"/>
        <v>3.7999999999999999E-2</v>
      </c>
      <c r="H451" s="1" t="str">
        <f t="shared" si="13"/>
        <v/>
      </c>
      <c r="I451" s="1">
        <v>4.0000000000000001E-3</v>
      </c>
      <c r="J451" s="1">
        <f>+D451-F451+I451*O451</f>
        <v>-1.0279999999999999E-2</v>
      </c>
      <c r="K451" s="1">
        <v>1.5859737992286699E-2</v>
      </c>
      <c r="L451" s="1">
        <f>+K451-J451</f>
        <v>2.61397379922867E-2</v>
      </c>
      <c r="M451" s="1">
        <v>-1.6140262007713301E-2</v>
      </c>
      <c r="N451" s="1">
        <f>+M451-J451</f>
        <v>-5.860262007713302E-3</v>
      </c>
      <c r="O451">
        <v>2.4300000000000002</v>
      </c>
      <c r="P451" t="s">
        <v>15</v>
      </c>
      <c r="Q451">
        <v>0.01</v>
      </c>
      <c r="R451">
        <v>9.1603488624095904E-3</v>
      </c>
      <c r="S451">
        <v>1.4598554931580901E-2</v>
      </c>
      <c r="T451">
        <v>0.02</v>
      </c>
    </row>
    <row r="452" spans="1:20" x14ac:dyDescent="0.3">
      <c r="A452" t="s">
        <v>45</v>
      </c>
      <c r="B452">
        <v>2012</v>
      </c>
      <c r="C452">
        <v>2300258</v>
      </c>
      <c r="D452" s="1">
        <v>1.2E-2</v>
      </c>
      <c r="E452" s="1">
        <v>0.93449234962463401</v>
      </c>
      <c r="F452" s="1">
        <v>-3.5000000000000003E-2</v>
      </c>
      <c r="G452" s="1">
        <f t="shared" si="12"/>
        <v>2.9999999999999957E-3</v>
      </c>
      <c r="H452" s="1" t="str">
        <f t="shared" si="13"/>
        <v/>
      </c>
      <c r="I452" s="1">
        <v>8.0000000000000002E-3</v>
      </c>
      <c r="J452" s="1">
        <f>+D452-F452+I452*O452</f>
        <v>6.5720000000000001E-2</v>
      </c>
      <c r="K452" s="1">
        <v>3.0160348862409599E-2</v>
      </c>
      <c r="L452" s="1">
        <f>+K452-J452</f>
        <v>-3.5559651137590402E-2</v>
      </c>
      <c r="M452" s="1">
        <v>9.1603488624095904E-3</v>
      </c>
      <c r="N452" s="1">
        <f>+M452-J452</f>
        <v>-5.6559651137590414E-2</v>
      </c>
      <c r="O452">
        <v>2.34</v>
      </c>
      <c r="P452" t="s">
        <v>17</v>
      </c>
      <c r="Q452">
        <v>0.01</v>
      </c>
      <c r="R452">
        <v>1.11192265897989E-2</v>
      </c>
      <c r="S452">
        <v>4.9924552440642998E-3</v>
      </c>
      <c r="T452">
        <v>-0.04</v>
      </c>
    </row>
    <row r="453" spans="1:20" x14ac:dyDescent="0.3">
      <c r="A453" t="s">
        <v>45</v>
      </c>
      <c r="B453">
        <v>2013</v>
      </c>
      <c r="C453">
        <v>2339734</v>
      </c>
      <c r="D453" s="1">
        <v>3.5000000000000003E-2</v>
      </c>
      <c r="E453" s="1">
        <v>0.92956817150116</v>
      </c>
      <c r="F453" s="1">
        <v>1.2E-2</v>
      </c>
      <c r="G453" s="1">
        <f t="shared" si="12"/>
        <v>1.4999999999999996E-2</v>
      </c>
      <c r="H453" s="1" t="str">
        <f t="shared" si="13"/>
        <v/>
      </c>
      <c r="I453" s="1">
        <v>-5.0000000000000001E-3</v>
      </c>
      <c r="J453" s="1">
        <f>+D453-F453+I453*O453</f>
        <v>1.1150000000000002E-2</v>
      </c>
      <c r="K453" s="1">
        <v>2.61192265897989E-2</v>
      </c>
      <c r="L453" s="1">
        <f>+K453-J453</f>
        <v>1.4969226589798898E-2</v>
      </c>
      <c r="M453" s="1">
        <v>1.11192265897989E-2</v>
      </c>
      <c r="N453" s="1">
        <f>+M453-J453</f>
        <v>-3.0773410201101817E-5</v>
      </c>
      <c r="O453">
        <v>2.37</v>
      </c>
      <c r="P453" t="s">
        <v>17</v>
      </c>
      <c r="Q453">
        <v>0</v>
      </c>
      <c r="R453">
        <v>6.2755447030066903E-3</v>
      </c>
      <c r="S453">
        <v>4.2675212025641901E-3</v>
      </c>
      <c r="T453">
        <v>0</v>
      </c>
    </row>
    <row r="454" spans="1:20" x14ac:dyDescent="0.3">
      <c r="A454" t="s">
        <v>45</v>
      </c>
      <c r="B454">
        <v>2014</v>
      </c>
      <c r="C454">
        <v>2382408</v>
      </c>
      <c r="D454" s="1">
        <v>4.2999999999999997E-2</v>
      </c>
      <c r="E454" s="1">
        <v>0.92482888698577903</v>
      </c>
      <c r="F454" s="1">
        <v>-6.0000000000000001E-3</v>
      </c>
      <c r="G454" s="1">
        <f t="shared" si="12"/>
        <v>8.9999999999999959E-3</v>
      </c>
      <c r="H454" s="1" t="str">
        <f t="shared" si="13"/>
        <v/>
      </c>
      <c r="I454" s="1">
        <v>-5.0000000000000001E-3</v>
      </c>
      <c r="J454" s="1">
        <f>+D454-F454+I454*O454</f>
        <v>3.7199999999999997E-2</v>
      </c>
      <c r="K454" s="1">
        <v>2.2275544703006699E-2</v>
      </c>
      <c r="L454" s="1">
        <f>+K454-J454</f>
        <v>-1.4924455296993298E-2</v>
      </c>
      <c r="M454" s="1">
        <v>6.2755447030066903E-3</v>
      </c>
      <c r="N454" s="1">
        <f>+M454-J454</f>
        <v>-3.0924455296993308E-2</v>
      </c>
      <c r="O454">
        <v>2.36</v>
      </c>
      <c r="P454" t="s">
        <v>16</v>
      </c>
      <c r="Q454">
        <v>0</v>
      </c>
      <c r="R454">
        <v>4.1883019894361502E-2</v>
      </c>
      <c r="S454">
        <v>1.16195678710938E-2</v>
      </c>
      <c r="T454">
        <v>-0.01</v>
      </c>
    </row>
    <row r="455" spans="1:20" x14ac:dyDescent="0.3">
      <c r="A455" t="s">
        <v>45</v>
      </c>
      <c r="B455">
        <v>2015</v>
      </c>
      <c r="C455">
        <v>2430319</v>
      </c>
      <c r="D455" s="1">
        <v>5.8999999999999997E-2</v>
      </c>
      <c r="E455" s="1">
        <v>0.91992849111556996</v>
      </c>
      <c r="F455" s="1">
        <v>2E-3</v>
      </c>
      <c r="G455" s="1">
        <f t="shared" ref="G455:G518" si="14">SUMIFS(F:F,A:A,A455,B:B,"&lt;="&amp;B455)</f>
        <v>1.0999999999999996E-2</v>
      </c>
      <c r="H455" s="1" t="str">
        <f t="shared" ref="H455:H518" si="15">IFERROR(IF(ABS(G455)&gt;0.12,AVERAGEIFS(K:K,A:A,A455,B:B,"&gt;"&amp;B455,B:B,"&lt;"&amp;B455+3),""),"")</f>
        <v/>
      </c>
      <c r="I455" s="1">
        <v>-5.0000000000000001E-3</v>
      </c>
      <c r="J455" s="1">
        <f>+D455-F455+I455*O455</f>
        <v>4.5199999999999997E-2</v>
      </c>
      <c r="K455" s="1">
        <v>4.2883019894361503E-2</v>
      </c>
      <c r="L455" s="1">
        <f>+K455-J455</f>
        <v>-2.3169801056384942E-3</v>
      </c>
      <c r="M455" s="1">
        <v>4.1883019894361502E-2</v>
      </c>
      <c r="N455" s="1">
        <f>+M455-J455</f>
        <v>-3.3169801056384951E-3</v>
      </c>
      <c r="O455">
        <v>2.36</v>
      </c>
      <c r="P455" t="s">
        <v>17</v>
      </c>
      <c r="Q455">
        <v>0.01</v>
      </c>
      <c r="R455">
        <v>1.33206176459789E-2</v>
      </c>
      <c r="S455">
        <v>1.6706064343450001E-4</v>
      </c>
      <c r="T455">
        <v>0.01</v>
      </c>
    </row>
    <row r="456" spans="1:20" x14ac:dyDescent="0.3">
      <c r="A456" t="s">
        <v>45</v>
      </c>
      <c r="B456">
        <v>2016</v>
      </c>
      <c r="C456">
        <v>2481625</v>
      </c>
      <c r="D456" s="1">
        <v>4.1000000000000002E-2</v>
      </c>
      <c r="E456" s="1">
        <v>0.92775267362594604</v>
      </c>
      <c r="F456" s="1">
        <v>-4.0000000000000001E-3</v>
      </c>
      <c r="G456" s="1">
        <f t="shared" si="14"/>
        <v>6.9999999999999958E-3</v>
      </c>
      <c r="H456" s="1" t="str">
        <f t="shared" si="15"/>
        <v/>
      </c>
      <c r="I456" s="1">
        <v>8.0000000000000002E-3</v>
      </c>
      <c r="J456" s="1">
        <f>+D456-F456+I456*O456</f>
        <v>6.3799999999999996E-2</v>
      </c>
      <c r="K456" s="1">
        <v>2.63206176459789E-2</v>
      </c>
      <c r="L456" s="1">
        <f>+K456-J456</f>
        <v>-3.7479382354021096E-2</v>
      </c>
      <c r="M456" s="1">
        <v>1.33206176459789E-2</v>
      </c>
      <c r="N456" s="1">
        <f>+M456-J456</f>
        <v>-5.0479382354021093E-2</v>
      </c>
      <c r="O456">
        <v>2.35</v>
      </c>
      <c r="P456" t="s">
        <v>17</v>
      </c>
      <c r="Q456">
        <v>0</v>
      </c>
      <c r="R456">
        <v>-1.7283561676741E-3</v>
      </c>
      <c r="S456">
        <v>-4.5179296284913904E-3</v>
      </c>
      <c r="T456">
        <v>0</v>
      </c>
    </row>
    <row r="457" spans="1:20" x14ac:dyDescent="0.3">
      <c r="A457" t="s">
        <v>45</v>
      </c>
      <c r="B457">
        <v>2017</v>
      </c>
      <c r="C457">
        <v>2529668</v>
      </c>
      <c r="D457" s="1">
        <v>0.06</v>
      </c>
      <c r="E457" s="1">
        <v>0.909132540225983</v>
      </c>
      <c r="F457" s="1">
        <v>-2.1000000000000001E-2</v>
      </c>
      <c r="G457" s="1">
        <f t="shared" si="14"/>
        <v>-1.4000000000000005E-2</v>
      </c>
      <c r="H457" s="1" t="str">
        <f t="shared" si="15"/>
        <v/>
      </c>
      <c r="I457" s="1">
        <v>-1.9E-2</v>
      </c>
      <c r="J457" s="1">
        <f>+D457-F457+I457*O457</f>
        <v>3.7300000000000007E-2</v>
      </c>
      <c r="K457" s="1">
        <v>1.9271643832325901E-2</v>
      </c>
      <c r="L457" s="1">
        <f>+K457-J457</f>
        <v>-1.8028356167674106E-2</v>
      </c>
      <c r="M457" s="1">
        <v>-1.7283561676741E-3</v>
      </c>
      <c r="N457" s="1">
        <f>+M457-J457</f>
        <v>-3.9028356167674104E-2</v>
      </c>
      <c r="O457">
        <v>2.2999999999999998</v>
      </c>
      <c r="P457" t="s">
        <v>16</v>
      </c>
      <c r="Q457">
        <v>0</v>
      </c>
      <c r="R457">
        <v>2.1335710048675498E-2</v>
      </c>
      <c r="S457">
        <v>1.22006870806217E-2</v>
      </c>
      <c r="T457">
        <v>-0.02</v>
      </c>
    </row>
    <row r="458" spans="1:20" x14ac:dyDescent="0.3">
      <c r="A458" t="s">
        <v>45</v>
      </c>
      <c r="B458">
        <v>2018</v>
      </c>
      <c r="C458">
        <v>2572494</v>
      </c>
      <c r="D458" s="1">
        <v>5.1999999999999998E-2</v>
      </c>
      <c r="E458" s="1">
        <v>0.91126435995101895</v>
      </c>
      <c r="F458" s="1">
        <v>-7.0000000000000001E-3</v>
      </c>
      <c r="G458" s="1">
        <f t="shared" si="14"/>
        <v>-2.1000000000000005E-2</v>
      </c>
      <c r="H458" s="1" t="str">
        <f t="shared" si="15"/>
        <v/>
      </c>
      <c r="I458" s="1">
        <v>2E-3</v>
      </c>
      <c r="J458" s="1">
        <f>+D458-F458+I458*O458</f>
        <v>6.3579999999999998E-2</v>
      </c>
      <c r="K458" s="1">
        <v>4.5335710048675502E-2</v>
      </c>
      <c r="L458" s="1">
        <f>+K458-J458</f>
        <v>-1.8244289951324495E-2</v>
      </c>
      <c r="M458" s="1">
        <v>2.1335710048675498E-2</v>
      </c>
      <c r="N458" s="1">
        <f>+M458-J458</f>
        <v>-4.2244289951324496E-2</v>
      </c>
      <c r="O458">
        <v>2.29</v>
      </c>
      <c r="P458" t="s">
        <v>17</v>
      </c>
      <c r="Q458">
        <v>0.01</v>
      </c>
      <c r="R458">
        <v>2.9073330730199801E-2</v>
      </c>
      <c r="S458">
        <v>1.1272136121988199E-2</v>
      </c>
      <c r="T458">
        <v>0</v>
      </c>
    </row>
    <row r="459" spans="1:20" x14ac:dyDescent="0.3">
      <c r="A459" t="s">
        <v>45</v>
      </c>
      <c r="B459">
        <v>2019</v>
      </c>
      <c r="C459">
        <v>2616341</v>
      </c>
      <c r="D459" s="1">
        <v>3.6999999999999998E-2</v>
      </c>
      <c r="E459" s="1">
        <v>0.923475861549377</v>
      </c>
      <c r="F459" s="1">
        <v>-1.7000000000000001E-2</v>
      </c>
      <c r="G459" s="1">
        <f t="shared" si="14"/>
        <v>-3.8000000000000006E-2</v>
      </c>
      <c r="H459" s="1" t="str">
        <f t="shared" si="15"/>
        <v/>
      </c>
      <c r="I459" s="1">
        <v>1.2E-2</v>
      </c>
      <c r="J459" s="1">
        <f>+D459-F459+I459*O459</f>
        <v>8.1000000000000003E-2</v>
      </c>
      <c r="K459" s="1">
        <v>4.70733307301998E-2</v>
      </c>
      <c r="L459" s="1">
        <f>+K459-J459</f>
        <v>-3.3926669269800203E-2</v>
      </c>
      <c r="M459" s="1">
        <v>2.9073330730199801E-2</v>
      </c>
      <c r="N459" s="1">
        <f>+M459-J459</f>
        <v>-5.1926669269800205E-2</v>
      </c>
      <c r="O459">
        <v>2.25</v>
      </c>
      <c r="P459" t="s">
        <v>17</v>
      </c>
      <c r="Q459">
        <v>0.01</v>
      </c>
      <c r="R459">
        <v>1.0016867995262101E-2</v>
      </c>
      <c r="S459">
        <v>-8.8323224335908994E-3</v>
      </c>
      <c r="T459">
        <v>-0.01</v>
      </c>
    </row>
    <row r="460" spans="1:20" x14ac:dyDescent="0.3">
      <c r="A460" t="s">
        <v>45</v>
      </c>
      <c r="B460">
        <v>2020</v>
      </c>
      <c r="C460">
        <v>2655812</v>
      </c>
      <c r="D460" s="1">
        <v>5.8999999999999997E-2</v>
      </c>
      <c r="E460" s="1">
        <v>0.91380137205123901</v>
      </c>
      <c r="F460" s="1">
        <v>-6.5000000000000002E-2</v>
      </c>
      <c r="G460" s="1">
        <f t="shared" si="14"/>
        <v>-0.10300000000000001</v>
      </c>
      <c r="H460" s="1" t="str">
        <f t="shared" si="15"/>
        <v/>
      </c>
      <c r="I460" s="1">
        <v>-0.01</v>
      </c>
      <c r="J460" s="1">
        <f>+D460-F460+I460*O460</f>
        <v>0.10299999999999999</v>
      </c>
      <c r="K460" s="1">
        <v>2.2016867995262101E-2</v>
      </c>
      <c r="L460" s="1">
        <f>+K460-J460</f>
        <v>-8.098313200473789E-2</v>
      </c>
      <c r="M460" s="1">
        <v>1.0016867995262101E-2</v>
      </c>
      <c r="N460" s="1">
        <f>+M460-J460</f>
        <v>-9.2983132004737901E-2</v>
      </c>
      <c r="O460">
        <v>2.1</v>
      </c>
      <c r="P460" t="s">
        <v>16</v>
      </c>
      <c r="Q460">
        <v>-0.01</v>
      </c>
      <c r="R460">
        <v>9.6766790628433005E-2</v>
      </c>
      <c r="S460">
        <v>5.3177177906036099E-2</v>
      </c>
      <c r="T460">
        <v>-0.03</v>
      </c>
    </row>
    <row r="461" spans="1:20" x14ac:dyDescent="0.3">
      <c r="A461" t="s">
        <v>45</v>
      </c>
      <c r="B461">
        <v>2021</v>
      </c>
      <c r="C461">
        <v>2697575</v>
      </c>
      <c r="D461" s="1">
        <v>5.7000000000000002E-2</v>
      </c>
      <c r="E461" s="1">
        <v>0.92784321308135997</v>
      </c>
      <c r="F461" s="1">
        <v>1.6E-2</v>
      </c>
      <c r="G461" s="1">
        <f t="shared" si="14"/>
        <v>-8.7000000000000008E-2</v>
      </c>
      <c r="H461" s="1" t="str">
        <f t="shared" si="15"/>
        <v/>
      </c>
      <c r="I461" s="1">
        <v>1.4E-2</v>
      </c>
      <c r="J461" s="1">
        <f>+D461-F461+I461*O461</f>
        <v>7.0960000000000009E-2</v>
      </c>
      <c r="K461" s="1">
        <v>0.14376679062843301</v>
      </c>
      <c r="L461" s="1">
        <f>+K461-J461</f>
        <v>7.2806790628432996E-2</v>
      </c>
      <c r="M461" s="1">
        <v>9.6766790628433005E-2</v>
      </c>
      <c r="N461" s="1">
        <f>+M461-J461</f>
        <v>2.5806790628432996E-2</v>
      </c>
      <c r="O461">
        <v>2.14</v>
      </c>
      <c r="P461" t="s">
        <v>15</v>
      </c>
      <c r="Q461">
        <v>0.05</v>
      </c>
      <c r="R461">
        <v>-3.1649978756904597E-2</v>
      </c>
      <c r="S461">
        <v>4.53528016805697E-4</v>
      </c>
      <c r="T461">
        <v>-0.01</v>
      </c>
    </row>
    <row r="462" spans="1:20" x14ac:dyDescent="0.3">
      <c r="A462" t="s">
        <v>45</v>
      </c>
      <c r="B462">
        <v>2022</v>
      </c>
      <c r="C462">
        <v>2753644</v>
      </c>
      <c r="D462" s="1">
        <v>4.2999999999999997E-2</v>
      </c>
      <c r="E462" s="1">
        <v>0.90995633602142301</v>
      </c>
      <c r="F462" s="1">
        <v>-0.01</v>
      </c>
      <c r="G462" s="1">
        <f t="shared" si="14"/>
        <v>-9.7000000000000003E-2</v>
      </c>
      <c r="H462" s="1" t="str">
        <f t="shared" si="15"/>
        <v/>
      </c>
      <c r="I462" s="1">
        <v>-1.7999999999999999E-2</v>
      </c>
      <c r="J462" s="1">
        <f>+D462-F462+I462*O462</f>
        <v>1.4839999999999999E-2</v>
      </c>
      <c r="K462" s="1">
        <v>4.8350021243095398E-2</v>
      </c>
      <c r="L462" s="1">
        <f>+K462-J462</f>
        <v>3.3510021243095399E-2</v>
      </c>
      <c r="M462" s="1">
        <v>-3.1649978756904597E-2</v>
      </c>
      <c r="N462" s="1">
        <f>+M462-J462</f>
        <v>-4.6489978756904596E-2</v>
      </c>
      <c r="O462">
        <v>2.12</v>
      </c>
      <c r="P462" t="s">
        <v>16</v>
      </c>
      <c r="Q462">
        <v>0</v>
      </c>
      <c r="R462">
        <v>-5.6138573013246103E-2</v>
      </c>
      <c r="S462">
        <v>-3.6579645238816801E-2</v>
      </c>
      <c r="T462">
        <v>0.01</v>
      </c>
    </row>
    <row r="463" spans="1:20" x14ac:dyDescent="0.3">
      <c r="A463" t="s">
        <v>46</v>
      </c>
      <c r="B463">
        <v>2006</v>
      </c>
      <c r="C463">
        <v>508101.09379999997</v>
      </c>
      <c r="D463" s="1">
        <v>6.0000000000000001E-3</v>
      </c>
      <c r="E463" s="1">
        <v>0.92487722635269198</v>
      </c>
      <c r="F463" s="1">
        <v>-3.5000000000000003E-2</v>
      </c>
      <c r="G463" s="1">
        <f t="shared" si="14"/>
        <v>-3.5000000000000003E-2</v>
      </c>
      <c r="H463" s="1" t="str">
        <f t="shared" si="15"/>
        <v/>
      </c>
      <c r="I463" s="1">
        <v>4.0000000000000001E-3</v>
      </c>
      <c r="J463" s="1">
        <f>+D463-F463+I463*O463</f>
        <v>4.9600000000000005E-2</v>
      </c>
      <c r="K463" s="1">
        <v>6.5271973609924303E-2</v>
      </c>
      <c r="L463" s="1">
        <f>+K463-J463</f>
        <v>1.5671973609924297E-2</v>
      </c>
      <c r="M463" s="1">
        <v>3.3271973609924302E-2</v>
      </c>
      <c r="N463" s="1">
        <f>+M463-J463</f>
        <v>-1.6328026390075703E-2</v>
      </c>
      <c r="O463">
        <v>2.15</v>
      </c>
      <c r="P463" t="s">
        <v>17</v>
      </c>
      <c r="Q463">
        <v>0.03</v>
      </c>
      <c r="R463">
        <v>-3.1677921265363999E-3</v>
      </c>
      <c r="S463">
        <v>-2.2460361942649E-3</v>
      </c>
      <c r="T463">
        <v>-0.04</v>
      </c>
    </row>
    <row r="464" spans="1:20" x14ac:dyDescent="0.3">
      <c r="A464" t="s">
        <v>46</v>
      </c>
      <c r="B464">
        <v>2007</v>
      </c>
      <c r="C464">
        <v>514516.125</v>
      </c>
      <c r="D464" s="1">
        <v>5.0000000000000001E-3</v>
      </c>
      <c r="E464" s="1">
        <v>0.89906805753707897</v>
      </c>
      <c r="F464" s="1">
        <v>3.4000000000000002E-2</v>
      </c>
      <c r="G464" s="1">
        <f t="shared" si="14"/>
        <v>-1.0000000000000009E-3</v>
      </c>
      <c r="H464" s="1" t="str">
        <f t="shared" si="15"/>
        <v/>
      </c>
      <c r="I464" s="1">
        <v>-2.5999999999999999E-2</v>
      </c>
      <c r="J464" s="1">
        <f>+D464-F464+I464*O464</f>
        <v>-8.6720000000000005E-2</v>
      </c>
      <c r="K464" s="1">
        <v>2.5832207873463599E-2</v>
      </c>
      <c r="L464" s="1">
        <f>+K464-J464</f>
        <v>0.11255220787346361</v>
      </c>
      <c r="M464" s="1">
        <v>-3.1677921265363999E-3</v>
      </c>
      <c r="N464" s="1">
        <f>+M464-J464</f>
        <v>8.355220787346361E-2</v>
      </c>
      <c r="O464">
        <v>2.2200000000000002</v>
      </c>
      <c r="P464" t="s">
        <v>17</v>
      </c>
      <c r="Q464">
        <v>0</v>
      </c>
      <c r="R464">
        <v>-5.3314601361751597E-2</v>
      </c>
      <c r="S464">
        <v>-2.38037970848381E-2</v>
      </c>
      <c r="T464">
        <v>0.03</v>
      </c>
    </row>
    <row r="465" spans="1:20" x14ac:dyDescent="0.3">
      <c r="A465" t="s">
        <v>46</v>
      </c>
      <c r="B465">
        <v>2008</v>
      </c>
      <c r="C465">
        <v>520126.09379999997</v>
      </c>
      <c r="D465" s="1">
        <v>2.1000000000000001E-2</v>
      </c>
      <c r="E465" s="1">
        <v>0.89007723331451405</v>
      </c>
      <c r="F465" s="1">
        <v>-5.5E-2</v>
      </c>
      <c r="G465" s="1">
        <f t="shared" si="14"/>
        <v>-5.6000000000000001E-2</v>
      </c>
      <c r="H465" s="1" t="str">
        <f t="shared" si="15"/>
        <v/>
      </c>
      <c r="I465" s="1">
        <v>-8.9999999999999993E-3</v>
      </c>
      <c r="J465" s="1">
        <f>+D465-F465+I465*O465</f>
        <v>5.7099999999999998E-2</v>
      </c>
      <c r="K465" s="1">
        <v>-1.53146013617516E-2</v>
      </c>
      <c r="L465" s="1">
        <f>+K465-J465</f>
        <v>-7.2414601361751596E-2</v>
      </c>
      <c r="M465" s="1">
        <v>-5.3314601361751597E-2</v>
      </c>
      <c r="N465" s="1">
        <f>+M465-J465</f>
        <v>-0.1104146013617516</v>
      </c>
      <c r="O465">
        <v>2.1</v>
      </c>
      <c r="P465" t="s">
        <v>16</v>
      </c>
      <c r="Q465">
        <v>-0.02</v>
      </c>
      <c r="R465">
        <v>-2.6734542757272699E-2</v>
      </c>
      <c r="S465">
        <v>-1.67841091752048E-4</v>
      </c>
      <c r="T465">
        <v>-0.06</v>
      </c>
    </row>
    <row r="466" spans="1:20" x14ac:dyDescent="0.3">
      <c r="A466" t="s">
        <v>46</v>
      </c>
      <c r="B466">
        <v>2009</v>
      </c>
      <c r="C466">
        <v>525348.0625</v>
      </c>
      <c r="D466" s="1">
        <v>1.4999999999999999E-2</v>
      </c>
      <c r="E466" s="1">
        <v>0.90487080812454201</v>
      </c>
      <c r="F466" s="1">
        <v>8.4000000000000005E-2</v>
      </c>
      <c r="G466" s="1">
        <f t="shared" si="14"/>
        <v>2.8000000000000004E-2</v>
      </c>
      <c r="H466" s="1" t="str">
        <f t="shared" si="15"/>
        <v/>
      </c>
      <c r="I466" s="1">
        <v>1.4999999999999999E-2</v>
      </c>
      <c r="J466" s="1">
        <f>+D466-F466+I466*O466</f>
        <v>-3.4950000000000009E-2</v>
      </c>
      <c r="K466" s="1">
        <v>-3.07345427572727E-2</v>
      </c>
      <c r="L466" s="1">
        <f>+K466-J466</f>
        <v>4.2154572427273093E-3</v>
      </c>
      <c r="M466" s="1">
        <v>-2.6734542757272699E-2</v>
      </c>
      <c r="N466" s="1">
        <f>+M466-J466</f>
        <v>8.2154572427273094E-3</v>
      </c>
      <c r="O466">
        <v>2.27</v>
      </c>
      <c r="P466" t="s">
        <v>15</v>
      </c>
      <c r="Q466">
        <v>0</v>
      </c>
      <c r="R466">
        <v>-9.8577725552022495E-3</v>
      </c>
      <c r="S466">
        <v>-3.9766379632056399E-4</v>
      </c>
      <c r="T466">
        <v>7.0000000000000007E-2</v>
      </c>
    </row>
    <row r="467" spans="1:20" x14ac:dyDescent="0.3">
      <c r="A467" t="s">
        <v>46</v>
      </c>
      <c r="B467">
        <v>2010</v>
      </c>
      <c r="C467">
        <v>530022.5625</v>
      </c>
      <c r="D467" s="1">
        <v>3.5000000000000003E-2</v>
      </c>
      <c r="E467" s="1">
        <v>0.91781246662139904</v>
      </c>
      <c r="F467" s="1">
        <v>1.9E-2</v>
      </c>
      <c r="G467" s="1">
        <f t="shared" si="14"/>
        <v>4.7E-2</v>
      </c>
      <c r="H467" s="1" t="str">
        <f t="shared" si="15"/>
        <v/>
      </c>
      <c r="I467" s="1">
        <v>1.2999999999999999E-2</v>
      </c>
      <c r="J467" s="1">
        <f>+D467-F467+I467*O467</f>
        <v>4.616E-2</v>
      </c>
      <c r="K467" s="1">
        <v>6.14222744479775E-3</v>
      </c>
      <c r="L467" s="1">
        <f>+K467-J467</f>
        <v>-4.0017772555202252E-2</v>
      </c>
      <c r="M467" s="1">
        <v>-9.8577725552022495E-3</v>
      </c>
      <c r="N467" s="1">
        <f>+M467-J467</f>
        <v>-5.6017772555202253E-2</v>
      </c>
      <c r="O467">
        <v>2.3199999999999998</v>
      </c>
      <c r="P467" t="s">
        <v>15</v>
      </c>
      <c r="Q467">
        <v>0</v>
      </c>
      <c r="R467">
        <v>-2.0246714696288099E-2</v>
      </c>
      <c r="S467">
        <v>1.0370598174631899E-3</v>
      </c>
      <c r="T467">
        <v>0.01</v>
      </c>
    </row>
    <row r="468" spans="1:20" x14ac:dyDescent="0.3">
      <c r="A468" t="s">
        <v>46</v>
      </c>
      <c r="B468">
        <v>2011</v>
      </c>
      <c r="C468">
        <v>533911.625</v>
      </c>
      <c r="D468" s="1">
        <v>1.6E-2</v>
      </c>
      <c r="E468" s="1">
        <v>0.91712969541549705</v>
      </c>
      <c r="F468" s="1">
        <v>-4.2000000000000003E-2</v>
      </c>
      <c r="G468" s="1">
        <f t="shared" si="14"/>
        <v>4.9999999999999975E-3</v>
      </c>
      <c r="H468" s="1" t="str">
        <f t="shared" si="15"/>
        <v/>
      </c>
      <c r="I468" s="1">
        <v>-1E-3</v>
      </c>
      <c r="J468" s="1">
        <f>+D468-F468+I468*O468</f>
        <v>5.5780000000000003E-2</v>
      </c>
      <c r="K468" s="1">
        <v>1.17532853037119E-2</v>
      </c>
      <c r="L468" s="1">
        <f>+K468-J468</f>
        <v>-4.4026714696288105E-2</v>
      </c>
      <c r="M468" s="1">
        <v>-2.0246714696288099E-2</v>
      </c>
      <c r="N468" s="1">
        <f>+M468-J468</f>
        <v>-7.6026714696288106E-2</v>
      </c>
      <c r="O468">
        <v>2.2200000000000002</v>
      </c>
      <c r="P468" t="s">
        <v>16</v>
      </c>
      <c r="Q468">
        <v>0</v>
      </c>
      <c r="R468">
        <v>2.7628028392789802E-4</v>
      </c>
      <c r="S468">
        <v>5.7144863530992898E-3</v>
      </c>
      <c r="T468">
        <v>-0.04</v>
      </c>
    </row>
    <row r="469" spans="1:20" x14ac:dyDescent="0.3">
      <c r="A469" t="s">
        <v>46</v>
      </c>
      <c r="B469">
        <v>2012</v>
      </c>
      <c r="C469">
        <v>537801.25</v>
      </c>
      <c r="D469" s="1">
        <v>2E-3</v>
      </c>
      <c r="E469" s="1">
        <v>0.92138451337814298</v>
      </c>
      <c r="F469" s="1">
        <v>6.9000000000000006E-2</v>
      </c>
      <c r="G469" s="1">
        <f t="shared" si="14"/>
        <v>7.400000000000001E-2</v>
      </c>
      <c r="H469" s="1" t="str">
        <f t="shared" si="15"/>
        <v/>
      </c>
      <c r="I469" s="1">
        <v>4.0000000000000001E-3</v>
      </c>
      <c r="J469" s="1">
        <f>+D469-F469+I469*O469</f>
        <v>-5.7520000000000002E-2</v>
      </c>
      <c r="K469" s="1">
        <v>2.12762802839279E-2</v>
      </c>
      <c r="L469" s="1">
        <f>+K469-J469</f>
        <v>7.8796280283927905E-2</v>
      </c>
      <c r="M469" s="1">
        <v>2.7628028392789802E-4</v>
      </c>
      <c r="N469" s="1">
        <f>+M469-J469</f>
        <v>5.7796280283927901E-2</v>
      </c>
      <c r="O469">
        <v>2.37</v>
      </c>
      <c r="P469" t="s">
        <v>15</v>
      </c>
      <c r="Q469">
        <v>0.01</v>
      </c>
      <c r="R469">
        <v>3.0870108306407999E-3</v>
      </c>
      <c r="S469">
        <v>-3.0397605150937999E-3</v>
      </c>
      <c r="T469">
        <v>7.0000000000000007E-2</v>
      </c>
    </row>
    <row r="470" spans="1:20" x14ac:dyDescent="0.3">
      <c r="A470" t="s">
        <v>46</v>
      </c>
      <c r="B470">
        <v>2013</v>
      </c>
      <c r="C470">
        <v>540725</v>
      </c>
      <c r="D470" s="1">
        <v>2.1999999999999999E-2</v>
      </c>
      <c r="E470" s="1">
        <v>0.91452807188034102</v>
      </c>
      <c r="F470" s="1">
        <v>-7.0000000000000001E-3</v>
      </c>
      <c r="G470" s="1">
        <f t="shared" si="14"/>
        <v>6.7000000000000004E-2</v>
      </c>
      <c r="H470" s="1" t="str">
        <f t="shared" si="15"/>
        <v/>
      </c>
      <c r="I470" s="1">
        <v>-7.0000000000000001E-3</v>
      </c>
      <c r="J470" s="1">
        <f>+D470-F470+I470*O470</f>
        <v>1.2479999999999998E-2</v>
      </c>
      <c r="K470" s="1">
        <v>1.80870108306408E-2</v>
      </c>
      <c r="L470" s="1">
        <f>+K470-J470</f>
        <v>5.6070108306408017E-3</v>
      </c>
      <c r="M470" s="1">
        <v>3.0870108306407999E-3</v>
      </c>
      <c r="N470" s="1">
        <f>+M470-J470</f>
        <v>-9.3929891693591977E-3</v>
      </c>
      <c r="O470">
        <v>2.36</v>
      </c>
      <c r="P470" t="s">
        <v>16</v>
      </c>
      <c r="Q470">
        <v>0</v>
      </c>
      <c r="R470">
        <v>4.6903386861085897E-3</v>
      </c>
      <c r="S470">
        <v>2.6823151856660899E-3</v>
      </c>
      <c r="T470">
        <v>-0.01</v>
      </c>
    </row>
    <row r="471" spans="1:20" x14ac:dyDescent="0.3">
      <c r="A471" t="s">
        <v>46</v>
      </c>
      <c r="B471">
        <v>2014</v>
      </c>
      <c r="C471">
        <v>542477.75</v>
      </c>
      <c r="D471" s="1">
        <v>4.2000000000000003E-2</v>
      </c>
      <c r="E471" s="1">
        <v>0.89102804660797097</v>
      </c>
      <c r="F471" s="1">
        <v>-0.04</v>
      </c>
      <c r="G471" s="1">
        <f t="shared" si="14"/>
        <v>2.7000000000000003E-2</v>
      </c>
      <c r="H471" s="1" t="str">
        <f t="shared" si="15"/>
        <v/>
      </c>
      <c r="I471" s="1">
        <v>-2.4E-2</v>
      </c>
      <c r="J471" s="1">
        <f>+D471-F471+I471*O471</f>
        <v>2.7760000000000007E-2</v>
      </c>
      <c r="K471" s="1">
        <v>2.06903386861086E-2</v>
      </c>
      <c r="L471" s="1">
        <f>+K471-J471</f>
        <v>-7.0696613138914073E-3</v>
      </c>
      <c r="M471" s="1">
        <v>4.6903386861085897E-3</v>
      </c>
      <c r="N471" s="1">
        <f>+M471-J471</f>
        <v>-2.3069661313891418E-2</v>
      </c>
      <c r="O471">
        <v>2.2599999999999998</v>
      </c>
      <c r="P471" t="s">
        <v>16</v>
      </c>
      <c r="Q471">
        <v>0</v>
      </c>
      <c r="R471">
        <v>2.4889214128255701E-2</v>
      </c>
      <c r="S471">
        <v>-5.3742378950118897E-3</v>
      </c>
      <c r="T471">
        <v>-0.04</v>
      </c>
    </row>
    <row r="472" spans="1:20" x14ac:dyDescent="0.3">
      <c r="A472" t="s">
        <v>46</v>
      </c>
      <c r="B472">
        <v>2015</v>
      </c>
      <c r="C472">
        <v>545311.6875</v>
      </c>
      <c r="D472" s="1">
        <v>6.3E-2</v>
      </c>
      <c r="E472" s="1">
        <v>0.91564047336578402</v>
      </c>
      <c r="F472" s="1">
        <v>-2E-3</v>
      </c>
      <c r="G472" s="1">
        <f t="shared" si="14"/>
        <v>2.5000000000000001E-2</v>
      </c>
      <c r="H472" s="1" t="str">
        <f t="shared" si="15"/>
        <v/>
      </c>
      <c r="I472" s="1">
        <v>2.5000000000000001E-2</v>
      </c>
      <c r="J472" s="1">
        <f>+D472-F472+I472*O472</f>
        <v>0.1215</v>
      </c>
      <c r="K472" s="1">
        <v>2.5889214128255799E-2</v>
      </c>
      <c r="L472" s="1">
        <f>+K472-J472</f>
        <v>-9.5610785871744194E-2</v>
      </c>
      <c r="M472" s="1">
        <v>2.4889214128255701E-2</v>
      </c>
      <c r="N472" s="1">
        <f>+M472-J472</f>
        <v>-9.6610785871744292E-2</v>
      </c>
      <c r="O472">
        <v>2.2599999999999998</v>
      </c>
      <c r="P472" t="s">
        <v>17</v>
      </c>
      <c r="Q472">
        <v>-0.01</v>
      </c>
      <c r="R472">
        <v>1.11092070937157E-2</v>
      </c>
      <c r="S472">
        <v>-2.0443499088286998E-3</v>
      </c>
      <c r="T472">
        <v>0.01</v>
      </c>
    </row>
    <row r="473" spans="1:20" x14ac:dyDescent="0.3">
      <c r="A473" t="s">
        <v>46</v>
      </c>
      <c r="B473">
        <v>2016</v>
      </c>
      <c r="C473">
        <v>549283.375</v>
      </c>
      <c r="D473" s="1">
        <v>7.0000000000000001E-3</v>
      </c>
      <c r="E473" s="1">
        <v>0.92936587333679199</v>
      </c>
      <c r="F473" s="1">
        <v>-0.10100000000000001</v>
      </c>
      <c r="G473" s="1">
        <f t="shared" si="14"/>
        <v>-7.6000000000000012E-2</v>
      </c>
      <c r="H473" s="1" t="str">
        <f t="shared" si="15"/>
        <v/>
      </c>
      <c r="I473" s="1">
        <v>1.4E-2</v>
      </c>
      <c r="J473" s="1">
        <f>+D473-F473+I473*O473</f>
        <v>0.13642000000000001</v>
      </c>
      <c r="K473" s="1">
        <v>2.4109207093715699E-2</v>
      </c>
      <c r="L473" s="1">
        <f>+K473-J473</f>
        <v>-0.11231079290628432</v>
      </c>
      <c r="M473" s="1">
        <v>1.11092070937157E-2</v>
      </c>
      <c r="N473" s="1">
        <f>+M473-J473</f>
        <v>-0.1253107929062843</v>
      </c>
      <c r="O473">
        <v>2.0299999999999998</v>
      </c>
      <c r="P473" t="s">
        <v>17</v>
      </c>
      <c r="Q473">
        <v>0</v>
      </c>
      <c r="R473">
        <v>1.28245325386519E-3</v>
      </c>
      <c r="S473">
        <v>-1.50712020695209E-3</v>
      </c>
      <c r="T473">
        <v>-0.1</v>
      </c>
    </row>
    <row r="474" spans="1:20" x14ac:dyDescent="0.3">
      <c r="A474" t="s">
        <v>46</v>
      </c>
      <c r="B474">
        <v>2017</v>
      </c>
      <c r="C474">
        <v>552888.5</v>
      </c>
      <c r="D474" s="1">
        <v>5.1999999999999998E-2</v>
      </c>
      <c r="E474" s="1">
        <v>0.90625381469726596</v>
      </c>
      <c r="F474" s="1">
        <v>-1.7000000000000001E-2</v>
      </c>
      <c r="G474" s="1">
        <f t="shared" si="14"/>
        <v>-9.3000000000000013E-2</v>
      </c>
      <c r="H474" s="1" t="str">
        <f t="shared" si="15"/>
        <v/>
      </c>
      <c r="I474" s="1">
        <v>-2.3E-2</v>
      </c>
      <c r="J474" s="1">
        <f>+D474-F474+I474*O474</f>
        <v>2.3230000000000008E-2</v>
      </c>
      <c r="K474" s="1">
        <v>2.22824532538652E-2</v>
      </c>
      <c r="L474" s="1">
        <f>+K474-J474</f>
        <v>-9.4754674613480722E-4</v>
      </c>
      <c r="M474" s="1">
        <v>1.28245325386519E-3</v>
      </c>
      <c r="N474" s="1">
        <f>+M474-J474</f>
        <v>-2.1947546746134819E-2</v>
      </c>
      <c r="O474">
        <v>1.99</v>
      </c>
      <c r="P474" t="s">
        <v>16</v>
      </c>
      <c r="Q474">
        <v>0</v>
      </c>
      <c r="R474">
        <v>1.30160713791847E-2</v>
      </c>
      <c r="S474">
        <v>3.8810484111308999E-3</v>
      </c>
      <c r="T474">
        <v>-0.01</v>
      </c>
    </row>
    <row r="475" spans="1:20" x14ac:dyDescent="0.3">
      <c r="A475" t="s">
        <v>46</v>
      </c>
      <c r="B475">
        <v>2018</v>
      </c>
      <c r="C475">
        <v>556810.625</v>
      </c>
      <c r="D475" s="1">
        <v>2.3E-2</v>
      </c>
      <c r="E475" s="1">
        <v>0.92080658674240101</v>
      </c>
      <c r="F475" s="1">
        <v>0.11</v>
      </c>
      <c r="G475" s="1">
        <f t="shared" si="14"/>
        <v>1.6999999999999987E-2</v>
      </c>
      <c r="H475" s="1" t="str">
        <f t="shared" si="15"/>
        <v/>
      </c>
      <c r="I475" s="1">
        <v>1.4999999999999999E-2</v>
      </c>
      <c r="J475" s="1">
        <f>+D475-F475+I475*O475</f>
        <v>-5.3849999999999995E-2</v>
      </c>
      <c r="K475" s="1">
        <v>3.7016071379184702E-2</v>
      </c>
      <c r="L475" s="1">
        <f>+K475-J475</f>
        <v>9.0866071379184704E-2</v>
      </c>
      <c r="M475" s="1">
        <v>1.30160713791847E-2</v>
      </c>
      <c r="N475" s="1">
        <f>+M475-J475</f>
        <v>6.6866071379184697E-2</v>
      </c>
      <c r="O475">
        <v>2.21</v>
      </c>
      <c r="P475" t="s">
        <v>15</v>
      </c>
      <c r="Q475">
        <v>0</v>
      </c>
      <c r="R475">
        <v>1.3281653791665999E-2</v>
      </c>
      <c r="S475">
        <v>-4.5195408165455003E-3</v>
      </c>
      <c r="T475">
        <v>0.12</v>
      </c>
    </row>
    <row r="476" spans="1:20" x14ac:dyDescent="0.3">
      <c r="A476" t="s">
        <v>46</v>
      </c>
      <c r="B476">
        <v>2019</v>
      </c>
      <c r="C476">
        <v>560406.9375</v>
      </c>
      <c r="D476" s="1">
        <v>3.3000000000000002E-2</v>
      </c>
      <c r="E476" s="1">
        <v>0.92071861028671298</v>
      </c>
      <c r="F476" s="1">
        <v>1.6E-2</v>
      </c>
      <c r="G476" s="1">
        <f t="shared" si="14"/>
        <v>3.2999999999999988E-2</v>
      </c>
      <c r="H476" s="1" t="str">
        <f t="shared" si="15"/>
        <v/>
      </c>
      <c r="I476" s="1">
        <v>0</v>
      </c>
      <c r="J476" s="1">
        <f>+D476-F476+I476*O476</f>
        <v>1.7000000000000001E-2</v>
      </c>
      <c r="K476" s="1">
        <v>3.1281653791666003E-2</v>
      </c>
      <c r="L476" s="1">
        <f>+K476-J476</f>
        <v>1.4281653791666002E-2</v>
      </c>
      <c r="M476" s="1">
        <v>1.3281653791665999E-2</v>
      </c>
      <c r="N476" s="1">
        <f>+M476-J476</f>
        <v>-3.7183462083340019E-3</v>
      </c>
      <c r="O476">
        <v>2.25</v>
      </c>
      <c r="P476" t="s">
        <v>17</v>
      </c>
      <c r="Q476">
        <v>0</v>
      </c>
      <c r="R476">
        <v>2.9698671877384199E-2</v>
      </c>
      <c r="S476">
        <v>1.0849481448531199E-2</v>
      </c>
      <c r="T476">
        <v>0.02</v>
      </c>
    </row>
    <row r="477" spans="1:20" x14ac:dyDescent="0.3">
      <c r="A477" t="s">
        <v>46</v>
      </c>
      <c r="B477">
        <v>2020</v>
      </c>
      <c r="C477">
        <v>565500.5</v>
      </c>
      <c r="D477" s="1">
        <v>5.1999999999999998E-2</v>
      </c>
      <c r="E477" s="1">
        <v>0.91921889781951904</v>
      </c>
      <c r="F477" s="1">
        <v>-3.5000000000000003E-2</v>
      </c>
      <c r="G477" s="1">
        <f t="shared" si="14"/>
        <v>-2.0000000000000157E-3</v>
      </c>
      <c r="H477" s="1" t="str">
        <f t="shared" si="15"/>
        <v/>
      </c>
      <c r="I477" s="1">
        <v>-1E-3</v>
      </c>
      <c r="J477" s="1">
        <f>+D477-F477+I477*O477</f>
        <v>8.4829999999999989E-2</v>
      </c>
      <c r="K477" s="1">
        <v>4.16986718773842E-2</v>
      </c>
      <c r="L477" s="1">
        <f>+K477-J477</f>
        <v>-4.3131328122615789E-2</v>
      </c>
      <c r="M477" s="1">
        <v>2.9698671877384199E-2</v>
      </c>
      <c r="N477" s="1">
        <f>+M477-J477</f>
        <v>-5.5131328122615786E-2</v>
      </c>
      <c r="O477">
        <v>2.17</v>
      </c>
      <c r="P477" t="s">
        <v>16</v>
      </c>
      <c r="Q477">
        <v>0.01</v>
      </c>
      <c r="R477">
        <v>6.3216721892356997E-2</v>
      </c>
      <c r="S477">
        <v>1.9627109169960001E-2</v>
      </c>
      <c r="T477">
        <v>0</v>
      </c>
    </row>
    <row r="478" spans="1:20" x14ac:dyDescent="0.3">
      <c r="A478" t="s">
        <v>46</v>
      </c>
      <c r="B478">
        <v>2021</v>
      </c>
      <c r="C478">
        <v>569942.6875</v>
      </c>
      <c r="D478" s="1">
        <v>1.4E-2</v>
      </c>
      <c r="E478" s="1">
        <v>0.94871532917022705</v>
      </c>
      <c r="F478" s="1">
        <v>2.9000000000000001E-2</v>
      </c>
      <c r="G478" s="1">
        <f t="shared" si="14"/>
        <v>2.6999999999999986E-2</v>
      </c>
      <c r="H478" s="1" t="str">
        <f t="shared" si="15"/>
        <v/>
      </c>
      <c r="I478" s="1">
        <v>2.9000000000000001E-2</v>
      </c>
      <c r="J478" s="1">
        <f>+D478-F478+I478*O478</f>
        <v>4.9670000000000006E-2</v>
      </c>
      <c r="K478" s="1">
        <v>0.110216721892357</v>
      </c>
      <c r="L478" s="1">
        <f>+K478-J478</f>
        <v>6.0546721892356992E-2</v>
      </c>
      <c r="M478" s="1">
        <v>6.3216721892356997E-2</v>
      </c>
      <c r="N478" s="1">
        <f>+M478-J478</f>
        <v>1.3546721892356992E-2</v>
      </c>
      <c r="O478">
        <v>2.23</v>
      </c>
      <c r="P478" t="s">
        <v>15</v>
      </c>
      <c r="Q478">
        <v>0.02</v>
      </c>
      <c r="R478">
        <v>-1.7690552324056599E-2</v>
      </c>
      <c r="S478">
        <v>1.44129544496537E-2</v>
      </c>
      <c r="T478">
        <v>0</v>
      </c>
    </row>
    <row r="479" spans="1:20" x14ac:dyDescent="0.3">
      <c r="A479" t="s">
        <v>46</v>
      </c>
      <c r="B479">
        <v>2022</v>
      </c>
      <c r="C479">
        <v>577318.125</v>
      </c>
      <c r="D479" s="1">
        <v>4.2999999999999997E-2</v>
      </c>
      <c r="E479" s="1">
        <v>0.91675847768783603</v>
      </c>
      <c r="F479" s="1">
        <v>0</v>
      </c>
      <c r="G479" s="1">
        <f t="shared" si="14"/>
        <v>2.6999999999999986E-2</v>
      </c>
      <c r="H479" s="1" t="str">
        <f t="shared" si="15"/>
        <v/>
      </c>
      <c r="I479" s="1">
        <v>-3.2000000000000001E-2</v>
      </c>
      <c r="J479" s="1">
        <f>+D479-F479+I479*O479</f>
        <v>-2.836000000000001E-2</v>
      </c>
      <c r="K479" s="1">
        <v>6.2309447675943402E-2</v>
      </c>
      <c r="L479" s="1">
        <f>+K479-J479</f>
        <v>9.0669447675943413E-2</v>
      </c>
      <c r="M479" s="1">
        <v>-1.7690552324056599E-2</v>
      </c>
      <c r="N479" s="1">
        <f>+M479-J479</f>
        <v>1.0669447675943411E-2</v>
      </c>
      <c r="O479">
        <v>2.23</v>
      </c>
      <c r="P479" t="s">
        <v>17</v>
      </c>
      <c r="Q479">
        <v>0.01</v>
      </c>
      <c r="R479">
        <v>-4.68063631877303E-2</v>
      </c>
      <c r="S479">
        <v>-2.7247435413301001E-2</v>
      </c>
      <c r="T479">
        <v>0.02</v>
      </c>
    </row>
    <row r="480" spans="1:20" x14ac:dyDescent="0.3">
      <c r="A480" t="s">
        <v>47</v>
      </c>
      <c r="B480">
        <v>2006</v>
      </c>
      <c r="C480">
        <v>9307072</v>
      </c>
      <c r="D480" s="1">
        <v>5.0000000000000001E-3</v>
      </c>
      <c r="E480" s="1">
        <v>0.91994160413742099</v>
      </c>
      <c r="F480" s="1">
        <v>-4.0000000000000001E-3</v>
      </c>
      <c r="G480" s="1">
        <f t="shared" si="14"/>
        <v>-4.0000000000000001E-3</v>
      </c>
      <c r="H480" s="1" t="str">
        <f t="shared" si="15"/>
        <v/>
      </c>
      <c r="I480" s="1">
        <v>5.0000000000000001E-3</v>
      </c>
      <c r="J480" s="1">
        <f>+D480-F480+I480*O480</f>
        <v>2.0550000000000002E-2</v>
      </c>
      <c r="K480" s="1">
        <v>4.6261936426162699E-2</v>
      </c>
      <c r="L480" s="1">
        <f>+K480-J480</f>
        <v>2.5711936426162697E-2</v>
      </c>
      <c r="M480" s="1">
        <v>1.4261936426162599E-2</v>
      </c>
      <c r="N480" s="1">
        <f>+M480-J480</f>
        <v>-6.2880635738374029E-3</v>
      </c>
      <c r="O480">
        <v>2.31</v>
      </c>
      <c r="P480" t="s">
        <v>17</v>
      </c>
      <c r="Q480">
        <v>0.01</v>
      </c>
      <c r="R480">
        <v>2.53225705623626E-2</v>
      </c>
      <c r="S480">
        <v>2.62443264946342E-2</v>
      </c>
      <c r="T480">
        <v>-0.01</v>
      </c>
    </row>
    <row r="481" spans="1:20" x14ac:dyDescent="0.3">
      <c r="A481" t="s">
        <v>47</v>
      </c>
      <c r="B481">
        <v>2007</v>
      </c>
      <c r="C481">
        <v>9348932</v>
      </c>
      <c r="D481" s="1">
        <v>7.0000000000000001E-3</v>
      </c>
      <c r="E481" s="1">
        <v>0.922593653202057</v>
      </c>
      <c r="F481" s="1">
        <v>1E-3</v>
      </c>
      <c r="G481" s="1">
        <f t="shared" si="14"/>
        <v>-3.0000000000000001E-3</v>
      </c>
      <c r="H481" s="1" t="str">
        <f t="shared" si="15"/>
        <v/>
      </c>
      <c r="I481" s="1">
        <v>3.0000000000000001E-3</v>
      </c>
      <c r="J481" s="1">
        <f>+D481-F481+I481*O481</f>
        <v>1.2930000000000001E-2</v>
      </c>
      <c r="K481" s="1">
        <v>5.4322570562362699E-2</v>
      </c>
      <c r="L481" s="1">
        <f>+K481-J481</f>
        <v>4.1392570562362702E-2</v>
      </c>
      <c r="M481" s="1">
        <v>2.53225705623626E-2</v>
      </c>
      <c r="N481" s="1">
        <f>+M481-J481</f>
        <v>1.23925705623626E-2</v>
      </c>
      <c r="O481">
        <v>2.31</v>
      </c>
      <c r="P481" t="s">
        <v>15</v>
      </c>
      <c r="Q481">
        <v>0.03</v>
      </c>
      <c r="R481">
        <v>-1.69969753473997E-2</v>
      </c>
      <c r="S481">
        <v>1.25138289295137E-2</v>
      </c>
      <c r="T481">
        <v>0</v>
      </c>
    </row>
    <row r="482" spans="1:20" x14ac:dyDescent="0.3">
      <c r="A482" t="s">
        <v>47</v>
      </c>
      <c r="B482">
        <v>2008</v>
      </c>
      <c r="C482">
        <v>9396189</v>
      </c>
      <c r="D482" s="1">
        <v>4.0000000000000001E-3</v>
      </c>
      <c r="E482" s="1">
        <v>0.92417067289352395</v>
      </c>
      <c r="F482" s="1">
        <v>2E-3</v>
      </c>
      <c r="G482" s="1">
        <f t="shared" si="14"/>
        <v>-1E-3</v>
      </c>
      <c r="H482" s="1" t="str">
        <f t="shared" si="15"/>
        <v/>
      </c>
      <c r="I482" s="1">
        <v>2E-3</v>
      </c>
      <c r="J482" s="1">
        <f>+D482-F482+I482*O482</f>
        <v>6.6400000000000001E-3</v>
      </c>
      <c r="K482" s="1">
        <v>2.1003024652600299E-2</v>
      </c>
      <c r="L482" s="1">
        <f>+K482-J482</f>
        <v>1.4363024652600299E-2</v>
      </c>
      <c r="M482" s="1">
        <v>-1.69969753473997E-2</v>
      </c>
      <c r="N482" s="1">
        <f>+M482-J482</f>
        <v>-2.36369753473997E-2</v>
      </c>
      <c r="O482">
        <v>2.3199999999999998</v>
      </c>
      <c r="P482" t="s">
        <v>15</v>
      </c>
      <c r="Q482">
        <v>0.01</v>
      </c>
      <c r="R482">
        <v>-1.8806702181696899E-2</v>
      </c>
      <c r="S482">
        <v>7.7599994838237502E-3</v>
      </c>
      <c r="T482">
        <v>0</v>
      </c>
    </row>
    <row r="483" spans="1:20" x14ac:dyDescent="0.3">
      <c r="A483" t="s">
        <v>47</v>
      </c>
      <c r="B483">
        <v>2009</v>
      </c>
      <c r="C483">
        <v>9441626</v>
      </c>
      <c r="D483" s="1">
        <v>5.0000000000000001E-3</v>
      </c>
      <c r="E483" s="1">
        <v>0.916972696781158</v>
      </c>
      <c r="F483" s="1">
        <v>-2E-3</v>
      </c>
      <c r="G483" s="1">
        <f t="shared" si="14"/>
        <v>-3.0000000000000001E-3</v>
      </c>
      <c r="H483" s="1" t="str">
        <f t="shared" si="15"/>
        <v/>
      </c>
      <c r="I483" s="1">
        <v>-7.0000000000000001E-3</v>
      </c>
      <c r="J483" s="1">
        <f>+D483-F483+I483*O483</f>
        <v>-9.1700000000000011E-3</v>
      </c>
      <c r="K483" s="1">
        <v>-2.2806702181696899E-2</v>
      </c>
      <c r="L483" s="1">
        <f>+K483-J483</f>
        <v>-1.3636702181696898E-2</v>
      </c>
      <c r="M483" s="1">
        <v>-1.8806702181696899E-2</v>
      </c>
      <c r="N483" s="1">
        <f>+M483-J483</f>
        <v>-9.6367021816968976E-3</v>
      </c>
      <c r="O483">
        <v>2.31</v>
      </c>
      <c r="P483" t="s">
        <v>16</v>
      </c>
      <c r="Q483">
        <v>0.01</v>
      </c>
      <c r="R483">
        <v>2.4340191483499999E-4</v>
      </c>
      <c r="S483">
        <v>9.7035106737166799E-3</v>
      </c>
      <c r="T483">
        <v>-0.02</v>
      </c>
    </row>
    <row r="484" spans="1:20" x14ac:dyDescent="0.3">
      <c r="A484" t="s">
        <v>47</v>
      </c>
      <c r="B484">
        <v>2010</v>
      </c>
      <c r="C484">
        <v>9488415</v>
      </c>
      <c r="D484" s="1">
        <v>6.0000000000000001E-3</v>
      </c>
      <c r="E484" s="1">
        <v>0.92464703321456898</v>
      </c>
      <c r="F484" s="1">
        <v>3.5999999999999997E-2</v>
      </c>
      <c r="G484" s="1">
        <f t="shared" si="14"/>
        <v>3.2999999999999995E-2</v>
      </c>
      <c r="H484" s="1" t="str">
        <f t="shared" si="15"/>
        <v/>
      </c>
      <c r="I484" s="1">
        <v>8.0000000000000002E-3</v>
      </c>
      <c r="J484" s="1">
        <f>+D484-F484+I484*O484</f>
        <v>-1.0879999999999997E-2</v>
      </c>
      <c r="K484" s="1">
        <v>1.6243401914835E-2</v>
      </c>
      <c r="L484" s="1">
        <f>+K484-J484</f>
        <v>2.7123401914834998E-2</v>
      </c>
      <c r="M484" s="1">
        <v>2.4340191483499999E-4</v>
      </c>
      <c r="N484" s="1">
        <f>+M484-J484</f>
        <v>1.1123401914834997E-2</v>
      </c>
      <c r="O484">
        <v>2.39</v>
      </c>
      <c r="P484" t="s">
        <v>15</v>
      </c>
      <c r="Q484">
        <v>0.01</v>
      </c>
      <c r="R484">
        <v>-1.72069225162268E-2</v>
      </c>
      <c r="S484">
        <v>4.0768519975244999E-3</v>
      </c>
      <c r="T484">
        <v>0.03</v>
      </c>
    </row>
    <row r="485" spans="1:20" x14ac:dyDescent="0.3">
      <c r="A485" t="s">
        <v>47</v>
      </c>
      <c r="B485">
        <v>2011</v>
      </c>
      <c r="C485">
        <v>9536325</v>
      </c>
      <c r="D485" s="1">
        <v>1E-3</v>
      </c>
      <c r="E485" s="1">
        <v>0.92960947751998901</v>
      </c>
      <c r="F485" s="1">
        <v>-1.7000000000000001E-2</v>
      </c>
      <c r="G485" s="1">
        <f t="shared" si="14"/>
        <v>1.5999999999999993E-2</v>
      </c>
      <c r="H485" s="1" t="str">
        <f t="shared" si="15"/>
        <v/>
      </c>
      <c r="I485" s="1">
        <v>5.0000000000000001E-3</v>
      </c>
      <c r="J485" s="1">
        <f>+D485-F485+I485*O485</f>
        <v>2.9750000000000002E-2</v>
      </c>
      <c r="K485" s="1">
        <v>1.47930774837732E-2</v>
      </c>
      <c r="L485" s="1">
        <f>+K485-J485</f>
        <v>-1.4956922516226802E-2</v>
      </c>
      <c r="M485" s="1">
        <v>-1.72069225162268E-2</v>
      </c>
      <c r="N485" s="1">
        <f>+M485-J485</f>
        <v>-4.6956922516226803E-2</v>
      </c>
      <c r="O485">
        <v>2.35</v>
      </c>
      <c r="P485" t="s">
        <v>17</v>
      </c>
      <c r="Q485">
        <v>0</v>
      </c>
      <c r="R485">
        <v>-3.4176281690597998E-3</v>
      </c>
      <c r="S485">
        <v>2.0205779001115998E-3</v>
      </c>
      <c r="T485">
        <v>-0.02</v>
      </c>
    </row>
    <row r="486" spans="1:20" x14ac:dyDescent="0.3">
      <c r="A486" t="s">
        <v>47</v>
      </c>
      <c r="B486">
        <v>2012</v>
      </c>
      <c r="C486">
        <v>9582919</v>
      </c>
      <c r="D486" s="1">
        <v>1E-3</v>
      </c>
      <c r="E486" s="1">
        <v>0.93547958135604903</v>
      </c>
      <c r="F486" s="1">
        <v>7.0000000000000001E-3</v>
      </c>
      <c r="G486" s="1">
        <f t="shared" si="14"/>
        <v>2.2999999999999993E-2</v>
      </c>
      <c r="H486" s="1" t="str">
        <f t="shared" si="15"/>
        <v/>
      </c>
      <c r="I486" s="1">
        <v>6.0000000000000001E-3</v>
      </c>
      <c r="J486" s="1">
        <f>+D486-F486+I486*O486</f>
        <v>8.2200000000000016E-3</v>
      </c>
      <c r="K486" s="1">
        <v>1.7582371830940201E-2</v>
      </c>
      <c r="L486" s="1">
        <f>+K486-J486</f>
        <v>9.3623718309401999E-3</v>
      </c>
      <c r="M486" s="1">
        <v>-3.4176281690597998E-3</v>
      </c>
      <c r="N486" s="1">
        <f>+M486-J486</f>
        <v>-1.1637628169059801E-2</v>
      </c>
      <c r="O486">
        <v>2.37</v>
      </c>
      <c r="P486" t="s">
        <v>15</v>
      </c>
      <c r="Q486">
        <v>0</v>
      </c>
      <c r="R486">
        <v>1.4878107607365001E-3</v>
      </c>
      <c r="S486">
        <v>-4.6389605849980996E-3</v>
      </c>
      <c r="T486">
        <v>0</v>
      </c>
    </row>
    <row r="487" spans="1:20" x14ac:dyDescent="0.3">
      <c r="A487" t="s">
        <v>47</v>
      </c>
      <c r="B487">
        <v>2013</v>
      </c>
      <c r="C487">
        <v>9620105</v>
      </c>
      <c r="D487" s="1">
        <v>1.2E-2</v>
      </c>
      <c r="E487" s="1">
        <v>0.93248760700225797</v>
      </c>
      <c r="F487" s="1">
        <v>-5.0000000000000001E-3</v>
      </c>
      <c r="G487" s="1">
        <f t="shared" si="14"/>
        <v>1.7999999999999992E-2</v>
      </c>
      <c r="H487" s="1" t="str">
        <f t="shared" si="15"/>
        <v/>
      </c>
      <c r="I487" s="1">
        <v>-3.0000000000000001E-3</v>
      </c>
      <c r="J487" s="1">
        <f>+D487-F487+I487*O487</f>
        <v>9.9200000000000017E-3</v>
      </c>
      <c r="K487" s="1">
        <v>1.64878107607365E-2</v>
      </c>
      <c r="L487" s="1">
        <f>+K487-J487</f>
        <v>6.5678107607364984E-3</v>
      </c>
      <c r="M487" s="1">
        <v>1.4878107607365001E-3</v>
      </c>
      <c r="N487" s="1">
        <f>+M487-J487</f>
        <v>-8.432189239263501E-3</v>
      </c>
      <c r="O487">
        <v>2.36</v>
      </c>
      <c r="P487" t="s">
        <v>16</v>
      </c>
      <c r="Q487">
        <v>0</v>
      </c>
      <c r="R487">
        <v>4.6510368734597896E-3</v>
      </c>
      <c r="S487">
        <v>2.6430133730172898E-3</v>
      </c>
      <c r="T487">
        <v>-0.01</v>
      </c>
    </row>
    <row r="488" spans="1:20" x14ac:dyDescent="0.3">
      <c r="A488" t="s">
        <v>47</v>
      </c>
      <c r="B488">
        <v>2014</v>
      </c>
      <c r="C488">
        <v>9646115</v>
      </c>
      <c r="D488" s="1">
        <v>0.01</v>
      </c>
      <c r="E488" s="1">
        <v>0.93465870618820202</v>
      </c>
      <c r="F488" s="1">
        <v>4.0000000000000001E-3</v>
      </c>
      <c r="G488" s="1">
        <f t="shared" si="14"/>
        <v>2.1999999999999992E-2</v>
      </c>
      <c r="H488" s="1" t="str">
        <f t="shared" si="15"/>
        <v/>
      </c>
      <c r="I488" s="1">
        <v>2E-3</v>
      </c>
      <c r="J488" s="1">
        <f>+D488-F488+I488*O488</f>
        <v>1.074E-2</v>
      </c>
      <c r="K488" s="1">
        <v>2.0651036873459799E-2</v>
      </c>
      <c r="L488" s="1">
        <f>+K488-J488</f>
        <v>9.9110368734597991E-3</v>
      </c>
      <c r="M488" s="1">
        <v>4.6510368734597896E-3</v>
      </c>
      <c r="N488" s="1">
        <f>+M488-J488</f>
        <v>-6.0889631265402099E-3</v>
      </c>
      <c r="O488">
        <v>2.37</v>
      </c>
      <c r="P488" t="s">
        <v>15</v>
      </c>
      <c r="Q488">
        <v>0</v>
      </c>
      <c r="R488">
        <v>3.92478724718094E-2</v>
      </c>
      <c r="S488">
        <v>8.9844204485417002E-3</v>
      </c>
      <c r="T488">
        <v>0</v>
      </c>
    </row>
    <row r="489" spans="1:20" x14ac:dyDescent="0.3">
      <c r="A489" t="s">
        <v>47</v>
      </c>
      <c r="B489">
        <v>2015</v>
      </c>
      <c r="C489">
        <v>9654273</v>
      </c>
      <c r="D489" s="1">
        <v>0.01</v>
      </c>
      <c r="E489" s="1">
        <v>0.93692159652710005</v>
      </c>
      <c r="F489" s="1">
        <v>-4.0000000000000001E-3</v>
      </c>
      <c r="G489" s="1">
        <f t="shared" si="14"/>
        <v>1.7999999999999992E-2</v>
      </c>
      <c r="H489" s="1" t="str">
        <f t="shared" si="15"/>
        <v/>
      </c>
      <c r="I489" s="1">
        <v>2E-3</v>
      </c>
      <c r="J489" s="1">
        <f>+D489-F489+I489*O489</f>
        <v>1.8720000000000001E-2</v>
      </c>
      <c r="K489" s="1">
        <v>4.0247872471809401E-2</v>
      </c>
      <c r="L489" s="1">
        <f>+K489-J489</f>
        <v>2.1527872471809401E-2</v>
      </c>
      <c r="M489" s="1">
        <v>3.92478724718094E-2</v>
      </c>
      <c r="N489" s="1">
        <f>+M489-J489</f>
        <v>2.05278724718094E-2</v>
      </c>
      <c r="O489">
        <v>2.36</v>
      </c>
      <c r="P489" t="s">
        <v>17</v>
      </c>
      <c r="Q489">
        <v>0.01</v>
      </c>
      <c r="R489">
        <v>2.7683510333299899E-3</v>
      </c>
      <c r="S489">
        <v>-1.0385205969214399E-2</v>
      </c>
      <c r="T489">
        <v>0.01</v>
      </c>
    </row>
    <row r="490" spans="1:20" x14ac:dyDescent="0.3">
      <c r="A490" t="s">
        <v>47</v>
      </c>
      <c r="B490">
        <v>2016</v>
      </c>
      <c r="C490">
        <v>9655397</v>
      </c>
      <c r="D490" s="1">
        <v>1.7999999999999999E-2</v>
      </c>
      <c r="E490" s="1">
        <v>0.93007081747055098</v>
      </c>
      <c r="F490" s="1">
        <v>-2.5999999999999999E-2</v>
      </c>
      <c r="G490" s="1">
        <f t="shared" si="14"/>
        <v>-8.0000000000000071E-3</v>
      </c>
      <c r="H490" s="1" t="str">
        <f t="shared" si="15"/>
        <v/>
      </c>
      <c r="I490" s="1">
        <v>-7.0000000000000001E-3</v>
      </c>
      <c r="J490" s="1">
        <f>+D490-F490+I490*O490</f>
        <v>2.7899999999999998E-2</v>
      </c>
      <c r="K490" s="1">
        <v>1.5768351033329998E-2</v>
      </c>
      <c r="L490" s="1">
        <f>+K490-J490</f>
        <v>-1.2131648966669999E-2</v>
      </c>
      <c r="M490" s="1">
        <v>2.7683510333299899E-3</v>
      </c>
      <c r="N490" s="1">
        <f>+M490-J490</f>
        <v>-2.5131648966670007E-2</v>
      </c>
      <c r="O490">
        <v>2.2999999999999998</v>
      </c>
      <c r="P490" t="s">
        <v>16</v>
      </c>
      <c r="Q490">
        <v>-0.01</v>
      </c>
      <c r="R490">
        <v>-7.0894512385130002E-3</v>
      </c>
      <c r="S490">
        <v>-9.87902469933029E-3</v>
      </c>
      <c r="T490">
        <v>-0.03</v>
      </c>
    </row>
    <row r="491" spans="1:20" x14ac:dyDescent="0.3">
      <c r="A491" t="s">
        <v>47</v>
      </c>
      <c r="B491">
        <v>2017</v>
      </c>
      <c r="C491">
        <v>9652473</v>
      </c>
      <c r="D491" s="1">
        <v>1.9E-2</v>
      </c>
      <c r="E491" s="1">
        <v>0.92894625663757302</v>
      </c>
      <c r="F491" s="1">
        <v>-2E-3</v>
      </c>
      <c r="G491" s="1">
        <f t="shared" si="14"/>
        <v>-1.0000000000000007E-2</v>
      </c>
      <c r="H491" s="1" t="str">
        <f t="shared" si="15"/>
        <v/>
      </c>
      <c r="I491" s="1">
        <v>-1E-3</v>
      </c>
      <c r="J491" s="1">
        <f>+D491-F491+I491*O491</f>
        <v>1.8709999999999997E-2</v>
      </c>
      <c r="K491" s="1">
        <v>1.3910548761487E-2</v>
      </c>
      <c r="L491" s="1">
        <f>+K491-J491</f>
        <v>-4.7994512385129973E-3</v>
      </c>
      <c r="M491" s="1">
        <v>-7.0894512385130002E-3</v>
      </c>
      <c r="N491" s="1">
        <f>+M491-J491</f>
        <v>-2.5799451238512999E-2</v>
      </c>
      <c r="O491">
        <v>2.29</v>
      </c>
      <c r="P491" t="s">
        <v>16</v>
      </c>
      <c r="Q491">
        <v>-0.01</v>
      </c>
      <c r="R491">
        <v>4.0697401612996903E-3</v>
      </c>
      <c r="S491">
        <v>-5.0652828067540897E-3</v>
      </c>
      <c r="T491">
        <v>0</v>
      </c>
    </row>
    <row r="492" spans="1:20" x14ac:dyDescent="0.3">
      <c r="A492" t="s">
        <v>47</v>
      </c>
      <c r="B492">
        <v>2018</v>
      </c>
      <c r="C492">
        <v>9642400</v>
      </c>
      <c r="D492" s="1">
        <v>1.9E-2</v>
      </c>
      <c r="E492" s="1">
        <v>0.930727779865265</v>
      </c>
      <c r="F492" s="1">
        <v>-1.4E-2</v>
      </c>
      <c r="G492" s="1">
        <f t="shared" si="14"/>
        <v>-2.4000000000000007E-2</v>
      </c>
      <c r="H492" s="1" t="str">
        <f t="shared" si="15"/>
        <v/>
      </c>
      <c r="I492" s="1">
        <v>2E-3</v>
      </c>
      <c r="J492" s="1">
        <f>+D492-F492+I492*O492</f>
        <v>3.7519999999999998E-2</v>
      </c>
      <c r="K492" s="1">
        <v>2.8069740161299699E-2</v>
      </c>
      <c r="L492" s="1">
        <f>+K492-J492</f>
        <v>-9.4502598387002992E-3</v>
      </c>
      <c r="M492" s="1">
        <v>4.0697401612996903E-3</v>
      </c>
      <c r="N492" s="1">
        <f>+M492-J492</f>
        <v>-3.3450259838700307E-2</v>
      </c>
      <c r="O492">
        <v>2.2599999999999998</v>
      </c>
      <c r="P492" t="s">
        <v>17</v>
      </c>
      <c r="Q492">
        <v>-0.01</v>
      </c>
      <c r="R492">
        <v>9.5832079350948E-3</v>
      </c>
      <c r="S492">
        <v>-8.2179866731166996E-3</v>
      </c>
      <c r="T492">
        <v>0</v>
      </c>
    </row>
    <row r="493" spans="1:20" x14ac:dyDescent="0.3">
      <c r="A493" t="s">
        <v>47</v>
      </c>
      <c r="B493">
        <v>2019</v>
      </c>
      <c r="C493">
        <v>9630651</v>
      </c>
      <c r="D493" s="1">
        <v>1.7999999999999999E-2</v>
      </c>
      <c r="E493" s="1">
        <v>0.93392485380172696</v>
      </c>
      <c r="F493" s="1">
        <v>-4.8000000000000001E-2</v>
      </c>
      <c r="G493" s="1">
        <f t="shared" si="14"/>
        <v>-7.2000000000000008E-2</v>
      </c>
      <c r="H493" s="1" t="str">
        <f t="shared" si="15"/>
        <v/>
      </c>
      <c r="I493" s="1">
        <v>3.0000000000000001E-3</v>
      </c>
      <c r="J493" s="1">
        <f>+D493-F493+I493*O493</f>
        <v>7.2450000000000001E-2</v>
      </c>
      <c r="K493" s="1">
        <v>2.7583207935094799E-2</v>
      </c>
      <c r="L493" s="1">
        <f>+K493-J493</f>
        <v>-4.4866792064905202E-2</v>
      </c>
      <c r="M493" s="1">
        <v>9.5832079350948E-3</v>
      </c>
      <c r="N493" s="1">
        <f>+M493-J493</f>
        <v>-6.2866792064905197E-2</v>
      </c>
      <c r="O493">
        <v>2.15</v>
      </c>
      <c r="P493" t="s">
        <v>17</v>
      </c>
      <c r="Q493">
        <v>-0.01</v>
      </c>
      <c r="R493">
        <v>-2.3636423878371698E-2</v>
      </c>
      <c r="S493">
        <v>-4.2485614307224598E-2</v>
      </c>
      <c r="T493">
        <v>-0.04</v>
      </c>
    </row>
    <row r="494" spans="1:20" x14ac:dyDescent="0.3">
      <c r="A494" t="s">
        <v>47</v>
      </c>
      <c r="B494">
        <v>2020</v>
      </c>
      <c r="C494">
        <v>9588870</v>
      </c>
      <c r="D494" s="1">
        <v>0.02</v>
      </c>
      <c r="E494" s="1">
        <v>0.92155790328979503</v>
      </c>
      <c r="F494" s="1">
        <v>-4.0000000000000001E-3</v>
      </c>
      <c r="G494" s="1">
        <f t="shared" si="14"/>
        <v>-7.6000000000000012E-2</v>
      </c>
      <c r="H494" s="1" t="str">
        <f t="shared" si="15"/>
        <v/>
      </c>
      <c r="I494" s="1">
        <v>-1.2E-2</v>
      </c>
      <c r="J494" s="1">
        <f>+D494-F494+I494*O494</f>
        <v>-1.6800000000000009E-3</v>
      </c>
      <c r="K494" s="1">
        <v>-1.16364238783717E-2</v>
      </c>
      <c r="L494" s="1">
        <f>+K494-J494</f>
        <v>-9.956423878371699E-3</v>
      </c>
      <c r="M494" s="1">
        <v>-2.3636423878371698E-2</v>
      </c>
      <c r="N494" s="1">
        <f>+M494-J494</f>
        <v>-2.1956423878371698E-2</v>
      </c>
      <c r="O494">
        <v>2.14</v>
      </c>
      <c r="P494" t="s">
        <v>16</v>
      </c>
      <c r="Q494">
        <v>-0.04</v>
      </c>
      <c r="R494">
        <v>3.2158768057823098E-2</v>
      </c>
      <c r="S494">
        <v>-1.1430844664573701E-2</v>
      </c>
      <c r="T494">
        <v>0.04</v>
      </c>
    </row>
    <row r="495" spans="1:20" x14ac:dyDescent="0.3">
      <c r="A495" t="s">
        <v>47</v>
      </c>
      <c r="B495">
        <v>2021</v>
      </c>
      <c r="C495">
        <v>9515238</v>
      </c>
      <c r="D495" s="1">
        <v>1.7999999999999999E-2</v>
      </c>
      <c r="E495" s="1">
        <v>0.94278889894485496</v>
      </c>
      <c r="F495" s="1">
        <v>1.0999999999999999E-2</v>
      </c>
      <c r="G495" s="1">
        <f t="shared" si="14"/>
        <v>-6.5000000000000016E-2</v>
      </c>
      <c r="H495" s="1" t="str">
        <f t="shared" si="15"/>
        <v/>
      </c>
      <c r="I495" s="1">
        <v>2.1000000000000001E-2</v>
      </c>
      <c r="J495" s="1">
        <f>+D495-F495+I495*O495</f>
        <v>5.2569999999999999E-2</v>
      </c>
      <c r="K495" s="1">
        <v>7.9158768057823195E-2</v>
      </c>
      <c r="L495" s="1">
        <f>+K495-J495</f>
        <v>2.6588768057823196E-2</v>
      </c>
      <c r="M495" s="1">
        <v>3.2158768057823098E-2</v>
      </c>
      <c r="N495" s="1">
        <f>+M495-J495</f>
        <v>-2.0411231942176901E-2</v>
      </c>
      <c r="O495">
        <v>2.17</v>
      </c>
      <c r="P495" t="s">
        <v>15</v>
      </c>
      <c r="Q495">
        <v>-0.01</v>
      </c>
      <c r="R495">
        <v>-3.1803423464298201E-2</v>
      </c>
      <c r="S495">
        <v>3.00083309412099E-4</v>
      </c>
      <c r="T495">
        <v>-0.02</v>
      </c>
    </row>
    <row r="496" spans="1:20" x14ac:dyDescent="0.3">
      <c r="A496" t="s">
        <v>47</v>
      </c>
      <c r="B496">
        <v>2022</v>
      </c>
      <c r="C496">
        <v>9483157</v>
      </c>
      <c r="D496" s="1">
        <v>1.0999999999999999E-2</v>
      </c>
      <c r="E496" s="1">
        <v>0.94601380825042702</v>
      </c>
      <c r="F496" s="1">
        <v>-0.03</v>
      </c>
      <c r="G496" s="1">
        <f t="shared" si="14"/>
        <v>-9.5000000000000015E-2</v>
      </c>
      <c r="H496" s="1" t="str">
        <f t="shared" si="15"/>
        <v/>
      </c>
      <c r="I496" s="1">
        <v>3.0000000000000001E-3</v>
      </c>
      <c r="J496" s="1">
        <f>+D496-F496+I496*O496</f>
        <v>4.7299999999999995E-2</v>
      </c>
      <c r="K496" s="1">
        <v>4.81965765357018E-2</v>
      </c>
      <c r="L496" s="1">
        <f>+K496-J496</f>
        <v>8.9657653570180545E-4</v>
      </c>
      <c r="M496" s="1">
        <v>-3.1803423464298201E-2</v>
      </c>
      <c r="N496" s="1">
        <f>+M496-J496</f>
        <v>-7.9103423464298189E-2</v>
      </c>
      <c r="O496">
        <v>2.1</v>
      </c>
      <c r="P496" t="s">
        <v>17</v>
      </c>
      <c r="Q496">
        <v>0</v>
      </c>
      <c r="R496">
        <v>-1.10349662452936E-2</v>
      </c>
      <c r="S496">
        <v>8.5239615291357006E-3</v>
      </c>
      <c r="T496">
        <v>-0.01</v>
      </c>
    </row>
    <row r="497" spans="1:20" x14ac:dyDescent="0.3">
      <c r="A497" t="s">
        <v>48</v>
      </c>
      <c r="B497">
        <v>2006</v>
      </c>
      <c r="C497">
        <v>216973</v>
      </c>
      <c r="D497" s="1">
        <v>2E-3</v>
      </c>
      <c r="E497" s="1">
        <v>0.95863568782806396</v>
      </c>
      <c r="F497" s="1">
        <v>-7.0999999999999994E-2</v>
      </c>
      <c r="G497" s="1">
        <f t="shared" si="14"/>
        <v>-7.0999999999999994E-2</v>
      </c>
      <c r="H497" s="1" t="str">
        <f t="shared" si="15"/>
        <v/>
      </c>
      <c r="I497" s="1">
        <v>3.0000000000000001E-3</v>
      </c>
      <c r="J497" s="1">
        <f>+D497-F497+I497*O497</f>
        <v>7.9869999999999997E-2</v>
      </c>
      <c r="K497" s="1">
        <v>5.6925386190414401E-2</v>
      </c>
      <c r="L497" s="1">
        <f>+K497-J497</f>
        <v>-2.2944613809585596E-2</v>
      </c>
      <c r="M497" s="1">
        <v>2.49253861904144E-2</v>
      </c>
      <c r="N497" s="1">
        <f>+M497-J497</f>
        <v>-5.4944613809585596E-2</v>
      </c>
      <c r="O497">
        <v>2.29</v>
      </c>
      <c r="P497" t="s">
        <v>17</v>
      </c>
      <c r="Q497">
        <v>0.02</v>
      </c>
      <c r="R497">
        <v>1.6355912297964102E-2</v>
      </c>
      <c r="S497">
        <v>1.7277668230235601E-2</v>
      </c>
      <c r="T497">
        <v>-7.0000000000000007E-2</v>
      </c>
    </row>
    <row r="498" spans="1:20" x14ac:dyDescent="0.3">
      <c r="A498" t="s">
        <v>48</v>
      </c>
      <c r="B498">
        <v>2007</v>
      </c>
      <c r="C498">
        <v>217858.79689999999</v>
      </c>
      <c r="D498" s="1">
        <v>2E-3</v>
      </c>
      <c r="E498" s="1">
        <v>0.95843350887298595</v>
      </c>
      <c r="F498" s="1">
        <v>0.14099999999999999</v>
      </c>
      <c r="G498" s="1">
        <f t="shared" si="14"/>
        <v>6.9999999999999993E-2</v>
      </c>
      <c r="H498" s="1" t="str">
        <f t="shared" si="15"/>
        <v/>
      </c>
      <c r="I498" s="1">
        <v>0</v>
      </c>
      <c r="J498" s="1">
        <f>+D498-F498+I498*O498</f>
        <v>-0.13899999999999998</v>
      </c>
      <c r="K498" s="1">
        <v>4.5355912297964103E-2</v>
      </c>
      <c r="L498" s="1">
        <f>+K498-J498</f>
        <v>0.18435591229796408</v>
      </c>
      <c r="M498" s="1">
        <v>1.6355912297964102E-2</v>
      </c>
      <c r="N498" s="1">
        <f>+M498-J498</f>
        <v>0.15535591229796408</v>
      </c>
      <c r="O498">
        <v>2.61</v>
      </c>
      <c r="P498" t="s">
        <v>17</v>
      </c>
      <c r="Q498">
        <v>0.02</v>
      </c>
      <c r="R498">
        <v>-3.1209878914058201E-2</v>
      </c>
      <c r="S498">
        <v>-1.6990746371448001E-3</v>
      </c>
      <c r="T498">
        <v>0.14000000000000001</v>
      </c>
    </row>
    <row r="499" spans="1:20" x14ac:dyDescent="0.3">
      <c r="A499" t="s">
        <v>48</v>
      </c>
      <c r="B499">
        <v>2008</v>
      </c>
      <c r="C499">
        <v>219229.0938</v>
      </c>
      <c r="D499" s="1">
        <v>0</v>
      </c>
      <c r="E499" s="1">
        <v>0.95074307918548595</v>
      </c>
      <c r="F499" s="1">
        <v>-0.08</v>
      </c>
      <c r="G499" s="1">
        <f t="shared" si="14"/>
        <v>-1.0000000000000009E-2</v>
      </c>
      <c r="H499" s="1" t="str">
        <f t="shared" si="15"/>
        <v/>
      </c>
      <c r="I499" s="1">
        <v>-8.0000000000000002E-3</v>
      </c>
      <c r="J499" s="1">
        <f>+D499-F499+I499*O499</f>
        <v>6.0800000000000007E-2</v>
      </c>
      <c r="K499" s="1">
        <v>6.7901210859417898E-3</v>
      </c>
      <c r="L499" s="1">
        <f>+K499-J499</f>
        <v>-5.4009878914058215E-2</v>
      </c>
      <c r="M499" s="1">
        <v>-3.1209878914058201E-2</v>
      </c>
      <c r="N499" s="1">
        <f>+M499-J499</f>
        <v>-9.2009878914058207E-2</v>
      </c>
      <c r="O499">
        <v>2.4</v>
      </c>
      <c r="P499" t="s">
        <v>16</v>
      </c>
      <c r="Q499">
        <v>0</v>
      </c>
      <c r="R499">
        <v>-5.0381363093852903E-2</v>
      </c>
      <c r="S499">
        <v>-2.3814661428332301E-2</v>
      </c>
      <c r="T499">
        <v>-0.08</v>
      </c>
    </row>
    <row r="500" spans="1:20" x14ac:dyDescent="0.3">
      <c r="A500" t="s">
        <v>48</v>
      </c>
      <c r="B500">
        <v>2009</v>
      </c>
      <c r="C500">
        <v>219818.20310000001</v>
      </c>
      <c r="D500" s="1">
        <v>3.0000000000000001E-3</v>
      </c>
      <c r="E500" s="1">
        <v>0.94093918800354004</v>
      </c>
      <c r="F500" s="1">
        <v>2E-3</v>
      </c>
      <c r="G500" s="1">
        <f t="shared" si="14"/>
        <v>-8.0000000000000088E-3</v>
      </c>
      <c r="H500" s="1" t="str">
        <f t="shared" si="15"/>
        <v/>
      </c>
      <c r="I500" s="1">
        <v>-0.01</v>
      </c>
      <c r="J500" s="1">
        <f>+D500-F500+I500*O500</f>
        <v>-2.3100000000000002E-2</v>
      </c>
      <c r="K500" s="1">
        <v>-5.4381363093852997E-2</v>
      </c>
      <c r="L500" s="1">
        <f>+K500-J500</f>
        <v>-3.1281363093852994E-2</v>
      </c>
      <c r="M500" s="1">
        <v>-5.0381363093852903E-2</v>
      </c>
      <c r="N500" s="1">
        <f>+M500-J500</f>
        <v>-2.7281363093852901E-2</v>
      </c>
      <c r="O500">
        <v>2.41</v>
      </c>
      <c r="P500" t="s">
        <v>17</v>
      </c>
      <c r="Q500">
        <v>-0.02</v>
      </c>
      <c r="R500">
        <v>-1.1584038086235499E-2</v>
      </c>
      <c r="S500">
        <v>-2.1239293273538299E-3</v>
      </c>
      <c r="T500">
        <v>-0.02</v>
      </c>
    </row>
    <row r="501" spans="1:20" x14ac:dyDescent="0.3">
      <c r="A501" t="s">
        <v>48</v>
      </c>
      <c r="B501">
        <v>2010</v>
      </c>
      <c r="C501">
        <v>219834.10939999999</v>
      </c>
      <c r="D501" s="1">
        <v>2E-3</v>
      </c>
      <c r="E501" s="1">
        <v>0.94749891757965099</v>
      </c>
      <c r="F501" s="1">
        <v>-1.7000000000000001E-2</v>
      </c>
      <c r="G501" s="1">
        <f t="shared" si="14"/>
        <v>-2.5000000000000008E-2</v>
      </c>
      <c r="H501" s="1" t="str">
        <f t="shared" si="15"/>
        <v/>
      </c>
      <c r="I501" s="1">
        <v>7.0000000000000001E-3</v>
      </c>
      <c r="J501" s="1">
        <f>+D501-F501+I501*O501</f>
        <v>3.5590000000000004E-2</v>
      </c>
      <c r="K501" s="1">
        <v>4.4159619137644802E-3</v>
      </c>
      <c r="L501" s="1">
        <f>+K501-J501</f>
        <v>-3.1174038086235523E-2</v>
      </c>
      <c r="M501" s="1">
        <v>-1.1584038086235499E-2</v>
      </c>
      <c r="N501" s="1">
        <f>+M501-J501</f>
        <v>-4.7174038086235506E-2</v>
      </c>
      <c r="O501">
        <v>2.37</v>
      </c>
      <c r="P501" t="s">
        <v>17</v>
      </c>
      <c r="Q501">
        <v>0</v>
      </c>
      <c r="R501">
        <v>-2.1834290929138699E-2</v>
      </c>
      <c r="S501">
        <v>-5.5051641538740202E-4</v>
      </c>
      <c r="T501">
        <v>-0.03</v>
      </c>
    </row>
    <row r="502" spans="1:20" x14ac:dyDescent="0.3">
      <c r="A502" t="s">
        <v>48</v>
      </c>
      <c r="B502">
        <v>2011</v>
      </c>
      <c r="C502">
        <v>219783.29689999999</v>
      </c>
      <c r="D502" s="1">
        <v>3.0000000000000001E-3</v>
      </c>
      <c r="E502" s="1">
        <v>0.94734901189804099</v>
      </c>
      <c r="F502" s="1">
        <v>-2.5999999999999999E-2</v>
      </c>
      <c r="G502" s="1">
        <f t="shared" si="14"/>
        <v>-5.1000000000000004E-2</v>
      </c>
      <c r="H502" s="1" t="str">
        <f t="shared" si="15"/>
        <v/>
      </c>
      <c r="I502" s="1">
        <v>0</v>
      </c>
      <c r="J502" s="1">
        <f>+D502-F502+I502*O502</f>
        <v>2.8999999999999998E-2</v>
      </c>
      <c r="K502" s="1">
        <v>1.01657090708613E-2</v>
      </c>
      <c r="L502" s="1">
        <f>+K502-J502</f>
        <v>-1.88342909291387E-2</v>
      </c>
      <c r="M502" s="1">
        <v>-2.1834290929138699E-2</v>
      </c>
      <c r="N502" s="1">
        <f>+M502-J502</f>
        <v>-5.0834290929138701E-2</v>
      </c>
      <c r="O502">
        <v>2.31</v>
      </c>
      <c r="P502" t="s">
        <v>16</v>
      </c>
      <c r="Q502">
        <v>0</v>
      </c>
      <c r="R502">
        <v>-2.5995804965495998E-3</v>
      </c>
      <c r="S502">
        <v>2.8386255726217998E-3</v>
      </c>
      <c r="T502">
        <v>-0.02</v>
      </c>
    </row>
    <row r="503" spans="1:20" x14ac:dyDescent="0.3">
      <c r="A503" t="s">
        <v>48</v>
      </c>
      <c r="B503">
        <v>2012</v>
      </c>
      <c r="C503">
        <v>220400.29689999999</v>
      </c>
      <c r="D503" s="1">
        <v>2.7E-2</v>
      </c>
      <c r="E503" s="1">
        <v>0.94963866472244296</v>
      </c>
      <c r="F503" s="1">
        <v>5.1999999999999998E-2</v>
      </c>
      <c r="G503" s="1">
        <f t="shared" si="14"/>
        <v>9.9999999999999395E-4</v>
      </c>
      <c r="H503" s="1" t="str">
        <f t="shared" si="15"/>
        <v/>
      </c>
      <c r="I503" s="1">
        <v>2E-3</v>
      </c>
      <c r="J503" s="1">
        <f>+D503-F503+I503*O503</f>
        <v>-2.0139999999999998E-2</v>
      </c>
      <c r="K503" s="1">
        <v>1.8400419503450401E-2</v>
      </c>
      <c r="L503" s="1">
        <f>+K503-J503</f>
        <v>3.8540419503450399E-2</v>
      </c>
      <c r="M503" s="1">
        <v>-2.5995804965495998E-3</v>
      </c>
      <c r="N503" s="1">
        <f>+M503-J503</f>
        <v>1.7540419503450397E-2</v>
      </c>
      <c r="O503">
        <v>2.4300000000000002</v>
      </c>
      <c r="P503" t="s">
        <v>15</v>
      </c>
      <c r="Q503">
        <v>0</v>
      </c>
      <c r="R503">
        <v>7.3856940865516998E-3</v>
      </c>
      <c r="S503">
        <v>1.2589227408170999E-3</v>
      </c>
      <c r="T503">
        <v>0.05</v>
      </c>
    </row>
    <row r="504" spans="1:20" x14ac:dyDescent="0.3">
      <c r="A504" t="s">
        <v>48</v>
      </c>
      <c r="B504">
        <v>2013</v>
      </c>
      <c r="C504">
        <v>221144.8125</v>
      </c>
      <c r="D504" s="1">
        <v>7.0000000000000001E-3</v>
      </c>
      <c r="E504" s="1">
        <v>0.95589751005172696</v>
      </c>
      <c r="F504" s="1">
        <v>-4.1000000000000002E-2</v>
      </c>
      <c r="G504" s="1">
        <f t="shared" si="14"/>
        <v>-4.0000000000000008E-2</v>
      </c>
      <c r="H504" s="1" t="str">
        <f t="shared" si="15"/>
        <v/>
      </c>
      <c r="I504" s="1">
        <v>6.0000000000000001E-3</v>
      </c>
      <c r="J504" s="1">
        <f>+D504-F504+I504*O504</f>
        <v>6.198E-2</v>
      </c>
      <c r="K504" s="1">
        <v>2.2385694086551701E-2</v>
      </c>
      <c r="L504" s="1">
        <f>+K504-J504</f>
        <v>-3.9594305913448299E-2</v>
      </c>
      <c r="M504" s="1">
        <v>7.3856940865516998E-3</v>
      </c>
      <c r="N504" s="1">
        <f>+M504-J504</f>
        <v>-5.4594305913448299E-2</v>
      </c>
      <c r="O504">
        <v>2.33</v>
      </c>
      <c r="P504" t="s">
        <v>17</v>
      </c>
      <c r="Q504">
        <v>0</v>
      </c>
      <c r="R504">
        <v>5.4358940720557903E-3</v>
      </c>
      <c r="S504">
        <v>3.4278705716132901E-3</v>
      </c>
      <c r="T504">
        <v>-0.05</v>
      </c>
    </row>
    <row r="505" spans="1:20" x14ac:dyDescent="0.3">
      <c r="A505" t="s">
        <v>48</v>
      </c>
      <c r="B505">
        <v>2014</v>
      </c>
      <c r="C505">
        <v>222580.5938</v>
      </c>
      <c r="D505" s="1">
        <v>3.0000000000000001E-3</v>
      </c>
      <c r="E505" s="1">
        <v>0.95853823423385598</v>
      </c>
      <c r="F505" s="1">
        <v>3.7999999999999999E-2</v>
      </c>
      <c r="G505" s="1">
        <f t="shared" si="14"/>
        <v>-2.0000000000000087E-3</v>
      </c>
      <c r="H505" s="1" t="str">
        <f t="shared" si="15"/>
        <v/>
      </c>
      <c r="I505" s="1">
        <v>3.0000000000000001E-3</v>
      </c>
      <c r="J505" s="1">
        <f>+D505-F505+I505*O505</f>
        <v>-2.7739999999999997E-2</v>
      </c>
      <c r="K505" s="1">
        <v>2.1435894072055799E-2</v>
      </c>
      <c r="L505" s="1">
        <f>+K505-J505</f>
        <v>4.9175894072055797E-2</v>
      </c>
      <c r="M505" s="1">
        <v>5.4358940720557903E-3</v>
      </c>
      <c r="N505" s="1">
        <f>+M505-J505</f>
        <v>3.3175894072055789E-2</v>
      </c>
      <c r="O505">
        <v>2.42</v>
      </c>
      <c r="P505" t="s">
        <v>15</v>
      </c>
      <c r="Q505">
        <v>0</v>
      </c>
      <c r="R505">
        <v>2.7701547533273699E-2</v>
      </c>
      <c r="S505">
        <v>-2.5619044899939901E-3</v>
      </c>
      <c r="T505">
        <v>0.03</v>
      </c>
    </row>
    <row r="506" spans="1:20" x14ac:dyDescent="0.3">
      <c r="A506" t="s">
        <v>48</v>
      </c>
      <c r="B506">
        <v>2015</v>
      </c>
      <c r="C506">
        <v>223524.70310000001</v>
      </c>
      <c r="D506" s="1">
        <v>3.1E-2</v>
      </c>
      <c r="E506" s="1">
        <v>0.95777672529220603</v>
      </c>
      <c r="F506" s="1">
        <v>-3.2000000000000001E-2</v>
      </c>
      <c r="G506" s="1">
        <f t="shared" si="14"/>
        <v>-3.4000000000000009E-2</v>
      </c>
      <c r="H506" s="1" t="str">
        <f t="shared" si="15"/>
        <v/>
      </c>
      <c r="I506" s="1">
        <v>-1E-3</v>
      </c>
      <c r="J506" s="1">
        <f>+D506-F506+I506*O506</f>
        <v>6.0659999999999999E-2</v>
      </c>
      <c r="K506" s="1">
        <v>2.87015475332737E-2</v>
      </c>
      <c r="L506" s="1">
        <f>+K506-J506</f>
        <v>-3.1958452466726295E-2</v>
      </c>
      <c r="M506" s="1">
        <v>2.7701547533273699E-2</v>
      </c>
      <c r="N506" s="1">
        <f>+M506-J506</f>
        <v>-3.2958452466726296E-2</v>
      </c>
      <c r="O506">
        <v>2.34</v>
      </c>
      <c r="P506" t="s">
        <v>16</v>
      </c>
      <c r="Q506">
        <v>0</v>
      </c>
      <c r="R506">
        <v>2.4920381873846102E-2</v>
      </c>
      <c r="S506">
        <v>1.17668248713017E-2</v>
      </c>
      <c r="T506">
        <v>-0.02</v>
      </c>
    </row>
    <row r="507" spans="1:20" x14ac:dyDescent="0.3">
      <c r="A507" t="s">
        <v>48</v>
      </c>
      <c r="B507">
        <v>2016</v>
      </c>
      <c r="C507">
        <v>225067.9063</v>
      </c>
      <c r="D507" s="1">
        <v>1.4999999999999999E-2</v>
      </c>
      <c r="E507" s="1">
        <v>0.95204883813857999</v>
      </c>
      <c r="F507" s="1">
        <v>1E-3</v>
      </c>
      <c r="G507" s="1">
        <f t="shared" si="14"/>
        <v>-3.3000000000000008E-2</v>
      </c>
      <c r="H507" s="1" t="str">
        <f t="shared" si="15"/>
        <v/>
      </c>
      <c r="I507" s="1">
        <v>-6.0000000000000001E-3</v>
      </c>
      <c r="J507" s="1">
        <f>+D507-F507+I507*O507</f>
        <v>-4.0000000000000105E-5</v>
      </c>
      <c r="K507" s="1">
        <v>3.7920381873846103E-2</v>
      </c>
      <c r="L507" s="1">
        <f>+K507-J507</f>
        <v>3.7960381873846101E-2</v>
      </c>
      <c r="M507" s="1">
        <v>2.4920381873846102E-2</v>
      </c>
      <c r="N507" s="1">
        <f>+M507-J507</f>
        <v>2.4960381873846103E-2</v>
      </c>
      <c r="O507">
        <v>2.34</v>
      </c>
      <c r="P507" t="s">
        <v>17</v>
      </c>
      <c r="Q507">
        <v>0.01</v>
      </c>
      <c r="R507">
        <v>9.9994481503962902E-3</v>
      </c>
      <c r="S507">
        <v>7.2098746895789996E-3</v>
      </c>
      <c r="T507">
        <v>0</v>
      </c>
    </row>
    <row r="508" spans="1:20" x14ac:dyDescent="0.3">
      <c r="A508" t="s">
        <v>48</v>
      </c>
      <c r="B508">
        <v>2017</v>
      </c>
      <c r="C508">
        <v>227051</v>
      </c>
      <c r="D508" s="1">
        <v>0.01</v>
      </c>
      <c r="E508" s="1">
        <v>0.95540434122085605</v>
      </c>
      <c r="F508" s="1">
        <v>4.1000000000000002E-2</v>
      </c>
      <c r="G508" s="1">
        <f t="shared" si="14"/>
        <v>7.9999999999999932E-3</v>
      </c>
      <c r="H508" s="1" t="str">
        <f t="shared" si="15"/>
        <v/>
      </c>
      <c r="I508" s="1">
        <v>3.0000000000000001E-3</v>
      </c>
      <c r="J508" s="1">
        <f>+D508-F508+I508*O508</f>
        <v>-2.368E-2</v>
      </c>
      <c r="K508" s="1">
        <v>3.0999448150396298E-2</v>
      </c>
      <c r="L508" s="1">
        <f>+K508-J508</f>
        <v>5.4679448150396298E-2</v>
      </c>
      <c r="M508" s="1">
        <v>9.9994481503962902E-3</v>
      </c>
      <c r="N508" s="1">
        <f>+M508-J508</f>
        <v>3.3679448150396293E-2</v>
      </c>
      <c r="O508">
        <v>2.44</v>
      </c>
      <c r="P508" t="s">
        <v>15</v>
      </c>
      <c r="Q508">
        <v>0.01</v>
      </c>
      <c r="R508">
        <v>2.0340923428535499E-2</v>
      </c>
      <c r="S508">
        <v>1.1205900460481699E-2</v>
      </c>
      <c r="T508">
        <v>0.04</v>
      </c>
    </row>
    <row r="509" spans="1:20" x14ac:dyDescent="0.3">
      <c r="A509" t="s">
        <v>48</v>
      </c>
      <c r="B509">
        <v>2018</v>
      </c>
      <c r="C509">
        <v>225092</v>
      </c>
      <c r="D509" s="1">
        <v>2E-3</v>
      </c>
      <c r="E509" s="1">
        <v>0.97272431850433305</v>
      </c>
      <c r="F509" s="1">
        <v>-1.2999999999999999E-2</v>
      </c>
      <c r="G509" s="1">
        <f t="shared" si="14"/>
        <v>-5.0000000000000062E-3</v>
      </c>
      <c r="H509" s="1" t="str">
        <f t="shared" si="15"/>
        <v/>
      </c>
      <c r="I509" s="1">
        <v>1.7000000000000001E-2</v>
      </c>
      <c r="J509" s="1">
        <f>+D509-F509+I509*O509</f>
        <v>5.5970000000000006E-2</v>
      </c>
      <c r="K509" s="1">
        <v>4.4340923428535503E-2</v>
      </c>
      <c r="L509" s="1">
        <f>+K509-J509</f>
        <v>-1.1629076571464503E-2</v>
      </c>
      <c r="M509" s="1">
        <v>2.0340923428535499E-2</v>
      </c>
      <c r="N509" s="1">
        <f>+M509-J509</f>
        <v>-3.562907657146451E-2</v>
      </c>
      <c r="O509">
        <v>2.41</v>
      </c>
      <c r="P509" t="s">
        <v>17</v>
      </c>
      <c r="Q509">
        <v>0.01</v>
      </c>
      <c r="R509">
        <v>2.0486257195472701E-2</v>
      </c>
      <c r="S509">
        <v>2.6850625872612E-3</v>
      </c>
      <c r="T509">
        <v>0</v>
      </c>
    </row>
    <row r="510" spans="1:20" x14ac:dyDescent="0.3">
      <c r="A510" t="s">
        <v>48</v>
      </c>
      <c r="B510">
        <v>2019</v>
      </c>
      <c r="C510">
        <v>214693.60939999999</v>
      </c>
      <c r="D510" s="1">
        <v>5.0000000000000001E-3</v>
      </c>
      <c r="E510" s="1">
        <v>0.97495198249816895</v>
      </c>
      <c r="F510" s="1">
        <v>-0.05</v>
      </c>
      <c r="G510" s="1">
        <f t="shared" si="14"/>
        <v>-5.5000000000000007E-2</v>
      </c>
      <c r="H510" s="1" t="str">
        <f t="shared" si="15"/>
        <v/>
      </c>
      <c r="I510" s="1">
        <v>2E-3</v>
      </c>
      <c r="J510" s="1">
        <f>+D510-F510+I510*O510</f>
        <v>5.9580000000000001E-2</v>
      </c>
      <c r="K510" s="1">
        <v>3.8486257195472703E-2</v>
      </c>
      <c r="L510" s="1">
        <f>+K510-J510</f>
        <v>-2.1093742804527298E-2</v>
      </c>
      <c r="M510" s="1">
        <v>2.0486257195472701E-2</v>
      </c>
      <c r="N510" s="1">
        <f>+M510-J510</f>
        <v>-3.90937428045273E-2</v>
      </c>
      <c r="O510">
        <v>2.29</v>
      </c>
      <c r="P510" t="s">
        <v>17</v>
      </c>
      <c r="Q510">
        <v>0</v>
      </c>
      <c r="R510">
        <v>1.27208196669817E-2</v>
      </c>
      <c r="S510">
        <v>-6.1283707618712997E-3</v>
      </c>
      <c r="T510">
        <v>-0.04</v>
      </c>
    </row>
    <row r="511" spans="1:20" x14ac:dyDescent="0.3">
      <c r="A511" t="s">
        <v>48</v>
      </c>
      <c r="B511">
        <v>2020</v>
      </c>
      <c r="C511">
        <v>209247.70310000001</v>
      </c>
      <c r="D511" s="1">
        <v>1.7999999999999999E-2</v>
      </c>
      <c r="E511" s="1">
        <v>0.97239089012145996</v>
      </c>
      <c r="F511" s="1">
        <v>4.4999999999999998E-2</v>
      </c>
      <c r="G511" s="1">
        <f t="shared" si="14"/>
        <v>-1.0000000000000009E-2</v>
      </c>
      <c r="H511" s="1" t="str">
        <f t="shared" si="15"/>
        <v/>
      </c>
      <c r="I511" s="1">
        <v>-3.0000000000000001E-3</v>
      </c>
      <c r="J511" s="1">
        <f>+D511-F511+I511*O511</f>
        <v>-3.4169999999999999E-2</v>
      </c>
      <c r="K511" s="1">
        <v>2.4720819666981701E-2</v>
      </c>
      <c r="L511" s="1">
        <f>+K511-J511</f>
        <v>5.8890819666981703E-2</v>
      </c>
      <c r="M511" s="1">
        <v>1.27208196669817E-2</v>
      </c>
      <c r="N511" s="1">
        <f>+M511-J511</f>
        <v>4.6890819666981699E-2</v>
      </c>
      <c r="O511">
        <v>2.39</v>
      </c>
      <c r="P511" t="s">
        <v>17</v>
      </c>
      <c r="Q511">
        <v>-0.01</v>
      </c>
      <c r="R511">
        <v>-1.71193161308765E-2</v>
      </c>
      <c r="S511">
        <v>-6.0708928853273399E-2</v>
      </c>
      <c r="T511">
        <v>0.08</v>
      </c>
    </row>
    <row r="512" spans="1:20" x14ac:dyDescent="0.3">
      <c r="A512" t="s">
        <v>48</v>
      </c>
      <c r="B512">
        <v>2021</v>
      </c>
      <c r="C512">
        <v>206563.4063</v>
      </c>
      <c r="D512" s="1">
        <v>4.7E-2</v>
      </c>
      <c r="E512" s="1">
        <v>0.95639884471893299</v>
      </c>
      <c r="F512" s="1">
        <v>-5.6000000000000001E-2</v>
      </c>
      <c r="G512" s="1">
        <f t="shared" si="14"/>
        <v>-6.6000000000000003E-2</v>
      </c>
      <c r="H512" s="1" t="str">
        <f t="shared" si="15"/>
        <v/>
      </c>
      <c r="I512" s="1">
        <v>-1.6E-2</v>
      </c>
      <c r="J512" s="1">
        <f>+D512-F512+I512*O512</f>
        <v>6.6840000000000011E-2</v>
      </c>
      <c r="K512" s="1">
        <v>2.98806838691235E-2</v>
      </c>
      <c r="L512" s="1">
        <f>+K512-J512</f>
        <v>-3.695931613087651E-2</v>
      </c>
      <c r="M512" s="1">
        <v>-1.71193161308765E-2</v>
      </c>
      <c r="N512" s="1">
        <f>+M512-J512</f>
        <v>-8.395931613087651E-2</v>
      </c>
      <c r="O512">
        <v>2.2599999999999998</v>
      </c>
      <c r="P512" t="s">
        <v>16</v>
      </c>
      <c r="Q512">
        <v>-0.06</v>
      </c>
      <c r="R512">
        <v>-2.8450122028589198E-2</v>
      </c>
      <c r="S512">
        <v>3.6533847451210898E-3</v>
      </c>
      <c r="T512">
        <v>-0.09</v>
      </c>
    </row>
    <row r="513" spans="1:20" x14ac:dyDescent="0.3">
      <c r="A513" t="s">
        <v>48</v>
      </c>
      <c r="B513">
        <v>2022</v>
      </c>
      <c r="C513">
        <v>207339</v>
      </c>
      <c r="D513" s="1">
        <v>1.2999999999999999E-2</v>
      </c>
      <c r="E513" s="1">
        <v>0.95828461647033703</v>
      </c>
      <c r="F513" s="1">
        <v>-5.0000000000000001E-3</v>
      </c>
      <c r="G513" s="1">
        <f t="shared" si="14"/>
        <v>-7.1000000000000008E-2</v>
      </c>
      <c r="H513" s="1" t="str">
        <f t="shared" si="15"/>
        <v/>
      </c>
      <c r="I513" s="1">
        <v>2E-3</v>
      </c>
      <c r="J513" s="1">
        <f>+D513-F513+I513*O513</f>
        <v>2.2499999999999999E-2</v>
      </c>
      <c r="K513" s="1">
        <v>5.15498779714108E-2</v>
      </c>
      <c r="L513" s="1">
        <f>+K513-J513</f>
        <v>2.9049877971410801E-2</v>
      </c>
      <c r="M513" s="1">
        <v>-2.8450122028589198E-2</v>
      </c>
      <c r="N513" s="1">
        <f>+M513-J513</f>
        <v>-5.0950122028589201E-2</v>
      </c>
      <c r="O513">
        <v>2.25</v>
      </c>
      <c r="P513" t="s">
        <v>17</v>
      </c>
      <c r="Q513">
        <v>0</v>
      </c>
      <c r="R513">
        <v>-7.4015732705592901E-3</v>
      </c>
      <c r="S513">
        <v>1.215735450387E-2</v>
      </c>
      <c r="T513">
        <v>0.01</v>
      </c>
    </row>
    <row r="514" spans="1:20" x14ac:dyDescent="0.3">
      <c r="A514" t="s">
        <v>49</v>
      </c>
      <c r="B514">
        <v>2006</v>
      </c>
      <c r="C514">
        <v>2073364</v>
      </c>
      <c r="D514" s="1">
        <v>0.01</v>
      </c>
      <c r="E514" s="1">
        <v>0.91673713922500599</v>
      </c>
      <c r="F514" s="1">
        <v>3.0000000000000001E-3</v>
      </c>
      <c r="G514" s="1">
        <f t="shared" si="14"/>
        <v>3.0000000000000001E-3</v>
      </c>
      <c r="H514" s="1" t="str">
        <f t="shared" si="15"/>
        <v/>
      </c>
      <c r="I514" s="1">
        <v>5.0000000000000001E-3</v>
      </c>
      <c r="J514" s="1">
        <f>+D514-F514+I514*O514</f>
        <v>1.7500000000000002E-2</v>
      </c>
      <c r="K514" s="1">
        <v>1.2977884151041501E-2</v>
      </c>
      <c r="L514" s="1">
        <f>+K514-J514</f>
        <v>-4.5221158489585009E-3</v>
      </c>
      <c r="M514" s="1">
        <v>-1.90221158489585E-2</v>
      </c>
      <c r="N514" s="1">
        <f>+M514-J514</f>
        <v>-3.6522115848958502E-2</v>
      </c>
      <c r="O514">
        <v>2.1</v>
      </c>
      <c r="P514" t="s">
        <v>15</v>
      </c>
      <c r="Q514">
        <v>-0.03</v>
      </c>
      <c r="R514">
        <v>-1.18298110514879E-2</v>
      </c>
      <c r="S514">
        <v>-1.09080551192163E-2</v>
      </c>
      <c r="T514">
        <v>0</v>
      </c>
    </row>
    <row r="515" spans="1:20" x14ac:dyDescent="0.3">
      <c r="A515" t="s">
        <v>49</v>
      </c>
      <c r="B515">
        <v>2007</v>
      </c>
      <c r="C515">
        <v>2086778.125</v>
      </c>
      <c r="D515" s="1">
        <v>-1E-3</v>
      </c>
      <c r="E515" s="1">
        <v>0.92023861408233598</v>
      </c>
      <c r="F515" s="1">
        <v>-1.2999999999999999E-2</v>
      </c>
      <c r="G515" s="1">
        <f t="shared" si="14"/>
        <v>-9.9999999999999985E-3</v>
      </c>
      <c r="H515" s="1" t="str">
        <f t="shared" si="15"/>
        <v/>
      </c>
      <c r="I515" s="1">
        <v>4.0000000000000001E-3</v>
      </c>
      <c r="J515" s="1">
        <f>+D515-F515+I515*O515</f>
        <v>2.0279999999999999E-2</v>
      </c>
      <c r="K515" s="1">
        <v>1.7170188948512102E-2</v>
      </c>
      <c r="L515" s="1">
        <f>+K515-J515</f>
        <v>-3.1098110514878978E-3</v>
      </c>
      <c r="M515" s="1">
        <v>-1.18298110514879E-2</v>
      </c>
      <c r="N515" s="1">
        <f>+M515-J515</f>
        <v>-3.2109811051487899E-2</v>
      </c>
      <c r="O515">
        <v>2.0699999999999998</v>
      </c>
      <c r="P515" t="s">
        <v>17</v>
      </c>
      <c r="Q515">
        <v>-0.01</v>
      </c>
      <c r="R515">
        <v>-2.3677737742662401E-2</v>
      </c>
      <c r="S515">
        <v>5.8330665342509998E-3</v>
      </c>
      <c r="T515">
        <v>-0.01</v>
      </c>
    </row>
    <row r="516" spans="1:20" x14ac:dyDescent="0.3">
      <c r="A516" t="s">
        <v>49</v>
      </c>
      <c r="B516">
        <v>2008</v>
      </c>
      <c r="C516">
        <v>2098281</v>
      </c>
      <c r="D516" s="1">
        <v>0</v>
      </c>
      <c r="E516" s="1">
        <v>0.916464984416962</v>
      </c>
      <c r="F516" s="1">
        <v>3.9E-2</v>
      </c>
      <c r="G516" s="1">
        <f t="shared" si="14"/>
        <v>2.9000000000000001E-2</v>
      </c>
      <c r="H516" s="1" t="str">
        <f t="shared" si="15"/>
        <v/>
      </c>
      <c r="I516" s="1">
        <v>-4.0000000000000001E-3</v>
      </c>
      <c r="J516" s="1">
        <f>+D516-F516+I516*O516</f>
        <v>-4.7640000000000002E-2</v>
      </c>
      <c r="K516" s="1">
        <v>1.43222622573376E-2</v>
      </c>
      <c r="L516" s="1">
        <f>+K516-J516</f>
        <v>6.19622622573376E-2</v>
      </c>
      <c r="M516" s="1">
        <v>-2.3677737742662401E-2</v>
      </c>
      <c r="N516" s="1">
        <f>+M516-J516</f>
        <v>2.3962262257337601E-2</v>
      </c>
      <c r="O516">
        <v>2.16</v>
      </c>
      <c r="P516" t="s">
        <v>17</v>
      </c>
      <c r="Q516">
        <v>0.01</v>
      </c>
      <c r="R516">
        <v>-1.34553021788597E-2</v>
      </c>
      <c r="S516">
        <v>1.31113994866609E-2</v>
      </c>
      <c r="T516">
        <v>0.04</v>
      </c>
    </row>
    <row r="517" spans="1:20" x14ac:dyDescent="0.3">
      <c r="A517" t="s">
        <v>49</v>
      </c>
      <c r="B517">
        <v>2009</v>
      </c>
      <c r="C517">
        <v>2110508</v>
      </c>
      <c r="D517" s="1">
        <v>1E-3</v>
      </c>
      <c r="E517" s="1">
        <v>0.91140753030777</v>
      </c>
      <c r="F517" s="1">
        <v>2.8000000000000001E-2</v>
      </c>
      <c r="G517" s="1">
        <f t="shared" si="14"/>
        <v>5.7000000000000002E-2</v>
      </c>
      <c r="H517" s="1" t="str">
        <f t="shared" si="15"/>
        <v/>
      </c>
      <c r="I517" s="1">
        <v>-5.0000000000000001E-3</v>
      </c>
      <c r="J517" s="1">
        <f>+D517-F517+I517*O517</f>
        <v>-3.8100000000000002E-2</v>
      </c>
      <c r="K517" s="1">
        <v>-1.74553021788597E-2</v>
      </c>
      <c r="L517" s="1">
        <f>+K517-J517</f>
        <v>2.0644697821140302E-2</v>
      </c>
      <c r="M517" s="1">
        <v>-1.34553021788597E-2</v>
      </c>
      <c r="N517" s="1">
        <f>+M517-J517</f>
        <v>2.4644697821140302E-2</v>
      </c>
      <c r="O517">
        <v>2.2200000000000002</v>
      </c>
      <c r="P517" t="s">
        <v>17</v>
      </c>
      <c r="Q517">
        <v>0.01</v>
      </c>
      <c r="R517">
        <v>-9.5005735605955093E-3</v>
      </c>
      <c r="S517">
        <v>-4.0464801713824198E-5</v>
      </c>
      <c r="T517">
        <v>0.01</v>
      </c>
    </row>
    <row r="518" spans="1:20" x14ac:dyDescent="0.3">
      <c r="A518" t="s">
        <v>49</v>
      </c>
      <c r="B518">
        <v>2010</v>
      </c>
      <c r="C518">
        <v>2120738</v>
      </c>
      <c r="D518" s="1">
        <v>1E-3</v>
      </c>
      <c r="E518" s="1">
        <v>0.91586643457412698</v>
      </c>
      <c r="F518" s="1">
        <v>3.9E-2</v>
      </c>
      <c r="G518" s="1">
        <f t="shared" si="14"/>
        <v>9.6000000000000002E-2</v>
      </c>
      <c r="H518" s="1" t="str">
        <f t="shared" si="15"/>
        <v/>
      </c>
      <c r="I518" s="1">
        <v>4.0000000000000001E-3</v>
      </c>
      <c r="J518" s="1">
        <f>+D518-F518+I518*O518</f>
        <v>-2.8799999999999999E-2</v>
      </c>
      <c r="K518" s="1">
        <v>6.4994264394044902E-3</v>
      </c>
      <c r="L518" s="1">
        <f>+K518-J518</f>
        <v>3.5299426439404487E-2</v>
      </c>
      <c r="M518" s="1">
        <v>-9.5005735605955093E-3</v>
      </c>
      <c r="N518" s="1">
        <f>+M518-J518</f>
        <v>1.929942643940449E-2</v>
      </c>
      <c r="O518">
        <v>2.2999999999999998</v>
      </c>
      <c r="P518" t="s">
        <v>15</v>
      </c>
      <c r="Q518">
        <v>0</v>
      </c>
      <c r="R518">
        <v>-2.20350114330649E-2</v>
      </c>
      <c r="S518">
        <v>-7.5123691931363798E-4</v>
      </c>
      <c r="T518">
        <v>0.03</v>
      </c>
    </row>
    <row r="519" spans="1:20" x14ac:dyDescent="0.3">
      <c r="A519" t="s">
        <v>49</v>
      </c>
      <c r="B519">
        <v>2011</v>
      </c>
      <c r="C519">
        <v>2129093</v>
      </c>
      <c r="D519" s="1">
        <v>5.0000000000000001E-3</v>
      </c>
      <c r="E519" s="1">
        <v>0.91883838176727295</v>
      </c>
      <c r="F519" s="1">
        <v>-3.5000000000000003E-2</v>
      </c>
      <c r="G519" s="1">
        <f t="shared" ref="G519:G582" si="16">SUMIFS(F:F,A:A,A519,B:B,"&lt;="&amp;B519)</f>
        <v>6.0999999999999999E-2</v>
      </c>
      <c r="H519" s="1" t="str">
        <f t="shared" ref="H519:H582" si="17">IFERROR(IF(ABS(G519)&gt;0.12,AVERAGEIFS(K:K,A:A,A519,B:B,"&gt;"&amp;B519,B:B,"&lt;"&amp;B519+3),""),"")</f>
        <v/>
      </c>
      <c r="I519" s="1">
        <v>3.0000000000000001E-3</v>
      </c>
      <c r="J519" s="1">
        <f>+D519-F519+I519*O519</f>
        <v>4.666E-2</v>
      </c>
      <c r="K519" s="1">
        <v>9.9649885669350607E-3</v>
      </c>
      <c r="L519" s="1">
        <f>+K519-J519</f>
        <v>-3.6695011433064938E-2</v>
      </c>
      <c r="M519" s="1">
        <v>-2.20350114330649E-2</v>
      </c>
      <c r="N519" s="1">
        <f>+M519-J519</f>
        <v>-6.8695011433064904E-2</v>
      </c>
      <c r="O519">
        <v>2.2200000000000002</v>
      </c>
      <c r="P519" t="s">
        <v>17</v>
      </c>
      <c r="Q519">
        <v>0</v>
      </c>
      <c r="R519">
        <v>-3.4078939855099002E-3</v>
      </c>
      <c r="S519">
        <v>2.0303120836614899E-3</v>
      </c>
      <c r="T519">
        <v>-0.03</v>
      </c>
    </row>
    <row r="520" spans="1:20" x14ac:dyDescent="0.3">
      <c r="A520" t="s">
        <v>49</v>
      </c>
      <c r="B520">
        <v>2012</v>
      </c>
      <c r="C520">
        <v>2139233</v>
      </c>
      <c r="D520" s="1">
        <v>4.0000000000000001E-3</v>
      </c>
      <c r="E520" s="1">
        <v>0.92302513122558605</v>
      </c>
      <c r="F520" s="1">
        <v>-1.2E-2</v>
      </c>
      <c r="G520" s="1">
        <f t="shared" si="16"/>
        <v>4.9000000000000002E-2</v>
      </c>
      <c r="H520" s="1" t="str">
        <f t="shared" si="17"/>
        <v/>
      </c>
      <c r="I520" s="1">
        <v>4.0000000000000001E-3</v>
      </c>
      <c r="J520" s="1">
        <f>+D520-F520+I520*O520</f>
        <v>2.4800000000000003E-2</v>
      </c>
      <c r="K520" s="1">
        <v>1.75921060144901E-2</v>
      </c>
      <c r="L520" s="1">
        <f>+K520-J520</f>
        <v>-7.2078939855099028E-3</v>
      </c>
      <c r="M520" s="1">
        <v>-3.4078939855099002E-3</v>
      </c>
      <c r="N520" s="1">
        <f>+M520-J520</f>
        <v>-2.8207893985509904E-2</v>
      </c>
      <c r="O520">
        <v>2.2000000000000002</v>
      </c>
      <c r="P520" t="s">
        <v>17</v>
      </c>
      <c r="Q520">
        <v>0</v>
      </c>
      <c r="R520">
        <v>9.2796521633863004E-3</v>
      </c>
      <c r="S520">
        <v>3.1528808176517001E-3</v>
      </c>
      <c r="T520">
        <v>-0.02</v>
      </c>
    </row>
    <row r="521" spans="1:20" x14ac:dyDescent="0.3">
      <c r="A521" t="s">
        <v>49</v>
      </c>
      <c r="B521">
        <v>2013</v>
      </c>
      <c r="C521">
        <v>2151333</v>
      </c>
      <c r="D521" s="1">
        <v>6.0000000000000001E-3</v>
      </c>
      <c r="E521" s="1">
        <v>0.92236423492431596</v>
      </c>
      <c r="F521" s="1">
        <v>7.0000000000000001E-3</v>
      </c>
      <c r="G521" s="1">
        <f t="shared" si="16"/>
        <v>5.6000000000000001E-2</v>
      </c>
      <c r="H521" s="1" t="str">
        <f t="shared" si="17"/>
        <v/>
      </c>
      <c r="I521" s="1">
        <v>-1E-3</v>
      </c>
      <c r="J521" s="1">
        <f>+D521-F521+I521*O521</f>
        <v>-3.2100000000000002E-3</v>
      </c>
      <c r="K521" s="1">
        <v>2.42796521633863E-2</v>
      </c>
      <c r="L521" s="1">
        <f>+K521-J521</f>
        <v>2.7489652163386301E-2</v>
      </c>
      <c r="M521" s="1">
        <v>9.2796521633863004E-3</v>
      </c>
      <c r="N521" s="1">
        <f>+M521-J521</f>
        <v>1.2489652163386301E-2</v>
      </c>
      <c r="O521">
        <v>2.21</v>
      </c>
      <c r="P521" t="s">
        <v>17</v>
      </c>
      <c r="Q521">
        <v>0</v>
      </c>
      <c r="R521">
        <v>-4.5102479308839998E-4</v>
      </c>
      <c r="S521">
        <v>-2.4590482935308998E-3</v>
      </c>
      <c r="T521">
        <v>0</v>
      </c>
    </row>
    <row r="522" spans="1:20" x14ac:dyDescent="0.3">
      <c r="A522" t="s">
        <v>49</v>
      </c>
      <c r="B522">
        <v>2014</v>
      </c>
      <c r="C522">
        <v>2164203</v>
      </c>
      <c r="D522" s="1">
        <v>7.0000000000000001E-3</v>
      </c>
      <c r="E522" s="1">
        <v>0.92289406061172496</v>
      </c>
      <c r="F522" s="1">
        <v>-1.2999999999999999E-2</v>
      </c>
      <c r="G522" s="1">
        <f t="shared" si="16"/>
        <v>4.3000000000000003E-2</v>
      </c>
      <c r="H522" s="1" t="str">
        <f t="shared" si="17"/>
        <v/>
      </c>
      <c r="I522" s="1">
        <v>1E-3</v>
      </c>
      <c r="J522" s="1">
        <f>+D522-F522+I522*O522</f>
        <v>2.2180000000000002E-2</v>
      </c>
      <c r="K522" s="1">
        <v>1.55489752069116E-2</v>
      </c>
      <c r="L522" s="1">
        <f>+K522-J522</f>
        <v>-6.6310247930884015E-3</v>
      </c>
      <c r="M522" s="1">
        <v>-4.5102479308839998E-4</v>
      </c>
      <c r="N522" s="1">
        <f>+M522-J522</f>
        <v>-2.26310247930884E-2</v>
      </c>
      <c r="O522">
        <v>2.1800000000000002</v>
      </c>
      <c r="P522" t="s">
        <v>17</v>
      </c>
      <c r="Q522">
        <v>0</v>
      </c>
      <c r="R522">
        <v>3.0263452023267599E-2</v>
      </c>
      <c r="S522">
        <v>0</v>
      </c>
      <c r="T522">
        <v>-0.02</v>
      </c>
    </row>
    <row r="523" spans="1:20" x14ac:dyDescent="0.3">
      <c r="A523" t="s">
        <v>49</v>
      </c>
      <c r="B523">
        <v>2015</v>
      </c>
      <c r="C523">
        <v>2176396</v>
      </c>
      <c r="D523" s="1">
        <v>1.0999999999999999E-2</v>
      </c>
      <c r="E523" s="1">
        <v>0.92960858345031705</v>
      </c>
      <c r="F523" s="1">
        <v>-1.4999999999999999E-2</v>
      </c>
      <c r="G523" s="1">
        <f t="shared" si="16"/>
        <v>2.8000000000000004E-2</v>
      </c>
      <c r="H523" s="1" t="str">
        <f t="shared" si="17"/>
        <v/>
      </c>
      <c r="I523" s="1">
        <v>7.0000000000000001E-3</v>
      </c>
      <c r="J523" s="1">
        <f>+D523-F523+I523*O523</f>
        <v>4.1049999999999996E-2</v>
      </c>
      <c r="K523" s="1">
        <v>3.1263452023267697E-2</v>
      </c>
      <c r="L523" s="1">
        <f>+K523-J523</f>
        <v>-9.7865479767322988E-3</v>
      </c>
      <c r="M523" s="1">
        <v>3.0263452023267599E-2</v>
      </c>
      <c r="N523" s="1">
        <f>+M523-J523</f>
        <v>-1.0786547976732397E-2</v>
      </c>
      <c r="O523">
        <v>2.15</v>
      </c>
      <c r="P523" t="s">
        <v>17</v>
      </c>
      <c r="Q523" t="s">
        <v>23</v>
      </c>
      <c r="R523">
        <v>1.13887882679701E-2</v>
      </c>
      <c r="S523">
        <v>-1.7647687345742999E-3</v>
      </c>
      <c r="T523">
        <v>0</v>
      </c>
    </row>
    <row r="524" spans="1:20" x14ac:dyDescent="0.3">
      <c r="A524" t="s">
        <v>49</v>
      </c>
      <c r="B524">
        <v>2016</v>
      </c>
      <c r="C524">
        <v>2189974</v>
      </c>
      <c r="D524" s="1">
        <v>2.5000000000000001E-2</v>
      </c>
      <c r="E524" s="1">
        <v>0.92516702413559004</v>
      </c>
      <c r="F524" s="1">
        <v>1.0999999999999999E-2</v>
      </c>
      <c r="G524" s="1">
        <f t="shared" si="16"/>
        <v>3.9000000000000007E-2</v>
      </c>
      <c r="H524" s="1" t="str">
        <f t="shared" si="17"/>
        <v/>
      </c>
      <c r="I524" s="1">
        <v>-4.0000000000000001E-3</v>
      </c>
      <c r="J524" s="1">
        <f>+D524-F524+I524*O524</f>
        <v>5.3200000000000018E-3</v>
      </c>
      <c r="K524" s="1">
        <v>2.4388788267970099E-2</v>
      </c>
      <c r="L524" s="1">
        <f>+K524-J524</f>
        <v>1.9068788267970097E-2</v>
      </c>
      <c r="M524" s="1">
        <v>1.13887882679701E-2</v>
      </c>
      <c r="N524" s="1">
        <f>+M524-J524</f>
        <v>6.0687882679700978E-3</v>
      </c>
      <c r="O524">
        <v>2.17</v>
      </c>
      <c r="P524" t="s">
        <v>17</v>
      </c>
      <c r="Q524">
        <v>0</v>
      </c>
      <c r="R524">
        <v>2.1550838798284999E-3</v>
      </c>
      <c r="S524">
        <v>-6.3448958098879702E-4</v>
      </c>
      <c r="T524">
        <v>0.01</v>
      </c>
    </row>
    <row r="525" spans="1:20" x14ac:dyDescent="0.3">
      <c r="A525" t="s">
        <v>49</v>
      </c>
      <c r="B525">
        <v>2017</v>
      </c>
      <c r="C525">
        <v>2203303</v>
      </c>
      <c r="D525" s="1">
        <v>1.4E-2</v>
      </c>
      <c r="E525" s="1">
        <v>0.92432695627212502</v>
      </c>
      <c r="F525" s="1">
        <v>1.4999999999999999E-2</v>
      </c>
      <c r="G525" s="1">
        <f t="shared" si="16"/>
        <v>5.4000000000000006E-2</v>
      </c>
      <c r="H525" s="1" t="str">
        <f t="shared" si="17"/>
        <v/>
      </c>
      <c r="I525" s="1">
        <v>-1E-3</v>
      </c>
      <c r="J525" s="1">
        <f>+D525-F525+I525*O525</f>
        <v>-3.2099999999999993E-3</v>
      </c>
      <c r="K525" s="1">
        <v>2.3155083879828502E-2</v>
      </c>
      <c r="L525" s="1">
        <f>+K525-J525</f>
        <v>2.6365083879828499E-2</v>
      </c>
      <c r="M525" s="1">
        <v>2.1550838798284999E-3</v>
      </c>
      <c r="N525" s="1">
        <f>+M525-J525</f>
        <v>5.3650838798284996E-3</v>
      </c>
      <c r="O525">
        <v>2.21</v>
      </c>
      <c r="P525" t="s">
        <v>17</v>
      </c>
      <c r="Q525">
        <v>0</v>
      </c>
      <c r="R525">
        <v>1.1711161792278201E-2</v>
      </c>
      <c r="S525">
        <v>2.5761388242244998E-3</v>
      </c>
      <c r="T525">
        <v>0.02</v>
      </c>
    </row>
    <row r="526" spans="1:20" x14ac:dyDescent="0.3">
      <c r="A526" t="s">
        <v>49</v>
      </c>
      <c r="B526">
        <v>2018</v>
      </c>
      <c r="C526">
        <v>2215341</v>
      </c>
      <c r="D526" s="1">
        <v>8.9999999999999993E-3</v>
      </c>
      <c r="E526" s="1">
        <v>0.93518686294555697</v>
      </c>
      <c r="F526" s="1">
        <v>-6.0000000000000001E-3</v>
      </c>
      <c r="G526" s="1">
        <f t="shared" si="16"/>
        <v>4.8000000000000008E-2</v>
      </c>
      <c r="H526" s="1" t="str">
        <f t="shared" si="17"/>
        <v/>
      </c>
      <c r="I526" s="1">
        <v>1.0999999999999999E-2</v>
      </c>
      <c r="J526" s="1">
        <f>+D526-F526+I526*O526</f>
        <v>3.909E-2</v>
      </c>
      <c r="K526" s="1">
        <v>3.5711161792278297E-2</v>
      </c>
      <c r="L526" s="1">
        <f>+K526-J526</f>
        <v>-3.378838207721703E-3</v>
      </c>
      <c r="M526" s="1">
        <v>1.1711161792278201E-2</v>
      </c>
      <c r="N526" s="1">
        <f>+M526-J526</f>
        <v>-2.7378838207721801E-2</v>
      </c>
      <c r="O526">
        <v>2.19</v>
      </c>
      <c r="P526" t="s">
        <v>17</v>
      </c>
      <c r="Q526">
        <v>0</v>
      </c>
      <c r="R526">
        <v>1.86988033056259E-2</v>
      </c>
      <c r="S526">
        <v>8.9760869741439798E-4</v>
      </c>
      <c r="T526">
        <v>0</v>
      </c>
    </row>
    <row r="527" spans="1:20" x14ac:dyDescent="0.3">
      <c r="A527" t="s">
        <v>49</v>
      </c>
      <c r="B527">
        <v>2019</v>
      </c>
      <c r="C527">
        <v>2228235</v>
      </c>
      <c r="D527" s="1">
        <v>7.0000000000000001E-3</v>
      </c>
      <c r="E527" s="1">
        <v>0.93662416934966997</v>
      </c>
      <c r="F527" s="1">
        <v>-2.1999999999999999E-2</v>
      </c>
      <c r="G527" s="1">
        <f t="shared" si="16"/>
        <v>2.6000000000000009E-2</v>
      </c>
      <c r="H527" s="1" t="str">
        <f t="shared" si="17"/>
        <v/>
      </c>
      <c r="I527" s="1">
        <v>1E-3</v>
      </c>
      <c r="J527" s="1">
        <f>+D527-F527+I527*O527</f>
        <v>3.1149999999999997E-2</v>
      </c>
      <c r="K527" s="1">
        <v>3.6698803305625902E-2</v>
      </c>
      <c r="L527" s="1">
        <f>+K527-J527</f>
        <v>5.5488033056259045E-3</v>
      </c>
      <c r="M527" s="1">
        <v>1.86988033056259E-2</v>
      </c>
      <c r="N527" s="1">
        <f>+M527-J527</f>
        <v>-1.2451196694374098E-2</v>
      </c>
      <c r="O527">
        <v>2.15</v>
      </c>
      <c r="P527" t="s">
        <v>17</v>
      </c>
      <c r="Q527">
        <v>0</v>
      </c>
      <c r="R527">
        <v>1.4104321703314699E-2</v>
      </c>
      <c r="S527">
        <v>-4.7448687255382E-3</v>
      </c>
      <c r="T527">
        <v>-0.01</v>
      </c>
    </row>
    <row r="528" spans="1:20" x14ac:dyDescent="0.3">
      <c r="A528" t="s">
        <v>49</v>
      </c>
      <c r="B528">
        <v>2020</v>
      </c>
      <c r="C528">
        <v>2236436</v>
      </c>
      <c r="D528" s="1">
        <v>1.7999999999999999E-2</v>
      </c>
      <c r="E528" s="1">
        <v>0.93731743097305298</v>
      </c>
      <c r="F528" s="1">
        <v>-4.2999999999999997E-2</v>
      </c>
      <c r="G528" s="1">
        <f t="shared" si="16"/>
        <v>-1.6999999999999987E-2</v>
      </c>
      <c r="H528" s="1" t="str">
        <f t="shared" si="17"/>
        <v/>
      </c>
      <c r="I528" s="1">
        <v>1E-3</v>
      </c>
      <c r="J528" s="1">
        <f>+D528-F528+I528*O528</f>
        <v>6.3049999999999995E-2</v>
      </c>
      <c r="K528" s="1">
        <v>2.6104321703314799E-2</v>
      </c>
      <c r="L528" s="1">
        <f>+K528-J528</f>
        <v>-3.69456782966852E-2</v>
      </c>
      <c r="M528" s="1">
        <v>1.4104321703314699E-2</v>
      </c>
      <c r="N528" s="1">
        <f>+M528-J528</f>
        <v>-4.8945678296685294E-2</v>
      </c>
      <c r="O528">
        <v>2.0499999999999998</v>
      </c>
      <c r="P528" t="s">
        <v>17</v>
      </c>
      <c r="Q528">
        <v>0</v>
      </c>
      <c r="R528">
        <v>3.0401407063007299E-2</v>
      </c>
      <c r="S528">
        <v>-1.3188205659389499E-2</v>
      </c>
      <c r="T528">
        <v>0</v>
      </c>
    </row>
    <row r="529" spans="1:20" x14ac:dyDescent="0.3">
      <c r="A529" t="s">
        <v>49</v>
      </c>
      <c r="B529">
        <v>2021</v>
      </c>
      <c r="C529">
        <v>2238966</v>
      </c>
      <c r="D529" s="1">
        <v>7.0000000000000001E-3</v>
      </c>
      <c r="E529" s="1">
        <v>0.95439994335174605</v>
      </c>
      <c r="F529" s="1">
        <v>1.2E-2</v>
      </c>
      <c r="G529" s="1">
        <f t="shared" si="16"/>
        <v>-4.9999999999999871E-3</v>
      </c>
      <c r="H529" s="1" t="str">
        <f t="shared" si="17"/>
        <v/>
      </c>
      <c r="I529" s="1">
        <v>1.7000000000000001E-2</v>
      </c>
      <c r="J529" s="1">
        <f>+D529-F529+I529*O529</f>
        <v>3.0360000000000002E-2</v>
      </c>
      <c r="K529" s="1">
        <v>7.7401407063007396E-2</v>
      </c>
      <c r="L529" s="1">
        <f>+K529-J529</f>
        <v>4.7041407063007398E-2</v>
      </c>
      <c r="M529" s="1">
        <v>3.0401407063007299E-2</v>
      </c>
      <c r="N529" s="1">
        <f>+M529-J529</f>
        <v>4.1407063007297545E-5</v>
      </c>
      <c r="O529">
        <v>2.08</v>
      </c>
      <c r="P529" t="s">
        <v>15</v>
      </c>
      <c r="Q529">
        <v>-0.01</v>
      </c>
      <c r="R529">
        <v>-1.3250144124030999E-2</v>
      </c>
      <c r="S529">
        <v>1.8853362649679201E-2</v>
      </c>
      <c r="T529">
        <v>-0.02</v>
      </c>
    </row>
    <row r="530" spans="1:20" x14ac:dyDescent="0.3">
      <c r="A530" t="s">
        <v>49</v>
      </c>
      <c r="B530">
        <v>2022</v>
      </c>
      <c r="C530">
        <v>2251509</v>
      </c>
      <c r="D530" s="1">
        <v>1.7000000000000001E-2</v>
      </c>
      <c r="E530" s="1">
        <v>0.94219160079956099</v>
      </c>
      <c r="F530" s="1">
        <v>-3.3000000000000002E-2</v>
      </c>
      <c r="G530" s="1">
        <f t="shared" si="16"/>
        <v>-3.7999999999999992E-2</v>
      </c>
      <c r="H530" s="1" t="str">
        <f t="shared" si="17"/>
        <v/>
      </c>
      <c r="I530" s="1">
        <v>-1.2E-2</v>
      </c>
      <c r="J530" s="1">
        <f>+D530-F530+I530*O530</f>
        <v>2.5880000000000004E-2</v>
      </c>
      <c r="K530" s="1">
        <v>6.6749855875968905E-2</v>
      </c>
      <c r="L530" s="1">
        <f>+K530-J530</f>
        <v>4.0869855875968905E-2</v>
      </c>
      <c r="M530" s="1">
        <v>-1.3250144124030999E-2</v>
      </c>
      <c r="N530" s="1">
        <f>+M530-J530</f>
        <v>-3.9130144124030999E-2</v>
      </c>
      <c r="O530">
        <v>2.0099999999999998</v>
      </c>
      <c r="P530" t="s">
        <v>16</v>
      </c>
      <c r="Q530">
        <v>0.02</v>
      </c>
      <c r="R530">
        <v>-5.7181443870068004E-3</v>
      </c>
      <c r="S530">
        <v>1.3840783387422499E-2</v>
      </c>
      <c r="T530">
        <v>-0.02</v>
      </c>
    </row>
    <row r="531" spans="1:20" x14ac:dyDescent="0.3">
      <c r="A531" t="s">
        <v>50</v>
      </c>
      <c r="B531">
        <v>2006</v>
      </c>
      <c r="C531">
        <v>240018.20310000001</v>
      </c>
      <c r="D531" s="1">
        <v>8.0000000000000002E-3</v>
      </c>
      <c r="E531" s="1">
        <v>0.91225409507751498</v>
      </c>
      <c r="F531" s="1">
        <v>-7.0000000000000007E-2</v>
      </c>
      <c r="G531" s="1">
        <f t="shared" si="16"/>
        <v>-7.0000000000000007E-2</v>
      </c>
      <c r="H531" s="1" t="str">
        <f t="shared" si="17"/>
        <v/>
      </c>
      <c r="I531" s="1">
        <v>-0.01</v>
      </c>
      <c r="J531" s="1">
        <f>+D531-F531+I531*O531</f>
        <v>5.3000000000000012E-2</v>
      </c>
      <c r="K531" s="1">
        <v>6.3713140785694095E-2</v>
      </c>
      <c r="L531" s="1">
        <f>+K531-J531</f>
        <v>1.0713140785694082E-2</v>
      </c>
      <c r="M531" s="1">
        <v>3.1713140785693997E-2</v>
      </c>
      <c r="N531" s="1">
        <f>+M531-J531</f>
        <v>-2.1286859214306016E-2</v>
      </c>
      <c r="O531">
        <v>2.5</v>
      </c>
      <c r="P531" t="s">
        <v>16</v>
      </c>
      <c r="Q531">
        <v>0.03</v>
      </c>
      <c r="R531">
        <v>-4.6009038537741E-3</v>
      </c>
      <c r="S531">
        <v>-3.6791479215025902E-3</v>
      </c>
      <c r="T531">
        <v>-7.0000000000000007E-2</v>
      </c>
    </row>
    <row r="532" spans="1:20" x14ac:dyDescent="0.3">
      <c r="A532" t="s">
        <v>50</v>
      </c>
      <c r="B532">
        <v>2007</v>
      </c>
      <c r="C532">
        <v>247967.79689999999</v>
      </c>
      <c r="D532" s="1">
        <v>5.0999999999999997E-2</v>
      </c>
      <c r="E532" s="1">
        <v>0.87425714731216397</v>
      </c>
      <c r="F532" s="1">
        <v>1.2999999999999999E-2</v>
      </c>
      <c r="G532" s="1">
        <f t="shared" si="16"/>
        <v>-5.7000000000000009E-2</v>
      </c>
      <c r="H532" s="1" t="str">
        <f t="shared" si="17"/>
        <v/>
      </c>
      <c r="I532" s="1">
        <v>-3.7999999999999999E-2</v>
      </c>
      <c r="J532" s="1">
        <f>+D532-F532+I532*O532</f>
        <v>-5.813999999999999E-2</v>
      </c>
      <c r="K532" s="1">
        <v>2.4399096146225902E-2</v>
      </c>
      <c r="L532" s="1">
        <f>+K532-J532</f>
        <v>8.2539096146225899E-2</v>
      </c>
      <c r="M532" s="1">
        <v>-4.6009038537741E-3</v>
      </c>
      <c r="N532" s="1">
        <f>+M532-J532</f>
        <v>5.3539096146225887E-2</v>
      </c>
      <c r="O532">
        <v>2.5299999999999998</v>
      </c>
      <c r="P532" t="s">
        <v>17</v>
      </c>
      <c r="Q532">
        <v>0</v>
      </c>
      <c r="R532">
        <v>-5.3056199394166503E-2</v>
      </c>
      <c r="S532">
        <v>-2.35453951172531E-2</v>
      </c>
      <c r="T532">
        <v>0.01</v>
      </c>
    </row>
    <row r="533" spans="1:20" x14ac:dyDescent="0.3">
      <c r="A533" t="s">
        <v>50</v>
      </c>
      <c r="B533">
        <v>2008</v>
      </c>
      <c r="C533">
        <v>250395.0938</v>
      </c>
      <c r="D533" s="1">
        <v>5.3999999999999999E-2</v>
      </c>
      <c r="E533" s="1">
        <v>0.87899351119995095</v>
      </c>
      <c r="F533" s="1">
        <v>9.2999999999999999E-2</v>
      </c>
      <c r="G533" s="1">
        <f t="shared" si="16"/>
        <v>3.599999999999999E-2</v>
      </c>
      <c r="H533" s="1" t="str">
        <f t="shared" si="17"/>
        <v/>
      </c>
      <c r="I533" s="1">
        <v>5.0000000000000001E-3</v>
      </c>
      <c r="J533" s="1">
        <f>+D533-F533+I533*O533</f>
        <v>-2.52E-2</v>
      </c>
      <c r="K533" s="1">
        <v>-1.5056199394166501E-2</v>
      </c>
      <c r="L533" s="1">
        <f>+K533-J533</f>
        <v>1.0143800605833499E-2</v>
      </c>
      <c r="M533" s="1">
        <v>-5.3056199394166503E-2</v>
      </c>
      <c r="N533" s="1">
        <f>+M533-J533</f>
        <v>-2.7856199394166503E-2</v>
      </c>
      <c r="O533">
        <v>2.76</v>
      </c>
      <c r="P533" t="s">
        <v>15</v>
      </c>
      <c r="Q533">
        <v>-0.02</v>
      </c>
      <c r="R533">
        <v>-3.1784665495157197E-2</v>
      </c>
      <c r="S533">
        <v>-5.21796382963654E-3</v>
      </c>
      <c r="T533">
        <v>0.09</v>
      </c>
    </row>
    <row r="534" spans="1:20" x14ac:dyDescent="0.3">
      <c r="A534" t="s">
        <v>50</v>
      </c>
      <c r="B534">
        <v>2009</v>
      </c>
      <c r="C534">
        <v>257883.70310000001</v>
      </c>
      <c r="D534" s="1">
        <v>5.8999999999999997E-2</v>
      </c>
      <c r="E534" s="1">
        <v>0.88510501384735096</v>
      </c>
      <c r="F534" s="1">
        <v>-8.8999999999999996E-2</v>
      </c>
      <c r="G534" s="1">
        <f t="shared" si="16"/>
        <v>-5.3000000000000005E-2</v>
      </c>
      <c r="H534" s="1" t="str">
        <f t="shared" si="17"/>
        <v/>
      </c>
      <c r="I534" s="1">
        <v>6.0000000000000001E-3</v>
      </c>
      <c r="J534" s="1">
        <f>+D534-F534+I534*O534</f>
        <v>0.16311999999999999</v>
      </c>
      <c r="K534" s="1">
        <v>-3.57846654951572E-2</v>
      </c>
      <c r="L534" s="1">
        <f>+K534-J534</f>
        <v>-0.19890466549515717</v>
      </c>
      <c r="M534" s="1">
        <v>-3.1784665495157197E-2</v>
      </c>
      <c r="N534" s="1">
        <f>+M534-J534</f>
        <v>-0.19490466549515717</v>
      </c>
      <c r="O534">
        <v>2.52</v>
      </c>
      <c r="P534" t="s">
        <v>17</v>
      </c>
      <c r="Q534">
        <v>-0.01</v>
      </c>
      <c r="R534">
        <v>-4.2157258689403997E-3</v>
      </c>
      <c r="S534">
        <v>5.2443828899412801E-3</v>
      </c>
      <c r="T534">
        <v>-0.11</v>
      </c>
    </row>
    <row r="535" spans="1:20" x14ac:dyDescent="0.3">
      <c r="A535" t="s">
        <v>50</v>
      </c>
      <c r="B535">
        <v>2010</v>
      </c>
      <c r="C535">
        <v>262701.1875</v>
      </c>
      <c r="D535" s="1">
        <v>1.9E-2</v>
      </c>
      <c r="E535" s="1">
        <v>0.89155423641204801</v>
      </c>
      <c r="F535" s="1">
        <v>4.2999999999999997E-2</v>
      </c>
      <c r="G535" s="1">
        <f t="shared" si="16"/>
        <v>-1.0000000000000009E-2</v>
      </c>
      <c r="H535" s="1" t="str">
        <f t="shared" si="17"/>
        <v/>
      </c>
      <c r="I535" s="1">
        <v>6.0000000000000001E-3</v>
      </c>
      <c r="J535" s="1">
        <f>+D535-F535+I535*O535</f>
        <v>-8.2199999999999981E-3</v>
      </c>
      <c r="K535" s="1">
        <v>1.17842741310596E-2</v>
      </c>
      <c r="L535" s="1">
        <f>+K535-J535</f>
        <v>2.0004274131059596E-2</v>
      </c>
      <c r="M535" s="1">
        <v>-4.2157258689403997E-3</v>
      </c>
      <c r="N535" s="1">
        <f>+M535-J535</f>
        <v>4.0042741310595984E-3</v>
      </c>
      <c r="O535">
        <v>2.63</v>
      </c>
      <c r="P535" t="s">
        <v>15</v>
      </c>
      <c r="Q535">
        <v>0.01</v>
      </c>
      <c r="R535">
        <v>-2.3778314113616899E-2</v>
      </c>
      <c r="S535">
        <v>-2.4945395998656398E-3</v>
      </c>
      <c r="T535">
        <v>0.03</v>
      </c>
    </row>
    <row r="536" spans="1:20" x14ac:dyDescent="0.3">
      <c r="A536" t="s">
        <v>50</v>
      </c>
      <c r="B536">
        <v>2011</v>
      </c>
      <c r="C536">
        <v>267925.125</v>
      </c>
      <c r="D536" s="1">
        <v>6.3E-2</v>
      </c>
      <c r="E536" s="1">
        <v>0.88988929986953702</v>
      </c>
      <c r="F536" s="1">
        <v>2.5999999999999999E-2</v>
      </c>
      <c r="G536" s="1">
        <f t="shared" si="16"/>
        <v>1.599999999999999E-2</v>
      </c>
      <c r="H536" s="1" t="str">
        <f t="shared" si="17"/>
        <v/>
      </c>
      <c r="I536" s="1">
        <v>-2E-3</v>
      </c>
      <c r="J536" s="1">
        <f>+D536-F536+I536*O536</f>
        <v>3.1620000000000002E-2</v>
      </c>
      <c r="K536" s="1">
        <v>8.2216858863830601E-3</v>
      </c>
      <c r="L536" s="1">
        <f>+K536-J536</f>
        <v>-2.3398314113616942E-2</v>
      </c>
      <c r="M536" s="1">
        <v>-2.3778314113616899E-2</v>
      </c>
      <c r="N536" s="1">
        <f>+M536-J536</f>
        <v>-5.5398314113616898E-2</v>
      </c>
      <c r="O536">
        <v>2.69</v>
      </c>
      <c r="P536" t="s">
        <v>17</v>
      </c>
      <c r="Q536">
        <v>0</v>
      </c>
      <c r="R536">
        <v>-1.00825487673283E-2</v>
      </c>
      <c r="S536">
        <v>-4.6443426981568996E-3</v>
      </c>
      <c r="T536">
        <v>0.03</v>
      </c>
    </row>
    <row r="537" spans="1:20" x14ac:dyDescent="0.3">
      <c r="A537" t="s">
        <v>50</v>
      </c>
      <c r="B537">
        <v>2012</v>
      </c>
      <c r="C537">
        <v>275740</v>
      </c>
      <c r="D537" s="1">
        <v>2.1999999999999999E-2</v>
      </c>
      <c r="E537" s="1">
        <v>0.88701778650283802</v>
      </c>
      <c r="F537" s="1">
        <v>-1.9E-2</v>
      </c>
      <c r="G537" s="1">
        <f t="shared" si="16"/>
        <v>-3.0000000000000096E-3</v>
      </c>
      <c r="H537" s="1" t="str">
        <f t="shared" si="17"/>
        <v/>
      </c>
      <c r="I537" s="1">
        <v>-3.0000000000000001E-3</v>
      </c>
      <c r="J537" s="1">
        <f>+D537-F537+I537*O537</f>
        <v>3.3079999999999998E-2</v>
      </c>
      <c r="K537" s="1">
        <v>1.09174512326717E-2</v>
      </c>
      <c r="L537" s="1">
        <f>+K537-J537</f>
        <v>-2.2162548767328299E-2</v>
      </c>
      <c r="M537" s="1">
        <v>-1.00825487673283E-2</v>
      </c>
      <c r="N537" s="1">
        <f>+M537-J537</f>
        <v>-4.31625487673283E-2</v>
      </c>
      <c r="O537">
        <v>2.64</v>
      </c>
      <c r="P537" t="s">
        <v>16</v>
      </c>
      <c r="Q537">
        <v>0</v>
      </c>
      <c r="R537">
        <v>-1.00783407688098E-4</v>
      </c>
      <c r="S537">
        <v>-6.2275547534226903E-3</v>
      </c>
      <c r="T537">
        <v>-0.02</v>
      </c>
    </row>
    <row r="538" spans="1:20" x14ac:dyDescent="0.3">
      <c r="A538" t="s">
        <v>50</v>
      </c>
      <c r="B538">
        <v>2013</v>
      </c>
      <c r="C538">
        <v>276159.78129999997</v>
      </c>
      <c r="D538" s="1">
        <v>3.4000000000000002E-2</v>
      </c>
      <c r="E538" s="1">
        <v>0.89623934030532804</v>
      </c>
      <c r="F538" s="1">
        <v>-3.4000000000000002E-2</v>
      </c>
      <c r="G538" s="1">
        <f t="shared" si="16"/>
        <v>-3.7000000000000012E-2</v>
      </c>
      <c r="H538" s="1" t="str">
        <f t="shared" si="17"/>
        <v/>
      </c>
      <c r="I538" s="1">
        <v>8.9999999999999993E-3</v>
      </c>
      <c r="J538" s="1">
        <f>+D538-F538+I538*O538</f>
        <v>9.0950000000000003E-2</v>
      </c>
      <c r="K538" s="1">
        <v>1.4899216592311901E-2</v>
      </c>
      <c r="L538" s="1">
        <f>+K538-J538</f>
        <v>-7.6050783407688102E-2</v>
      </c>
      <c r="M538" s="1">
        <v>-1.00783407688098E-4</v>
      </c>
      <c r="N538" s="1">
        <f>+M538-J538</f>
        <v>-9.1050783407688102E-2</v>
      </c>
      <c r="O538">
        <v>2.5499999999999998</v>
      </c>
      <c r="P538" t="s">
        <v>17</v>
      </c>
      <c r="Q538">
        <v>-0.01</v>
      </c>
      <c r="R538">
        <v>-1.7717088744044301E-2</v>
      </c>
      <c r="S538">
        <v>-1.9725112244486798E-2</v>
      </c>
      <c r="T538">
        <v>-0.04</v>
      </c>
    </row>
    <row r="539" spans="1:20" x14ac:dyDescent="0.3">
      <c r="A539" t="s">
        <v>50</v>
      </c>
      <c r="B539">
        <v>2014</v>
      </c>
      <c r="C539">
        <v>281025.5</v>
      </c>
      <c r="D539" s="1">
        <v>4.2000000000000003E-2</v>
      </c>
      <c r="E539" s="1">
        <v>0.89095920324325595</v>
      </c>
      <c r="F539" s="1">
        <v>1.6E-2</v>
      </c>
      <c r="G539" s="1">
        <f t="shared" si="16"/>
        <v>-2.1000000000000012E-2</v>
      </c>
      <c r="H539" s="1" t="str">
        <f t="shared" si="17"/>
        <v/>
      </c>
      <c r="I539" s="1">
        <v>-5.0000000000000001E-3</v>
      </c>
      <c r="J539" s="1">
        <f>+D539-F539+I539*O539</f>
        <v>1.3050000000000003E-2</v>
      </c>
      <c r="K539" s="1">
        <v>-1.7170887440443E-3</v>
      </c>
      <c r="L539" s="1">
        <f>+K539-J539</f>
        <v>-1.4767088744044303E-2</v>
      </c>
      <c r="M539" s="1">
        <v>-1.7717088744044301E-2</v>
      </c>
      <c r="N539" s="1">
        <f>+M539-J539</f>
        <v>-3.0767088744044303E-2</v>
      </c>
      <c r="O539">
        <v>2.59</v>
      </c>
      <c r="P539" t="s">
        <v>17</v>
      </c>
      <c r="Q539">
        <v>-0.02</v>
      </c>
      <c r="R539">
        <v>4.8654737658798703E-3</v>
      </c>
      <c r="S539">
        <v>-2.53979782573878E-2</v>
      </c>
      <c r="T539">
        <v>0.01</v>
      </c>
    </row>
    <row r="540" spans="1:20" x14ac:dyDescent="0.3">
      <c r="A540" t="s">
        <v>50</v>
      </c>
      <c r="B540">
        <v>2015</v>
      </c>
      <c r="C540">
        <v>284481.125</v>
      </c>
      <c r="D540" s="1">
        <v>0.02</v>
      </c>
      <c r="E540" s="1">
        <v>0.88630127906799305</v>
      </c>
      <c r="F540" s="1">
        <v>-0.03</v>
      </c>
      <c r="G540" s="1">
        <f t="shared" si="16"/>
        <v>-5.1000000000000011E-2</v>
      </c>
      <c r="H540" s="1" t="str">
        <f t="shared" si="17"/>
        <v/>
      </c>
      <c r="I540" s="1">
        <v>-5.0000000000000001E-3</v>
      </c>
      <c r="J540" s="1">
        <f>+D540-F540+I540*O540</f>
        <v>3.7450000000000004E-2</v>
      </c>
      <c r="K540" s="1">
        <v>5.8654737658798703E-3</v>
      </c>
      <c r="L540" s="1">
        <f>+K540-J540</f>
        <v>-3.1584526234120135E-2</v>
      </c>
      <c r="M540" s="1">
        <v>4.8654737658798703E-3</v>
      </c>
      <c r="N540" s="1">
        <f>+M540-J540</f>
        <v>-3.2584526234120136E-2</v>
      </c>
      <c r="O540">
        <v>2.5099999999999998</v>
      </c>
      <c r="P540" t="s">
        <v>16</v>
      </c>
      <c r="Q540">
        <v>-0.03</v>
      </c>
      <c r="R540">
        <v>-8.0355696491896996E-3</v>
      </c>
      <c r="S540">
        <v>-2.11891266517341E-2</v>
      </c>
      <c r="T540">
        <v>-0.02</v>
      </c>
    </row>
    <row r="541" spans="1:20" x14ac:dyDescent="0.3">
      <c r="A541" t="s">
        <v>50</v>
      </c>
      <c r="B541">
        <v>2016</v>
      </c>
      <c r="C541">
        <v>287111.6875</v>
      </c>
      <c r="D541" s="1">
        <v>3.4000000000000002E-2</v>
      </c>
      <c r="E541" s="1">
        <v>0.88376867771148704</v>
      </c>
      <c r="F541" s="1">
        <v>1.7999999999999999E-2</v>
      </c>
      <c r="G541" s="1">
        <f t="shared" si="16"/>
        <v>-3.3000000000000015E-2</v>
      </c>
      <c r="H541" s="1" t="str">
        <f t="shared" si="17"/>
        <v/>
      </c>
      <c r="I541" s="1">
        <v>-3.0000000000000001E-3</v>
      </c>
      <c r="J541" s="1">
        <f>+D541-F541+I541*O541</f>
        <v>8.3200000000000045E-3</v>
      </c>
      <c r="K541" s="1">
        <v>4.9644303508102903E-3</v>
      </c>
      <c r="L541" s="1">
        <f>+K541-J541</f>
        <v>-3.3555696491897142E-3</v>
      </c>
      <c r="M541" s="1">
        <v>-8.0355696491896996E-3</v>
      </c>
      <c r="N541" s="1">
        <f>+M541-J541</f>
        <v>-1.6355569649189702E-2</v>
      </c>
      <c r="O541">
        <v>2.56</v>
      </c>
      <c r="P541" t="s">
        <v>17</v>
      </c>
      <c r="Q541">
        <v>-0.02</v>
      </c>
      <c r="R541">
        <v>2.4889992266893399E-2</v>
      </c>
      <c r="S541">
        <v>2.2100418806076098E-2</v>
      </c>
      <c r="T541">
        <v>0.02</v>
      </c>
    </row>
    <row r="542" spans="1:20" x14ac:dyDescent="0.3">
      <c r="A542" t="s">
        <v>50</v>
      </c>
      <c r="B542">
        <v>2017</v>
      </c>
      <c r="C542">
        <v>292874.90629999997</v>
      </c>
      <c r="D542" s="1">
        <v>1.7000000000000001E-2</v>
      </c>
      <c r="E542" s="1">
        <v>0.91940665245056197</v>
      </c>
      <c r="F542" s="1">
        <v>-0.01</v>
      </c>
      <c r="G542" s="1">
        <f t="shared" si="16"/>
        <v>-4.3000000000000017E-2</v>
      </c>
      <c r="H542" s="1" t="str">
        <f t="shared" si="17"/>
        <v/>
      </c>
      <c r="I542" s="1">
        <v>3.5999999999999997E-2</v>
      </c>
      <c r="J542" s="1">
        <f>+D542-F542+I542*O542</f>
        <v>0.11807999999999999</v>
      </c>
      <c r="K542" s="1">
        <v>4.5889992266893401E-2</v>
      </c>
      <c r="L542" s="1">
        <f>+K542-J542</f>
        <v>-7.219000773310659E-2</v>
      </c>
      <c r="M542" s="1">
        <v>2.4889992266893399E-2</v>
      </c>
      <c r="N542" s="1">
        <f>+M542-J542</f>
        <v>-9.3190007733106595E-2</v>
      </c>
      <c r="O542">
        <v>2.5299999999999998</v>
      </c>
      <c r="P542" t="s">
        <v>17</v>
      </c>
      <c r="Q542">
        <v>0.02</v>
      </c>
      <c r="R542">
        <v>1.45420583188533E-2</v>
      </c>
      <c r="S542">
        <v>5.4070353507995996E-3</v>
      </c>
      <c r="T542">
        <v>-0.01</v>
      </c>
    </row>
    <row r="543" spans="1:20" x14ac:dyDescent="0.3">
      <c r="A543" t="s">
        <v>50</v>
      </c>
      <c r="B543">
        <v>2018</v>
      </c>
      <c r="C543">
        <v>298929.28129999997</v>
      </c>
      <c r="D543" s="1">
        <v>2E-3</v>
      </c>
      <c r="E543" s="1">
        <v>0.92218333482742298</v>
      </c>
      <c r="F543" s="1">
        <v>-4.0000000000000001E-3</v>
      </c>
      <c r="G543" s="1">
        <f t="shared" si="16"/>
        <v>-4.7000000000000014E-2</v>
      </c>
      <c r="H543" s="1" t="str">
        <f t="shared" si="17"/>
        <v/>
      </c>
      <c r="I543" s="1">
        <v>3.0000000000000001E-3</v>
      </c>
      <c r="J543" s="1">
        <f>+D543-F543+I543*O543</f>
        <v>1.3559999999999999E-2</v>
      </c>
      <c r="K543" s="1">
        <v>3.8542058318853399E-2</v>
      </c>
      <c r="L543" s="1">
        <f>+K543-J543</f>
        <v>2.49820583188534E-2</v>
      </c>
      <c r="M543" s="1">
        <v>1.45420583188533E-2</v>
      </c>
      <c r="N543" s="1">
        <f>+M543-J543</f>
        <v>9.820583188533006E-4</v>
      </c>
      <c r="O543">
        <v>2.52</v>
      </c>
      <c r="P543" t="s">
        <v>17</v>
      </c>
      <c r="Q543">
        <v>0.01</v>
      </c>
      <c r="R543">
        <v>2.7743692666292199E-2</v>
      </c>
      <c r="S543">
        <v>9.9424980580806906E-3</v>
      </c>
      <c r="T543">
        <v>0.01</v>
      </c>
    </row>
    <row r="544" spans="1:20" x14ac:dyDescent="0.3">
      <c r="A544" t="s">
        <v>50</v>
      </c>
      <c r="B544">
        <v>2019</v>
      </c>
      <c r="C544">
        <v>304203</v>
      </c>
      <c r="D544" s="1">
        <v>1.9E-2</v>
      </c>
      <c r="E544" s="1">
        <v>0.90253043174743697</v>
      </c>
      <c r="F544" s="1">
        <v>-7.6999999999999999E-2</v>
      </c>
      <c r="G544" s="1">
        <f t="shared" si="16"/>
        <v>-0.12400000000000001</v>
      </c>
      <c r="H544" s="1">
        <f t="shared" si="17"/>
        <v>6.4778389409184456E-2</v>
      </c>
      <c r="I544" s="1">
        <v>-0.02</v>
      </c>
      <c r="J544" s="1">
        <f>+D544-F544+I544*O544</f>
        <v>4.9399999999999999E-2</v>
      </c>
      <c r="K544" s="1">
        <v>4.5743692666292197E-2</v>
      </c>
      <c r="L544" s="1">
        <f>+K544-J544</f>
        <v>-3.656307333707802E-3</v>
      </c>
      <c r="M544" s="1">
        <v>2.7743692666292199E-2</v>
      </c>
      <c r="N544" s="1">
        <f>+M544-J544</f>
        <v>-2.1656307333707801E-2</v>
      </c>
      <c r="O544">
        <v>2.33</v>
      </c>
      <c r="P544" t="s">
        <v>16</v>
      </c>
      <c r="Q544">
        <v>0.01</v>
      </c>
      <c r="R544">
        <v>2.75068489015101E-2</v>
      </c>
      <c r="S544">
        <v>8.6576584726571898E-3</v>
      </c>
      <c r="T544">
        <v>-7.0000000000000007E-2</v>
      </c>
    </row>
    <row r="545" spans="1:20" x14ac:dyDescent="0.3">
      <c r="A545" t="s">
        <v>50</v>
      </c>
      <c r="B545">
        <v>2020</v>
      </c>
      <c r="C545">
        <v>309881</v>
      </c>
      <c r="D545" s="1">
        <v>8.1000000000000003E-2</v>
      </c>
      <c r="E545" s="1">
        <v>0.93174082040786699</v>
      </c>
      <c r="F545" s="1">
        <v>1.2999999999999999E-2</v>
      </c>
      <c r="G545" s="1">
        <f t="shared" si="16"/>
        <v>-0.11100000000000002</v>
      </c>
      <c r="H545" s="1" t="str">
        <f t="shared" si="17"/>
        <v/>
      </c>
      <c r="I545" s="1">
        <v>2.9000000000000001E-2</v>
      </c>
      <c r="J545" s="1">
        <f>+D545-F545+I545*O545</f>
        <v>0.13644000000000001</v>
      </c>
      <c r="K545" s="1">
        <v>3.9506848901510197E-2</v>
      </c>
      <c r="L545" s="1">
        <f>+K545-J545</f>
        <v>-9.6933151098489809E-2</v>
      </c>
      <c r="M545" s="1">
        <v>2.75068489015101E-2</v>
      </c>
      <c r="N545" s="1">
        <f>+M545-J545</f>
        <v>-0.1089331510984899</v>
      </c>
      <c r="O545">
        <v>2.36</v>
      </c>
      <c r="P545" t="s">
        <v>15</v>
      </c>
      <c r="Q545">
        <v>0.01</v>
      </c>
      <c r="R545">
        <v>4.3049929916858701E-2</v>
      </c>
      <c r="S545">
        <v>-5.3968280553820503E-4</v>
      </c>
      <c r="T545">
        <v>0.05</v>
      </c>
    </row>
    <row r="546" spans="1:20" x14ac:dyDescent="0.3">
      <c r="A546" t="s">
        <v>50</v>
      </c>
      <c r="B546">
        <v>2021</v>
      </c>
      <c r="C546">
        <v>316742.1875</v>
      </c>
      <c r="D546" s="1">
        <v>4.9000000000000002E-2</v>
      </c>
      <c r="E546" s="1">
        <v>0.94900846481323198</v>
      </c>
      <c r="F546" s="1">
        <v>0.16400000000000001</v>
      </c>
      <c r="G546" s="1">
        <f t="shared" si="16"/>
        <v>5.2999999999999992E-2</v>
      </c>
      <c r="H546" s="1" t="str">
        <f t="shared" si="17"/>
        <v/>
      </c>
      <c r="I546" s="1">
        <v>1.7000000000000001E-2</v>
      </c>
      <c r="J546" s="1">
        <f>+D546-F546+I546*O546</f>
        <v>-6.8419999999999995E-2</v>
      </c>
      <c r="K546" s="1">
        <v>9.0049929916858701E-2</v>
      </c>
      <c r="L546" s="1">
        <f>+K546-J546</f>
        <v>0.15846992991685871</v>
      </c>
      <c r="M546" s="1">
        <v>4.3049929916858701E-2</v>
      </c>
      <c r="N546" s="1">
        <f>+M546-J546</f>
        <v>0.1114699299168587</v>
      </c>
      <c r="O546">
        <v>2.74</v>
      </c>
      <c r="P546" t="s">
        <v>15</v>
      </c>
      <c r="Q546">
        <v>0</v>
      </c>
      <c r="R546">
        <v>-5.2624590620398502E-2</v>
      </c>
      <c r="S546">
        <v>-2.0521083846688201E-2</v>
      </c>
      <c r="T546">
        <v>0.13</v>
      </c>
    </row>
    <row r="547" spans="1:20" x14ac:dyDescent="0.3">
      <c r="A547" t="s">
        <v>50</v>
      </c>
      <c r="B547">
        <v>2022</v>
      </c>
      <c r="C547">
        <v>322794.59379999997</v>
      </c>
      <c r="D547" s="1">
        <v>6.3E-2</v>
      </c>
      <c r="E547" s="1">
        <v>0.89984619617462203</v>
      </c>
      <c r="F547" s="1">
        <v>-9.2999999999999999E-2</v>
      </c>
      <c r="G547" s="1">
        <f t="shared" si="16"/>
        <v>-4.0000000000000008E-2</v>
      </c>
      <c r="H547" s="1" t="str">
        <f t="shared" si="17"/>
        <v/>
      </c>
      <c r="I547" s="1">
        <v>-4.9000000000000002E-2</v>
      </c>
      <c r="J547" s="1">
        <f>+D547-F547+I547*O547</f>
        <v>3.3989999999999979E-2</v>
      </c>
      <c r="K547" s="1">
        <v>2.7375409379601499E-2</v>
      </c>
      <c r="L547" s="1">
        <f>+K547-J547</f>
        <v>-6.6145906203984792E-3</v>
      </c>
      <c r="M547" s="1">
        <v>-5.2624590620398502E-2</v>
      </c>
      <c r="N547" s="1">
        <f>+M547-J547</f>
        <v>-8.6614590620398474E-2</v>
      </c>
      <c r="O547">
        <v>2.4900000000000002</v>
      </c>
      <c r="P547" t="s">
        <v>16</v>
      </c>
      <c r="Q547">
        <v>-0.02</v>
      </c>
      <c r="R547">
        <v>-2.5011190012097399E-2</v>
      </c>
      <c r="S547">
        <v>-5.4522622376680999E-3</v>
      </c>
      <c r="T547">
        <v>-0.08</v>
      </c>
    </row>
    <row r="548" spans="1:20" x14ac:dyDescent="0.3">
      <c r="A548" t="s">
        <v>51</v>
      </c>
      <c r="B548">
        <v>2006</v>
      </c>
      <c r="C548">
        <v>2097342</v>
      </c>
      <c r="D548" s="1">
        <v>2E-3</v>
      </c>
      <c r="E548" s="1">
        <v>0.92194926738739003</v>
      </c>
      <c r="F548" s="1">
        <v>-2.1000000000000001E-2</v>
      </c>
      <c r="G548" s="1">
        <f t="shared" si="16"/>
        <v>-2.1000000000000001E-2</v>
      </c>
      <c r="H548" s="1" t="str">
        <f t="shared" si="17"/>
        <v/>
      </c>
      <c r="I548" s="1">
        <v>8.9999999999999993E-3</v>
      </c>
      <c r="J548" s="1">
        <f>+D548-F548+I548*O548</f>
        <v>4.1359999999999994E-2</v>
      </c>
      <c r="K548" s="1">
        <v>1.9561232998967198E-2</v>
      </c>
      <c r="L548" s="1">
        <f>+K548-J548</f>
        <v>-2.1798767001032796E-2</v>
      </c>
      <c r="M548" s="1">
        <v>-1.24387670010328E-2</v>
      </c>
      <c r="N548" s="1">
        <f>+M548-J548</f>
        <v>-5.3798767001032796E-2</v>
      </c>
      <c r="O548">
        <v>2.04</v>
      </c>
      <c r="P548" t="s">
        <v>17</v>
      </c>
      <c r="Q548">
        <v>-0.02</v>
      </c>
      <c r="R548">
        <v>-1.6141926772892501E-2</v>
      </c>
      <c r="S548">
        <v>-1.5220170840621E-2</v>
      </c>
      <c r="T548">
        <v>-0.02</v>
      </c>
    </row>
    <row r="549" spans="1:20" x14ac:dyDescent="0.3">
      <c r="A549" t="s">
        <v>51</v>
      </c>
      <c r="B549">
        <v>2007</v>
      </c>
      <c r="C549">
        <v>2089961</v>
      </c>
      <c r="D549" s="1">
        <v>8.0000000000000002E-3</v>
      </c>
      <c r="E549" s="1">
        <v>0.924335718154907</v>
      </c>
      <c r="F549" s="1">
        <v>6.0000000000000001E-3</v>
      </c>
      <c r="G549" s="1">
        <f t="shared" si="16"/>
        <v>-1.5000000000000001E-2</v>
      </c>
      <c r="H549" s="1" t="str">
        <f t="shared" si="17"/>
        <v/>
      </c>
      <c r="I549" s="1">
        <v>2E-3</v>
      </c>
      <c r="J549" s="1">
        <f>+D549-F549+I549*O549</f>
        <v>6.0999999999999995E-3</v>
      </c>
      <c r="K549" s="1">
        <v>1.2858073227107501E-2</v>
      </c>
      <c r="L549" s="1">
        <f>+K549-J549</f>
        <v>6.7580732271075011E-3</v>
      </c>
      <c r="M549" s="1">
        <v>-1.6141926772892501E-2</v>
      </c>
      <c r="N549" s="1">
        <f>+M549-J549</f>
        <v>-2.2241926772892502E-2</v>
      </c>
      <c r="O549">
        <v>2.0499999999999998</v>
      </c>
      <c r="P549" t="s">
        <v>15</v>
      </c>
      <c r="Q549">
        <v>-0.02</v>
      </c>
      <c r="R549">
        <v>-2.8743800997733999E-2</v>
      </c>
      <c r="S549">
        <v>7.6700327917933399E-4</v>
      </c>
      <c r="T549">
        <v>0</v>
      </c>
    </row>
    <row r="550" spans="1:20" x14ac:dyDescent="0.3">
      <c r="A550" t="s">
        <v>51</v>
      </c>
      <c r="B550">
        <v>2008</v>
      </c>
      <c r="C550">
        <v>2084187</v>
      </c>
      <c r="D550" s="1">
        <v>0</v>
      </c>
      <c r="E550" s="1">
        <v>0.92240816354751598</v>
      </c>
      <c r="F550" s="1">
        <v>-1.7999999999999999E-2</v>
      </c>
      <c r="G550" s="1">
        <f t="shared" si="16"/>
        <v>-3.3000000000000002E-2</v>
      </c>
      <c r="H550" s="1" t="str">
        <f t="shared" si="17"/>
        <v/>
      </c>
      <c r="I550" s="1">
        <v>-2E-3</v>
      </c>
      <c r="J550" s="1">
        <f>+D550-F550+I550*O550</f>
        <v>1.3979999999999999E-2</v>
      </c>
      <c r="K550" s="1">
        <v>9.2561990022659302E-3</v>
      </c>
      <c r="L550" s="1">
        <f>+K550-J550</f>
        <v>-4.7238009977340692E-3</v>
      </c>
      <c r="M550" s="1">
        <v>-2.8743800997733999E-2</v>
      </c>
      <c r="N550" s="1">
        <f>+M550-J550</f>
        <v>-4.2723800997733999E-2</v>
      </c>
      <c r="O550">
        <v>2.0099999999999998</v>
      </c>
      <c r="P550" t="s">
        <v>16</v>
      </c>
      <c r="Q550">
        <v>0</v>
      </c>
      <c r="R550">
        <v>-1.49589690417051E-2</v>
      </c>
      <c r="S550">
        <v>1.16077326238155E-2</v>
      </c>
      <c r="T550">
        <v>-0.02</v>
      </c>
    </row>
    <row r="551" spans="1:20" x14ac:dyDescent="0.3">
      <c r="A551" t="s">
        <v>51</v>
      </c>
      <c r="B551">
        <v>2009</v>
      </c>
      <c r="C551">
        <v>2080065.875</v>
      </c>
      <c r="D551" s="1">
        <v>6.0000000000000001E-3</v>
      </c>
      <c r="E551" s="1">
        <v>0.91386216878891002</v>
      </c>
      <c r="F551" s="1">
        <v>3.5000000000000003E-2</v>
      </c>
      <c r="G551" s="1">
        <f t="shared" si="16"/>
        <v>2.0000000000000018E-3</v>
      </c>
      <c r="H551" s="1" t="str">
        <f t="shared" si="17"/>
        <v/>
      </c>
      <c r="I551" s="1">
        <v>-8.9999999999999993E-3</v>
      </c>
      <c r="J551" s="1">
        <f>+D551-F551+I551*O551</f>
        <v>-4.7720000000000005E-2</v>
      </c>
      <c r="K551" s="1">
        <v>-1.89589690417051E-2</v>
      </c>
      <c r="L551" s="1">
        <f>+K551-J551</f>
        <v>2.8761030958294905E-2</v>
      </c>
      <c r="M551" s="1">
        <v>-1.49589690417051E-2</v>
      </c>
      <c r="N551" s="1">
        <f>+M551-J551</f>
        <v>3.2761030958294905E-2</v>
      </c>
      <c r="O551">
        <v>2.08</v>
      </c>
      <c r="P551" t="s">
        <v>17</v>
      </c>
      <c r="Q551">
        <v>0.01</v>
      </c>
      <c r="R551">
        <v>-1.6966408639214899E-2</v>
      </c>
      <c r="S551">
        <v>-7.5062998803332396E-3</v>
      </c>
      <c r="T551">
        <v>0.02</v>
      </c>
    </row>
    <row r="552" spans="1:20" x14ac:dyDescent="0.3">
      <c r="A552" t="s">
        <v>51</v>
      </c>
      <c r="B552">
        <v>2010</v>
      </c>
      <c r="C552">
        <v>2076093</v>
      </c>
      <c r="D552" s="1">
        <v>3.0000000000000001E-3</v>
      </c>
      <c r="E552" s="1">
        <v>0.92050975561142001</v>
      </c>
      <c r="F552" s="1">
        <v>0.05</v>
      </c>
      <c r="G552" s="1">
        <f t="shared" si="16"/>
        <v>5.2000000000000005E-2</v>
      </c>
      <c r="H552" s="1" t="str">
        <f t="shared" si="17"/>
        <v/>
      </c>
      <c r="I552" s="1">
        <v>7.0000000000000001E-3</v>
      </c>
      <c r="J552" s="1">
        <f>+D552-F552+I552*O552</f>
        <v>-3.1670000000000004E-2</v>
      </c>
      <c r="K552" s="1">
        <v>-9.6640863921493303E-4</v>
      </c>
      <c r="L552" s="1">
        <f>+K552-J552</f>
        <v>3.0703591360785071E-2</v>
      </c>
      <c r="M552" s="1">
        <v>-1.6966408639214899E-2</v>
      </c>
      <c r="N552" s="1">
        <f>+M552-J552</f>
        <v>1.4703591360785105E-2</v>
      </c>
      <c r="O552">
        <v>2.19</v>
      </c>
      <c r="P552" t="s">
        <v>15</v>
      </c>
      <c r="Q552">
        <v>-0.01</v>
      </c>
      <c r="R552">
        <v>-2.19243591353297E-2</v>
      </c>
      <c r="S552">
        <v>-6.4058462157840195E-4</v>
      </c>
      <c r="T552">
        <v>0.04</v>
      </c>
    </row>
    <row r="553" spans="1:20" x14ac:dyDescent="0.3">
      <c r="A553" t="s">
        <v>51</v>
      </c>
      <c r="B553">
        <v>2011</v>
      </c>
      <c r="C553">
        <v>2074283</v>
      </c>
      <c r="D553" s="1">
        <v>0</v>
      </c>
      <c r="E553" s="1">
        <v>0.92760640382766701</v>
      </c>
      <c r="F553" s="1">
        <v>-5.2999999999999999E-2</v>
      </c>
      <c r="G553" s="1">
        <f t="shared" si="16"/>
        <v>-9.9999999999999395E-4</v>
      </c>
      <c r="H553" s="1" t="str">
        <f t="shared" si="17"/>
        <v/>
      </c>
      <c r="I553" s="1">
        <v>7.0000000000000001E-3</v>
      </c>
      <c r="J553" s="1">
        <f>+D553-F553+I553*O553</f>
        <v>6.7489999999999994E-2</v>
      </c>
      <c r="K553" s="1">
        <v>1.0075640864670299E-2</v>
      </c>
      <c r="L553" s="1">
        <f>+K553-J553</f>
        <v>-5.7414359135329697E-2</v>
      </c>
      <c r="M553" s="1">
        <v>-2.19243591353297E-2</v>
      </c>
      <c r="N553" s="1">
        <f>+M553-J553</f>
        <v>-8.9414359135329691E-2</v>
      </c>
      <c r="O553">
        <v>2.0699999999999998</v>
      </c>
      <c r="P553" t="s">
        <v>17</v>
      </c>
      <c r="Q553">
        <v>0</v>
      </c>
      <c r="R553">
        <v>-8.2717009857296991E-3</v>
      </c>
      <c r="S553">
        <v>-2.8334949165582999E-3</v>
      </c>
      <c r="T553">
        <v>-0.05</v>
      </c>
    </row>
    <row r="554" spans="1:20" x14ac:dyDescent="0.3">
      <c r="A554" t="s">
        <v>51</v>
      </c>
      <c r="B554">
        <v>2012</v>
      </c>
      <c r="C554">
        <v>2076295.875</v>
      </c>
      <c r="D554" s="1">
        <v>4.0000000000000001E-3</v>
      </c>
      <c r="E554" s="1">
        <v>0.93149578571319602</v>
      </c>
      <c r="F554" s="1">
        <v>-8.9999999999999993E-3</v>
      </c>
      <c r="G554" s="1">
        <f t="shared" si="16"/>
        <v>-9.9999999999999933E-3</v>
      </c>
      <c r="H554" s="1" t="str">
        <f t="shared" si="17"/>
        <v/>
      </c>
      <c r="I554" s="1">
        <v>4.0000000000000001E-3</v>
      </c>
      <c r="J554" s="1">
        <f>+D554-F554+I554*O554</f>
        <v>2.1199999999999997E-2</v>
      </c>
      <c r="K554" s="1">
        <v>1.27282990142703E-2</v>
      </c>
      <c r="L554" s="1">
        <f>+K554-J554</f>
        <v>-8.4717009857296962E-3</v>
      </c>
      <c r="M554" s="1">
        <v>-8.2717009857296991E-3</v>
      </c>
      <c r="N554" s="1">
        <f>+M554-J554</f>
        <v>-2.9471700985729696E-2</v>
      </c>
      <c r="O554">
        <v>2.0499999999999998</v>
      </c>
      <c r="P554" t="s">
        <v>17</v>
      </c>
      <c r="Q554">
        <v>0</v>
      </c>
      <c r="R554">
        <v>2.2632727771997002E-3</v>
      </c>
      <c r="S554">
        <v>-3.8634985685348901E-3</v>
      </c>
      <c r="T554">
        <v>-0.01</v>
      </c>
    </row>
    <row r="555" spans="1:20" x14ac:dyDescent="0.3">
      <c r="A555" t="s">
        <v>51</v>
      </c>
      <c r="B555">
        <v>2013</v>
      </c>
      <c r="C555">
        <v>2082131.125</v>
      </c>
      <c r="D555" s="1">
        <v>2E-3</v>
      </c>
      <c r="E555" s="1">
        <v>0.93259900808334395</v>
      </c>
      <c r="F555" s="1">
        <v>0.01</v>
      </c>
      <c r="G555" s="1">
        <f t="shared" si="16"/>
        <v>6.9388939039072284E-18</v>
      </c>
      <c r="H555" s="1" t="str">
        <f t="shared" si="17"/>
        <v/>
      </c>
      <c r="I555" s="1">
        <v>1E-3</v>
      </c>
      <c r="J555" s="1">
        <f>+D555-F555+I555*O555</f>
        <v>-5.9300000000000004E-3</v>
      </c>
      <c r="K555" s="1">
        <v>1.72632727771997E-2</v>
      </c>
      <c r="L555" s="1">
        <f>+K555-J555</f>
        <v>2.3193272777199701E-2</v>
      </c>
      <c r="M555" s="1">
        <v>2.2632727771997002E-3</v>
      </c>
      <c r="N555" s="1">
        <f>+M555-J555</f>
        <v>8.1932727771997001E-3</v>
      </c>
      <c r="O555">
        <v>2.0699999999999998</v>
      </c>
      <c r="P555" t="s">
        <v>15</v>
      </c>
      <c r="Q555">
        <v>0</v>
      </c>
      <c r="R555">
        <v>-4.35736420005559E-3</v>
      </c>
      <c r="S555">
        <v>-6.3653877004980998E-3</v>
      </c>
      <c r="T555">
        <v>0</v>
      </c>
    </row>
    <row r="556" spans="1:20" x14ac:dyDescent="0.3">
      <c r="A556" t="s">
        <v>51</v>
      </c>
      <c r="B556">
        <v>2014</v>
      </c>
      <c r="C556">
        <v>2086001</v>
      </c>
      <c r="D556" s="1">
        <v>6.0000000000000001E-3</v>
      </c>
      <c r="E556" s="1">
        <v>0.93596422672271695</v>
      </c>
      <c r="F556" s="1">
        <v>-8.0000000000000002E-3</v>
      </c>
      <c r="G556" s="1">
        <f t="shared" si="16"/>
        <v>-7.9999999999999932E-3</v>
      </c>
      <c r="H556" s="1" t="str">
        <f t="shared" si="17"/>
        <v/>
      </c>
      <c r="I556" s="1">
        <v>3.0000000000000001E-3</v>
      </c>
      <c r="J556" s="1">
        <f>+D556-F556+I556*O556</f>
        <v>2.018E-2</v>
      </c>
      <c r="K556" s="1">
        <v>1.1642635799944401E-2</v>
      </c>
      <c r="L556" s="1">
        <f>+K556-J556</f>
        <v>-8.5373642000555992E-3</v>
      </c>
      <c r="M556" s="1">
        <v>-4.35736420005559E-3</v>
      </c>
      <c r="N556" s="1">
        <f>+M556-J556</f>
        <v>-2.4537364200055589E-2</v>
      </c>
      <c r="O556">
        <v>2.06</v>
      </c>
      <c r="P556" t="s">
        <v>17</v>
      </c>
      <c r="Q556">
        <v>-0.01</v>
      </c>
      <c r="R556">
        <v>2.9579578131437301E-2</v>
      </c>
      <c r="S556">
        <v>-6.83873891830395E-4</v>
      </c>
      <c r="T556">
        <v>-0.01</v>
      </c>
    </row>
    <row r="557" spans="1:20" x14ac:dyDescent="0.3">
      <c r="A557" t="s">
        <v>51</v>
      </c>
      <c r="B557">
        <v>2015</v>
      </c>
      <c r="C557">
        <v>2086842</v>
      </c>
      <c r="D557" s="1">
        <v>2.1999999999999999E-2</v>
      </c>
      <c r="E557" s="1">
        <v>0.93790924549102805</v>
      </c>
      <c r="F557" s="1">
        <v>2.4E-2</v>
      </c>
      <c r="G557" s="1">
        <f t="shared" si="16"/>
        <v>1.6000000000000007E-2</v>
      </c>
      <c r="H557" s="1" t="str">
        <f t="shared" si="17"/>
        <v/>
      </c>
      <c r="I557" s="1">
        <v>2E-3</v>
      </c>
      <c r="J557" s="1">
        <f>+D557-F557+I557*O557</f>
        <v>2.219999999999998E-3</v>
      </c>
      <c r="K557" s="1">
        <v>3.0579578131437302E-2</v>
      </c>
      <c r="L557" s="1">
        <f>+K557-J557</f>
        <v>2.8359578131437302E-2</v>
      </c>
      <c r="M557" s="1">
        <v>2.9579578131437301E-2</v>
      </c>
      <c r="N557" s="1">
        <f>+M557-J557</f>
        <v>2.7359578131437301E-2</v>
      </c>
      <c r="O557">
        <v>2.11</v>
      </c>
      <c r="P557" t="s">
        <v>15</v>
      </c>
      <c r="Q557">
        <v>0</v>
      </c>
      <c r="R557">
        <v>4.4660533666611001E-3</v>
      </c>
      <c r="S557">
        <v>-8.6875036358833001E-3</v>
      </c>
      <c r="T557">
        <v>0.03</v>
      </c>
    </row>
    <row r="558" spans="1:20" x14ac:dyDescent="0.3">
      <c r="A558" t="s">
        <v>51</v>
      </c>
      <c r="B558">
        <v>2016</v>
      </c>
      <c r="C558">
        <v>2087846</v>
      </c>
      <c r="D558" s="1">
        <v>7.0000000000000001E-3</v>
      </c>
      <c r="E558" s="1">
        <v>0.93238794803619396</v>
      </c>
      <c r="F558" s="1">
        <v>-1.9E-2</v>
      </c>
      <c r="G558" s="1">
        <f t="shared" si="16"/>
        <v>-2.9999999999999923E-3</v>
      </c>
      <c r="H558" s="1" t="str">
        <f t="shared" si="17"/>
        <v/>
      </c>
      <c r="I558" s="1">
        <v>-6.0000000000000001E-3</v>
      </c>
      <c r="J558" s="1">
        <f>+D558-F558+I558*O558</f>
        <v>1.358E-2</v>
      </c>
      <c r="K558" s="1">
        <v>1.74660533666611E-2</v>
      </c>
      <c r="L558" s="1">
        <f>+K558-J558</f>
        <v>3.8860533666610995E-3</v>
      </c>
      <c r="M558" s="1">
        <v>4.4660533666611001E-3</v>
      </c>
      <c r="N558" s="1">
        <f>+M558-J558</f>
        <v>-9.1139466333388999E-3</v>
      </c>
      <c r="O558">
        <v>2.0699999999999998</v>
      </c>
      <c r="P558" t="s">
        <v>16</v>
      </c>
      <c r="Q558">
        <v>-0.01</v>
      </c>
      <c r="R558">
        <v>-8.2779324650763993E-3</v>
      </c>
      <c r="S558">
        <v>-1.10675059258936E-2</v>
      </c>
      <c r="T558">
        <v>-0.02</v>
      </c>
    </row>
    <row r="559" spans="1:20" x14ac:dyDescent="0.3">
      <c r="A559" t="s">
        <v>51</v>
      </c>
      <c r="B559">
        <v>2017</v>
      </c>
      <c r="C559">
        <v>2088238</v>
      </c>
      <c r="D559" s="1">
        <v>1.4E-2</v>
      </c>
      <c r="E559" s="1">
        <v>0.924416303634644</v>
      </c>
      <c r="F559" s="1">
        <v>-1.4E-2</v>
      </c>
      <c r="G559" s="1">
        <f t="shared" si="16"/>
        <v>-1.6999999999999994E-2</v>
      </c>
      <c r="H559" s="1" t="str">
        <f t="shared" si="17"/>
        <v/>
      </c>
      <c r="I559" s="1">
        <v>-8.0000000000000002E-3</v>
      </c>
      <c r="J559" s="1">
        <f>+D559-F559+I559*O559</f>
        <v>1.1679999999999999E-2</v>
      </c>
      <c r="K559" s="1">
        <v>1.27220675349236E-2</v>
      </c>
      <c r="L559" s="1">
        <f>+K559-J559</f>
        <v>1.0420675349236009E-3</v>
      </c>
      <c r="M559" s="1">
        <v>-8.2779324650763993E-3</v>
      </c>
      <c r="N559" s="1">
        <f>+M559-J559</f>
        <v>-1.9957932465076399E-2</v>
      </c>
      <c r="O559">
        <v>2.04</v>
      </c>
      <c r="P559" t="s">
        <v>16</v>
      </c>
      <c r="Q559">
        <v>-0.01</v>
      </c>
      <c r="R559">
        <v>7.19952790439129E-3</v>
      </c>
      <c r="S559">
        <v>-1.93549506366249E-3</v>
      </c>
      <c r="T559">
        <v>-0.01</v>
      </c>
    </row>
    <row r="560" spans="1:20" x14ac:dyDescent="0.3">
      <c r="A560" t="s">
        <v>51</v>
      </c>
      <c r="B560">
        <v>2018</v>
      </c>
      <c r="C560">
        <v>2088316.875</v>
      </c>
      <c r="D560" s="1">
        <v>1.2E-2</v>
      </c>
      <c r="E560" s="1">
        <v>0.92630100250244096</v>
      </c>
      <c r="F560" s="1">
        <v>-0.01</v>
      </c>
      <c r="G560" s="1">
        <f t="shared" si="16"/>
        <v>-2.6999999999999996E-2</v>
      </c>
      <c r="H560" s="1" t="str">
        <f t="shared" si="17"/>
        <v/>
      </c>
      <c r="I560" s="1">
        <v>2E-3</v>
      </c>
      <c r="J560" s="1">
        <f>+D560-F560+I560*O560</f>
        <v>2.6040000000000001E-2</v>
      </c>
      <c r="K560" s="1">
        <v>3.1199527904391299E-2</v>
      </c>
      <c r="L560" s="1">
        <f>+K560-J560</f>
        <v>5.1595279043912985E-3</v>
      </c>
      <c r="M560" s="1">
        <v>7.19952790439129E-3</v>
      </c>
      <c r="N560" s="1">
        <f>+M560-J560</f>
        <v>-1.8840472095608712E-2</v>
      </c>
      <c r="O560">
        <v>2.02</v>
      </c>
      <c r="P560" t="s">
        <v>17</v>
      </c>
      <c r="Q560">
        <v>0</v>
      </c>
      <c r="R560">
        <v>1.5055126667022699E-2</v>
      </c>
      <c r="S560">
        <v>-2.7460679411888001E-3</v>
      </c>
      <c r="T560">
        <v>0</v>
      </c>
    </row>
    <row r="561" spans="1:20" x14ac:dyDescent="0.3">
      <c r="A561" t="s">
        <v>51</v>
      </c>
      <c r="B561">
        <v>2019</v>
      </c>
      <c r="C561">
        <v>2087927</v>
      </c>
      <c r="D561" s="1">
        <v>8.0000000000000002E-3</v>
      </c>
      <c r="E561" s="1">
        <v>0.928300380706787</v>
      </c>
      <c r="F561" s="1">
        <v>-7.0000000000000001E-3</v>
      </c>
      <c r="G561" s="1">
        <f t="shared" si="16"/>
        <v>-3.3999999999999996E-2</v>
      </c>
      <c r="H561" s="1" t="str">
        <f t="shared" si="17"/>
        <v/>
      </c>
      <c r="I561" s="1">
        <v>2E-3</v>
      </c>
      <c r="J561" s="1">
        <f>+D561-F561+I561*O561</f>
        <v>1.9E-2</v>
      </c>
      <c r="K561" s="1">
        <v>3.3055126667022698E-2</v>
      </c>
      <c r="L561" s="1">
        <f>+K561-J561</f>
        <v>1.4055126667022699E-2</v>
      </c>
      <c r="M561" s="1">
        <v>1.5055126667022699E-2</v>
      </c>
      <c r="N561" s="1">
        <f>+M561-J561</f>
        <v>-3.9448733329773E-3</v>
      </c>
      <c r="O561">
        <v>2</v>
      </c>
      <c r="P561" t="s">
        <v>17</v>
      </c>
      <c r="Q561">
        <v>0</v>
      </c>
      <c r="R561">
        <v>6.2467792183160901E-3</v>
      </c>
      <c r="S561">
        <v>-1.26024112105369E-2</v>
      </c>
      <c r="T561">
        <v>0</v>
      </c>
    </row>
    <row r="562" spans="1:20" x14ac:dyDescent="0.3">
      <c r="A562" t="s">
        <v>51</v>
      </c>
      <c r="B562">
        <v>2020</v>
      </c>
      <c r="C562">
        <v>2083327.875</v>
      </c>
      <c r="D562" s="1">
        <v>1.2999999999999999E-2</v>
      </c>
      <c r="E562" s="1">
        <v>0.92995953559875499</v>
      </c>
      <c r="F562" s="1">
        <v>-6.4000000000000001E-2</v>
      </c>
      <c r="G562" s="1">
        <f t="shared" si="16"/>
        <v>-9.8000000000000004E-2</v>
      </c>
      <c r="H562" s="1" t="str">
        <f t="shared" si="17"/>
        <v/>
      </c>
      <c r="I562" s="1">
        <v>2E-3</v>
      </c>
      <c r="J562" s="1">
        <f>+D562-F562+I562*O562</f>
        <v>8.0740000000000006E-2</v>
      </c>
      <c r="K562" s="1">
        <v>1.8246779218316099E-2</v>
      </c>
      <c r="L562" s="1">
        <f>+K562-J562</f>
        <v>-6.2493220781683907E-2</v>
      </c>
      <c r="M562" s="1">
        <v>6.2467792183160901E-3</v>
      </c>
      <c r="N562" s="1">
        <f>+M562-J562</f>
        <v>-7.4493220781683911E-2</v>
      </c>
      <c r="O562">
        <v>1.87</v>
      </c>
      <c r="P562" t="s">
        <v>17</v>
      </c>
      <c r="Q562">
        <v>-0.01</v>
      </c>
      <c r="R562">
        <v>1.9188275814056299E-2</v>
      </c>
      <c r="S562">
        <v>-2.4401336908340499E-2</v>
      </c>
      <c r="T562">
        <v>-0.02</v>
      </c>
    </row>
    <row r="563" spans="1:20" x14ac:dyDescent="0.3">
      <c r="A563" t="s">
        <v>51</v>
      </c>
      <c r="B563">
        <v>2021</v>
      </c>
      <c r="C563">
        <v>2071446</v>
      </c>
      <c r="D563" s="1">
        <v>4.0000000000000001E-3</v>
      </c>
      <c r="E563" s="1">
        <v>0.94806504249572798</v>
      </c>
      <c r="F563" s="1">
        <v>4.5999999999999999E-2</v>
      </c>
      <c r="G563" s="1">
        <f t="shared" si="16"/>
        <v>-5.2000000000000005E-2</v>
      </c>
      <c r="H563" s="1" t="str">
        <f t="shared" si="17"/>
        <v/>
      </c>
      <c r="I563" s="1">
        <v>1.7999999999999999E-2</v>
      </c>
      <c r="J563" s="1">
        <f>+D563-F563+I563*O563</f>
        <v>-6.7199999999999968E-3</v>
      </c>
      <c r="K563" s="1">
        <v>6.6188275814056396E-2</v>
      </c>
      <c r="L563" s="1">
        <f>+K563-J563</f>
        <v>7.29082758140564E-2</v>
      </c>
      <c r="M563" s="1">
        <v>1.9188275814056299E-2</v>
      </c>
      <c r="N563" s="1">
        <f>+M563-J563</f>
        <v>2.5908275814056296E-2</v>
      </c>
      <c r="O563">
        <v>1.96</v>
      </c>
      <c r="P563" t="s">
        <v>15</v>
      </c>
      <c r="Q563">
        <v>-0.02</v>
      </c>
      <c r="R563">
        <v>-3.18273808062077E-2</v>
      </c>
      <c r="S563">
        <v>2.7612596750260001E-4</v>
      </c>
      <c r="T563">
        <v>0.02</v>
      </c>
    </row>
    <row r="564" spans="1:20" x14ac:dyDescent="0.3">
      <c r="A564" t="s">
        <v>51</v>
      </c>
      <c r="B564">
        <v>2022</v>
      </c>
      <c r="C564">
        <v>2067485.125</v>
      </c>
      <c r="D564" s="1">
        <v>1.4E-2</v>
      </c>
      <c r="E564" s="1">
        <v>0.92997986078262296</v>
      </c>
      <c r="F564" s="1">
        <v>-4.1000000000000002E-2</v>
      </c>
      <c r="G564" s="1">
        <f t="shared" si="16"/>
        <v>-9.2999999999999999E-2</v>
      </c>
      <c r="H564" s="1" t="str">
        <f t="shared" si="17"/>
        <v/>
      </c>
      <c r="I564" s="1">
        <v>-1.7999999999999999E-2</v>
      </c>
      <c r="J564" s="1">
        <f>+D564-F564+I564*O564</f>
        <v>2.1160000000000005E-2</v>
      </c>
      <c r="K564" s="1">
        <v>4.8172619193792302E-2</v>
      </c>
      <c r="L564" s="1">
        <f>+K564-J564</f>
        <v>2.7012619193792296E-2</v>
      </c>
      <c r="M564" s="1">
        <v>-3.18273808062077E-2</v>
      </c>
      <c r="N564" s="1">
        <f>+M564-J564</f>
        <v>-5.2987380806207705E-2</v>
      </c>
      <c r="O564">
        <v>1.88</v>
      </c>
      <c r="P564" t="s">
        <v>16</v>
      </c>
      <c r="Q564">
        <v>0</v>
      </c>
      <c r="R564">
        <v>-1.54694903492928E-2</v>
      </c>
      <c r="S564">
        <v>4.0894374251365002E-3</v>
      </c>
      <c r="T564">
        <v>-0.03</v>
      </c>
    </row>
    <row r="565" spans="1:20" x14ac:dyDescent="0.3">
      <c r="A565" t="s">
        <v>52</v>
      </c>
      <c r="B565">
        <v>2006</v>
      </c>
      <c r="C565">
        <v>209998.70310000001</v>
      </c>
      <c r="D565" s="1">
        <v>5.0000000000000001E-3</v>
      </c>
      <c r="E565" s="1">
        <v>0.92382931709289595</v>
      </c>
      <c r="F565" s="1">
        <v>-4.0000000000000001E-3</v>
      </c>
      <c r="G565" s="1">
        <f t="shared" si="16"/>
        <v>-4.0000000000000001E-3</v>
      </c>
      <c r="H565" s="1" t="str">
        <f t="shared" si="17"/>
        <v/>
      </c>
      <c r="I565" s="1">
        <v>1.9E-2</v>
      </c>
      <c r="J565" s="1">
        <f>+D565-F565+I565*O565</f>
        <v>5.0990000000000001E-2</v>
      </c>
      <c r="K565" s="1">
        <v>4.0559146553277997E-2</v>
      </c>
      <c r="L565" s="1">
        <f>+K565-J565</f>
        <v>-1.0430853446722003E-2</v>
      </c>
      <c r="M565" s="1">
        <v>8.5591465532779895E-3</v>
      </c>
      <c r="N565" s="1">
        <f>+M565-J565</f>
        <v>-4.2430853446722011E-2</v>
      </c>
      <c r="O565">
        <v>2.21</v>
      </c>
      <c r="P565" t="s">
        <v>17</v>
      </c>
      <c r="Q565">
        <v>0</v>
      </c>
      <c r="R565">
        <v>7.8576310575007892E-3</v>
      </c>
      <c r="S565">
        <v>8.7793869897722903E-3</v>
      </c>
      <c r="T565">
        <v>-0.01</v>
      </c>
    </row>
    <row r="566" spans="1:20" x14ac:dyDescent="0.3">
      <c r="A566" t="s">
        <v>52</v>
      </c>
      <c r="B566">
        <v>2007</v>
      </c>
      <c r="C566">
        <v>214413.0938</v>
      </c>
      <c r="D566" s="1">
        <v>4.4999999999999998E-2</v>
      </c>
      <c r="E566" s="1">
        <v>0.91201514005661</v>
      </c>
      <c r="F566" s="1">
        <v>-5.0000000000000001E-3</v>
      </c>
      <c r="G566" s="1">
        <f t="shared" si="16"/>
        <v>-9.0000000000000011E-3</v>
      </c>
      <c r="H566" s="1" t="str">
        <f t="shared" si="17"/>
        <v/>
      </c>
      <c r="I566" s="1">
        <v>-1.2E-2</v>
      </c>
      <c r="J566" s="1">
        <f>+D566-F566+I566*O566</f>
        <v>2.3599999999999993E-2</v>
      </c>
      <c r="K566" s="1">
        <v>3.6857631057500798E-2</v>
      </c>
      <c r="L566" s="1">
        <f>+K566-J566</f>
        <v>1.3257631057500805E-2</v>
      </c>
      <c r="M566" s="1">
        <v>7.8576310575007892E-3</v>
      </c>
      <c r="N566" s="1">
        <f>+M566-J566</f>
        <v>-1.5742368942499203E-2</v>
      </c>
      <c r="O566">
        <v>2.2000000000000002</v>
      </c>
      <c r="P566" t="s">
        <v>16</v>
      </c>
      <c r="Q566">
        <v>0.01</v>
      </c>
      <c r="R566">
        <v>-2.50582222938538E-2</v>
      </c>
      <c r="S566">
        <v>4.4525819830595996E-3</v>
      </c>
      <c r="T566">
        <v>-0.01</v>
      </c>
    </row>
    <row r="567" spans="1:20" x14ac:dyDescent="0.3">
      <c r="A567" t="s">
        <v>52</v>
      </c>
      <c r="B567">
        <v>2008</v>
      </c>
      <c r="C567">
        <v>220281.4063</v>
      </c>
      <c r="D567" s="1">
        <v>4.0000000000000001E-3</v>
      </c>
      <c r="E567" s="1">
        <v>0.91222262382507302</v>
      </c>
      <c r="F567" s="1">
        <v>-3.6999999999999998E-2</v>
      </c>
      <c r="G567" s="1">
        <f t="shared" si="16"/>
        <v>-4.5999999999999999E-2</v>
      </c>
      <c r="H567" s="1" t="str">
        <f t="shared" si="17"/>
        <v/>
      </c>
      <c r="I567" s="1">
        <v>0</v>
      </c>
      <c r="J567" s="1">
        <f>+D567-F567+I567*O567</f>
        <v>4.0999999999999995E-2</v>
      </c>
      <c r="K567" s="1">
        <v>1.29417777061462E-2</v>
      </c>
      <c r="L567" s="1">
        <f>+K567-J567</f>
        <v>-2.8058222293853796E-2</v>
      </c>
      <c r="M567" s="1">
        <v>-2.50582222938538E-2</v>
      </c>
      <c r="N567" s="1">
        <f>+M567-J567</f>
        <v>-6.6058222293853802E-2</v>
      </c>
      <c r="O567">
        <v>2.12</v>
      </c>
      <c r="P567" t="s">
        <v>17</v>
      </c>
      <c r="Q567">
        <v>0</v>
      </c>
      <c r="R567">
        <v>-3.0788146615028399E-2</v>
      </c>
      <c r="S567">
        <v>-4.2214449495077497E-3</v>
      </c>
      <c r="T567">
        <v>-0.04</v>
      </c>
    </row>
    <row r="568" spans="1:20" x14ac:dyDescent="0.3">
      <c r="A568" t="s">
        <v>52</v>
      </c>
      <c r="B568">
        <v>2009</v>
      </c>
      <c r="C568">
        <v>226219.60939999999</v>
      </c>
      <c r="D568" s="1">
        <v>1E-3</v>
      </c>
      <c r="E568" s="1">
        <v>0.90274399518966697</v>
      </c>
      <c r="F568" s="1">
        <v>0.124</v>
      </c>
      <c r="G568" s="1">
        <f t="shared" si="16"/>
        <v>7.8E-2</v>
      </c>
      <c r="H568" s="1" t="str">
        <f t="shared" si="17"/>
        <v/>
      </c>
      <c r="I568" s="1">
        <v>-8.9999999999999993E-3</v>
      </c>
      <c r="J568" s="1">
        <f>+D568-F568+I568*O568</f>
        <v>-0.14441999999999999</v>
      </c>
      <c r="K568" s="1">
        <v>-3.4788146615028402E-2</v>
      </c>
      <c r="L568" s="1">
        <f>+K568-J568</f>
        <v>0.10963185338497158</v>
      </c>
      <c r="M568" s="1">
        <v>-3.0788146615028399E-2</v>
      </c>
      <c r="N568" s="1">
        <f>+M568-J568</f>
        <v>0.11363185338497159</v>
      </c>
      <c r="O568">
        <v>2.38</v>
      </c>
      <c r="P568" t="s">
        <v>17</v>
      </c>
      <c r="Q568">
        <v>0</v>
      </c>
      <c r="R568">
        <v>-1.3854388551786501E-2</v>
      </c>
      <c r="S568">
        <v>-4.3942797929048504E-3</v>
      </c>
      <c r="T568">
        <v>0.11</v>
      </c>
    </row>
    <row r="569" spans="1:20" x14ac:dyDescent="0.3">
      <c r="A569" t="s">
        <v>52</v>
      </c>
      <c r="B569">
        <v>2010</v>
      </c>
      <c r="C569">
        <v>230005.0938</v>
      </c>
      <c r="D569" s="1">
        <v>8.9999999999999993E-3</v>
      </c>
      <c r="E569" s="1">
        <v>0.90697652101516701</v>
      </c>
      <c r="F569" s="1">
        <v>-3.5000000000000003E-2</v>
      </c>
      <c r="G569" s="1">
        <f t="shared" si="16"/>
        <v>4.2999999999999997E-2</v>
      </c>
      <c r="H569" s="1" t="str">
        <f t="shared" si="17"/>
        <v/>
      </c>
      <c r="I569" s="1">
        <v>4.0000000000000001E-3</v>
      </c>
      <c r="J569" s="1">
        <f>+D569-F569+I569*O569</f>
        <v>5.3200000000000004E-2</v>
      </c>
      <c r="K569" s="1">
        <v>2.1456114482134598E-3</v>
      </c>
      <c r="L569" s="1">
        <f>+K569-J569</f>
        <v>-5.1054388551786546E-2</v>
      </c>
      <c r="M569" s="1">
        <v>-1.3854388551786501E-2</v>
      </c>
      <c r="N569" s="1">
        <f>+M569-J569</f>
        <v>-6.7054388551786498E-2</v>
      </c>
      <c r="O569">
        <v>2.2999999999999998</v>
      </c>
      <c r="P569" t="s">
        <v>17</v>
      </c>
      <c r="Q569">
        <v>0</v>
      </c>
      <c r="R569">
        <v>-2.4280337028205298E-2</v>
      </c>
      <c r="S569">
        <v>-2.9965625144540899E-3</v>
      </c>
      <c r="T569">
        <v>-0.04</v>
      </c>
    </row>
    <row r="570" spans="1:20" x14ac:dyDescent="0.3">
      <c r="A570" t="s">
        <v>52</v>
      </c>
      <c r="B570">
        <v>2011</v>
      </c>
      <c r="C570">
        <v>232228.5</v>
      </c>
      <c r="D570" s="1">
        <v>1.9E-2</v>
      </c>
      <c r="E570" s="1">
        <v>0.89714258909225497</v>
      </c>
      <c r="F570" s="1">
        <v>-1.4999999999999999E-2</v>
      </c>
      <c r="G570" s="1">
        <f t="shared" si="16"/>
        <v>2.7999999999999997E-2</v>
      </c>
      <c r="H570" s="1" t="str">
        <f t="shared" si="17"/>
        <v/>
      </c>
      <c r="I570" s="1">
        <v>-0.01</v>
      </c>
      <c r="J570" s="1">
        <f>+D570-F570+I570*O570</f>
        <v>1.1400000000000004E-2</v>
      </c>
      <c r="K570" s="1">
        <v>7.7196629717946096E-3</v>
      </c>
      <c r="L570" s="1">
        <f>+K570-J570</f>
        <v>-3.6803370282053943E-3</v>
      </c>
      <c r="M570" s="1">
        <v>-2.4280337028205298E-2</v>
      </c>
      <c r="N570" s="1">
        <f>+M570-J570</f>
        <v>-3.5680337028205306E-2</v>
      </c>
      <c r="O570">
        <v>2.2599999999999998</v>
      </c>
      <c r="P570" t="s">
        <v>16</v>
      </c>
      <c r="Q570">
        <v>0</v>
      </c>
      <c r="R570">
        <v>-6.9791444614529996E-3</v>
      </c>
      <c r="S570">
        <v>-1.5409383922815999E-3</v>
      </c>
      <c r="T570">
        <v>-0.01</v>
      </c>
    </row>
    <row r="571" spans="1:20" x14ac:dyDescent="0.3">
      <c r="A571" t="s">
        <v>52</v>
      </c>
      <c r="B571">
        <v>2012</v>
      </c>
      <c r="C571">
        <v>235284.29689999999</v>
      </c>
      <c r="D571" s="1">
        <v>6.0000000000000001E-3</v>
      </c>
      <c r="E571" s="1">
        <v>0.91051518917083696</v>
      </c>
      <c r="F571" s="1">
        <v>2.3E-2</v>
      </c>
      <c r="G571" s="1">
        <f t="shared" si="16"/>
        <v>5.0999999999999997E-2</v>
      </c>
      <c r="H571" s="1" t="str">
        <f t="shared" si="17"/>
        <v/>
      </c>
      <c r="I571" s="1">
        <v>1.2999999999999999E-2</v>
      </c>
      <c r="J571" s="1">
        <f>+D571-F571+I571*O571</f>
        <v>1.3159999999999995E-2</v>
      </c>
      <c r="K571" s="1">
        <v>1.4020855538546999E-2</v>
      </c>
      <c r="L571" s="1">
        <f>+K571-J571</f>
        <v>8.6085553854700451E-4</v>
      </c>
      <c r="M571" s="1">
        <v>-6.9791444614529996E-3</v>
      </c>
      <c r="N571" s="1">
        <f>+M571-J571</f>
        <v>-2.0139144461452995E-2</v>
      </c>
      <c r="O571">
        <v>2.3199999999999998</v>
      </c>
      <c r="P571" t="s">
        <v>15</v>
      </c>
      <c r="Q571">
        <v>0</v>
      </c>
      <c r="R571">
        <v>4.0746393054723997E-3</v>
      </c>
      <c r="S571">
        <v>-2.0521320402621902E-3</v>
      </c>
      <c r="T571">
        <v>0.02</v>
      </c>
    </row>
    <row r="572" spans="1:20" x14ac:dyDescent="0.3">
      <c r="A572" t="s">
        <v>52</v>
      </c>
      <c r="B572">
        <v>2013</v>
      </c>
      <c r="C572">
        <v>239325.70310000001</v>
      </c>
      <c r="D572" s="1">
        <v>7.9000000000000001E-2</v>
      </c>
      <c r="E572" s="1">
        <v>0.92608487606048595</v>
      </c>
      <c r="F572" s="1">
        <v>3.0000000000000001E-3</v>
      </c>
      <c r="G572" s="1">
        <f t="shared" si="16"/>
        <v>5.3999999999999999E-2</v>
      </c>
      <c r="H572" s="1" t="str">
        <f t="shared" si="17"/>
        <v/>
      </c>
      <c r="I572" s="1">
        <v>1.6E-2</v>
      </c>
      <c r="J572" s="1">
        <f>+D572-F572+I572*O572</f>
        <v>0.11312</v>
      </c>
      <c r="K572" s="1">
        <v>1.9074639305472402E-2</v>
      </c>
      <c r="L572" s="1">
        <f>+K572-J572</f>
        <v>-9.4045360694527597E-2</v>
      </c>
      <c r="M572" s="1">
        <v>4.0746393054723997E-3</v>
      </c>
      <c r="N572" s="1">
        <f>+M572-J572</f>
        <v>-0.1090453606945276</v>
      </c>
      <c r="O572">
        <v>2.3199999999999998</v>
      </c>
      <c r="P572" t="s">
        <v>15</v>
      </c>
      <c r="Q572">
        <v>0</v>
      </c>
      <c r="R572">
        <v>1.5046375632286099E-2</v>
      </c>
      <c r="S572">
        <v>1.3038352131843499E-2</v>
      </c>
      <c r="T572">
        <v>0</v>
      </c>
    </row>
    <row r="573" spans="1:20" x14ac:dyDescent="0.3">
      <c r="A573" t="s">
        <v>52</v>
      </c>
      <c r="B573">
        <v>2014</v>
      </c>
      <c r="C573">
        <v>245125.9063</v>
      </c>
      <c r="D573" s="1">
        <v>0.02</v>
      </c>
      <c r="E573" s="1">
        <v>0.92321115732193004</v>
      </c>
      <c r="F573" s="1">
        <v>4.2999999999999997E-2</v>
      </c>
      <c r="G573" s="1">
        <f t="shared" si="16"/>
        <v>9.7000000000000003E-2</v>
      </c>
      <c r="H573" s="1" t="str">
        <f t="shared" si="17"/>
        <v/>
      </c>
      <c r="I573" s="1">
        <v>-3.0000000000000001E-3</v>
      </c>
      <c r="J573" s="1">
        <f>+D573-F573+I573*O573</f>
        <v>-3.0259999999999995E-2</v>
      </c>
      <c r="K573" s="1">
        <v>3.10463756322861E-2</v>
      </c>
      <c r="L573" s="1">
        <f>+K573-J573</f>
        <v>6.1306375632286095E-2</v>
      </c>
      <c r="M573" s="1">
        <v>1.5046375632286099E-2</v>
      </c>
      <c r="N573" s="1">
        <f>+M573-J573</f>
        <v>4.5306375632286094E-2</v>
      </c>
      <c r="O573">
        <v>2.42</v>
      </c>
      <c r="P573" t="s">
        <v>17</v>
      </c>
      <c r="Q573">
        <v>0.01</v>
      </c>
      <c r="R573">
        <v>3.8910718798637299E-2</v>
      </c>
      <c r="S573">
        <v>8.6472667753696997E-3</v>
      </c>
      <c r="T573">
        <v>0.04</v>
      </c>
    </row>
    <row r="574" spans="1:20" x14ac:dyDescent="0.3">
      <c r="A574" t="s">
        <v>52</v>
      </c>
      <c r="B574">
        <v>2015</v>
      </c>
      <c r="C574">
        <v>251971.29689999999</v>
      </c>
      <c r="D574" s="1">
        <v>0.02</v>
      </c>
      <c r="E574" s="1">
        <v>0.92278450727462802</v>
      </c>
      <c r="F574" s="1">
        <v>-0.111</v>
      </c>
      <c r="G574" s="1">
        <f t="shared" si="16"/>
        <v>-1.3999999999999999E-2</v>
      </c>
      <c r="H574" s="1" t="str">
        <f t="shared" si="17"/>
        <v/>
      </c>
      <c r="I574" s="1">
        <v>0</v>
      </c>
      <c r="J574" s="1">
        <f>+D574-F574+I574*O574</f>
        <v>0.13100000000000001</v>
      </c>
      <c r="K574" s="1">
        <v>3.9910718798637397E-2</v>
      </c>
      <c r="L574" s="1">
        <f>+K574-J574</f>
        <v>-9.1089281201362615E-2</v>
      </c>
      <c r="M574" s="1">
        <v>3.8910718798637299E-2</v>
      </c>
      <c r="N574" s="1">
        <f>+M574-J574</f>
        <v>-9.2089281201362699E-2</v>
      </c>
      <c r="O574">
        <v>2.15</v>
      </c>
      <c r="P574" t="s">
        <v>16</v>
      </c>
      <c r="Q574">
        <v>0.01</v>
      </c>
      <c r="R574">
        <v>5.0100426077842996E-3</v>
      </c>
      <c r="S574">
        <v>-8.1435143947601006E-3</v>
      </c>
      <c r="T574">
        <v>-0.1</v>
      </c>
    </row>
    <row r="575" spans="1:20" x14ac:dyDescent="0.3">
      <c r="A575" t="s">
        <v>52</v>
      </c>
      <c r="B575">
        <v>2016</v>
      </c>
      <c r="C575">
        <v>256153.5938</v>
      </c>
      <c r="D575" s="1">
        <v>1.9E-2</v>
      </c>
      <c r="E575" s="1">
        <v>0.923223435878754</v>
      </c>
      <c r="F575" s="1">
        <v>0.107</v>
      </c>
      <c r="G575" s="1">
        <f t="shared" si="16"/>
        <v>9.2999999999999999E-2</v>
      </c>
      <c r="H575" s="1" t="str">
        <f t="shared" si="17"/>
        <v/>
      </c>
      <c r="I575" s="1">
        <v>0</v>
      </c>
      <c r="J575" s="1">
        <f>+D575-F575+I575*O575</f>
        <v>-8.7999999999999995E-2</v>
      </c>
      <c r="K575" s="1">
        <v>1.8010042607784299E-2</v>
      </c>
      <c r="L575" s="1">
        <f>+K575-J575</f>
        <v>0.10601004260778429</v>
      </c>
      <c r="M575" s="1">
        <v>5.0100426077842996E-3</v>
      </c>
      <c r="N575" s="1">
        <f>+M575-J575</f>
        <v>9.3010042607784296E-2</v>
      </c>
      <c r="O575">
        <v>2.38</v>
      </c>
      <c r="P575" t="s">
        <v>15</v>
      </c>
      <c r="Q575">
        <v>-0.01</v>
      </c>
      <c r="R575">
        <v>-3.5398768544197101E-2</v>
      </c>
      <c r="S575">
        <v>-3.8188342005014399E-2</v>
      </c>
      <c r="T575">
        <v>0.11</v>
      </c>
    </row>
    <row r="576" spans="1:20" x14ac:dyDescent="0.3">
      <c r="A576" t="s">
        <v>52</v>
      </c>
      <c r="B576">
        <v>2017</v>
      </c>
      <c r="C576">
        <v>260276.39060000001</v>
      </c>
      <c r="D576" s="1">
        <v>3.6999999999999998E-2</v>
      </c>
      <c r="E576" s="1">
        <v>0.86992180347442605</v>
      </c>
      <c r="F576" s="1">
        <v>0.01</v>
      </c>
      <c r="G576" s="1">
        <f t="shared" si="16"/>
        <v>0.10299999999999999</v>
      </c>
      <c r="H576" s="1" t="str">
        <f t="shared" si="17"/>
        <v/>
      </c>
      <c r="I576" s="1">
        <v>-5.2999999999999999E-2</v>
      </c>
      <c r="J576" s="1">
        <f>+D576-F576+I576*O576</f>
        <v>-0.10073000000000001</v>
      </c>
      <c r="K576" s="1">
        <v>-1.43987685441971E-2</v>
      </c>
      <c r="L576" s="1">
        <f>+K576-J576</f>
        <v>8.6331231455802918E-2</v>
      </c>
      <c r="M576" s="1">
        <v>-3.5398768544197101E-2</v>
      </c>
      <c r="N576" s="1">
        <f>+M576-J576</f>
        <v>6.5331231455802913E-2</v>
      </c>
      <c r="O576">
        <v>2.41</v>
      </c>
      <c r="P576" t="s">
        <v>17</v>
      </c>
      <c r="Q576">
        <v>-0.04</v>
      </c>
      <c r="R576">
        <v>-4.5409722030162903E-3</v>
      </c>
      <c r="S576">
        <v>-1.367599517107E-2</v>
      </c>
      <c r="T576">
        <v>0.01</v>
      </c>
    </row>
    <row r="577" spans="1:20" x14ac:dyDescent="0.3">
      <c r="A577" t="s">
        <v>52</v>
      </c>
      <c r="B577">
        <v>2018</v>
      </c>
      <c r="C577">
        <v>262964.59379999997</v>
      </c>
      <c r="D577" s="1">
        <v>3.3000000000000002E-2</v>
      </c>
      <c r="E577" s="1">
        <v>0.85078758001327504</v>
      </c>
      <c r="F577" s="1">
        <v>-0.115</v>
      </c>
      <c r="G577" s="1">
        <f t="shared" si="16"/>
        <v>-1.2000000000000011E-2</v>
      </c>
      <c r="H577" s="1" t="str">
        <f t="shared" si="17"/>
        <v/>
      </c>
      <c r="I577" s="1">
        <v>-1.9E-2</v>
      </c>
      <c r="J577" s="1">
        <f>+D577-F577+I577*O577</f>
        <v>0.10753000000000001</v>
      </c>
      <c r="K577" s="1">
        <v>1.9459027796983702E-2</v>
      </c>
      <c r="L577" s="1">
        <f>+K577-J577</f>
        <v>-8.8070972203016309E-2</v>
      </c>
      <c r="M577" s="1">
        <v>-4.5409722030162903E-3</v>
      </c>
      <c r="N577" s="1">
        <f>+M577-J577</f>
        <v>-0.1120709722030163</v>
      </c>
      <c r="O577">
        <v>2.13</v>
      </c>
      <c r="P577" t="s">
        <v>16</v>
      </c>
      <c r="Q577">
        <v>-0.01</v>
      </c>
      <c r="R577">
        <v>-1.2988362759351901E-3</v>
      </c>
      <c r="S577">
        <v>-1.9100030884146701E-2</v>
      </c>
      <c r="T577">
        <v>-0.11</v>
      </c>
    </row>
    <row r="578" spans="1:20" x14ac:dyDescent="0.3">
      <c r="A578" t="s">
        <v>52</v>
      </c>
      <c r="B578">
        <v>2019</v>
      </c>
      <c r="C578">
        <v>266449.8125</v>
      </c>
      <c r="D578" s="1">
        <v>4.3999999999999997E-2</v>
      </c>
      <c r="E578" s="1">
        <v>0.85629296302795399</v>
      </c>
      <c r="F578" s="1">
        <v>5.6000000000000001E-2</v>
      </c>
      <c r="G578" s="1">
        <f t="shared" si="16"/>
        <v>4.3999999999999991E-2</v>
      </c>
      <c r="H578" s="1" t="str">
        <f t="shared" si="17"/>
        <v/>
      </c>
      <c r="I578" s="1">
        <v>6.0000000000000001E-3</v>
      </c>
      <c r="J578" s="1">
        <f>+D578-F578+I578*O578</f>
        <v>1.4999999999999961E-3</v>
      </c>
      <c r="K578" s="1">
        <v>1.6701163724064799E-2</v>
      </c>
      <c r="L578" s="1">
        <f>+K578-J578</f>
        <v>1.5201163724064803E-2</v>
      </c>
      <c r="M578" s="1">
        <v>-1.2988362759351901E-3</v>
      </c>
      <c r="N578" s="1">
        <f>+M578-J578</f>
        <v>-2.798836275935186E-3</v>
      </c>
      <c r="O578">
        <v>2.25</v>
      </c>
      <c r="P578" t="s">
        <v>15</v>
      </c>
      <c r="Q578">
        <v>-0.02</v>
      </c>
      <c r="R578">
        <v>-2.0142475962638901E-3</v>
      </c>
      <c r="S578">
        <v>-2.0863438025116799E-2</v>
      </c>
      <c r="T578">
        <v>0.06</v>
      </c>
    </row>
    <row r="579" spans="1:20" x14ac:dyDescent="0.3">
      <c r="A579" t="s">
        <v>52</v>
      </c>
      <c r="B579">
        <v>2020</v>
      </c>
      <c r="C579">
        <v>269889.5</v>
      </c>
      <c r="D579" s="1">
        <v>1.2999999999999999E-2</v>
      </c>
      <c r="E579" s="1">
        <v>0.88300615549087502</v>
      </c>
      <c r="F579" s="1">
        <v>-1.9E-2</v>
      </c>
      <c r="G579" s="1">
        <f t="shared" si="16"/>
        <v>2.4999999999999991E-2</v>
      </c>
      <c r="H579" s="1" t="str">
        <f t="shared" si="17"/>
        <v/>
      </c>
      <c r="I579" s="1">
        <v>2.7E-2</v>
      </c>
      <c r="J579" s="1">
        <f>+D579-F579+I579*O579</f>
        <v>9.1670000000000001E-2</v>
      </c>
      <c r="K579" s="1">
        <v>9.9857524037361093E-3</v>
      </c>
      <c r="L579" s="1">
        <f>+K579-J579</f>
        <v>-8.1684247596263887E-2</v>
      </c>
      <c r="M579" s="1">
        <v>-2.0142475962638901E-3</v>
      </c>
      <c r="N579" s="1">
        <f>+M579-J579</f>
        <v>-9.3684247596263898E-2</v>
      </c>
      <c r="O579">
        <v>2.21</v>
      </c>
      <c r="P579" t="s">
        <v>17</v>
      </c>
      <c r="Q579">
        <v>-0.02</v>
      </c>
      <c r="R579">
        <v>1.0702112942934E-2</v>
      </c>
      <c r="S579">
        <v>-3.2887499779462898E-2</v>
      </c>
      <c r="T579">
        <v>0.02</v>
      </c>
    </row>
    <row r="580" spans="1:20" x14ac:dyDescent="0.3">
      <c r="A580" t="s">
        <v>52</v>
      </c>
      <c r="B580">
        <v>2021</v>
      </c>
      <c r="C580">
        <v>274059.125</v>
      </c>
      <c r="D580" s="1">
        <v>0.02</v>
      </c>
      <c r="E580" s="1">
        <v>0.94010376930236805</v>
      </c>
      <c r="F580" s="1">
        <v>-8.9999999999999993E-3</v>
      </c>
      <c r="G580" s="1">
        <f t="shared" si="16"/>
        <v>1.5999999999999993E-2</v>
      </c>
      <c r="H580" s="1" t="str">
        <f t="shared" si="17"/>
        <v/>
      </c>
      <c r="I580" s="1">
        <v>5.7000000000000002E-2</v>
      </c>
      <c r="J580" s="1">
        <f>+D580-F580+I580*O580</f>
        <v>0.15382999999999999</v>
      </c>
      <c r="K580" s="1">
        <v>5.7702112942934002E-2</v>
      </c>
      <c r="L580" s="1">
        <f>+K580-J580</f>
        <v>-9.6127887057065986E-2</v>
      </c>
      <c r="M580" s="1">
        <v>1.0702112942934E-2</v>
      </c>
      <c r="N580" s="1">
        <f>+M580-J580</f>
        <v>-0.143127887057066</v>
      </c>
      <c r="O580">
        <v>2.19</v>
      </c>
      <c r="P580" t="s">
        <v>17</v>
      </c>
      <c r="Q580">
        <v>-0.03</v>
      </c>
      <c r="R580">
        <v>-2.82109881937504E-2</v>
      </c>
      <c r="S580">
        <v>3.8925185799598902E-3</v>
      </c>
      <c r="T580">
        <v>-0.04</v>
      </c>
    </row>
    <row r="581" spans="1:20" x14ac:dyDescent="0.3">
      <c r="A581" t="s">
        <v>52</v>
      </c>
      <c r="B581">
        <v>2022</v>
      </c>
      <c r="C581">
        <v>279781.09379999997</v>
      </c>
      <c r="D581" s="1">
        <v>0</v>
      </c>
      <c r="E581" s="1">
        <v>0.94345229864120495</v>
      </c>
      <c r="F581" s="1">
        <v>3.3000000000000002E-2</v>
      </c>
      <c r="G581" s="1">
        <f t="shared" si="16"/>
        <v>4.8999999999999995E-2</v>
      </c>
      <c r="H581" s="1" t="str">
        <f t="shared" si="17"/>
        <v/>
      </c>
      <c r="I581" s="1">
        <v>3.0000000000000001E-3</v>
      </c>
      <c r="J581" s="1">
        <f>+D581-F581+I581*O581</f>
        <v>-2.622E-2</v>
      </c>
      <c r="K581" s="1">
        <v>5.1789011806249598E-2</v>
      </c>
      <c r="L581" s="1">
        <f>+K581-J581</f>
        <v>7.8009011806249598E-2</v>
      </c>
      <c r="M581" s="1">
        <v>-2.82109881937504E-2</v>
      </c>
      <c r="N581" s="1">
        <f>+M581-J581</f>
        <v>-1.9909881937504002E-3</v>
      </c>
      <c r="O581">
        <v>2.2599999999999998</v>
      </c>
      <c r="P581" t="s">
        <v>15</v>
      </c>
      <c r="Q581">
        <v>0</v>
      </c>
      <c r="R581">
        <v>1.56420070827007E-2</v>
      </c>
      <c r="S581">
        <v>3.5200934857130002E-2</v>
      </c>
      <c r="T581">
        <v>0.05</v>
      </c>
    </row>
    <row r="582" spans="1:20" x14ac:dyDescent="0.3">
      <c r="A582" t="s">
        <v>53</v>
      </c>
      <c r="B582">
        <v>2006</v>
      </c>
      <c r="C582">
        <v>604237.5</v>
      </c>
      <c r="D582" s="1">
        <v>8.0000000000000002E-3</v>
      </c>
      <c r="E582" s="1">
        <v>0.90161669254303001</v>
      </c>
      <c r="F582" s="1">
        <v>-2.3E-2</v>
      </c>
      <c r="G582" s="1">
        <f t="shared" si="16"/>
        <v>-2.3E-2</v>
      </c>
      <c r="H582" s="1" t="str">
        <f t="shared" si="17"/>
        <v/>
      </c>
      <c r="I582" s="1">
        <v>5.0000000000000001E-3</v>
      </c>
      <c r="J582" s="1">
        <f>+D582-F582+I582*O582</f>
        <v>4.1950000000000001E-2</v>
      </c>
      <c r="K582" s="1">
        <v>2.3446058854460699E-2</v>
      </c>
      <c r="L582" s="1">
        <f>+K582-J582</f>
        <v>-1.8503941145539302E-2</v>
      </c>
      <c r="M582" s="1">
        <v>-8.5539411455393E-3</v>
      </c>
      <c r="N582" s="1">
        <f>+M582-J582</f>
        <v>-5.0503941145539299E-2</v>
      </c>
      <c r="O582">
        <v>2.19</v>
      </c>
      <c r="P582" t="s">
        <v>17</v>
      </c>
      <c r="Q582">
        <v>-0.01</v>
      </c>
      <c r="R582">
        <v>4.3382748067378896E-3</v>
      </c>
      <c r="S582">
        <v>5.2600307390093899E-3</v>
      </c>
      <c r="T582">
        <v>-0.02</v>
      </c>
    </row>
    <row r="583" spans="1:20" x14ac:dyDescent="0.3">
      <c r="A583" t="s">
        <v>53</v>
      </c>
      <c r="B583">
        <v>2007</v>
      </c>
      <c r="C583">
        <v>612274.4375</v>
      </c>
      <c r="D583" s="1">
        <v>-7.0000000000000001E-3</v>
      </c>
      <c r="E583" s="1">
        <v>0.90665328502654996</v>
      </c>
      <c r="F583" s="1">
        <v>5.2999999999999999E-2</v>
      </c>
      <c r="G583" s="1">
        <f t="shared" ref="G583:G646" si="18">SUMIFS(F:F,A:A,A583,B:B,"&lt;="&amp;B583)</f>
        <v>0.03</v>
      </c>
      <c r="H583" s="1" t="str">
        <f t="shared" ref="H583:H646" si="19">IFERROR(IF(ABS(G583)&gt;0.12,AVERAGEIFS(K:K,A:A,A583,B:B,"&gt;"&amp;B583,B:B,"&lt;"&amp;B583+3),""),"")</f>
        <v/>
      </c>
      <c r="I583" s="1">
        <v>5.0000000000000001E-3</v>
      </c>
      <c r="J583" s="1">
        <f>+D583-F583+I583*O583</f>
        <v>-4.8449999999999993E-2</v>
      </c>
      <c r="K583" s="1">
        <v>3.33382748067379E-2</v>
      </c>
      <c r="L583" s="1">
        <f>+K583-J583</f>
        <v>8.1788274806737893E-2</v>
      </c>
      <c r="M583" s="1">
        <v>4.3382748067378896E-3</v>
      </c>
      <c r="N583" s="1">
        <f>+M583-J583</f>
        <v>5.2788274806737881E-2</v>
      </c>
      <c r="O583">
        <v>2.31</v>
      </c>
      <c r="P583" t="s">
        <v>15</v>
      </c>
      <c r="Q583">
        <v>0.01</v>
      </c>
      <c r="R583">
        <v>-3.4366792824119301E-2</v>
      </c>
      <c r="S583">
        <v>-4.8559885472059198E-3</v>
      </c>
      <c r="T583">
        <v>0.05</v>
      </c>
    </row>
    <row r="584" spans="1:20" x14ac:dyDescent="0.3">
      <c r="A584" t="s">
        <v>53</v>
      </c>
      <c r="B584">
        <v>2008</v>
      </c>
      <c r="C584">
        <v>623259</v>
      </c>
      <c r="D584" s="1">
        <v>1.2999999999999999E-2</v>
      </c>
      <c r="E584" s="1">
        <v>0.89904755353927601</v>
      </c>
      <c r="F584" s="1">
        <v>-1E-3</v>
      </c>
      <c r="G584" s="1">
        <f t="shared" si="18"/>
        <v>2.8999999999999998E-2</v>
      </c>
      <c r="H584" s="1" t="str">
        <f t="shared" si="19"/>
        <v/>
      </c>
      <c r="I584" s="1">
        <v>-8.0000000000000002E-3</v>
      </c>
      <c r="J584" s="1">
        <f>+D584-F584+I584*O584</f>
        <v>-4.4000000000000011E-3</v>
      </c>
      <c r="K584" s="1">
        <v>3.6332071758806701E-3</v>
      </c>
      <c r="L584" s="1">
        <f>+K584-J584</f>
        <v>8.0332071758806717E-3</v>
      </c>
      <c r="M584" s="1">
        <v>-3.4366792824119301E-2</v>
      </c>
      <c r="N584" s="1">
        <f>+M584-J584</f>
        <v>-2.99667928241193E-2</v>
      </c>
      <c r="O584">
        <v>2.2999999999999998</v>
      </c>
      <c r="P584" t="s">
        <v>16</v>
      </c>
      <c r="Q584">
        <v>0</v>
      </c>
      <c r="R584">
        <v>-2.94197618067264E-2</v>
      </c>
      <c r="S584">
        <v>-2.8530601412058401E-3</v>
      </c>
      <c r="T584">
        <v>0</v>
      </c>
    </row>
    <row r="585" spans="1:20" x14ac:dyDescent="0.3">
      <c r="A585" t="s">
        <v>53</v>
      </c>
      <c r="B585">
        <v>2009</v>
      </c>
      <c r="C585">
        <v>635947.375</v>
      </c>
      <c r="D585" s="1">
        <v>0</v>
      </c>
      <c r="E585" s="1">
        <v>0.91598641872405995</v>
      </c>
      <c r="F585" s="1">
        <v>-0.02</v>
      </c>
      <c r="G585" s="1">
        <f t="shared" si="18"/>
        <v>8.9999999999999976E-3</v>
      </c>
      <c r="H585" s="1" t="str">
        <f t="shared" si="19"/>
        <v/>
      </c>
      <c r="I585" s="1">
        <v>1.7000000000000001E-2</v>
      </c>
      <c r="J585" s="1">
        <f>+D585-F585+I585*O585</f>
        <v>5.842E-2</v>
      </c>
      <c r="K585" s="1">
        <v>-3.3419761806726497E-2</v>
      </c>
      <c r="L585" s="1">
        <f>+K585-J585</f>
        <v>-9.1839761806726497E-2</v>
      </c>
      <c r="M585" s="1">
        <v>-2.94197618067264E-2</v>
      </c>
      <c r="N585" s="1">
        <f>+M585-J585</f>
        <v>-8.7839761806726396E-2</v>
      </c>
      <c r="O585">
        <v>2.2599999999999998</v>
      </c>
      <c r="P585" t="s">
        <v>17</v>
      </c>
      <c r="Q585">
        <v>0</v>
      </c>
      <c r="R585">
        <v>-3.4069821089505901E-3</v>
      </c>
      <c r="S585">
        <v>6.0531266499310801E-3</v>
      </c>
      <c r="T585">
        <v>-0.04</v>
      </c>
    </row>
    <row r="586" spans="1:20" x14ac:dyDescent="0.3">
      <c r="A586" t="s">
        <v>53</v>
      </c>
      <c r="B586">
        <v>2010</v>
      </c>
      <c r="C586">
        <v>653274.4375</v>
      </c>
      <c r="D586" s="1">
        <v>1E-3</v>
      </c>
      <c r="E586" s="1">
        <v>0.92857944965362504</v>
      </c>
      <c r="F586" s="1">
        <v>5.5E-2</v>
      </c>
      <c r="G586" s="1">
        <f t="shared" si="18"/>
        <v>6.4000000000000001E-2</v>
      </c>
      <c r="H586" s="1" t="str">
        <f t="shared" si="19"/>
        <v/>
      </c>
      <c r="I586" s="1">
        <v>1.2999999999999999E-2</v>
      </c>
      <c r="J586" s="1">
        <f>+D586-F586+I586*O586</f>
        <v>-2.3060000000000001E-2</v>
      </c>
      <c r="K586" s="1">
        <v>1.2593017891049401E-2</v>
      </c>
      <c r="L586" s="1">
        <f>+K586-J586</f>
        <v>3.5653017891049403E-2</v>
      </c>
      <c r="M586" s="1">
        <v>-3.4069821089505901E-3</v>
      </c>
      <c r="N586" s="1">
        <f>+M586-J586</f>
        <v>1.965301789104941E-2</v>
      </c>
      <c r="O586">
        <v>2.38</v>
      </c>
      <c r="P586" t="s">
        <v>15</v>
      </c>
      <c r="Q586">
        <v>0.01</v>
      </c>
      <c r="R586">
        <v>-9.3221015930175996E-3</v>
      </c>
      <c r="S586">
        <v>1.1961672920733701E-2</v>
      </c>
      <c r="T586">
        <v>0.05</v>
      </c>
    </row>
    <row r="587" spans="1:20" x14ac:dyDescent="0.3">
      <c r="A587" t="s">
        <v>53</v>
      </c>
      <c r="B587">
        <v>2011</v>
      </c>
      <c r="C587">
        <v>663261.125</v>
      </c>
      <c r="D587" s="1">
        <v>0</v>
      </c>
      <c r="E587" s="1">
        <v>0.92160820960998502</v>
      </c>
      <c r="F587" s="1">
        <v>1.7999999999999999E-2</v>
      </c>
      <c r="G587" s="1">
        <f t="shared" si="18"/>
        <v>8.2000000000000003E-2</v>
      </c>
      <c r="H587" s="1" t="str">
        <f t="shared" si="19"/>
        <v/>
      </c>
      <c r="I587" s="1">
        <v>-7.0000000000000001E-3</v>
      </c>
      <c r="J587" s="1">
        <f>+D587-F587+I587*O587</f>
        <v>-3.5009999999999999E-2</v>
      </c>
      <c r="K587" s="1">
        <v>2.2677898406982401E-2</v>
      </c>
      <c r="L587" s="1">
        <f>+K587-J587</f>
        <v>5.7687898406982401E-2</v>
      </c>
      <c r="M587" s="1">
        <v>-9.3221015930175996E-3</v>
      </c>
      <c r="N587" s="1">
        <f>+M587-J587</f>
        <v>2.56878984069824E-2</v>
      </c>
      <c r="O587">
        <v>2.4300000000000002</v>
      </c>
      <c r="P587" t="s">
        <v>17</v>
      </c>
      <c r="Q587">
        <v>0.01</v>
      </c>
      <c r="R587">
        <v>5.8982909619807898E-3</v>
      </c>
      <c r="S587">
        <v>1.1336497031152099E-2</v>
      </c>
      <c r="T587">
        <v>0.02</v>
      </c>
    </row>
    <row r="588" spans="1:20" x14ac:dyDescent="0.3">
      <c r="A588" t="s">
        <v>53</v>
      </c>
      <c r="B588">
        <v>2012</v>
      </c>
      <c r="C588">
        <v>672359.3125</v>
      </c>
      <c r="D588" s="1">
        <v>6.0000000000000001E-3</v>
      </c>
      <c r="E588" s="1">
        <v>0.93283289670944203</v>
      </c>
      <c r="F588" s="1">
        <v>5.5E-2</v>
      </c>
      <c r="G588" s="1">
        <f t="shared" si="18"/>
        <v>0.13700000000000001</v>
      </c>
      <c r="H588" s="1">
        <f t="shared" si="19"/>
        <v>3.4124283120036097E-2</v>
      </c>
      <c r="I588" s="1">
        <v>1.0999999999999999E-2</v>
      </c>
      <c r="J588" s="1">
        <f>+D588-F588+I588*O588</f>
        <v>-2.0840000000000004E-2</v>
      </c>
      <c r="K588" s="1">
        <v>2.6898290961980799E-2</v>
      </c>
      <c r="L588" s="1">
        <f>+K588-J588</f>
        <v>4.7738290961980803E-2</v>
      </c>
      <c r="M588" s="1">
        <v>5.8982909619807898E-3</v>
      </c>
      <c r="N588" s="1">
        <f>+M588-J588</f>
        <v>2.6738290961980795E-2</v>
      </c>
      <c r="O588">
        <v>2.56</v>
      </c>
      <c r="P588" t="s">
        <v>15</v>
      </c>
      <c r="Q588">
        <v>0.01</v>
      </c>
      <c r="R588">
        <v>1.8579446375369998E-2</v>
      </c>
      <c r="S588">
        <v>1.2452675029635299E-2</v>
      </c>
      <c r="T588">
        <v>0.05</v>
      </c>
    </row>
    <row r="589" spans="1:20" x14ac:dyDescent="0.3">
      <c r="A589" t="s">
        <v>53</v>
      </c>
      <c r="B589">
        <v>2013</v>
      </c>
      <c r="C589">
        <v>681393.3125</v>
      </c>
      <c r="D589" s="1">
        <v>3.1E-2</v>
      </c>
      <c r="E589" s="1">
        <v>0.93496859073638905</v>
      </c>
      <c r="F589" s="1">
        <v>-1.6E-2</v>
      </c>
      <c r="G589" s="1">
        <f t="shared" si="18"/>
        <v>0.12100000000000001</v>
      </c>
      <c r="H589" s="1">
        <f t="shared" si="19"/>
        <v>4.474977403879165E-2</v>
      </c>
      <c r="I589" s="1">
        <v>2E-3</v>
      </c>
      <c r="J589" s="1">
        <f>+D589-F589+I589*O589</f>
        <v>5.2040000000000003E-2</v>
      </c>
      <c r="K589" s="1">
        <v>3.3579446375369998E-2</v>
      </c>
      <c r="L589" s="1">
        <f>+K589-J589</f>
        <v>-1.8460553624630005E-2</v>
      </c>
      <c r="M589" s="1">
        <v>1.8579446375369998E-2</v>
      </c>
      <c r="N589" s="1">
        <f>+M589-J589</f>
        <v>-3.3460553624630004E-2</v>
      </c>
      <c r="O589">
        <v>2.52</v>
      </c>
      <c r="P589" t="s">
        <v>17</v>
      </c>
      <c r="Q589">
        <v>0.01</v>
      </c>
      <c r="R589">
        <v>1.8669119864702099E-2</v>
      </c>
      <c r="S589">
        <v>1.6661096364259598E-2</v>
      </c>
      <c r="T589">
        <v>-0.02</v>
      </c>
    </row>
    <row r="590" spans="1:20" x14ac:dyDescent="0.3">
      <c r="A590" t="s">
        <v>53</v>
      </c>
      <c r="B590">
        <v>2014</v>
      </c>
      <c r="C590">
        <v>690409.125</v>
      </c>
      <c r="D590" s="1">
        <v>0</v>
      </c>
      <c r="E590" s="1">
        <v>0.94267362356185902</v>
      </c>
      <c r="F590" s="1">
        <v>-2.5000000000000001E-2</v>
      </c>
      <c r="G590" s="1">
        <f t="shared" si="18"/>
        <v>9.6000000000000002E-2</v>
      </c>
      <c r="H590" s="1" t="str">
        <f t="shared" si="19"/>
        <v/>
      </c>
      <c r="I590" s="1">
        <v>8.0000000000000002E-3</v>
      </c>
      <c r="J590" s="1">
        <f>+D590-F590+I590*O590</f>
        <v>4.4679999999999997E-2</v>
      </c>
      <c r="K590" s="1">
        <v>3.4669119864702197E-2</v>
      </c>
      <c r="L590" s="1">
        <f>+K590-J590</f>
        <v>-1.0010880135297801E-2</v>
      </c>
      <c r="M590" s="1">
        <v>1.8669119864702099E-2</v>
      </c>
      <c r="N590" s="1">
        <f>+M590-J590</f>
        <v>-2.6010880135297898E-2</v>
      </c>
      <c r="O590">
        <v>2.46</v>
      </c>
      <c r="P590" t="s">
        <v>17</v>
      </c>
      <c r="Q590">
        <v>0.02</v>
      </c>
      <c r="R590">
        <v>5.3830428212881101E-2</v>
      </c>
      <c r="S590">
        <v>2.3566976189613401E-2</v>
      </c>
      <c r="T590">
        <v>-0.03</v>
      </c>
    </row>
    <row r="591" spans="1:20" x14ac:dyDescent="0.3">
      <c r="A591" t="s">
        <v>53</v>
      </c>
      <c r="B591">
        <v>2015</v>
      </c>
      <c r="C591">
        <v>702754.1875</v>
      </c>
      <c r="D591" s="1">
        <v>1.4E-2</v>
      </c>
      <c r="E591" s="1">
        <v>0.95088702440261796</v>
      </c>
      <c r="F591" s="1">
        <v>1E-3</v>
      </c>
      <c r="G591" s="1">
        <f t="shared" si="18"/>
        <v>9.7000000000000003E-2</v>
      </c>
      <c r="H591" s="1" t="str">
        <f t="shared" si="19"/>
        <v/>
      </c>
      <c r="I591" s="1">
        <v>8.0000000000000002E-3</v>
      </c>
      <c r="J591" s="1">
        <f>+D591-F591+I591*O591</f>
        <v>3.2680000000000001E-2</v>
      </c>
      <c r="K591" s="1">
        <v>5.4830428212881102E-2</v>
      </c>
      <c r="L591" s="1">
        <f>+K591-J591</f>
        <v>2.2150428212881101E-2</v>
      </c>
      <c r="M591" s="1">
        <v>5.3830428212881101E-2</v>
      </c>
      <c r="N591" s="1">
        <f>+M591-J591</f>
        <v>2.1150428212881101E-2</v>
      </c>
      <c r="O591">
        <v>2.46</v>
      </c>
      <c r="P591" t="s">
        <v>15</v>
      </c>
      <c r="Q591">
        <v>0.02</v>
      </c>
      <c r="R591">
        <v>4.8245955526828803E-2</v>
      </c>
      <c r="S591">
        <v>3.5092398524284397E-2</v>
      </c>
      <c r="T591">
        <v>0.01</v>
      </c>
    </row>
    <row r="592" spans="1:20" x14ac:dyDescent="0.3">
      <c r="A592" t="s">
        <v>53</v>
      </c>
      <c r="B592">
        <v>2016</v>
      </c>
      <c r="C592">
        <v>717695.625</v>
      </c>
      <c r="D592" s="1">
        <v>1.2E-2</v>
      </c>
      <c r="E592" s="1">
        <v>0.94888198375701904</v>
      </c>
      <c r="F592" s="1">
        <v>3.0000000000000001E-3</v>
      </c>
      <c r="G592" s="1">
        <f t="shared" si="18"/>
        <v>0.1</v>
      </c>
      <c r="H592" s="1" t="str">
        <f t="shared" si="19"/>
        <v/>
      </c>
      <c r="I592" s="1">
        <v>-2E-3</v>
      </c>
      <c r="J592" s="1">
        <f>+D592-F592+I592*O592</f>
        <v>4.0600000000000002E-3</v>
      </c>
      <c r="K592" s="1">
        <v>6.1245955526828801E-2</v>
      </c>
      <c r="L592" s="1">
        <f>+K592-J592</f>
        <v>5.7185955526828799E-2</v>
      </c>
      <c r="M592" s="1">
        <v>4.8245955526828803E-2</v>
      </c>
      <c r="N592" s="1">
        <f>+M592-J592</f>
        <v>4.4185955526828802E-2</v>
      </c>
      <c r="O592">
        <v>2.4700000000000002</v>
      </c>
      <c r="P592" t="s">
        <v>17</v>
      </c>
      <c r="Q592">
        <v>0.04</v>
      </c>
      <c r="R592">
        <v>2.02860848009585E-2</v>
      </c>
      <c r="S592">
        <v>1.74965113401413E-2</v>
      </c>
      <c r="T592">
        <v>0</v>
      </c>
    </row>
    <row r="593" spans="1:20" x14ac:dyDescent="0.3">
      <c r="A593" t="s">
        <v>53</v>
      </c>
      <c r="B593">
        <v>2017</v>
      </c>
      <c r="C593">
        <v>730606.5</v>
      </c>
      <c r="D593" s="1">
        <v>2.7E-2</v>
      </c>
      <c r="E593" s="1">
        <v>0.92739731073379505</v>
      </c>
      <c r="F593" s="1">
        <v>-2.7E-2</v>
      </c>
      <c r="G593" s="1">
        <f t="shared" si="18"/>
        <v>7.3000000000000009E-2</v>
      </c>
      <c r="H593" s="1" t="str">
        <f t="shared" si="19"/>
        <v/>
      </c>
      <c r="I593" s="1">
        <v>-2.1000000000000001E-2</v>
      </c>
      <c r="J593" s="1">
        <f>+D593-F593+I593*O593</f>
        <v>3.599999999999999E-3</v>
      </c>
      <c r="K593" s="1">
        <v>4.1286084800958599E-2</v>
      </c>
      <c r="L593" s="1">
        <f>+K593-J593</f>
        <v>3.76860848009586E-2</v>
      </c>
      <c r="M593" s="1">
        <v>2.02860848009585E-2</v>
      </c>
      <c r="N593" s="1">
        <f>+M593-J593</f>
        <v>1.6686084800958501E-2</v>
      </c>
      <c r="O593">
        <v>2.4</v>
      </c>
      <c r="P593" t="s">
        <v>16</v>
      </c>
      <c r="Q593">
        <v>0.02</v>
      </c>
      <c r="R593">
        <v>2.0774629175663001E-2</v>
      </c>
      <c r="S593">
        <v>1.1639606207609199E-2</v>
      </c>
      <c r="T593">
        <v>-0.02</v>
      </c>
    </row>
    <row r="594" spans="1:20" x14ac:dyDescent="0.3">
      <c r="A594" t="s">
        <v>53</v>
      </c>
      <c r="B594">
        <v>2018</v>
      </c>
      <c r="C594">
        <v>742469.9375</v>
      </c>
      <c r="D594" s="1">
        <v>5.0000000000000001E-3</v>
      </c>
      <c r="E594" s="1">
        <v>0.93159371614456199</v>
      </c>
      <c r="F594" s="1">
        <v>-1.7000000000000001E-2</v>
      </c>
      <c r="G594" s="1">
        <f t="shared" si="18"/>
        <v>5.6000000000000008E-2</v>
      </c>
      <c r="H594" s="1" t="str">
        <f t="shared" si="19"/>
        <v/>
      </c>
      <c r="I594" s="1">
        <v>4.0000000000000001E-3</v>
      </c>
      <c r="J594" s="1">
        <f>+D594-F594+I594*O594</f>
        <v>3.1440000000000003E-2</v>
      </c>
      <c r="K594" s="1">
        <v>4.4774629175663001E-2</v>
      </c>
      <c r="L594" s="1">
        <f>+K594-J594</f>
        <v>1.3334629175662999E-2</v>
      </c>
      <c r="M594" s="1">
        <v>2.0774629175663001E-2</v>
      </c>
      <c r="N594" s="1">
        <f>+M594-J594</f>
        <v>-1.0665370824337002E-2</v>
      </c>
      <c r="O594">
        <v>2.36</v>
      </c>
      <c r="P594" t="s">
        <v>17</v>
      </c>
      <c r="Q594">
        <v>0.01</v>
      </c>
      <c r="R594">
        <v>4.1409696608781799E-2</v>
      </c>
      <c r="S594">
        <v>2.36085020005702E-2</v>
      </c>
      <c r="T594">
        <v>-0.01</v>
      </c>
    </row>
    <row r="595" spans="1:20" x14ac:dyDescent="0.3">
      <c r="A595" t="s">
        <v>53</v>
      </c>
      <c r="B595">
        <v>2019</v>
      </c>
      <c r="C595">
        <v>751587.375</v>
      </c>
      <c r="D595" s="1">
        <v>2.4E-2</v>
      </c>
      <c r="E595" s="1">
        <v>0.92135101556777999</v>
      </c>
      <c r="F595" s="1">
        <v>3.1E-2</v>
      </c>
      <c r="G595" s="1">
        <f t="shared" si="18"/>
        <v>8.7000000000000008E-2</v>
      </c>
      <c r="H595" s="1" t="str">
        <f t="shared" si="19"/>
        <v/>
      </c>
      <c r="I595" s="1">
        <v>-0.01</v>
      </c>
      <c r="J595" s="1">
        <f>+D595-F595+I595*O595</f>
        <v>-3.1300000000000001E-2</v>
      </c>
      <c r="K595" s="1">
        <v>5.9409696608781801E-2</v>
      </c>
      <c r="L595" s="1">
        <f>+K595-J595</f>
        <v>9.0709696608781809E-2</v>
      </c>
      <c r="M595" s="1">
        <v>4.1409696608781799E-2</v>
      </c>
      <c r="N595" s="1">
        <f>+M595-J595</f>
        <v>7.2709696608781793E-2</v>
      </c>
      <c r="O595">
        <v>2.4300000000000002</v>
      </c>
      <c r="P595" t="s">
        <v>17</v>
      </c>
      <c r="Q595">
        <v>0.02</v>
      </c>
      <c r="R595">
        <v>2.7261009544134001E-2</v>
      </c>
      <c r="S595">
        <v>8.4118191152810894E-3</v>
      </c>
      <c r="T595">
        <v>0.04</v>
      </c>
    </row>
    <row r="596" spans="1:20" x14ac:dyDescent="0.3">
      <c r="A596" t="s">
        <v>53</v>
      </c>
      <c r="B596">
        <v>2020</v>
      </c>
      <c r="C596">
        <v>759828.4375</v>
      </c>
      <c r="D596" s="1">
        <v>4.5999999999999999E-2</v>
      </c>
      <c r="E596" s="1">
        <v>0.92585641145706199</v>
      </c>
      <c r="F596" s="1">
        <v>-5.0999999999999997E-2</v>
      </c>
      <c r="G596" s="1">
        <f t="shared" si="18"/>
        <v>3.6000000000000011E-2</v>
      </c>
      <c r="H596" s="1" t="str">
        <f t="shared" si="19"/>
        <v/>
      </c>
      <c r="I596" s="1">
        <v>5.0000000000000001E-3</v>
      </c>
      <c r="J596" s="1">
        <f>+D596-F596+I596*O596</f>
        <v>0.10855000000000001</v>
      </c>
      <c r="K596" s="1">
        <v>3.9261009544134098E-2</v>
      </c>
      <c r="L596" s="1">
        <f>+K596-J596</f>
        <v>-6.9288990455865909E-2</v>
      </c>
      <c r="M596" s="1">
        <v>2.7261009544134001E-2</v>
      </c>
      <c r="N596" s="1">
        <f>+M596-J596</f>
        <v>-8.1288990455866003E-2</v>
      </c>
      <c r="O596">
        <v>2.31</v>
      </c>
      <c r="P596" t="s">
        <v>17</v>
      </c>
      <c r="Q596">
        <v>0.01</v>
      </c>
      <c r="R596">
        <v>4.8335222780704498E-2</v>
      </c>
      <c r="S596">
        <v>4.7456100583075896E-3</v>
      </c>
      <c r="T596">
        <v>-0.01</v>
      </c>
    </row>
    <row r="597" spans="1:20" x14ac:dyDescent="0.3">
      <c r="A597" t="s">
        <v>53</v>
      </c>
      <c r="B597">
        <v>2021</v>
      </c>
      <c r="C597">
        <v>764535.1875</v>
      </c>
      <c r="D597" s="1">
        <v>4.0000000000000001E-3</v>
      </c>
      <c r="E597" s="1">
        <v>0.93619930744171098</v>
      </c>
      <c r="F597" s="1">
        <v>3.3000000000000002E-2</v>
      </c>
      <c r="G597" s="1">
        <f t="shared" si="18"/>
        <v>6.9000000000000006E-2</v>
      </c>
      <c r="H597" s="1" t="str">
        <f t="shared" si="19"/>
        <v/>
      </c>
      <c r="I597" s="1">
        <v>0.01</v>
      </c>
      <c r="J597" s="1">
        <f>+D597-F597+I597*O597</f>
        <v>-5.2000000000000032E-3</v>
      </c>
      <c r="K597" s="1">
        <v>9.5335222780704498E-2</v>
      </c>
      <c r="L597" s="1">
        <f>+K597-J597</f>
        <v>0.10053522278070451</v>
      </c>
      <c r="M597" s="1">
        <v>4.8335222780704498E-2</v>
      </c>
      <c r="N597" s="1">
        <f>+M597-J597</f>
        <v>5.3535222780704501E-2</v>
      </c>
      <c r="O597">
        <v>2.38</v>
      </c>
      <c r="P597" t="s">
        <v>15</v>
      </c>
      <c r="Q597">
        <v>0</v>
      </c>
      <c r="R597">
        <v>-3.5823373049497599E-2</v>
      </c>
      <c r="S597">
        <v>-3.7198662757872902E-3</v>
      </c>
      <c r="T597">
        <v>0</v>
      </c>
    </row>
    <row r="598" spans="1:20" x14ac:dyDescent="0.3">
      <c r="A598" t="s">
        <v>53</v>
      </c>
      <c r="B598">
        <v>2022</v>
      </c>
      <c r="C598">
        <v>768422.75</v>
      </c>
      <c r="D598" s="1">
        <v>2.9000000000000001E-2</v>
      </c>
      <c r="E598" s="1">
        <v>0.90295773744583097</v>
      </c>
      <c r="F598" s="1">
        <v>-4.3999999999999997E-2</v>
      </c>
      <c r="G598" s="1">
        <f t="shared" si="18"/>
        <v>2.5000000000000008E-2</v>
      </c>
      <c r="H598" s="1" t="str">
        <f t="shared" si="19"/>
        <v/>
      </c>
      <c r="I598" s="1">
        <v>-3.3000000000000002E-2</v>
      </c>
      <c r="J598" s="1">
        <f>+D598-F598+I598*O598</f>
        <v>-2.2400000000000059E-3</v>
      </c>
      <c r="K598" s="1">
        <v>4.4176626950502403E-2</v>
      </c>
      <c r="L598" s="1">
        <f>+K598-J598</f>
        <v>4.6416626950502408E-2</v>
      </c>
      <c r="M598" s="1">
        <v>-3.5823373049497599E-2</v>
      </c>
      <c r="N598" s="1">
        <f>+M598-J598</f>
        <v>-3.3583373049497593E-2</v>
      </c>
      <c r="O598">
        <v>2.2799999999999998</v>
      </c>
      <c r="P598" t="s">
        <v>16</v>
      </c>
      <c r="Q598">
        <v>0</v>
      </c>
      <c r="R598">
        <v>-5.6267409384250601E-2</v>
      </c>
      <c r="S598">
        <v>-3.6708481609821299E-2</v>
      </c>
      <c r="T598">
        <v>-0.03</v>
      </c>
    </row>
    <row r="599" spans="1:20" x14ac:dyDescent="0.3">
      <c r="A599" t="s">
        <v>54</v>
      </c>
      <c r="B599">
        <v>2006</v>
      </c>
      <c r="C599">
        <v>153495.79689999999</v>
      </c>
      <c r="D599" s="1">
        <v>2.8000000000000001E-2</v>
      </c>
      <c r="E599" s="1">
        <v>0.94231861829757702</v>
      </c>
      <c r="F599" s="1">
        <v>0.128</v>
      </c>
      <c r="G599" s="1">
        <f t="shared" si="18"/>
        <v>0.128</v>
      </c>
      <c r="H599" s="1">
        <f t="shared" si="19"/>
        <v>1.7023102380335352E-2</v>
      </c>
      <c r="I599" s="1">
        <v>1.4E-2</v>
      </c>
      <c r="J599" s="1">
        <f>+D599-F599+I599*O599</f>
        <v>-7.0460000000000009E-2</v>
      </c>
      <c r="K599" s="1">
        <v>2.2265920415520699E-2</v>
      </c>
      <c r="L599" s="1">
        <f>+K599-J599</f>
        <v>9.2725920415520705E-2</v>
      </c>
      <c r="M599" s="1">
        <v>-9.7340795844792997E-3</v>
      </c>
      <c r="N599" s="1">
        <f>+M599-J599</f>
        <v>6.0725920415520711E-2</v>
      </c>
      <c r="O599">
        <v>2.11</v>
      </c>
      <c r="P599" t="s">
        <v>15</v>
      </c>
      <c r="Q599">
        <v>-0.02</v>
      </c>
      <c r="R599">
        <v>-1.08624425679445E-2</v>
      </c>
      <c r="S599">
        <v>-9.9406866356729993E-3</v>
      </c>
      <c r="T599">
        <v>0.13</v>
      </c>
    </row>
    <row r="600" spans="1:20" x14ac:dyDescent="0.3">
      <c r="A600" t="s">
        <v>54</v>
      </c>
      <c r="B600">
        <v>2007</v>
      </c>
      <c r="C600">
        <v>156270.70310000001</v>
      </c>
      <c r="D600" s="1">
        <v>0.06</v>
      </c>
      <c r="E600" s="1">
        <v>0.92709290981292702</v>
      </c>
      <c r="F600" s="1">
        <v>6.6000000000000003E-2</v>
      </c>
      <c r="G600" s="1">
        <f t="shared" si="18"/>
        <v>0.19400000000000001</v>
      </c>
      <c r="H600" s="1">
        <f t="shared" si="19"/>
        <v>-2.1752435714006511E-3</v>
      </c>
      <c r="I600" s="1">
        <v>-1.4999999999999999E-2</v>
      </c>
      <c r="J600" s="1">
        <f>+D600-F600+I600*O600</f>
        <v>-3.9750000000000008E-2</v>
      </c>
      <c r="K600" s="1">
        <v>1.8137557432055501E-2</v>
      </c>
      <c r="L600" s="1">
        <f>+K600-J600</f>
        <v>5.7887557432055509E-2</v>
      </c>
      <c r="M600" s="1">
        <v>-1.08624425679445E-2</v>
      </c>
      <c r="N600" s="1">
        <f>+M600-J600</f>
        <v>2.8887557432055507E-2</v>
      </c>
      <c r="O600">
        <v>2.25</v>
      </c>
      <c r="P600" t="s">
        <v>17</v>
      </c>
      <c r="Q600">
        <v>-0.01</v>
      </c>
      <c r="R600">
        <v>-2.20913526713848E-2</v>
      </c>
      <c r="S600">
        <v>7.4194516055286E-3</v>
      </c>
      <c r="T600">
        <v>7.0000000000000007E-2</v>
      </c>
    </row>
    <row r="601" spans="1:20" x14ac:dyDescent="0.3">
      <c r="A601" t="s">
        <v>54</v>
      </c>
      <c r="B601">
        <v>2008</v>
      </c>
      <c r="C601">
        <v>158714.70310000001</v>
      </c>
      <c r="D601" s="1">
        <v>4.9000000000000002E-2</v>
      </c>
      <c r="E601" s="1">
        <v>0.94608217477798495</v>
      </c>
      <c r="F601" s="1">
        <v>1.7000000000000001E-2</v>
      </c>
      <c r="G601" s="1">
        <f t="shared" si="18"/>
        <v>0.21100000000000002</v>
      </c>
      <c r="H601" s="1">
        <f t="shared" si="19"/>
        <v>-8.2118692807853361E-3</v>
      </c>
      <c r="I601" s="1">
        <v>1.9E-2</v>
      </c>
      <c r="J601" s="1">
        <f>+D601-F601+I601*O601</f>
        <v>7.5509999999999994E-2</v>
      </c>
      <c r="K601" s="1">
        <v>1.5908647328615199E-2</v>
      </c>
      <c r="L601" s="1">
        <f>+K601-J601</f>
        <v>-5.9601352671384791E-2</v>
      </c>
      <c r="M601" s="1">
        <v>-2.20913526713848E-2</v>
      </c>
      <c r="N601" s="1">
        <f>+M601-J601</f>
        <v>-9.7601352671384797E-2</v>
      </c>
      <c r="O601">
        <v>2.29</v>
      </c>
      <c r="P601" t="s">
        <v>15</v>
      </c>
      <c r="Q601">
        <v>0.01</v>
      </c>
      <c r="R601">
        <v>-1.6259134471416501E-2</v>
      </c>
      <c r="S601">
        <v>1.0307567194104099E-2</v>
      </c>
      <c r="T601">
        <v>0.02</v>
      </c>
    </row>
    <row r="602" spans="1:20" x14ac:dyDescent="0.3">
      <c r="A602" t="s">
        <v>54</v>
      </c>
      <c r="B602">
        <v>2009</v>
      </c>
      <c r="C602">
        <v>161242.5</v>
      </c>
      <c r="D602" s="1">
        <v>0.02</v>
      </c>
      <c r="E602" s="1">
        <v>0.94542849063873302</v>
      </c>
      <c r="F602" s="1">
        <v>-3.7999999999999999E-2</v>
      </c>
      <c r="G602" s="1">
        <f t="shared" si="18"/>
        <v>0.17300000000000001</v>
      </c>
      <c r="H602" s="1">
        <f t="shared" si="19"/>
        <v>6.5112626180052757E-3</v>
      </c>
      <c r="I602" s="1">
        <v>-1E-3</v>
      </c>
      <c r="J602" s="1">
        <f>+D602-F602+I602*O602</f>
        <v>5.5799999999999995E-2</v>
      </c>
      <c r="K602" s="1">
        <v>-2.0259134471416501E-2</v>
      </c>
      <c r="L602" s="1">
        <f>+K602-J602</f>
        <v>-7.605913447141649E-2</v>
      </c>
      <c r="M602" s="1">
        <v>-1.6259134471416501E-2</v>
      </c>
      <c r="N602" s="1">
        <f>+M602-J602</f>
        <v>-7.20591344714165E-2</v>
      </c>
      <c r="O602">
        <v>2.2000000000000002</v>
      </c>
      <c r="P602" t="s">
        <v>16</v>
      </c>
      <c r="Q602">
        <v>0.01</v>
      </c>
      <c r="R602">
        <v>-1.21646040901541E-2</v>
      </c>
      <c r="S602">
        <v>-2.7044953312724798E-3</v>
      </c>
      <c r="T602">
        <v>-0.06</v>
      </c>
    </row>
    <row r="603" spans="1:20" x14ac:dyDescent="0.3">
      <c r="A603" t="s">
        <v>54</v>
      </c>
      <c r="B603">
        <v>2010</v>
      </c>
      <c r="C603">
        <v>164034.8125</v>
      </c>
      <c r="D603" s="1">
        <v>0</v>
      </c>
      <c r="E603" s="1">
        <v>0.94773656129837003</v>
      </c>
      <c r="F603" s="1">
        <v>-2.3E-2</v>
      </c>
      <c r="G603" s="1">
        <f t="shared" si="18"/>
        <v>0.15000000000000002</v>
      </c>
      <c r="H603" s="1">
        <f t="shared" si="19"/>
        <v>1.2537895236164311E-2</v>
      </c>
      <c r="I603" s="1">
        <v>2E-3</v>
      </c>
      <c r="J603" s="1">
        <f>+D603-F603+I603*O603</f>
        <v>2.7299999999999998E-2</v>
      </c>
      <c r="K603" s="1">
        <v>3.8353959098458299E-3</v>
      </c>
      <c r="L603" s="1">
        <f>+K603-J603</f>
        <v>-2.3464604090154169E-2</v>
      </c>
      <c r="M603" s="1">
        <v>-1.21646040901541E-2</v>
      </c>
      <c r="N603" s="1">
        <f>+M603-J603</f>
        <v>-3.94646040901541E-2</v>
      </c>
      <c r="O603">
        <v>2.15</v>
      </c>
      <c r="P603" t="s">
        <v>17</v>
      </c>
      <c r="Q603">
        <v>0</v>
      </c>
      <c r="R603">
        <v>-2.2812870673835198E-2</v>
      </c>
      <c r="S603">
        <v>-1.5290961600839699E-3</v>
      </c>
      <c r="T603">
        <v>-0.03</v>
      </c>
    </row>
    <row r="604" spans="1:20" x14ac:dyDescent="0.3">
      <c r="A604" t="s">
        <v>54</v>
      </c>
      <c r="B604">
        <v>2011</v>
      </c>
      <c r="C604">
        <v>167068.29689999999</v>
      </c>
      <c r="D604" s="1">
        <v>0</v>
      </c>
      <c r="E604" s="1">
        <v>0.95490664243698098</v>
      </c>
      <c r="F604" s="1">
        <v>1.7999999999999999E-2</v>
      </c>
      <c r="G604" s="1">
        <f t="shared" si="18"/>
        <v>0.16800000000000001</v>
      </c>
      <c r="H604" s="1">
        <f t="shared" si="19"/>
        <v>1.6464794985949952E-2</v>
      </c>
      <c r="I604" s="1">
        <v>7.0000000000000001E-3</v>
      </c>
      <c r="J604" s="1">
        <f>+D604-F604+I604*O604</f>
        <v>-2.6699999999999988E-3</v>
      </c>
      <c r="K604" s="1">
        <v>9.1871293261647207E-3</v>
      </c>
      <c r="L604" s="1">
        <f>+K604-J604</f>
        <v>1.1857129326164719E-2</v>
      </c>
      <c r="M604" s="1">
        <v>-2.2812870673835198E-2</v>
      </c>
      <c r="N604" s="1">
        <f>+M604-J604</f>
        <v>-2.01428706738352E-2</v>
      </c>
      <c r="O604">
        <v>2.19</v>
      </c>
      <c r="P604" t="s">
        <v>15</v>
      </c>
      <c r="Q604">
        <v>0</v>
      </c>
      <c r="R604">
        <v>-5.1113388538360999E-3</v>
      </c>
      <c r="S604">
        <v>3.2686721533529799E-4</v>
      </c>
      <c r="T604">
        <v>0.02</v>
      </c>
    </row>
    <row r="605" spans="1:20" x14ac:dyDescent="0.3">
      <c r="A605" t="s">
        <v>54</v>
      </c>
      <c r="B605">
        <v>2012</v>
      </c>
      <c r="C605">
        <v>169669.5</v>
      </c>
      <c r="D605" s="1">
        <v>0.02</v>
      </c>
      <c r="E605" s="1">
        <v>0.95770782232284501</v>
      </c>
      <c r="F605" s="1">
        <v>5.0999999999999997E-2</v>
      </c>
      <c r="G605" s="1">
        <f t="shared" si="18"/>
        <v>0.219</v>
      </c>
      <c r="H605" s="1">
        <f t="shared" si="19"/>
        <v>1.5092785935848951E-2</v>
      </c>
      <c r="I605" s="1">
        <v>3.0000000000000001E-3</v>
      </c>
      <c r="J605" s="1">
        <f>+D605-F605+I605*O605</f>
        <v>-2.4099999999999996E-2</v>
      </c>
      <c r="K605" s="1">
        <v>1.5888661146163899E-2</v>
      </c>
      <c r="L605" s="1">
        <f>+K605-J605</f>
        <v>3.9988661146163895E-2</v>
      </c>
      <c r="M605" s="1">
        <v>-5.1113388538360999E-3</v>
      </c>
      <c r="N605" s="1">
        <f>+M605-J605</f>
        <v>1.8988661146163897E-2</v>
      </c>
      <c r="O605">
        <v>2.2999999999999998</v>
      </c>
      <c r="P605" t="s">
        <v>15</v>
      </c>
      <c r="Q605">
        <v>0</v>
      </c>
      <c r="R605">
        <v>2.040928825736E-3</v>
      </c>
      <c r="S605">
        <v>-4.0858425199985903E-3</v>
      </c>
      <c r="T605">
        <v>0.05</v>
      </c>
    </row>
    <row r="606" spans="1:20" x14ac:dyDescent="0.3">
      <c r="A606" t="s">
        <v>54</v>
      </c>
      <c r="B606">
        <v>2013</v>
      </c>
      <c r="C606">
        <v>171852.0938</v>
      </c>
      <c r="D606" s="1">
        <v>2.1999999999999999E-2</v>
      </c>
      <c r="E606" s="1">
        <v>0.945667564868927</v>
      </c>
      <c r="F606" s="1">
        <v>-4.8000000000000001E-2</v>
      </c>
      <c r="G606" s="1">
        <f t="shared" si="18"/>
        <v>0.17099999999999999</v>
      </c>
      <c r="H606" s="1">
        <f t="shared" si="19"/>
        <v>1.5194037463516E-2</v>
      </c>
      <c r="I606" s="1">
        <v>-1.2E-2</v>
      </c>
      <c r="J606" s="1">
        <f>+D606-F606+I606*O606</f>
        <v>4.3720000000000009E-2</v>
      </c>
      <c r="K606" s="1">
        <v>1.7040928825736001E-2</v>
      </c>
      <c r="L606" s="1">
        <f>+K606-J606</f>
        <v>-2.6679071174264008E-2</v>
      </c>
      <c r="M606" s="1">
        <v>2.040928825736E-3</v>
      </c>
      <c r="N606" s="1">
        <f>+M606-J606</f>
        <v>-4.1679071174264011E-2</v>
      </c>
      <c r="O606">
        <v>2.19</v>
      </c>
      <c r="P606" t="s">
        <v>16</v>
      </c>
      <c r="Q606">
        <v>0</v>
      </c>
      <c r="R606">
        <v>-2.8553569540381001E-3</v>
      </c>
      <c r="S606">
        <v>-4.8633804544806003E-3</v>
      </c>
      <c r="T606">
        <v>-0.06</v>
      </c>
    </row>
    <row r="607" spans="1:20" x14ac:dyDescent="0.3">
      <c r="A607" t="s">
        <v>54</v>
      </c>
      <c r="B607">
        <v>2014</v>
      </c>
      <c r="C607">
        <v>173773.29689999999</v>
      </c>
      <c r="D607" s="1">
        <v>6.0000000000000001E-3</v>
      </c>
      <c r="E607" s="1">
        <v>0.95304328203201305</v>
      </c>
      <c r="F607" s="1">
        <v>-4.2000000000000003E-2</v>
      </c>
      <c r="G607" s="1">
        <f t="shared" si="18"/>
        <v>0.12899999999999998</v>
      </c>
      <c r="H607" s="1">
        <f t="shared" si="19"/>
        <v>9.9187250016256993E-3</v>
      </c>
      <c r="I607" s="1">
        <v>7.0000000000000001E-3</v>
      </c>
      <c r="J607" s="1">
        <f>+D607-F607+I607*O607</f>
        <v>6.2700000000000006E-2</v>
      </c>
      <c r="K607" s="1">
        <v>1.31446430459619E-2</v>
      </c>
      <c r="L607" s="1">
        <f>+K607-J607</f>
        <v>-4.9555356954038107E-2</v>
      </c>
      <c r="M607" s="1">
        <v>-2.8553569540381001E-3</v>
      </c>
      <c r="N607" s="1">
        <f>+M607-J607</f>
        <v>-6.5555356954038108E-2</v>
      </c>
      <c r="O607">
        <v>2.1</v>
      </c>
      <c r="P607" t="s">
        <v>17</v>
      </c>
      <c r="Q607">
        <v>0</v>
      </c>
      <c r="R607">
        <v>1.6243431881070001E-2</v>
      </c>
      <c r="S607">
        <v>-1.40200201421975E-2</v>
      </c>
      <c r="T607">
        <v>-0.05</v>
      </c>
    </row>
    <row r="608" spans="1:20" x14ac:dyDescent="0.3">
      <c r="A608" t="s">
        <v>54</v>
      </c>
      <c r="B608">
        <v>2015</v>
      </c>
      <c r="C608">
        <v>175594.5</v>
      </c>
      <c r="D608" s="1">
        <v>5.0000000000000001E-3</v>
      </c>
      <c r="E608" s="1">
        <v>0.95263290405273404</v>
      </c>
      <c r="F608" s="1">
        <v>-0.11700000000000001</v>
      </c>
      <c r="G608" s="1">
        <f t="shared" si="18"/>
        <v>1.1999999999999969E-2</v>
      </c>
      <c r="H608" s="1" t="str">
        <f t="shared" si="19"/>
        <v/>
      </c>
      <c r="I608" s="1">
        <v>0</v>
      </c>
      <c r="J608" s="1">
        <f>+D608-F608+I608*O608</f>
        <v>0.12200000000000001</v>
      </c>
      <c r="K608" s="1">
        <v>1.7243431881070099E-2</v>
      </c>
      <c r="L608" s="1">
        <f>+K608-J608</f>
        <v>-0.10475656811892992</v>
      </c>
      <c r="M608" s="1">
        <v>1.6243431881070001E-2</v>
      </c>
      <c r="N608" s="1">
        <f>+M608-J608</f>
        <v>-0.10575656811893001</v>
      </c>
      <c r="O608">
        <v>1.85</v>
      </c>
      <c r="P608" t="s">
        <v>16</v>
      </c>
      <c r="Q608">
        <v>-0.01</v>
      </c>
      <c r="R608">
        <v>-1.04059818778187E-2</v>
      </c>
      <c r="S608">
        <v>-2.35595388803631E-2</v>
      </c>
      <c r="T608">
        <v>-0.11</v>
      </c>
    </row>
    <row r="609" spans="1:20" x14ac:dyDescent="0.3">
      <c r="A609" t="s">
        <v>54</v>
      </c>
      <c r="B609">
        <v>2016</v>
      </c>
      <c r="C609">
        <v>177643.4063</v>
      </c>
      <c r="D609" s="1">
        <v>0.10100000000000001</v>
      </c>
      <c r="E609" s="1">
        <v>0.92370843887329102</v>
      </c>
      <c r="F609" s="1">
        <v>0.23499999999999999</v>
      </c>
      <c r="G609" s="1">
        <f t="shared" si="18"/>
        <v>0.24699999999999994</v>
      </c>
      <c r="H609" s="1">
        <f t="shared" si="19"/>
        <v>8.6637636413797545E-3</v>
      </c>
      <c r="I609" s="1">
        <v>-2.9000000000000001E-2</v>
      </c>
      <c r="J609" s="1">
        <f>+D609-F609+I609*O609</f>
        <v>-0.20011999999999996</v>
      </c>
      <c r="K609" s="1">
        <v>2.5940181221812998E-3</v>
      </c>
      <c r="L609" s="1">
        <f>+K609-J609</f>
        <v>0.20271401812218126</v>
      </c>
      <c r="M609" s="1">
        <v>-1.04059818778187E-2</v>
      </c>
      <c r="N609" s="1">
        <f>+M609-J609</f>
        <v>0.18971401812218128</v>
      </c>
      <c r="O609">
        <v>2.2799999999999998</v>
      </c>
      <c r="P609" t="s">
        <v>17</v>
      </c>
      <c r="Q609">
        <v>-0.02</v>
      </c>
      <c r="R609">
        <v>-6.3895073756575996E-3</v>
      </c>
      <c r="S609">
        <v>-9.1790808364748903E-3</v>
      </c>
      <c r="T609">
        <v>0.24</v>
      </c>
    </row>
    <row r="610" spans="1:20" x14ac:dyDescent="0.3">
      <c r="A610" t="s">
        <v>54</v>
      </c>
      <c r="B610">
        <v>2017</v>
      </c>
      <c r="C610">
        <v>179339.5</v>
      </c>
      <c r="D610" s="1">
        <v>0</v>
      </c>
      <c r="E610" s="1">
        <v>0.93454355001449596</v>
      </c>
      <c r="F610" s="1">
        <v>-4.5999999999999999E-2</v>
      </c>
      <c r="G610" s="1">
        <f t="shared" si="18"/>
        <v>0.20099999999999996</v>
      </c>
      <c r="H610" s="1">
        <f t="shared" si="19"/>
        <v>2.1140980417840207E-2</v>
      </c>
      <c r="I610" s="1">
        <v>1.0999999999999999E-2</v>
      </c>
      <c r="J610" s="1">
        <f>+D610-F610+I610*O610</f>
        <v>6.9980000000000001E-2</v>
      </c>
      <c r="K610" s="1">
        <v>1.46104926243424E-2</v>
      </c>
      <c r="L610" s="1">
        <f>+K610-J610</f>
        <v>-5.5369507375657601E-2</v>
      </c>
      <c r="M610" s="1">
        <v>-6.3895073756575996E-3</v>
      </c>
      <c r="N610" s="1">
        <f>+M610-J610</f>
        <v>-7.6369507375657605E-2</v>
      </c>
      <c r="O610">
        <v>2.1800000000000002</v>
      </c>
      <c r="P610" t="s">
        <v>17</v>
      </c>
      <c r="Q610">
        <v>-0.01</v>
      </c>
      <c r="R610">
        <v>-2.1282965341582801E-2</v>
      </c>
      <c r="S610">
        <v>-3.0417988309636601E-2</v>
      </c>
      <c r="T610">
        <v>-0.04</v>
      </c>
    </row>
    <row r="611" spans="1:20" x14ac:dyDescent="0.3">
      <c r="A611" t="s">
        <v>54</v>
      </c>
      <c r="B611">
        <v>2018</v>
      </c>
      <c r="C611">
        <v>180763.70310000001</v>
      </c>
      <c r="D611" s="1">
        <v>0</v>
      </c>
      <c r="E611" s="1">
        <v>0.94075465202331499</v>
      </c>
      <c r="F611" s="1">
        <v>9.7000000000000003E-2</v>
      </c>
      <c r="G611" s="1">
        <f t="shared" si="18"/>
        <v>0.29799999999999993</v>
      </c>
      <c r="H611" s="1">
        <f t="shared" si="19"/>
        <v>2.7904382906854153E-2</v>
      </c>
      <c r="I611" s="1">
        <v>6.0000000000000001E-3</v>
      </c>
      <c r="J611" s="1">
        <f>+D611-F611+I611*O611</f>
        <v>-8.2659999999999997E-2</v>
      </c>
      <c r="K611" s="1">
        <v>2.71703465841711E-3</v>
      </c>
      <c r="L611" s="1">
        <f>+K611-J611</f>
        <v>8.5377034658417103E-2</v>
      </c>
      <c r="M611" s="1">
        <v>-2.1282965341582801E-2</v>
      </c>
      <c r="N611" s="1">
        <f>+M611-J611</f>
        <v>6.1377034658417193E-2</v>
      </c>
      <c r="O611">
        <v>2.39</v>
      </c>
      <c r="P611" t="s">
        <v>15</v>
      </c>
      <c r="Q611">
        <v>-0.03</v>
      </c>
      <c r="R611">
        <v>2.1564926177263299E-2</v>
      </c>
      <c r="S611">
        <v>3.7637315690517898E-3</v>
      </c>
      <c r="T611">
        <v>0.11</v>
      </c>
    </row>
    <row r="612" spans="1:20" x14ac:dyDescent="0.3">
      <c r="A612" t="s">
        <v>54</v>
      </c>
      <c r="B612">
        <v>2019</v>
      </c>
      <c r="C612">
        <v>182512.60939999999</v>
      </c>
      <c r="D612" s="1">
        <v>3.5000000000000003E-2</v>
      </c>
      <c r="E612" s="1">
        <v>0.92826771736144997</v>
      </c>
      <c r="F612" s="1">
        <v>-0.16</v>
      </c>
      <c r="G612" s="1">
        <f t="shared" si="18"/>
        <v>0.13799999999999993</v>
      </c>
      <c r="H612" s="1">
        <f t="shared" si="19"/>
        <v>1.6243839636445E-2</v>
      </c>
      <c r="I612" s="1">
        <v>-1.2E-2</v>
      </c>
      <c r="J612" s="1">
        <f>+D612-F612+I612*O612</f>
        <v>0.17088</v>
      </c>
      <c r="K612" s="1">
        <v>3.9564926177263302E-2</v>
      </c>
      <c r="L612" s="1">
        <f>+K612-J612</f>
        <v>-0.13131507382273672</v>
      </c>
      <c r="M612" s="1">
        <v>2.1564926177263299E-2</v>
      </c>
      <c r="N612" s="1">
        <f>+M612-J612</f>
        <v>-0.1493150738227367</v>
      </c>
      <c r="O612">
        <v>2.0099999999999998</v>
      </c>
      <c r="P612" t="s">
        <v>16</v>
      </c>
      <c r="Q612">
        <v>0</v>
      </c>
      <c r="R612">
        <v>4.2438396364450001E-3</v>
      </c>
      <c r="S612">
        <v>-1.4605350792408E-2</v>
      </c>
      <c r="T612">
        <v>-0.15</v>
      </c>
    </row>
    <row r="613" spans="1:20" x14ac:dyDescent="0.3">
      <c r="A613" t="s">
        <v>54</v>
      </c>
      <c r="B613">
        <v>2020</v>
      </c>
      <c r="C613">
        <v>184564.70310000001</v>
      </c>
      <c r="D613" s="1">
        <v>0</v>
      </c>
      <c r="E613" s="1">
        <v>0.96275359392166104</v>
      </c>
      <c r="F613" s="1">
        <v>-6.9000000000000006E-2</v>
      </c>
      <c r="G613" s="1">
        <f t="shared" si="18"/>
        <v>6.8999999999999923E-2</v>
      </c>
      <c r="H613" s="1" t="str">
        <f t="shared" si="19"/>
        <v/>
      </c>
      <c r="I613" s="1">
        <v>3.4000000000000002E-2</v>
      </c>
      <c r="J613" s="1">
        <f>+D613-F613+I613*O613</f>
        <v>0.13258000000000003</v>
      </c>
      <c r="K613" s="1">
        <v>1.6243839636445E-2</v>
      </c>
      <c r="L613" s="1">
        <f>+K613-J613</f>
        <v>-0.11633616036355503</v>
      </c>
      <c r="M613" s="1">
        <v>4.2438396364450001E-3</v>
      </c>
      <c r="N613" s="1">
        <f>+M613-J613</f>
        <v>-0.12833616036355502</v>
      </c>
      <c r="O613">
        <v>1.87</v>
      </c>
      <c r="P613" t="s">
        <v>17</v>
      </c>
      <c r="Q613">
        <v>-0.01</v>
      </c>
      <c r="R613">
        <v>3.12023295760155E-2</v>
      </c>
      <c r="S613">
        <v>-1.2387283146381401E-2</v>
      </c>
      <c r="T613">
        <v>-0.03</v>
      </c>
    </row>
    <row r="614" spans="1:20" x14ac:dyDescent="0.3">
      <c r="A614" t="s">
        <v>55</v>
      </c>
      <c r="B614">
        <v>2006</v>
      </c>
      <c r="C614">
        <v>1823026</v>
      </c>
      <c r="D614" s="1">
        <v>5.0000000000000001E-3</v>
      </c>
      <c r="E614" s="1">
        <v>0.93255180120468095</v>
      </c>
      <c r="F614" s="1">
        <v>6.0000000000000001E-3</v>
      </c>
      <c r="G614" s="1">
        <f t="shared" si="18"/>
        <v>6.0000000000000001E-3</v>
      </c>
      <c r="H614" s="1" t="str">
        <f t="shared" si="19"/>
        <v/>
      </c>
      <c r="I614" s="1">
        <v>1.0999999999999999E-2</v>
      </c>
      <c r="J614" s="1">
        <f>+D614-F614+I614*O614</f>
        <v>2.3640000000000001E-2</v>
      </c>
      <c r="K614" s="1">
        <v>1.9890174269676202E-2</v>
      </c>
      <c r="L614" s="1">
        <f>+K614-J614</f>
        <v>-3.7498257303237997E-3</v>
      </c>
      <c r="M614" s="1">
        <v>-1.21098257303237E-2</v>
      </c>
      <c r="N614" s="1">
        <f>+M614-J614</f>
        <v>-3.5749825730323703E-2</v>
      </c>
      <c r="O614">
        <v>2.2400000000000002</v>
      </c>
      <c r="P614" t="s">
        <v>15</v>
      </c>
      <c r="Q614">
        <v>-0.02</v>
      </c>
      <c r="R614">
        <v>-1.8675205260515E-3</v>
      </c>
      <c r="S614">
        <v>-9.4576459377999997E-4</v>
      </c>
      <c r="T614">
        <v>0</v>
      </c>
    </row>
    <row r="615" spans="1:20" x14ac:dyDescent="0.3">
      <c r="A615" t="s">
        <v>55</v>
      </c>
      <c r="B615">
        <v>2007</v>
      </c>
      <c r="C615">
        <v>1847554</v>
      </c>
      <c r="D615" s="1">
        <v>5.0000000000000001E-3</v>
      </c>
      <c r="E615" s="1">
        <v>0.93777042627334595</v>
      </c>
      <c r="F615" s="1">
        <v>-1.4999999999999999E-2</v>
      </c>
      <c r="G615" s="1">
        <f t="shared" si="18"/>
        <v>-8.9999999999999993E-3</v>
      </c>
      <c r="H615" s="1" t="str">
        <f t="shared" si="19"/>
        <v/>
      </c>
      <c r="I615" s="1">
        <v>5.0000000000000001E-3</v>
      </c>
      <c r="J615" s="1">
        <f>+D615-F615+I615*O615</f>
        <v>3.1050000000000001E-2</v>
      </c>
      <c r="K615" s="1">
        <v>2.71324794739485E-2</v>
      </c>
      <c r="L615" s="1">
        <f>+K615-J615</f>
        <v>-3.9175205260515017E-3</v>
      </c>
      <c r="M615" s="1">
        <v>-1.8675205260515E-3</v>
      </c>
      <c r="N615" s="1">
        <f>+M615-J615</f>
        <v>-3.29175205260515E-2</v>
      </c>
      <c r="O615">
        <v>2.21</v>
      </c>
      <c r="P615" t="s">
        <v>17</v>
      </c>
      <c r="Q615">
        <v>0</v>
      </c>
      <c r="R615">
        <v>-1.8030743405222899E-2</v>
      </c>
      <c r="S615">
        <v>1.14800608716905E-2</v>
      </c>
      <c r="T615">
        <v>-0.02</v>
      </c>
    </row>
    <row r="616" spans="1:20" x14ac:dyDescent="0.3">
      <c r="A616" t="s">
        <v>55</v>
      </c>
      <c r="B616">
        <v>2008</v>
      </c>
      <c r="C616">
        <v>1871202</v>
      </c>
      <c r="D616" s="1">
        <v>8.9999999999999993E-3</v>
      </c>
      <c r="E616" s="1">
        <v>0.93348652124404896</v>
      </c>
      <c r="F616" s="1">
        <v>-1.6E-2</v>
      </c>
      <c r="G616" s="1">
        <f t="shared" si="18"/>
        <v>-2.5000000000000001E-2</v>
      </c>
      <c r="H616" s="1" t="str">
        <f t="shared" si="19"/>
        <v/>
      </c>
      <c r="I616" s="1">
        <v>-4.0000000000000001E-3</v>
      </c>
      <c r="J616" s="1">
        <f>+D616-F616+I616*O616</f>
        <v>1.6320000000000001E-2</v>
      </c>
      <c r="K616" s="1">
        <v>1.99692565947771E-2</v>
      </c>
      <c r="L616" s="1">
        <f>+K616-J616</f>
        <v>3.6492565947770991E-3</v>
      </c>
      <c r="M616" s="1">
        <v>-1.8030743405222899E-2</v>
      </c>
      <c r="N616" s="1">
        <f>+M616-J616</f>
        <v>-3.43507434052229E-2</v>
      </c>
      <c r="O616">
        <v>2.17</v>
      </c>
      <c r="P616" t="s">
        <v>16</v>
      </c>
      <c r="Q616">
        <v>0.01</v>
      </c>
      <c r="R616">
        <v>1.16287013143301E-3</v>
      </c>
      <c r="S616">
        <v>2.7729571796953598E-2</v>
      </c>
      <c r="T616">
        <v>-0.02</v>
      </c>
    </row>
    <row r="617" spans="1:20" x14ac:dyDescent="0.3">
      <c r="A617" t="s">
        <v>55</v>
      </c>
      <c r="B617">
        <v>2009</v>
      </c>
      <c r="C617">
        <v>1892404</v>
      </c>
      <c r="D617" s="1">
        <v>8.9999999999999993E-3</v>
      </c>
      <c r="E617" s="1">
        <v>0.92538058757782005</v>
      </c>
      <c r="F617" s="1">
        <v>2.4E-2</v>
      </c>
      <c r="G617" s="1">
        <f t="shared" si="18"/>
        <v>-1.0000000000000009E-3</v>
      </c>
      <c r="H617" s="1" t="str">
        <f t="shared" si="19"/>
        <v/>
      </c>
      <c r="I617" s="1">
        <v>-8.0000000000000002E-3</v>
      </c>
      <c r="J617" s="1">
        <f>+D617-F617+I617*O617</f>
        <v>-3.2840000000000001E-2</v>
      </c>
      <c r="K617" s="1">
        <v>-2.8371298685669899E-3</v>
      </c>
      <c r="L617" s="1">
        <f>+K617-J617</f>
        <v>3.0002870131433011E-2</v>
      </c>
      <c r="M617" s="1">
        <v>1.16287013143301E-3</v>
      </c>
      <c r="N617" s="1">
        <f>+M617-J617</f>
        <v>3.4002870131433008E-2</v>
      </c>
      <c r="O617">
        <v>2.23</v>
      </c>
      <c r="P617" t="s">
        <v>17</v>
      </c>
      <c r="Q617">
        <v>0.03</v>
      </c>
      <c r="R617">
        <v>-6.4065662994980798E-3</v>
      </c>
      <c r="S617">
        <v>3.0535424593836E-3</v>
      </c>
      <c r="T617">
        <v>0.01</v>
      </c>
    </row>
    <row r="618" spans="1:20" x14ac:dyDescent="0.3">
      <c r="A618" t="s">
        <v>55</v>
      </c>
      <c r="B618">
        <v>2010</v>
      </c>
      <c r="C618">
        <v>1911667</v>
      </c>
      <c r="D618" s="1">
        <v>7.0000000000000001E-3</v>
      </c>
      <c r="E618" s="1">
        <v>0.93421882390975997</v>
      </c>
      <c r="F618" s="1">
        <v>4.1000000000000002E-2</v>
      </c>
      <c r="G618" s="1">
        <f t="shared" si="18"/>
        <v>0.04</v>
      </c>
      <c r="H618" s="1" t="str">
        <f t="shared" si="19"/>
        <v/>
      </c>
      <c r="I618" s="1">
        <v>8.9999999999999993E-3</v>
      </c>
      <c r="J618" s="1">
        <f>+D618-F618+I618*O618</f>
        <v>-1.3120000000000007E-2</v>
      </c>
      <c r="K618" s="1">
        <v>9.5934337005019205E-3</v>
      </c>
      <c r="L618" s="1">
        <f>+K618-J618</f>
        <v>2.2713433700501925E-2</v>
      </c>
      <c r="M618" s="1">
        <v>-6.4065662994980798E-3</v>
      </c>
      <c r="N618" s="1">
        <f>+M618-J618</f>
        <v>6.7134337005019269E-3</v>
      </c>
      <c r="O618">
        <v>2.3199999999999998</v>
      </c>
      <c r="P618" t="s">
        <v>15</v>
      </c>
      <c r="Q618">
        <v>0</v>
      </c>
      <c r="R618">
        <v>-1.93905656859279E-2</v>
      </c>
      <c r="S618">
        <v>1.8932088278233901E-3</v>
      </c>
      <c r="T618">
        <v>0.03</v>
      </c>
    </row>
    <row r="619" spans="1:20" x14ac:dyDescent="0.3">
      <c r="A619" t="s">
        <v>55</v>
      </c>
      <c r="B619">
        <v>2011</v>
      </c>
      <c r="C619">
        <v>1932081</v>
      </c>
      <c r="D619" s="1">
        <v>8.9999999999999993E-3</v>
      </c>
      <c r="E619" s="1">
        <v>0.94052165746688798</v>
      </c>
      <c r="F619" s="1">
        <v>-3.6999999999999998E-2</v>
      </c>
      <c r="G619" s="1">
        <f t="shared" si="18"/>
        <v>3.0000000000000027E-3</v>
      </c>
      <c r="H619" s="1" t="str">
        <f t="shared" si="19"/>
        <v/>
      </c>
      <c r="I619" s="1">
        <v>6.0000000000000001E-3</v>
      </c>
      <c r="J619" s="1">
        <f>+D619-F619+I619*O619</f>
        <v>5.9380000000000002E-2</v>
      </c>
      <c r="K619" s="1">
        <v>1.2609434314072099E-2</v>
      </c>
      <c r="L619" s="1">
        <f>+K619-J619</f>
        <v>-4.6770565685927905E-2</v>
      </c>
      <c r="M619" s="1">
        <v>-1.93905656859279E-2</v>
      </c>
      <c r="N619" s="1">
        <f>+M619-J619</f>
        <v>-7.8770565685927899E-2</v>
      </c>
      <c r="O619">
        <v>2.23</v>
      </c>
      <c r="P619" t="s">
        <v>17</v>
      </c>
      <c r="Q619">
        <v>0</v>
      </c>
      <c r="R619">
        <v>-2.3799206167458998E-3</v>
      </c>
      <c r="S619">
        <v>3.0582854524254899E-3</v>
      </c>
      <c r="T619">
        <v>-0.04</v>
      </c>
    </row>
    <row r="620" spans="1:20" x14ac:dyDescent="0.3">
      <c r="A620" t="s">
        <v>55</v>
      </c>
      <c r="B620">
        <v>2012</v>
      </c>
      <c r="C620">
        <v>1955121</v>
      </c>
      <c r="D620" s="1">
        <v>0.01</v>
      </c>
      <c r="E620" s="1">
        <v>0.94204539060592696</v>
      </c>
      <c r="F620" s="1">
        <v>-1E-3</v>
      </c>
      <c r="G620" s="1">
        <f t="shared" si="18"/>
        <v>2.0000000000000026E-3</v>
      </c>
      <c r="H620" s="1" t="str">
        <f t="shared" si="19"/>
        <v/>
      </c>
      <c r="I620" s="1">
        <v>2E-3</v>
      </c>
      <c r="J620" s="1">
        <f>+D620-F620+I620*O620</f>
        <v>1.546E-2</v>
      </c>
      <c r="K620" s="1">
        <v>1.86200793832541E-2</v>
      </c>
      <c r="L620" s="1">
        <f>+K620-J620</f>
        <v>3.1600793832541E-3</v>
      </c>
      <c r="M620" s="1">
        <v>-2.3799206167458998E-3</v>
      </c>
      <c r="N620" s="1">
        <f>+M620-J620</f>
        <v>-1.78399206167459E-2</v>
      </c>
      <c r="O620">
        <v>2.23</v>
      </c>
      <c r="P620" t="s">
        <v>17</v>
      </c>
      <c r="Q620">
        <v>0</v>
      </c>
      <c r="R620">
        <v>7.5962267816069898E-4</v>
      </c>
      <c r="S620">
        <v>-5.3671486675739002E-3</v>
      </c>
      <c r="T620">
        <v>0</v>
      </c>
    </row>
    <row r="621" spans="1:20" x14ac:dyDescent="0.3">
      <c r="A621" t="s">
        <v>55</v>
      </c>
      <c r="B621">
        <v>2013</v>
      </c>
      <c r="C621">
        <v>1982324</v>
      </c>
      <c r="D621" s="1">
        <v>2.3E-2</v>
      </c>
      <c r="E621" s="1">
        <v>0.93737018108367898</v>
      </c>
      <c r="F621" s="1">
        <v>1.2E-2</v>
      </c>
      <c r="G621" s="1">
        <f t="shared" si="18"/>
        <v>1.4000000000000002E-2</v>
      </c>
      <c r="H621" s="1" t="str">
        <f t="shared" si="19"/>
        <v/>
      </c>
      <c r="I621" s="1">
        <v>-5.0000000000000001E-3</v>
      </c>
      <c r="J621" s="1">
        <f>+D621-F621+I621*O621</f>
        <v>-2.9999999999999992E-4</v>
      </c>
      <c r="K621" s="1">
        <v>1.5759622678160699E-2</v>
      </c>
      <c r="L621" s="1">
        <f>+K621-J621</f>
        <v>1.6059622678160697E-2</v>
      </c>
      <c r="M621" s="1">
        <v>7.5962267816069898E-4</v>
      </c>
      <c r="N621" s="1">
        <f>+M621-J621</f>
        <v>1.0596226781606989E-3</v>
      </c>
      <c r="O621">
        <v>2.2599999999999998</v>
      </c>
      <c r="P621" t="s">
        <v>17</v>
      </c>
      <c r="Q621">
        <v>-0.01</v>
      </c>
      <c r="R621">
        <v>-1.2765686810017E-3</v>
      </c>
      <c r="S621">
        <v>-3.2845921814442002E-3</v>
      </c>
      <c r="T621">
        <v>0</v>
      </c>
    </row>
    <row r="622" spans="1:20" x14ac:dyDescent="0.3">
      <c r="A622" t="s">
        <v>55</v>
      </c>
      <c r="B622">
        <v>2014</v>
      </c>
      <c r="C622">
        <v>2010125</v>
      </c>
      <c r="D622" s="1">
        <v>0.03</v>
      </c>
      <c r="E622" s="1">
        <v>0.93354856967926003</v>
      </c>
      <c r="F622" s="1">
        <v>-4.0000000000000001E-3</v>
      </c>
      <c r="G622" s="1">
        <f t="shared" si="18"/>
        <v>1.0000000000000002E-2</v>
      </c>
      <c r="H622" s="1" t="str">
        <f t="shared" si="19"/>
        <v/>
      </c>
      <c r="I622" s="1">
        <v>-4.0000000000000001E-3</v>
      </c>
      <c r="J622" s="1">
        <f>+D622-F622+I622*O622</f>
        <v>2.5000000000000001E-2</v>
      </c>
      <c r="K622" s="1">
        <v>1.47234313189983E-2</v>
      </c>
      <c r="L622" s="1">
        <f>+K622-J622</f>
        <v>-1.0276568681001701E-2</v>
      </c>
      <c r="M622" s="1">
        <v>-1.2765686810017E-3</v>
      </c>
      <c r="N622" s="1">
        <f>+M622-J622</f>
        <v>-2.62765686810017E-2</v>
      </c>
      <c r="O622">
        <v>2.25</v>
      </c>
      <c r="P622" t="s">
        <v>16</v>
      </c>
      <c r="Q622">
        <v>0</v>
      </c>
      <c r="R622">
        <v>3.3102275967598002E-2</v>
      </c>
      <c r="S622">
        <v>2.8388239443303E-3</v>
      </c>
      <c r="T622">
        <v>-0.01</v>
      </c>
    </row>
    <row r="623" spans="1:20" x14ac:dyDescent="0.3">
      <c r="A623" t="s">
        <v>55</v>
      </c>
      <c r="B623">
        <v>2015</v>
      </c>
      <c r="C623">
        <v>2036063</v>
      </c>
      <c r="D623" s="1">
        <v>3.2000000000000001E-2</v>
      </c>
      <c r="E623" s="1">
        <v>0.937996506690979</v>
      </c>
      <c r="F623" s="1">
        <v>1.6E-2</v>
      </c>
      <c r="G623" s="1">
        <f t="shared" si="18"/>
        <v>2.6000000000000002E-2</v>
      </c>
      <c r="H623" s="1" t="str">
        <f t="shared" si="19"/>
        <v/>
      </c>
      <c r="I623" s="1">
        <v>4.0000000000000001E-3</v>
      </c>
      <c r="J623" s="1">
        <f>+D623-F623+I623*O623</f>
        <v>2.5160000000000002E-2</v>
      </c>
      <c r="K623" s="1">
        <v>3.4102275967598003E-2</v>
      </c>
      <c r="L623" s="1">
        <f>+K623-J623</f>
        <v>8.9422759675980013E-3</v>
      </c>
      <c r="M623" s="1">
        <v>3.3102275967598002E-2</v>
      </c>
      <c r="N623" s="1">
        <f>+M623-J623</f>
        <v>7.9422759675980004E-3</v>
      </c>
      <c r="O623">
        <v>2.29</v>
      </c>
      <c r="P623" t="s">
        <v>15</v>
      </c>
      <c r="Q623">
        <v>0</v>
      </c>
      <c r="R623">
        <v>2.0236239105462999E-2</v>
      </c>
      <c r="S623">
        <v>7.0826821029185997E-3</v>
      </c>
      <c r="T623">
        <v>0.03</v>
      </c>
    </row>
    <row r="624" spans="1:20" x14ac:dyDescent="0.3">
      <c r="A624" t="s">
        <v>55</v>
      </c>
      <c r="B624">
        <v>2016</v>
      </c>
      <c r="C624">
        <v>2062829.125</v>
      </c>
      <c r="D624" s="1">
        <v>1.2999999999999999E-2</v>
      </c>
      <c r="E624" s="1">
        <v>0.93927299976348899</v>
      </c>
      <c r="F624" s="1">
        <v>-1.2E-2</v>
      </c>
      <c r="G624" s="1">
        <f t="shared" si="18"/>
        <v>1.4000000000000002E-2</v>
      </c>
      <c r="H624" s="1" t="str">
        <f t="shared" si="19"/>
        <v/>
      </c>
      <c r="I624" s="1">
        <v>1E-3</v>
      </c>
      <c r="J624" s="1">
        <f>+D624-F624+I624*O624</f>
        <v>2.726E-2</v>
      </c>
      <c r="K624" s="1">
        <v>3.3236239105463E-2</v>
      </c>
      <c r="L624" s="1">
        <f>+K624-J624</f>
        <v>5.9762391054630007E-3</v>
      </c>
      <c r="M624" s="1">
        <v>2.0236239105462999E-2</v>
      </c>
      <c r="N624" s="1">
        <f>+M624-J624</f>
        <v>-7.0237608945370004E-3</v>
      </c>
      <c r="O624">
        <v>2.2599999999999998</v>
      </c>
      <c r="P624" t="s">
        <v>17</v>
      </c>
      <c r="Q624">
        <v>0.01</v>
      </c>
      <c r="R624">
        <v>1.07863598465919E-2</v>
      </c>
      <c r="S624">
        <v>7.9967863857746003E-3</v>
      </c>
      <c r="T624">
        <v>-0.01</v>
      </c>
    </row>
    <row r="625" spans="1:20" x14ac:dyDescent="0.3">
      <c r="A625" t="s">
        <v>55</v>
      </c>
      <c r="B625">
        <v>2017</v>
      </c>
      <c r="C625">
        <v>2091322</v>
      </c>
      <c r="D625" s="1">
        <v>3.2000000000000001E-2</v>
      </c>
      <c r="E625" s="1">
        <v>0.93047803640365601</v>
      </c>
      <c r="F625" s="1">
        <v>-5.0000000000000001E-3</v>
      </c>
      <c r="G625" s="1">
        <f t="shared" si="18"/>
        <v>9.0000000000000011E-3</v>
      </c>
      <c r="H625" s="1" t="str">
        <f t="shared" si="19"/>
        <v/>
      </c>
      <c r="I625" s="1">
        <v>-8.9999999999999993E-3</v>
      </c>
      <c r="J625" s="1">
        <f>+D625-F625+I625*O625</f>
        <v>1.6750000000000001E-2</v>
      </c>
      <c r="K625" s="1">
        <v>3.1786359846591901E-2</v>
      </c>
      <c r="L625" s="1">
        <f>+K625-J625</f>
        <v>1.50363598465919E-2</v>
      </c>
      <c r="M625" s="1">
        <v>1.07863598465919E-2</v>
      </c>
      <c r="N625" s="1">
        <f>+M625-J625</f>
        <v>-5.9636401534081014E-3</v>
      </c>
      <c r="O625">
        <v>2.25</v>
      </c>
      <c r="P625" t="s">
        <v>16</v>
      </c>
      <c r="Q625">
        <v>0.01</v>
      </c>
      <c r="R625">
        <v>2.2625031173229E-3</v>
      </c>
      <c r="S625">
        <v>-6.8725198507308899E-3</v>
      </c>
      <c r="T625">
        <v>0</v>
      </c>
    </row>
    <row r="626" spans="1:20" x14ac:dyDescent="0.3">
      <c r="A626" t="s">
        <v>55</v>
      </c>
      <c r="B626">
        <v>2018</v>
      </c>
      <c r="C626">
        <v>2112673</v>
      </c>
      <c r="D626" s="1">
        <v>2.8000000000000001E-2</v>
      </c>
      <c r="E626" s="1">
        <v>0.932137191295624</v>
      </c>
      <c r="F626" s="1">
        <v>-1.9E-2</v>
      </c>
      <c r="G626" s="1">
        <f t="shared" si="18"/>
        <v>-9.9999999999999985E-3</v>
      </c>
      <c r="H626" s="1" t="str">
        <f t="shared" si="19"/>
        <v/>
      </c>
      <c r="I626" s="1">
        <v>2E-3</v>
      </c>
      <c r="J626" s="1">
        <f>+D626-F626+I626*O626</f>
        <v>5.142E-2</v>
      </c>
      <c r="K626" s="1">
        <v>2.6262503117322901E-2</v>
      </c>
      <c r="L626" s="1">
        <f>+K626-J626</f>
        <v>-2.5157496882677099E-2</v>
      </c>
      <c r="M626" s="1">
        <v>2.2625031173229E-3</v>
      </c>
      <c r="N626" s="1">
        <f>+M626-J626</f>
        <v>-4.91574968826771E-2</v>
      </c>
      <c r="O626">
        <v>2.21</v>
      </c>
      <c r="P626" t="s">
        <v>17</v>
      </c>
      <c r="Q626">
        <v>-0.01</v>
      </c>
      <c r="R626">
        <v>1.7801194608211501E-2</v>
      </c>
      <c r="S626">
        <v>0</v>
      </c>
      <c r="T626">
        <v>-0.01</v>
      </c>
    </row>
    <row r="627" spans="1:20" x14ac:dyDescent="0.3">
      <c r="A627" t="s">
        <v>55</v>
      </c>
      <c r="B627">
        <v>2019</v>
      </c>
      <c r="C627">
        <v>2131431</v>
      </c>
      <c r="D627" s="1">
        <v>0.02</v>
      </c>
      <c r="E627" s="1">
        <v>0.93043911457061801</v>
      </c>
      <c r="F627" s="1">
        <v>2.5000000000000001E-2</v>
      </c>
      <c r="G627" s="1">
        <f t="shared" si="18"/>
        <v>1.5000000000000003E-2</v>
      </c>
      <c r="H627" s="1" t="str">
        <f t="shared" si="19"/>
        <v/>
      </c>
      <c r="I627" s="1">
        <v>-2E-3</v>
      </c>
      <c r="J627" s="1">
        <f>+D627-F627+I627*O627</f>
        <v>-9.5200000000000007E-3</v>
      </c>
      <c r="K627" s="1">
        <v>3.5801194608211503E-2</v>
      </c>
      <c r="L627" s="1">
        <f>+K627-J627</f>
        <v>4.5321194608211504E-2</v>
      </c>
      <c r="M627" s="1">
        <v>1.7801194608211501E-2</v>
      </c>
      <c r="N627" s="1">
        <f>+M627-J627</f>
        <v>2.7321194608211502E-2</v>
      </c>
      <c r="O627">
        <v>2.2599999999999998</v>
      </c>
      <c r="P627" t="s">
        <v>17</v>
      </c>
      <c r="Q627" t="s">
        <v>23</v>
      </c>
      <c r="R627">
        <v>2.0999001443386098E-2</v>
      </c>
      <c r="S627">
        <v>2.1498110145330902E-3</v>
      </c>
      <c r="T627">
        <v>0.03</v>
      </c>
    </row>
    <row r="628" spans="1:20" x14ac:dyDescent="0.3">
      <c r="A628" t="s">
        <v>55</v>
      </c>
      <c r="B628">
        <v>2020</v>
      </c>
      <c r="C628">
        <v>2143346</v>
      </c>
      <c r="D628" s="1">
        <v>3.5000000000000003E-2</v>
      </c>
      <c r="E628" s="1">
        <v>0.930295050144196</v>
      </c>
      <c r="F628" s="1">
        <v>-2.9000000000000001E-2</v>
      </c>
      <c r="G628" s="1">
        <f t="shared" si="18"/>
        <v>-1.3999999999999999E-2</v>
      </c>
      <c r="H628" s="1" t="str">
        <f t="shared" si="19"/>
        <v/>
      </c>
      <c r="I628" s="1">
        <v>0</v>
      </c>
      <c r="J628" s="1">
        <f>+D628-F628+I628*O628</f>
        <v>6.4000000000000001E-2</v>
      </c>
      <c r="K628" s="1">
        <v>3.2999001443386099E-2</v>
      </c>
      <c r="L628" s="1">
        <f>+K628-J628</f>
        <v>-3.1000998556613903E-2</v>
      </c>
      <c r="M628" s="1">
        <v>2.0999001443386098E-2</v>
      </c>
      <c r="N628" s="1">
        <f>+M628-J628</f>
        <v>-4.3000998556613906E-2</v>
      </c>
      <c r="O628">
        <v>2.19</v>
      </c>
      <c r="P628" t="s">
        <v>16</v>
      </c>
      <c r="Q628">
        <v>0</v>
      </c>
      <c r="R628">
        <v>2.5069227695465102E-2</v>
      </c>
      <c r="S628">
        <v>-1.8520385026931801E-2</v>
      </c>
      <c r="T628">
        <v>0.01</v>
      </c>
    </row>
    <row r="629" spans="1:20" x14ac:dyDescent="0.3">
      <c r="A629" t="s">
        <v>55</v>
      </c>
      <c r="B629">
        <v>2021</v>
      </c>
      <c r="C629">
        <v>2152443</v>
      </c>
      <c r="D629" s="1">
        <v>3.2000000000000001E-2</v>
      </c>
      <c r="E629" s="1">
        <v>0.94475859403610196</v>
      </c>
      <c r="F629" s="1">
        <v>4.3999999999999997E-2</v>
      </c>
      <c r="G629" s="1">
        <f t="shared" si="18"/>
        <v>0.03</v>
      </c>
      <c r="H629" s="1" t="str">
        <f t="shared" si="19"/>
        <v/>
      </c>
      <c r="I629" s="1">
        <v>1.4E-2</v>
      </c>
      <c r="J629" s="1">
        <f>+D629-F629+I629*O629</f>
        <v>2.0060000000000001E-2</v>
      </c>
      <c r="K629" s="1">
        <v>7.2069227695465102E-2</v>
      </c>
      <c r="L629" s="1">
        <f>+K629-J629</f>
        <v>5.20092276954651E-2</v>
      </c>
      <c r="M629" s="1">
        <v>2.5069227695465102E-2</v>
      </c>
      <c r="N629" s="1">
        <f>+M629-J629</f>
        <v>5.0092276954651002E-3</v>
      </c>
      <c r="O629">
        <v>2.29</v>
      </c>
      <c r="P629" t="s">
        <v>15</v>
      </c>
      <c r="Q629">
        <v>-0.02</v>
      </c>
      <c r="R629">
        <v>-2.3490859121084201E-2</v>
      </c>
      <c r="S629">
        <v>8.6126476526261E-3</v>
      </c>
      <c r="T629">
        <v>0.01</v>
      </c>
    </row>
    <row r="630" spans="1:20" x14ac:dyDescent="0.3">
      <c r="A630" t="s">
        <v>55</v>
      </c>
      <c r="B630">
        <v>2022</v>
      </c>
      <c r="C630">
        <v>2175061</v>
      </c>
      <c r="D630" s="1">
        <v>2.3E-2</v>
      </c>
      <c r="E630" s="1">
        <v>0.93456530570983898</v>
      </c>
      <c r="F630" s="1">
        <v>-7.8E-2</v>
      </c>
      <c r="G630" s="1">
        <f t="shared" si="18"/>
        <v>-4.8000000000000001E-2</v>
      </c>
      <c r="H630" s="1" t="str">
        <f t="shared" si="19"/>
        <v/>
      </c>
      <c r="I630" s="1">
        <v>-0.01</v>
      </c>
      <c r="J630" s="1">
        <f>+D630-F630+I630*O630</f>
        <v>7.9899999999999999E-2</v>
      </c>
      <c r="K630" s="1">
        <v>5.6509140878915801E-2</v>
      </c>
      <c r="L630" s="1">
        <f>+K630-J630</f>
        <v>-2.3390859121084198E-2</v>
      </c>
      <c r="M630" s="1">
        <v>-2.3490859121084201E-2</v>
      </c>
      <c r="N630" s="1">
        <f>+M630-J630</f>
        <v>-0.1033908591210842</v>
      </c>
      <c r="O630">
        <v>2.11</v>
      </c>
      <c r="P630" t="s">
        <v>16</v>
      </c>
      <c r="Q630">
        <v>0.01</v>
      </c>
      <c r="R630">
        <v>-1.8297155186533898E-2</v>
      </c>
      <c r="S630">
        <v>1.2617725878954001E-3</v>
      </c>
      <c r="T630">
        <v>-0.06</v>
      </c>
    </row>
    <row r="631" spans="1:20" x14ac:dyDescent="0.3">
      <c r="A631" t="s">
        <v>56</v>
      </c>
      <c r="B631">
        <v>2006</v>
      </c>
      <c r="C631">
        <v>419725.59379999997</v>
      </c>
      <c r="D631" s="1">
        <v>3.3000000000000002E-2</v>
      </c>
      <c r="E631" s="1">
        <v>0.94655197858810403</v>
      </c>
      <c r="F631" s="1">
        <v>-3.0000000000000001E-3</v>
      </c>
      <c r="G631" s="1">
        <f t="shared" si="18"/>
        <v>-3.0000000000000001E-3</v>
      </c>
      <c r="H631" s="1" t="str">
        <f t="shared" si="19"/>
        <v/>
      </c>
      <c r="I631" s="1">
        <v>8.9999999999999993E-3</v>
      </c>
      <c r="J631" s="1">
        <f>+D631-F631+I631*O631</f>
        <v>5.8230000000000004E-2</v>
      </c>
      <c r="K631" s="1">
        <v>3.93419004976749E-2</v>
      </c>
      <c r="L631" s="1">
        <f>+K631-J631</f>
        <v>-1.8888099502325104E-2</v>
      </c>
      <c r="M631" s="1">
        <v>7.3419004976748997E-3</v>
      </c>
      <c r="N631" s="1">
        <f>+M631-J631</f>
        <v>-5.0888099502325104E-2</v>
      </c>
      <c r="O631">
        <v>2.4700000000000002</v>
      </c>
      <c r="P631" t="s">
        <v>17</v>
      </c>
      <c r="Q631">
        <v>0</v>
      </c>
      <c r="R631">
        <v>1.29040620326995E-2</v>
      </c>
      <c r="S631">
        <v>1.3825817964971E-2</v>
      </c>
      <c r="T631">
        <v>0</v>
      </c>
    </row>
    <row r="632" spans="1:20" x14ac:dyDescent="0.3">
      <c r="A632" t="s">
        <v>56</v>
      </c>
      <c r="B632">
        <v>2007</v>
      </c>
      <c r="C632">
        <v>421094.5</v>
      </c>
      <c r="D632" s="1">
        <v>1.7000000000000001E-2</v>
      </c>
      <c r="E632" s="1">
        <v>0.95404928922653198</v>
      </c>
      <c r="F632" s="1">
        <v>-1.7000000000000001E-2</v>
      </c>
      <c r="G632" s="1">
        <f t="shared" si="18"/>
        <v>-0.02</v>
      </c>
      <c r="H632" s="1" t="str">
        <f t="shared" si="19"/>
        <v/>
      </c>
      <c r="I632" s="1">
        <v>7.0000000000000001E-3</v>
      </c>
      <c r="J632" s="1">
        <f>+D632-F632+I632*O632</f>
        <v>5.101E-2</v>
      </c>
      <c r="K632" s="1">
        <v>4.1904062032699599E-2</v>
      </c>
      <c r="L632" s="1">
        <f>+K632-J632</f>
        <v>-9.1059379673004009E-3</v>
      </c>
      <c r="M632" s="1">
        <v>1.29040620326995E-2</v>
      </c>
      <c r="N632" s="1">
        <f>+M632-J632</f>
        <v>-3.8105937967300496E-2</v>
      </c>
      <c r="O632">
        <v>2.4300000000000002</v>
      </c>
      <c r="P632" t="s">
        <v>17</v>
      </c>
      <c r="Q632">
        <v>0.01</v>
      </c>
      <c r="R632">
        <v>-2.69950715005398E-2</v>
      </c>
      <c r="S632">
        <v>2.5157327763736001E-3</v>
      </c>
      <c r="T632">
        <v>-0.02</v>
      </c>
    </row>
    <row r="633" spans="1:20" x14ac:dyDescent="0.3">
      <c r="A633" t="s">
        <v>56</v>
      </c>
      <c r="B633">
        <v>2008</v>
      </c>
      <c r="C633">
        <v>424209.5</v>
      </c>
      <c r="D633" s="1">
        <v>1.4E-2</v>
      </c>
      <c r="E633" s="1">
        <v>0.94696635007858299</v>
      </c>
      <c r="F633" s="1">
        <v>3.6999999999999998E-2</v>
      </c>
      <c r="G633" s="1">
        <f t="shared" si="18"/>
        <v>1.6999999999999998E-2</v>
      </c>
      <c r="H633" s="1" t="str">
        <f t="shared" si="19"/>
        <v/>
      </c>
      <c r="I633" s="1">
        <v>-7.0000000000000001E-3</v>
      </c>
      <c r="J633" s="1">
        <f>+D633-F633+I633*O633</f>
        <v>-4.0569999999999995E-2</v>
      </c>
      <c r="K633" s="1">
        <v>1.10049284994602E-2</v>
      </c>
      <c r="L633" s="1">
        <f>+K633-J633</f>
        <v>5.1574928499460194E-2</v>
      </c>
      <c r="M633" s="1">
        <v>-2.69950715005398E-2</v>
      </c>
      <c r="N633" s="1">
        <f>+M633-J633</f>
        <v>1.3574928499460195E-2</v>
      </c>
      <c r="O633">
        <v>2.5099999999999998</v>
      </c>
      <c r="P633" t="s">
        <v>17</v>
      </c>
      <c r="Q633">
        <v>0</v>
      </c>
      <c r="R633">
        <v>-2.95894711315632E-2</v>
      </c>
      <c r="S633">
        <v>-3.0227694660425498E-3</v>
      </c>
      <c r="T633">
        <v>0.03</v>
      </c>
    </row>
    <row r="634" spans="1:20" x14ac:dyDescent="0.3">
      <c r="A634" t="s">
        <v>56</v>
      </c>
      <c r="B634">
        <v>2009</v>
      </c>
      <c r="C634">
        <v>427390.5</v>
      </c>
      <c r="D634" s="1">
        <v>1.4999999999999999E-2</v>
      </c>
      <c r="E634" s="1">
        <v>0.93359786272048995</v>
      </c>
      <c r="F634" s="1">
        <v>-1.0999999999999999E-2</v>
      </c>
      <c r="G634" s="1">
        <f t="shared" si="18"/>
        <v>5.9999999999999984E-3</v>
      </c>
      <c r="H634" s="1" t="str">
        <f t="shared" si="19"/>
        <v/>
      </c>
      <c r="I634" s="1">
        <v>-1.2999999999999999E-2</v>
      </c>
      <c r="J634" s="1">
        <f>+D634-F634+I634*O634</f>
        <v>-6.3700000000000041E-3</v>
      </c>
      <c r="K634" s="1">
        <v>-3.3589471131563201E-2</v>
      </c>
      <c r="L634" s="1">
        <f>+K634-J634</f>
        <v>-2.7219471131563196E-2</v>
      </c>
      <c r="M634" s="1">
        <v>-2.95894711315632E-2</v>
      </c>
      <c r="N634" s="1">
        <f>+M634-J634</f>
        <v>-2.3219471131563196E-2</v>
      </c>
      <c r="O634">
        <v>2.4900000000000002</v>
      </c>
      <c r="P634" t="s">
        <v>16</v>
      </c>
      <c r="Q634">
        <v>0</v>
      </c>
      <c r="R634">
        <v>-1.4987497412599599E-2</v>
      </c>
      <c r="S634">
        <v>-5.5273886537179299E-3</v>
      </c>
      <c r="T634">
        <v>-0.03</v>
      </c>
    </row>
    <row r="635" spans="1:20" x14ac:dyDescent="0.3">
      <c r="A635" t="s">
        <v>56</v>
      </c>
      <c r="B635">
        <v>2010</v>
      </c>
      <c r="C635">
        <v>428254</v>
      </c>
      <c r="D635" s="1">
        <v>1E-3</v>
      </c>
      <c r="E635" s="1">
        <v>0.94062787294387795</v>
      </c>
      <c r="F635" s="1">
        <v>5.0999999999999997E-2</v>
      </c>
      <c r="G635" s="1">
        <f t="shared" si="18"/>
        <v>5.6999999999999995E-2</v>
      </c>
      <c r="H635" s="1" t="str">
        <f t="shared" si="19"/>
        <v/>
      </c>
      <c r="I635" s="1">
        <v>7.0000000000000001E-3</v>
      </c>
      <c r="J635" s="1">
        <f>+D635-F635+I635*O635</f>
        <v>-3.1729999999999994E-2</v>
      </c>
      <c r="K635" s="1">
        <v>1.01250258740038E-3</v>
      </c>
      <c r="L635" s="1">
        <f>+K635-J635</f>
        <v>3.2742502587400371E-2</v>
      </c>
      <c r="M635" s="1">
        <v>-1.4987497412599599E-2</v>
      </c>
      <c r="N635" s="1">
        <f>+M635-J635</f>
        <v>1.6742502587400395E-2</v>
      </c>
      <c r="O635">
        <v>2.61</v>
      </c>
      <c r="P635" t="s">
        <v>15</v>
      </c>
      <c r="Q635">
        <v>-0.01</v>
      </c>
      <c r="R635">
        <v>-1.9867749296128698E-2</v>
      </c>
      <c r="S635">
        <v>1.4160252176225901E-3</v>
      </c>
      <c r="T635">
        <v>0.04</v>
      </c>
    </row>
    <row r="636" spans="1:20" x14ac:dyDescent="0.3">
      <c r="A636" t="s">
        <v>56</v>
      </c>
      <c r="B636">
        <v>2011</v>
      </c>
      <c r="C636">
        <v>431146.09379999997</v>
      </c>
      <c r="D636" s="1">
        <v>1E-3</v>
      </c>
      <c r="E636" s="1">
        <v>0.94185358285903897</v>
      </c>
      <c r="F636" s="1">
        <v>-3.3000000000000002E-2</v>
      </c>
      <c r="G636" s="1">
        <f t="shared" si="18"/>
        <v>2.3999999999999994E-2</v>
      </c>
      <c r="H636" s="1" t="str">
        <f t="shared" si="19"/>
        <v/>
      </c>
      <c r="I636" s="1">
        <v>1E-3</v>
      </c>
      <c r="J636" s="1">
        <f>+D636-F636+I636*O636</f>
        <v>3.653E-2</v>
      </c>
      <c r="K636" s="1">
        <v>1.21322507038713E-2</v>
      </c>
      <c r="L636" s="1">
        <f>+K636-J636</f>
        <v>-2.4397749296128701E-2</v>
      </c>
      <c r="M636" s="1">
        <v>-1.9867749296128698E-2</v>
      </c>
      <c r="N636" s="1">
        <f>+M636-J636</f>
        <v>-5.6397749296128702E-2</v>
      </c>
      <c r="O636">
        <v>2.5299999999999998</v>
      </c>
      <c r="P636" t="s">
        <v>17</v>
      </c>
      <c r="Q636">
        <v>0</v>
      </c>
      <c r="R636">
        <v>1.3890767186879999E-2</v>
      </c>
      <c r="S636">
        <v>1.9328973256051499E-2</v>
      </c>
      <c r="T636">
        <v>-0.03</v>
      </c>
    </row>
    <row r="637" spans="1:20" x14ac:dyDescent="0.3">
      <c r="A637" t="s">
        <v>56</v>
      </c>
      <c r="B637">
        <v>2012</v>
      </c>
      <c r="C637">
        <v>436269.40629999997</v>
      </c>
      <c r="D637" s="1">
        <v>0</v>
      </c>
      <c r="E637" s="1">
        <v>0.94299453496932995</v>
      </c>
      <c r="F637" s="1">
        <v>-8.9999999999999993E-3</v>
      </c>
      <c r="G637" s="1">
        <f t="shared" si="18"/>
        <v>1.4999999999999994E-2</v>
      </c>
      <c r="H637" s="1" t="str">
        <f t="shared" si="19"/>
        <v/>
      </c>
      <c r="I637" s="1">
        <v>1E-3</v>
      </c>
      <c r="J637" s="1">
        <f>+D637-F637+I637*O637</f>
        <v>1.15E-2</v>
      </c>
      <c r="K637" s="1">
        <v>3.4890767186880098E-2</v>
      </c>
      <c r="L637" s="1">
        <f>+K637-J637</f>
        <v>2.3390767186880098E-2</v>
      </c>
      <c r="M637" s="1">
        <v>1.3890767186879999E-2</v>
      </c>
      <c r="N637" s="1">
        <f>+M637-J637</f>
        <v>2.3907671868799996E-3</v>
      </c>
      <c r="O637">
        <v>2.5</v>
      </c>
      <c r="P637" t="s">
        <v>17</v>
      </c>
      <c r="Q637">
        <v>0.02</v>
      </c>
      <c r="R637">
        <v>3.34835207462311E-2</v>
      </c>
      <c r="S637">
        <v>2.73567494004965E-2</v>
      </c>
      <c r="T637">
        <v>-0.01</v>
      </c>
    </row>
    <row r="638" spans="1:20" x14ac:dyDescent="0.3">
      <c r="A638" t="s">
        <v>56</v>
      </c>
      <c r="B638">
        <v>2013</v>
      </c>
      <c r="C638">
        <v>441369.375</v>
      </c>
      <c r="D638" s="1">
        <v>8.9999999999999993E-3</v>
      </c>
      <c r="E638" s="1">
        <v>0.932911276817322</v>
      </c>
      <c r="F638" s="1">
        <v>3.3000000000000002E-2</v>
      </c>
      <c r="G638" s="1">
        <f t="shared" si="18"/>
        <v>4.7999999999999994E-2</v>
      </c>
      <c r="H638" s="1" t="str">
        <f t="shared" si="19"/>
        <v/>
      </c>
      <c r="I638" s="1">
        <v>-0.01</v>
      </c>
      <c r="J638" s="1">
        <f>+D638-F638+I638*O638</f>
        <v>-4.99E-2</v>
      </c>
      <c r="K638" s="1">
        <v>4.84835207462311E-2</v>
      </c>
      <c r="L638" s="1">
        <f>+K638-J638</f>
        <v>9.8383520746231107E-2</v>
      </c>
      <c r="M638" s="1">
        <v>3.34835207462311E-2</v>
      </c>
      <c r="N638" s="1">
        <f>+M638-J638</f>
        <v>8.3383520746231093E-2</v>
      </c>
      <c r="O638">
        <v>2.59</v>
      </c>
      <c r="P638" t="s">
        <v>17</v>
      </c>
      <c r="Q638">
        <v>0.03</v>
      </c>
      <c r="R638">
        <v>1.37107789665461E-2</v>
      </c>
      <c r="S638">
        <v>1.17027554661035E-2</v>
      </c>
      <c r="T638">
        <v>0.03</v>
      </c>
    </row>
    <row r="639" spans="1:20" x14ac:dyDescent="0.3">
      <c r="A639" t="s">
        <v>56</v>
      </c>
      <c r="B639">
        <v>2014</v>
      </c>
      <c r="C639">
        <v>445445.71879999997</v>
      </c>
      <c r="D639" s="1">
        <v>2.4E-2</v>
      </c>
      <c r="E639" s="1">
        <v>0.92731595039367698</v>
      </c>
      <c r="F639" s="1">
        <v>-2.1000000000000001E-2</v>
      </c>
      <c r="G639" s="1">
        <f t="shared" si="18"/>
        <v>2.6999999999999993E-2</v>
      </c>
      <c r="H639" s="1" t="str">
        <f t="shared" si="19"/>
        <v/>
      </c>
      <c r="I639" s="1">
        <v>-6.0000000000000001E-3</v>
      </c>
      <c r="J639" s="1">
        <f>+D639-F639+I639*O639</f>
        <v>2.9819999999999999E-2</v>
      </c>
      <c r="K639" s="1">
        <v>2.97107789665461E-2</v>
      </c>
      <c r="L639" s="1">
        <f>+K639-J639</f>
        <v>-1.09221033453899E-4</v>
      </c>
      <c r="M639" s="1">
        <v>1.37107789665461E-2</v>
      </c>
      <c r="N639" s="1">
        <f>+M639-J639</f>
        <v>-1.6109221033453899E-2</v>
      </c>
      <c r="O639">
        <v>2.5299999999999998</v>
      </c>
      <c r="P639" t="s">
        <v>16</v>
      </c>
      <c r="Q639">
        <v>0.01</v>
      </c>
      <c r="R639">
        <v>2.5257328689098399E-2</v>
      </c>
      <c r="S639">
        <v>-5.0061233341692898E-3</v>
      </c>
      <c r="T639">
        <v>-0.03</v>
      </c>
    </row>
    <row r="640" spans="1:20" x14ac:dyDescent="0.3">
      <c r="A640" t="s">
        <v>56</v>
      </c>
      <c r="B640">
        <v>2015</v>
      </c>
      <c r="C640">
        <v>448477.125</v>
      </c>
      <c r="D640" s="1">
        <v>1.2999999999999999E-2</v>
      </c>
      <c r="E640" s="1">
        <v>0.92689043283462502</v>
      </c>
      <c r="F640" s="1">
        <v>-2.4E-2</v>
      </c>
      <c r="G640" s="1">
        <f t="shared" si="18"/>
        <v>2.9999999999999923E-3</v>
      </c>
      <c r="H640" s="1" t="str">
        <f t="shared" si="19"/>
        <v/>
      </c>
      <c r="I640" s="1">
        <v>0</v>
      </c>
      <c r="J640" s="1">
        <f>+D640-F640+I640*O640</f>
        <v>3.6999999999999998E-2</v>
      </c>
      <c r="K640" s="1">
        <v>2.62573286890984E-2</v>
      </c>
      <c r="L640" s="1">
        <f>+K640-J640</f>
        <v>-1.0742671310901598E-2</v>
      </c>
      <c r="M640" s="1">
        <v>2.5257328689098399E-2</v>
      </c>
      <c r="N640" s="1">
        <f>+M640-J640</f>
        <v>-1.1742671310901599E-2</v>
      </c>
      <c r="O640">
        <v>2.4700000000000002</v>
      </c>
      <c r="P640" t="s">
        <v>16</v>
      </c>
      <c r="Q640">
        <v>-0.01</v>
      </c>
      <c r="R640">
        <v>-2.3316422209143602E-2</v>
      </c>
      <c r="S640">
        <v>-3.6469979211688E-2</v>
      </c>
      <c r="T640">
        <v>-0.01</v>
      </c>
    </row>
    <row r="641" spans="1:20" x14ac:dyDescent="0.3">
      <c r="A641" t="s">
        <v>56</v>
      </c>
      <c r="B641">
        <v>2016</v>
      </c>
      <c r="C641">
        <v>448940.78129999997</v>
      </c>
      <c r="D641" s="1">
        <v>5.2999999999999999E-2</v>
      </c>
      <c r="E641" s="1">
        <v>0.87910294532775901</v>
      </c>
      <c r="F641" s="1">
        <v>2.1999999999999999E-2</v>
      </c>
      <c r="G641" s="1">
        <f t="shared" si="18"/>
        <v>2.4999999999999991E-2</v>
      </c>
      <c r="H641" s="1" t="str">
        <f t="shared" si="19"/>
        <v/>
      </c>
      <c r="I641" s="1">
        <v>-4.8000000000000001E-2</v>
      </c>
      <c r="J641" s="1">
        <f>+D641-F641+I641*O641</f>
        <v>-8.9959999999999998E-2</v>
      </c>
      <c r="K641" s="1">
        <v>-1.03164222091436E-2</v>
      </c>
      <c r="L641" s="1">
        <f>+K641-J641</f>
        <v>7.9643577790856401E-2</v>
      </c>
      <c r="M641" s="1">
        <v>-2.3316422209143602E-2</v>
      </c>
      <c r="N641" s="1">
        <f>+M641-J641</f>
        <v>6.664357779085639E-2</v>
      </c>
      <c r="O641">
        <v>2.52</v>
      </c>
      <c r="P641" t="s">
        <v>17</v>
      </c>
      <c r="Q641">
        <v>-0.04</v>
      </c>
      <c r="R641">
        <v>-1.04712809473276E-2</v>
      </c>
      <c r="S641">
        <v>-1.32608544081448E-2</v>
      </c>
      <c r="T641">
        <v>0.02</v>
      </c>
    </row>
    <row r="642" spans="1:20" x14ac:dyDescent="0.3">
      <c r="A642" t="s">
        <v>56</v>
      </c>
      <c r="B642">
        <v>2017</v>
      </c>
      <c r="C642">
        <v>447383.5</v>
      </c>
      <c r="D642" s="1">
        <v>4.8000000000000001E-2</v>
      </c>
      <c r="E642" s="1">
        <v>0.88354599475860596</v>
      </c>
      <c r="F642" s="1">
        <v>1.0999999999999999E-2</v>
      </c>
      <c r="G642" s="1">
        <f t="shared" si="18"/>
        <v>3.599999999999999E-2</v>
      </c>
      <c r="H642" s="1" t="str">
        <f t="shared" si="19"/>
        <v/>
      </c>
      <c r="I642" s="1">
        <v>4.0000000000000001E-3</v>
      </c>
      <c r="J642" s="1">
        <f>+D642-F642+I642*O642</f>
        <v>4.7200000000000006E-2</v>
      </c>
      <c r="K642" s="1">
        <v>1.05287190526724E-2</v>
      </c>
      <c r="L642" s="1">
        <f>+K642-J642</f>
        <v>-3.6671280947327606E-2</v>
      </c>
      <c r="M642" s="1">
        <v>-1.04712809473276E-2</v>
      </c>
      <c r="N642" s="1">
        <f>+M642-J642</f>
        <v>-5.7671280947327604E-2</v>
      </c>
      <c r="O642">
        <v>2.5499999999999998</v>
      </c>
      <c r="P642" t="s">
        <v>15</v>
      </c>
      <c r="Q642">
        <v>-0.01</v>
      </c>
      <c r="R642">
        <v>-5.3598804175854003E-3</v>
      </c>
      <c r="S642">
        <v>-1.44949033856391E-2</v>
      </c>
      <c r="T642">
        <v>0.01</v>
      </c>
    </row>
    <row r="643" spans="1:20" x14ac:dyDescent="0.3">
      <c r="A643" t="s">
        <v>56</v>
      </c>
      <c r="B643">
        <v>2018</v>
      </c>
      <c r="C643">
        <v>445187.90629999997</v>
      </c>
      <c r="D643" s="1">
        <v>1.4999999999999999E-2</v>
      </c>
      <c r="E643" s="1">
        <v>0.88965350389480602</v>
      </c>
      <c r="F643" s="1">
        <v>-0.01</v>
      </c>
      <c r="G643" s="1">
        <f t="shared" si="18"/>
        <v>2.5999999999999988E-2</v>
      </c>
      <c r="H643" s="1" t="str">
        <f t="shared" si="19"/>
        <v/>
      </c>
      <c r="I643" s="1">
        <v>6.0000000000000001E-3</v>
      </c>
      <c r="J643" s="1">
        <f>+D643-F643+I643*O643</f>
        <v>4.018E-2</v>
      </c>
      <c r="K643" s="1">
        <v>1.8640119582414599E-2</v>
      </c>
      <c r="L643" s="1">
        <f>+K643-J643</f>
        <v>-2.1539880417585401E-2</v>
      </c>
      <c r="M643" s="1">
        <v>-5.3598804175854003E-3</v>
      </c>
      <c r="N643" s="1">
        <f>+M643-J643</f>
        <v>-4.5539880417585402E-2</v>
      </c>
      <c r="O643">
        <v>2.5299999999999998</v>
      </c>
      <c r="P643" t="s">
        <v>17</v>
      </c>
      <c r="Q643">
        <v>-0.01</v>
      </c>
      <c r="R643">
        <v>2.43193909227848E-2</v>
      </c>
      <c r="S643">
        <v>6.5181963145732897E-3</v>
      </c>
      <c r="T643">
        <v>0</v>
      </c>
    </row>
    <row r="644" spans="1:20" x14ac:dyDescent="0.3">
      <c r="A644" t="s">
        <v>56</v>
      </c>
      <c r="B644">
        <v>2019</v>
      </c>
      <c r="C644">
        <v>445149</v>
      </c>
      <c r="D644" s="1">
        <v>2.1000000000000001E-2</v>
      </c>
      <c r="E644" s="1">
        <v>0.87947803735732999</v>
      </c>
      <c r="F644" s="1">
        <v>-4.3999999999999997E-2</v>
      </c>
      <c r="G644" s="1">
        <f t="shared" si="18"/>
        <v>-1.8000000000000009E-2</v>
      </c>
      <c r="H644" s="1" t="str">
        <f t="shared" si="19"/>
        <v/>
      </c>
      <c r="I644" s="1">
        <v>-0.01</v>
      </c>
      <c r="J644" s="1">
        <f>+D644-F644+I644*O644</f>
        <v>4.0800000000000003E-2</v>
      </c>
      <c r="K644" s="1">
        <v>4.2319390922784798E-2</v>
      </c>
      <c r="L644" s="1">
        <f>+K644-J644</f>
        <v>1.5193909227847954E-3</v>
      </c>
      <c r="M644" s="1">
        <v>2.43193909227848E-2</v>
      </c>
      <c r="N644" s="1">
        <f>+M644-J644</f>
        <v>-1.6480609077215203E-2</v>
      </c>
      <c r="O644">
        <v>2.42</v>
      </c>
      <c r="P644" t="s">
        <v>16</v>
      </c>
      <c r="Q644">
        <v>0.01</v>
      </c>
      <c r="R644">
        <v>1.41105969548224E-2</v>
      </c>
      <c r="S644">
        <v>-4.7385934740304999E-3</v>
      </c>
      <c r="T644">
        <v>-0.04</v>
      </c>
    </row>
    <row r="645" spans="1:20" x14ac:dyDescent="0.3">
      <c r="A645" t="s">
        <v>56</v>
      </c>
      <c r="B645">
        <v>2020</v>
      </c>
      <c r="C645">
        <v>446738.71879999997</v>
      </c>
      <c r="D645" s="1">
        <v>3.1E-2</v>
      </c>
      <c r="E645" s="1">
        <v>0.88450086116790805</v>
      </c>
      <c r="F645" s="1">
        <v>-0.08</v>
      </c>
      <c r="G645" s="1">
        <f t="shared" si="18"/>
        <v>-9.8000000000000004E-2</v>
      </c>
      <c r="H645" s="1" t="str">
        <f t="shared" si="19"/>
        <v/>
      </c>
      <c r="I645" s="1">
        <v>5.0000000000000001E-3</v>
      </c>
      <c r="J645" s="1">
        <f>+D645-F645+I645*O645</f>
        <v>0.1221</v>
      </c>
      <c r="K645" s="1">
        <v>2.6110596954822499E-2</v>
      </c>
      <c r="L645" s="1">
        <f>+K645-J645</f>
        <v>-9.5989403045177502E-2</v>
      </c>
      <c r="M645" s="1">
        <v>1.41105969548224E-2</v>
      </c>
      <c r="N645" s="1">
        <f>+M645-J645</f>
        <v>-0.1079894030451776</v>
      </c>
      <c r="O645">
        <v>2.2200000000000002</v>
      </c>
      <c r="P645" t="s">
        <v>17</v>
      </c>
      <c r="Q645">
        <v>0</v>
      </c>
      <c r="R645">
        <v>2.2436252117156899E-2</v>
      </c>
      <c r="S645">
        <v>-2.1153360605239899E-2</v>
      </c>
      <c r="T645">
        <v>-0.04</v>
      </c>
    </row>
    <row r="646" spans="1:20" x14ac:dyDescent="0.3">
      <c r="A646" t="s">
        <v>56</v>
      </c>
      <c r="B646">
        <v>2021</v>
      </c>
      <c r="C646">
        <v>447505.40629999997</v>
      </c>
      <c r="D646" s="1">
        <v>1.0999999999999999E-2</v>
      </c>
      <c r="E646" s="1">
        <v>0.88639670610427901</v>
      </c>
      <c r="F646" s="1">
        <v>8.1000000000000003E-2</v>
      </c>
      <c r="G646" s="1">
        <f t="shared" si="18"/>
        <v>-1.7000000000000001E-2</v>
      </c>
      <c r="H646" s="1" t="str">
        <f t="shared" si="19"/>
        <v/>
      </c>
      <c r="I646" s="1">
        <v>2E-3</v>
      </c>
      <c r="J646" s="1">
        <f>+D646-F646+I646*O646</f>
        <v>-6.5200000000000008E-2</v>
      </c>
      <c r="K646" s="1">
        <v>6.9436252117156996E-2</v>
      </c>
      <c r="L646" s="1">
        <f>+K646-J646</f>
        <v>0.13463625211715702</v>
      </c>
      <c r="M646" s="1">
        <v>2.2436252117156899E-2</v>
      </c>
      <c r="N646" s="1">
        <f>+M646-J646</f>
        <v>8.7636252117156907E-2</v>
      </c>
      <c r="O646">
        <v>2.4</v>
      </c>
      <c r="P646" t="s">
        <v>15</v>
      </c>
      <c r="Q646">
        <v>-0.02</v>
      </c>
      <c r="R646">
        <v>-5.4443146958947197E-2</v>
      </c>
      <c r="S646">
        <v>-2.2339640185236799E-2</v>
      </c>
      <c r="T646">
        <v>0.05</v>
      </c>
    </row>
    <row r="647" spans="1:20" x14ac:dyDescent="0.3">
      <c r="A647" t="s">
        <v>56</v>
      </c>
      <c r="B647">
        <v>2022</v>
      </c>
      <c r="C647">
        <v>447262.3125</v>
      </c>
      <c r="D647" s="1">
        <v>0.02</v>
      </c>
      <c r="E647" s="1">
        <v>0.86041247844696001</v>
      </c>
      <c r="F647" s="1">
        <v>-2.1000000000000001E-2</v>
      </c>
      <c r="G647" s="1">
        <f t="shared" ref="G647:G710" si="20">SUMIFS(F:F,A:A,A647,B:B,"&lt;="&amp;B647)</f>
        <v>-3.8000000000000006E-2</v>
      </c>
      <c r="H647" s="1" t="str">
        <f t="shared" ref="H647:H710" si="21">IFERROR(IF(ABS(G647)&gt;0.12,AVERAGEIFS(K:K,A:A,A647,B:B,"&gt;"&amp;B647,B:B,"&lt;"&amp;B647+3),""),"")</f>
        <v/>
      </c>
      <c r="I647" s="1">
        <v>-2.5999999999999999E-2</v>
      </c>
      <c r="J647" s="1">
        <f>+D647-F647+I647*O647</f>
        <v>-2.01E-2</v>
      </c>
      <c r="K647" s="1">
        <v>2.5556853041052801E-2</v>
      </c>
      <c r="L647" s="1">
        <f>+K647-J647</f>
        <v>4.5656853041052797E-2</v>
      </c>
      <c r="M647" s="1">
        <v>-5.4443146958947197E-2</v>
      </c>
      <c r="N647" s="1">
        <f>+M647-J647</f>
        <v>-3.4343146958947197E-2</v>
      </c>
      <c r="O647">
        <v>2.35</v>
      </c>
      <c r="P647" t="s">
        <v>16</v>
      </c>
      <c r="Q647">
        <v>-0.02</v>
      </c>
      <c r="R647">
        <v>-3.6311873964965297E-2</v>
      </c>
      <c r="S647">
        <v>-1.6752946190536001E-2</v>
      </c>
      <c r="T647">
        <v>0</v>
      </c>
    </row>
    <row r="648" spans="1:20" x14ac:dyDescent="0.3">
      <c r="A648" t="s">
        <v>57</v>
      </c>
      <c r="B648">
        <v>2006</v>
      </c>
      <c r="C648">
        <v>5977207</v>
      </c>
      <c r="D648" s="1">
        <v>1.4999999999999999E-2</v>
      </c>
      <c r="E648" s="1">
        <v>0.91037452220916704</v>
      </c>
      <c r="F648" s="1">
        <v>0.01</v>
      </c>
      <c r="G648" s="1">
        <f t="shared" si="20"/>
        <v>0.01</v>
      </c>
      <c r="H648" s="1" t="str">
        <f t="shared" si="21"/>
        <v/>
      </c>
      <c r="I648" s="1">
        <v>6.0000000000000001E-3</v>
      </c>
      <c r="J648" s="1">
        <f>+D648-F648+I648*O648</f>
        <v>1.9220000000000001E-2</v>
      </c>
      <c r="K648" s="1">
        <v>2.1543120965361599E-2</v>
      </c>
      <c r="L648" s="1">
        <f>+K648-J648</f>
        <v>2.3231209653615977E-3</v>
      </c>
      <c r="M648" s="1">
        <v>-1.04568790346384E-2</v>
      </c>
      <c r="N648" s="1">
        <f>+M648-J648</f>
        <v>-2.96768790346384E-2</v>
      </c>
      <c r="O648">
        <v>2.37</v>
      </c>
      <c r="P648" t="s">
        <v>15</v>
      </c>
      <c r="Q648">
        <v>-0.02</v>
      </c>
      <c r="R648">
        <v>-5.3227291405200999E-3</v>
      </c>
      <c r="S648">
        <v>-4.4009732082485997E-3</v>
      </c>
      <c r="T648">
        <v>0.01</v>
      </c>
    </row>
    <row r="649" spans="1:20" x14ac:dyDescent="0.3">
      <c r="A649" t="s">
        <v>57</v>
      </c>
      <c r="B649">
        <v>2007</v>
      </c>
      <c r="C649">
        <v>6114168</v>
      </c>
      <c r="D649" s="1">
        <v>1.0999999999999999E-2</v>
      </c>
      <c r="E649" s="1">
        <v>0.91610741615295399</v>
      </c>
      <c r="F649" s="1">
        <v>1.4E-2</v>
      </c>
      <c r="G649" s="1">
        <f t="shared" si="20"/>
        <v>2.4E-2</v>
      </c>
      <c r="H649" s="1" t="str">
        <f t="shared" si="21"/>
        <v/>
      </c>
      <c r="I649" s="1">
        <v>6.0000000000000001E-3</v>
      </c>
      <c r="J649" s="1">
        <f>+D649-F649+I649*O649</f>
        <v>1.1399999999999999E-2</v>
      </c>
      <c r="K649" s="1">
        <v>2.3677270859479901E-2</v>
      </c>
      <c r="L649" s="1">
        <f>+K649-J649</f>
        <v>1.2277270859479902E-2</v>
      </c>
      <c r="M649" s="1">
        <v>-5.3227291405200999E-3</v>
      </c>
      <c r="N649" s="1">
        <f>+M649-J649</f>
        <v>-1.6722729140520098E-2</v>
      </c>
      <c r="O649">
        <v>2.4</v>
      </c>
      <c r="P649" t="s">
        <v>15</v>
      </c>
      <c r="Q649">
        <v>0</v>
      </c>
      <c r="R649">
        <v>-1.9466775760054501E-2</v>
      </c>
      <c r="S649">
        <v>1.0044028516858801E-2</v>
      </c>
      <c r="T649">
        <v>0.01</v>
      </c>
    </row>
    <row r="650" spans="1:20" x14ac:dyDescent="0.3">
      <c r="A650" t="s">
        <v>57</v>
      </c>
      <c r="B650">
        <v>2008</v>
      </c>
      <c r="C650">
        <v>6244037</v>
      </c>
      <c r="D650" s="1">
        <v>2.7E-2</v>
      </c>
      <c r="E650" s="1">
        <v>0.90790957212448098</v>
      </c>
      <c r="F650" s="1">
        <v>0</v>
      </c>
      <c r="G650" s="1">
        <f t="shared" si="20"/>
        <v>2.4E-2</v>
      </c>
      <c r="H650" s="1" t="str">
        <f t="shared" si="21"/>
        <v/>
      </c>
      <c r="I650" s="1">
        <v>-8.0000000000000002E-3</v>
      </c>
      <c r="J650" s="1">
        <f>+D650-F650+I650*O650</f>
        <v>7.7199999999999977E-3</v>
      </c>
      <c r="K650" s="1">
        <v>1.8533224239945401E-2</v>
      </c>
      <c r="L650" s="1">
        <f>+K650-J650</f>
        <v>1.0813224239945404E-2</v>
      </c>
      <c r="M650" s="1">
        <v>-1.9466775760054501E-2</v>
      </c>
      <c r="N650" s="1">
        <f>+M650-J650</f>
        <v>-2.7186775760054498E-2</v>
      </c>
      <c r="O650">
        <v>2.41</v>
      </c>
      <c r="P650" t="s">
        <v>17</v>
      </c>
      <c r="Q650">
        <v>0.01</v>
      </c>
      <c r="R650">
        <v>-1.8260783240199099E-2</v>
      </c>
      <c r="S650">
        <v>8.3059184253215495E-3</v>
      </c>
      <c r="T650">
        <v>0</v>
      </c>
    </row>
    <row r="651" spans="1:20" x14ac:dyDescent="0.3">
      <c r="A651" t="s">
        <v>57</v>
      </c>
      <c r="B651">
        <v>2009</v>
      </c>
      <c r="C651">
        <v>6369491</v>
      </c>
      <c r="D651" s="1">
        <v>2.1000000000000001E-2</v>
      </c>
      <c r="E651" s="1">
        <v>0.89640682935714699</v>
      </c>
      <c r="F651" s="1">
        <v>1.2E-2</v>
      </c>
      <c r="G651" s="1">
        <f t="shared" si="20"/>
        <v>3.6000000000000004E-2</v>
      </c>
      <c r="H651" s="1" t="str">
        <f t="shared" si="21"/>
        <v/>
      </c>
      <c r="I651" s="1">
        <v>-1.2E-2</v>
      </c>
      <c r="J651" s="1">
        <f>+D651-F651+I651*O651</f>
        <v>-2.0160000000000001E-2</v>
      </c>
      <c r="K651" s="1">
        <v>-2.2260783240199099E-2</v>
      </c>
      <c r="L651" s="1">
        <f>+K651-J651</f>
        <v>-2.1007832401990986E-3</v>
      </c>
      <c r="M651" s="1">
        <v>-1.8260783240199099E-2</v>
      </c>
      <c r="N651" s="1">
        <f>+M651-J651</f>
        <v>1.8992167598009015E-3</v>
      </c>
      <c r="O651">
        <v>2.4300000000000002</v>
      </c>
      <c r="P651" t="s">
        <v>17</v>
      </c>
      <c r="Q651">
        <v>0.01</v>
      </c>
      <c r="R651">
        <v>-1.27200013343244E-2</v>
      </c>
      <c r="S651">
        <v>-3.2598925754427901E-3</v>
      </c>
      <c r="T651">
        <v>-0.01</v>
      </c>
    </row>
    <row r="652" spans="1:20" x14ac:dyDescent="0.3">
      <c r="A652" t="s">
        <v>57</v>
      </c>
      <c r="B652">
        <v>2010</v>
      </c>
      <c r="C652">
        <v>6480242</v>
      </c>
      <c r="D652" s="1">
        <v>2E-3</v>
      </c>
      <c r="E652" s="1">
        <v>0.90726590156555198</v>
      </c>
      <c r="F652" s="1">
        <v>-2E-3</v>
      </c>
      <c r="G652" s="1">
        <f t="shared" si="20"/>
        <v>3.4000000000000002E-2</v>
      </c>
      <c r="H652" s="1" t="str">
        <f t="shared" si="21"/>
        <v/>
      </c>
      <c r="I652" s="1">
        <v>1.0999999999999999E-2</v>
      </c>
      <c r="J652" s="1">
        <f>+D652-F652+I652*O652</f>
        <v>3.073E-2</v>
      </c>
      <c r="K652" s="1">
        <v>3.27999866567552E-3</v>
      </c>
      <c r="L652" s="1">
        <f>+K652-J652</f>
        <v>-2.7450001334324479E-2</v>
      </c>
      <c r="M652" s="1">
        <v>-1.27200013343244E-2</v>
      </c>
      <c r="N652" s="1">
        <f>+M652-J652</f>
        <v>-4.3450001334324403E-2</v>
      </c>
      <c r="O652">
        <v>2.4300000000000002</v>
      </c>
      <c r="P652" t="s">
        <v>17</v>
      </c>
      <c r="Q652">
        <v>0</v>
      </c>
      <c r="R652">
        <v>-1.3337757781147999E-2</v>
      </c>
      <c r="S652">
        <v>7.9460167326032994E-3</v>
      </c>
      <c r="T652">
        <v>-0.01</v>
      </c>
    </row>
    <row r="653" spans="1:20" x14ac:dyDescent="0.3">
      <c r="A653" t="s">
        <v>57</v>
      </c>
      <c r="B653">
        <v>2011</v>
      </c>
      <c r="C653">
        <v>6598944</v>
      </c>
      <c r="D653" s="1">
        <v>4.0000000000000001E-3</v>
      </c>
      <c r="E653" s="1">
        <v>0.91524916887283303</v>
      </c>
      <c r="F653" s="1">
        <v>1E-3</v>
      </c>
      <c r="G653" s="1">
        <f t="shared" si="20"/>
        <v>3.5000000000000003E-2</v>
      </c>
      <c r="H653" s="1" t="str">
        <f t="shared" si="21"/>
        <v/>
      </c>
      <c r="I653" s="1">
        <v>8.0000000000000002E-3</v>
      </c>
      <c r="J653" s="1">
        <f>+D653-F653+I653*O653</f>
        <v>2.2440000000000002E-2</v>
      </c>
      <c r="K653" s="1">
        <v>1.8662242218852002E-2</v>
      </c>
      <c r="L653" s="1">
        <f>+K653-J653</f>
        <v>-3.7777577811480001E-3</v>
      </c>
      <c r="M653" s="1">
        <v>-1.3337757781147999E-2</v>
      </c>
      <c r="N653" s="1">
        <f>+M653-J653</f>
        <v>-3.5777757781148001E-2</v>
      </c>
      <c r="O653">
        <v>2.4300000000000002</v>
      </c>
      <c r="P653" t="s">
        <v>15</v>
      </c>
      <c r="Q653">
        <v>0.01</v>
      </c>
      <c r="R653">
        <v>5.0403100401162897E-3</v>
      </c>
      <c r="S653">
        <v>1.04785161092876E-2</v>
      </c>
      <c r="T653">
        <v>0</v>
      </c>
    </row>
    <row r="654" spans="1:20" x14ac:dyDescent="0.3">
      <c r="A654" t="s">
        <v>57</v>
      </c>
      <c r="B654">
        <v>2012</v>
      </c>
      <c r="C654">
        <v>6725017</v>
      </c>
      <c r="D654" s="1">
        <v>1.2E-2</v>
      </c>
      <c r="E654" s="1">
        <v>0.92665570974349998</v>
      </c>
      <c r="F654" s="1">
        <v>7.0000000000000001E-3</v>
      </c>
      <c r="G654" s="1">
        <f t="shared" si="20"/>
        <v>4.2000000000000003E-2</v>
      </c>
      <c r="H654" s="1" t="str">
        <f t="shared" si="21"/>
        <v/>
      </c>
      <c r="I654" s="1">
        <v>1.0999999999999999E-2</v>
      </c>
      <c r="J654" s="1">
        <f>+D654-F654+I654*O654</f>
        <v>3.1949999999999999E-2</v>
      </c>
      <c r="K654" s="1">
        <v>2.60403100401163E-2</v>
      </c>
      <c r="L654" s="1">
        <f>+K654-J654</f>
        <v>-5.9096899598836995E-3</v>
      </c>
      <c r="M654" s="1">
        <v>5.0403100401162897E-3</v>
      </c>
      <c r="N654" s="1">
        <f>+M654-J654</f>
        <v>-2.6909689959883708E-2</v>
      </c>
      <c r="O654">
        <v>2.4500000000000002</v>
      </c>
      <c r="P654" t="s">
        <v>15</v>
      </c>
      <c r="Q654">
        <v>0.01</v>
      </c>
      <c r="R654">
        <v>1.50708692520857E-2</v>
      </c>
      <c r="S654">
        <v>8.9440979063510999E-3</v>
      </c>
      <c r="T654">
        <v>0</v>
      </c>
    </row>
    <row r="655" spans="1:20" x14ac:dyDescent="0.3">
      <c r="A655" t="s">
        <v>57</v>
      </c>
      <c r="B655">
        <v>2013</v>
      </c>
      <c r="C655">
        <v>6837534</v>
      </c>
      <c r="D655" s="1">
        <v>1.9E-2</v>
      </c>
      <c r="E655" s="1">
        <v>0.92609715461731001</v>
      </c>
      <c r="F655" s="1">
        <v>-1E-3</v>
      </c>
      <c r="G655" s="1">
        <f t="shared" si="20"/>
        <v>4.1000000000000002E-2</v>
      </c>
      <c r="H655" s="1" t="str">
        <f t="shared" si="21"/>
        <v/>
      </c>
      <c r="I655" s="1">
        <v>-1E-3</v>
      </c>
      <c r="J655" s="1">
        <f>+D655-F655+I655*O655</f>
        <v>1.7559999999999999E-2</v>
      </c>
      <c r="K655" s="1">
        <v>3.00708692520857E-2</v>
      </c>
      <c r="L655" s="1">
        <f>+K655-J655</f>
        <v>1.25108692520857E-2</v>
      </c>
      <c r="M655" s="1">
        <v>1.50708692520857E-2</v>
      </c>
      <c r="N655" s="1">
        <f>+M655-J655</f>
        <v>-2.4891307479142991E-3</v>
      </c>
      <c r="O655">
        <v>2.44</v>
      </c>
      <c r="P655" t="s">
        <v>16</v>
      </c>
      <c r="Q655">
        <v>0.01</v>
      </c>
      <c r="R655">
        <v>1.31088912636041E-2</v>
      </c>
      <c r="S655">
        <v>1.11008677631616E-2</v>
      </c>
      <c r="T655">
        <v>-0.01</v>
      </c>
    </row>
    <row r="656" spans="1:20" x14ac:dyDescent="0.3">
      <c r="A656" t="s">
        <v>57</v>
      </c>
      <c r="B656">
        <v>2014</v>
      </c>
      <c r="C656">
        <v>6976119</v>
      </c>
      <c r="D656" s="1">
        <v>2.1000000000000001E-2</v>
      </c>
      <c r="E656" s="1">
        <v>0.92555284500122104</v>
      </c>
      <c r="F656" s="1">
        <v>1E-3</v>
      </c>
      <c r="G656" s="1">
        <f t="shared" si="20"/>
        <v>4.2000000000000003E-2</v>
      </c>
      <c r="H656" s="1" t="str">
        <f t="shared" si="21"/>
        <v/>
      </c>
      <c r="I656" s="1">
        <v>-1E-3</v>
      </c>
      <c r="J656" s="1">
        <f>+D656-F656+I656*O656</f>
        <v>1.755E-2</v>
      </c>
      <c r="K656" s="1">
        <v>2.9108891263604199E-2</v>
      </c>
      <c r="L656" s="1">
        <f>+K656-J656</f>
        <v>1.1558891263604199E-2</v>
      </c>
      <c r="M656" s="1">
        <v>1.31088912636041E-2</v>
      </c>
      <c r="N656" s="1">
        <f>+M656-J656</f>
        <v>-4.4411087363959E-3</v>
      </c>
      <c r="O656">
        <v>2.4500000000000002</v>
      </c>
      <c r="P656" t="s">
        <v>17</v>
      </c>
      <c r="Q656">
        <v>0.01</v>
      </c>
      <c r="R656">
        <v>5.6168845087289802E-2</v>
      </c>
      <c r="S656">
        <v>2.5905393064022099E-2</v>
      </c>
      <c r="T656">
        <v>0</v>
      </c>
    </row>
    <row r="657" spans="1:20" x14ac:dyDescent="0.3">
      <c r="A657" t="s">
        <v>57</v>
      </c>
      <c r="B657">
        <v>2015</v>
      </c>
      <c r="C657">
        <v>7126653</v>
      </c>
      <c r="D657" s="1">
        <v>2.4E-2</v>
      </c>
      <c r="E657" s="1">
        <v>0.93227434158325195</v>
      </c>
      <c r="F657" s="1">
        <v>3.0000000000000001E-3</v>
      </c>
      <c r="G657" s="1">
        <f t="shared" si="20"/>
        <v>4.5000000000000005E-2</v>
      </c>
      <c r="H657" s="1" t="str">
        <f t="shared" si="21"/>
        <v/>
      </c>
      <c r="I657" s="1">
        <v>7.0000000000000001E-3</v>
      </c>
      <c r="J657" s="1">
        <f>+D657-F657+I657*O657</f>
        <v>3.8150000000000003E-2</v>
      </c>
      <c r="K657" s="1">
        <v>5.7168845087289803E-2</v>
      </c>
      <c r="L657" s="1">
        <f>+K657-J657</f>
        <v>1.90188450872898E-2</v>
      </c>
      <c r="M657" s="1">
        <v>5.6168845087289802E-2</v>
      </c>
      <c r="N657" s="1">
        <f>+M657-J657</f>
        <v>1.8018845087289799E-2</v>
      </c>
      <c r="O657">
        <v>2.4500000000000002</v>
      </c>
      <c r="P657" t="s">
        <v>15</v>
      </c>
      <c r="Q657">
        <v>0.03</v>
      </c>
      <c r="R657">
        <v>1.8311545521020899E-2</v>
      </c>
      <c r="S657">
        <v>5.1579885184765001E-3</v>
      </c>
      <c r="T657">
        <v>0.01</v>
      </c>
    </row>
    <row r="658" spans="1:20" x14ac:dyDescent="0.3">
      <c r="A658" t="s">
        <v>57</v>
      </c>
      <c r="B658">
        <v>2016</v>
      </c>
      <c r="C658">
        <v>7275681</v>
      </c>
      <c r="D658" s="1">
        <v>3.3000000000000002E-2</v>
      </c>
      <c r="E658" s="1">
        <v>0.92544698715210005</v>
      </c>
      <c r="F658" s="1">
        <v>-6.0000000000000001E-3</v>
      </c>
      <c r="G658" s="1">
        <f t="shared" si="20"/>
        <v>3.9000000000000007E-2</v>
      </c>
      <c r="H658" s="1" t="str">
        <f t="shared" si="21"/>
        <v/>
      </c>
      <c r="I658" s="1">
        <v>-7.0000000000000001E-3</v>
      </c>
      <c r="J658" s="1">
        <f>+D658-F658+I658*O658</f>
        <v>2.1919999999999999E-2</v>
      </c>
      <c r="K658" s="1">
        <v>3.1311545521020903E-2</v>
      </c>
      <c r="L658" s="1">
        <f>+K658-J658</f>
        <v>9.3915455210209046E-3</v>
      </c>
      <c r="M658" s="1">
        <v>1.8311545521020899E-2</v>
      </c>
      <c r="N658" s="1">
        <f>+M658-J658</f>
        <v>-3.6084544789791E-3</v>
      </c>
      <c r="O658">
        <v>2.44</v>
      </c>
      <c r="P658" t="s">
        <v>16</v>
      </c>
      <c r="Q658">
        <v>0.01</v>
      </c>
      <c r="R658">
        <v>5.34956991672497E-4</v>
      </c>
      <c r="S658">
        <v>-2.2546164691447999E-3</v>
      </c>
      <c r="T658">
        <v>-0.01</v>
      </c>
    </row>
    <row r="659" spans="1:20" x14ac:dyDescent="0.3">
      <c r="A659" t="s">
        <v>57</v>
      </c>
      <c r="B659">
        <v>2017</v>
      </c>
      <c r="C659">
        <v>7410584</v>
      </c>
      <c r="D659" s="1">
        <v>0.04</v>
      </c>
      <c r="E659" s="1">
        <v>0.91056931018829301</v>
      </c>
      <c r="F659" s="1">
        <v>-1.4E-2</v>
      </c>
      <c r="G659" s="1">
        <f t="shared" si="20"/>
        <v>2.5000000000000008E-2</v>
      </c>
      <c r="H659" s="1" t="str">
        <f t="shared" si="21"/>
        <v/>
      </c>
      <c r="I659" s="1">
        <v>-1.4999999999999999E-2</v>
      </c>
      <c r="J659" s="1">
        <f>+D659-F659+I659*O659</f>
        <v>1.7849999999999998E-2</v>
      </c>
      <c r="K659" s="1">
        <v>2.1534956991672499E-2</v>
      </c>
      <c r="L659" s="1">
        <f>+K659-J659</f>
        <v>3.6849569916725007E-3</v>
      </c>
      <c r="M659" s="1">
        <v>5.34956991672497E-4</v>
      </c>
      <c r="N659" s="1">
        <f>+M659-J659</f>
        <v>-1.7315043008327501E-2</v>
      </c>
      <c r="O659">
        <v>2.41</v>
      </c>
      <c r="P659" t="s">
        <v>16</v>
      </c>
      <c r="Q659">
        <v>0</v>
      </c>
      <c r="R659">
        <v>3.5793932378292001E-3</v>
      </c>
      <c r="S659">
        <v>-5.5556297302245903E-3</v>
      </c>
      <c r="T659">
        <v>-0.01</v>
      </c>
    </row>
    <row r="660" spans="1:20" x14ac:dyDescent="0.3">
      <c r="A660" t="s">
        <v>57</v>
      </c>
      <c r="B660">
        <v>2018</v>
      </c>
      <c r="C660">
        <v>7528420</v>
      </c>
      <c r="D660" s="1">
        <v>3.4000000000000002E-2</v>
      </c>
      <c r="E660" s="1">
        <v>0.911313116550446</v>
      </c>
      <c r="F660" s="1">
        <v>-8.9999999999999993E-3</v>
      </c>
      <c r="G660" s="1">
        <f t="shared" si="20"/>
        <v>1.6000000000000007E-2</v>
      </c>
      <c r="H660" s="1" t="str">
        <f t="shared" si="21"/>
        <v/>
      </c>
      <c r="I660" s="1">
        <v>1E-3</v>
      </c>
      <c r="J660" s="1">
        <f>+D660-F660+I660*O660</f>
        <v>4.5380000000000004E-2</v>
      </c>
      <c r="K660" s="1">
        <v>2.7579393237829201E-2</v>
      </c>
      <c r="L660" s="1">
        <f>+K660-J660</f>
        <v>-1.7800606762170802E-2</v>
      </c>
      <c r="M660" s="1">
        <v>3.5793932378292001E-3</v>
      </c>
      <c r="N660" s="1">
        <f>+M660-J660</f>
        <v>-4.1800606762170803E-2</v>
      </c>
      <c r="O660">
        <v>2.38</v>
      </c>
      <c r="P660" t="s">
        <v>17</v>
      </c>
      <c r="Q660">
        <v>-0.01</v>
      </c>
      <c r="R660">
        <v>2.0495350629091299E-2</v>
      </c>
      <c r="S660">
        <v>2.6941560208797902E-3</v>
      </c>
      <c r="T660">
        <v>0</v>
      </c>
    </row>
    <row r="661" spans="1:20" x14ac:dyDescent="0.3">
      <c r="A661" t="s">
        <v>57</v>
      </c>
      <c r="B661">
        <v>2019</v>
      </c>
      <c r="C661">
        <v>7646131</v>
      </c>
      <c r="D661" s="1">
        <v>3.5999999999999997E-2</v>
      </c>
      <c r="E661" s="1">
        <v>0.91251081228256203</v>
      </c>
      <c r="F661" s="1">
        <v>-8.0000000000000002E-3</v>
      </c>
      <c r="G661" s="1">
        <f t="shared" si="20"/>
        <v>8.0000000000000071E-3</v>
      </c>
      <c r="H661" s="1" t="str">
        <f t="shared" si="21"/>
        <v/>
      </c>
      <c r="I661" s="1">
        <v>1E-3</v>
      </c>
      <c r="J661" s="1">
        <f>+D661-F661+I661*O661</f>
        <v>4.6369999999999995E-2</v>
      </c>
      <c r="K661" s="1">
        <v>3.8495350629091298E-2</v>
      </c>
      <c r="L661" s="1">
        <f>+K661-J661</f>
        <v>-7.874649370908697E-3</v>
      </c>
      <c r="M661" s="1">
        <v>2.0495350629091299E-2</v>
      </c>
      <c r="N661" s="1">
        <f>+M661-J661</f>
        <v>-2.5874649370908696E-2</v>
      </c>
      <c r="O661">
        <v>2.37</v>
      </c>
      <c r="P661" t="s">
        <v>17</v>
      </c>
      <c r="Q661">
        <v>0</v>
      </c>
      <c r="R661">
        <v>3.9598384052514897E-3</v>
      </c>
      <c r="S661">
        <v>-1.4889352023601501E-2</v>
      </c>
      <c r="T661">
        <v>0</v>
      </c>
    </row>
    <row r="662" spans="1:20" x14ac:dyDescent="0.3">
      <c r="A662" t="s">
        <v>57</v>
      </c>
      <c r="B662">
        <v>2020</v>
      </c>
      <c r="C662">
        <v>7766493</v>
      </c>
      <c r="D662" s="1">
        <v>3.4000000000000002E-2</v>
      </c>
      <c r="E662" s="1">
        <v>0.91099065542221103</v>
      </c>
      <c r="F662" s="1">
        <v>-6.0999999999999999E-2</v>
      </c>
      <c r="G662" s="1">
        <f t="shared" si="20"/>
        <v>-5.2999999999999992E-2</v>
      </c>
      <c r="H662" s="1" t="str">
        <f t="shared" si="21"/>
        <v/>
      </c>
      <c r="I662" s="1">
        <v>-2E-3</v>
      </c>
      <c r="J662" s="1">
        <f>+D662-F662+I662*O662</f>
        <v>9.0560000000000002E-2</v>
      </c>
      <c r="K662" s="1">
        <v>1.59598384052515E-2</v>
      </c>
      <c r="L662" s="1">
        <f>+K662-J662</f>
        <v>-7.4600161594748499E-2</v>
      </c>
      <c r="M662" s="1">
        <v>3.9598384052514897E-3</v>
      </c>
      <c r="N662" s="1">
        <f>+M662-J662</f>
        <v>-8.6600161594748509E-2</v>
      </c>
      <c r="O662">
        <v>2.2200000000000002</v>
      </c>
      <c r="P662" t="s">
        <v>16</v>
      </c>
      <c r="Q662">
        <v>-0.01</v>
      </c>
      <c r="R662">
        <v>8.9355191469193004E-2</v>
      </c>
      <c r="S662">
        <v>4.5765578746796098E-2</v>
      </c>
      <c r="T662">
        <v>-0.02</v>
      </c>
    </row>
    <row r="663" spans="1:20" x14ac:dyDescent="0.3">
      <c r="A663" t="s">
        <v>57</v>
      </c>
      <c r="B663">
        <v>2021</v>
      </c>
      <c r="C663">
        <v>7898458</v>
      </c>
      <c r="D663" s="1">
        <v>3.5999999999999997E-2</v>
      </c>
      <c r="E663" s="1">
        <v>0.93935108184814498</v>
      </c>
      <c r="F663" s="1">
        <v>2.5999999999999999E-2</v>
      </c>
      <c r="G663" s="1">
        <f t="shared" si="20"/>
        <v>-2.6999999999999993E-2</v>
      </c>
      <c r="H663" s="1" t="str">
        <f t="shared" si="21"/>
        <v/>
      </c>
      <c r="I663" s="1">
        <v>2.8000000000000001E-2</v>
      </c>
      <c r="J663" s="1">
        <f>+D663-F663+I663*O663</f>
        <v>7.3839999999999989E-2</v>
      </c>
      <c r="K663" s="1">
        <v>0.136355191469193</v>
      </c>
      <c r="L663" s="1">
        <f>+K663-J663</f>
        <v>6.2515191469193016E-2</v>
      </c>
      <c r="M663" s="1">
        <v>8.9355191469193004E-2</v>
      </c>
      <c r="N663" s="1">
        <f>+M663-J663</f>
        <v>1.5515191469193015E-2</v>
      </c>
      <c r="O663">
        <v>2.2799999999999998</v>
      </c>
      <c r="P663" t="s">
        <v>15</v>
      </c>
      <c r="Q663">
        <v>0.05</v>
      </c>
      <c r="R663">
        <v>-3.5398283898830402E-2</v>
      </c>
      <c r="S663">
        <v>-3.2947771251201001E-3</v>
      </c>
      <c r="T663">
        <v>0</v>
      </c>
    </row>
    <row r="664" spans="1:20" x14ac:dyDescent="0.3">
      <c r="A664" t="s">
        <v>57</v>
      </c>
      <c r="B664">
        <v>2022</v>
      </c>
      <c r="C664">
        <v>8096734</v>
      </c>
      <c r="D664" s="1">
        <v>0.03</v>
      </c>
      <c r="E664" s="1">
        <v>0.91536229848861705</v>
      </c>
      <c r="F664" s="1">
        <v>-1.9E-2</v>
      </c>
      <c r="G664" s="1">
        <f t="shared" si="20"/>
        <v>-4.5999999999999992E-2</v>
      </c>
      <c r="H664" s="1" t="str">
        <f t="shared" si="21"/>
        <v/>
      </c>
      <c r="I664" s="1">
        <v>-2.4E-2</v>
      </c>
      <c r="J664" s="1">
        <f>+D664-F664+I664*O664</f>
        <v>-4.7600000000000073E-3</v>
      </c>
      <c r="K664" s="1">
        <v>4.46017161011696E-2</v>
      </c>
      <c r="L664" s="1">
        <f>+K664-J664</f>
        <v>4.9361716101169607E-2</v>
      </c>
      <c r="M664" s="1">
        <v>-3.5398283898830402E-2</v>
      </c>
      <c r="N664" s="1">
        <f>+M664-J664</f>
        <v>-3.0638283898830394E-2</v>
      </c>
      <c r="O664">
        <v>2.2400000000000002</v>
      </c>
      <c r="P664" t="s">
        <v>16</v>
      </c>
      <c r="Q664">
        <v>0</v>
      </c>
      <c r="R664">
        <v>-4.96481841281056E-2</v>
      </c>
      <c r="S664">
        <v>-3.0089256353676298E-2</v>
      </c>
      <c r="T664">
        <v>0</v>
      </c>
    </row>
    <row r="665" spans="1:20" x14ac:dyDescent="0.3">
      <c r="A665" t="s">
        <v>58</v>
      </c>
      <c r="B665">
        <v>2006</v>
      </c>
      <c r="C665">
        <v>374080.6875</v>
      </c>
      <c r="D665" s="1">
        <v>0</v>
      </c>
      <c r="E665" s="1">
        <v>0.91934454441070601</v>
      </c>
      <c r="F665" s="1">
        <v>0.09</v>
      </c>
      <c r="G665" s="1">
        <f t="shared" si="20"/>
        <v>0.09</v>
      </c>
      <c r="H665" s="1" t="str">
        <f t="shared" si="21"/>
        <v/>
      </c>
      <c r="I665" s="1">
        <v>1.4999999999999999E-2</v>
      </c>
      <c r="J665" s="1">
        <f>+D665-F665+I665*O665</f>
        <v>-5.7299999999999997E-2</v>
      </c>
      <c r="K665" s="1">
        <v>2.34458800405264E-2</v>
      </c>
      <c r="L665" s="1">
        <f>+K665-J665</f>
        <v>8.0745880040526394E-2</v>
      </c>
      <c r="M665" s="1">
        <v>-8.5541199594736002E-3</v>
      </c>
      <c r="N665" s="1">
        <f>+M665-J665</f>
        <v>4.8745880040526393E-2</v>
      </c>
      <c r="O665">
        <v>2.1800000000000002</v>
      </c>
      <c r="P665" t="s">
        <v>15</v>
      </c>
      <c r="Q665">
        <v>-0.01</v>
      </c>
      <c r="R665">
        <v>-4.8659098297357999E-3</v>
      </c>
      <c r="S665">
        <v>-3.9441538974642996E-3</v>
      </c>
      <c r="T665">
        <v>0.09</v>
      </c>
    </row>
    <row r="666" spans="1:20" x14ac:dyDescent="0.3">
      <c r="A666" t="s">
        <v>58</v>
      </c>
      <c r="B666">
        <v>2007</v>
      </c>
      <c r="C666">
        <v>375455</v>
      </c>
      <c r="D666" s="1">
        <v>2E-3</v>
      </c>
      <c r="E666" s="1">
        <v>0.92682111263275102</v>
      </c>
      <c r="F666" s="1">
        <v>-4.9000000000000002E-2</v>
      </c>
      <c r="G666" s="1">
        <f t="shared" si="20"/>
        <v>4.0999999999999995E-2</v>
      </c>
      <c r="H666" s="1" t="str">
        <f t="shared" si="21"/>
        <v/>
      </c>
      <c r="I666" s="1">
        <v>7.0000000000000001E-3</v>
      </c>
      <c r="J666" s="1">
        <f>+D666-F666+I666*O666</f>
        <v>6.5490000000000007E-2</v>
      </c>
      <c r="K666" s="1">
        <v>2.4134090170264199E-2</v>
      </c>
      <c r="L666" s="1">
        <f>+K666-J666</f>
        <v>-4.1355909829735804E-2</v>
      </c>
      <c r="M666" s="1">
        <v>-4.8659098297357999E-3</v>
      </c>
      <c r="N666" s="1">
        <f>+M666-J666</f>
        <v>-7.0355909829735802E-2</v>
      </c>
      <c r="O666">
        <v>2.0699999999999998</v>
      </c>
      <c r="P666" t="s">
        <v>17</v>
      </c>
      <c r="Q666">
        <v>0</v>
      </c>
      <c r="R666">
        <v>-2.2954974614083801E-2</v>
      </c>
      <c r="S666">
        <v>6.5558296628296002E-3</v>
      </c>
      <c r="T666">
        <v>-0.05</v>
      </c>
    </row>
    <row r="667" spans="1:20" x14ac:dyDescent="0.3">
      <c r="A667" t="s">
        <v>58</v>
      </c>
      <c r="B667">
        <v>2008</v>
      </c>
      <c r="C667">
        <v>376893.1875</v>
      </c>
      <c r="D667" s="1">
        <v>0</v>
      </c>
      <c r="E667" s="1">
        <v>0.93578809499740601</v>
      </c>
      <c r="F667" s="1">
        <v>1.4999999999999999E-2</v>
      </c>
      <c r="G667" s="1">
        <f t="shared" si="20"/>
        <v>5.5999999999999994E-2</v>
      </c>
      <c r="H667" s="1" t="str">
        <f t="shared" si="21"/>
        <v/>
      </c>
      <c r="I667" s="1">
        <v>8.9999999999999993E-3</v>
      </c>
      <c r="J667" s="1">
        <f>+D667-F667+I667*O667</f>
        <v>3.9000000000000007E-3</v>
      </c>
      <c r="K667" s="1">
        <v>1.50450253859162E-2</v>
      </c>
      <c r="L667" s="1">
        <f>+K667-J667</f>
        <v>1.1145025385916199E-2</v>
      </c>
      <c r="M667" s="1">
        <v>-2.2954974614083801E-2</v>
      </c>
      <c r="N667" s="1">
        <f>+M667-J667</f>
        <v>-2.6854974614083801E-2</v>
      </c>
      <c r="O667">
        <v>2.1</v>
      </c>
      <c r="P667" t="s">
        <v>15</v>
      </c>
      <c r="Q667">
        <v>0.01</v>
      </c>
      <c r="R667">
        <v>-1.7661149337887799E-2</v>
      </c>
      <c r="S667">
        <v>8.9055523276328503E-3</v>
      </c>
      <c r="T667">
        <v>0.01</v>
      </c>
    </row>
    <row r="668" spans="1:20" x14ac:dyDescent="0.3">
      <c r="A668" t="s">
        <v>58</v>
      </c>
      <c r="B668">
        <v>2009</v>
      </c>
      <c r="C668">
        <v>378586.5</v>
      </c>
      <c r="D668" s="1">
        <v>3.0000000000000001E-3</v>
      </c>
      <c r="E668" s="1">
        <v>0.93298989534378096</v>
      </c>
      <c r="F668" s="1">
        <v>-6.2E-2</v>
      </c>
      <c r="G668" s="1">
        <f t="shared" si="20"/>
        <v>-6.0000000000000053E-3</v>
      </c>
      <c r="H668" s="1" t="str">
        <f t="shared" si="21"/>
        <v/>
      </c>
      <c r="I668" s="1">
        <v>-3.0000000000000001E-3</v>
      </c>
      <c r="J668" s="1">
        <f>+D668-F668+I668*O668</f>
        <v>5.9090000000000004E-2</v>
      </c>
      <c r="K668" s="1">
        <v>-2.1661149337887799E-2</v>
      </c>
      <c r="L668" s="1">
        <f>+K668-J668</f>
        <v>-8.0751149337887795E-2</v>
      </c>
      <c r="M668" s="1">
        <v>-1.7661149337887799E-2</v>
      </c>
      <c r="N668" s="1">
        <f>+M668-J668</f>
        <v>-7.6751149337887806E-2</v>
      </c>
      <c r="O668">
        <v>1.97</v>
      </c>
      <c r="P668" t="s">
        <v>16</v>
      </c>
      <c r="Q668">
        <v>0.01</v>
      </c>
      <c r="R668">
        <v>-1.49243579329922E-2</v>
      </c>
      <c r="S668">
        <v>-5.4642491741105897E-3</v>
      </c>
      <c r="T668">
        <v>-0.08</v>
      </c>
    </row>
    <row r="669" spans="1:20" x14ac:dyDescent="0.3">
      <c r="A669" t="s">
        <v>58</v>
      </c>
      <c r="B669">
        <v>2010</v>
      </c>
      <c r="C669">
        <v>380340.90629999997</v>
      </c>
      <c r="D669" s="1">
        <v>1.2E-2</v>
      </c>
      <c r="E669" s="1">
        <v>0.92787063121795699</v>
      </c>
      <c r="F669" s="1">
        <v>9.9000000000000005E-2</v>
      </c>
      <c r="G669" s="1">
        <f t="shared" si="20"/>
        <v>9.2999999999999999E-2</v>
      </c>
      <c r="H669" s="1" t="str">
        <f t="shared" si="21"/>
        <v/>
      </c>
      <c r="I669" s="1">
        <v>-5.0000000000000001E-3</v>
      </c>
      <c r="J669" s="1">
        <f>+D669-F669+I669*O669</f>
        <v>-9.7850000000000006E-2</v>
      </c>
      <c r="K669" s="1">
        <v>1.07564206700772E-3</v>
      </c>
      <c r="L669" s="1">
        <f>+K669-J669</f>
        <v>9.8925642067007727E-2</v>
      </c>
      <c r="M669" s="1">
        <v>-1.49243579329922E-2</v>
      </c>
      <c r="N669" s="1">
        <f>+M669-J669</f>
        <v>8.292564206700781E-2</v>
      </c>
      <c r="O669">
        <v>2.17</v>
      </c>
      <c r="P669" t="s">
        <v>17</v>
      </c>
      <c r="Q669">
        <v>-0.01</v>
      </c>
      <c r="R669">
        <v>-2.62713198252022E-2</v>
      </c>
      <c r="S669">
        <v>-4.9875453114509296E-3</v>
      </c>
      <c r="T669">
        <v>0.09</v>
      </c>
    </row>
    <row r="670" spans="1:20" x14ac:dyDescent="0.3">
      <c r="A670" t="s">
        <v>59</v>
      </c>
      <c r="B670">
        <v>2006</v>
      </c>
      <c r="C670">
        <v>803041.3125</v>
      </c>
      <c r="D670" s="1">
        <v>6.0000000000000001E-3</v>
      </c>
      <c r="E670" s="1">
        <v>0.91141879558563199</v>
      </c>
      <c r="F670" s="1">
        <v>3.5000000000000003E-2</v>
      </c>
      <c r="G670" s="1">
        <f t="shared" si="20"/>
        <v>3.5000000000000003E-2</v>
      </c>
      <c r="H670" s="1" t="str">
        <f t="shared" si="21"/>
        <v/>
      </c>
      <c r="I670" s="1">
        <v>8.0000000000000002E-3</v>
      </c>
      <c r="J670" s="1">
        <f>+D670-F670+I670*O670</f>
        <v>-1.1240000000000003E-2</v>
      </c>
      <c r="K670" s="1">
        <v>1.92573852837086E-2</v>
      </c>
      <c r="L670" s="1">
        <f>+K670-J670</f>
        <v>3.0497385283708604E-2</v>
      </c>
      <c r="M670" s="1">
        <v>-1.2742614716291401E-2</v>
      </c>
      <c r="N670" s="1">
        <f>+M670-J670</f>
        <v>-1.5026147162913971E-3</v>
      </c>
      <c r="O670">
        <v>2.2200000000000002</v>
      </c>
      <c r="P670" t="s">
        <v>15</v>
      </c>
      <c r="Q670">
        <v>-0.02</v>
      </c>
      <c r="R670">
        <v>-7.7045214325190004E-3</v>
      </c>
      <c r="S670">
        <v>-6.7827655002475002E-3</v>
      </c>
      <c r="T670">
        <v>0.03</v>
      </c>
    </row>
    <row r="671" spans="1:20" x14ac:dyDescent="0.3">
      <c r="A671" t="s">
        <v>59</v>
      </c>
      <c r="B671">
        <v>2007</v>
      </c>
      <c r="C671">
        <v>801435.9375</v>
      </c>
      <c r="D671" s="1">
        <v>1.2E-2</v>
      </c>
      <c r="E671" s="1">
        <v>0.91582196950912498</v>
      </c>
      <c r="F671" s="1">
        <v>-1.6E-2</v>
      </c>
      <c r="G671" s="1">
        <f t="shared" si="20"/>
        <v>1.9000000000000003E-2</v>
      </c>
      <c r="H671" s="1" t="str">
        <f t="shared" si="21"/>
        <v/>
      </c>
      <c r="I671" s="1">
        <v>4.0000000000000001E-3</v>
      </c>
      <c r="J671" s="1">
        <f>+D671-F671+I671*O671</f>
        <v>3.6760000000000001E-2</v>
      </c>
      <c r="K671" s="1">
        <v>2.1295478567480999E-2</v>
      </c>
      <c r="L671" s="1">
        <f>+K671-J671</f>
        <v>-1.5464521432519002E-2</v>
      </c>
      <c r="M671" s="1">
        <v>-7.7045214325190004E-3</v>
      </c>
      <c r="N671" s="1">
        <f>+M671-J671</f>
        <v>-4.4464521432519E-2</v>
      </c>
      <c r="O671">
        <v>2.19</v>
      </c>
      <c r="P671" t="s">
        <v>17</v>
      </c>
      <c r="Q671">
        <v>-0.01</v>
      </c>
      <c r="R671">
        <v>-2.4692775040864898E-2</v>
      </c>
      <c r="S671">
        <v>4.8180292360484999E-3</v>
      </c>
      <c r="T671">
        <v>-0.02</v>
      </c>
    </row>
    <row r="672" spans="1:20" x14ac:dyDescent="0.3">
      <c r="A672" t="s">
        <v>59</v>
      </c>
      <c r="B672">
        <v>2008</v>
      </c>
      <c r="C672">
        <v>799914.5</v>
      </c>
      <c r="D672" s="1">
        <v>0</v>
      </c>
      <c r="E672" s="1">
        <v>0.90791487693786599</v>
      </c>
      <c r="F672" s="1">
        <v>-2E-3</v>
      </c>
      <c r="G672" s="1">
        <f t="shared" si="20"/>
        <v>1.7000000000000001E-2</v>
      </c>
      <c r="H672" s="1" t="str">
        <f t="shared" si="21"/>
        <v/>
      </c>
      <c r="I672" s="1">
        <v>-8.0000000000000002E-3</v>
      </c>
      <c r="J672" s="1">
        <f>+D672-F672+I672*O672</f>
        <v>-1.5440000000000001E-2</v>
      </c>
      <c r="K672" s="1">
        <v>1.3307224959135101E-2</v>
      </c>
      <c r="L672" s="1">
        <f>+K672-J672</f>
        <v>2.87472249591351E-2</v>
      </c>
      <c r="M672" s="1">
        <v>-2.4692775040864898E-2</v>
      </c>
      <c r="N672" s="1">
        <f>+M672-J672</f>
        <v>-9.2527750408648978E-3</v>
      </c>
      <c r="O672">
        <v>2.1800000000000002</v>
      </c>
      <c r="P672" t="s">
        <v>16</v>
      </c>
      <c r="Q672">
        <v>0</v>
      </c>
      <c r="R672">
        <v>-1.6515603944659198E-2</v>
      </c>
      <c r="S672">
        <v>1.00510977208614E-2</v>
      </c>
      <c r="T672">
        <v>0</v>
      </c>
    </row>
    <row r="673" spans="1:20" x14ac:dyDescent="0.3">
      <c r="A673" t="s">
        <v>59</v>
      </c>
      <c r="B673">
        <v>2009</v>
      </c>
      <c r="C673">
        <v>799179.625</v>
      </c>
      <c r="D673" s="1">
        <v>4.0000000000000001E-3</v>
      </c>
      <c r="E673" s="1">
        <v>0.902765512466431</v>
      </c>
      <c r="F673" s="1">
        <v>-2.5999999999999999E-2</v>
      </c>
      <c r="G673" s="1">
        <f t="shared" si="20"/>
        <v>-8.9999999999999976E-3</v>
      </c>
      <c r="H673" s="1" t="str">
        <f t="shared" si="21"/>
        <v/>
      </c>
      <c r="I673" s="1">
        <v>-5.0000000000000001E-3</v>
      </c>
      <c r="J673" s="1">
        <f>+D673-F673+I673*O673</f>
        <v>1.9349999999999999E-2</v>
      </c>
      <c r="K673" s="1">
        <v>-2.0515603944659198E-2</v>
      </c>
      <c r="L673" s="1">
        <f>+K673-J673</f>
        <v>-3.9865603944659198E-2</v>
      </c>
      <c r="M673" s="1">
        <v>-1.6515603944659198E-2</v>
      </c>
      <c r="N673" s="1">
        <f>+M673-J673</f>
        <v>-3.5865603944659194E-2</v>
      </c>
      <c r="O673">
        <v>2.13</v>
      </c>
      <c r="P673" t="s">
        <v>16</v>
      </c>
      <c r="Q673">
        <v>0.01</v>
      </c>
      <c r="R673">
        <v>-1.59494922740268E-2</v>
      </c>
      <c r="S673">
        <v>-6.4893835151451596E-3</v>
      </c>
      <c r="T673">
        <v>-0.04</v>
      </c>
    </row>
    <row r="674" spans="1:20" x14ac:dyDescent="0.3">
      <c r="A674" t="s">
        <v>59</v>
      </c>
      <c r="B674">
        <v>2010</v>
      </c>
      <c r="C674">
        <v>800297.1875</v>
      </c>
      <c r="D674" s="1">
        <v>5.0000000000000001E-3</v>
      </c>
      <c r="E674" s="1">
        <v>0.90879267454147294</v>
      </c>
      <c r="F674" s="1">
        <v>3.5999999999999997E-2</v>
      </c>
      <c r="G674" s="1">
        <f t="shared" si="20"/>
        <v>2.7E-2</v>
      </c>
      <c r="H674" s="1" t="str">
        <f t="shared" si="21"/>
        <v/>
      </c>
      <c r="I674" s="1">
        <v>6.0000000000000001E-3</v>
      </c>
      <c r="J674" s="1">
        <f>+D674-F674+I674*O674</f>
        <v>-1.7799999999999996E-2</v>
      </c>
      <c r="K674" s="1">
        <v>5.0507725973147899E-5</v>
      </c>
      <c r="L674" s="1">
        <f>+K674-J674</f>
        <v>1.7850507725973144E-2</v>
      </c>
      <c r="M674" s="1">
        <v>-1.59494922740268E-2</v>
      </c>
      <c r="N674" s="1">
        <f>+M674-J674</f>
        <v>1.850507725973196E-3</v>
      </c>
      <c r="O674">
        <v>2.2000000000000002</v>
      </c>
      <c r="P674" t="s">
        <v>15</v>
      </c>
      <c r="Q674">
        <v>-0.01</v>
      </c>
      <c r="R674">
        <v>-2.26307663768529E-2</v>
      </c>
      <c r="S674">
        <v>-1.34699186310168E-3</v>
      </c>
      <c r="T674">
        <v>0.03</v>
      </c>
    </row>
    <row r="675" spans="1:20" x14ac:dyDescent="0.3">
      <c r="A675" t="s">
        <v>59</v>
      </c>
      <c r="B675">
        <v>2011</v>
      </c>
      <c r="C675">
        <v>801838.9375</v>
      </c>
      <c r="D675" s="1">
        <v>0</v>
      </c>
      <c r="E675" s="1">
        <v>0.91427195072174094</v>
      </c>
      <c r="F675" s="1">
        <v>-2.3E-2</v>
      </c>
      <c r="G675" s="1">
        <f t="shared" si="20"/>
        <v>4.0000000000000001E-3</v>
      </c>
      <c r="H675" s="1" t="str">
        <f t="shared" si="21"/>
        <v/>
      </c>
      <c r="I675" s="1">
        <v>5.0000000000000001E-3</v>
      </c>
      <c r="J675" s="1">
        <f>+D675-F675+I675*O675</f>
        <v>3.3750000000000002E-2</v>
      </c>
      <c r="K675" s="1">
        <v>9.3692336231470108E-3</v>
      </c>
      <c r="L675" s="1">
        <f>+K675-J675</f>
        <v>-2.4380766376852991E-2</v>
      </c>
      <c r="M675" s="1">
        <v>-2.26307663768529E-2</v>
      </c>
      <c r="N675" s="1">
        <f>+M675-J675</f>
        <v>-5.6380766376852902E-2</v>
      </c>
      <c r="O675">
        <v>2.15</v>
      </c>
      <c r="P675" t="s">
        <v>17</v>
      </c>
      <c r="Q675">
        <v>0</v>
      </c>
      <c r="R675">
        <v>-8.0121804997325009E-3</v>
      </c>
      <c r="S675">
        <v>-2.5739744305610999E-3</v>
      </c>
      <c r="T675">
        <v>-0.02</v>
      </c>
    </row>
    <row r="676" spans="1:20" x14ac:dyDescent="0.3">
      <c r="A676" t="s">
        <v>59</v>
      </c>
      <c r="B676">
        <v>2012</v>
      </c>
      <c r="C676">
        <v>802994.375</v>
      </c>
      <c r="D676" s="1">
        <v>-1E-3</v>
      </c>
      <c r="E676" s="1">
        <v>0.91878390312194802</v>
      </c>
      <c r="F676" s="1">
        <v>0.03</v>
      </c>
      <c r="G676" s="1">
        <f t="shared" si="20"/>
        <v>3.4000000000000002E-2</v>
      </c>
      <c r="H676" s="1" t="str">
        <f t="shared" si="21"/>
        <v/>
      </c>
      <c r="I676" s="1">
        <v>5.0000000000000001E-3</v>
      </c>
      <c r="J676" s="1">
        <f>+D676-F676+I676*O676</f>
        <v>-1.9900000000000001E-2</v>
      </c>
      <c r="K676" s="1">
        <v>1.29878195002675E-2</v>
      </c>
      <c r="L676" s="1">
        <f>+K676-J676</f>
        <v>3.28878195002675E-2</v>
      </c>
      <c r="M676" s="1">
        <v>-8.0121804997325009E-3</v>
      </c>
      <c r="N676" s="1">
        <f>+M676-J676</f>
        <v>1.18878195002675E-2</v>
      </c>
      <c r="O676">
        <v>2.2200000000000002</v>
      </c>
      <c r="P676" t="s">
        <v>15</v>
      </c>
      <c r="Q676">
        <v>0</v>
      </c>
      <c r="R676">
        <v>4.8014488071199899E-4</v>
      </c>
      <c r="S676">
        <v>-5.6466264650226004E-3</v>
      </c>
      <c r="T676">
        <v>0.03</v>
      </c>
    </row>
    <row r="677" spans="1:20" x14ac:dyDescent="0.3">
      <c r="A677" t="s">
        <v>59</v>
      </c>
      <c r="B677">
        <v>2013</v>
      </c>
      <c r="C677">
        <v>803171.375</v>
      </c>
      <c r="D677" s="1">
        <v>-1E-3</v>
      </c>
      <c r="E677" s="1">
        <v>0.91868221759796098</v>
      </c>
      <c r="F677" s="1">
        <v>0.02</v>
      </c>
      <c r="G677" s="1">
        <f t="shared" si="20"/>
        <v>5.4000000000000006E-2</v>
      </c>
      <c r="H677" s="1" t="str">
        <f t="shared" si="21"/>
        <v/>
      </c>
      <c r="I677" s="1">
        <v>0</v>
      </c>
      <c r="J677" s="1">
        <f>+D677-F677+I677*O677</f>
        <v>-2.1000000000000001E-2</v>
      </c>
      <c r="K677" s="1">
        <v>1.5480144880711999E-2</v>
      </c>
      <c r="L677" s="1">
        <f>+K677-J677</f>
        <v>3.6480144880712002E-2</v>
      </c>
      <c r="M677" s="1">
        <v>4.8014488071199899E-4</v>
      </c>
      <c r="N677" s="1">
        <f>+M677-J677</f>
        <v>2.1480144880711999E-2</v>
      </c>
      <c r="O677">
        <v>2.2599999999999998</v>
      </c>
      <c r="P677" t="s">
        <v>17</v>
      </c>
      <c r="Q677">
        <v>-0.01</v>
      </c>
      <c r="R677">
        <v>-1.6144832447171E-3</v>
      </c>
      <c r="S677">
        <v>-3.6225067451596E-3</v>
      </c>
      <c r="T677">
        <v>0.01</v>
      </c>
    </row>
    <row r="678" spans="1:20" x14ac:dyDescent="0.3">
      <c r="A678" t="s">
        <v>59</v>
      </c>
      <c r="B678">
        <v>2014</v>
      </c>
      <c r="C678">
        <v>803295.3125</v>
      </c>
      <c r="D678" s="1">
        <v>-1E-3</v>
      </c>
      <c r="E678" s="1">
        <v>0.92496776580810502</v>
      </c>
      <c r="F678" s="1">
        <v>-4.2999999999999997E-2</v>
      </c>
      <c r="G678" s="1">
        <f t="shared" si="20"/>
        <v>1.100000000000001E-2</v>
      </c>
      <c r="H678" s="1" t="str">
        <f t="shared" si="21"/>
        <v/>
      </c>
      <c r="I678" s="1">
        <v>6.0000000000000001E-3</v>
      </c>
      <c r="J678" s="1">
        <f>+D678-F678+I678*O678</f>
        <v>5.4959999999999995E-2</v>
      </c>
      <c r="K678" s="1">
        <v>1.43855167552829E-2</v>
      </c>
      <c r="L678" s="1">
        <f>+K678-J678</f>
        <v>-4.0574483244717095E-2</v>
      </c>
      <c r="M678" s="1">
        <v>-1.6144832447171E-3</v>
      </c>
      <c r="N678" s="1">
        <f>+M678-J678</f>
        <v>-5.6574483244717096E-2</v>
      </c>
      <c r="O678">
        <v>2.16</v>
      </c>
      <c r="P678" t="s">
        <v>17</v>
      </c>
      <c r="Q678">
        <v>0</v>
      </c>
      <c r="R678">
        <v>2.73248592168093E-2</v>
      </c>
      <c r="S678">
        <v>-2.9385928064583899E-3</v>
      </c>
      <c r="T678">
        <v>-0.05</v>
      </c>
    </row>
    <row r="679" spans="1:20" x14ac:dyDescent="0.3">
      <c r="A679" t="s">
        <v>59</v>
      </c>
      <c r="B679">
        <v>2015</v>
      </c>
      <c r="C679">
        <v>803538.3125</v>
      </c>
      <c r="D679" s="1">
        <v>1.4E-2</v>
      </c>
      <c r="E679" s="1">
        <v>0.91978824138641402</v>
      </c>
      <c r="F679" s="1">
        <v>-2E-3</v>
      </c>
      <c r="G679" s="1">
        <f t="shared" si="20"/>
        <v>9.0000000000000097E-3</v>
      </c>
      <c r="H679" s="1" t="str">
        <f t="shared" si="21"/>
        <v/>
      </c>
      <c r="I679" s="1">
        <v>-5.0000000000000001E-3</v>
      </c>
      <c r="J679" s="1">
        <f>+D679-F679+I679*O679</f>
        <v>5.1999999999999998E-3</v>
      </c>
      <c r="K679" s="1">
        <v>2.8324859216809301E-2</v>
      </c>
      <c r="L679" s="1">
        <f>+K679-J679</f>
        <v>2.3124859216809301E-2</v>
      </c>
      <c r="M679" s="1">
        <v>2.73248592168093E-2</v>
      </c>
      <c r="N679" s="1">
        <f>+M679-J679</f>
        <v>2.21248592168093E-2</v>
      </c>
      <c r="O679">
        <v>2.16</v>
      </c>
      <c r="P679" t="s">
        <v>16</v>
      </c>
      <c r="Q679">
        <v>0</v>
      </c>
      <c r="R679">
        <v>1.44582859128714E-2</v>
      </c>
      <c r="S679">
        <v>1.30472891032699E-3</v>
      </c>
      <c r="T679">
        <v>0.01</v>
      </c>
    </row>
    <row r="680" spans="1:20" x14ac:dyDescent="0.3">
      <c r="A680" t="s">
        <v>59</v>
      </c>
      <c r="B680">
        <v>2016</v>
      </c>
      <c r="C680">
        <v>805749.3125</v>
      </c>
      <c r="D680" s="1">
        <v>1.6E-2</v>
      </c>
      <c r="E680" s="1">
        <v>0.91686707735061601</v>
      </c>
      <c r="F680" s="1">
        <v>8.9999999999999993E-3</v>
      </c>
      <c r="G680" s="1">
        <f t="shared" si="20"/>
        <v>1.8000000000000009E-2</v>
      </c>
      <c r="H680" s="1" t="str">
        <f t="shared" si="21"/>
        <v/>
      </c>
      <c r="I680" s="1">
        <v>-3.0000000000000001E-3</v>
      </c>
      <c r="J680" s="1">
        <f>+D680-F680+I680*O680</f>
        <v>4.6000000000000034E-4</v>
      </c>
      <c r="K680" s="1">
        <v>2.7458285912871399E-2</v>
      </c>
      <c r="L680" s="1">
        <f>+K680-J680</f>
        <v>2.69982859128714E-2</v>
      </c>
      <c r="M680" s="1">
        <v>1.44582859128714E-2</v>
      </c>
      <c r="N680" s="1">
        <f>+M680-J680</f>
        <v>1.3998285912871399E-2</v>
      </c>
      <c r="O680">
        <v>2.1800000000000002</v>
      </c>
      <c r="P680" t="s">
        <v>17</v>
      </c>
      <c r="Q680">
        <v>0</v>
      </c>
      <c r="R680">
        <v>6.1722257733349704E-4</v>
      </c>
      <c r="S680">
        <v>-2.1723508834838E-3</v>
      </c>
      <c r="T680">
        <v>0.01</v>
      </c>
    </row>
    <row r="681" spans="1:20" x14ac:dyDescent="0.3">
      <c r="A681" t="s">
        <v>59</v>
      </c>
      <c r="B681">
        <v>2017</v>
      </c>
      <c r="C681">
        <v>807812.0625</v>
      </c>
      <c r="D681" s="1">
        <v>7.0000000000000001E-3</v>
      </c>
      <c r="E681" s="1">
        <v>0.91844785213470503</v>
      </c>
      <c r="F681" s="1">
        <v>-0.02</v>
      </c>
      <c r="G681" s="1">
        <f t="shared" si="20"/>
        <v>-1.9999999999999914E-3</v>
      </c>
      <c r="H681" s="1" t="str">
        <f t="shared" si="21"/>
        <v/>
      </c>
      <c r="I681" s="1">
        <v>2E-3</v>
      </c>
      <c r="J681" s="1">
        <f>+D681-F681+I681*O681</f>
        <v>3.1280000000000002E-2</v>
      </c>
      <c r="K681" s="1">
        <v>2.1617222577333499E-2</v>
      </c>
      <c r="L681" s="1">
        <f>+K681-J681</f>
        <v>-9.6627774226665034E-3</v>
      </c>
      <c r="M681" s="1">
        <v>6.1722257733349704E-4</v>
      </c>
      <c r="N681" s="1">
        <f>+M681-J681</f>
        <v>-3.0662777422666505E-2</v>
      </c>
      <c r="O681">
        <v>2.14</v>
      </c>
      <c r="P681" t="s">
        <v>17</v>
      </c>
      <c r="Q681">
        <v>0</v>
      </c>
      <c r="R681">
        <v>8.3337465524672902E-3</v>
      </c>
      <c r="S681">
        <v>-8.0127641558649899E-4</v>
      </c>
      <c r="T681">
        <v>-0.02</v>
      </c>
    </row>
    <row r="682" spans="1:20" x14ac:dyDescent="0.3">
      <c r="A682" t="s">
        <v>59</v>
      </c>
      <c r="B682">
        <v>2018</v>
      </c>
      <c r="C682">
        <v>810291.375</v>
      </c>
      <c r="D682" s="1">
        <v>8.9999999999999993E-3</v>
      </c>
      <c r="E682" s="1">
        <v>0.92587167024612405</v>
      </c>
      <c r="F682" s="1">
        <v>-5.0000000000000001E-3</v>
      </c>
      <c r="G682" s="1">
        <f t="shared" si="20"/>
        <v>-6.9999999999999915E-3</v>
      </c>
      <c r="H682" s="1" t="str">
        <f t="shared" si="21"/>
        <v/>
      </c>
      <c r="I682" s="1">
        <v>7.0000000000000001E-3</v>
      </c>
      <c r="J682" s="1">
        <f>+D682-F682+I682*O682</f>
        <v>2.8839999999999998E-2</v>
      </c>
      <c r="K682" s="1">
        <v>3.2333746552467298E-2</v>
      </c>
      <c r="L682" s="1">
        <f>+K682-J682</f>
        <v>3.4937465524673E-3</v>
      </c>
      <c r="M682" s="1">
        <v>8.3337465524672902E-3</v>
      </c>
      <c r="N682" s="1">
        <f>+M682-J682</f>
        <v>-2.0506253447532707E-2</v>
      </c>
      <c r="O682">
        <v>2.12</v>
      </c>
      <c r="P682" t="s">
        <v>17</v>
      </c>
      <c r="Q682">
        <v>0</v>
      </c>
      <c r="R682">
        <v>2.9607690095901501E-2</v>
      </c>
      <c r="S682">
        <v>1.180649548769E-2</v>
      </c>
      <c r="T682">
        <v>0</v>
      </c>
    </row>
    <row r="683" spans="1:20" x14ac:dyDescent="0.3">
      <c r="A683" t="s">
        <v>59</v>
      </c>
      <c r="B683">
        <v>2019</v>
      </c>
      <c r="C683">
        <v>813162.5</v>
      </c>
      <c r="D683" s="1">
        <v>1.7999999999999999E-2</v>
      </c>
      <c r="E683" s="1">
        <v>0.92639100551605202</v>
      </c>
      <c r="F683" s="1">
        <v>7.0000000000000001E-3</v>
      </c>
      <c r="G683" s="1">
        <f t="shared" si="20"/>
        <v>8.6736173798840355E-18</v>
      </c>
      <c r="H683" s="1" t="str">
        <f t="shared" si="21"/>
        <v/>
      </c>
      <c r="I683" s="1">
        <v>1E-3</v>
      </c>
      <c r="J683" s="1">
        <f>+D683-F683+I683*O683</f>
        <v>1.3139999999999999E-2</v>
      </c>
      <c r="K683" s="1">
        <v>4.7607690095901503E-2</v>
      </c>
      <c r="L683" s="1">
        <f>+K683-J683</f>
        <v>3.4467690095901504E-2</v>
      </c>
      <c r="M683" s="1">
        <v>2.9607690095901501E-2</v>
      </c>
      <c r="N683" s="1">
        <f>+M683-J683</f>
        <v>1.6467690095901502E-2</v>
      </c>
      <c r="O683">
        <v>2.14</v>
      </c>
      <c r="P683" t="s">
        <v>15</v>
      </c>
      <c r="Q683">
        <v>0.01</v>
      </c>
      <c r="R683">
        <v>1.9138613820075999E-2</v>
      </c>
      <c r="S683">
        <v>2.8942339122299798E-4</v>
      </c>
      <c r="T683">
        <v>0.02</v>
      </c>
    </row>
    <row r="684" spans="1:20" x14ac:dyDescent="0.3">
      <c r="A684" t="s">
        <v>59</v>
      </c>
      <c r="B684">
        <v>2020</v>
      </c>
      <c r="C684">
        <v>814123.875</v>
      </c>
      <c r="D684" s="1">
        <v>8.9999999999999993E-3</v>
      </c>
      <c r="E684" s="1">
        <v>0.93653523921966597</v>
      </c>
      <c r="F684" s="1">
        <v>-4.7E-2</v>
      </c>
      <c r="G684" s="1">
        <f t="shared" si="20"/>
        <v>-4.6999999999999993E-2</v>
      </c>
      <c r="H684" s="1" t="str">
        <f t="shared" si="21"/>
        <v/>
      </c>
      <c r="I684" s="1">
        <v>0.01</v>
      </c>
      <c r="J684" s="1">
        <f>+D684-F684+I684*O684</f>
        <v>7.6399999999999996E-2</v>
      </c>
      <c r="K684" s="1">
        <v>3.1138613820075999E-2</v>
      </c>
      <c r="L684" s="1">
        <f>+K684-J684</f>
        <v>-4.5261386179923993E-2</v>
      </c>
      <c r="M684" s="1">
        <v>1.9138613820075999E-2</v>
      </c>
      <c r="N684" s="1">
        <f>+M684-J684</f>
        <v>-5.7261386179923997E-2</v>
      </c>
      <c r="O684">
        <v>2.04</v>
      </c>
      <c r="P684" t="s">
        <v>17</v>
      </c>
      <c r="Q684">
        <v>0</v>
      </c>
      <c r="R684">
        <v>3.5177489995956303E-2</v>
      </c>
      <c r="S684">
        <v>-8.4121227264405095E-3</v>
      </c>
      <c r="T684">
        <v>-0.01</v>
      </c>
    </row>
    <row r="685" spans="1:20" x14ac:dyDescent="0.3">
      <c r="A685" t="s">
        <v>59</v>
      </c>
      <c r="B685">
        <v>2021</v>
      </c>
      <c r="C685">
        <v>813743</v>
      </c>
      <c r="D685" s="1">
        <v>1E-3</v>
      </c>
      <c r="E685" s="1">
        <v>0.95058321952819802</v>
      </c>
      <c r="F685" s="1">
        <v>5.8999999999999997E-2</v>
      </c>
      <c r="G685" s="1">
        <f t="shared" si="20"/>
        <v>1.2000000000000004E-2</v>
      </c>
      <c r="H685" s="1" t="str">
        <f t="shared" si="21"/>
        <v/>
      </c>
      <c r="I685" s="1">
        <v>1.4E-2</v>
      </c>
      <c r="J685" s="1">
        <f>+D685-F685+I685*O685</f>
        <v>-2.7759999999999993E-2</v>
      </c>
      <c r="K685" s="1">
        <v>8.2177489995956393E-2</v>
      </c>
      <c r="L685" s="1">
        <f>+K685-J685</f>
        <v>0.10993748999595639</v>
      </c>
      <c r="M685" s="1">
        <v>3.5177489995956303E-2</v>
      </c>
      <c r="N685" s="1">
        <f>+M685-J685</f>
        <v>6.2937489995956303E-2</v>
      </c>
      <c r="O685">
        <v>2.16</v>
      </c>
      <c r="P685" t="s">
        <v>15</v>
      </c>
      <c r="Q685">
        <v>-0.01</v>
      </c>
      <c r="R685">
        <v>-1.9092528074979801E-2</v>
      </c>
      <c r="S685">
        <v>1.3010978698730399E-2</v>
      </c>
      <c r="T685">
        <v>0.03</v>
      </c>
    </row>
    <row r="686" spans="1:20" x14ac:dyDescent="0.3">
      <c r="A686" t="s">
        <v>59</v>
      </c>
      <c r="B686">
        <v>2022</v>
      </c>
      <c r="C686">
        <v>814474.125</v>
      </c>
      <c r="D686" s="1">
        <v>4.0000000000000001E-3</v>
      </c>
      <c r="E686" s="1">
        <v>0.93923181295394897</v>
      </c>
      <c r="F686" s="1">
        <v>-8.2000000000000003E-2</v>
      </c>
      <c r="G686" s="1">
        <f t="shared" si="20"/>
        <v>-7.0000000000000007E-2</v>
      </c>
      <c r="H686" s="1" t="str">
        <f t="shared" si="21"/>
        <v/>
      </c>
      <c r="I686" s="1">
        <v>-1.0999999999999999E-2</v>
      </c>
      <c r="J686" s="1">
        <f>+D686-F686+I686*O686</f>
        <v>6.4220000000000013E-2</v>
      </c>
      <c r="K686" s="1">
        <v>6.0907471925020197E-2</v>
      </c>
      <c r="L686" s="1">
        <f>+K686-J686</f>
        <v>-3.3125280749798161E-3</v>
      </c>
      <c r="M686" s="1">
        <v>-1.9092528074979801E-2</v>
      </c>
      <c r="N686" s="1">
        <f>+M686-J686</f>
        <v>-8.3312528074979811E-2</v>
      </c>
      <c r="O686">
        <v>1.98</v>
      </c>
      <c r="P686" t="s">
        <v>16</v>
      </c>
      <c r="Q686">
        <v>0.01</v>
      </c>
      <c r="R686">
        <v>-6.4657887816430004E-4</v>
      </c>
      <c r="S686">
        <v>1.8912348896264999E-2</v>
      </c>
      <c r="T686">
        <v>-7.0000000000000007E-2</v>
      </c>
    </row>
    <row r="687" spans="1:20" x14ac:dyDescent="0.3">
      <c r="A687" t="s">
        <v>60</v>
      </c>
      <c r="B687">
        <v>2006</v>
      </c>
      <c r="C687">
        <v>581645.3125</v>
      </c>
      <c r="D687" s="1">
        <v>5.2999999999999999E-2</v>
      </c>
      <c r="E687" s="1">
        <v>0.90461975336074796</v>
      </c>
      <c r="F687" s="1">
        <v>3.9E-2</v>
      </c>
      <c r="G687" s="1">
        <f t="shared" si="20"/>
        <v>3.9E-2</v>
      </c>
      <c r="H687" s="1" t="str">
        <f t="shared" si="21"/>
        <v/>
      </c>
      <c r="I687" s="1">
        <v>-2.8000000000000001E-2</v>
      </c>
      <c r="J687" s="1">
        <f>+D687-F687+I687*O687</f>
        <v>-4.7879999999999999E-2</v>
      </c>
      <c r="K687" s="1">
        <v>6.0034066438674899E-2</v>
      </c>
      <c r="L687" s="1">
        <f>+K687-J687</f>
        <v>0.1079140664386749</v>
      </c>
      <c r="M687" s="1">
        <v>2.8034066438674898E-2</v>
      </c>
      <c r="N687" s="1">
        <f>+M687-J687</f>
        <v>7.5914066438674904E-2</v>
      </c>
      <c r="O687">
        <v>2.21</v>
      </c>
      <c r="P687" t="s">
        <v>17</v>
      </c>
      <c r="Q687">
        <v>0.02</v>
      </c>
      <c r="R687">
        <v>-8.6105331778499995E-5</v>
      </c>
      <c r="S687">
        <v>8.3565060049300098E-4</v>
      </c>
      <c r="T687">
        <v>0.04</v>
      </c>
    </row>
    <row r="688" spans="1:20" x14ac:dyDescent="0.3">
      <c r="A688" t="s">
        <v>60</v>
      </c>
      <c r="B688">
        <v>2007</v>
      </c>
      <c r="C688">
        <v>589812.3125</v>
      </c>
      <c r="D688" s="1">
        <v>2.1000000000000001E-2</v>
      </c>
      <c r="E688" s="1">
        <v>0.89459466934204102</v>
      </c>
      <c r="F688" s="1">
        <v>-1E-3</v>
      </c>
      <c r="G688" s="1">
        <f t="shared" si="20"/>
        <v>3.7999999999999999E-2</v>
      </c>
      <c r="H688" s="1" t="str">
        <f t="shared" si="21"/>
        <v/>
      </c>
      <c r="I688" s="1">
        <v>-0.01</v>
      </c>
      <c r="J688" s="1">
        <f>+D688-F688+I688*O688</f>
        <v>-9.9999999999999395E-5</v>
      </c>
      <c r="K688" s="1">
        <v>2.8913894668221501E-2</v>
      </c>
      <c r="L688" s="1">
        <f>+K688-J688</f>
        <v>2.9013894668221501E-2</v>
      </c>
      <c r="M688" s="1">
        <v>-8.6105331778499995E-5</v>
      </c>
      <c r="N688" s="1">
        <f>+M688-J688</f>
        <v>1.38946682214994E-5</v>
      </c>
      <c r="O688">
        <v>2.21</v>
      </c>
      <c r="P688" t="s">
        <v>16</v>
      </c>
      <c r="Q688">
        <v>0</v>
      </c>
      <c r="R688">
        <v>-5.4003146767616299E-2</v>
      </c>
      <c r="S688">
        <v>-2.4492342490702802E-2</v>
      </c>
      <c r="T688">
        <v>0</v>
      </c>
    </row>
    <row r="689" spans="1:20" x14ac:dyDescent="0.3">
      <c r="A689" t="s">
        <v>60</v>
      </c>
      <c r="B689">
        <v>2008</v>
      </c>
      <c r="C689">
        <v>590556.0625</v>
      </c>
      <c r="D689" s="1">
        <v>2.5000000000000001E-2</v>
      </c>
      <c r="E689" s="1">
        <v>0.89178234338760398</v>
      </c>
      <c r="F689" s="1">
        <v>2.5000000000000001E-2</v>
      </c>
      <c r="G689" s="1">
        <f t="shared" si="20"/>
        <v>6.3E-2</v>
      </c>
      <c r="H689" s="1" t="str">
        <f t="shared" si="21"/>
        <v/>
      </c>
      <c r="I689" s="1">
        <v>-3.0000000000000001E-3</v>
      </c>
      <c r="J689" s="1">
        <f>+D689-F689+I689*O689</f>
        <v>-6.7799999999999996E-3</v>
      </c>
      <c r="K689" s="1">
        <v>-1.60031467676163E-2</v>
      </c>
      <c r="L689" s="1">
        <f>+K689-J689</f>
        <v>-9.2231467676163002E-3</v>
      </c>
      <c r="M689" s="1">
        <v>-5.4003146767616299E-2</v>
      </c>
      <c r="N689" s="1">
        <f>+M689-J689</f>
        <v>-4.7223146767616297E-2</v>
      </c>
      <c r="O689">
        <v>2.2599999999999998</v>
      </c>
      <c r="P689" t="s">
        <v>17</v>
      </c>
      <c r="Q689">
        <v>-0.02</v>
      </c>
      <c r="R689">
        <v>-3.4440018892288198E-2</v>
      </c>
      <c r="S689">
        <v>-7.8733172267675504E-3</v>
      </c>
      <c r="T689">
        <v>0.02</v>
      </c>
    </row>
    <row r="690" spans="1:20" x14ac:dyDescent="0.3">
      <c r="A690" t="s">
        <v>60</v>
      </c>
      <c r="B690">
        <v>2009</v>
      </c>
      <c r="C690">
        <v>589657.125</v>
      </c>
      <c r="D690" s="1">
        <v>3.2000000000000001E-2</v>
      </c>
      <c r="E690" s="1">
        <v>0.89450395107269298</v>
      </c>
      <c r="F690" s="1">
        <v>2.7E-2</v>
      </c>
      <c r="G690" s="1">
        <f t="shared" si="20"/>
        <v>0.09</v>
      </c>
      <c r="H690" s="1" t="str">
        <f t="shared" si="21"/>
        <v/>
      </c>
      <c r="I690" s="1">
        <v>3.0000000000000001E-3</v>
      </c>
      <c r="J690" s="1">
        <f>+D690-F690+I690*O690</f>
        <v>1.1960000000000002E-2</v>
      </c>
      <c r="K690" s="1">
        <v>-3.8440018892288201E-2</v>
      </c>
      <c r="L690" s="1">
        <f>+K690-J690</f>
        <v>-5.0400018892288206E-2</v>
      </c>
      <c r="M690" s="1">
        <v>-3.4440018892288198E-2</v>
      </c>
      <c r="N690" s="1">
        <f>+M690-J690</f>
        <v>-4.6400018892288203E-2</v>
      </c>
      <c r="O690">
        <v>2.3199999999999998</v>
      </c>
      <c r="P690" t="s">
        <v>15</v>
      </c>
      <c r="Q690">
        <v>-0.01</v>
      </c>
      <c r="R690">
        <v>-7.6650019586086303E-3</v>
      </c>
      <c r="S690">
        <v>1.79510680027305E-3</v>
      </c>
      <c r="T690">
        <v>0.01</v>
      </c>
    </row>
    <row r="691" spans="1:20" x14ac:dyDescent="0.3">
      <c r="A691" t="s">
        <v>60</v>
      </c>
      <c r="B691">
        <v>2010</v>
      </c>
      <c r="C691">
        <v>590493.6875</v>
      </c>
      <c r="D691" s="1">
        <v>1.2E-2</v>
      </c>
      <c r="E691" s="1">
        <v>0.90740430355071999</v>
      </c>
      <c r="F691" s="1">
        <v>4.0000000000000001E-3</v>
      </c>
      <c r="G691" s="1">
        <f t="shared" si="20"/>
        <v>9.4E-2</v>
      </c>
      <c r="H691" s="1" t="str">
        <f t="shared" si="21"/>
        <v/>
      </c>
      <c r="I691" s="1">
        <v>1.2999999999999999E-2</v>
      </c>
      <c r="J691" s="1">
        <f>+D691-F691+I691*O691</f>
        <v>3.8290000000000005E-2</v>
      </c>
      <c r="K691" s="1">
        <v>8.3349980413913692E-3</v>
      </c>
      <c r="L691" s="1">
        <f>+K691-J691</f>
        <v>-2.9955001958608635E-2</v>
      </c>
      <c r="M691" s="1">
        <v>-7.6650019586086303E-3</v>
      </c>
      <c r="N691" s="1">
        <f>+M691-J691</f>
        <v>-4.5955001958608632E-2</v>
      </c>
      <c r="O691">
        <v>2.33</v>
      </c>
      <c r="P691" t="s">
        <v>15</v>
      </c>
      <c r="Q691">
        <v>0</v>
      </c>
      <c r="R691">
        <v>-1.8737215891480401E-2</v>
      </c>
      <c r="S691">
        <v>2.5465586222708902E-3</v>
      </c>
      <c r="T691">
        <v>0</v>
      </c>
    </row>
    <row r="692" spans="1:20" x14ac:dyDescent="0.3">
      <c r="A692" t="s">
        <v>60</v>
      </c>
      <c r="B692">
        <v>2011</v>
      </c>
      <c r="C692">
        <v>591459.875</v>
      </c>
      <c r="D692" s="1">
        <v>0</v>
      </c>
      <c r="E692" s="1">
        <v>0.91426020860671997</v>
      </c>
      <c r="F692" s="1">
        <v>-7.3999999999999996E-2</v>
      </c>
      <c r="G692" s="1">
        <f t="shared" si="20"/>
        <v>2.0000000000000004E-2</v>
      </c>
      <c r="H692" s="1" t="str">
        <f t="shared" si="21"/>
        <v/>
      </c>
      <c r="I692" s="1">
        <v>7.0000000000000001E-3</v>
      </c>
      <c r="J692" s="1">
        <f>+D692-F692+I692*O692</f>
        <v>8.9120000000000005E-2</v>
      </c>
      <c r="K692" s="1">
        <v>1.3262784108519599E-2</v>
      </c>
      <c r="L692" s="1">
        <f>+K692-J692</f>
        <v>-7.5857215891480409E-2</v>
      </c>
      <c r="M692" s="1">
        <v>-1.8737215891480401E-2</v>
      </c>
      <c r="N692" s="1">
        <f>+M692-J692</f>
        <v>-0.10785721589148041</v>
      </c>
      <c r="O692">
        <v>2.16</v>
      </c>
      <c r="P692" t="s">
        <v>17</v>
      </c>
      <c r="Q692">
        <v>0</v>
      </c>
      <c r="R692">
        <v>-7.3195649683480103E-4</v>
      </c>
      <c r="S692">
        <v>4.7062495723365896E-3</v>
      </c>
      <c r="T692">
        <v>-7.0000000000000007E-2</v>
      </c>
    </row>
    <row r="693" spans="1:20" x14ac:dyDescent="0.3">
      <c r="A693" t="s">
        <v>60</v>
      </c>
      <c r="B693">
        <v>2012</v>
      </c>
      <c r="C693">
        <v>594350.25</v>
      </c>
      <c r="D693" s="1">
        <v>0.02</v>
      </c>
      <c r="E693" s="1">
        <v>0.92965090274810802</v>
      </c>
      <c r="F693" s="1">
        <v>5.1999999999999998E-2</v>
      </c>
      <c r="G693" s="1">
        <f t="shared" si="20"/>
        <v>7.2000000000000008E-2</v>
      </c>
      <c r="H693" s="1" t="str">
        <f t="shared" si="21"/>
        <v/>
      </c>
      <c r="I693" s="1">
        <v>1.4999999999999999E-2</v>
      </c>
      <c r="J693" s="1">
        <f>+D693-F693+I693*O693</f>
        <v>2.0499999999999963E-3</v>
      </c>
      <c r="K693" s="1">
        <v>2.02680435031652E-2</v>
      </c>
      <c r="L693" s="1">
        <f>+K693-J693</f>
        <v>1.8218043503165204E-2</v>
      </c>
      <c r="M693" s="1">
        <v>-7.3195649683480103E-4</v>
      </c>
      <c r="N693" s="1">
        <f>+M693-J693</f>
        <v>-2.7819564968347972E-3</v>
      </c>
      <c r="O693">
        <v>2.27</v>
      </c>
      <c r="P693" t="s">
        <v>15</v>
      </c>
      <c r="Q693">
        <v>0</v>
      </c>
      <c r="R693">
        <v>1.21268747746944E-2</v>
      </c>
      <c r="S693">
        <v>6.0001034289597997E-3</v>
      </c>
      <c r="T693">
        <v>0.05</v>
      </c>
    </row>
    <row r="694" spans="1:20" x14ac:dyDescent="0.3">
      <c r="A694" t="s">
        <v>60</v>
      </c>
      <c r="B694">
        <v>2013</v>
      </c>
      <c r="C694">
        <v>599533.625</v>
      </c>
      <c r="D694" s="1">
        <v>0</v>
      </c>
      <c r="E694" s="1">
        <v>0.94178026914596602</v>
      </c>
      <c r="F694" s="1">
        <v>2.5000000000000001E-2</v>
      </c>
      <c r="G694" s="1">
        <f t="shared" si="20"/>
        <v>9.7000000000000003E-2</v>
      </c>
      <c r="H694" s="1" t="str">
        <f t="shared" si="21"/>
        <v/>
      </c>
      <c r="I694" s="1">
        <v>1.2E-2</v>
      </c>
      <c r="J694" s="1">
        <f>+D694-F694+I694*O694</f>
        <v>2.9600000000000008E-3</v>
      </c>
      <c r="K694" s="1">
        <v>2.7126874774694401E-2</v>
      </c>
      <c r="L694" s="1">
        <f>+K694-J694</f>
        <v>2.41668747746944E-2</v>
      </c>
      <c r="M694" s="1">
        <v>1.21268747746944E-2</v>
      </c>
      <c r="N694" s="1">
        <f>+M694-J694</f>
        <v>9.1668747746943991E-3</v>
      </c>
      <c r="O694">
        <v>2.33</v>
      </c>
      <c r="P694" t="s">
        <v>15</v>
      </c>
      <c r="Q694">
        <v>0.01</v>
      </c>
      <c r="R694">
        <v>9.9230509400367994E-3</v>
      </c>
      <c r="S694">
        <v>7.9150274395943E-3</v>
      </c>
      <c r="T694">
        <v>0.02</v>
      </c>
    </row>
    <row r="695" spans="1:20" x14ac:dyDescent="0.3">
      <c r="A695" t="s">
        <v>60</v>
      </c>
      <c r="B695">
        <v>2014</v>
      </c>
      <c r="C695">
        <v>608230</v>
      </c>
      <c r="D695" s="1">
        <v>1.7000000000000001E-2</v>
      </c>
      <c r="E695" s="1">
        <v>0.94363921880722001</v>
      </c>
      <c r="F695" s="1">
        <v>-6.0000000000000001E-3</v>
      </c>
      <c r="G695" s="1">
        <f t="shared" si="20"/>
        <v>9.0999999999999998E-2</v>
      </c>
      <c r="H695" s="1" t="str">
        <f t="shared" si="21"/>
        <v/>
      </c>
      <c r="I695" s="1">
        <v>2E-3</v>
      </c>
      <c r="J695" s="1">
        <f>+D695-F695+I695*O695</f>
        <v>2.7619999999999999E-2</v>
      </c>
      <c r="K695" s="1">
        <v>2.5923050940036801E-2</v>
      </c>
      <c r="L695" s="1">
        <f>+K695-J695</f>
        <v>-1.6969490599631973E-3</v>
      </c>
      <c r="M695" s="1">
        <v>9.9230509400367994E-3</v>
      </c>
      <c r="N695" s="1">
        <f>+M695-J695</f>
        <v>-1.7696949059963198E-2</v>
      </c>
      <c r="O695">
        <v>2.31</v>
      </c>
      <c r="P695" t="s">
        <v>17</v>
      </c>
      <c r="Q695">
        <v>0.01</v>
      </c>
      <c r="R695">
        <v>3.3953758120536699E-2</v>
      </c>
      <c r="S695">
        <v>3.6903060972690999E-3</v>
      </c>
      <c r="T695">
        <v>-0.01</v>
      </c>
    </row>
    <row r="696" spans="1:20" x14ac:dyDescent="0.3">
      <c r="A696" t="s">
        <v>60</v>
      </c>
      <c r="B696">
        <v>2015</v>
      </c>
      <c r="C696">
        <v>620563.75</v>
      </c>
      <c r="D696" s="1">
        <v>1E-3</v>
      </c>
      <c r="E696" s="1">
        <v>0.95519065856933605</v>
      </c>
      <c r="F696" s="1">
        <v>-1.2E-2</v>
      </c>
      <c r="G696" s="1">
        <f t="shared" si="20"/>
        <v>7.9000000000000001E-2</v>
      </c>
      <c r="H696" s="1" t="str">
        <f t="shared" si="21"/>
        <v/>
      </c>
      <c r="I696" s="1">
        <v>1.2E-2</v>
      </c>
      <c r="J696" s="1">
        <f>+D696-F696+I696*O696</f>
        <v>4.0480000000000002E-2</v>
      </c>
      <c r="K696" s="1">
        <v>3.4953758120536797E-2</v>
      </c>
      <c r="L696" s="1">
        <f>+K696-J696</f>
        <v>-5.5262418794632048E-3</v>
      </c>
      <c r="M696" s="1">
        <v>3.3953758120536699E-2</v>
      </c>
      <c r="N696" s="1">
        <f>+M696-J696</f>
        <v>-6.5262418794633029E-3</v>
      </c>
      <c r="O696">
        <v>2.29</v>
      </c>
      <c r="P696" t="s">
        <v>17</v>
      </c>
      <c r="Q696">
        <v>0</v>
      </c>
      <c r="R696">
        <v>2.3893021315336199E-2</v>
      </c>
      <c r="S696">
        <v>1.07394643127918E-2</v>
      </c>
      <c r="T696">
        <v>0</v>
      </c>
    </row>
    <row r="697" spans="1:20" x14ac:dyDescent="0.3">
      <c r="A697" t="s">
        <v>60</v>
      </c>
      <c r="B697">
        <v>2016</v>
      </c>
      <c r="C697">
        <v>634081.8125</v>
      </c>
      <c r="D697" s="1">
        <v>0</v>
      </c>
      <c r="E697" s="1">
        <v>0.95521342754364003</v>
      </c>
      <c r="F697" s="1">
        <v>-5.1999999999999998E-2</v>
      </c>
      <c r="G697" s="1">
        <f t="shared" si="20"/>
        <v>2.7000000000000003E-2</v>
      </c>
      <c r="H697" s="1" t="str">
        <f t="shared" si="21"/>
        <v/>
      </c>
      <c r="I697" s="1">
        <v>0</v>
      </c>
      <c r="J697" s="1">
        <f>+D697-F697+I697*O697</f>
        <v>5.1999999999999998E-2</v>
      </c>
      <c r="K697" s="1">
        <v>3.68930213153362E-2</v>
      </c>
      <c r="L697" s="1">
        <f>+K697-J697</f>
        <v>-1.5106978684663798E-2</v>
      </c>
      <c r="M697" s="1">
        <v>2.3893021315336199E-2</v>
      </c>
      <c r="N697" s="1">
        <f>+M697-J697</f>
        <v>-2.8106978684663799E-2</v>
      </c>
      <c r="O697">
        <v>2.17</v>
      </c>
      <c r="P697" t="s">
        <v>17</v>
      </c>
      <c r="Q697">
        <v>0.01</v>
      </c>
      <c r="R697">
        <v>7.0393231660127904E-3</v>
      </c>
      <c r="S697">
        <v>4.2497497051954998E-3</v>
      </c>
      <c r="T697">
        <v>-0.05</v>
      </c>
    </row>
    <row r="698" spans="1:20" x14ac:dyDescent="0.3">
      <c r="A698" t="s">
        <v>60</v>
      </c>
      <c r="B698">
        <v>2017</v>
      </c>
      <c r="C698">
        <v>645063.1875</v>
      </c>
      <c r="D698" s="1">
        <v>1.4E-2</v>
      </c>
      <c r="E698" s="1">
        <v>0.94787758588790905</v>
      </c>
      <c r="F698" s="1">
        <v>0.08</v>
      </c>
      <c r="G698" s="1">
        <f t="shared" si="20"/>
        <v>0.10700000000000001</v>
      </c>
      <c r="H698" s="1" t="str">
        <f t="shared" si="21"/>
        <v/>
      </c>
      <c r="I698" s="1">
        <v>-7.0000000000000001E-3</v>
      </c>
      <c r="J698" s="1">
        <f>+D698-F698+I698*O698</f>
        <v>-8.2380000000000009E-2</v>
      </c>
      <c r="K698" s="1">
        <v>2.8039323166012799E-2</v>
      </c>
      <c r="L698" s="1">
        <f>+K698-J698</f>
        <v>0.1104193231660128</v>
      </c>
      <c r="M698" s="1">
        <v>7.0393231660127904E-3</v>
      </c>
      <c r="N698" s="1">
        <f>+M698-J698</f>
        <v>8.9419323166012796E-2</v>
      </c>
      <c r="O698">
        <v>2.34</v>
      </c>
      <c r="P698" t="s">
        <v>17</v>
      </c>
      <c r="Q698">
        <v>0</v>
      </c>
      <c r="R698">
        <v>2.68199669420719E-2</v>
      </c>
      <c r="S698">
        <v>1.76849439740181E-2</v>
      </c>
      <c r="T698">
        <v>0.08</v>
      </c>
    </row>
    <row r="699" spans="1:20" x14ac:dyDescent="0.3">
      <c r="A699" t="s">
        <v>60</v>
      </c>
      <c r="B699">
        <v>2018</v>
      </c>
      <c r="C699">
        <v>654510.375</v>
      </c>
      <c r="D699" s="1">
        <v>1.7999999999999999E-2</v>
      </c>
      <c r="E699" s="1">
        <v>0.962488353252411</v>
      </c>
      <c r="F699" s="1">
        <v>-4.3999999999999997E-2</v>
      </c>
      <c r="G699" s="1">
        <f t="shared" si="20"/>
        <v>6.3000000000000014E-2</v>
      </c>
      <c r="H699" s="1" t="str">
        <f t="shared" si="21"/>
        <v/>
      </c>
      <c r="I699" s="1">
        <v>1.4999999999999999E-2</v>
      </c>
      <c r="J699" s="1">
        <f>+D699-F699+I699*O699</f>
        <v>9.5600000000000004E-2</v>
      </c>
      <c r="K699" s="1">
        <v>5.0819966942071901E-2</v>
      </c>
      <c r="L699" s="1">
        <f>+K699-J699</f>
        <v>-4.4780033057928104E-2</v>
      </c>
      <c r="M699" s="1">
        <v>2.68199669420719E-2</v>
      </c>
      <c r="N699" s="1">
        <f>+M699-J699</f>
        <v>-6.8780033057928097E-2</v>
      </c>
      <c r="O699">
        <v>2.2400000000000002</v>
      </c>
      <c r="P699" t="s">
        <v>17</v>
      </c>
      <c r="Q699">
        <v>0.02</v>
      </c>
      <c r="R699">
        <v>1.38438299000263E-2</v>
      </c>
      <c r="S699">
        <v>-3.9573647081852003E-3</v>
      </c>
      <c r="T699">
        <v>-0.03</v>
      </c>
    </row>
    <row r="700" spans="1:20" x14ac:dyDescent="0.3">
      <c r="A700" t="s">
        <v>60</v>
      </c>
      <c r="B700">
        <v>2019</v>
      </c>
      <c r="C700">
        <v>663863.25</v>
      </c>
      <c r="D700" s="1">
        <v>3.5999999999999997E-2</v>
      </c>
      <c r="E700" s="1">
        <v>0.92997163534164395</v>
      </c>
      <c r="F700" s="1">
        <v>3.5000000000000003E-2</v>
      </c>
      <c r="G700" s="1">
        <f t="shared" si="20"/>
        <v>9.8000000000000018E-2</v>
      </c>
      <c r="H700" s="1" t="str">
        <f t="shared" si="21"/>
        <v/>
      </c>
      <c r="I700" s="1">
        <v>-3.3000000000000002E-2</v>
      </c>
      <c r="J700" s="1">
        <f>+D700-F700+I700*O700</f>
        <v>-7.5560000000000016E-2</v>
      </c>
      <c r="K700" s="1">
        <v>3.1843829900026301E-2</v>
      </c>
      <c r="L700" s="1">
        <f>+K700-J700</f>
        <v>0.10740382990002631</v>
      </c>
      <c r="M700" s="1">
        <v>1.38438299000263E-2</v>
      </c>
      <c r="N700" s="1">
        <f>+M700-J700</f>
        <v>8.9403829900026321E-2</v>
      </c>
      <c r="O700">
        <v>2.3199999999999998</v>
      </c>
      <c r="P700" t="s">
        <v>17</v>
      </c>
      <c r="Q700">
        <v>0</v>
      </c>
      <c r="R700">
        <v>8.7931417971848901E-3</v>
      </c>
      <c r="S700">
        <v>-1.0056048631668099E-2</v>
      </c>
      <c r="T700">
        <v>0.04</v>
      </c>
    </row>
    <row r="701" spans="1:20" x14ac:dyDescent="0.3">
      <c r="A701" t="s">
        <v>60</v>
      </c>
      <c r="B701">
        <v>2020</v>
      </c>
      <c r="C701">
        <v>675686</v>
      </c>
      <c r="D701" s="1">
        <v>0.123</v>
      </c>
      <c r="E701" s="1">
        <v>0.90079659223556496</v>
      </c>
      <c r="F701" s="1">
        <v>-9.7000000000000003E-2</v>
      </c>
      <c r="G701" s="1">
        <f t="shared" si="20"/>
        <v>1.0000000000000148E-3</v>
      </c>
      <c r="H701" s="1" t="str">
        <f t="shared" si="21"/>
        <v/>
      </c>
      <c r="I701" s="1">
        <v>-2.9000000000000001E-2</v>
      </c>
      <c r="J701" s="1">
        <f>+D701-F701+I701*O701</f>
        <v>0.15939</v>
      </c>
      <c r="K701" s="1">
        <v>2.0793141797184899E-2</v>
      </c>
      <c r="L701" s="1">
        <f>+K701-J701</f>
        <v>-0.13859685820281512</v>
      </c>
      <c r="M701" s="1">
        <v>8.7931417971848901E-3</v>
      </c>
      <c r="N701" s="1">
        <f>+M701-J701</f>
        <v>-0.15059685820281513</v>
      </c>
      <c r="O701">
        <v>2.09</v>
      </c>
      <c r="P701" t="s">
        <v>16</v>
      </c>
      <c r="Q701">
        <v>-0.01</v>
      </c>
      <c r="R701">
        <v>8.8794401168822895E-2</v>
      </c>
      <c r="S701">
        <v>4.5204788446426003E-2</v>
      </c>
      <c r="T701">
        <v>-0.06</v>
      </c>
    </row>
    <row r="702" spans="1:20" x14ac:dyDescent="0.3">
      <c r="A702" t="s">
        <v>60</v>
      </c>
      <c r="B702">
        <v>2021</v>
      </c>
      <c r="C702">
        <v>692317.6875</v>
      </c>
      <c r="D702" s="1">
        <v>3.5999999999999997E-2</v>
      </c>
      <c r="E702" s="1">
        <v>0.96208178997039795</v>
      </c>
      <c r="F702" s="1">
        <v>0.109</v>
      </c>
      <c r="G702" s="1">
        <f t="shared" si="20"/>
        <v>0.11000000000000001</v>
      </c>
      <c r="H702" s="1" t="str">
        <f t="shared" si="21"/>
        <v/>
      </c>
      <c r="I702" s="1">
        <v>6.0999999999999999E-2</v>
      </c>
      <c r="J702" s="1">
        <f>+D702-F702+I702*O702</f>
        <v>6.851999999999997E-2</v>
      </c>
      <c r="K702" s="1">
        <v>0.13579440116882299</v>
      </c>
      <c r="L702" s="1">
        <f>+K702-J702</f>
        <v>6.7274401168823023E-2</v>
      </c>
      <c r="M702" s="1">
        <v>8.8794401168822895E-2</v>
      </c>
      <c r="N702" s="1">
        <f>+M702-J702</f>
        <v>2.0274401168822925E-2</v>
      </c>
      <c r="O702">
        <v>2.3199999999999998</v>
      </c>
      <c r="P702" t="s">
        <v>15</v>
      </c>
      <c r="Q702">
        <v>0.05</v>
      </c>
      <c r="R702">
        <v>-1.0473566055297799E-2</v>
      </c>
      <c r="S702">
        <v>2.1629940718412399E-2</v>
      </c>
      <c r="T702">
        <v>0.08</v>
      </c>
    </row>
    <row r="703" spans="1:20" x14ac:dyDescent="0.3">
      <c r="A703" t="s">
        <v>60</v>
      </c>
      <c r="B703">
        <v>2022</v>
      </c>
      <c r="C703">
        <v>711591</v>
      </c>
      <c r="D703" s="1">
        <v>5.3999999999999999E-2</v>
      </c>
      <c r="E703" s="1">
        <v>0.922721207141876</v>
      </c>
      <c r="F703" s="1">
        <v>-5.3999999999999999E-2</v>
      </c>
      <c r="G703" s="1">
        <f t="shared" si="20"/>
        <v>5.6000000000000015E-2</v>
      </c>
      <c r="H703" s="1" t="str">
        <f t="shared" si="21"/>
        <v/>
      </c>
      <c r="I703" s="1">
        <v>-3.9E-2</v>
      </c>
      <c r="J703" s="1">
        <f>+D703-F703+I703*O703</f>
        <v>2.2199999999999998E-2</v>
      </c>
      <c r="K703" s="1">
        <v>6.9526433944702107E-2</v>
      </c>
      <c r="L703" s="1">
        <f>+K703-J703</f>
        <v>4.7326433944702109E-2</v>
      </c>
      <c r="M703" s="1">
        <v>-1.0473566055297799E-2</v>
      </c>
      <c r="N703" s="1">
        <f>+M703-J703</f>
        <v>-3.2673566055297795E-2</v>
      </c>
      <c r="O703">
        <v>2.2000000000000002</v>
      </c>
      <c r="P703" t="s">
        <v>16</v>
      </c>
      <c r="Q703">
        <v>0.02</v>
      </c>
      <c r="R703">
        <v>-7.0316874220967301E-2</v>
      </c>
      <c r="S703">
        <v>-5.0757946446537999E-2</v>
      </c>
      <c r="T703">
        <v>-0.04</v>
      </c>
    </row>
    <row r="704" spans="1:20" x14ac:dyDescent="0.3">
      <c r="A704" t="s">
        <v>61</v>
      </c>
      <c r="B704">
        <v>2006</v>
      </c>
      <c r="C704">
        <v>2385183</v>
      </c>
      <c r="D704" s="1">
        <v>6.0000000000000001E-3</v>
      </c>
      <c r="E704" s="1">
        <v>0.92941576242446899</v>
      </c>
      <c r="F704" s="1">
        <v>5.0000000000000001E-3</v>
      </c>
      <c r="G704" s="1">
        <f t="shared" si="20"/>
        <v>5.0000000000000001E-3</v>
      </c>
      <c r="H704" s="1" t="str">
        <f t="shared" si="21"/>
        <v/>
      </c>
      <c r="I704" s="1">
        <v>1.2E-2</v>
      </c>
      <c r="J704" s="1">
        <f>+D704-F704+I704*O704</f>
        <v>2.6920000000000003E-2</v>
      </c>
      <c r="K704" s="1">
        <v>2.14310139417648E-2</v>
      </c>
      <c r="L704" s="1">
        <f>+K704-J704</f>
        <v>-5.4889860582352026E-3</v>
      </c>
      <c r="M704" s="1">
        <v>-1.05689860582352E-2</v>
      </c>
      <c r="N704" s="1">
        <f>+M704-J704</f>
        <v>-3.7488986058235203E-2</v>
      </c>
      <c r="O704">
        <v>2.16</v>
      </c>
      <c r="P704" t="s">
        <v>15</v>
      </c>
      <c r="Q704">
        <v>-0.02</v>
      </c>
      <c r="R704">
        <v>7.1772738397120998E-3</v>
      </c>
      <c r="S704">
        <v>8.0990297719835992E-3</v>
      </c>
      <c r="T704">
        <v>0</v>
      </c>
    </row>
    <row r="705" spans="1:20" x14ac:dyDescent="0.3">
      <c r="A705" t="s">
        <v>61</v>
      </c>
      <c r="B705">
        <v>2007</v>
      </c>
      <c r="C705">
        <v>2429991</v>
      </c>
      <c r="D705" s="1">
        <v>1.2E-2</v>
      </c>
      <c r="E705" s="1">
        <v>0.92811191082000699</v>
      </c>
      <c r="F705" s="1">
        <v>1.7000000000000001E-2</v>
      </c>
      <c r="G705" s="1">
        <f t="shared" si="20"/>
        <v>2.2000000000000002E-2</v>
      </c>
      <c r="H705" s="1" t="str">
        <f t="shared" si="21"/>
        <v/>
      </c>
      <c r="I705" s="1">
        <v>-1E-3</v>
      </c>
      <c r="J705" s="1">
        <f>+D705-F705+I705*O705</f>
        <v>-7.2000000000000015E-3</v>
      </c>
      <c r="K705" s="1">
        <v>3.6177273839712101E-2</v>
      </c>
      <c r="L705" s="1">
        <f>+K705-J705</f>
        <v>4.3377273839712099E-2</v>
      </c>
      <c r="M705" s="1">
        <v>7.1772738397120998E-3</v>
      </c>
      <c r="N705" s="1">
        <f>+M705-J705</f>
        <v>1.4377273839712101E-2</v>
      </c>
      <c r="O705">
        <v>2.2000000000000002</v>
      </c>
      <c r="P705" t="s">
        <v>17</v>
      </c>
      <c r="Q705">
        <v>0.01</v>
      </c>
      <c r="R705">
        <v>-2.1552223071456E-2</v>
      </c>
      <c r="S705">
        <v>7.9585812054574004E-3</v>
      </c>
      <c r="T705">
        <v>0.02</v>
      </c>
    </row>
    <row r="706" spans="1:20" x14ac:dyDescent="0.3">
      <c r="A706" t="s">
        <v>61</v>
      </c>
      <c r="B706">
        <v>2008</v>
      </c>
      <c r="C706">
        <v>2475438</v>
      </c>
      <c r="D706" s="1">
        <v>1.4999999999999999E-2</v>
      </c>
      <c r="E706" s="1">
        <v>0.91626143455505404</v>
      </c>
      <c r="F706" s="1">
        <v>-1.9E-2</v>
      </c>
      <c r="G706" s="1">
        <f t="shared" si="20"/>
        <v>3.0000000000000027E-3</v>
      </c>
      <c r="H706" s="1" t="str">
        <f t="shared" si="21"/>
        <v/>
      </c>
      <c r="I706" s="1">
        <v>-1.2E-2</v>
      </c>
      <c r="J706" s="1">
        <f>+D706-F706+I706*O706</f>
        <v>8.0800000000000004E-3</v>
      </c>
      <c r="K706" s="1">
        <v>1.6447776928543999E-2</v>
      </c>
      <c r="L706" s="1">
        <f>+K706-J706</f>
        <v>8.367776928543999E-3</v>
      </c>
      <c r="M706" s="1">
        <v>-2.1552223071456E-2</v>
      </c>
      <c r="N706" s="1">
        <f>+M706-J706</f>
        <v>-2.9632223071456E-2</v>
      </c>
      <c r="O706">
        <v>2.16</v>
      </c>
      <c r="P706" t="s">
        <v>16</v>
      </c>
      <c r="Q706">
        <v>0.01</v>
      </c>
      <c r="R706">
        <v>-3.8591337114572397E-2</v>
      </c>
      <c r="S706">
        <v>-1.20246354490518E-2</v>
      </c>
      <c r="T706">
        <v>-0.02</v>
      </c>
    </row>
    <row r="707" spans="1:20" x14ac:dyDescent="0.3">
      <c r="A707" t="s">
        <v>61</v>
      </c>
      <c r="B707">
        <v>2009</v>
      </c>
      <c r="C707">
        <v>2520739</v>
      </c>
      <c r="D707" s="1">
        <v>0.02</v>
      </c>
      <c r="E707" s="1">
        <v>0.91566562652587902</v>
      </c>
      <c r="F707" s="1">
        <v>3.5999999999999997E-2</v>
      </c>
      <c r="G707" s="1">
        <f t="shared" si="20"/>
        <v>3.9E-2</v>
      </c>
      <c r="H707" s="1" t="str">
        <f t="shared" si="21"/>
        <v/>
      </c>
      <c r="I707" s="1">
        <v>-1E-3</v>
      </c>
      <c r="J707" s="1">
        <f>+D707-F707+I707*O707</f>
        <v>-1.8229999999999996E-2</v>
      </c>
      <c r="K707" s="1">
        <v>-4.2591337114572497E-2</v>
      </c>
      <c r="L707" s="1">
        <f>+K707-J707</f>
        <v>-2.4361337114572501E-2</v>
      </c>
      <c r="M707" s="1">
        <v>-3.8591337114572397E-2</v>
      </c>
      <c r="N707" s="1">
        <f>+M707-J707</f>
        <v>-2.03613371145724E-2</v>
      </c>
      <c r="O707">
        <v>2.23</v>
      </c>
      <c r="P707" t="s">
        <v>17</v>
      </c>
      <c r="Q707">
        <v>-0.01</v>
      </c>
      <c r="R707">
        <v>2.7605271726846702E-2</v>
      </c>
      <c r="S707">
        <v>3.70653804857283E-2</v>
      </c>
      <c r="T707">
        <v>0.02</v>
      </c>
    </row>
    <row r="708" spans="1:20" x14ac:dyDescent="0.3">
      <c r="A708" t="s">
        <v>61</v>
      </c>
      <c r="B708">
        <v>2010</v>
      </c>
      <c r="C708">
        <v>2565782</v>
      </c>
      <c r="D708" s="1">
        <v>5.0000000000000001E-3</v>
      </c>
      <c r="E708" s="1">
        <v>0.93138557672500599</v>
      </c>
      <c r="F708" s="1">
        <v>1.7000000000000001E-2</v>
      </c>
      <c r="G708" s="1">
        <f t="shared" si="20"/>
        <v>5.6000000000000001E-2</v>
      </c>
      <c r="H708" s="1" t="str">
        <f t="shared" si="21"/>
        <v/>
      </c>
      <c r="I708" s="1">
        <v>1.6E-2</v>
      </c>
      <c r="J708" s="1">
        <f>+D708-F708+I708*O708</f>
        <v>2.4319999999999998E-2</v>
      </c>
      <c r="K708" s="1">
        <v>4.3605271726846702E-2</v>
      </c>
      <c r="L708" s="1">
        <f>+K708-J708</f>
        <v>1.9285271726846704E-2</v>
      </c>
      <c r="M708" s="1">
        <v>2.7605271726846702E-2</v>
      </c>
      <c r="N708" s="1">
        <f>+M708-J708</f>
        <v>3.2852717268467037E-3</v>
      </c>
      <c r="O708">
        <v>2.27</v>
      </c>
      <c r="P708" t="s">
        <v>15</v>
      </c>
      <c r="Q708">
        <v>0.04</v>
      </c>
      <c r="R708">
        <v>-5.3195863664150002E-3</v>
      </c>
      <c r="S708">
        <v>1.59641881473363E-2</v>
      </c>
      <c r="T708">
        <v>0.01</v>
      </c>
    </row>
    <row r="709" spans="1:20" x14ac:dyDescent="0.3">
      <c r="A709" t="s">
        <v>61</v>
      </c>
      <c r="B709">
        <v>2011</v>
      </c>
      <c r="C709">
        <v>2611694</v>
      </c>
      <c r="D709" s="1">
        <v>0</v>
      </c>
      <c r="E709" s="1">
        <v>0.93465977907180797</v>
      </c>
      <c r="F709" s="1">
        <v>-1.2999999999999999E-2</v>
      </c>
      <c r="G709" s="1">
        <f t="shared" si="20"/>
        <v>4.3000000000000003E-2</v>
      </c>
      <c r="H709" s="1" t="str">
        <f t="shared" si="21"/>
        <v/>
      </c>
      <c r="I709" s="1">
        <v>3.0000000000000001E-3</v>
      </c>
      <c r="J709" s="1">
        <f>+D709-F709+I709*O709</f>
        <v>1.9720000000000001E-2</v>
      </c>
      <c r="K709" s="1">
        <v>2.6680413633585E-2</v>
      </c>
      <c r="L709" s="1">
        <f>+K709-J709</f>
        <v>6.9604136335849991E-3</v>
      </c>
      <c r="M709" s="1">
        <v>-5.3195863664150002E-3</v>
      </c>
      <c r="N709" s="1">
        <f>+M709-J709</f>
        <v>-2.5039586366415002E-2</v>
      </c>
      <c r="O709">
        <v>2.2400000000000002</v>
      </c>
      <c r="P709" t="s">
        <v>17</v>
      </c>
      <c r="Q709">
        <v>0.02</v>
      </c>
      <c r="R709">
        <v>1.8165083318948599E-2</v>
      </c>
      <c r="S709">
        <v>2.3603289388120001E-2</v>
      </c>
      <c r="T709">
        <v>-0.01</v>
      </c>
    </row>
    <row r="710" spans="1:20" x14ac:dyDescent="0.3">
      <c r="A710" t="s">
        <v>61</v>
      </c>
      <c r="B710">
        <v>2012</v>
      </c>
      <c r="C710">
        <v>2658167</v>
      </c>
      <c r="D710" s="1">
        <v>1.0999999999999999E-2</v>
      </c>
      <c r="E710" s="1">
        <v>0.94649666547775302</v>
      </c>
      <c r="F710" s="1">
        <v>3.1E-2</v>
      </c>
      <c r="G710" s="1">
        <f t="shared" si="20"/>
        <v>7.400000000000001E-2</v>
      </c>
      <c r="H710" s="1" t="str">
        <f t="shared" si="21"/>
        <v/>
      </c>
      <c r="I710" s="1">
        <v>1.2E-2</v>
      </c>
      <c r="J710" s="1">
        <f>+D710-F710+I710*O710</f>
        <v>7.7200000000000012E-3</v>
      </c>
      <c r="K710" s="1">
        <v>3.9165083318948697E-2</v>
      </c>
      <c r="L710" s="1">
        <f>+K710-J710</f>
        <v>3.1445083318948699E-2</v>
      </c>
      <c r="M710" s="1">
        <v>1.8165083318948599E-2</v>
      </c>
      <c r="N710" s="1">
        <f>+M710-J710</f>
        <v>1.0445083318948598E-2</v>
      </c>
      <c r="O710">
        <v>2.31</v>
      </c>
      <c r="P710" t="s">
        <v>15</v>
      </c>
      <c r="Q710">
        <v>0.02</v>
      </c>
      <c r="R710">
        <v>2.7364813387394001E-2</v>
      </c>
      <c r="S710">
        <v>2.12380420416594E-2</v>
      </c>
      <c r="T710">
        <v>0.03</v>
      </c>
    </row>
    <row r="711" spans="1:20" x14ac:dyDescent="0.3">
      <c r="A711" t="s">
        <v>61</v>
      </c>
      <c r="B711">
        <v>2013</v>
      </c>
      <c r="C711">
        <v>2706927</v>
      </c>
      <c r="D711" s="1">
        <v>1.7999999999999999E-2</v>
      </c>
      <c r="E711" s="1">
        <v>0.94569063186645497</v>
      </c>
      <c r="F711" s="1">
        <v>-1.0999999999999999E-2</v>
      </c>
      <c r="G711" s="1">
        <f t="shared" ref="G711:G774" si="22">SUMIFS(F:F,A:A,A711,B:B,"&lt;="&amp;B711)</f>
        <v>6.3000000000000014E-2</v>
      </c>
      <c r="H711" s="1" t="str">
        <f t="shared" ref="H711:H774" si="23">IFERROR(IF(ABS(G711)&gt;0.12,AVERAGEIFS(K:K,A:A,A711,B:B,"&gt;"&amp;B711,B:B,"&lt;"&amp;B711+3),""),"")</f>
        <v/>
      </c>
      <c r="I711" s="1">
        <v>-1E-3</v>
      </c>
      <c r="J711" s="1">
        <f>+D711-F711+I711*O711</f>
        <v>2.6709999999999998E-2</v>
      </c>
      <c r="K711" s="1">
        <v>4.2364813387394E-2</v>
      </c>
      <c r="L711" s="1">
        <f>+K711-J711</f>
        <v>1.5654813387394002E-2</v>
      </c>
      <c r="M711" s="1">
        <v>2.7364813387394001E-2</v>
      </c>
      <c r="N711" s="1">
        <f>+M711-J711</f>
        <v>6.5481338739400291E-4</v>
      </c>
      <c r="O711">
        <v>2.29</v>
      </c>
      <c r="P711" t="s">
        <v>16</v>
      </c>
      <c r="Q711">
        <v>0.02</v>
      </c>
      <c r="R711">
        <v>2.56496619582176E-2</v>
      </c>
      <c r="S711">
        <v>2.3641638457775099E-2</v>
      </c>
      <c r="T711">
        <v>-0.02</v>
      </c>
    </row>
    <row r="712" spans="1:20" x14ac:dyDescent="0.3">
      <c r="A712" t="s">
        <v>61</v>
      </c>
      <c r="B712">
        <v>2014</v>
      </c>
      <c r="C712">
        <v>2760078</v>
      </c>
      <c r="D712" s="1">
        <v>4.3999999999999997E-2</v>
      </c>
      <c r="E712" s="1">
        <v>0.93965232372283902</v>
      </c>
      <c r="F712" s="1">
        <v>1.4999999999999999E-2</v>
      </c>
      <c r="G712" s="1">
        <f t="shared" si="22"/>
        <v>7.8000000000000014E-2</v>
      </c>
      <c r="H712" s="1" t="str">
        <f t="shared" si="23"/>
        <v/>
      </c>
      <c r="I712" s="1">
        <v>-6.0000000000000001E-3</v>
      </c>
      <c r="J712" s="1">
        <f>+D712-F712+I712*O712</f>
        <v>1.5079999999999998E-2</v>
      </c>
      <c r="K712" s="1">
        <v>4.16496619582176E-2</v>
      </c>
      <c r="L712" s="1">
        <f>+K712-J712</f>
        <v>2.6569661958217604E-2</v>
      </c>
      <c r="M712" s="1">
        <v>2.56496619582176E-2</v>
      </c>
      <c r="N712" s="1">
        <f>+M712-J712</f>
        <v>1.0569661958217602E-2</v>
      </c>
      <c r="O712">
        <v>2.3199999999999998</v>
      </c>
      <c r="P712" t="s">
        <v>17</v>
      </c>
      <c r="Q712">
        <v>0.02</v>
      </c>
      <c r="R712">
        <v>5.1809335291385698E-2</v>
      </c>
      <c r="S712">
        <v>2.1545883268117998E-2</v>
      </c>
      <c r="T712">
        <v>0.01</v>
      </c>
    </row>
    <row r="713" spans="1:20" x14ac:dyDescent="0.3">
      <c r="A713" t="s">
        <v>61</v>
      </c>
      <c r="B713">
        <v>2015</v>
      </c>
      <c r="C713">
        <v>2813115</v>
      </c>
      <c r="D713" s="1">
        <v>4.2999999999999997E-2</v>
      </c>
      <c r="E713" s="1">
        <v>0.93718242645263705</v>
      </c>
      <c r="F713" s="1">
        <v>-1E-3</v>
      </c>
      <c r="G713" s="1">
        <f t="shared" si="22"/>
        <v>7.7000000000000013E-2</v>
      </c>
      <c r="H713" s="1" t="str">
        <f t="shared" si="23"/>
        <v/>
      </c>
      <c r="I713" s="1">
        <v>-2E-3</v>
      </c>
      <c r="J713" s="1">
        <f>+D713-F713+I713*O713</f>
        <v>3.9359999999999999E-2</v>
      </c>
      <c r="K713" s="1">
        <v>5.2809335291385699E-2</v>
      </c>
      <c r="L713" s="1">
        <f>+K713-J713</f>
        <v>1.34493352913857E-2</v>
      </c>
      <c r="M713" s="1">
        <v>5.1809335291385698E-2</v>
      </c>
      <c r="N713" s="1">
        <f>+M713-J713</f>
        <v>1.2449335291385699E-2</v>
      </c>
      <c r="O713">
        <v>2.3199999999999998</v>
      </c>
      <c r="P713" t="s">
        <v>16</v>
      </c>
      <c r="Q713">
        <v>0.02</v>
      </c>
      <c r="R713">
        <v>5.3209758251904996E-3</v>
      </c>
      <c r="S713">
        <v>-7.8325811773539006E-3</v>
      </c>
      <c r="T713">
        <v>0.01</v>
      </c>
    </row>
    <row r="714" spans="1:20" x14ac:dyDescent="0.3">
      <c r="A714" t="s">
        <v>61</v>
      </c>
      <c r="B714">
        <v>2016</v>
      </c>
      <c r="C714">
        <v>2852935</v>
      </c>
      <c r="D714" s="1">
        <v>2.8000000000000001E-2</v>
      </c>
      <c r="E714" s="1">
        <v>0.92610472440719604</v>
      </c>
      <c r="F714" s="1">
        <v>1E-3</v>
      </c>
      <c r="G714" s="1">
        <f t="shared" si="22"/>
        <v>7.8000000000000014E-2</v>
      </c>
      <c r="H714" s="1" t="str">
        <f t="shared" si="23"/>
        <v/>
      </c>
      <c r="I714" s="1">
        <v>-1.0999999999999999E-2</v>
      </c>
      <c r="J714" s="1">
        <f>+D714-F714+I714*O714</f>
        <v>1.4800000000000021E-3</v>
      </c>
      <c r="K714" s="1">
        <v>1.8320975825190499E-2</v>
      </c>
      <c r="L714" s="1">
        <f>+K714-J714</f>
        <v>1.6840975825190497E-2</v>
      </c>
      <c r="M714" s="1">
        <v>5.3209758251904996E-3</v>
      </c>
      <c r="N714" s="1">
        <f>+M714-J714</f>
        <v>3.8409758251904975E-3</v>
      </c>
      <c r="O714">
        <v>2.3199999999999998</v>
      </c>
      <c r="P714" t="s">
        <v>17</v>
      </c>
      <c r="Q714">
        <v>-0.01</v>
      </c>
      <c r="R714">
        <v>4.8286241441964899E-3</v>
      </c>
      <c r="S714">
        <v>2.0390506833792002E-3</v>
      </c>
      <c r="T714">
        <v>0</v>
      </c>
    </row>
    <row r="715" spans="1:20" x14ac:dyDescent="0.3">
      <c r="A715" t="s">
        <v>61</v>
      </c>
      <c r="B715">
        <v>2017</v>
      </c>
      <c r="C715">
        <v>2887072</v>
      </c>
      <c r="D715" s="1">
        <v>4.2000000000000003E-2</v>
      </c>
      <c r="E715" s="1">
        <v>0.92054426670074496</v>
      </c>
      <c r="F715" s="1">
        <v>-3.4000000000000002E-2</v>
      </c>
      <c r="G715" s="1">
        <f t="shared" si="22"/>
        <v>4.4000000000000011E-2</v>
      </c>
      <c r="H715" s="1" t="str">
        <f t="shared" si="23"/>
        <v/>
      </c>
      <c r="I715" s="1">
        <v>-6.0000000000000001E-3</v>
      </c>
      <c r="J715" s="1">
        <f>+D715-F715+I715*O715</f>
        <v>6.2560000000000004E-2</v>
      </c>
      <c r="K715" s="1">
        <v>2.58286241441965E-2</v>
      </c>
      <c r="L715" s="1">
        <f>+K715-J715</f>
        <v>-3.6731375855803508E-2</v>
      </c>
      <c r="M715" s="1">
        <v>4.8286241441964899E-3</v>
      </c>
      <c r="N715" s="1">
        <f>+M715-J715</f>
        <v>-5.7731375855803513E-2</v>
      </c>
      <c r="O715">
        <v>2.2400000000000002</v>
      </c>
      <c r="P715" t="s">
        <v>16</v>
      </c>
      <c r="Q715">
        <v>0</v>
      </c>
      <c r="R715">
        <v>1.26117879748344E-2</v>
      </c>
      <c r="S715">
        <v>3.4767650067806001E-3</v>
      </c>
      <c r="T715">
        <v>-0.03</v>
      </c>
    </row>
    <row r="716" spans="1:20" x14ac:dyDescent="0.3">
      <c r="A716" t="s">
        <v>61</v>
      </c>
      <c r="B716">
        <v>2018</v>
      </c>
      <c r="C716">
        <v>2922716</v>
      </c>
      <c r="D716" s="1">
        <v>4.5999999999999999E-2</v>
      </c>
      <c r="E716" s="1">
        <v>0.92490065097808805</v>
      </c>
      <c r="F716" s="1">
        <v>-1.6E-2</v>
      </c>
      <c r="G716" s="1">
        <f t="shared" si="22"/>
        <v>2.8000000000000011E-2</v>
      </c>
      <c r="H716" s="1" t="str">
        <f t="shared" si="23"/>
        <v/>
      </c>
      <c r="I716" s="1">
        <v>4.0000000000000001E-3</v>
      </c>
      <c r="J716" s="1">
        <f>+D716-F716+I716*O716</f>
        <v>7.084E-2</v>
      </c>
      <c r="K716" s="1">
        <v>3.6611787974834401E-2</v>
      </c>
      <c r="L716" s="1">
        <f>+K716-J716</f>
        <v>-3.42282120251656E-2</v>
      </c>
      <c r="M716" s="1">
        <v>1.26117879748344E-2</v>
      </c>
      <c r="N716" s="1">
        <f>+M716-J716</f>
        <v>-5.82282120251656E-2</v>
      </c>
      <c r="O716">
        <v>2.21</v>
      </c>
      <c r="P716" t="s">
        <v>17</v>
      </c>
      <c r="Q716">
        <v>0</v>
      </c>
      <c r="R716">
        <v>1.0527101501822501E-2</v>
      </c>
      <c r="S716">
        <v>-7.2740931063889997E-3</v>
      </c>
      <c r="T716">
        <v>-0.01</v>
      </c>
    </row>
    <row r="717" spans="1:20" x14ac:dyDescent="0.3">
      <c r="A717" t="s">
        <v>61</v>
      </c>
      <c r="B717">
        <v>2019</v>
      </c>
      <c r="C717">
        <v>2950935</v>
      </c>
      <c r="D717" s="1">
        <v>3.9E-2</v>
      </c>
      <c r="E717" s="1">
        <v>0.92134112119674705</v>
      </c>
      <c r="F717" s="1">
        <v>-8.9999999999999993E-3</v>
      </c>
      <c r="G717" s="1">
        <f t="shared" si="22"/>
        <v>1.900000000000001E-2</v>
      </c>
      <c r="H717" s="1" t="str">
        <f t="shared" si="23"/>
        <v/>
      </c>
      <c r="I717" s="1">
        <v>-4.0000000000000001E-3</v>
      </c>
      <c r="J717" s="1">
        <f>+D717-F717+I717*O717</f>
        <v>3.9239999999999997E-2</v>
      </c>
      <c r="K717" s="1">
        <v>2.8527101501822499E-2</v>
      </c>
      <c r="L717" s="1">
        <f>+K717-J717</f>
        <v>-1.0712898498177498E-2</v>
      </c>
      <c r="M717" s="1">
        <v>1.0527101501822501E-2</v>
      </c>
      <c r="N717" s="1">
        <f>+M717-J717</f>
        <v>-2.8712898498177496E-2</v>
      </c>
      <c r="O717">
        <v>2.19</v>
      </c>
      <c r="P717" t="s">
        <v>16</v>
      </c>
      <c r="Q717">
        <v>-0.01</v>
      </c>
      <c r="R717">
        <v>-9.0773169770836798E-3</v>
      </c>
      <c r="S717">
        <v>-2.79265074059366E-2</v>
      </c>
      <c r="T717">
        <v>0</v>
      </c>
    </row>
    <row r="718" spans="1:20" x14ac:dyDescent="0.3">
      <c r="A718" t="s">
        <v>61</v>
      </c>
      <c r="B718">
        <v>2020</v>
      </c>
      <c r="C718">
        <v>2972191</v>
      </c>
      <c r="D718" s="1">
        <v>0.03</v>
      </c>
      <c r="E718" s="1">
        <v>0.92346256971359297</v>
      </c>
      <c r="F718" s="1">
        <v>-0.05</v>
      </c>
      <c r="G718" s="1">
        <f t="shared" si="22"/>
        <v>-3.0999999999999993E-2</v>
      </c>
      <c r="H718" s="1" t="str">
        <f t="shared" si="23"/>
        <v/>
      </c>
      <c r="I718" s="1">
        <v>2E-3</v>
      </c>
      <c r="J718" s="1">
        <f>+D718-F718+I718*O718</f>
        <v>8.4159999999999999E-2</v>
      </c>
      <c r="K718" s="1">
        <v>2.92268302291632E-3</v>
      </c>
      <c r="L718" s="1">
        <f>+K718-J718</f>
        <v>-8.1237316977083682E-2</v>
      </c>
      <c r="M718" s="1">
        <v>-9.0773169770836798E-3</v>
      </c>
      <c r="N718" s="1">
        <f>+M718-J718</f>
        <v>-9.3237316977083678E-2</v>
      </c>
      <c r="O718">
        <v>2.08</v>
      </c>
      <c r="P718" t="s">
        <v>17</v>
      </c>
      <c r="Q718">
        <v>-0.03</v>
      </c>
      <c r="R718">
        <v>6.8908473730087003E-2</v>
      </c>
      <c r="S718">
        <v>2.5318861007689999E-2</v>
      </c>
      <c r="T718">
        <v>-0.01</v>
      </c>
    </row>
    <row r="719" spans="1:20" x14ac:dyDescent="0.3">
      <c r="A719" t="s">
        <v>61</v>
      </c>
      <c r="B719">
        <v>2021</v>
      </c>
      <c r="C719">
        <v>2981072</v>
      </c>
      <c r="D719" s="1">
        <v>3.6999999999999998E-2</v>
      </c>
      <c r="E719" s="1">
        <v>0.93273788690567005</v>
      </c>
      <c r="F719" s="1">
        <v>0.01</v>
      </c>
      <c r="G719" s="1">
        <f t="shared" si="22"/>
        <v>-2.0999999999999991E-2</v>
      </c>
      <c r="H719" s="1" t="str">
        <f t="shared" si="23"/>
        <v/>
      </c>
      <c r="I719" s="1">
        <v>8.9999999999999993E-3</v>
      </c>
      <c r="J719" s="1">
        <f>+D719-F719+I719*O719</f>
        <v>4.5899999999999996E-2</v>
      </c>
      <c r="K719" s="1">
        <v>0.115908473730087</v>
      </c>
      <c r="L719" s="1">
        <f>+K719-J719</f>
        <v>7.0008473730087006E-2</v>
      </c>
      <c r="M719" s="1">
        <v>6.8908473730087003E-2</v>
      </c>
      <c r="N719" s="1">
        <f>+M719-J719</f>
        <v>2.3008473730087006E-2</v>
      </c>
      <c r="O719">
        <v>2.1</v>
      </c>
      <c r="P719" t="s">
        <v>15</v>
      </c>
      <c r="Q719">
        <v>0.03</v>
      </c>
      <c r="R719">
        <v>-4.4062601327896099E-2</v>
      </c>
      <c r="S719">
        <v>-1.1959094554185701E-2</v>
      </c>
      <c r="T719">
        <v>-0.02</v>
      </c>
    </row>
    <row r="720" spans="1:20" x14ac:dyDescent="0.3">
      <c r="A720" t="s">
        <v>61</v>
      </c>
      <c r="B720">
        <v>2022</v>
      </c>
      <c r="C720">
        <v>2998424</v>
      </c>
      <c r="D720" s="1">
        <v>3.4000000000000002E-2</v>
      </c>
      <c r="E720" s="1">
        <v>0.92496645450591997</v>
      </c>
      <c r="F720" s="1">
        <v>-1.2E-2</v>
      </c>
      <c r="G720" s="1">
        <f t="shared" si="22"/>
        <v>-3.2999999999999988E-2</v>
      </c>
      <c r="H720" s="1" t="str">
        <f t="shared" si="23"/>
        <v/>
      </c>
      <c r="I720" s="1">
        <v>-8.0000000000000002E-3</v>
      </c>
      <c r="J720" s="1">
        <f>+D720-F720+I720*O720</f>
        <v>2.9440000000000001E-2</v>
      </c>
      <c r="K720" s="1">
        <v>3.5937398672103903E-2</v>
      </c>
      <c r="L720" s="1">
        <f>+K720-J720</f>
        <v>6.4973986721039018E-3</v>
      </c>
      <c r="M720" s="1">
        <v>-4.4062601327896099E-2</v>
      </c>
      <c r="N720" s="1">
        <f>+M720-J720</f>
        <v>-7.35026013278961E-2</v>
      </c>
      <c r="O720">
        <v>2.0699999999999998</v>
      </c>
      <c r="P720" t="s">
        <v>16</v>
      </c>
      <c r="Q720">
        <v>-0.01</v>
      </c>
      <c r="R720">
        <v>-3.10180120021104E-2</v>
      </c>
      <c r="S720">
        <v>-1.1459084227681099E-2</v>
      </c>
      <c r="T720">
        <v>0</v>
      </c>
    </row>
    <row r="721" spans="1:20" x14ac:dyDescent="0.3">
      <c r="A721" t="s">
        <v>62</v>
      </c>
      <c r="B721">
        <v>2006</v>
      </c>
      <c r="C721">
        <v>4401304</v>
      </c>
      <c r="D721" s="1">
        <v>0</v>
      </c>
      <c r="E721" s="1">
        <v>0.92175990343093905</v>
      </c>
      <c r="F721" s="1">
        <v>-1.2999999999999999E-2</v>
      </c>
      <c r="G721" s="1">
        <f t="shared" si="22"/>
        <v>-1.2999999999999999E-2</v>
      </c>
      <c r="H721" s="1" t="str">
        <f t="shared" si="23"/>
        <v/>
      </c>
      <c r="I721" s="1">
        <v>-1E-3</v>
      </c>
      <c r="J721" s="1">
        <f>+D721-F721+I721*O721</f>
        <v>1.0839999999999999E-2</v>
      </c>
      <c r="K721" s="1">
        <v>1.9514554878696799E-3</v>
      </c>
      <c r="L721" s="1">
        <f>+K721-J721</f>
        <v>-8.888544512130319E-3</v>
      </c>
      <c r="M721" s="1">
        <v>-3.00485445121303E-2</v>
      </c>
      <c r="N721" s="1">
        <f>+M721-J721</f>
        <v>-4.0888544512130295E-2</v>
      </c>
      <c r="O721">
        <v>2.16</v>
      </c>
      <c r="P721" t="s">
        <v>16</v>
      </c>
      <c r="Q721">
        <v>-0.04</v>
      </c>
      <c r="R721">
        <v>-3.5488719489425398E-2</v>
      </c>
      <c r="S721">
        <v>-3.4566963557153899E-2</v>
      </c>
      <c r="T721">
        <v>-0.01</v>
      </c>
    </row>
    <row r="722" spans="1:20" x14ac:dyDescent="0.3">
      <c r="A722" t="s">
        <v>62</v>
      </c>
      <c r="B722">
        <v>2007</v>
      </c>
      <c r="C722">
        <v>4367684</v>
      </c>
      <c r="D722" s="1">
        <v>3.0000000000000001E-3</v>
      </c>
      <c r="E722" s="1">
        <v>0.91950678825378396</v>
      </c>
      <c r="F722" s="1">
        <v>2.5000000000000001E-2</v>
      </c>
      <c r="G722" s="1">
        <f t="shared" si="22"/>
        <v>1.2000000000000002E-2</v>
      </c>
      <c r="H722" s="1" t="str">
        <f t="shared" si="23"/>
        <v/>
      </c>
      <c r="I722" s="1">
        <v>-2E-3</v>
      </c>
      <c r="J722" s="1">
        <f>+D722-F722+I722*O722</f>
        <v>-2.6420000000000003E-2</v>
      </c>
      <c r="K722" s="1">
        <v>-6.4887194894254199E-3</v>
      </c>
      <c r="L722" s="1">
        <f>+K722-J722</f>
        <v>1.9931280510574582E-2</v>
      </c>
      <c r="M722" s="1">
        <v>-3.5488719489425398E-2</v>
      </c>
      <c r="N722" s="1">
        <f>+M722-J722</f>
        <v>-9.0687194894253954E-3</v>
      </c>
      <c r="O722">
        <v>2.21</v>
      </c>
      <c r="P722" t="s">
        <v>17</v>
      </c>
      <c r="Q722">
        <v>-0.03</v>
      </c>
      <c r="R722">
        <v>-3.8565677939448498E-2</v>
      </c>
      <c r="S722">
        <v>-9.0548736625350994E-3</v>
      </c>
      <c r="T722">
        <v>0.02</v>
      </c>
    </row>
    <row r="723" spans="1:20" x14ac:dyDescent="0.3">
      <c r="A723" t="s">
        <v>62</v>
      </c>
      <c r="B723">
        <v>2008</v>
      </c>
      <c r="C723">
        <v>4332744</v>
      </c>
      <c r="D723" s="1">
        <v>2E-3</v>
      </c>
      <c r="E723" s="1">
        <v>0.91991215944290206</v>
      </c>
      <c r="F723" s="1">
        <v>8.0000000000000002E-3</v>
      </c>
      <c r="G723" s="1">
        <f t="shared" si="22"/>
        <v>2.0000000000000004E-2</v>
      </c>
      <c r="H723" s="1" t="str">
        <f t="shared" si="23"/>
        <v/>
      </c>
      <c r="I723" s="1">
        <v>0</v>
      </c>
      <c r="J723" s="1">
        <f>+D723-F723+I723*O723</f>
        <v>-6.0000000000000001E-3</v>
      </c>
      <c r="K723" s="1">
        <v>-5.6567793944850597E-4</v>
      </c>
      <c r="L723" s="1">
        <f>+K723-J723</f>
        <v>5.4343220605514945E-3</v>
      </c>
      <c r="M723" s="1">
        <v>-3.8565677939448498E-2</v>
      </c>
      <c r="N723" s="1">
        <f>+M723-J723</f>
        <v>-3.2565677939448499E-2</v>
      </c>
      <c r="O723">
        <v>2.23</v>
      </c>
      <c r="P723" t="s">
        <v>15</v>
      </c>
      <c r="Q723">
        <v>-0.01</v>
      </c>
      <c r="R723">
        <v>-1.9257169872522399E-2</v>
      </c>
      <c r="S723">
        <v>7.3095317929982497E-3</v>
      </c>
      <c r="T723">
        <v>0.01</v>
      </c>
    </row>
    <row r="724" spans="1:20" x14ac:dyDescent="0.3">
      <c r="A724" t="s">
        <v>62</v>
      </c>
      <c r="B724">
        <v>2009</v>
      </c>
      <c r="C724">
        <v>4307412</v>
      </c>
      <c r="D724" s="1">
        <v>3.0000000000000001E-3</v>
      </c>
      <c r="E724" s="1">
        <v>0.91438645124435403</v>
      </c>
      <c r="F724" s="1">
        <v>2.3E-2</v>
      </c>
      <c r="G724" s="1">
        <f t="shared" si="22"/>
        <v>4.3000000000000003E-2</v>
      </c>
      <c r="H724" s="1" t="str">
        <f t="shared" si="23"/>
        <v/>
      </c>
      <c r="I724" s="1">
        <v>-6.0000000000000001E-3</v>
      </c>
      <c r="J724" s="1">
        <f>+D724-F724+I724*O724</f>
        <v>-3.3680000000000002E-2</v>
      </c>
      <c r="K724" s="1">
        <v>-2.3257169872522399E-2</v>
      </c>
      <c r="L724" s="1">
        <f>+K724-J724</f>
        <v>1.0422830127477602E-2</v>
      </c>
      <c r="M724" s="1">
        <v>-1.9257169872522399E-2</v>
      </c>
      <c r="N724" s="1">
        <f>+M724-J724</f>
        <v>1.4422830127477602E-2</v>
      </c>
      <c r="O724">
        <v>2.2799999999999998</v>
      </c>
      <c r="P724" t="s">
        <v>17</v>
      </c>
      <c r="Q724">
        <v>0.01</v>
      </c>
      <c r="R724">
        <v>-2.6038059204816701E-2</v>
      </c>
      <c r="S724">
        <v>-1.6577950445935099E-2</v>
      </c>
      <c r="T724">
        <v>0</v>
      </c>
    </row>
    <row r="725" spans="1:20" x14ac:dyDescent="0.3">
      <c r="A725" t="s">
        <v>62</v>
      </c>
      <c r="B725">
        <v>2010</v>
      </c>
      <c r="C725">
        <v>4295672</v>
      </c>
      <c r="D725" s="1">
        <v>1E-3</v>
      </c>
      <c r="E725" s="1">
        <v>0.925686836242676</v>
      </c>
      <c r="F725" s="1">
        <v>-1.2E-2</v>
      </c>
      <c r="G725" s="1">
        <f t="shared" si="22"/>
        <v>3.1000000000000003E-2</v>
      </c>
      <c r="H725" s="1" t="str">
        <f t="shared" si="23"/>
        <v/>
      </c>
      <c r="I725" s="1">
        <v>1.0999999999999999E-2</v>
      </c>
      <c r="J725" s="1">
        <f>+D725-F725+I725*O725</f>
        <v>3.7749999999999999E-2</v>
      </c>
      <c r="K725" s="1">
        <v>-1.0038059204816799E-2</v>
      </c>
      <c r="L725" s="1">
        <f>+K725-J725</f>
        <v>-4.7788059204816796E-2</v>
      </c>
      <c r="M725" s="1">
        <v>-2.6038059204816701E-2</v>
      </c>
      <c r="N725" s="1">
        <f>+M725-J725</f>
        <v>-6.3788059204816699E-2</v>
      </c>
      <c r="O725">
        <v>2.25</v>
      </c>
      <c r="P725" t="s">
        <v>17</v>
      </c>
      <c r="Q725">
        <v>-0.02</v>
      </c>
      <c r="R725">
        <v>-2.4167827673256401E-2</v>
      </c>
      <c r="S725">
        <v>-2.8840531595050998E-3</v>
      </c>
      <c r="T725">
        <v>-0.02</v>
      </c>
    </row>
    <row r="726" spans="1:20" x14ac:dyDescent="0.3">
      <c r="A726" t="s">
        <v>62</v>
      </c>
      <c r="B726">
        <v>2011</v>
      </c>
      <c r="C726">
        <v>4305976</v>
      </c>
      <c r="D726" s="1">
        <v>-1E-3</v>
      </c>
      <c r="E726" s="1">
        <v>0.93014091253280595</v>
      </c>
      <c r="F726" s="1">
        <v>6.0000000000000001E-3</v>
      </c>
      <c r="G726" s="1">
        <f t="shared" si="22"/>
        <v>3.7000000000000005E-2</v>
      </c>
      <c r="H726" s="1" t="str">
        <f t="shared" si="23"/>
        <v/>
      </c>
      <c r="I726" s="1">
        <v>4.0000000000000001E-3</v>
      </c>
      <c r="J726" s="1">
        <f>+D726-F726+I726*O726</f>
        <v>2.0799999999999994E-3</v>
      </c>
      <c r="K726" s="1">
        <v>7.8321723267435993E-3</v>
      </c>
      <c r="L726" s="1">
        <f>+K726-J726</f>
        <v>5.7521723267435999E-3</v>
      </c>
      <c r="M726" s="1">
        <v>-2.4167827673256401E-2</v>
      </c>
      <c r="N726" s="1">
        <f>+M726-J726</f>
        <v>-2.62478276732564E-2</v>
      </c>
      <c r="O726">
        <v>2.27</v>
      </c>
      <c r="P726" t="s">
        <v>15</v>
      </c>
      <c r="Q726">
        <v>0</v>
      </c>
      <c r="R726">
        <v>-2.4606513828039E-3</v>
      </c>
      <c r="S726">
        <v>2.9775546863674901E-3</v>
      </c>
      <c r="T726">
        <v>0.01</v>
      </c>
    </row>
    <row r="727" spans="1:20" x14ac:dyDescent="0.3">
      <c r="A727" t="s">
        <v>62</v>
      </c>
      <c r="B727">
        <v>2012</v>
      </c>
      <c r="C727">
        <v>4322914</v>
      </c>
      <c r="D727" s="1">
        <v>2E-3</v>
      </c>
      <c r="E727" s="1">
        <v>0.93629276752471902</v>
      </c>
      <c r="F727" s="1">
        <v>-1.4E-2</v>
      </c>
      <c r="G727" s="1">
        <f t="shared" si="22"/>
        <v>2.3000000000000007E-2</v>
      </c>
      <c r="H727" s="1" t="str">
        <f t="shared" si="23"/>
        <v/>
      </c>
      <c r="I727" s="1">
        <v>6.0000000000000001E-3</v>
      </c>
      <c r="J727" s="1">
        <f>+D727-F727+I727*O727</f>
        <v>2.938E-2</v>
      </c>
      <c r="K727" s="1">
        <v>1.85393486171961E-2</v>
      </c>
      <c r="L727" s="1">
        <f>+K727-J727</f>
        <v>-1.0840651382803899E-2</v>
      </c>
      <c r="M727" s="1">
        <v>-2.4606513828039E-3</v>
      </c>
      <c r="N727" s="1">
        <f>+M727-J727</f>
        <v>-3.1840651382803897E-2</v>
      </c>
      <c r="O727">
        <v>2.23</v>
      </c>
      <c r="P727" t="s">
        <v>17</v>
      </c>
      <c r="Q727">
        <v>0</v>
      </c>
      <c r="R727">
        <v>4.99718882143499E-3</v>
      </c>
      <c r="S727">
        <v>-1.1295825242995999E-3</v>
      </c>
      <c r="T727">
        <v>-0.02</v>
      </c>
    </row>
    <row r="728" spans="1:20" x14ac:dyDescent="0.3">
      <c r="A728" t="s">
        <v>62</v>
      </c>
      <c r="B728">
        <v>2013</v>
      </c>
      <c r="C728">
        <v>4335569</v>
      </c>
      <c r="D728" s="1">
        <v>0</v>
      </c>
      <c r="E728" s="1">
        <v>0.93920499086380005</v>
      </c>
      <c r="F728" s="1">
        <v>5.0000000000000001E-3</v>
      </c>
      <c r="G728" s="1">
        <f t="shared" si="22"/>
        <v>2.8000000000000008E-2</v>
      </c>
      <c r="H728" s="1" t="str">
        <f t="shared" si="23"/>
        <v/>
      </c>
      <c r="I728" s="1">
        <v>3.0000000000000001E-3</v>
      </c>
      <c r="J728" s="1">
        <f>+D728-F728+I728*O728</f>
        <v>1.7499999999999998E-3</v>
      </c>
      <c r="K728" s="1">
        <v>1.9997188821434999E-2</v>
      </c>
      <c r="L728" s="1">
        <f>+K728-J728</f>
        <v>1.8247188821435001E-2</v>
      </c>
      <c r="M728" s="1">
        <v>4.99718882143499E-3</v>
      </c>
      <c r="N728" s="1">
        <f>+M728-J728</f>
        <v>3.2471888214349902E-3</v>
      </c>
      <c r="O728">
        <v>2.25</v>
      </c>
      <c r="P728" t="s">
        <v>15</v>
      </c>
      <c r="Q728">
        <v>0</v>
      </c>
      <c r="R728">
        <v>-1.48040445894E-3</v>
      </c>
      <c r="S728">
        <v>-3.4884279593825002E-3</v>
      </c>
      <c r="T728">
        <v>0</v>
      </c>
    </row>
    <row r="729" spans="1:20" x14ac:dyDescent="0.3">
      <c r="A729" t="s">
        <v>62</v>
      </c>
      <c r="B729">
        <v>2014</v>
      </c>
      <c r="C729">
        <v>4348159</v>
      </c>
      <c r="D729" s="1">
        <v>4.0000000000000001E-3</v>
      </c>
      <c r="E729" s="1">
        <v>0.93956470489501998</v>
      </c>
      <c r="F729" s="1">
        <v>-2.9000000000000001E-2</v>
      </c>
      <c r="G729" s="1">
        <f t="shared" si="22"/>
        <v>-9.9999999999999395E-4</v>
      </c>
      <c r="H729" s="1" t="str">
        <f t="shared" si="23"/>
        <v/>
      </c>
      <c r="I729" s="1">
        <v>0</v>
      </c>
      <c r="J729" s="1">
        <f>+D729-F729+I729*O729</f>
        <v>3.3000000000000002E-2</v>
      </c>
      <c r="K729" s="1">
        <v>1.451959554106E-2</v>
      </c>
      <c r="L729" s="1">
        <f>+K729-J729</f>
        <v>-1.8480404458940003E-2</v>
      </c>
      <c r="M729" s="1">
        <v>-1.48040445894E-3</v>
      </c>
      <c r="N729" s="1">
        <f>+M729-J729</f>
        <v>-3.4480404458940003E-2</v>
      </c>
      <c r="O729">
        <v>2.1800000000000002</v>
      </c>
      <c r="P729" t="s">
        <v>17</v>
      </c>
      <c r="Q729">
        <v>0</v>
      </c>
      <c r="R729">
        <v>3.93649993240833E-2</v>
      </c>
      <c r="S729">
        <v>9.1015473008155996E-3</v>
      </c>
      <c r="T729">
        <v>-0.03</v>
      </c>
    </row>
    <row r="730" spans="1:20" x14ac:dyDescent="0.3">
      <c r="A730" t="s">
        <v>62</v>
      </c>
      <c r="B730">
        <v>2015</v>
      </c>
      <c r="C730">
        <v>4356755</v>
      </c>
      <c r="D730" s="1">
        <v>0</v>
      </c>
      <c r="E730" s="1">
        <v>0.94465166330337502</v>
      </c>
      <c r="F730" s="1">
        <v>1.7999999999999999E-2</v>
      </c>
      <c r="G730" s="1">
        <f t="shared" si="22"/>
        <v>1.7000000000000005E-2</v>
      </c>
      <c r="H730" s="1" t="str">
        <f t="shared" si="23"/>
        <v/>
      </c>
      <c r="I730" s="1">
        <v>5.0000000000000001E-3</v>
      </c>
      <c r="J730" s="1">
        <f>+D730-F730+I730*O730</f>
        <v>-6.8999999999999981E-3</v>
      </c>
      <c r="K730" s="1">
        <v>4.03649993240833E-2</v>
      </c>
      <c r="L730" s="1">
        <f>+K730-J730</f>
        <v>4.7264999324083297E-2</v>
      </c>
      <c r="M730" s="1">
        <v>3.93649993240833E-2</v>
      </c>
      <c r="N730" s="1">
        <f>+M730-J730</f>
        <v>4.6264999324083296E-2</v>
      </c>
      <c r="O730">
        <v>2.2200000000000002</v>
      </c>
      <c r="P730" t="s">
        <v>15</v>
      </c>
      <c r="Q730">
        <v>0.01</v>
      </c>
      <c r="R730">
        <v>2.4104066461324701E-2</v>
      </c>
      <c r="S730">
        <v>1.0950509458780301E-2</v>
      </c>
      <c r="T730">
        <v>0.03</v>
      </c>
    </row>
    <row r="731" spans="1:20" x14ac:dyDescent="0.3">
      <c r="A731" t="s">
        <v>62</v>
      </c>
      <c r="B731">
        <v>2016</v>
      </c>
      <c r="C731">
        <v>4371736</v>
      </c>
      <c r="D731" s="1">
        <v>1.2999999999999999E-2</v>
      </c>
      <c r="E731" s="1">
        <v>0.942607402801514</v>
      </c>
      <c r="F731" s="1">
        <v>-0.02</v>
      </c>
      <c r="G731" s="1">
        <f t="shared" si="22"/>
        <v>-2.9999999999999957E-3</v>
      </c>
      <c r="H731" s="1" t="str">
        <f t="shared" si="23"/>
        <v/>
      </c>
      <c r="I731" s="1">
        <v>-2E-3</v>
      </c>
      <c r="J731" s="1">
        <f>+D731-F731+I731*O731</f>
        <v>2.8640000000000002E-2</v>
      </c>
      <c r="K731" s="1">
        <v>3.7104066461324699E-2</v>
      </c>
      <c r="L731" s="1">
        <f>+K731-J731</f>
        <v>8.4640664613246964E-3</v>
      </c>
      <c r="M731" s="1">
        <v>2.4104066461324701E-2</v>
      </c>
      <c r="N731" s="1">
        <f>+M731-J731</f>
        <v>-4.5359335386753012E-3</v>
      </c>
      <c r="O731">
        <v>2.1800000000000002</v>
      </c>
      <c r="P731" t="s">
        <v>16</v>
      </c>
      <c r="Q731">
        <v>0.01</v>
      </c>
      <c r="R731">
        <v>6.6510491967200899E-3</v>
      </c>
      <c r="S731">
        <v>3.8614757359028001E-3</v>
      </c>
      <c r="T731">
        <v>-0.02</v>
      </c>
    </row>
    <row r="732" spans="1:20" x14ac:dyDescent="0.3">
      <c r="A732" t="s">
        <v>62</v>
      </c>
      <c r="B732">
        <v>2017</v>
      </c>
      <c r="C732">
        <v>4384199</v>
      </c>
      <c r="D732" s="1">
        <v>0.01</v>
      </c>
      <c r="E732" s="1">
        <v>0.94257485866546598</v>
      </c>
      <c r="F732" s="1">
        <v>1.4999999999999999E-2</v>
      </c>
      <c r="G732" s="1">
        <f t="shared" si="22"/>
        <v>1.2000000000000004E-2</v>
      </c>
      <c r="H732" s="1" t="str">
        <f t="shared" si="23"/>
        <v/>
      </c>
      <c r="I732" s="1">
        <v>0</v>
      </c>
      <c r="J732" s="1">
        <f>+D732-F732+I732*O732</f>
        <v>-4.9999999999999992E-3</v>
      </c>
      <c r="K732" s="1">
        <v>2.7651049196720099E-2</v>
      </c>
      <c r="L732" s="1">
        <f>+K732-J732</f>
        <v>3.26510491967201E-2</v>
      </c>
      <c r="M732" s="1">
        <v>6.6510491967200899E-3</v>
      </c>
      <c r="N732" s="1">
        <f>+M732-J732</f>
        <v>1.1651049196720088E-2</v>
      </c>
      <c r="O732">
        <v>2.21</v>
      </c>
      <c r="P732" t="s">
        <v>17</v>
      </c>
      <c r="Q732">
        <v>0</v>
      </c>
      <c r="R732">
        <v>8.8550077974795995E-3</v>
      </c>
      <c r="S732">
        <v>-2.8001517057419501E-4</v>
      </c>
      <c r="T732">
        <v>0.02</v>
      </c>
    </row>
    <row r="733" spans="1:20" x14ac:dyDescent="0.3">
      <c r="A733" t="s">
        <v>62</v>
      </c>
      <c r="B733">
        <v>2018</v>
      </c>
      <c r="C733">
        <v>4392160</v>
      </c>
      <c r="D733" s="1">
        <v>2E-3</v>
      </c>
      <c r="E733" s="1">
        <v>0.94112628698348999</v>
      </c>
      <c r="F733" s="1">
        <v>-2.5000000000000001E-2</v>
      </c>
      <c r="G733" s="1">
        <f t="shared" si="22"/>
        <v>-1.2999999999999998E-2</v>
      </c>
      <c r="H733" s="1" t="str">
        <f t="shared" si="23"/>
        <v/>
      </c>
      <c r="I733" s="1">
        <v>-1E-3</v>
      </c>
      <c r="J733" s="1">
        <f>+D733-F733+I733*O733</f>
        <v>2.4850000000000004E-2</v>
      </c>
      <c r="K733" s="1">
        <v>3.2855007797479602E-2</v>
      </c>
      <c r="L733" s="1">
        <f>+K733-J733</f>
        <v>8.0050077974795977E-3</v>
      </c>
      <c r="M733" s="1">
        <v>8.8550077974795995E-3</v>
      </c>
      <c r="N733" s="1">
        <f>+M733-J733</f>
        <v>-1.5994992202520403E-2</v>
      </c>
      <c r="O733">
        <v>2.15</v>
      </c>
      <c r="P733" t="s">
        <v>16</v>
      </c>
      <c r="Q733">
        <v>0</v>
      </c>
      <c r="R733">
        <v>1.6701827913522701E-2</v>
      </c>
      <c r="S733">
        <v>-1.0993666946888E-3</v>
      </c>
      <c r="T733">
        <v>-0.01</v>
      </c>
    </row>
    <row r="734" spans="1:20" x14ac:dyDescent="0.3">
      <c r="A734" t="s">
        <v>62</v>
      </c>
      <c r="B734">
        <v>2019</v>
      </c>
      <c r="C734">
        <v>4394259</v>
      </c>
      <c r="D734" s="1">
        <v>1.0999999999999999E-2</v>
      </c>
      <c r="E734" s="1">
        <v>0.93546324968338002</v>
      </c>
      <c r="F734" s="1">
        <v>-3.5000000000000003E-2</v>
      </c>
      <c r="G734" s="1">
        <f t="shared" si="22"/>
        <v>-4.8000000000000001E-2</v>
      </c>
      <c r="H734" s="1" t="str">
        <f t="shared" si="23"/>
        <v/>
      </c>
      <c r="I734" s="1">
        <v>-6.0000000000000001E-3</v>
      </c>
      <c r="J734" s="1">
        <f>+D734-F734+I734*O734</f>
        <v>3.3519999999999994E-2</v>
      </c>
      <c r="K734" s="1">
        <v>3.47018279135227E-2</v>
      </c>
      <c r="L734" s="1">
        <f>+K734-J734</f>
        <v>1.1818279135227053E-3</v>
      </c>
      <c r="M734" s="1">
        <v>1.6701827913522701E-2</v>
      </c>
      <c r="N734" s="1">
        <f>+M734-J734</f>
        <v>-1.6818172086477293E-2</v>
      </c>
      <c r="O734">
        <v>2.08</v>
      </c>
      <c r="P734" t="s">
        <v>16</v>
      </c>
      <c r="Q734">
        <v>0</v>
      </c>
      <c r="R734">
        <v>3.0402759194374001E-2</v>
      </c>
      <c r="S734">
        <v>1.1553568765520999E-2</v>
      </c>
      <c r="T734">
        <v>-0.03</v>
      </c>
    </row>
    <row r="735" spans="1:20" x14ac:dyDescent="0.3">
      <c r="A735" t="s">
        <v>62</v>
      </c>
      <c r="B735">
        <v>2020</v>
      </c>
      <c r="C735">
        <v>4381450</v>
      </c>
      <c r="D735" s="1">
        <v>1.0999999999999999E-2</v>
      </c>
      <c r="E735" s="1">
        <v>0.94734442234039296</v>
      </c>
      <c r="F735" s="1">
        <v>-0.03</v>
      </c>
      <c r="G735" s="1">
        <f t="shared" si="22"/>
        <v>-7.8E-2</v>
      </c>
      <c r="H735" s="1" t="str">
        <f t="shared" si="23"/>
        <v/>
      </c>
      <c r="I735" s="1">
        <v>1.2E-2</v>
      </c>
      <c r="J735" s="1">
        <f>+D735-F735+I735*O735</f>
        <v>6.5239999999999992E-2</v>
      </c>
      <c r="K735" s="1">
        <v>4.2402759194374098E-2</v>
      </c>
      <c r="L735" s="1">
        <f>+K735-J735</f>
        <v>-2.2837240805625894E-2</v>
      </c>
      <c r="M735" s="1">
        <v>3.0402759194374001E-2</v>
      </c>
      <c r="N735" s="1">
        <f>+M735-J735</f>
        <v>-3.4837240805625988E-2</v>
      </c>
      <c r="O735">
        <v>2.02</v>
      </c>
      <c r="P735" t="s">
        <v>17</v>
      </c>
      <c r="Q735">
        <v>0.01</v>
      </c>
      <c r="R735">
        <v>3.2838149249553597E-2</v>
      </c>
      <c r="S735">
        <v>-1.07514634728432E-2</v>
      </c>
      <c r="T735">
        <v>0.01</v>
      </c>
    </row>
    <row r="736" spans="1:20" x14ac:dyDescent="0.3">
      <c r="A736" t="s">
        <v>62</v>
      </c>
      <c r="B736">
        <v>2021</v>
      </c>
      <c r="C736">
        <v>4366169</v>
      </c>
      <c r="D736" s="1">
        <v>1.4999999999999999E-2</v>
      </c>
      <c r="E736" s="1">
        <v>0.95201152563095104</v>
      </c>
      <c r="F736" s="1">
        <v>5.8000000000000003E-2</v>
      </c>
      <c r="G736" s="1">
        <f t="shared" si="22"/>
        <v>-1.9999999999999997E-2</v>
      </c>
      <c r="H736" s="1" t="str">
        <f t="shared" si="23"/>
        <v/>
      </c>
      <c r="I736" s="1">
        <v>5.0000000000000001E-3</v>
      </c>
      <c r="J736" s="1">
        <f>+D736-F736+I736*O736</f>
        <v>-3.2350000000000004E-2</v>
      </c>
      <c r="K736" s="1">
        <v>7.9838149249553694E-2</v>
      </c>
      <c r="L736" s="1">
        <f>+K736-J736</f>
        <v>0.1121881492495537</v>
      </c>
      <c r="M736" s="1">
        <v>3.2838149249553597E-2</v>
      </c>
      <c r="N736" s="1">
        <f>+M736-J736</f>
        <v>6.5188149249553601E-2</v>
      </c>
      <c r="O736">
        <v>2.13</v>
      </c>
      <c r="P736" t="s">
        <v>15</v>
      </c>
      <c r="Q736">
        <v>-0.01</v>
      </c>
      <c r="R736">
        <v>-4.6095406562089901E-2</v>
      </c>
      <c r="S736">
        <v>-1.39918997883796E-2</v>
      </c>
      <c r="T736">
        <v>0.03</v>
      </c>
    </row>
    <row r="737" spans="1:20" x14ac:dyDescent="0.3">
      <c r="A737" t="s">
        <v>62</v>
      </c>
      <c r="B737">
        <v>2022</v>
      </c>
      <c r="C737">
        <v>4360491</v>
      </c>
      <c r="D737" s="1">
        <v>8.9999999999999993E-3</v>
      </c>
      <c r="E737" s="1">
        <v>0.929157495498657</v>
      </c>
      <c r="F737" s="1">
        <v>-5.0999999999999997E-2</v>
      </c>
      <c r="G737" s="1">
        <f t="shared" si="22"/>
        <v>-7.0999999999999994E-2</v>
      </c>
      <c r="H737" s="1" t="str">
        <f t="shared" si="23"/>
        <v/>
      </c>
      <c r="I737" s="1">
        <v>-2.3E-2</v>
      </c>
      <c r="J737" s="1">
        <f>+D737-F737+I737*O737</f>
        <v>1.3539999999999996E-2</v>
      </c>
      <c r="K737" s="1">
        <v>3.3904593437910101E-2</v>
      </c>
      <c r="L737" s="1">
        <f>+K737-J737</f>
        <v>2.0364593437910104E-2</v>
      </c>
      <c r="M737" s="1">
        <v>-4.6095406562089901E-2</v>
      </c>
      <c r="N737" s="1">
        <f>+M737-J737</f>
        <v>-5.9635406562089897E-2</v>
      </c>
      <c r="O737">
        <v>2.02</v>
      </c>
      <c r="P737" t="s">
        <v>16</v>
      </c>
      <c r="Q737">
        <v>-0.01</v>
      </c>
      <c r="R737">
        <v>-2.4339212834835099E-2</v>
      </c>
      <c r="S737">
        <v>-4.7802850604057997E-3</v>
      </c>
      <c r="T737">
        <v>-0.03</v>
      </c>
    </row>
    <row r="738" spans="1:20" x14ac:dyDescent="0.3">
      <c r="A738" t="s">
        <v>63</v>
      </c>
      <c r="B738">
        <v>2006</v>
      </c>
      <c r="C738">
        <v>470826.6875</v>
      </c>
      <c r="D738" s="1">
        <v>3.2000000000000001E-2</v>
      </c>
      <c r="E738" s="1">
        <v>0.91336131095886197</v>
      </c>
      <c r="F738" s="1">
        <v>3.3000000000000002E-2</v>
      </c>
      <c r="G738" s="1">
        <f t="shared" si="22"/>
        <v>3.3000000000000002E-2</v>
      </c>
      <c r="H738" s="1" t="str">
        <f t="shared" si="23"/>
        <v/>
      </c>
      <c r="I738" s="1">
        <v>-8.0000000000000002E-3</v>
      </c>
      <c r="J738" s="1">
        <f>+D738-F738+I738*O738</f>
        <v>-1.7800000000000003E-2</v>
      </c>
      <c r="K738" s="1">
        <v>5.9070460498332998E-2</v>
      </c>
      <c r="L738" s="1">
        <f>+K738-J738</f>
        <v>7.6870460498333001E-2</v>
      </c>
      <c r="M738" s="1">
        <v>2.70704604983329E-2</v>
      </c>
      <c r="N738" s="1">
        <f>+M738-J738</f>
        <v>4.4870460498332904E-2</v>
      </c>
      <c r="O738">
        <v>2.1</v>
      </c>
      <c r="P738" t="s">
        <v>17</v>
      </c>
      <c r="Q738">
        <v>0.02</v>
      </c>
      <c r="R738">
        <v>-1.6116769015788999E-3</v>
      </c>
      <c r="S738">
        <v>-6.8992096930739998E-4</v>
      </c>
      <c r="T738">
        <v>0.03</v>
      </c>
    </row>
    <row r="739" spans="1:20" x14ac:dyDescent="0.3">
      <c r="A739" t="s">
        <v>63</v>
      </c>
      <c r="B739">
        <v>2007</v>
      </c>
      <c r="C739">
        <v>481500.78129999997</v>
      </c>
      <c r="D739" s="1">
        <v>1.7000000000000001E-2</v>
      </c>
      <c r="E739" s="1">
        <v>0.902277171611786</v>
      </c>
      <c r="F739" s="1">
        <v>4.0000000000000001E-3</v>
      </c>
      <c r="G739" s="1">
        <f t="shared" si="22"/>
        <v>3.7000000000000005E-2</v>
      </c>
      <c r="H739" s="1" t="str">
        <f t="shared" si="23"/>
        <v/>
      </c>
      <c r="I739" s="1">
        <v>-1.0999999999999999E-2</v>
      </c>
      <c r="J739" s="1">
        <f>+D739-F739+I739*O739</f>
        <v>-1.0099999999999998E-2</v>
      </c>
      <c r="K739" s="1">
        <v>2.73883230984211E-2</v>
      </c>
      <c r="L739" s="1">
        <f>+K739-J739</f>
        <v>3.7488323098421095E-2</v>
      </c>
      <c r="M739" s="1">
        <v>-1.6116769015788999E-3</v>
      </c>
      <c r="N739" s="1">
        <f>+M739-J739</f>
        <v>8.4883230984210984E-3</v>
      </c>
      <c r="O739">
        <v>2.1</v>
      </c>
      <c r="P739" t="s">
        <v>17</v>
      </c>
      <c r="Q739">
        <v>0</v>
      </c>
      <c r="R739">
        <v>-5.0947715818882001E-2</v>
      </c>
      <c r="S739">
        <v>-2.1436911541968501E-2</v>
      </c>
      <c r="T739">
        <v>0</v>
      </c>
    </row>
    <row r="740" spans="1:20" x14ac:dyDescent="0.3">
      <c r="A740" t="s">
        <v>63</v>
      </c>
      <c r="B740">
        <v>2008</v>
      </c>
      <c r="C740">
        <v>492398.40629999997</v>
      </c>
      <c r="D740" s="1">
        <v>1.6E-2</v>
      </c>
      <c r="E740" s="1">
        <v>0.89950758218765303</v>
      </c>
      <c r="F740" s="1">
        <v>6.0000000000000001E-3</v>
      </c>
      <c r="G740" s="1">
        <f t="shared" si="22"/>
        <v>4.3000000000000003E-2</v>
      </c>
      <c r="H740" s="1" t="str">
        <f t="shared" si="23"/>
        <v/>
      </c>
      <c r="I740" s="1">
        <v>-3.0000000000000001E-3</v>
      </c>
      <c r="J740" s="1">
        <f>+D740-F740+I740*O740</f>
        <v>3.64E-3</v>
      </c>
      <c r="K740" s="1">
        <v>-1.2947715818882001E-2</v>
      </c>
      <c r="L740" s="1">
        <f>+K740-J740</f>
        <v>-1.6587715818882E-2</v>
      </c>
      <c r="M740" s="1">
        <v>-5.0947715818882001E-2</v>
      </c>
      <c r="N740" s="1">
        <f>+M740-J740</f>
        <v>-5.4587715818881999E-2</v>
      </c>
      <c r="O740">
        <v>2.12</v>
      </c>
      <c r="P740" t="s">
        <v>17</v>
      </c>
      <c r="Q740">
        <v>-0.02</v>
      </c>
      <c r="R740">
        <v>-2.8472100108861899E-2</v>
      </c>
      <c r="S740">
        <v>-1.90539844334125E-3</v>
      </c>
      <c r="T740">
        <v>0</v>
      </c>
    </row>
    <row r="741" spans="1:20" x14ac:dyDescent="0.3">
      <c r="A741" t="s">
        <v>63</v>
      </c>
      <c r="B741">
        <v>2009</v>
      </c>
      <c r="C741">
        <v>501989.5</v>
      </c>
      <c r="D741" s="1">
        <v>3.0000000000000001E-3</v>
      </c>
      <c r="E741" s="1">
        <v>0.90338301658630404</v>
      </c>
      <c r="F741" s="1">
        <v>5.1999999999999998E-2</v>
      </c>
      <c r="G741" s="1">
        <f t="shared" si="22"/>
        <v>9.5000000000000001E-2</v>
      </c>
      <c r="H741" s="1" t="str">
        <f t="shared" si="23"/>
        <v/>
      </c>
      <c r="I741" s="1">
        <v>4.0000000000000001E-3</v>
      </c>
      <c r="J741" s="1">
        <f>+D741-F741+I741*O741</f>
        <v>-4.0079999999999991E-2</v>
      </c>
      <c r="K741" s="1">
        <v>-3.2472100108861902E-2</v>
      </c>
      <c r="L741" s="1">
        <f>+K741-J741</f>
        <v>7.6078998911380882E-3</v>
      </c>
      <c r="M741" s="1">
        <v>-2.8472100108861899E-2</v>
      </c>
      <c r="N741" s="1">
        <f>+M741-J741</f>
        <v>1.1607899891138092E-2</v>
      </c>
      <c r="O741">
        <v>2.23</v>
      </c>
      <c r="P741" t="s">
        <v>15</v>
      </c>
      <c r="Q741">
        <v>0</v>
      </c>
      <c r="R741">
        <v>-7.5925404056906703E-3</v>
      </c>
      <c r="S741">
        <v>1.8675683531910101E-3</v>
      </c>
      <c r="T741">
        <v>0.03</v>
      </c>
    </row>
    <row r="742" spans="1:20" x14ac:dyDescent="0.3">
      <c r="A742" t="s">
        <v>63</v>
      </c>
      <c r="B742">
        <v>2010</v>
      </c>
      <c r="C742">
        <v>510172.78129999997</v>
      </c>
      <c r="D742" s="1">
        <v>1.2E-2</v>
      </c>
      <c r="E742" s="1">
        <v>0.91384768486022905</v>
      </c>
      <c r="F742" s="1">
        <v>2E-3</v>
      </c>
      <c r="G742" s="1">
        <f t="shared" si="22"/>
        <v>9.7000000000000003E-2</v>
      </c>
      <c r="H742" s="1" t="str">
        <f t="shared" si="23"/>
        <v/>
      </c>
      <c r="I742" s="1">
        <v>0.01</v>
      </c>
      <c r="J742" s="1">
        <f>+D742-F742+I742*O742</f>
        <v>3.2300000000000002E-2</v>
      </c>
      <c r="K742" s="1">
        <v>8.40745959430933E-3</v>
      </c>
      <c r="L742" s="1">
        <f>+K742-J742</f>
        <v>-2.3892540405690672E-2</v>
      </c>
      <c r="M742" s="1">
        <v>-7.5925404056906703E-3</v>
      </c>
      <c r="N742" s="1">
        <f>+M742-J742</f>
        <v>-3.9892540405690673E-2</v>
      </c>
      <c r="O742">
        <v>2.23</v>
      </c>
      <c r="P742" t="s">
        <v>15</v>
      </c>
      <c r="Q742">
        <v>0</v>
      </c>
      <c r="R742">
        <v>-1.30790307819843E-2</v>
      </c>
      <c r="S742">
        <v>8.2047437317669895E-3</v>
      </c>
      <c r="T742">
        <v>-0.01</v>
      </c>
    </row>
    <row r="743" spans="1:20" x14ac:dyDescent="0.3">
      <c r="A743" t="s">
        <v>64</v>
      </c>
      <c r="B743">
        <v>2006</v>
      </c>
      <c r="C743">
        <v>750908.1875</v>
      </c>
      <c r="D743" s="1">
        <v>1.7999999999999999E-2</v>
      </c>
      <c r="E743" s="1">
        <v>0.92648053169250499</v>
      </c>
      <c r="F743" s="1">
        <v>3.4000000000000002E-2</v>
      </c>
      <c r="G743" s="1">
        <f t="shared" si="22"/>
        <v>3.4000000000000002E-2</v>
      </c>
      <c r="H743" s="1" t="str">
        <f t="shared" si="23"/>
        <v/>
      </c>
      <c r="I743" s="1">
        <v>-3.0000000000000001E-3</v>
      </c>
      <c r="J743" s="1">
        <f>+D743-F743+I743*O743</f>
        <v>-2.4580000000000005E-2</v>
      </c>
      <c r="K743" s="1">
        <v>3.5726483911275898E-2</v>
      </c>
      <c r="L743" s="1">
        <f>+K743-J743</f>
        <v>6.0306483911275903E-2</v>
      </c>
      <c r="M743" s="1">
        <v>3.7264839112758899E-3</v>
      </c>
      <c r="N743" s="1">
        <f>+M743-J743</f>
        <v>2.8306483911275895E-2</v>
      </c>
      <c r="O743">
        <v>2.86</v>
      </c>
      <c r="P743" t="s">
        <v>17</v>
      </c>
      <c r="Q743">
        <v>0</v>
      </c>
      <c r="R743">
        <v>9.6177338659762905E-3</v>
      </c>
      <c r="S743">
        <v>1.05394897982477E-2</v>
      </c>
      <c r="T743">
        <v>0.03</v>
      </c>
    </row>
    <row r="744" spans="1:20" x14ac:dyDescent="0.3">
      <c r="A744" t="s">
        <v>64</v>
      </c>
      <c r="B744">
        <v>2007</v>
      </c>
      <c r="C744">
        <v>762601</v>
      </c>
      <c r="D744" s="1">
        <v>1.9E-2</v>
      </c>
      <c r="E744" s="1">
        <v>0.92128288745880105</v>
      </c>
      <c r="F744" s="1">
        <v>-4.8000000000000001E-2</v>
      </c>
      <c r="G744" s="1">
        <f t="shared" si="22"/>
        <v>-1.3999999999999999E-2</v>
      </c>
      <c r="H744" s="1" t="str">
        <f t="shared" si="23"/>
        <v/>
      </c>
      <c r="I744" s="1">
        <v>-5.0000000000000001E-3</v>
      </c>
      <c r="J744" s="1">
        <f>+D744-F744+I744*O744</f>
        <v>5.3350000000000002E-2</v>
      </c>
      <c r="K744" s="1">
        <v>3.8617733865976299E-2</v>
      </c>
      <c r="L744" s="1">
        <f>+K744-J744</f>
        <v>-1.4732266134023703E-2</v>
      </c>
      <c r="M744" s="1">
        <v>9.6177338659762905E-3</v>
      </c>
      <c r="N744" s="1">
        <f>+M744-J744</f>
        <v>-4.3732266134023715E-2</v>
      </c>
      <c r="O744">
        <v>2.73</v>
      </c>
      <c r="P744" t="s">
        <v>16</v>
      </c>
      <c r="Q744">
        <v>0.01</v>
      </c>
      <c r="R744">
        <v>-2.38062984421849E-2</v>
      </c>
      <c r="S744">
        <v>5.7045058347285002E-3</v>
      </c>
      <c r="T744">
        <v>-0.05</v>
      </c>
    </row>
    <row r="745" spans="1:20" x14ac:dyDescent="0.3">
      <c r="A745" t="s">
        <v>64</v>
      </c>
      <c r="B745">
        <v>2008</v>
      </c>
      <c r="C745">
        <v>777556.5</v>
      </c>
      <c r="D745" s="1">
        <v>8.0000000000000002E-3</v>
      </c>
      <c r="E745" s="1">
        <v>0.91636079549789395</v>
      </c>
      <c r="F745" s="1">
        <v>5.0000000000000001E-3</v>
      </c>
      <c r="G745" s="1">
        <f t="shared" si="22"/>
        <v>-8.9999999999999976E-3</v>
      </c>
      <c r="H745" s="1" t="str">
        <f t="shared" si="23"/>
        <v/>
      </c>
      <c r="I745" s="1">
        <v>-5.0000000000000001E-3</v>
      </c>
      <c r="J745" s="1">
        <f>+D745-F745+I745*O745</f>
        <v>-1.0700000000000001E-2</v>
      </c>
      <c r="K745" s="1">
        <v>1.4193701557815099E-2</v>
      </c>
      <c r="L745" s="1">
        <f>+K745-J745</f>
        <v>2.48937015578151E-2</v>
      </c>
      <c r="M745" s="1">
        <v>-2.38062984421849E-2</v>
      </c>
      <c r="N745" s="1">
        <f>+M745-J745</f>
        <v>-1.3106298442184899E-2</v>
      </c>
      <c r="O745">
        <v>2.74</v>
      </c>
      <c r="P745" t="s">
        <v>17</v>
      </c>
      <c r="Q745">
        <v>0.01</v>
      </c>
      <c r="R745">
        <v>-3.0167863428592699E-2</v>
      </c>
      <c r="S745">
        <v>-3.6011617630720499E-3</v>
      </c>
      <c r="T745">
        <v>0</v>
      </c>
    </row>
    <row r="746" spans="1:20" x14ac:dyDescent="0.3">
      <c r="A746" t="s">
        <v>64</v>
      </c>
      <c r="B746">
        <v>2009</v>
      </c>
      <c r="C746">
        <v>794587.25</v>
      </c>
      <c r="D746" s="1">
        <v>2.5999999999999999E-2</v>
      </c>
      <c r="E746" s="1">
        <v>0.90855622291564897</v>
      </c>
      <c r="F746" s="1">
        <v>-5.0000000000000001E-3</v>
      </c>
      <c r="G746" s="1">
        <f t="shared" si="22"/>
        <v>-1.3999999999999999E-2</v>
      </c>
      <c r="H746" s="1" t="str">
        <f t="shared" si="23"/>
        <v/>
      </c>
      <c r="I746" s="1">
        <v>-8.0000000000000002E-3</v>
      </c>
      <c r="J746" s="1">
        <f>+D746-F746+I746*O746</f>
        <v>9.159999999999998E-3</v>
      </c>
      <c r="K746" s="1">
        <v>-3.4167863428592703E-2</v>
      </c>
      <c r="L746" s="1">
        <f>+K746-J746</f>
        <v>-4.3327863428592697E-2</v>
      </c>
      <c r="M746" s="1">
        <v>-3.0167863428592699E-2</v>
      </c>
      <c r="N746" s="1">
        <f>+M746-J746</f>
        <v>-3.9327863428592694E-2</v>
      </c>
      <c r="O746">
        <v>2.73</v>
      </c>
      <c r="P746" t="s">
        <v>16</v>
      </c>
      <c r="Q746">
        <v>0</v>
      </c>
      <c r="R746">
        <v>-1.2010836213827101E-2</v>
      </c>
      <c r="S746">
        <v>-2.5507274549454399E-3</v>
      </c>
      <c r="T746">
        <v>-0.02</v>
      </c>
    </row>
    <row r="747" spans="1:20" x14ac:dyDescent="0.3">
      <c r="A747" t="s">
        <v>64</v>
      </c>
      <c r="B747">
        <v>2010</v>
      </c>
      <c r="C747">
        <v>812254.5625</v>
      </c>
      <c r="D747" s="1">
        <v>1.0999999999999999E-2</v>
      </c>
      <c r="E747" s="1">
        <v>0.91409564018249501</v>
      </c>
      <c r="F747" s="1">
        <v>2.7E-2</v>
      </c>
      <c r="G747" s="1">
        <f t="shared" si="22"/>
        <v>1.3000000000000001E-2</v>
      </c>
      <c r="H747" s="1" t="str">
        <f t="shared" si="23"/>
        <v/>
      </c>
      <c r="I747" s="1">
        <v>6.0000000000000001E-3</v>
      </c>
      <c r="J747" s="1">
        <f>+D747-F747+I747*O747</f>
        <v>7.9999999999999863E-4</v>
      </c>
      <c r="K747" s="1">
        <v>3.9891637861728703E-3</v>
      </c>
      <c r="L747" s="1">
        <f>+K747-J747</f>
        <v>3.1891637861728717E-3</v>
      </c>
      <c r="M747" s="1">
        <v>-1.2010836213827101E-2</v>
      </c>
      <c r="N747" s="1">
        <f>+M747-J747</f>
        <v>-1.2810836213827099E-2</v>
      </c>
      <c r="O747">
        <v>2.8</v>
      </c>
      <c r="P747" t="s">
        <v>15</v>
      </c>
      <c r="Q747">
        <v>0</v>
      </c>
      <c r="R747">
        <v>-2.31554725840687E-2</v>
      </c>
      <c r="S747">
        <v>-1.8716980703174799E-3</v>
      </c>
      <c r="T747">
        <v>0.02</v>
      </c>
    </row>
    <row r="748" spans="1:20" x14ac:dyDescent="0.3">
      <c r="A748" t="s">
        <v>64</v>
      </c>
      <c r="B748">
        <v>2011</v>
      </c>
      <c r="C748">
        <v>829669.375</v>
      </c>
      <c r="D748" s="1">
        <v>4.3999999999999997E-2</v>
      </c>
      <c r="E748" s="1">
        <v>0.90561711788177501</v>
      </c>
      <c r="F748" s="1">
        <v>3.0000000000000001E-3</v>
      </c>
      <c r="G748" s="1">
        <f t="shared" si="22"/>
        <v>1.6E-2</v>
      </c>
      <c r="H748" s="1" t="str">
        <f t="shared" si="23"/>
        <v/>
      </c>
      <c r="I748" s="1">
        <v>-8.0000000000000002E-3</v>
      </c>
      <c r="J748" s="1">
        <f>+D748-F748+I748*O748</f>
        <v>1.8519999999999995E-2</v>
      </c>
      <c r="K748" s="1">
        <v>8.8445274159312196E-3</v>
      </c>
      <c r="L748" s="1">
        <f>+K748-J748</f>
        <v>-9.6754725840687752E-3</v>
      </c>
      <c r="M748" s="1">
        <v>-2.31554725840687E-2</v>
      </c>
      <c r="N748" s="1">
        <f>+M748-J748</f>
        <v>-4.1675472584068694E-2</v>
      </c>
      <c r="O748">
        <v>2.81</v>
      </c>
      <c r="P748" t="s">
        <v>17</v>
      </c>
      <c r="Q748">
        <v>0</v>
      </c>
      <c r="R748">
        <v>-1.1328684449195801E-2</v>
      </c>
      <c r="S748">
        <v>-5.89047838002446E-3</v>
      </c>
      <c r="T748">
        <v>0</v>
      </c>
    </row>
    <row r="749" spans="1:20" x14ac:dyDescent="0.3">
      <c r="A749" t="s">
        <v>64</v>
      </c>
      <c r="B749">
        <v>2012</v>
      </c>
      <c r="C749">
        <v>840886.75</v>
      </c>
      <c r="D749" s="1">
        <v>2.9000000000000001E-2</v>
      </c>
      <c r="E749" s="1">
        <v>0.90602505207061801</v>
      </c>
      <c r="F749" s="1">
        <v>1.4999999999999999E-2</v>
      </c>
      <c r="G749" s="1">
        <f t="shared" si="22"/>
        <v>3.1E-2</v>
      </c>
      <c r="H749" s="1" t="str">
        <f t="shared" si="23"/>
        <v/>
      </c>
      <c r="I749" s="1">
        <v>0</v>
      </c>
      <c r="J749" s="1">
        <f>+D749-F749+I749*O749</f>
        <v>1.4000000000000002E-2</v>
      </c>
      <c r="K749" s="1">
        <v>9.6713155508041399E-3</v>
      </c>
      <c r="L749" s="1">
        <f>+K749-J749</f>
        <v>-4.3286844491958621E-3</v>
      </c>
      <c r="M749" s="1">
        <v>-1.1328684449195801E-2</v>
      </c>
      <c r="N749" s="1">
        <f>+M749-J749</f>
        <v>-2.5328684449195803E-2</v>
      </c>
      <c r="O749">
        <v>2.85</v>
      </c>
      <c r="P749" t="s">
        <v>15</v>
      </c>
      <c r="Q749">
        <v>-0.01</v>
      </c>
      <c r="R749">
        <v>-4.81455713510509E-3</v>
      </c>
      <c r="S749">
        <v>-1.09413284808397E-2</v>
      </c>
      <c r="T749">
        <v>0.01</v>
      </c>
    </row>
    <row r="750" spans="1:20" x14ac:dyDescent="0.3">
      <c r="A750" t="s">
        <v>64</v>
      </c>
      <c r="B750">
        <v>2013</v>
      </c>
      <c r="C750">
        <v>842592.25</v>
      </c>
      <c r="D750" s="1">
        <v>2.5999999999999999E-2</v>
      </c>
      <c r="E750" s="1">
        <v>0.90834963321685802</v>
      </c>
      <c r="F750" s="1">
        <v>-4.5999999999999999E-2</v>
      </c>
      <c r="G750" s="1">
        <f t="shared" si="22"/>
        <v>-1.4999999999999999E-2</v>
      </c>
      <c r="H750" s="1" t="str">
        <f t="shared" si="23"/>
        <v/>
      </c>
      <c r="I750" s="1">
        <v>2E-3</v>
      </c>
      <c r="J750" s="1">
        <f>+D750-F750+I750*O750</f>
        <v>7.7439999999999995E-2</v>
      </c>
      <c r="K750" s="1">
        <v>1.01854428648949E-2</v>
      </c>
      <c r="L750" s="1">
        <f>+K750-J750</f>
        <v>-6.72545571351051E-2</v>
      </c>
      <c r="M750" s="1">
        <v>-4.81455713510509E-3</v>
      </c>
      <c r="N750" s="1">
        <f>+M750-J750</f>
        <v>-8.2254557135105086E-2</v>
      </c>
      <c r="O750">
        <v>2.72</v>
      </c>
      <c r="P750" t="s">
        <v>17</v>
      </c>
      <c r="Q750">
        <v>-0.01</v>
      </c>
      <c r="R750">
        <v>-9.9536205492913692E-3</v>
      </c>
      <c r="S750">
        <v>-1.1961644049733801E-2</v>
      </c>
      <c r="T750">
        <v>-0.05</v>
      </c>
    </row>
    <row r="751" spans="1:20" x14ac:dyDescent="0.3">
      <c r="A751" t="s">
        <v>64</v>
      </c>
      <c r="B751">
        <v>2014</v>
      </c>
      <c r="C751">
        <v>846604.1875</v>
      </c>
      <c r="D751" s="1">
        <v>1.2E-2</v>
      </c>
      <c r="E751" s="1">
        <v>0.90750926733017001</v>
      </c>
      <c r="F751" s="1">
        <v>-4.4999999999999998E-2</v>
      </c>
      <c r="G751" s="1">
        <f t="shared" si="22"/>
        <v>-0.06</v>
      </c>
      <c r="H751" s="1" t="str">
        <f t="shared" si="23"/>
        <v/>
      </c>
      <c r="I751" s="1">
        <v>-1E-3</v>
      </c>
      <c r="J751" s="1">
        <f>+D751-F751+I751*O751</f>
        <v>5.4399999999999997E-2</v>
      </c>
      <c r="K751" s="1">
        <v>6.0463794507086303E-3</v>
      </c>
      <c r="L751" s="1">
        <f>+K751-J751</f>
        <v>-4.8353620549291369E-2</v>
      </c>
      <c r="M751" s="1">
        <v>-9.9536205492913692E-3</v>
      </c>
      <c r="N751" s="1">
        <f>+M751-J751</f>
        <v>-6.4353620549291363E-2</v>
      </c>
      <c r="O751">
        <v>2.6</v>
      </c>
      <c r="P751" t="s">
        <v>16</v>
      </c>
      <c r="Q751">
        <v>-0.01</v>
      </c>
      <c r="R751">
        <v>-6.4418523795902703E-3</v>
      </c>
      <c r="S751">
        <v>-3.6705304402857901E-2</v>
      </c>
      <c r="T751">
        <v>-0.05</v>
      </c>
    </row>
    <row r="752" spans="1:20" x14ac:dyDescent="0.3">
      <c r="A752" t="s">
        <v>64</v>
      </c>
      <c r="B752">
        <v>2015</v>
      </c>
      <c r="C752">
        <v>848389.875</v>
      </c>
      <c r="D752" s="1">
        <v>0.01</v>
      </c>
      <c r="E752" s="1">
        <v>0.914423227310181</v>
      </c>
      <c r="F752" s="1">
        <v>-7.0000000000000001E-3</v>
      </c>
      <c r="G752" s="1">
        <f t="shared" si="22"/>
        <v>-6.7000000000000004E-2</v>
      </c>
      <c r="H752" s="1" t="str">
        <f t="shared" si="23"/>
        <v/>
      </c>
      <c r="I752" s="1">
        <v>7.0000000000000001E-3</v>
      </c>
      <c r="J752" s="1">
        <f>+D752-F752+I752*O752</f>
        <v>3.5060000000000001E-2</v>
      </c>
      <c r="K752" s="1">
        <v>-5.4418523795902703E-3</v>
      </c>
      <c r="L752" s="1">
        <f>+K752-J752</f>
        <v>-4.0501852379590274E-2</v>
      </c>
      <c r="M752" s="1">
        <v>-6.4418523795902703E-3</v>
      </c>
      <c r="N752" s="1">
        <f>+M752-J752</f>
        <v>-4.1501852379590268E-2</v>
      </c>
      <c r="O752">
        <v>2.58</v>
      </c>
      <c r="P752" t="s">
        <v>17</v>
      </c>
      <c r="Q752">
        <v>-0.04</v>
      </c>
      <c r="R752">
        <v>-5.0685952529311096E-3</v>
      </c>
      <c r="S752">
        <v>-1.82221522554755E-2</v>
      </c>
      <c r="T752">
        <v>0</v>
      </c>
    </row>
    <row r="753" spans="1:20" x14ac:dyDescent="0.3">
      <c r="A753" t="s">
        <v>64</v>
      </c>
      <c r="B753">
        <v>2016</v>
      </c>
      <c r="C753">
        <v>853916.0625</v>
      </c>
      <c r="D753" s="1">
        <v>1.7999999999999999E-2</v>
      </c>
      <c r="E753" s="1">
        <v>0.89955168962478604</v>
      </c>
      <c r="F753" s="1">
        <v>4.7E-2</v>
      </c>
      <c r="G753" s="1">
        <f t="shared" si="22"/>
        <v>-2.0000000000000004E-2</v>
      </c>
      <c r="H753" s="1" t="str">
        <f t="shared" si="23"/>
        <v/>
      </c>
      <c r="I753" s="1">
        <v>-1.4999999999999999E-2</v>
      </c>
      <c r="J753" s="1">
        <f>+D753-F753+I753*O753</f>
        <v>-6.9500000000000006E-2</v>
      </c>
      <c r="K753" s="1">
        <v>7.9314047470688803E-3</v>
      </c>
      <c r="L753" s="1">
        <f>+K753-J753</f>
        <v>7.7431404747068888E-2</v>
      </c>
      <c r="M753" s="1">
        <v>-5.0685952529311096E-3</v>
      </c>
      <c r="N753" s="1">
        <f>+M753-J753</f>
        <v>6.4431404747068891E-2</v>
      </c>
      <c r="O753">
        <v>2.7</v>
      </c>
      <c r="P753" t="s">
        <v>17</v>
      </c>
      <c r="Q753">
        <v>-0.02</v>
      </c>
      <c r="R753">
        <v>-3.3980722576379902E-3</v>
      </c>
      <c r="S753">
        <v>-6.1876457184552904E-3</v>
      </c>
      <c r="T753">
        <v>0.05</v>
      </c>
    </row>
    <row r="754" spans="1:20" x14ac:dyDescent="0.3">
      <c r="A754" t="s">
        <v>64</v>
      </c>
      <c r="B754">
        <v>2017</v>
      </c>
      <c r="C754">
        <v>857845.5625</v>
      </c>
      <c r="D754" s="1">
        <v>1.6E-2</v>
      </c>
      <c r="E754" s="1">
        <v>0.90439355373382602</v>
      </c>
      <c r="F754" s="1">
        <v>-2.1999999999999999E-2</v>
      </c>
      <c r="G754" s="1">
        <f t="shared" si="22"/>
        <v>-4.2000000000000003E-2</v>
      </c>
      <c r="H754" s="1" t="str">
        <f t="shared" si="23"/>
        <v/>
      </c>
      <c r="I754" s="1">
        <v>5.0000000000000001E-3</v>
      </c>
      <c r="J754" s="1">
        <f>+D754-F754+I754*O754</f>
        <v>5.1200000000000002E-2</v>
      </c>
      <c r="K754" s="1">
        <v>1.7601927742362002E-2</v>
      </c>
      <c r="L754" s="1">
        <f>+K754-J754</f>
        <v>-3.3598072257638001E-2</v>
      </c>
      <c r="M754" s="1">
        <v>-3.3980722576379902E-3</v>
      </c>
      <c r="N754" s="1">
        <f>+M754-J754</f>
        <v>-5.4598072257637992E-2</v>
      </c>
      <c r="O754">
        <v>2.64</v>
      </c>
      <c r="P754" t="s">
        <v>17</v>
      </c>
      <c r="Q754">
        <v>-0.01</v>
      </c>
      <c r="R754">
        <v>3.3483768105506901E-3</v>
      </c>
      <c r="S754">
        <v>-5.7866461575030899E-3</v>
      </c>
      <c r="T754">
        <v>-0.02</v>
      </c>
    </row>
    <row r="755" spans="1:20" x14ac:dyDescent="0.3">
      <c r="A755" t="s">
        <v>64</v>
      </c>
      <c r="B755">
        <v>2018</v>
      </c>
      <c r="C755">
        <v>860369.1875</v>
      </c>
      <c r="D755" s="1">
        <v>5.0000000000000001E-3</v>
      </c>
      <c r="E755" s="1">
        <v>0.92202144861221302</v>
      </c>
      <c r="F755" s="1">
        <v>-5.1999999999999998E-2</v>
      </c>
      <c r="G755" s="1">
        <f t="shared" si="22"/>
        <v>-9.4E-2</v>
      </c>
      <c r="H755" s="1" t="str">
        <f t="shared" si="23"/>
        <v/>
      </c>
      <c r="I755" s="1">
        <v>1.7999999999999999E-2</v>
      </c>
      <c r="J755" s="1">
        <f>+D755-F755+I755*O755</f>
        <v>0.10199999999999999</v>
      </c>
      <c r="K755" s="1">
        <v>2.73483768105507E-2</v>
      </c>
      <c r="L755" s="1">
        <f>+K755-J755</f>
        <v>-7.465162318944929E-2</v>
      </c>
      <c r="M755" s="1">
        <v>3.3483768105506901E-3</v>
      </c>
      <c r="N755" s="1">
        <f>+M755-J755</f>
        <v>-9.8651623189449297E-2</v>
      </c>
      <c r="O755">
        <v>2.5</v>
      </c>
      <c r="P755" t="s">
        <v>17</v>
      </c>
      <c r="Q755">
        <v>-0.01</v>
      </c>
      <c r="R755">
        <v>2.2754940360784501E-2</v>
      </c>
      <c r="S755">
        <v>4.9537457525729899E-3</v>
      </c>
      <c r="T755">
        <v>-0.04</v>
      </c>
    </row>
    <row r="756" spans="1:20" x14ac:dyDescent="0.3">
      <c r="A756" t="s">
        <v>64</v>
      </c>
      <c r="B756">
        <v>2019</v>
      </c>
      <c r="C756">
        <v>865373</v>
      </c>
      <c r="D756" s="1">
        <v>0.01</v>
      </c>
      <c r="E756" s="1">
        <v>0.93830841779708896</v>
      </c>
      <c r="F756" s="1">
        <v>6.3E-2</v>
      </c>
      <c r="G756" s="1">
        <f t="shared" si="22"/>
        <v>-3.1E-2</v>
      </c>
      <c r="H756" s="1" t="str">
        <f t="shared" si="23"/>
        <v/>
      </c>
      <c r="I756" s="1">
        <v>1.6E-2</v>
      </c>
      <c r="J756" s="1">
        <f>+D756-F756+I756*O756</f>
        <v>-1.0439999999999998E-2</v>
      </c>
      <c r="K756" s="1">
        <v>4.0754940360784503E-2</v>
      </c>
      <c r="L756" s="1">
        <f>+K756-J756</f>
        <v>5.1194940360784501E-2</v>
      </c>
      <c r="M756" s="1">
        <v>2.2754940360784501E-2</v>
      </c>
      <c r="N756" s="1">
        <f>+M756-J756</f>
        <v>3.3194940360784499E-2</v>
      </c>
      <c r="O756">
        <v>2.66</v>
      </c>
      <c r="P756" t="s">
        <v>15</v>
      </c>
      <c r="Q756">
        <v>0</v>
      </c>
      <c r="R756">
        <v>1.8711352825164701E-2</v>
      </c>
      <c r="S756">
        <v>-1.3783760368820099E-4</v>
      </c>
      <c r="T756">
        <v>7.0000000000000007E-2</v>
      </c>
    </row>
    <row r="757" spans="1:20" x14ac:dyDescent="0.3">
      <c r="A757" t="s">
        <v>64</v>
      </c>
      <c r="B757">
        <v>2020</v>
      </c>
      <c r="C757">
        <v>870124.875</v>
      </c>
      <c r="D757" s="1">
        <v>5.0000000000000001E-3</v>
      </c>
      <c r="E757" s="1">
        <v>0.95665186643600497</v>
      </c>
      <c r="F757" s="1">
        <v>-0.113</v>
      </c>
      <c r="G757" s="1">
        <f t="shared" si="22"/>
        <v>-0.14400000000000002</v>
      </c>
      <c r="H757" s="1">
        <f t="shared" si="23"/>
        <v>9.0009197592735402E-2</v>
      </c>
      <c r="I757" s="1">
        <v>1.7999999999999999E-2</v>
      </c>
      <c r="J757" s="1">
        <f>+D757-F757+I757*O757</f>
        <v>0.16048000000000001</v>
      </c>
      <c r="K757" s="1">
        <v>3.0711352825164798E-2</v>
      </c>
      <c r="L757" s="1">
        <f>+K757-J757</f>
        <v>-0.12976864717483522</v>
      </c>
      <c r="M757" s="1">
        <v>1.8711352825164701E-2</v>
      </c>
      <c r="N757" s="1">
        <f>+M757-J757</f>
        <v>-0.14176864717483531</v>
      </c>
      <c r="O757">
        <v>2.36</v>
      </c>
      <c r="P757" t="s">
        <v>17</v>
      </c>
      <c r="Q757">
        <v>0</v>
      </c>
      <c r="R757">
        <v>6.0946500182152002E-2</v>
      </c>
      <c r="S757">
        <v>1.7356887459754999E-2</v>
      </c>
      <c r="T757">
        <v>-7.0000000000000007E-2</v>
      </c>
    </row>
    <row r="758" spans="1:20" x14ac:dyDescent="0.3">
      <c r="A758" t="s">
        <v>64</v>
      </c>
      <c r="B758">
        <v>2021</v>
      </c>
      <c r="C758">
        <v>871126</v>
      </c>
      <c r="D758" s="1">
        <v>0.01</v>
      </c>
      <c r="E758" s="1">
        <v>0.967229604721069</v>
      </c>
      <c r="F758" s="1">
        <v>7.6999999999999999E-2</v>
      </c>
      <c r="G758" s="1">
        <f t="shared" si="22"/>
        <v>-6.7000000000000018E-2</v>
      </c>
      <c r="H758" s="1" t="str">
        <f t="shared" si="23"/>
        <v/>
      </c>
      <c r="I758" s="1">
        <v>1.0999999999999999E-2</v>
      </c>
      <c r="J758" s="1">
        <f>+D758-F758+I758*O758</f>
        <v>-3.9060000000000004E-2</v>
      </c>
      <c r="K758" s="1">
        <v>0.107946500182152</v>
      </c>
      <c r="L758" s="1">
        <f>+K758-J758</f>
        <v>0.147006500182152</v>
      </c>
      <c r="M758" s="1">
        <v>6.0946500182152002E-2</v>
      </c>
      <c r="N758" s="1">
        <f>+M758-J758</f>
        <v>0.10000650018215201</v>
      </c>
      <c r="O758">
        <v>2.54</v>
      </c>
      <c r="P758" t="s">
        <v>15</v>
      </c>
      <c r="Q758">
        <v>0.02</v>
      </c>
      <c r="R758">
        <v>-7.9281049966811994E-3</v>
      </c>
      <c r="S758">
        <v>2.41754017770291E-2</v>
      </c>
      <c r="T758">
        <v>0.05</v>
      </c>
    </row>
    <row r="759" spans="1:20" x14ac:dyDescent="0.3">
      <c r="A759" t="s">
        <v>64</v>
      </c>
      <c r="B759">
        <v>2022</v>
      </c>
      <c r="C759">
        <v>873679.625</v>
      </c>
      <c r="D759" s="1">
        <v>0.01</v>
      </c>
      <c r="E759" s="1">
        <v>0.95553249120712302</v>
      </c>
      <c r="F759" s="1">
        <v>1E-3</v>
      </c>
      <c r="G759" s="1">
        <f t="shared" si="22"/>
        <v>-6.6000000000000017E-2</v>
      </c>
      <c r="H759" s="1" t="str">
        <f t="shared" si="23"/>
        <v/>
      </c>
      <c r="I759" s="1">
        <v>-1.2E-2</v>
      </c>
      <c r="J759" s="1">
        <f>+D759-F759+I759*O759</f>
        <v>-2.1599999999999998E-2</v>
      </c>
      <c r="K759" s="1">
        <v>7.20718950033188E-2</v>
      </c>
      <c r="L759" s="1">
        <f>+K759-J759</f>
        <v>9.3671895003318795E-2</v>
      </c>
      <c r="M759" s="1">
        <v>-7.9281049966811994E-3</v>
      </c>
      <c r="N759" s="1">
        <f>+M759-J759</f>
        <v>1.3671895003318798E-2</v>
      </c>
      <c r="O759">
        <v>2.5499999999999998</v>
      </c>
      <c r="P759" t="s">
        <v>17</v>
      </c>
      <c r="Q759">
        <v>0.02</v>
      </c>
      <c r="R759">
        <v>-1.63556661307812E-2</v>
      </c>
      <c r="S759">
        <v>3.2032616436480899E-3</v>
      </c>
      <c r="T759">
        <v>0.02</v>
      </c>
    </row>
    <row r="760" spans="1:20" x14ac:dyDescent="0.3">
      <c r="A760" t="s">
        <v>65</v>
      </c>
      <c r="B760">
        <v>2006</v>
      </c>
      <c r="C760">
        <v>195350.29689999999</v>
      </c>
      <c r="D760" s="1">
        <v>4.0000000000000001E-3</v>
      </c>
      <c r="E760" s="1">
        <v>0.889426529407501</v>
      </c>
      <c r="F760" s="1">
        <v>-5.8000000000000003E-2</v>
      </c>
      <c r="G760" s="1">
        <f t="shared" si="22"/>
        <v>-5.8000000000000003E-2</v>
      </c>
      <c r="H760" s="1" t="str">
        <f t="shared" si="23"/>
        <v/>
      </c>
      <c r="I760" s="1">
        <v>0.01</v>
      </c>
      <c r="J760" s="1">
        <f>+D760-F760+I760*O760</f>
        <v>8.5599999999999996E-2</v>
      </c>
      <c r="K760" s="1">
        <v>1.9879307597875599E-2</v>
      </c>
      <c r="L760" s="1">
        <f>+K760-J760</f>
        <v>-6.57206924021244E-2</v>
      </c>
      <c r="M760" s="1">
        <v>-1.21206924021244E-2</v>
      </c>
      <c r="N760" s="1">
        <f>+M760-J760</f>
        <v>-9.7720692402124401E-2</v>
      </c>
      <c r="O760">
        <v>2.36</v>
      </c>
      <c r="P760" t="s">
        <v>17</v>
      </c>
      <c r="Q760">
        <v>-0.02</v>
      </c>
      <c r="R760">
        <v>-6.8442140668630996E-3</v>
      </c>
      <c r="S760">
        <v>-5.9224581345916003E-3</v>
      </c>
      <c r="T760">
        <v>-0.06</v>
      </c>
    </row>
    <row r="761" spans="1:20" x14ac:dyDescent="0.3">
      <c r="A761" t="s">
        <v>65</v>
      </c>
      <c r="B761">
        <v>2007</v>
      </c>
      <c r="C761">
        <v>196667.20310000001</v>
      </c>
      <c r="D761" s="1">
        <v>0</v>
      </c>
      <c r="E761" s="1">
        <v>0.89555299282073997</v>
      </c>
      <c r="F761" s="1">
        <v>5.7000000000000002E-2</v>
      </c>
      <c r="G761" s="1">
        <f t="shared" si="22"/>
        <v>-1.0000000000000009E-3</v>
      </c>
      <c r="H761" s="1" t="str">
        <f t="shared" si="23"/>
        <v/>
      </c>
      <c r="I761" s="1">
        <v>6.0000000000000001E-3</v>
      </c>
      <c r="J761" s="1">
        <f>+D761-F761+I761*O761</f>
        <v>-4.206E-2</v>
      </c>
      <c r="K761" s="1">
        <v>2.2155785933136898E-2</v>
      </c>
      <c r="L761" s="1">
        <f>+K761-J761</f>
        <v>6.4215785933136899E-2</v>
      </c>
      <c r="M761" s="1">
        <v>-6.8442140668630996E-3</v>
      </c>
      <c r="N761" s="1">
        <f>+M761-J761</f>
        <v>3.5215785933136901E-2</v>
      </c>
      <c r="O761">
        <v>2.4900000000000002</v>
      </c>
      <c r="P761" t="s">
        <v>15</v>
      </c>
      <c r="Q761">
        <v>-0.01</v>
      </c>
      <c r="R761">
        <v>-2.3790633596479899E-2</v>
      </c>
      <c r="S761">
        <v>5.7201706804334996E-3</v>
      </c>
      <c r="T761">
        <v>0.06</v>
      </c>
    </row>
    <row r="762" spans="1:20" x14ac:dyDescent="0.3">
      <c r="A762" t="s">
        <v>65</v>
      </c>
      <c r="B762">
        <v>2008</v>
      </c>
      <c r="C762">
        <v>197708.4063</v>
      </c>
      <c r="D762" s="1">
        <v>0</v>
      </c>
      <c r="E762" s="1">
        <v>0.90446871519088701</v>
      </c>
      <c r="F762" s="1">
        <v>-4.7E-2</v>
      </c>
      <c r="G762" s="1">
        <f t="shared" si="22"/>
        <v>-4.8000000000000001E-2</v>
      </c>
      <c r="H762" s="1" t="str">
        <f t="shared" si="23"/>
        <v/>
      </c>
      <c r="I762" s="1">
        <v>8.9999999999999993E-3</v>
      </c>
      <c r="J762" s="1">
        <f>+D762-F762+I762*O762</f>
        <v>6.8419999999999995E-2</v>
      </c>
      <c r="K762" s="1">
        <v>1.42093664035201E-2</v>
      </c>
      <c r="L762" s="1">
        <f>+K762-J762</f>
        <v>-5.4210633596479894E-2</v>
      </c>
      <c r="M762" s="1">
        <v>-2.3790633596479899E-2</v>
      </c>
      <c r="N762" s="1">
        <f>+M762-J762</f>
        <v>-9.2210633596479893E-2</v>
      </c>
      <c r="O762">
        <v>2.38</v>
      </c>
      <c r="P762" t="s">
        <v>17</v>
      </c>
      <c r="Q762">
        <v>0.01</v>
      </c>
      <c r="R762">
        <v>-1.8563621401786801E-2</v>
      </c>
      <c r="S762">
        <v>8.00308026373385E-3</v>
      </c>
      <c r="T762">
        <v>-0.05</v>
      </c>
    </row>
    <row r="763" spans="1:20" x14ac:dyDescent="0.3">
      <c r="A763" t="s">
        <v>65</v>
      </c>
      <c r="B763">
        <v>2009</v>
      </c>
      <c r="C763">
        <v>197516.9063</v>
      </c>
      <c r="D763" s="1">
        <v>4.1000000000000002E-2</v>
      </c>
      <c r="E763" s="1">
        <v>0.90330797433853105</v>
      </c>
      <c r="F763" s="1">
        <v>0.1</v>
      </c>
      <c r="G763" s="1">
        <f t="shared" si="22"/>
        <v>5.2000000000000005E-2</v>
      </c>
      <c r="H763" s="1" t="str">
        <f t="shared" si="23"/>
        <v/>
      </c>
      <c r="I763" s="1">
        <v>-1E-3</v>
      </c>
      <c r="J763" s="1">
        <f>+D763-F763+I763*O763</f>
        <v>-6.1610000000000005E-2</v>
      </c>
      <c r="K763" s="1">
        <v>-2.2563621401786801E-2</v>
      </c>
      <c r="L763" s="1">
        <f>+K763-J763</f>
        <v>3.9046378598213208E-2</v>
      </c>
      <c r="M763" s="1">
        <v>-1.8563621401786801E-2</v>
      </c>
      <c r="N763" s="1">
        <f>+M763-J763</f>
        <v>4.3046378598213204E-2</v>
      </c>
      <c r="O763">
        <v>2.61</v>
      </c>
      <c r="P763" t="s">
        <v>17</v>
      </c>
      <c r="Q763">
        <v>0.01</v>
      </c>
      <c r="R763">
        <v>-1.5329426093026901E-2</v>
      </c>
      <c r="S763">
        <v>-5.8693173341453101E-3</v>
      </c>
      <c r="T763">
        <v>0.08</v>
      </c>
    </row>
    <row r="764" spans="1:20" x14ac:dyDescent="0.3">
      <c r="A764" t="s">
        <v>65</v>
      </c>
      <c r="B764">
        <v>2010</v>
      </c>
      <c r="C764">
        <v>197712.4063</v>
      </c>
      <c r="D764" s="1">
        <v>0</v>
      </c>
      <c r="E764" s="1">
        <v>0.90319663286209095</v>
      </c>
      <c r="F764" s="1">
        <v>-0.04</v>
      </c>
      <c r="G764" s="1">
        <f t="shared" si="22"/>
        <v>1.2000000000000004E-2</v>
      </c>
      <c r="H764" s="1" t="str">
        <f t="shared" si="23"/>
        <v/>
      </c>
      <c r="I764" s="1">
        <v>0</v>
      </c>
      <c r="J764" s="1">
        <f>+D764-F764+I764*O764</f>
        <v>0.04</v>
      </c>
      <c r="K764" s="1">
        <v>6.7057390697300402E-4</v>
      </c>
      <c r="L764" s="1">
        <f>+K764-J764</f>
        <v>-3.9329426093026996E-2</v>
      </c>
      <c r="M764" s="1">
        <v>-1.5329426093026901E-2</v>
      </c>
      <c r="N764" s="1">
        <f>+M764-J764</f>
        <v>-5.53294260930269E-2</v>
      </c>
      <c r="O764">
        <v>2.5099999999999998</v>
      </c>
      <c r="P764" t="s">
        <v>16</v>
      </c>
      <c r="Q764">
        <v>-0.01</v>
      </c>
      <c r="R764">
        <v>-2.5946095928549701E-2</v>
      </c>
      <c r="S764">
        <v>-4.6623214147984704E-3</v>
      </c>
      <c r="T764">
        <v>-0.05</v>
      </c>
    </row>
    <row r="765" spans="1:20" x14ac:dyDescent="0.3">
      <c r="A765" t="s">
        <v>65</v>
      </c>
      <c r="B765">
        <v>2011</v>
      </c>
      <c r="C765">
        <v>198571.10939999999</v>
      </c>
      <c r="D765" s="1">
        <v>0</v>
      </c>
      <c r="E765" s="1">
        <v>0.91148763895034801</v>
      </c>
      <c r="F765" s="1">
        <v>-1E-3</v>
      </c>
      <c r="G765" s="1">
        <f t="shared" si="22"/>
        <v>1.1000000000000003E-2</v>
      </c>
      <c r="H765" s="1" t="str">
        <f t="shared" si="23"/>
        <v/>
      </c>
      <c r="I765" s="1">
        <v>8.0000000000000002E-3</v>
      </c>
      <c r="J765" s="1">
        <f>+D765-F765+I765*O765</f>
        <v>2.1000000000000001E-2</v>
      </c>
      <c r="K765" s="1">
        <v>6.05390407145023E-3</v>
      </c>
      <c r="L765" s="1">
        <f>+K765-J765</f>
        <v>-1.4946095928549771E-2</v>
      </c>
      <c r="M765" s="1">
        <v>-2.5946095928549701E-2</v>
      </c>
      <c r="N765" s="1">
        <f>+M765-J765</f>
        <v>-4.6946095928549703E-2</v>
      </c>
      <c r="O765">
        <v>2.5</v>
      </c>
      <c r="P765" t="s">
        <v>17</v>
      </c>
      <c r="Q765">
        <v>0</v>
      </c>
      <c r="R765">
        <v>-1.13409024700522E-2</v>
      </c>
      <c r="S765">
        <v>-5.9026964008808396E-3</v>
      </c>
      <c r="T765">
        <v>0</v>
      </c>
    </row>
    <row r="766" spans="1:20" x14ac:dyDescent="0.3">
      <c r="A766" t="s">
        <v>65</v>
      </c>
      <c r="B766">
        <v>2012</v>
      </c>
      <c r="C766">
        <v>199505.5</v>
      </c>
      <c r="D766" s="1">
        <v>0</v>
      </c>
      <c r="E766" s="1">
        <v>0.91786938905715898</v>
      </c>
      <c r="F766" s="1">
        <v>-6.0000000000000001E-3</v>
      </c>
      <c r="G766" s="1">
        <f t="shared" si="22"/>
        <v>5.0000000000000027E-3</v>
      </c>
      <c r="H766" s="1" t="str">
        <f t="shared" si="23"/>
        <v/>
      </c>
      <c r="I766" s="1">
        <v>6.0000000000000001E-3</v>
      </c>
      <c r="J766" s="1">
        <f>+D766-F766+I766*O766</f>
        <v>2.094E-2</v>
      </c>
      <c r="K766" s="1">
        <v>9.6590975299477595E-3</v>
      </c>
      <c r="L766" s="1">
        <f>+K766-J766</f>
        <v>-1.1280902470052241E-2</v>
      </c>
      <c r="M766" s="1">
        <v>-1.13409024700522E-2</v>
      </c>
      <c r="N766" s="1">
        <f>+M766-J766</f>
        <v>-3.2280902470052199E-2</v>
      </c>
      <c r="O766">
        <v>2.4900000000000002</v>
      </c>
      <c r="P766" t="s">
        <v>17</v>
      </c>
      <c r="Q766">
        <v>-0.01</v>
      </c>
      <c r="R766">
        <v>-6.3322003558278E-3</v>
      </c>
      <c r="S766">
        <v>-1.2458971701562399E-2</v>
      </c>
      <c r="T766">
        <v>-0.01</v>
      </c>
    </row>
    <row r="767" spans="1:20" x14ac:dyDescent="0.3">
      <c r="A767" t="s">
        <v>65</v>
      </c>
      <c r="B767">
        <v>2013</v>
      </c>
      <c r="C767">
        <v>200788.70310000001</v>
      </c>
      <c r="D767" s="1">
        <v>0</v>
      </c>
      <c r="E767" s="1">
        <v>0.92593008279800404</v>
      </c>
      <c r="F767" s="1">
        <v>-6.4000000000000001E-2</v>
      </c>
      <c r="G767" s="1">
        <f t="shared" si="22"/>
        <v>-5.8999999999999997E-2</v>
      </c>
      <c r="H767" s="1" t="str">
        <f t="shared" si="23"/>
        <v/>
      </c>
      <c r="I767" s="1">
        <v>8.0000000000000002E-3</v>
      </c>
      <c r="J767" s="1">
        <f>+D767-F767+I767*O767</f>
        <v>8.2640000000000005E-2</v>
      </c>
      <c r="K767" s="1">
        <v>8.6677996441721899E-3</v>
      </c>
      <c r="L767" s="1">
        <f>+K767-J767</f>
        <v>-7.3972200355827814E-2</v>
      </c>
      <c r="M767" s="1">
        <v>-6.3322003558278E-3</v>
      </c>
      <c r="N767" s="1">
        <f>+M767-J767</f>
        <v>-8.8972200355827799E-2</v>
      </c>
      <c r="O767">
        <v>2.33</v>
      </c>
      <c r="P767" t="s">
        <v>17</v>
      </c>
      <c r="Q767">
        <v>-0.01</v>
      </c>
      <c r="R767">
        <v>5.10440766809949E-6</v>
      </c>
      <c r="S767">
        <v>-2.0029190927743998E-3</v>
      </c>
      <c r="T767">
        <v>-7.0000000000000007E-2</v>
      </c>
    </row>
    <row r="768" spans="1:20" x14ac:dyDescent="0.3">
      <c r="A768" t="s">
        <v>65</v>
      </c>
      <c r="B768">
        <v>2014</v>
      </c>
      <c r="C768">
        <v>202196.70310000001</v>
      </c>
      <c r="D768" s="1">
        <v>0</v>
      </c>
      <c r="E768" s="1">
        <v>0.93734788894653298</v>
      </c>
      <c r="F768" s="1">
        <v>0.17100000000000001</v>
      </c>
      <c r="G768" s="1">
        <f t="shared" si="22"/>
        <v>0.11200000000000002</v>
      </c>
      <c r="H768" s="1" t="str">
        <f t="shared" si="23"/>
        <v/>
      </c>
      <c r="I768" s="1">
        <v>1.0999999999999999E-2</v>
      </c>
      <c r="J768" s="1">
        <f>+D768-F768+I768*O768</f>
        <v>-0.14097000000000001</v>
      </c>
      <c r="K768" s="1">
        <v>1.60051044076681E-2</v>
      </c>
      <c r="L768" s="1">
        <f>+K768-J768</f>
        <v>0.1569751044076681</v>
      </c>
      <c r="M768" s="1">
        <v>5.10440766809949E-6</v>
      </c>
      <c r="N768" s="1">
        <f>+M768-J768</f>
        <v>0.14097510440766811</v>
      </c>
      <c r="O768">
        <v>2.73</v>
      </c>
      <c r="P768" t="s">
        <v>15</v>
      </c>
      <c r="Q768">
        <v>0</v>
      </c>
      <c r="R768">
        <v>4.1750172317027899E-2</v>
      </c>
      <c r="S768">
        <v>1.14867202937603E-2</v>
      </c>
      <c r="T768">
        <v>0.17</v>
      </c>
    </row>
    <row r="769" spans="1:20" x14ac:dyDescent="0.3">
      <c r="A769" t="s">
        <v>65</v>
      </c>
      <c r="B769">
        <v>2015</v>
      </c>
      <c r="C769">
        <v>203593.9063</v>
      </c>
      <c r="D769" s="1">
        <v>0</v>
      </c>
      <c r="E769" s="1">
        <v>0.953679859638214</v>
      </c>
      <c r="F769" s="1">
        <v>-8.4000000000000005E-2</v>
      </c>
      <c r="G769" s="1">
        <f t="shared" si="22"/>
        <v>2.8000000000000011E-2</v>
      </c>
      <c r="H769" s="1" t="str">
        <f t="shared" si="23"/>
        <v/>
      </c>
      <c r="I769" s="1">
        <v>1.6E-2</v>
      </c>
      <c r="J769" s="1">
        <f>+D769-F769+I769*O769</f>
        <v>0.124</v>
      </c>
      <c r="K769" s="1">
        <v>4.2750172317027997E-2</v>
      </c>
      <c r="L769" s="1">
        <f>+K769-J769</f>
        <v>-8.1249827682972009E-2</v>
      </c>
      <c r="M769" s="1">
        <v>4.1750172317027899E-2</v>
      </c>
      <c r="N769" s="1">
        <f>+M769-J769</f>
        <v>-8.2249827682972093E-2</v>
      </c>
      <c r="O769">
        <v>2.5</v>
      </c>
      <c r="P769" t="s">
        <v>17</v>
      </c>
      <c r="Q769">
        <v>0.01</v>
      </c>
      <c r="R769">
        <v>1.7519029125571298E-2</v>
      </c>
      <c r="S769">
        <v>4.3654721230268999E-3</v>
      </c>
      <c r="T769">
        <v>-7.0000000000000007E-2</v>
      </c>
    </row>
    <row r="770" spans="1:20" x14ac:dyDescent="0.3">
      <c r="A770" t="s">
        <v>65</v>
      </c>
      <c r="B770">
        <v>2016</v>
      </c>
      <c r="C770">
        <v>204300</v>
      </c>
      <c r="D770" s="1">
        <v>0</v>
      </c>
      <c r="E770" s="1">
        <v>0.93758583068847701</v>
      </c>
      <c r="F770" s="1">
        <v>-3.1E-2</v>
      </c>
      <c r="G770" s="1">
        <f t="shared" si="22"/>
        <v>-2.9999999999999888E-3</v>
      </c>
      <c r="H770" s="1" t="str">
        <f t="shared" si="23"/>
        <v/>
      </c>
      <c r="I770" s="1">
        <v>-1.6E-2</v>
      </c>
      <c r="J770" s="1">
        <f>+D770-F770+I770*O770</f>
        <v>-7.7199999999999977E-3</v>
      </c>
      <c r="K770" s="1">
        <v>3.0519029125571299E-2</v>
      </c>
      <c r="L770" s="1">
        <f>+K770-J770</f>
        <v>3.8239029125571297E-2</v>
      </c>
      <c r="M770" s="1">
        <v>1.7519029125571298E-2</v>
      </c>
      <c r="N770" s="1">
        <f>+M770-J770</f>
        <v>2.5239029125571296E-2</v>
      </c>
      <c r="O770">
        <v>2.42</v>
      </c>
      <c r="P770" t="s">
        <v>16</v>
      </c>
      <c r="Q770">
        <v>0</v>
      </c>
      <c r="R770">
        <v>2.3595729559659901E-2</v>
      </c>
      <c r="S770">
        <v>2.0806156098842701E-2</v>
      </c>
      <c r="T770">
        <v>-0.03</v>
      </c>
    </row>
    <row r="771" spans="1:20" x14ac:dyDescent="0.3">
      <c r="A771" t="s">
        <v>65</v>
      </c>
      <c r="B771">
        <v>2017</v>
      </c>
      <c r="C771">
        <v>205185.89060000001</v>
      </c>
      <c r="D771" s="1">
        <v>0</v>
      </c>
      <c r="E771" s="1">
        <v>0.94263613224029497</v>
      </c>
      <c r="F771" s="1">
        <v>4.8000000000000001E-2</v>
      </c>
      <c r="G771" s="1">
        <f t="shared" si="22"/>
        <v>4.5000000000000012E-2</v>
      </c>
      <c r="H771" s="1" t="str">
        <f t="shared" si="23"/>
        <v/>
      </c>
      <c r="I771" s="1">
        <v>5.0000000000000001E-3</v>
      </c>
      <c r="J771" s="1">
        <f>+D771-F771+I771*O771</f>
        <v>-3.5299999999999998E-2</v>
      </c>
      <c r="K771" s="1">
        <v>4.459572955966E-2</v>
      </c>
      <c r="L771" s="1">
        <f>+K771-J771</f>
        <v>7.9895729559659998E-2</v>
      </c>
      <c r="M771" s="1">
        <v>2.3595729559659901E-2</v>
      </c>
      <c r="N771" s="1">
        <f>+M771-J771</f>
        <v>5.8895729559659896E-2</v>
      </c>
      <c r="O771">
        <v>2.54</v>
      </c>
      <c r="P771" t="s">
        <v>15</v>
      </c>
      <c r="Q771">
        <v>0.02</v>
      </c>
      <c r="R771">
        <v>3.8628673404455002E-3</v>
      </c>
      <c r="S771">
        <v>-5.2721556276082897E-3</v>
      </c>
      <c r="T771">
        <v>0.05</v>
      </c>
    </row>
    <row r="772" spans="1:20" x14ac:dyDescent="0.3">
      <c r="A772" t="s">
        <v>65</v>
      </c>
      <c r="B772">
        <v>2018</v>
      </c>
      <c r="C772">
        <v>206409.29689999999</v>
      </c>
      <c r="D772" s="1">
        <v>2.5999999999999999E-2</v>
      </c>
      <c r="E772" s="1">
        <v>0.94066661596298196</v>
      </c>
      <c r="F772" s="1">
        <v>-5.6000000000000001E-2</v>
      </c>
      <c r="G772" s="1">
        <f t="shared" si="22"/>
        <v>-1.0999999999999989E-2</v>
      </c>
      <c r="H772" s="1" t="str">
        <f t="shared" si="23"/>
        <v/>
      </c>
      <c r="I772" s="1">
        <v>-2E-3</v>
      </c>
      <c r="J772" s="1">
        <f>+D772-F772+I772*O772</f>
        <v>7.7200000000000005E-2</v>
      </c>
      <c r="K772" s="1">
        <v>2.7862867340445501E-2</v>
      </c>
      <c r="L772" s="1">
        <f>+K772-J772</f>
        <v>-4.93371326595545E-2</v>
      </c>
      <c r="M772" s="1">
        <v>3.8628673404455002E-3</v>
      </c>
      <c r="N772" s="1">
        <f>+M772-J772</f>
        <v>-7.3337132659554508E-2</v>
      </c>
      <c r="O772">
        <v>2.4</v>
      </c>
      <c r="P772" t="s">
        <v>16</v>
      </c>
      <c r="Q772">
        <v>-0.01</v>
      </c>
      <c r="R772">
        <v>7.5887582898140002E-3</v>
      </c>
      <c r="S772">
        <v>-1.0212436318397499E-2</v>
      </c>
      <c r="T772">
        <v>-0.05</v>
      </c>
    </row>
    <row r="773" spans="1:20" x14ac:dyDescent="0.3">
      <c r="A773" t="s">
        <v>65</v>
      </c>
      <c r="B773">
        <v>2019</v>
      </c>
      <c r="C773">
        <v>207007.70310000001</v>
      </c>
      <c r="D773" s="1">
        <v>2.7E-2</v>
      </c>
      <c r="E773" s="1">
        <v>0.88523697853088401</v>
      </c>
      <c r="F773" s="1">
        <v>-0.186</v>
      </c>
      <c r="G773" s="1">
        <f t="shared" si="22"/>
        <v>-0.19699999999999998</v>
      </c>
      <c r="H773" s="1">
        <f t="shared" si="23"/>
        <v>9.535305760800819E-2</v>
      </c>
      <c r="I773" s="1">
        <v>-5.5E-2</v>
      </c>
      <c r="J773" s="1">
        <f>+D773-F773+I773*O773</f>
        <v>0.10575</v>
      </c>
      <c r="K773" s="1">
        <v>2.5588758289813999E-2</v>
      </c>
      <c r="L773" s="1">
        <f>+K773-J773</f>
        <v>-8.0161241710186001E-2</v>
      </c>
      <c r="M773" s="1">
        <v>7.5887582898140002E-3</v>
      </c>
      <c r="N773" s="1">
        <f>+M773-J773</f>
        <v>-9.8161241710186004E-2</v>
      </c>
      <c r="O773">
        <v>1.95</v>
      </c>
      <c r="P773" t="s">
        <v>16</v>
      </c>
      <c r="Q773">
        <v>-0.01</v>
      </c>
      <c r="R773">
        <v>3.2211875647306397E-2</v>
      </c>
      <c r="S773">
        <v>1.33626852184534E-2</v>
      </c>
      <c r="T773">
        <v>-0.18</v>
      </c>
    </row>
    <row r="774" spans="1:20" x14ac:dyDescent="0.3">
      <c r="A774" t="s">
        <v>65</v>
      </c>
      <c r="B774">
        <v>2020</v>
      </c>
      <c r="C774">
        <v>207023.5</v>
      </c>
      <c r="D774" s="1">
        <v>1E-3</v>
      </c>
      <c r="E774" s="1">
        <v>0.943165123462677</v>
      </c>
      <c r="F774" s="1">
        <v>0.22700000000000001</v>
      </c>
      <c r="G774" s="1">
        <f t="shared" si="22"/>
        <v>3.0000000000000027E-2</v>
      </c>
      <c r="H774" s="1" t="str">
        <f t="shared" si="23"/>
        <v/>
      </c>
      <c r="I774" s="1">
        <v>5.8000000000000003E-2</v>
      </c>
      <c r="J774" s="1">
        <f>+D774-F774+I774*O774</f>
        <v>-8.7379999999999985E-2</v>
      </c>
      <c r="K774" s="1">
        <v>4.4211875647306401E-2</v>
      </c>
      <c r="L774" s="1">
        <f>+K774-J774</f>
        <v>0.1315918756473064</v>
      </c>
      <c r="M774" s="1">
        <v>3.2211875647306397E-2</v>
      </c>
      <c r="N774" s="1">
        <f>+M774-J774</f>
        <v>0.11959187564730639</v>
      </c>
      <c r="O774">
        <v>2.39</v>
      </c>
      <c r="P774" t="s">
        <v>15</v>
      </c>
      <c r="Q774">
        <v>0.01</v>
      </c>
      <c r="R774">
        <v>9.9494239568709994E-2</v>
      </c>
      <c r="S774">
        <v>5.5904626846312998E-2</v>
      </c>
      <c r="T774">
        <v>0.27</v>
      </c>
    </row>
    <row r="775" spans="1:20" x14ac:dyDescent="0.3">
      <c r="A775" t="s">
        <v>65</v>
      </c>
      <c r="B775">
        <v>2021</v>
      </c>
      <c r="C775">
        <v>207064</v>
      </c>
      <c r="D775" s="1">
        <v>0</v>
      </c>
      <c r="E775" s="1">
        <v>0.96608799695968595</v>
      </c>
      <c r="F775" s="1">
        <v>-2.5999999999999999E-2</v>
      </c>
      <c r="G775" s="1">
        <f t="shared" ref="G775:G838" si="24">SUMIFS(F:F,A:A,A775,B:B,"&lt;="&amp;B775)</f>
        <v>4.0000000000000278E-3</v>
      </c>
      <c r="H775" s="1" t="str">
        <f t="shared" ref="H775:H838" si="25">IFERROR(IF(ABS(G775)&gt;0.12,AVERAGEIFS(K:K,A:A,A775,B:B,"&gt;"&amp;B775,B:B,"&lt;"&amp;B775+3),""),"")</f>
        <v/>
      </c>
      <c r="I775" s="1">
        <v>2.3E-2</v>
      </c>
      <c r="J775" s="1">
        <f>+D775-F775+I775*O775</f>
        <v>7.9589999999999994E-2</v>
      </c>
      <c r="K775" s="1">
        <v>0.14649423956870999</v>
      </c>
      <c r="L775" s="1">
        <f>+K775-J775</f>
        <v>6.690423956871E-2</v>
      </c>
      <c r="M775" s="1">
        <v>9.9494239568709994E-2</v>
      </c>
      <c r="N775" s="1">
        <f>+M775-J775</f>
        <v>1.990423956871E-2</v>
      </c>
      <c r="O775">
        <v>2.33</v>
      </c>
      <c r="P775" t="s">
        <v>17</v>
      </c>
      <c r="Q775">
        <v>0.06</v>
      </c>
      <c r="R775">
        <v>-4.1891304701566698E-2</v>
      </c>
      <c r="S775">
        <v>-9.7877979278564002E-3</v>
      </c>
      <c r="T775">
        <v>-0.06</v>
      </c>
    </row>
    <row r="776" spans="1:20" x14ac:dyDescent="0.3">
      <c r="A776" t="s">
        <v>65</v>
      </c>
      <c r="B776">
        <v>2022</v>
      </c>
      <c r="C776">
        <v>207074</v>
      </c>
      <c r="D776" s="1">
        <v>0</v>
      </c>
      <c r="E776" s="1">
        <v>0.96054446697235096</v>
      </c>
      <c r="F776" s="1">
        <v>-4.5999999999999999E-2</v>
      </c>
      <c r="G776" s="1">
        <f t="shared" si="24"/>
        <v>-4.1999999999999968E-2</v>
      </c>
      <c r="H776" s="1" t="str">
        <f t="shared" si="25"/>
        <v/>
      </c>
      <c r="I776" s="1">
        <v>-6.0000000000000001E-3</v>
      </c>
      <c r="J776" s="1">
        <f>+D776-F776+I776*O776</f>
        <v>3.2680000000000001E-2</v>
      </c>
      <c r="K776" s="1">
        <v>3.8108695298433297E-2</v>
      </c>
      <c r="L776" s="1">
        <f>+K776-J776</f>
        <v>5.4286952984332962E-3</v>
      </c>
      <c r="M776" s="1">
        <v>-4.1891304701566698E-2</v>
      </c>
      <c r="N776" s="1">
        <f>+M776-J776</f>
        <v>-7.4571304701566699E-2</v>
      </c>
      <c r="O776">
        <v>2.2200000000000002</v>
      </c>
      <c r="P776" t="s">
        <v>16</v>
      </c>
      <c r="Q776">
        <v>-0.01</v>
      </c>
      <c r="R776">
        <v>-3.4074388243258001E-2</v>
      </c>
      <c r="S776">
        <v>-1.45154604688286E-2</v>
      </c>
      <c r="T776">
        <v>-0.03</v>
      </c>
    </row>
    <row r="777" spans="1:20" x14ac:dyDescent="0.3">
      <c r="A777" t="s">
        <v>66</v>
      </c>
      <c r="B777">
        <v>2006</v>
      </c>
      <c r="C777">
        <v>341136.28129999997</v>
      </c>
      <c r="D777" s="1">
        <v>1.7999999999999999E-2</v>
      </c>
      <c r="E777" s="1">
        <v>0.96931278705596902</v>
      </c>
      <c r="F777" s="1">
        <v>8.9999999999999993E-3</v>
      </c>
      <c r="G777" s="1">
        <f t="shared" si="24"/>
        <v>8.9999999999999993E-3</v>
      </c>
      <c r="H777" s="1" t="str">
        <f t="shared" si="25"/>
        <v/>
      </c>
      <c r="I777" s="1">
        <v>6.0000000000000001E-3</v>
      </c>
      <c r="J777" s="1">
        <f>+D777-F777+I777*O777</f>
        <v>2.172E-2</v>
      </c>
      <c r="K777" s="1">
        <v>6.2668211758136694E-2</v>
      </c>
      <c r="L777" s="1">
        <f>+K777-J777</f>
        <v>4.0948211758136691E-2</v>
      </c>
      <c r="M777" s="1">
        <v>3.0668211758136599E-2</v>
      </c>
      <c r="N777" s="1">
        <f>+M777-J777</f>
        <v>8.9482117581365997E-3</v>
      </c>
      <c r="O777">
        <v>2.12</v>
      </c>
      <c r="P777" t="s">
        <v>15</v>
      </c>
      <c r="Q777">
        <v>0.02</v>
      </c>
      <c r="R777">
        <v>1.8960560768842599E-2</v>
      </c>
      <c r="S777">
        <v>1.9882316701114199E-2</v>
      </c>
      <c r="T777">
        <v>0.01</v>
      </c>
    </row>
    <row r="778" spans="1:20" x14ac:dyDescent="0.3">
      <c r="A778" t="s">
        <v>66</v>
      </c>
      <c r="B778">
        <v>2007</v>
      </c>
      <c r="C778">
        <v>345674.71879999997</v>
      </c>
      <c r="D778" s="1">
        <v>2E-3</v>
      </c>
      <c r="E778" s="1">
        <v>0.96721047163009599</v>
      </c>
      <c r="F778" s="1">
        <v>-6.0000000000000001E-3</v>
      </c>
      <c r="G778" s="1">
        <f t="shared" si="24"/>
        <v>2.9999999999999992E-3</v>
      </c>
      <c r="H778" s="1" t="str">
        <f t="shared" si="25"/>
        <v/>
      </c>
      <c r="I778" s="1">
        <v>-2E-3</v>
      </c>
      <c r="J778" s="1">
        <f>+D778-F778+I778*O778</f>
        <v>3.7999999999999996E-3</v>
      </c>
      <c r="K778" s="1">
        <v>4.7960560768842697E-2</v>
      </c>
      <c r="L778" s="1">
        <f>+K778-J778</f>
        <v>4.4160560768842699E-2</v>
      </c>
      <c r="M778" s="1">
        <v>1.8960560768842599E-2</v>
      </c>
      <c r="N778" s="1">
        <f>+M778-J778</f>
        <v>1.5160560768842599E-2</v>
      </c>
      <c r="O778">
        <v>2.1</v>
      </c>
      <c r="P778" t="s">
        <v>16</v>
      </c>
      <c r="Q778">
        <v>0.02</v>
      </c>
      <c r="R778">
        <v>-2.7855870604515099E-2</v>
      </c>
      <c r="S778">
        <v>1.6549336723982999E-3</v>
      </c>
      <c r="T778">
        <v>-0.01</v>
      </c>
    </row>
    <row r="779" spans="1:20" x14ac:dyDescent="0.3">
      <c r="A779" t="s">
        <v>66</v>
      </c>
      <c r="B779">
        <v>2008</v>
      </c>
      <c r="C779">
        <v>348859.3125</v>
      </c>
      <c r="D779" s="1">
        <v>8.9999999999999993E-3</v>
      </c>
      <c r="E779" s="1">
        <v>0.96188563108444203</v>
      </c>
      <c r="F779" s="1">
        <v>-1.4E-2</v>
      </c>
      <c r="G779" s="1">
        <f t="shared" si="24"/>
        <v>-1.1000000000000001E-2</v>
      </c>
      <c r="H779" s="1" t="str">
        <f t="shared" si="25"/>
        <v/>
      </c>
      <c r="I779" s="1">
        <v>-5.0000000000000001E-3</v>
      </c>
      <c r="J779" s="1">
        <f>+D779-F779+I779*O779</f>
        <v>1.265E-2</v>
      </c>
      <c r="K779" s="1">
        <v>1.01441293954849E-2</v>
      </c>
      <c r="L779" s="1">
        <f>+K779-J779</f>
        <v>-2.5058706045150998E-3</v>
      </c>
      <c r="M779" s="1">
        <v>-2.7855870604515099E-2</v>
      </c>
      <c r="N779" s="1">
        <f>+M779-J779</f>
        <v>-4.0505870604515097E-2</v>
      </c>
      <c r="O779">
        <v>2.0699999999999998</v>
      </c>
      <c r="P779" t="s">
        <v>16</v>
      </c>
      <c r="Q779">
        <v>0</v>
      </c>
      <c r="R779">
        <v>-5.6936033725738397E-2</v>
      </c>
      <c r="S779">
        <v>-3.0369332060217798E-2</v>
      </c>
      <c r="T779">
        <v>-0.02</v>
      </c>
    </row>
    <row r="780" spans="1:20" x14ac:dyDescent="0.3">
      <c r="A780" t="s">
        <v>66</v>
      </c>
      <c r="B780">
        <v>2009</v>
      </c>
      <c r="C780">
        <v>351147.875</v>
      </c>
      <c r="D780" s="1">
        <v>4.0000000000000001E-3</v>
      </c>
      <c r="E780" s="1">
        <v>0.95661735534668002</v>
      </c>
      <c r="F780" s="1">
        <v>6.4000000000000001E-2</v>
      </c>
      <c r="G780" s="1">
        <f t="shared" si="24"/>
        <v>5.2999999999999999E-2</v>
      </c>
      <c r="H780" s="1" t="str">
        <f t="shared" si="25"/>
        <v/>
      </c>
      <c r="I780" s="1">
        <v>-5.0000000000000001E-3</v>
      </c>
      <c r="J780" s="1">
        <f>+D780-F780+I780*O780</f>
        <v>-7.0999999999999994E-2</v>
      </c>
      <c r="K780" s="1">
        <v>-6.0936033725738498E-2</v>
      </c>
      <c r="L780" s="1">
        <f>+K780-J780</f>
        <v>1.0063966274261496E-2</v>
      </c>
      <c r="M780" s="1">
        <v>-5.6936033725738397E-2</v>
      </c>
      <c r="N780" s="1">
        <f>+M780-J780</f>
        <v>1.4063966274261597E-2</v>
      </c>
      <c r="O780">
        <v>2.2000000000000002</v>
      </c>
      <c r="P780" t="s">
        <v>17</v>
      </c>
      <c r="Q780">
        <v>-0.03</v>
      </c>
      <c r="R780">
        <v>-7.3516929373145098E-3</v>
      </c>
      <c r="S780">
        <v>2.10841582156717E-3</v>
      </c>
      <c r="T780">
        <v>0.05</v>
      </c>
    </row>
    <row r="781" spans="1:20" x14ac:dyDescent="0.3">
      <c r="A781" t="s">
        <v>66</v>
      </c>
      <c r="B781">
        <v>2010</v>
      </c>
      <c r="C781">
        <v>352510.40629999997</v>
      </c>
      <c r="D781" s="1">
        <v>2E-3</v>
      </c>
      <c r="E781" s="1">
        <v>0.95792126655578602</v>
      </c>
      <c r="F781" s="1">
        <v>1.6E-2</v>
      </c>
      <c r="G781" s="1">
        <f t="shared" si="24"/>
        <v>6.9000000000000006E-2</v>
      </c>
      <c r="H781" s="1" t="str">
        <f t="shared" si="25"/>
        <v/>
      </c>
      <c r="I781" s="1">
        <v>1E-3</v>
      </c>
      <c r="J781" s="1">
        <f>+D781-F781+I781*O781</f>
        <v>-1.176E-2</v>
      </c>
      <c r="K781" s="1">
        <v>8.6483070626854897E-3</v>
      </c>
      <c r="L781" s="1">
        <f>+K781-J781</f>
        <v>2.0408307062685489E-2</v>
      </c>
      <c r="M781" s="1">
        <v>-7.3516929373145098E-3</v>
      </c>
      <c r="N781" s="1">
        <f>+M781-J781</f>
        <v>4.4083070626854898E-3</v>
      </c>
      <c r="O781">
        <v>2.2400000000000002</v>
      </c>
      <c r="P781" t="s">
        <v>15</v>
      </c>
      <c r="Q781">
        <v>0</v>
      </c>
      <c r="R781">
        <v>-2.2214281715452599E-2</v>
      </c>
      <c r="S781">
        <v>-9.3050720170137101E-4</v>
      </c>
      <c r="T781">
        <v>0.01</v>
      </c>
    </row>
    <row r="782" spans="1:20" x14ac:dyDescent="0.3">
      <c r="A782" t="s">
        <v>66</v>
      </c>
      <c r="B782">
        <v>2011</v>
      </c>
      <c r="C782">
        <v>354378.59379999997</v>
      </c>
      <c r="D782" s="1">
        <v>0</v>
      </c>
      <c r="E782" s="1">
        <v>0.95828992128372203</v>
      </c>
      <c r="F782" s="1">
        <v>3.5999999999999997E-2</v>
      </c>
      <c r="G782" s="1">
        <f t="shared" si="24"/>
        <v>0.10500000000000001</v>
      </c>
      <c r="H782" s="1" t="str">
        <f t="shared" si="25"/>
        <v/>
      </c>
      <c r="I782" s="1">
        <v>0</v>
      </c>
      <c r="J782" s="1">
        <f>+D782-F782+I782*O782</f>
        <v>-3.5999999999999997E-2</v>
      </c>
      <c r="K782" s="1">
        <v>9.7857182845473307E-3</v>
      </c>
      <c r="L782" s="1">
        <f>+K782-J782</f>
        <v>4.5785718284547326E-2</v>
      </c>
      <c r="M782" s="1">
        <v>-2.2214281715452599E-2</v>
      </c>
      <c r="N782" s="1">
        <f>+M782-J782</f>
        <v>1.3785718284547398E-2</v>
      </c>
      <c r="O782">
        <v>2.3199999999999998</v>
      </c>
      <c r="P782" t="s">
        <v>15</v>
      </c>
      <c r="Q782">
        <v>0</v>
      </c>
      <c r="R782">
        <v>-4.2746665924788003E-3</v>
      </c>
      <c r="S782">
        <v>1.16353947669259E-3</v>
      </c>
      <c r="T782">
        <v>0.04</v>
      </c>
    </row>
    <row r="783" spans="1:20" x14ac:dyDescent="0.3">
      <c r="A783" t="s">
        <v>66</v>
      </c>
      <c r="B783">
        <v>2012</v>
      </c>
      <c r="C783">
        <v>355359.8125</v>
      </c>
      <c r="D783" s="1">
        <v>1.4E-2</v>
      </c>
      <c r="E783" s="1">
        <v>0.95513898134231601</v>
      </c>
      <c r="F783" s="1">
        <v>-5.0000000000000001E-3</v>
      </c>
      <c r="G783" s="1">
        <f t="shared" si="24"/>
        <v>0.1</v>
      </c>
      <c r="H783" s="1" t="str">
        <f t="shared" si="25"/>
        <v/>
      </c>
      <c r="I783" s="1">
        <v>-3.0000000000000001E-3</v>
      </c>
      <c r="J783" s="1">
        <f>+D783-F783+I783*O783</f>
        <v>1.2069999999999999E-2</v>
      </c>
      <c r="K783" s="1">
        <v>1.6725333407521199E-2</v>
      </c>
      <c r="L783" s="1">
        <f>+K783-J783</f>
        <v>4.6553334075212002E-3</v>
      </c>
      <c r="M783" s="1">
        <v>-4.2746665924788003E-3</v>
      </c>
      <c r="N783" s="1">
        <f>+M783-J783</f>
        <v>-1.6344666592478799E-2</v>
      </c>
      <c r="O783">
        <v>2.31</v>
      </c>
      <c r="P783" t="s">
        <v>16</v>
      </c>
      <c r="Q783">
        <v>0</v>
      </c>
      <c r="R783">
        <v>6.7504743486642999E-3</v>
      </c>
      <c r="S783">
        <v>6.2370300292970105E-4</v>
      </c>
      <c r="T783">
        <v>-0.01</v>
      </c>
    </row>
    <row r="784" spans="1:20" x14ac:dyDescent="0.3">
      <c r="A784" t="s">
        <v>66</v>
      </c>
      <c r="B784">
        <v>2013</v>
      </c>
      <c r="C784">
        <v>356296.59379999997</v>
      </c>
      <c r="D784" s="1">
        <v>0.01</v>
      </c>
      <c r="E784" s="1">
        <v>0.95690792798996005</v>
      </c>
      <c r="F784" s="1">
        <v>-6.4000000000000001E-2</v>
      </c>
      <c r="G784" s="1">
        <f t="shared" si="24"/>
        <v>3.6000000000000004E-2</v>
      </c>
      <c r="H784" s="1" t="str">
        <f t="shared" si="25"/>
        <v/>
      </c>
      <c r="I784" s="1">
        <v>2E-3</v>
      </c>
      <c r="J784" s="1">
        <f>+D784-F784+I784*O784</f>
        <v>7.8320000000000001E-2</v>
      </c>
      <c r="K784" s="1">
        <v>2.1750474348664301E-2</v>
      </c>
      <c r="L784" s="1">
        <f>+K784-J784</f>
        <v>-5.6569525651335703E-2</v>
      </c>
      <c r="M784" s="1">
        <v>6.7504743486642999E-3</v>
      </c>
      <c r="N784" s="1">
        <f>+M784-J784</f>
        <v>-7.1569525651335703E-2</v>
      </c>
      <c r="O784">
        <v>2.16</v>
      </c>
      <c r="P784" t="s">
        <v>17</v>
      </c>
      <c r="Q784">
        <v>0</v>
      </c>
      <c r="R784">
        <v>1.9664753377438E-3</v>
      </c>
      <c r="S784">
        <v>-4.1548162698700598E-5</v>
      </c>
      <c r="T784">
        <v>-7.0000000000000007E-2</v>
      </c>
    </row>
    <row r="785" spans="1:20" x14ac:dyDescent="0.3">
      <c r="A785" t="s">
        <v>66</v>
      </c>
      <c r="B785">
        <v>2014</v>
      </c>
      <c r="C785">
        <v>359298</v>
      </c>
      <c r="D785" s="1">
        <v>1.7000000000000001E-2</v>
      </c>
      <c r="E785" s="1">
        <v>0.954770088195801</v>
      </c>
      <c r="F785" s="1">
        <v>7.1999999999999995E-2</v>
      </c>
      <c r="G785" s="1">
        <f t="shared" si="24"/>
        <v>0.108</v>
      </c>
      <c r="H785" s="1" t="str">
        <f t="shared" si="25"/>
        <v/>
      </c>
      <c r="I785" s="1">
        <v>-2E-3</v>
      </c>
      <c r="J785" s="1">
        <f>+D785-F785+I785*O785</f>
        <v>-5.9639999999999992E-2</v>
      </c>
      <c r="K785" s="1">
        <v>1.7966475337743801E-2</v>
      </c>
      <c r="L785" s="1">
        <f>+K785-J785</f>
        <v>7.7606475337743785E-2</v>
      </c>
      <c r="M785" s="1">
        <v>1.9664753377438E-3</v>
      </c>
      <c r="N785" s="1">
        <f>+M785-J785</f>
        <v>6.1606475337743792E-2</v>
      </c>
      <c r="O785">
        <v>2.3199999999999998</v>
      </c>
      <c r="P785" t="s">
        <v>17</v>
      </c>
      <c r="Q785">
        <v>0</v>
      </c>
      <c r="R785">
        <v>5.8057053178548798E-2</v>
      </c>
      <c r="S785">
        <v>2.7793601155281102E-2</v>
      </c>
      <c r="T785">
        <v>7.0000000000000007E-2</v>
      </c>
    </row>
    <row r="786" spans="1:20" x14ac:dyDescent="0.3">
      <c r="A786" t="s">
        <v>66</v>
      </c>
      <c r="B786">
        <v>2015</v>
      </c>
      <c r="C786">
        <v>363999.375</v>
      </c>
      <c r="D786" s="1">
        <v>2.5999999999999999E-2</v>
      </c>
      <c r="E786" s="1">
        <v>0.96176910400390603</v>
      </c>
      <c r="F786" s="1">
        <v>-5.0999999999999997E-2</v>
      </c>
      <c r="G786" s="1">
        <f t="shared" si="24"/>
        <v>5.7000000000000002E-2</v>
      </c>
      <c r="H786" s="1" t="str">
        <f t="shared" si="25"/>
        <v/>
      </c>
      <c r="I786" s="1">
        <v>7.0000000000000001E-3</v>
      </c>
      <c r="J786" s="1">
        <f>+D786-F786+I786*O786</f>
        <v>9.2399999999999996E-2</v>
      </c>
      <c r="K786" s="1">
        <v>5.9057053178548799E-2</v>
      </c>
      <c r="L786" s="1">
        <f>+K786-J786</f>
        <v>-3.3342946821451197E-2</v>
      </c>
      <c r="M786" s="1">
        <v>5.8057053178548798E-2</v>
      </c>
      <c r="N786" s="1">
        <f>+M786-J786</f>
        <v>-3.4342946821451198E-2</v>
      </c>
      <c r="O786">
        <v>2.2000000000000002</v>
      </c>
      <c r="P786" t="s">
        <v>17</v>
      </c>
      <c r="Q786">
        <v>0.03</v>
      </c>
      <c r="R786">
        <v>4.9914989888668097E-2</v>
      </c>
      <c r="S786">
        <v>3.6761432886123699E-2</v>
      </c>
      <c r="T786">
        <v>-0.04</v>
      </c>
    </row>
    <row r="787" spans="1:20" x14ac:dyDescent="0.3">
      <c r="A787" t="s">
        <v>66</v>
      </c>
      <c r="B787">
        <v>2016</v>
      </c>
      <c r="C787">
        <v>370854.71879999997</v>
      </c>
      <c r="D787" s="1">
        <v>1.4999999999999999E-2</v>
      </c>
      <c r="E787" s="1">
        <v>0.96302014589309703</v>
      </c>
      <c r="F787" s="1">
        <v>0.1</v>
      </c>
      <c r="G787" s="1">
        <f t="shared" si="24"/>
        <v>0.157</v>
      </c>
      <c r="H787" s="1">
        <f t="shared" si="25"/>
        <v>4.3799379840493202E-2</v>
      </c>
      <c r="I787" s="1">
        <v>1E-3</v>
      </c>
      <c r="J787" s="1">
        <f>+D787-F787+I787*O787</f>
        <v>-8.2580000000000001E-2</v>
      </c>
      <c r="K787" s="1">
        <v>6.2914989888668102E-2</v>
      </c>
      <c r="L787" s="1">
        <f>+K787-J787</f>
        <v>0.1454949898886681</v>
      </c>
      <c r="M787" s="1">
        <v>4.9914989888668097E-2</v>
      </c>
      <c r="N787" s="1">
        <f>+M787-J787</f>
        <v>0.13249498988866809</v>
      </c>
      <c r="O787">
        <v>2.42</v>
      </c>
      <c r="P787" t="s">
        <v>15</v>
      </c>
      <c r="Q787">
        <v>0.04</v>
      </c>
      <c r="R787">
        <v>2.3274758547544499E-2</v>
      </c>
      <c r="S787">
        <v>2.0485185086727201E-2</v>
      </c>
      <c r="T787">
        <v>0.1</v>
      </c>
    </row>
    <row r="788" spans="1:20" x14ac:dyDescent="0.3">
      <c r="A788" t="s">
        <v>66</v>
      </c>
      <c r="B788">
        <v>2017</v>
      </c>
      <c r="C788">
        <v>376489.6875</v>
      </c>
      <c r="D788" s="1">
        <v>8.0000000000000002E-3</v>
      </c>
      <c r="E788" s="1">
        <v>0.96346753835678101</v>
      </c>
      <c r="F788" s="1">
        <v>-0.114</v>
      </c>
      <c r="G788" s="1">
        <f t="shared" si="24"/>
        <v>4.2999999999999997E-2</v>
      </c>
      <c r="H788" s="1" t="str">
        <f t="shared" si="25"/>
        <v/>
      </c>
      <c r="I788" s="1">
        <v>0</v>
      </c>
      <c r="J788" s="1">
        <f>+D788-F788+I788*O788</f>
        <v>0.122</v>
      </c>
      <c r="K788" s="1">
        <v>4.42747585475445E-2</v>
      </c>
      <c r="L788" s="1">
        <f>+K788-J788</f>
        <v>-7.772524145245549E-2</v>
      </c>
      <c r="M788" s="1">
        <v>2.3274758547544499E-2</v>
      </c>
      <c r="N788" s="1">
        <f>+M788-J788</f>
        <v>-9.8725241452455495E-2</v>
      </c>
      <c r="O788">
        <v>2.14</v>
      </c>
      <c r="P788" t="s">
        <v>17</v>
      </c>
      <c r="Q788">
        <v>0.02</v>
      </c>
      <c r="R788">
        <v>1.93240011334418E-2</v>
      </c>
      <c r="S788">
        <v>1.01889781653881E-2</v>
      </c>
      <c r="T788">
        <v>-0.11</v>
      </c>
    </row>
    <row r="789" spans="1:20" x14ac:dyDescent="0.3">
      <c r="A789" t="s">
        <v>66</v>
      </c>
      <c r="B789">
        <v>2018</v>
      </c>
      <c r="C789">
        <v>379634.71879999997</v>
      </c>
      <c r="D789" s="1">
        <v>7.0000000000000001E-3</v>
      </c>
      <c r="E789" s="1">
        <v>0.96342253684997603</v>
      </c>
      <c r="F789" s="1">
        <v>4.4999999999999998E-2</v>
      </c>
      <c r="G789" s="1">
        <f t="shared" si="24"/>
        <v>8.7999999999999995E-2</v>
      </c>
      <c r="H789" s="1" t="str">
        <f t="shared" si="25"/>
        <v/>
      </c>
      <c r="I789" s="1">
        <v>0</v>
      </c>
      <c r="J789" s="1">
        <f>+D789-F789+I789*O789</f>
        <v>-3.7999999999999999E-2</v>
      </c>
      <c r="K789" s="1">
        <v>4.3324001133441897E-2</v>
      </c>
      <c r="L789" s="1">
        <f>+K789-J789</f>
        <v>8.1324001133441903E-2</v>
      </c>
      <c r="M789" s="1">
        <v>1.93240011334418E-2</v>
      </c>
      <c r="N789" s="1">
        <f>+M789-J789</f>
        <v>5.7324001133441799E-2</v>
      </c>
      <c r="O789">
        <v>2.2400000000000002</v>
      </c>
      <c r="P789" t="s">
        <v>17</v>
      </c>
      <c r="Q789">
        <v>0.01</v>
      </c>
      <c r="R789">
        <v>1.87047972977161E-2</v>
      </c>
      <c r="S789">
        <v>9.0360268950459501E-4</v>
      </c>
      <c r="T789">
        <v>0.06</v>
      </c>
    </row>
    <row r="790" spans="1:20" x14ac:dyDescent="0.3">
      <c r="A790" t="s">
        <v>66</v>
      </c>
      <c r="B790">
        <v>2019</v>
      </c>
      <c r="C790">
        <v>382371.78129999997</v>
      </c>
      <c r="D790" s="1">
        <v>3.9E-2</v>
      </c>
      <c r="E790" s="1">
        <v>0.93342769145965598</v>
      </c>
      <c r="F790" s="1">
        <v>-3.9E-2</v>
      </c>
      <c r="G790" s="1">
        <f t="shared" si="24"/>
        <v>4.8999999999999995E-2</v>
      </c>
      <c r="H790" s="1" t="str">
        <f t="shared" si="25"/>
        <v/>
      </c>
      <c r="I790" s="1">
        <v>-0.03</v>
      </c>
      <c r="J790" s="1">
        <f>+D790-F790+I790*O790</f>
        <v>1.3499999999999998E-2</v>
      </c>
      <c r="K790" s="1">
        <v>3.6704797297716099E-2</v>
      </c>
      <c r="L790" s="1">
        <f>+K790-J790</f>
        <v>2.3204797297716101E-2</v>
      </c>
      <c r="M790" s="1">
        <v>1.87047972977161E-2</v>
      </c>
      <c r="N790" s="1">
        <f>+M790-J790</f>
        <v>5.2047972977161024E-3</v>
      </c>
      <c r="O790">
        <v>2.15</v>
      </c>
      <c r="P790" t="s">
        <v>16</v>
      </c>
      <c r="Q790">
        <v>0</v>
      </c>
      <c r="R790">
        <v>1.9541757285594898E-2</v>
      </c>
      <c r="S790">
        <v>6.9256685674189795E-4</v>
      </c>
      <c r="T790">
        <v>-0.03</v>
      </c>
    </row>
    <row r="791" spans="1:20" x14ac:dyDescent="0.3">
      <c r="A791" t="s">
        <v>66</v>
      </c>
      <c r="B791">
        <v>2020</v>
      </c>
      <c r="C791">
        <v>384674.1875</v>
      </c>
      <c r="D791" s="1">
        <v>1.6E-2</v>
      </c>
      <c r="E791" s="1">
        <v>0.97037404775619496</v>
      </c>
      <c r="F791" s="1">
        <v>7.0000000000000001E-3</v>
      </c>
      <c r="G791" s="1">
        <f t="shared" si="24"/>
        <v>5.5999999999999994E-2</v>
      </c>
      <c r="H791" s="1" t="str">
        <f t="shared" si="25"/>
        <v/>
      </c>
      <c r="I791" s="1">
        <v>3.6999999999999998E-2</v>
      </c>
      <c r="J791" s="1">
        <f>+D791-F791+I791*O791</f>
        <v>8.9290000000000008E-2</v>
      </c>
      <c r="K791" s="1">
        <v>3.1541757285594899E-2</v>
      </c>
      <c r="L791" s="1">
        <f>+K791-J791</f>
        <v>-5.774824271440511E-2</v>
      </c>
      <c r="M791" s="1">
        <v>1.9541757285594898E-2</v>
      </c>
      <c r="N791" s="1">
        <f>+M791-J791</f>
        <v>-6.9748242714405106E-2</v>
      </c>
      <c r="O791">
        <v>2.17</v>
      </c>
      <c r="P791" t="s">
        <v>15</v>
      </c>
      <c r="Q791">
        <v>0</v>
      </c>
      <c r="R791">
        <v>3.7280423820018699E-2</v>
      </c>
      <c r="S791">
        <v>-6.30918890237811E-3</v>
      </c>
      <c r="T791">
        <v>0.05</v>
      </c>
    </row>
    <row r="792" spans="1:20" x14ac:dyDescent="0.3">
      <c r="A792" t="s">
        <v>66</v>
      </c>
      <c r="B792">
        <v>2021</v>
      </c>
      <c r="C792">
        <v>386022.5</v>
      </c>
      <c r="D792" s="1">
        <v>0</v>
      </c>
      <c r="E792" s="1">
        <v>0.98109120130538896</v>
      </c>
      <c r="F792" s="1">
        <v>3.5000000000000003E-2</v>
      </c>
      <c r="G792" s="1">
        <f t="shared" si="24"/>
        <v>9.0999999999999998E-2</v>
      </c>
      <c r="H792" s="1" t="str">
        <f t="shared" si="25"/>
        <v/>
      </c>
      <c r="I792" s="1">
        <v>1.0999999999999999E-2</v>
      </c>
      <c r="J792" s="1">
        <f>+D792-F792+I792*O792</f>
        <v>-1.0360000000000001E-2</v>
      </c>
      <c r="K792" s="1">
        <v>8.4280423820018796E-2</v>
      </c>
      <c r="L792" s="1">
        <f>+K792-J792</f>
        <v>9.4640423820018804E-2</v>
      </c>
      <c r="M792" s="1">
        <v>3.7280423820018699E-2</v>
      </c>
      <c r="N792" s="1">
        <f>+M792-J792</f>
        <v>4.76404238200187E-2</v>
      </c>
      <c r="O792">
        <v>2.2400000000000002</v>
      </c>
      <c r="P792" t="s">
        <v>15</v>
      </c>
      <c r="Q792">
        <v>-0.01</v>
      </c>
      <c r="R792">
        <v>-8.9046823978423898E-3</v>
      </c>
      <c r="S792">
        <v>2.3198824375867899E-2</v>
      </c>
      <c r="T792">
        <v>0.01</v>
      </c>
    </row>
    <row r="793" spans="1:20" x14ac:dyDescent="0.3">
      <c r="A793" t="s">
        <v>66</v>
      </c>
      <c r="B793">
        <v>2022</v>
      </c>
      <c r="C793">
        <v>385108.3125</v>
      </c>
      <c r="D793" s="1">
        <v>0.04</v>
      </c>
      <c r="E793" s="1">
        <v>0.94619911909103405</v>
      </c>
      <c r="F793" s="1">
        <v>-0.105</v>
      </c>
      <c r="G793" s="1">
        <f t="shared" si="24"/>
        <v>-1.3999999999999999E-2</v>
      </c>
      <c r="H793" s="1" t="str">
        <f t="shared" si="25"/>
        <v/>
      </c>
      <c r="I793" s="1">
        <v>-3.5000000000000003E-2</v>
      </c>
      <c r="J793" s="1">
        <f>+D793-F793+I793*O793</f>
        <v>7.4649999999999994E-2</v>
      </c>
      <c r="K793" s="1">
        <v>7.1095317602157607E-2</v>
      </c>
      <c r="L793" s="1">
        <f>+K793-J793</f>
        <v>-3.5546823978423875E-3</v>
      </c>
      <c r="M793" s="1">
        <v>-8.9046823978423898E-3</v>
      </c>
      <c r="N793" s="1">
        <f>+M793-J793</f>
        <v>-8.3554682397842389E-2</v>
      </c>
      <c r="O793">
        <v>2.0099999999999998</v>
      </c>
      <c r="P793" t="s">
        <v>16</v>
      </c>
      <c r="Q793">
        <v>0.02</v>
      </c>
      <c r="R793">
        <v>-2.4777083456516299E-2</v>
      </c>
      <c r="S793">
        <v>-5.2181556820870001E-3</v>
      </c>
      <c r="T793">
        <v>-0.09</v>
      </c>
    </row>
    <row r="794" spans="1:20" x14ac:dyDescent="0.3">
      <c r="A794" t="s">
        <v>67</v>
      </c>
      <c r="B794">
        <v>2006</v>
      </c>
      <c r="C794">
        <v>306011.5</v>
      </c>
      <c r="D794" s="1">
        <v>1E-3</v>
      </c>
      <c r="E794" s="1">
        <v>0.90996348857879605</v>
      </c>
      <c r="F794" s="1">
        <v>-4.3999999999999997E-2</v>
      </c>
      <c r="G794" s="1">
        <f t="shared" si="24"/>
        <v>-4.3999999999999997E-2</v>
      </c>
      <c r="H794" s="1" t="str">
        <f t="shared" si="25"/>
        <v/>
      </c>
      <c r="I794" s="1">
        <v>1.2E-2</v>
      </c>
      <c r="J794" s="1">
        <f>+D794-F794+I794*O794</f>
        <v>6.8879999999999997E-2</v>
      </c>
      <c r="K794" s="1">
        <v>2.0713666453957599E-2</v>
      </c>
      <c r="L794" s="1">
        <f>+K794-J794</f>
        <v>-4.8166333546042397E-2</v>
      </c>
      <c r="M794" s="1">
        <v>-1.12863335460424E-2</v>
      </c>
      <c r="N794" s="1">
        <f>+M794-J794</f>
        <v>-8.0166333546042398E-2</v>
      </c>
      <c r="O794">
        <v>1.99</v>
      </c>
      <c r="P794" t="s">
        <v>17</v>
      </c>
      <c r="Q794">
        <v>-0.02</v>
      </c>
      <c r="R794">
        <v>-6.7782615274191004E-3</v>
      </c>
      <c r="S794">
        <v>-5.8565055951476002E-3</v>
      </c>
      <c r="T794">
        <v>-0.05</v>
      </c>
    </row>
    <row r="795" spans="1:20" x14ac:dyDescent="0.3">
      <c r="A795" t="s">
        <v>67</v>
      </c>
      <c r="B795">
        <v>2007</v>
      </c>
      <c r="C795">
        <v>307752.5</v>
      </c>
      <c r="D795" s="1">
        <v>1E-3</v>
      </c>
      <c r="E795" s="1">
        <v>0.91654348373413097</v>
      </c>
      <c r="F795" s="1">
        <v>3.6999999999999998E-2</v>
      </c>
      <c r="G795" s="1">
        <f t="shared" si="24"/>
        <v>-6.9999999999999993E-3</v>
      </c>
      <c r="H795" s="1" t="str">
        <f t="shared" si="25"/>
        <v/>
      </c>
      <c r="I795" s="1">
        <v>7.0000000000000001E-3</v>
      </c>
      <c r="J795" s="1">
        <f>+D795-F795+I795*O795</f>
        <v>-2.1579999999999995E-2</v>
      </c>
      <c r="K795" s="1">
        <v>2.2221738472580899E-2</v>
      </c>
      <c r="L795" s="1">
        <f>+K795-J795</f>
        <v>4.3801738472580898E-2</v>
      </c>
      <c r="M795" s="1">
        <v>-6.7782615274191004E-3</v>
      </c>
      <c r="N795" s="1">
        <f>+M795-J795</f>
        <v>1.4801738472580895E-2</v>
      </c>
      <c r="O795">
        <v>2.06</v>
      </c>
      <c r="P795" t="s">
        <v>15</v>
      </c>
      <c r="Q795">
        <v>-0.01</v>
      </c>
      <c r="R795">
        <v>-2.4643318086862501E-2</v>
      </c>
      <c r="S795">
        <v>4.8674861900507996E-3</v>
      </c>
      <c r="T795">
        <v>0.04</v>
      </c>
    </row>
    <row r="796" spans="1:20" x14ac:dyDescent="0.3">
      <c r="A796" t="s">
        <v>67</v>
      </c>
      <c r="B796">
        <v>2008</v>
      </c>
      <c r="C796">
        <v>309016.125</v>
      </c>
      <c r="D796" s="1">
        <v>2.5000000000000001E-2</v>
      </c>
      <c r="E796" s="1">
        <v>0.92680335044860795</v>
      </c>
      <c r="F796" s="1">
        <v>-4.7E-2</v>
      </c>
      <c r="G796" s="1">
        <f t="shared" si="24"/>
        <v>-5.3999999999999999E-2</v>
      </c>
      <c r="H796" s="1" t="str">
        <f t="shared" si="25"/>
        <v/>
      </c>
      <c r="I796" s="1">
        <v>0.01</v>
      </c>
      <c r="J796" s="1">
        <f>+D796-F796+I796*O796</f>
        <v>9.1700000000000004E-2</v>
      </c>
      <c r="K796" s="1">
        <v>1.3356681913137399E-2</v>
      </c>
      <c r="L796" s="1">
        <f>+K796-J796</f>
        <v>-7.8343318086862609E-2</v>
      </c>
      <c r="M796" s="1">
        <v>-2.4643318086862501E-2</v>
      </c>
      <c r="N796" s="1">
        <f>+M796-J796</f>
        <v>-0.1163433180868625</v>
      </c>
      <c r="O796">
        <v>1.97</v>
      </c>
      <c r="P796" t="s">
        <v>17</v>
      </c>
      <c r="Q796">
        <v>0</v>
      </c>
      <c r="R796">
        <v>-1.64620566219091E-2</v>
      </c>
      <c r="S796">
        <v>1.01046450436115E-2</v>
      </c>
      <c r="T796">
        <v>-0.05</v>
      </c>
    </row>
    <row r="797" spans="1:20" x14ac:dyDescent="0.3">
      <c r="A797" t="s">
        <v>67</v>
      </c>
      <c r="B797">
        <v>2009</v>
      </c>
      <c r="C797">
        <v>310590.5</v>
      </c>
      <c r="D797" s="1">
        <v>3.0000000000000001E-3</v>
      </c>
      <c r="E797" s="1">
        <v>0.92148351669311501</v>
      </c>
      <c r="F797" s="1">
        <v>7.1999999999999995E-2</v>
      </c>
      <c r="G797" s="1">
        <f t="shared" si="24"/>
        <v>1.7999999999999995E-2</v>
      </c>
      <c r="H797" s="1" t="str">
        <f t="shared" si="25"/>
        <v/>
      </c>
      <c r="I797" s="1">
        <v>-5.0000000000000001E-3</v>
      </c>
      <c r="J797" s="1">
        <f>+D797-F797+I797*O797</f>
        <v>-7.9549999999999996E-2</v>
      </c>
      <c r="K797" s="1">
        <v>-2.04620566219091E-2</v>
      </c>
      <c r="L797" s="1">
        <f>+K797-J797</f>
        <v>5.9087943378090896E-2</v>
      </c>
      <c r="M797" s="1">
        <v>-1.64620566219091E-2</v>
      </c>
      <c r="N797" s="1">
        <f>+M797-J797</f>
        <v>6.3087943378090899E-2</v>
      </c>
      <c r="O797">
        <v>2.11</v>
      </c>
      <c r="P797" t="s">
        <v>17</v>
      </c>
      <c r="Q797">
        <v>0.01</v>
      </c>
      <c r="R797">
        <v>-1.46227785702794E-2</v>
      </c>
      <c r="S797">
        <v>-5.16266981139779E-3</v>
      </c>
      <c r="T797">
        <v>0.05</v>
      </c>
    </row>
    <row r="798" spans="1:20" x14ac:dyDescent="0.3">
      <c r="A798" t="s">
        <v>67</v>
      </c>
      <c r="B798">
        <v>2010</v>
      </c>
      <c r="C798">
        <v>311979.1875</v>
      </c>
      <c r="D798" s="1">
        <v>0</v>
      </c>
      <c r="E798" s="1">
        <v>0.92210435867309604</v>
      </c>
      <c r="F798" s="1">
        <v>6.8000000000000005E-2</v>
      </c>
      <c r="G798" s="1">
        <f t="shared" si="24"/>
        <v>8.5999999999999993E-2</v>
      </c>
      <c r="H798" s="1" t="str">
        <f t="shared" si="25"/>
        <v/>
      </c>
      <c r="I798" s="1">
        <v>1E-3</v>
      </c>
      <c r="J798" s="1">
        <f>+D798-F798+I798*O798</f>
        <v>-6.5750000000000003E-2</v>
      </c>
      <c r="K798" s="1">
        <v>1.3772214297205201E-3</v>
      </c>
      <c r="L798" s="1">
        <f>+K798-J798</f>
        <v>6.7127221429720524E-2</v>
      </c>
      <c r="M798" s="1">
        <v>-1.46227785702794E-2</v>
      </c>
      <c r="N798" s="1">
        <f>+M798-J798</f>
        <v>5.1127221429720607E-2</v>
      </c>
      <c r="O798">
        <v>2.25</v>
      </c>
      <c r="P798" t="s">
        <v>15</v>
      </c>
      <c r="Q798">
        <v>-0.01</v>
      </c>
      <c r="R798">
        <v>-2.35333995595574E-2</v>
      </c>
      <c r="S798">
        <v>-2.24962504580613E-3</v>
      </c>
      <c r="T798">
        <v>0.06</v>
      </c>
    </row>
    <row r="799" spans="1:20" x14ac:dyDescent="0.3">
      <c r="A799" t="s">
        <v>68</v>
      </c>
      <c r="B799">
        <v>2006</v>
      </c>
      <c r="C799">
        <v>349219.09379999997</v>
      </c>
      <c r="D799" s="1">
        <v>6.5000000000000002E-2</v>
      </c>
      <c r="E799" s="1">
        <v>0.85793304443359397</v>
      </c>
      <c r="F799" s="1">
        <v>7.0000000000000007E-2</v>
      </c>
      <c r="G799" s="1">
        <f t="shared" si="24"/>
        <v>7.0000000000000007E-2</v>
      </c>
      <c r="H799" s="1" t="str">
        <f t="shared" si="25"/>
        <v/>
      </c>
      <c r="I799" s="1">
        <v>-0.01</v>
      </c>
      <c r="J799" s="1">
        <f>+D799-F799+I799*O799</f>
        <v>-3.0800000000000004E-2</v>
      </c>
      <c r="K799" s="1">
        <v>6.3543282449245495E-2</v>
      </c>
      <c r="L799" s="1">
        <f>+K799-J799</f>
        <v>9.4343282449245502E-2</v>
      </c>
      <c r="M799" s="1">
        <v>3.1543282449245397E-2</v>
      </c>
      <c r="N799" s="1">
        <f>+M799-J799</f>
        <v>6.2343282449245405E-2</v>
      </c>
      <c r="O799">
        <v>2.58</v>
      </c>
      <c r="P799" t="s">
        <v>17</v>
      </c>
      <c r="Q799">
        <v>0.03</v>
      </c>
      <c r="R799">
        <v>-2.9495720714331E-3</v>
      </c>
      <c r="S799">
        <v>-2.0278161391615898E-3</v>
      </c>
      <c r="T799">
        <v>7.0000000000000007E-2</v>
      </c>
    </row>
    <row r="800" spans="1:20" x14ac:dyDescent="0.3">
      <c r="A800" t="s">
        <v>68</v>
      </c>
      <c r="B800">
        <v>2007</v>
      </c>
      <c r="C800">
        <v>352010.71879999997</v>
      </c>
      <c r="D800" s="1">
        <v>9.6000000000000002E-2</v>
      </c>
      <c r="E800" s="1">
        <v>0.83105015754699696</v>
      </c>
      <c r="F800" s="1">
        <v>-1.2E-2</v>
      </c>
      <c r="G800" s="1">
        <f t="shared" si="24"/>
        <v>5.800000000000001E-2</v>
      </c>
      <c r="H800" s="1" t="str">
        <f t="shared" si="25"/>
        <v/>
      </c>
      <c r="I800" s="1">
        <v>-2.7E-2</v>
      </c>
      <c r="J800" s="1">
        <f>+D800-F800+I800*O800</f>
        <v>3.9150000000000004E-2</v>
      </c>
      <c r="K800" s="1">
        <v>2.6050427928566901E-2</v>
      </c>
      <c r="L800" s="1">
        <f>+K800-J800</f>
        <v>-1.3099572071433103E-2</v>
      </c>
      <c r="M800" s="1">
        <v>-2.9495720714331E-3</v>
      </c>
      <c r="N800" s="1">
        <f>+M800-J800</f>
        <v>-4.2099572071433104E-2</v>
      </c>
      <c r="O800">
        <v>2.5499999999999998</v>
      </c>
      <c r="P800" t="s">
        <v>16</v>
      </c>
      <c r="Q800">
        <v>0</v>
      </c>
      <c r="R800">
        <v>-5.0822563759982599E-2</v>
      </c>
      <c r="S800">
        <v>-2.1311759483069102E-2</v>
      </c>
      <c r="T800">
        <v>-0.01</v>
      </c>
    </row>
    <row r="801" spans="1:20" x14ac:dyDescent="0.3">
      <c r="A801" t="s">
        <v>68</v>
      </c>
      <c r="B801">
        <v>2008</v>
      </c>
      <c r="C801">
        <v>357463.71879999997</v>
      </c>
      <c r="D801" s="1">
        <v>1.9E-2</v>
      </c>
      <c r="E801" s="1">
        <v>0.83711302280426003</v>
      </c>
      <c r="F801" s="1">
        <v>-7.0000000000000001E-3</v>
      </c>
      <c r="G801" s="1">
        <f t="shared" si="24"/>
        <v>5.1000000000000011E-2</v>
      </c>
      <c r="H801" s="1" t="str">
        <f t="shared" si="25"/>
        <v/>
      </c>
      <c r="I801" s="1">
        <v>6.0000000000000001E-3</v>
      </c>
      <c r="J801" s="1">
        <f>+D801-F801+I801*O801</f>
        <v>4.1179999999999994E-2</v>
      </c>
      <c r="K801" s="1">
        <v>-1.28225637599826E-2</v>
      </c>
      <c r="L801" s="1">
        <f>+K801-J801</f>
        <v>-5.4002563759982594E-2</v>
      </c>
      <c r="M801" s="1">
        <v>-5.0822563759982599E-2</v>
      </c>
      <c r="N801" s="1">
        <f>+M801-J801</f>
        <v>-9.2002563759982586E-2</v>
      </c>
      <c r="O801">
        <v>2.5299999999999998</v>
      </c>
      <c r="P801" t="s">
        <v>17</v>
      </c>
      <c r="Q801">
        <v>-0.02</v>
      </c>
      <c r="R801">
        <v>-2.8014887779951099E-2</v>
      </c>
      <c r="S801">
        <v>-1.4481861144304501E-3</v>
      </c>
      <c r="T801">
        <v>-0.01</v>
      </c>
    </row>
    <row r="802" spans="1:20" x14ac:dyDescent="0.3">
      <c r="A802" t="s">
        <v>68</v>
      </c>
      <c r="B802">
        <v>2009</v>
      </c>
      <c r="C802">
        <v>365670.1875</v>
      </c>
      <c r="D802" s="1">
        <v>4.8000000000000001E-2</v>
      </c>
      <c r="E802" s="1">
        <v>0.85168319940567005</v>
      </c>
      <c r="F802" s="1">
        <v>-2.1999999999999999E-2</v>
      </c>
      <c r="G802" s="1">
        <f t="shared" si="24"/>
        <v>2.9000000000000012E-2</v>
      </c>
      <c r="H802" s="1" t="str">
        <f t="shared" si="25"/>
        <v/>
      </c>
      <c r="I802" s="1">
        <v>1.4999999999999999E-2</v>
      </c>
      <c r="J802" s="1">
        <f>+D802-F802+I802*O802</f>
        <v>0.1072</v>
      </c>
      <c r="K802" s="1">
        <v>-3.2014887779951103E-2</v>
      </c>
      <c r="L802" s="1">
        <f>+K802-J802</f>
        <v>-0.13921488777995111</v>
      </c>
      <c r="M802" s="1">
        <v>-2.8014887779951099E-2</v>
      </c>
      <c r="N802" s="1">
        <f>+M802-J802</f>
        <v>-0.13521488777995111</v>
      </c>
      <c r="O802">
        <v>2.48</v>
      </c>
      <c r="P802" t="s">
        <v>17</v>
      </c>
      <c r="Q802">
        <v>0</v>
      </c>
      <c r="R802">
        <v>-9.6776780523359796E-3</v>
      </c>
      <c r="S802">
        <v>-2.17569293454296E-4</v>
      </c>
      <c r="T802">
        <v>-0.04</v>
      </c>
    </row>
    <row r="803" spans="1:20" x14ac:dyDescent="0.3">
      <c r="A803" t="s">
        <v>68</v>
      </c>
      <c r="B803">
        <v>2010</v>
      </c>
      <c r="C803">
        <v>375830.40629999997</v>
      </c>
      <c r="D803" s="1">
        <v>5.8999999999999997E-2</v>
      </c>
      <c r="E803" s="1">
        <v>0.85187983512878396</v>
      </c>
      <c r="F803" s="1">
        <v>-1.6E-2</v>
      </c>
      <c r="G803" s="1">
        <f t="shared" si="24"/>
        <v>1.3000000000000012E-2</v>
      </c>
      <c r="H803" s="1" t="str">
        <f t="shared" si="25"/>
        <v/>
      </c>
      <c r="I803" s="1">
        <v>0</v>
      </c>
      <c r="J803" s="1">
        <f>+D803-F803+I803*O803</f>
        <v>7.4999999999999997E-2</v>
      </c>
      <c r="K803" s="1">
        <v>6.3223219476640198E-3</v>
      </c>
      <c r="L803" s="1">
        <f>+K803-J803</f>
        <v>-6.8677678052335975E-2</v>
      </c>
      <c r="M803" s="1">
        <v>-9.6776780523359796E-3</v>
      </c>
      <c r="N803" s="1">
        <f>+M803-J803</f>
        <v>-8.4677678052335975E-2</v>
      </c>
      <c r="O803">
        <v>2.44</v>
      </c>
      <c r="P803" t="s">
        <v>17</v>
      </c>
      <c r="Q803">
        <v>0</v>
      </c>
      <c r="R803">
        <v>-3.1088979675434499E-2</v>
      </c>
      <c r="S803">
        <v>-9.8052051616832302E-3</v>
      </c>
      <c r="T803">
        <v>-0.02</v>
      </c>
    </row>
    <row r="804" spans="1:20" x14ac:dyDescent="0.3">
      <c r="A804" t="s">
        <v>68</v>
      </c>
      <c r="B804">
        <v>2011</v>
      </c>
      <c r="C804">
        <v>379397.1875</v>
      </c>
      <c r="D804" s="1">
        <v>6.5000000000000002E-2</v>
      </c>
      <c r="E804" s="1">
        <v>0.84673327207565297</v>
      </c>
      <c r="F804" s="1">
        <v>-5.0000000000000001E-3</v>
      </c>
      <c r="G804" s="1">
        <f t="shared" si="24"/>
        <v>8.0000000000000106E-3</v>
      </c>
      <c r="H804" s="1" t="str">
        <f t="shared" si="25"/>
        <v/>
      </c>
      <c r="I804" s="1">
        <v>-5.0000000000000001E-3</v>
      </c>
      <c r="J804" s="1">
        <f>+D804-F804+I804*O804</f>
        <v>5.7900000000000007E-2</v>
      </c>
      <c r="K804" s="1">
        <v>9.1102032456547E-4</v>
      </c>
      <c r="L804" s="1">
        <f>+K804-J804</f>
        <v>-5.6988979675434537E-2</v>
      </c>
      <c r="M804" s="1">
        <v>-3.1088979675434499E-2</v>
      </c>
      <c r="N804" s="1">
        <f>+M804-J804</f>
        <v>-8.898897967543451E-2</v>
      </c>
      <c r="O804">
        <v>2.42</v>
      </c>
      <c r="P804" t="s">
        <v>16</v>
      </c>
      <c r="Q804">
        <v>-0.01</v>
      </c>
      <c r="R804">
        <v>-5.4382060691713996E-3</v>
      </c>
      <c r="S804">
        <v>0</v>
      </c>
      <c r="T804">
        <v>0</v>
      </c>
    </row>
    <row r="805" spans="1:20" x14ac:dyDescent="0.3">
      <c r="A805" t="s">
        <v>68</v>
      </c>
      <c r="B805">
        <v>2012</v>
      </c>
      <c r="C805">
        <v>380263.875</v>
      </c>
      <c r="D805" s="1">
        <v>5.0999999999999997E-2</v>
      </c>
      <c r="E805" s="1">
        <v>0.867606520652771</v>
      </c>
      <c r="F805" s="1">
        <v>0.02</v>
      </c>
      <c r="G805" s="1">
        <f t="shared" si="24"/>
        <v>2.8000000000000011E-2</v>
      </c>
      <c r="H805" s="1" t="str">
        <f t="shared" si="25"/>
        <v/>
      </c>
      <c r="I805" s="1">
        <v>2.1000000000000001E-2</v>
      </c>
      <c r="J805" s="1">
        <f>+D805-F805+I805*O805</f>
        <v>8.2869999999999999E-2</v>
      </c>
      <c r="K805" s="1">
        <v>1.5561793930828601E-2</v>
      </c>
      <c r="L805" s="1">
        <f>+K805-J805</f>
        <v>-6.73082060691714E-2</v>
      </c>
      <c r="M805" s="1">
        <v>-5.4382060691713996E-3</v>
      </c>
      <c r="N805" s="1">
        <f>+M805-J805</f>
        <v>-8.8308206069171405E-2</v>
      </c>
      <c r="O805">
        <v>2.4700000000000002</v>
      </c>
      <c r="P805" t="s">
        <v>15</v>
      </c>
      <c r="Q805">
        <v>0</v>
      </c>
      <c r="R805">
        <v>-1.12557691615074E-2</v>
      </c>
      <c r="S805">
        <v>-1.7382540507242E-2</v>
      </c>
      <c r="T805">
        <v>0.02</v>
      </c>
    </row>
    <row r="806" spans="1:20" x14ac:dyDescent="0.3">
      <c r="A806" t="s">
        <v>68</v>
      </c>
      <c r="B806">
        <v>2013</v>
      </c>
      <c r="C806">
        <v>382469.59379999997</v>
      </c>
      <c r="D806" s="1">
        <v>3.5999999999999997E-2</v>
      </c>
      <c r="E806" s="1">
        <v>0.88045561313629195</v>
      </c>
      <c r="F806" s="1">
        <v>-7.4999999999999997E-2</v>
      </c>
      <c r="G806" s="1">
        <f t="shared" si="24"/>
        <v>-4.6999999999999986E-2</v>
      </c>
      <c r="H806" s="1" t="str">
        <f t="shared" si="25"/>
        <v/>
      </c>
      <c r="I806" s="1">
        <v>1.2999999999999999E-2</v>
      </c>
      <c r="J806" s="1">
        <f>+D806-F806+I806*O806</f>
        <v>0.14076999999999998</v>
      </c>
      <c r="K806" s="1">
        <v>3.7442308384925101E-3</v>
      </c>
      <c r="L806" s="1">
        <f>+K806-J806</f>
        <v>-0.13702576916150747</v>
      </c>
      <c r="M806" s="1">
        <v>-1.12557691615074E-2</v>
      </c>
      <c r="N806" s="1">
        <f>+M806-J806</f>
        <v>-0.15202576916150737</v>
      </c>
      <c r="O806">
        <v>2.29</v>
      </c>
      <c r="P806" t="s">
        <v>17</v>
      </c>
      <c r="Q806">
        <v>-0.02</v>
      </c>
      <c r="R806">
        <v>-2.0035664256662099E-2</v>
      </c>
      <c r="S806">
        <v>-2.2043687757104601E-2</v>
      </c>
      <c r="T806">
        <v>-0.08</v>
      </c>
    </row>
    <row r="807" spans="1:20" x14ac:dyDescent="0.3">
      <c r="A807" t="s">
        <v>68</v>
      </c>
      <c r="B807">
        <v>2014</v>
      </c>
      <c r="C807">
        <v>381888.6875</v>
      </c>
      <c r="D807" s="1">
        <v>3.9E-2</v>
      </c>
      <c r="E807" s="1">
        <v>0.87080097198486295</v>
      </c>
      <c r="F807" s="1">
        <v>3.1E-2</v>
      </c>
      <c r="G807" s="1">
        <f t="shared" si="24"/>
        <v>-1.5999999999999986E-2</v>
      </c>
      <c r="H807" s="1" t="str">
        <f t="shared" si="25"/>
        <v/>
      </c>
      <c r="I807" s="1">
        <v>-0.01</v>
      </c>
      <c r="J807" s="1">
        <f>+D807-F807+I807*O807</f>
        <v>-1.5599999999999999E-2</v>
      </c>
      <c r="K807" s="1">
        <v>-4.0356642566621304E-3</v>
      </c>
      <c r="L807" s="1">
        <f>+K807-J807</f>
        <v>1.1564335743337869E-2</v>
      </c>
      <c r="M807" s="1">
        <v>-2.0035664256662099E-2</v>
      </c>
      <c r="N807" s="1">
        <f>+M807-J807</f>
        <v>-4.4356642566621002E-3</v>
      </c>
      <c r="O807">
        <v>2.36</v>
      </c>
      <c r="P807" t="s">
        <v>17</v>
      </c>
      <c r="Q807">
        <v>-0.02</v>
      </c>
      <c r="R807">
        <v>-3.3731796536594599E-3</v>
      </c>
      <c r="S807">
        <v>-3.3636631676927098E-2</v>
      </c>
      <c r="T807">
        <v>0.03</v>
      </c>
    </row>
    <row r="808" spans="1:20" x14ac:dyDescent="0.3">
      <c r="A808" t="s">
        <v>68</v>
      </c>
      <c r="B808">
        <v>2015</v>
      </c>
      <c r="C808">
        <v>381984.1875</v>
      </c>
      <c r="D808" s="1">
        <v>0</v>
      </c>
      <c r="E808" s="1">
        <v>0.88691383600234996</v>
      </c>
      <c r="F808" s="1">
        <v>-3.6999999999999998E-2</v>
      </c>
      <c r="G808" s="1">
        <f t="shared" si="24"/>
        <v>-5.2999999999999985E-2</v>
      </c>
      <c r="H808" s="1" t="str">
        <f t="shared" si="25"/>
        <v/>
      </c>
      <c r="I808" s="1">
        <v>1.6E-2</v>
      </c>
      <c r="J808" s="1">
        <f>+D808-F808+I808*O808</f>
        <v>7.3319999999999996E-2</v>
      </c>
      <c r="K808" s="1">
        <v>-2.3731796536594599E-3</v>
      </c>
      <c r="L808" s="1">
        <f>+K808-J808</f>
        <v>-7.5693179653659459E-2</v>
      </c>
      <c r="M808" s="1">
        <v>-3.3731796536594599E-3</v>
      </c>
      <c r="N808" s="1">
        <f>+M808-J808</f>
        <v>-7.669317965365946E-2</v>
      </c>
      <c r="O808">
        <v>2.27</v>
      </c>
      <c r="P808" t="s">
        <v>17</v>
      </c>
      <c r="Q808">
        <v>-0.03</v>
      </c>
      <c r="R808">
        <v>2.0719770610332498E-2</v>
      </c>
      <c r="S808">
        <v>7.5662136077880998E-3</v>
      </c>
      <c r="T808">
        <v>-0.03</v>
      </c>
    </row>
    <row r="809" spans="1:20" x14ac:dyDescent="0.3">
      <c r="A809" t="s">
        <v>68</v>
      </c>
      <c r="B809">
        <v>2016</v>
      </c>
      <c r="C809">
        <v>383039.09379999997</v>
      </c>
      <c r="D809" s="1">
        <v>0</v>
      </c>
      <c r="E809" s="1">
        <v>0.898176789283752</v>
      </c>
      <c r="F809" s="1">
        <v>2E-3</v>
      </c>
      <c r="G809" s="1">
        <f t="shared" si="24"/>
        <v>-5.0999999999999983E-2</v>
      </c>
      <c r="H809" s="1" t="str">
        <f t="shared" si="25"/>
        <v/>
      </c>
      <c r="I809" s="1">
        <v>1.0999999999999999E-2</v>
      </c>
      <c r="J809" s="1">
        <f>+D809-F809+I809*O809</f>
        <v>2.3079999999999996E-2</v>
      </c>
      <c r="K809" s="1">
        <v>3.3719770610332503E-2</v>
      </c>
      <c r="L809" s="1">
        <f>+K809-J809</f>
        <v>1.0639770610332507E-2</v>
      </c>
      <c r="M809" s="1">
        <v>2.0719770610332498E-2</v>
      </c>
      <c r="N809" s="1">
        <f>+M809-J809</f>
        <v>-2.3602293896674981E-3</v>
      </c>
      <c r="O809">
        <v>2.2799999999999998</v>
      </c>
      <c r="P809" t="s">
        <v>15</v>
      </c>
      <c r="Q809">
        <v>0.01</v>
      </c>
      <c r="R809">
        <v>-7.8820663541555001E-3</v>
      </c>
      <c r="S809">
        <v>-1.0671639814972799E-2</v>
      </c>
      <c r="T809">
        <v>0</v>
      </c>
    </row>
    <row r="810" spans="1:20" x14ac:dyDescent="0.3">
      <c r="A810" t="s">
        <v>68</v>
      </c>
      <c r="B810">
        <v>2017</v>
      </c>
      <c r="C810">
        <v>382614.40629999997</v>
      </c>
      <c r="D810" s="1">
        <v>0</v>
      </c>
      <c r="E810" s="1">
        <v>0.915999054908752</v>
      </c>
      <c r="F810" s="1">
        <v>-3.4000000000000002E-2</v>
      </c>
      <c r="G810" s="1">
        <f t="shared" si="24"/>
        <v>-8.4999999999999992E-2</v>
      </c>
      <c r="H810" s="1" t="str">
        <f t="shared" si="25"/>
        <v/>
      </c>
      <c r="I810" s="1">
        <v>1.7999999999999999E-2</v>
      </c>
      <c r="J810" s="1">
        <f>+D810-F810+I810*O810</f>
        <v>7.3599999999999999E-2</v>
      </c>
      <c r="K810" s="1">
        <v>1.3117933645844499E-2</v>
      </c>
      <c r="L810" s="1">
        <f>+K810-J810</f>
        <v>-6.0482066354155498E-2</v>
      </c>
      <c r="M810" s="1">
        <v>-7.8820663541555001E-3</v>
      </c>
      <c r="N810" s="1">
        <f>+M810-J810</f>
        <v>-8.1482066354155502E-2</v>
      </c>
      <c r="O810">
        <v>2.2000000000000002</v>
      </c>
      <c r="P810" t="s">
        <v>17</v>
      </c>
      <c r="Q810">
        <v>-0.01</v>
      </c>
      <c r="R810">
        <v>3.6274824500083902E-2</v>
      </c>
      <c r="S810">
        <v>2.7139801532030099E-2</v>
      </c>
      <c r="T810">
        <v>-0.03</v>
      </c>
    </row>
    <row r="811" spans="1:20" x14ac:dyDescent="0.3">
      <c r="A811" t="s">
        <v>68</v>
      </c>
      <c r="B811">
        <v>2018</v>
      </c>
      <c r="C811">
        <v>385124.21879999997</v>
      </c>
      <c r="D811" s="1">
        <v>0</v>
      </c>
      <c r="E811" s="1">
        <v>0.93708890676498402</v>
      </c>
      <c r="F811" s="1">
        <v>2.7E-2</v>
      </c>
      <c r="G811" s="1">
        <f t="shared" si="24"/>
        <v>-5.7999999999999996E-2</v>
      </c>
      <c r="H811" s="1" t="str">
        <f t="shared" si="25"/>
        <v/>
      </c>
      <c r="I811" s="1">
        <v>2.1000000000000001E-2</v>
      </c>
      <c r="J811" s="1">
        <f>+D811-F811+I811*O811</f>
        <v>2.0459999999999996E-2</v>
      </c>
      <c r="K811" s="1">
        <v>6.0274824500083903E-2</v>
      </c>
      <c r="L811" s="1">
        <f>+K811-J811</f>
        <v>3.9814824500083904E-2</v>
      </c>
      <c r="M811" s="1">
        <v>3.6274824500083902E-2</v>
      </c>
      <c r="N811" s="1">
        <f>+M811-J811</f>
        <v>1.5814824500083906E-2</v>
      </c>
      <c r="O811">
        <v>2.2599999999999998</v>
      </c>
      <c r="P811" t="s">
        <v>15</v>
      </c>
      <c r="Q811">
        <v>0.03</v>
      </c>
      <c r="R811">
        <v>3.1767535179853298E-2</v>
      </c>
      <c r="S811">
        <v>1.3966340571641801E-2</v>
      </c>
      <c r="T811">
        <v>0.04</v>
      </c>
    </row>
    <row r="812" spans="1:20" x14ac:dyDescent="0.3">
      <c r="A812" t="s">
        <v>68</v>
      </c>
      <c r="B812">
        <v>2019</v>
      </c>
      <c r="C812">
        <v>386696</v>
      </c>
      <c r="D812" s="1">
        <v>0</v>
      </c>
      <c r="E812" s="1">
        <v>0.93352919816970803</v>
      </c>
      <c r="F812" s="1">
        <v>-0.01</v>
      </c>
      <c r="G812" s="1">
        <f t="shared" si="24"/>
        <v>-6.7999999999999991E-2</v>
      </c>
      <c r="H812" s="1" t="str">
        <f t="shared" si="25"/>
        <v/>
      </c>
      <c r="I812" s="1">
        <v>-4.0000000000000001E-3</v>
      </c>
      <c r="J812" s="1">
        <f>+D812-F812+I812*O812</f>
        <v>1.0399999999999993E-3</v>
      </c>
      <c r="K812" s="1">
        <v>4.9767535179853398E-2</v>
      </c>
      <c r="L812" s="1">
        <f>+K812-J812</f>
        <v>4.8727535179853398E-2</v>
      </c>
      <c r="M812" s="1">
        <v>3.1767535179853298E-2</v>
      </c>
      <c r="N812" s="1">
        <f>+M812-J812</f>
        <v>3.0727535179853299E-2</v>
      </c>
      <c r="O812">
        <v>2.2400000000000002</v>
      </c>
      <c r="P812" t="s">
        <v>16</v>
      </c>
      <c r="Q812">
        <v>0.01</v>
      </c>
      <c r="R812">
        <v>7.0877255976200093E-2</v>
      </c>
      <c r="S812">
        <v>5.2028065547347097E-2</v>
      </c>
      <c r="T812">
        <v>0</v>
      </c>
    </row>
    <row r="813" spans="1:20" x14ac:dyDescent="0.3">
      <c r="A813" t="s">
        <v>68</v>
      </c>
      <c r="B813">
        <v>2020</v>
      </c>
      <c r="C813">
        <v>390275.6875</v>
      </c>
      <c r="D813" s="1">
        <v>4.0000000000000001E-3</v>
      </c>
      <c r="E813" s="1">
        <v>0.96600443124771096</v>
      </c>
      <c r="F813" s="1">
        <v>-6.7000000000000004E-2</v>
      </c>
      <c r="G813" s="1">
        <f t="shared" si="24"/>
        <v>-0.13500000000000001</v>
      </c>
      <c r="H813" s="1">
        <f t="shared" si="25"/>
        <v>0.11193618550896633</v>
      </c>
      <c r="I813" s="1">
        <v>3.2000000000000001E-2</v>
      </c>
      <c r="J813" s="1">
        <f>+D813-F813+I813*O813</f>
        <v>0.13788</v>
      </c>
      <c r="K813" s="1">
        <v>8.2877255976200104E-2</v>
      </c>
      <c r="L813" s="1">
        <f>+K813-J813</f>
        <v>-5.5002744023799899E-2</v>
      </c>
      <c r="M813" s="1">
        <v>7.0877255976200093E-2</v>
      </c>
      <c r="N813" s="1">
        <f>+M813-J813</f>
        <v>-6.7002744023799909E-2</v>
      </c>
      <c r="O813">
        <v>2.09</v>
      </c>
      <c r="P813" t="s">
        <v>17</v>
      </c>
      <c r="Q813">
        <v>0.05</v>
      </c>
      <c r="R813">
        <v>8.6325397968291903E-2</v>
      </c>
      <c r="S813">
        <v>4.2735785245894997E-2</v>
      </c>
      <c r="T813">
        <v>-0.03</v>
      </c>
    </row>
    <row r="814" spans="1:20" x14ac:dyDescent="0.3">
      <c r="A814" t="s">
        <v>68</v>
      </c>
      <c r="B814">
        <v>2021</v>
      </c>
      <c r="C814">
        <v>392734.5</v>
      </c>
      <c r="D814" s="1">
        <v>-3.0000000000000001E-3</v>
      </c>
      <c r="E814" s="1">
        <v>0.96350038051605202</v>
      </c>
      <c r="F814" s="1">
        <v>0.06</v>
      </c>
      <c r="G814" s="1">
        <f t="shared" si="24"/>
        <v>-7.5000000000000011E-2</v>
      </c>
      <c r="H814" s="1" t="str">
        <f t="shared" si="25"/>
        <v/>
      </c>
      <c r="I814" s="1">
        <v>-3.0000000000000001E-3</v>
      </c>
      <c r="J814" s="1">
        <f>+D814-F814+I814*O814</f>
        <v>-6.9629999999999997E-2</v>
      </c>
      <c r="K814" s="1">
        <v>0.13332539796829199</v>
      </c>
      <c r="L814" s="1">
        <f>+K814-J814</f>
        <v>0.20295539796829198</v>
      </c>
      <c r="M814" s="1">
        <v>8.6325397968291903E-2</v>
      </c>
      <c r="N814" s="1">
        <f>+M814-J814</f>
        <v>0.15595539796829189</v>
      </c>
      <c r="O814">
        <v>2.21</v>
      </c>
      <c r="P814" t="s">
        <v>17</v>
      </c>
      <c r="Q814">
        <v>0.04</v>
      </c>
      <c r="R814">
        <v>1.05469730496406E-2</v>
      </c>
      <c r="S814">
        <v>4.2650479823350997E-2</v>
      </c>
      <c r="T814">
        <v>0.03</v>
      </c>
    </row>
    <row r="815" spans="1:20" x14ac:dyDescent="0.3">
      <c r="A815" t="s">
        <v>68</v>
      </c>
      <c r="B815">
        <v>2022</v>
      </c>
      <c r="C815">
        <v>392798.71879999997</v>
      </c>
      <c r="D815" s="1">
        <v>1E-3</v>
      </c>
      <c r="E815" s="1">
        <v>0.942202389240265</v>
      </c>
      <c r="F815" s="1">
        <v>4.1000000000000002E-2</v>
      </c>
      <c r="G815" s="1">
        <f t="shared" si="24"/>
        <v>-3.4000000000000009E-2</v>
      </c>
      <c r="H815" s="1" t="str">
        <f t="shared" si="25"/>
        <v/>
      </c>
      <c r="I815" s="1">
        <v>-2.1000000000000001E-2</v>
      </c>
      <c r="J815" s="1">
        <f>+D815-F815+I815*O815</f>
        <v>-8.8300000000000003E-2</v>
      </c>
      <c r="K815" s="1">
        <v>9.0546973049640697E-2</v>
      </c>
      <c r="L815" s="1">
        <f>+K815-J815</f>
        <v>0.1788469730496407</v>
      </c>
      <c r="M815" s="1">
        <v>1.05469730496406E-2</v>
      </c>
      <c r="N815" s="1">
        <f>+M815-J815</f>
        <v>9.8846973049640602E-2</v>
      </c>
      <c r="O815">
        <v>2.2999999999999998</v>
      </c>
      <c r="P815" t="s">
        <v>17</v>
      </c>
      <c r="Q815">
        <v>0.04</v>
      </c>
      <c r="R815">
        <v>-4.3663618419319303E-2</v>
      </c>
      <c r="S815">
        <v>-2.4104690644890001E-2</v>
      </c>
      <c r="T815">
        <v>0.06</v>
      </c>
    </row>
    <row r="816" spans="1:20" x14ac:dyDescent="0.3">
      <c r="A816" t="s">
        <v>69</v>
      </c>
      <c r="B816">
        <v>2006</v>
      </c>
      <c r="C816">
        <v>440375.5</v>
      </c>
      <c r="D816" s="1">
        <v>0</v>
      </c>
      <c r="E816" s="1">
        <v>0.91302865743637096</v>
      </c>
      <c r="F816" s="1">
        <v>9.4E-2</v>
      </c>
      <c r="G816" s="1">
        <f t="shared" si="24"/>
        <v>9.4E-2</v>
      </c>
      <c r="H816" s="1" t="str">
        <f t="shared" si="25"/>
        <v/>
      </c>
      <c r="I816" s="1">
        <v>3.3000000000000002E-2</v>
      </c>
      <c r="J816" s="1">
        <f>+D816-F816+I816*O816</f>
        <v>-1.7769999999999994E-2</v>
      </c>
      <c r="K816" s="1">
        <v>2.00286637991667E-2</v>
      </c>
      <c r="L816" s="1">
        <f>+K816-J816</f>
        <v>3.7798663799166694E-2</v>
      </c>
      <c r="M816" s="1">
        <v>-1.19713362008333E-2</v>
      </c>
      <c r="N816" s="1">
        <f>+M816-J816</f>
        <v>5.7986637991666937E-3</v>
      </c>
      <c r="O816">
        <v>2.31</v>
      </c>
      <c r="P816" t="s">
        <v>15</v>
      </c>
      <c r="Q816">
        <v>-0.02</v>
      </c>
      <c r="R816">
        <v>-1.09709677249193E-2</v>
      </c>
      <c r="S816">
        <v>-1.00492117926477E-2</v>
      </c>
      <c r="T816">
        <v>0.09</v>
      </c>
    </row>
    <row r="817" spans="1:20" x14ac:dyDescent="0.3">
      <c r="A817" t="s">
        <v>69</v>
      </c>
      <c r="B817">
        <v>2007</v>
      </c>
      <c r="C817">
        <v>436849.40629999997</v>
      </c>
      <c r="D817" s="1">
        <v>0.01</v>
      </c>
      <c r="E817" s="1">
        <v>0.904213666915894</v>
      </c>
      <c r="F817" s="1">
        <v>-0.04</v>
      </c>
      <c r="G817" s="1">
        <f t="shared" si="24"/>
        <v>5.3999999999999999E-2</v>
      </c>
      <c r="H817" s="1" t="str">
        <f t="shared" si="25"/>
        <v/>
      </c>
      <c r="I817" s="1">
        <v>-8.9999999999999993E-3</v>
      </c>
      <c r="J817" s="1">
        <f>+D817-F817+I817*O817</f>
        <v>3.0020000000000002E-2</v>
      </c>
      <c r="K817" s="1">
        <v>1.8029032275080702E-2</v>
      </c>
      <c r="L817" s="1">
        <f>+K817-J817</f>
        <v>-1.19909677249193E-2</v>
      </c>
      <c r="M817" s="1">
        <v>-1.09709677249193E-2</v>
      </c>
      <c r="N817" s="1">
        <f>+M817-J817</f>
        <v>-4.0990967724919301E-2</v>
      </c>
      <c r="O817">
        <v>2.2200000000000002</v>
      </c>
      <c r="P817" t="s">
        <v>16</v>
      </c>
      <c r="Q817">
        <v>-0.01</v>
      </c>
      <c r="R817">
        <v>-2.5533014267683E-2</v>
      </c>
      <c r="S817">
        <v>3.9777900092303996E-3</v>
      </c>
      <c r="T817">
        <v>-0.04</v>
      </c>
    </row>
    <row r="818" spans="1:20" x14ac:dyDescent="0.3">
      <c r="A818" t="s">
        <v>69</v>
      </c>
      <c r="B818">
        <v>2008</v>
      </c>
      <c r="C818">
        <v>431827.09379999997</v>
      </c>
      <c r="D818" s="1">
        <v>0</v>
      </c>
      <c r="E818" s="1">
        <v>0.91650480031967196</v>
      </c>
      <c r="F818" s="1">
        <v>8.9999999999999993E-3</v>
      </c>
      <c r="G818" s="1">
        <f t="shared" si="24"/>
        <v>6.3E-2</v>
      </c>
      <c r="H818" s="1" t="str">
        <f t="shared" si="25"/>
        <v/>
      </c>
      <c r="I818" s="1">
        <v>1.2E-2</v>
      </c>
      <c r="J818" s="1">
        <f>+D818-F818+I818*O818</f>
        <v>1.7880000000000007E-2</v>
      </c>
      <c r="K818" s="1">
        <v>1.2466985732317E-2</v>
      </c>
      <c r="L818" s="1">
        <f>+K818-J818</f>
        <v>-5.4130142676830067E-3</v>
      </c>
      <c r="M818" s="1">
        <v>-2.5533014267683E-2</v>
      </c>
      <c r="N818" s="1">
        <f>+M818-J818</f>
        <v>-4.3413014267683007E-2</v>
      </c>
      <c r="O818">
        <v>2.2400000000000002</v>
      </c>
      <c r="P818" t="s">
        <v>15</v>
      </c>
      <c r="Q818">
        <v>0</v>
      </c>
      <c r="R818">
        <v>-1.44317007660865E-2</v>
      </c>
      <c r="S818">
        <v>1.2135000899433999E-2</v>
      </c>
      <c r="T818">
        <v>0.01</v>
      </c>
    </row>
    <row r="819" spans="1:20" x14ac:dyDescent="0.3">
      <c r="A819" t="s">
        <v>69</v>
      </c>
      <c r="B819">
        <v>2009</v>
      </c>
      <c r="C819">
        <v>427266</v>
      </c>
      <c r="D819" s="1">
        <v>0</v>
      </c>
      <c r="E819" s="1">
        <v>0.91817796230316195</v>
      </c>
      <c r="F819" s="1">
        <v>-1.9E-2</v>
      </c>
      <c r="G819" s="1">
        <f t="shared" si="24"/>
        <v>4.3999999999999997E-2</v>
      </c>
      <c r="H819" s="1" t="str">
        <f t="shared" si="25"/>
        <v/>
      </c>
      <c r="I819" s="1">
        <v>2E-3</v>
      </c>
      <c r="J819" s="1">
        <f>+D819-F819+I819*O819</f>
        <v>2.3400000000000001E-2</v>
      </c>
      <c r="K819" s="1">
        <v>-1.8431700766086599E-2</v>
      </c>
      <c r="L819" s="1">
        <f>+K819-J819</f>
        <v>-4.1831700766086596E-2</v>
      </c>
      <c r="M819" s="1">
        <v>-1.44317007660865E-2</v>
      </c>
      <c r="N819" s="1">
        <f>+M819-J819</f>
        <v>-3.7831700766086503E-2</v>
      </c>
      <c r="O819">
        <v>2.2000000000000002</v>
      </c>
      <c r="P819" t="s">
        <v>17</v>
      </c>
      <c r="Q819">
        <v>0.01</v>
      </c>
      <c r="R819">
        <v>-1.4685937141999599E-2</v>
      </c>
      <c r="S819">
        <v>-5.2258283831179099E-3</v>
      </c>
      <c r="T819">
        <v>-0.04</v>
      </c>
    </row>
    <row r="820" spans="1:20" x14ac:dyDescent="0.3">
      <c r="A820" t="s">
        <v>69</v>
      </c>
      <c r="B820">
        <v>2010</v>
      </c>
      <c r="C820">
        <v>424306.3125</v>
      </c>
      <c r="D820" s="1">
        <v>0</v>
      </c>
      <c r="E820" s="1">
        <v>0.922183036804199</v>
      </c>
      <c r="F820" s="1">
        <v>-5.1999999999999998E-2</v>
      </c>
      <c r="G820" s="1">
        <f t="shared" si="24"/>
        <v>-8.0000000000000002E-3</v>
      </c>
      <c r="H820" s="1" t="str">
        <f t="shared" si="25"/>
        <v/>
      </c>
      <c r="I820" s="1">
        <v>4.0000000000000001E-3</v>
      </c>
      <c r="J820" s="1">
        <f>+D820-F820+I820*O820</f>
        <v>6.0319999999999999E-2</v>
      </c>
      <c r="K820" s="1">
        <v>1.3140628580004001E-3</v>
      </c>
      <c r="L820" s="1">
        <f>+K820-J820</f>
        <v>-5.9005937141999601E-2</v>
      </c>
      <c r="M820" s="1">
        <v>-1.4685937141999599E-2</v>
      </c>
      <c r="N820" s="1">
        <f>+M820-J820</f>
        <v>-7.5005937141999601E-2</v>
      </c>
      <c r="O820">
        <v>2.08</v>
      </c>
      <c r="P820" t="s">
        <v>17</v>
      </c>
      <c r="Q820">
        <v>-0.01</v>
      </c>
      <c r="R820">
        <v>-2.3258096881210801E-2</v>
      </c>
      <c r="S820">
        <v>-1.9743223674595E-3</v>
      </c>
      <c r="T820">
        <v>-0.06</v>
      </c>
    </row>
    <row r="821" spans="1:20" x14ac:dyDescent="0.3">
      <c r="A821" t="s">
        <v>70</v>
      </c>
      <c r="B821">
        <v>2006</v>
      </c>
      <c r="C821">
        <v>282046.90629999997</v>
      </c>
      <c r="D821" s="1">
        <v>0</v>
      </c>
      <c r="E821" s="1">
        <v>0.966533184051514</v>
      </c>
      <c r="F821" s="1">
        <v>2.8000000000000001E-2</v>
      </c>
      <c r="G821" s="1">
        <f t="shared" si="24"/>
        <v>2.8000000000000001E-2</v>
      </c>
      <c r="H821" s="1" t="str">
        <f t="shared" si="25"/>
        <v/>
      </c>
      <c r="I821" s="1">
        <v>0.01</v>
      </c>
      <c r="J821" s="1">
        <f>+D821-F821+I821*O821</f>
        <v>-5.7000000000000002E-3</v>
      </c>
      <c r="K821" s="1">
        <v>3.5857532173395198E-2</v>
      </c>
      <c r="L821" s="1">
        <f>+K821-J821</f>
        <v>4.1557532173395195E-2</v>
      </c>
      <c r="M821" s="1">
        <v>3.85753217339519E-3</v>
      </c>
      <c r="N821" s="1">
        <f>+M821-J821</f>
        <v>9.5575321733951911E-3</v>
      </c>
      <c r="O821">
        <v>2.23</v>
      </c>
      <c r="P821" t="s">
        <v>15</v>
      </c>
      <c r="Q821">
        <v>0</v>
      </c>
      <c r="R821">
        <v>1.29108569622039E-2</v>
      </c>
      <c r="S821">
        <v>1.38326128944755E-2</v>
      </c>
      <c r="T821">
        <v>0.03</v>
      </c>
    </row>
    <row r="822" spans="1:20" x14ac:dyDescent="0.3">
      <c r="A822" t="s">
        <v>70</v>
      </c>
      <c r="B822">
        <v>2007</v>
      </c>
      <c r="C822">
        <v>287494.59379999997</v>
      </c>
      <c r="D822" s="1">
        <v>2.7E-2</v>
      </c>
      <c r="E822" s="1">
        <v>0.96426570415496804</v>
      </c>
      <c r="F822" s="1">
        <v>-6.4000000000000001E-2</v>
      </c>
      <c r="G822" s="1">
        <f t="shared" si="24"/>
        <v>-3.6000000000000004E-2</v>
      </c>
      <c r="H822" s="1" t="str">
        <f t="shared" si="25"/>
        <v/>
      </c>
      <c r="I822" s="1">
        <v>-2E-3</v>
      </c>
      <c r="J822" s="1">
        <f>+D822-F822+I822*O822</f>
        <v>8.6819999999999994E-2</v>
      </c>
      <c r="K822" s="1">
        <v>4.1910856962204E-2</v>
      </c>
      <c r="L822" s="1">
        <f>+K822-J822</f>
        <v>-4.4909143037795994E-2</v>
      </c>
      <c r="M822" s="1">
        <v>1.29108569622039E-2</v>
      </c>
      <c r="N822" s="1">
        <f>+M822-J822</f>
        <v>-7.3909143037796096E-2</v>
      </c>
      <c r="O822">
        <v>2.09</v>
      </c>
      <c r="P822" t="s">
        <v>16</v>
      </c>
      <c r="Q822">
        <v>0.01</v>
      </c>
      <c r="R822">
        <v>-2.54402480199932E-2</v>
      </c>
      <c r="S822">
        <v>4.0705562569201001E-3</v>
      </c>
      <c r="T822">
        <v>-7.0000000000000007E-2</v>
      </c>
    </row>
    <row r="823" spans="1:20" x14ac:dyDescent="0.3">
      <c r="A823" t="s">
        <v>70</v>
      </c>
      <c r="B823">
        <v>2008</v>
      </c>
      <c r="C823">
        <v>292924</v>
      </c>
      <c r="D823" s="1">
        <v>1.4999999999999999E-2</v>
      </c>
      <c r="E823" s="1">
        <v>0.93608045578002896</v>
      </c>
      <c r="F823" s="1">
        <v>7.0000000000000007E-2</v>
      </c>
      <c r="G823" s="1">
        <f t="shared" si="24"/>
        <v>3.4000000000000002E-2</v>
      </c>
      <c r="H823" s="1" t="str">
        <f t="shared" si="25"/>
        <v/>
      </c>
      <c r="I823" s="1">
        <v>-2.8000000000000001E-2</v>
      </c>
      <c r="J823" s="1">
        <f>+D823-F823+I823*O823</f>
        <v>-0.11772000000000002</v>
      </c>
      <c r="K823" s="1">
        <v>1.25597519800067E-2</v>
      </c>
      <c r="L823" s="1">
        <f>+K823-J823</f>
        <v>0.13027975198000671</v>
      </c>
      <c r="M823" s="1">
        <v>-2.54402480199932E-2</v>
      </c>
      <c r="N823" s="1">
        <f>+M823-J823</f>
        <v>9.2279751980006819E-2</v>
      </c>
      <c r="O823">
        <v>2.2400000000000002</v>
      </c>
      <c r="P823" t="s">
        <v>17</v>
      </c>
      <c r="Q823">
        <v>0</v>
      </c>
      <c r="R823">
        <v>-3.1621490329503898E-2</v>
      </c>
      <c r="S823">
        <v>-5.0547886639833398E-3</v>
      </c>
      <c r="T823">
        <v>7.0000000000000007E-2</v>
      </c>
    </row>
    <row r="824" spans="1:20" x14ac:dyDescent="0.3">
      <c r="A824" t="s">
        <v>70</v>
      </c>
      <c r="B824">
        <v>2009</v>
      </c>
      <c r="C824">
        <v>297650.59379999997</v>
      </c>
      <c r="D824" s="1">
        <v>1.4999999999999999E-2</v>
      </c>
      <c r="E824" s="1">
        <v>0.93938195705413796</v>
      </c>
      <c r="F824" s="1">
        <v>-4.3999999999999997E-2</v>
      </c>
      <c r="G824" s="1">
        <f t="shared" si="24"/>
        <v>-9.999999999999995E-3</v>
      </c>
      <c r="H824" s="1" t="str">
        <f t="shared" si="25"/>
        <v/>
      </c>
      <c r="I824" s="1">
        <v>3.0000000000000001E-3</v>
      </c>
      <c r="J824" s="1">
        <f>+D824-F824+I824*O824</f>
        <v>6.5419999999999992E-2</v>
      </c>
      <c r="K824" s="1">
        <v>-3.5621490329503999E-2</v>
      </c>
      <c r="L824" s="1">
        <f>+K824-J824</f>
        <v>-0.10104149032950399</v>
      </c>
      <c r="M824" s="1">
        <v>-3.1621490329503898E-2</v>
      </c>
      <c r="N824" s="1">
        <f>+M824-J824</f>
        <v>-9.7041490329503891E-2</v>
      </c>
      <c r="O824">
        <v>2.14</v>
      </c>
      <c r="P824" t="s">
        <v>17</v>
      </c>
      <c r="Q824">
        <v>-0.01</v>
      </c>
      <c r="R824">
        <v>-6.8454949036240598E-3</v>
      </c>
      <c r="S824">
        <v>2.6146138552576199E-3</v>
      </c>
      <c r="T824">
        <v>-0.06</v>
      </c>
    </row>
    <row r="825" spans="1:20" x14ac:dyDescent="0.3">
      <c r="A825" t="s">
        <v>70</v>
      </c>
      <c r="B825">
        <v>2010</v>
      </c>
      <c r="C825">
        <v>301650.09379999997</v>
      </c>
      <c r="D825" s="1">
        <v>3.4000000000000002E-2</v>
      </c>
      <c r="E825" s="1">
        <v>0.946644306182861</v>
      </c>
      <c r="F825" s="1">
        <v>1.4E-2</v>
      </c>
      <c r="G825" s="1">
        <f t="shared" si="24"/>
        <v>4.0000000000000053E-3</v>
      </c>
      <c r="H825" s="1" t="str">
        <f t="shared" si="25"/>
        <v/>
      </c>
      <c r="I825" s="1">
        <v>7.0000000000000001E-3</v>
      </c>
      <c r="J825" s="1">
        <f>+D825-F825+I825*O825</f>
        <v>3.5190000000000006E-2</v>
      </c>
      <c r="K825" s="1">
        <v>9.1545050963759405E-3</v>
      </c>
      <c r="L825" s="1">
        <f>+K825-J825</f>
        <v>-2.6035494903624064E-2</v>
      </c>
      <c r="M825" s="1">
        <v>-6.8454949036240598E-3</v>
      </c>
      <c r="N825" s="1">
        <f>+M825-J825</f>
        <v>-4.2035494903624064E-2</v>
      </c>
      <c r="O825">
        <v>2.17</v>
      </c>
      <c r="P825" t="s">
        <v>15</v>
      </c>
      <c r="Q825">
        <v>0</v>
      </c>
      <c r="R825">
        <v>-5.8247618079184998E-3</v>
      </c>
      <c r="S825">
        <v>1.54590127058328E-2</v>
      </c>
      <c r="T825">
        <v>0.01</v>
      </c>
    </row>
    <row r="826" spans="1:20" x14ac:dyDescent="0.3">
      <c r="A826" t="s">
        <v>70</v>
      </c>
      <c r="B826">
        <v>2011</v>
      </c>
      <c r="C826">
        <v>306612.625</v>
      </c>
      <c r="D826" s="1">
        <v>1E-3</v>
      </c>
      <c r="E826" s="1">
        <v>0.94982159137725797</v>
      </c>
      <c r="F826" s="1">
        <v>3.9E-2</v>
      </c>
      <c r="G826" s="1">
        <f t="shared" si="24"/>
        <v>4.3000000000000003E-2</v>
      </c>
      <c r="H826" s="1" t="str">
        <f t="shared" si="25"/>
        <v/>
      </c>
      <c r="I826" s="1">
        <v>3.0000000000000001E-3</v>
      </c>
      <c r="J826" s="1">
        <f>+D826-F826+I826*O826</f>
        <v>-3.125E-2</v>
      </c>
      <c r="K826" s="1">
        <v>2.61752381920815E-2</v>
      </c>
      <c r="L826" s="1">
        <f>+K826-J826</f>
        <v>5.74252381920815E-2</v>
      </c>
      <c r="M826" s="1">
        <v>-5.8247618079184998E-3</v>
      </c>
      <c r="N826" s="1">
        <f>+M826-J826</f>
        <v>2.5425238192081499E-2</v>
      </c>
      <c r="O826">
        <v>2.25</v>
      </c>
      <c r="P826" t="s">
        <v>15</v>
      </c>
      <c r="Q826">
        <v>0.02</v>
      </c>
      <c r="R826">
        <v>8.3240770697593901E-3</v>
      </c>
      <c r="S826">
        <v>1.3762283138930799E-2</v>
      </c>
      <c r="T826">
        <v>0.04</v>
      </c>
    </row>
    <row r="827" spans="1:20" x14ac:dyDescent="0.3">
      <c r="A827" t="s">
        <v>70</v>
      </c>
      <c r="B827">
        <v>2012</v>
      </c>
      <c r="C827">
        <v>312189.09379999997</v>
      </c>
      <c r="D827" s="1">
        <v>5.3999999999999999E-2</v>
      </c>
      <c r="E827" s="1">
        <v>0.93942838907241799</v>
      </c>
      <c r="F827" s="1">
        <v>-2.1000000000000001E-2</v>
      </c>
      <c r="G827" s="1">
        <f t="shared" si="24"/>
        <v>2.2000000000000002E-2</v>
      </c>
      <c r="H827" s="1" t="str">
        <f t="shared" si="25"/>
        <v/>
      </c>
      <c r="I827" s="1">
        <v>-0.01</v>
      </c>
      <c r="J827" s="1">
        <f>+D827-F827+I827*O827</f>
        <v>5.2899999999999996E-2</v>
      </c>
      <c r="K827" s="1">
        <v>2.93240770697594E-2</v>
      </c>
      <c r="L827" s="1">
        <f>+K827-J827</f>
        <v>-2.3575922930240596E-2</v>
      </c>
      <c r="M827" s="1">
        <v>8.3240770697593901E-3</v>
      </c>
      <c r="N827" s="1">
        <f>+M827-J827</f>
        <v>-4.4575922930240604E-2</v>
      </c>
      <c r="O827">
        <v>2.21</v>
      </c>
      <c r="P827" t="s">
        <v>16</v>
      </c>
      <c r="Q827">
        <v>0.01</v>
      </c>
      <c r="R827">
        <v>1.0058981031179399E-2</v>
      </c>
      <c r="S827">
        <v>3.9322096854447998E-3</v>
      </c>
      <c r="T827">
        <v>-0.02</v>
      </c>
    </row>
    <row r="828" spans="1:20" x14ac:dyDescent="0.3">
      <c r="A828" t="s">
        <v>70</v>
      </c>
      <c r="B828">
        <v>2013</v>
      </c>
      <c r="C828">
        <v>318118.59379999997</v>
      </c>
      <c r="D828" s="1">
        <v>3.3000000000000002E-2</v>
      </c>
      <c r="E828" s="1">
        <v>0.94575560092926003</v>
      </c>
      <c r="F828" s="1">
        <v>4.4999999999999998E-2</v>
      </c>
      <c r="G828" s="1">
        <f t="shared" si="24"/>
        <v>6.7000000000000004E-2</v>
      </c>
      <c r="H828" s="1" t="str">
        <f t="shared" si="25"/>
        <v/>
      </c>
      <c r="I828" s="1">
        <v>6.0000000000000001E-3</v>
      </c>
      <c r="J828" s="1">
        <f>+D828-F828+I828*O828</f>
        <v>1.800000000000003E-3</v>
      </c>
      <c r="K828" s="1">
        <v>2.50589810311794E-2</v>
      </c>
      <c r="L828" s="1">
        <f>+K828-J828</f>
        <v>2.3258981031179397E-2</v>
      </c>
      <c r="M828" s="1">
        <v>1.0058981031179399E-2</v>
      </c>
      <c r="N828" s="1">
        <f>+M828-J828</f>
        <v>8.2589810311793962E-3</v>
      </c>
      <c r="O828">
        <v>2.2999999999999998</v>
      </c>
      <c r="P828" t="s">
        <v>15</v>
      </c>
      <c r="Q828">
        <v>0</v>
      </c>
      <c r="R828">
        <v>2.3821848273277199E-2</v>
      </c>
      <c r="S828">
        <v>2.1813824772834702E-2</v>
      </c>
      <c r="T828">
        <v>0.04</v>
      </c>
    </row>
    <row r="829" spans="1:20" x14ac:dyDescent="0.3">
      <c r="A829" t="s">
        <v>70</v>
      </c>
      <c r="B829">
        <v>2014</v>
      </c>
      <c r="C829">
        <v>326308</v>
      </c>
      <c r="D829" s="1">
        <v>1.4999999999999999E-2</v>
      </c>
      <c r="E829" s="1">
        <v>0.95473992824554399</v>
      </c>
      <c r="F829" s="1">
        <v>-6.4000000000000001E-2</v>
      </c>
      <c r="G829" s="1">
        <f t="shared" si="24"/>
        <v>3.0000000000000027E-3</v>
      </c>
      <c r="H829" s="1" t="str">
        <f t="shared" si="25"/>
        <v/>
      </c>
      <c r="I829" s="1">
        <v>8.9999999999999993E-3</v>
      </c>
      <c r="J829" s="1">
        <f>+D829-F829+I829*O829</f>
        <v>9.844E-2</v>
      </c>
      <c r="K829" s="1">
        <v>3.9821848273277297E-2</v>
      </c>
      <c r="L829" s="1">
        <f>+K829-J829</f>
        <v>-5.8618151726722703E-2</v>
      </c>
      <c r="M829" s="1">
        <v>2.3821848273277199E-2</v>
      </c>
      <c r="N829" s="1">
        <f>+M829-J829</f>
        <v>-7.4618151726722801E-2</v>
      </c>
      <c r="O829">
        <v>2.16</v>
      </c>
      <c r="P829" t="s">
        <v>17</v>
      </c>
      <c r="Q829">
        <v>0.02</v>
      </c>
      <c r="R829">
        <v>2.09739899039268E-2</v>
      </c>
      <c r="S829">
        <v>-9.2894621193408897E-3</v>
      </c>
      <c r="T829">
        <v>-7.0000000000000007E-2</v>
      </c>
    </row>
    <row r="830" spans="1:20" x14ac:dyDescent="0.3">
      <c r="A830" t="s">
        <v>70</v>
      </c>
      <c r="B830">
        <v>2015</v>
      </c>
      <c r="C830">
        <v>334678</v>
      </c>
      <c r="D830" s="1">
        <v>6.9000000000000006E-2</v>
      </c>
      <c r="E830" s="1">
        <v>0.92404347658157304</v>
      </c>
      <c r="F830" s="1">
        <v>2.1000000000000001E-2</v>
      </c>
      <c r="G830" s="1">
        <f t="shared" si="24"/>
        <v>2.4000000000000004E-2</v>
      </c>
      <c r="H830" s="1" t="str">
        <f t="shared" si="25"/>
        <v/>
      </c>
      <c r="I830" s="1">
        <v>-3.1E-2</v>
      </c>
      <c r="J830" s="1">
        <f>+D830-F830+I830*O830</f>
        <v>-2.020000000000001E-2</v>
      </c>
      <c r="K830" s="1">
        <v>2.1973989903926801E-2</v>
      </c>
      <c r="L830" s="1">
        <f>+K830-J830</f>
        <v>4.217398990392681E-2</v>
      </c>
      <c r="M830" s="1">
        <v>2.09739899039268E-2</v>
      </c>
      <c r="N830" s="1">
        <f>+M830-J830</f>
        <v>4.117398990392681E-2</v>
      </c>
      <c r="O830">
        <v>2.2000000000000002</v>
      </c>
      <c r="P830" t="s">
        <v>17</v>
      </c>
      <c r="Q830">
        <v>-0.01</v>
      </c>
      <c r="R830">
        <v>-1.1415915411897E-2</v>
      </c>
      <c r="S830">
        <v>-2.45694724144414E-2</v>
      </c>
      <c r="T830">
        <v>0.03</v>
      </c>
    </row>
    <row r="831" spans="1:20" x14ac:dyDescent="0.3">
      <c r="A831" t="s">
        <v>70</v>
      </c>
      <c r="B831">
        <v>2016</v>
      </c>
      <c r="C831">
        <v>340223.78129999997</v>
      </c>
      <c r="D831" s="1">
        <v>3.1E-2</v>
      </c>
      <c r="E831" s="1">
        <v>0.93352079391479503</v>
      </c>
      <c r="F831" s="1">
        <v>-3.7999999999999999E-2</v>
      </c>
      <c r="G831" s="1">
        <f t="shared" si="24"/>
        <v>-1.3999999999999995E-2</v>
      </c>
      <c r="H831" s="1" t="str">
        <f t="shared" si="25"/>
        <v/>
      </c>
      <c r="I831" s="1">
        <v>8.9999999999999993E-3</v>
      </c>
      <c r="J831" s="1">
        <f>+D831-F831+I831*O831</f>
        <v>8.8080000000000006E-2</v>
      </c>
      <c r="K831" s="1">
        <v>1.584084588103E-3</v>
      </c>
      <c r="L831" s="1">
        <f>+K831-J831</f>
        <v>-8.6495915411897009E-2</v>
      </c>
      <c r="M831" s="1">
        <v>-1.1415915411897E-2</v>
      </c>
      <c r="N831" s="1">
        <f>+M831-J831</f>
        <v>-9.9495915411897007E-2</v>
      </c>
      <c r="O831">
        <v>2.12</v>
      </c>
      <c r="P831" t="s">
        <v>17</v>
      </c>
      <c r="Q831">
        <v>-0.02</v>
      </c>
      <c r="R831">
        <v>2.1023200541734701E-2</v>
      </c>
      <c r="S831">
        <v>1.82336270809174E-2</v>
      </c>
      <c r="T831">
        <v>-0.04</v>
      </c>
    </row>
    <row r="832" spans="1:20" x14ac:dyDescent="0.3">
      <c r="A832" t="s">
        <v>70</v>
      </c>
      <c r="B832">
        <v>2017</v>
      </c>
      <c r="C832">
        <v>345610.28129999997</v>
      </c>
      <c r="D832" s="1">
        <v>0.115</v>
      </c>
      <c r="E832" s="1">
        <v>0.88987374305725098</v>
      </c>
      <c r="F832" s="1">
        <v>6.0000000000000001E-3</v>
      </c>
      <c r="G832" s="1">
        <f t="shared" si="24"/>
        <v>-7.999999999999995E-3</v>
      </c>
      <c r="H832" s="1" t="str">
        <f t="shared" si="25"/>
        <v/>
      </c>
      <c r="I832" s="1">
        <v>-4.3999999999999997E-2</v>
      </c>
      <c r="J832" s="1">
        <f>+D832-F832+I832*O832</f>
        <v>1.5280000000000016E-2</v>
      </c>
      <c r="K832" s="1">
        <v>4.2023200541734702E-2</v>
      </c>
      <c r="L832" s="1">
        <f>+K832-J832</f>
        <v>2.6743200541734687E-2</v>
      </c>
      <c r="M832" s="1">
        <v>2.1023200541734701E-2</v>
      </c>
      <c r="N832" s="1">
        <f>+M832-J832</f>
        <v>5.7432005417346853E-3</v>
      </c>
      <c r="O832">
        <v>2.13</v>
      </c>
      <c r="P832" t="s">
        <v>17</v>
      </c>
      <c r="Q832">
        <v>0.02</v>
      </c>
      <c r="R832">
        <v>1.4123900234699801E-4</v>
      </c>
      <c r="S832">
        <v>-8.9937839657067906E-3</v>
      </c>
      <c r="T832">
        <v>0.01</v>
      </c>
    </row>
    <row r="833" spans="1:20" x14ac:dyDescent="0.3">
      <c r="A833" t="s">
        <v>70</v>
      </c>
      <c r="B833">
        <v>2018</v>
      </c>
      <c r="C833">
        <v>351979.875</v>
      </c>
      <c r="D833" s="1">
        <v>3.7999999999999999E-2</v>
      </c>
      <c r="E833" s="1">
        <v>0.90460169315338101</v>
      </c>
      <c r="F833" s="1">
        <v>8.4000000000000005E-2</v>
      </c>
      <c r="G833" s="1">
        <f t="shared" si="24"/>
        <v>7.6000000000000012E-2</v>
      </c>
      <c r="H833" s="1" t="str">
        <f t="shared" si="25"/>
        <v/>
      </c>
      <c r="I833" s="1">
        <v>1.4999999999999999E-2</v>
      </c>
      <c r="J833" s="1">
        <f>+D833-F833+I833*O833</f>
        <v>-1.1350000000000006E-2</v>
      </c>
      <c r="K833" s="1">
        <v>2.4141239002346999E-2</v>
      </c>
      <c r="L833" s="1">
        <f>+K833-J833</f>
        <v>3.5491239002347005E-2</v>
      </c>
      <c r="M833" s="1">
        <v>1.4123900234699801E-4</v>
      </c>
      <c r="N833" s="1">
        <f>+M833-J833</f>
        <v>1.1491239002347003E-2</v>
      </c>
      <c r="O833">
        <v>2.31</v>
      </c>
      <c r="P833" t="s">
        <v>15</v>
      </c>
      <c r="Q833">
        <v>-0.01</v>
      </c>
      <c r="R833">
        <v>1.7510495781898E-3</v>
      </c>
      <c r="S833">
        <v>-1.6050145030021699E-2</v>
      </c>
      <c r="T833">
        <v>0.09</v>
      </c>
    </row>
    <row r="834" spans="1:20" x14ac:dyDescent="0.3">
      <c r="A834" t="s">
        <v>70</v>
      </c>
      <c r="B834">
        <v>2019</v>
      </c>
      <c r="C834">
        <v>357434.21879999997</v>
      </c>
      <c r="D834" s="1">
        <v>0.17</v>
      </c>
      <c r="E834" s="1">
        <v>0.88340264558792103</v>
      </c>
      <c r="F834" s="1">
        <v>-6.0999999999999999E-2</v>
      </c>
      <c r="G834" s="1">
        <f t="shared" si="24"/>
        <v>1.5000000000000013E-2</v>
      </c>
      <c r="H834" s="1" t="str">
        <f t="shared" si="25"/>
        <v/>
      </c>
      <c r="I834" s="1">
        <v>-2.1000000000000001E-2</v>
      </c>
      <c r="J834" s="1">
        <f>+D834-F834+I834*O834</f>
        <v>0.18543000000000001</v>
      </c>
      <c r="K834" s="1">
        <v>1.9751049578189801E-2</v>
      </c>
      <c r="L834" s="1">
        <f>+K834-J834</f>
        <v>-0.16567895042181022</v>
      </c>
      <c r="M834" s="1">
        <v>1.7510495781898E-3</v>
      </c>
      <c r="N834" s="1">
        <f>+M834-J834</f>
        <v>-0.18367895042181021</v>
      </c>
      <c r="O834">
        <v>2.17</v>
      </c>
      <c r="P834" t="s">
        <v>16</v>
      </c>
      <c r="Q834">
        <v>-0.02</v>
      </c>
      <c r="R834">
        <v>-3.8432859703898298E-3</v>
      </c>
      <c r="S834">
        <v>-2.2692476399242802E-2</v>
      </c>
      <c r="T834">
        <v>-0.05</v>
      </c>
    </row>
    <row r="835" spans="1:20" x14ac:dyDescent="0.3">
      <c r="A835" t="s">
        <v>70</v>
      </c>
      <c r="B835">
        <v>2020</v>
      </c>
      <c r="C835">
        <v>360633.90629999997</v>
      </c>
      <c r="D835" s="1">
        <v>0.02</v>
      </c>
      <c r="E835" s="1">
        <v>0.90889769792556796</v>
      </c>
      <c r="F835" s="1">
        <v>-9.1999999999999998E-2</v>
      </c>
      <c r="G835" s="1">
        <f t="shared" si="24"/>
        <v>-7.6999999999999985E-2</v>
      </c>
      <c r="H835" s="1" t="str">
        <f t="shared" si="25"/>
        <v/>
      </c>
      <c r="I835" s="1">
        <v>2.5000000000000001E-2</v>
      </c>
      <c r="J835" s="1">
        <f>+D835-F835+I835*O835</f>
        <v>0.16125</v>
      </c>
      <c r="K835" s="1">
        <v>8.1567140296101605E-3</v>
      </c>
      <c r="L835" s="1">
        <f>+K835-J835</f>
        <v>-0.15309328597038985</v>
      </c>
      <c r="M835" s="1">
        <v>-3.8432859703898298E-3</v>
      </c>
      <c r="N835" s="1">
        <f>+M835-J835</f>
        <v>-0.16509328597038983</v>
      </c>
      <c r="O835">
        <v>1.97</v>
      </c>
      <c r="P835" t="s">
        <v>17</v>
      </c>
      <c r="Q835">
        <v>-0.02</v>
      </c>
      <c r="R835">
        <v>7.4069394052029003E-2</v>
      </c>
      <c r="S835">
        <v>3.0479781329632E-2</v>
      </c>
      <c r="T835">
        <v>-0.05</v>
      </c>
    </row>
    <row r="836" spans="1:20" x14ac:dyDescent="0.3">
      <c r="A836" t="s">
        <v>70</v>
      </c>
      <c r="B836">
        <v>2021</v>
      </c>
      <c r="C836">
        <v>364012.21879999997</v>
      </c>
      <c r="D836" s="1">
        <v>2.4E-2</v>
      </c>
      <c r="E836" s="1">
        <v>0.95371836423873901</v>
      </c>
      <c r="F836" s="1">
        <v>0.105</v>
      </c>
      <c r="G836" s="1">
        <f t="shared" si="24"/>
        <v>2.8000000000000011E-2</v>
      </c>
      <c r="H836" s="1" t="str">
        <f t="shared" si="25"/>
        <v/>
      </c>
      <c r="I836" s="1">
        <v>4.4999999999999998E-2</v>
      </c>
      <c r="J836" s="1">
        <f>+D836-F836+I836*O836</f>
        <v>1.6649999999999998E-2</v>
      </c>
      <c r="K836" s="1">
        <v>0.121069394052029</v>
      </c>
      <c r="L836" s="1">
        <f>+K836-J836</f>
        <v>0.104419394052029</v>
      </c>
      <c r="M836" s="1">
        <v>7.4069394052029003E-2</v>
      </c>
      <c r="N836" s="1">
        <f>+M836-J836</f>
        <v>5.7419394052029005E-2</v>
      </c>
      <c r="O836">
        <v>2.17</v>
      </c>
      <c r="P836" t="s">
        <v>15</v>
      </c>
      <c r="Q836">
        <v>0.03</v>
      </c>
      <c r="R836">
        <v>-3.4570829868316701E-2</v>
      </c>
      <c r="S836">
        <v>-2.46732309460639E-3</v>
      </c>
      <c r="T836">
        <v>0.08</v>
      </c>
    </row>
    <row r="837" spans="1:20" x14ac:dyDescent="0.3">
      <c r="A837" t="s">
        <v>70</v>
      </c>
      <c r="B837">
        <v>2022</v>
      </c>
      <c r="C837">
        <v>368828.5</v>
      </c>
      <c r="D837" s="1">
        <v>5.8999999999999997E-2</v>
      </c>
      <c r="E837" s="1">
        <v>0.931329846382141</v>
      </c>
      <c r="F837" s="1">
        <v>1.7000000000000001E-2</v>
      </c>
      <c r="G837" s="1">
        <f t="shared" si="24"/>
        <v>4.5000000000000012E-2</v>
      </c>
      <c r="H837" s="1" t="str">
        <f t="shared" si="25"/>
        <v/>
      </c>
      <c r="I837" s="1">
        <v>-2.1999999999999999E-2</v>
      </c>
      <c r="J837" s="1">
        <f>+D837-F837+I837*O837</f>
        <v>-6.6200000000000009E-3</v>
      </c>
      <c r="K837" s="1">
        <v>4.5429170131683301E-2</v>
      </c>
      <c r="L837" s="1">
        <f>+K837-J837</f>
        <v>5.2049170131683302E-2</v>
      </c>
      <c r="M837" s="1">
        <v>-3.4570829868316701E-2</v>
      </c>
      <c r="N837" s="1">
        <f>+M837-J837</f>
        <v>-2.79508298683167E-2</v>
      </c>
      <c r="O837">
        <v>2.21</v>
      </c>
      <c r="P837" t="s">
        <v>17</v>
      </c>
      <c r="Q837">
        <v>0</v>
      </c>
      <c r="R837">
        <v>-1.8490292862057701E-2</v>
      </c>
      <c r="S837">
        <v>1.0686349123716001E-3</v>
      </c>
      <c r="T837">
        <v>0.03</v>
      </c>
    </row>
    <row r="838" spans="1:20" x14ac:dyDescent="0.3">
      <c r="A838" t="s">
        <v>71</v>
      </c>
      <c r="B838">
        <v>2006</v>
      </c>
      <c r="C838">
        <v>588154.4375</v>
      </c>
      <c r="D838" s="1">
        <v>3.2000000000000001E-2</v>
      </c>
      <c r="E838" s="1">
        <v>0.90436279773712203</v>
      </c>
      <c r="F838" s="1">
        <v>-8.0000000000000002E-3</v>
      </c>
      <c r="G838" s="1">
        <f t="shared" si="24"/>
        <v>-8.0000000000000002E-3</v>
      </c>
      <c r="H838" s="1" t="str">
        <f t="shared" si="25"/>
        <v/>
      </c>
      <c r="I838" s="1">
        <v>-3.4000000000000002E-2</v>
      </c>
      <c r="J838" s="1">
        <f>+D838-F838+I838*O838</f>
        <v>-4.5000000000000005E-2</v>
      </c>
      <c r="K838" s="1">
        <v>5.6186497211456299E-2</v>
      </c>
      <c r="L838" s="1">
        <f>+K838-J838</f>
        <v>0.10118649721145631</v>
      </c>
      <c r="M838" s="1">
        <v>2.4186497211456201E-2</v>
      </c>
      <c r="N838" s="1">
        <f>+M838-J838</f>
        <v>6.9186497211456199E-2</v>
      </c>
      <c r="O838">
        <v>2.5</v>
      </c>
      <c r="P838" t="s">
        <v>16</v>
      </c>
      <c r="Q838">
        <v>0.02</v>
      </c>
      <c r="R838">
        <v>-4.4339754581450997E-3</v>
      </c>
      <c r="S838">
        <v>-3.5122195258735999E-3</v>
      </c>
      <c r="T838">
        <v>-0.01</v>
      </c>
    </row>
    <row r="839" spans="1:20" x14ac:dyDescent="0.3">
      <c r="A839" t="s">
        <v>71</v>
      </c>
      <c r="B839">
        <v>2007</v>
      </c>
      <c r="C839">
        <v>606279</v>
      </c>
      <c r="D839" s="1">
        <v>2.8000000000000001E-2</v>
      </c>
      <c r="E839" s="1">
        <v>0.86029404401779197</v>
      </c>
      <c r="F839" s="1">
        <v>-5.8000000000000003E-2</v>
      </c>
      <c r="G839" s="1">
        <f t="shared" ref="G839:G902" si="26">SUMIFS(F:F,A:A,A839,B:B,"&lt;="&amp;B839)</f>
        <v>-6.6000000000000003E-2</v>
      </c>
      <c r="H839" s="1" t="str">
        <f t="shared" ref="H839:H902" si="27">IFERROR(IF(ABS(G839)&gt;0.12,AVERAGEIFS(K:K,A:A,A839,B:B,"&gt;"&amp;B839,B:B,"&lt;"&amp;B839+3),""),"")</f>
        <v/>
      </c>
      <c r="I839" s="1">
        <v>-4.3999999999999997E-2</v>
      </c>
      <c r="J839" s="1">
        <f>+D839-F839+I839*O839</f>
        <v>-1.7399999999999985E-2</v>
      </c>
      <c r="K839" s="1">
        <v>2.45660245418549E-2</v>
      </c>
      <c r="L839" s="1">
        <f>+K839-J839</f>
        <v>4.1966024541854885E-2</v>
      </c>
      <c r="M839" s="1">
        <v>-4.4339754581450997E-3</v>
      </c>
      <c r="N839" s="1">
        <f>+M839-J839</f>
        <v>1.2966024541854885E-2</v>
      </c>
      <c r="O839">
        <v>2.35</v>
      </c>
      <c r="P839" t="s">
        <v>16</v>
      </c>
      <c r="Q839">
        <v>0</v>
      </c>
      <c r="R839">
        <v>-5.4520129516720799E-2</v>
      </c>
      <c r="S839">
        <v>-2.5009325239807301E-2</v>
      </c>
      <c r="T839">
        <v>-0.06</v>
      </c>
    </row>
    <row r="840" spans="1:20" x14ac:dyDescent="0.3">
      <c r="A840" t="s">
        <v>71</v>
      </c>
      <c r="B840">
        <v>2008</v>
      </c>
      <c r="C840">
        <v>611338.1875</v>
      </c>
      <c r="D840" s="1">
        <v>2.3E-2</v>
      </c>
      <c r="E840" s="1">
        <v>0.86680686473846402</v>
      </c>
      <c r="F840" s="1">
        <v>-3.2000000000000001E-2</v>
      </c>
      <c r="G840" s="1">
        <f t="shared" si="26"/>
        <v>-9.8000000000000004E-2</v>
      </c>
      <c r="H840" s="1" t="str">
        <f t="shared" si="27"/>
        <v/>
      </c>
      <c r="I840" s="1">
        <v>7.0000000000000001E-3</v>
      </c>
      <c r="J840" s="1">
        <f>+D840-F840+I840*O840</f>
        <v>7.0959999999999995E-2</v>
      </c>
      <c r="K840" s="1">
        <v>-1.65201295167208E-2</v>
      </c>
      <c r="L840" s="1">
        <f>+K840-J840</f>
        <v>-8.7480129516720795E-2</v>
      </c>
      <c r="M840" s="1">
        <v>-5.4520129516720799E-2</v>
      </c>
      <c r="N840" s="1">
        <f>+M840-J840</f>
        <v>-0.1254801295167208</v>
      </c>
      <c r="O840">
        <v>2.2799999999999998</v>
      </c>
      <c r="P840" t="s">
        <v>17</v>
      </c>
      <c r="Q840">
        <v>-0.03</v>
      </c>
      <c r="R840">
        <v>-3.6349077433347698E-2</v>
      </c>
      <c r="S840">
        <v>-9.7823757678270392E-3</v>
      </c>
      <c r="T840">
        <v>-0.03</v>
      </c>
    </row>
    <row r="841" spans="1:20" x14ac:dyDescent="0.3">
      <c r="A841" t="s">
        <v>71</v>
      </c>
      <c r="B841">
        <v>2009</v>
      </c>
      <c r="C841">
        <v>614222.25</v>
      </c>
      <c r="D841" s="1">
        <v>1.7999999999999999E-2</v>
      </c>
      <c r="E841" s="1">
        <v>0.88379150629043601</v>
      </c>
      <c r="F841" s="1">
        <v>9.4E-2</v>
      </c>
      <c r="G841" s="1">
        <f t="shared" si="26"/>
        <v>-4.0000000000000036E-3</v>
      </c>
      <c r="H841" s="1" t="str">
        <f t="shared" si="27"/>
        <v/>
      </c>
      <c r="I841" s="1">
        <v>1.7000000000000001E-2</v>
      </c>
      <c r="J841" s="1">
        <f>+D841-F841+I841*O841</f>
        <v>-3.3669999999999992E-2</v>
      </c>
      <c r="K841" s="1">
        <v>-4.0349077433347702E-2</v>
      </c>
      <c r="L841" s="1">
        <f>+K841-J841</f>
        <v>-6.6790774333477104E-3</v>
      </c>
      <c r="M841" s="1">
        <v>-3.6349077433347698E-2</v>
      </c>
      <c r="N841" s="1">
        <f>+M841-J841</f>
        <v>-2.6790774333477069E-3</v>
      </c>
      <c r="O841">
        <v>2.4900000000000002</v>
      </c>
      <c r="P841" t="s">
        <v>15</v>
      </c>
      <c r="Q841">
        <v>-0.01</v>
      </c>
      <c r="R841">
        <v>-1.1057706721127001E-2</v>
      </c>
      <c r="S841">
        <v>-1.5975979622453399E-3</v>
      </c>
      <c r="T841">
        <v>0.08</v>
      </c>
    </row>
    <row r="842" spans="1:20" x14ac:dyDescent="0.3">
      <c r="A842" t="s">
        <v>71</v>
      </c>
      <c r="B842">
        <v>2010</v>
      </c>
      <c r="C842">
        <v>621899.4375</v>
      </c>
      <c r="D842" s="1">
        <v>4.0000000000000001E-3</v>
      </c>
      <c r="E842" s="1">
        <v>0.90116167068481401</v>
      </c>
      <c r="F842" s="1">
        <v>-2.5999999999999999E-2</v>
      </c>
      <c r="G842" s="1">
        <f t="shared" si="26"/>
        <v>-3.0000000000000002E-2</v>
      </c>
      <c r="H842" s="1" t="str">
        <f t="shared" si="27"/>
        <v/>
      </c>
      <c r="I842" s="1">
        <v>1.7000000000000001E-2</v>
      </c>
      <c r="J842" s="1">
        <f>+D842-F842+I842*O842</f>
        <v>7.1310000000000012E-2</v>
      </c>
      <c r="K842" s="1">
        <v>4.9422932788729702E-3</v>
      </c>
      <c r="L842" s="1">
        <f>+K842-J842</f>
        <v>-6.6367706721127045E-2</v>
      </c>
      <c r="M842" s="1">
        <v>-1.1057706721127001E-2</v>
      </c>
      <c r="N842" s="1">
        <f>+M842-J842</f>
        <v>-8.2367706721127018E-2</v>
      </c>
      <c r="O842">
        <v>2.4300000000000002</v>
      </c>
      <c r="P842" t="s">
        <v>17</v>
      </c>
      <c r="Q842">
        <v>0</v>
      </c>
      <c r="R842">
        <v>-1.38801674991846E-2</v>
      </c>
      <c r="S842">
        <v>7.4036070145666903E-3</v>
      </c>
      <c r="T842">
        <v>-0.03</v>
      </c>
    </row>
    <row r="843" spans="1:20" x14ac:dyDescent="0.3">
      <c r="A843" t="s">
        <v>71</v>
      </c>
      <c r="B843">
        <v>2011</v>
      </c>
      <c r="C843">
        <v>630593.3125</v>
      </c>
      <c r="D843" s="1">
        <v>0</v>
      </c>
      <c r="E843" s="1">
        <v>0.91195219755172696</v>
      </c>
      <c r="F843" s="1">
        <v>1.7999999999999999E-2</v>
      </c>
      <c r="G843" s="1">
        <f t="shared" si="26"/>
        <v>-1.2000000000000004E-2</v>
      </c>
      <c r="H843" s="1" t="str">
        <f t="shared" si="27"/>
        <v/>
      </c>
      <c r="I843" s="1">
        <v>1.0999999999999999E-2</v>
      </c>
      <c r="J843" s="1">
        <f>+D843-F843+I843*O843</f>
        <v>9.1700000000000011E-3</v>
      </c>
      <c r="K843" s="1">
        <v>1.8119832500815398E-2</v>
      </c>
      <c r="L843" s="1">
        <f>+K843-J843</f>
        <v>8.9498325008153974E-3</v>
      </c>
      <c r="M843" s="1">
        <v>-1.38801674991846E-2</v>
      </c>
      <c r="N843" s="1">
        <f>+M843-J843</f>
        <v>-2.30501674991846E-2</v>
      </c>
      <c r="O843">
        <v>2.4700000000000002</v>
      </c>
      <c r="P843" t="s">
        <v>15</v>
      </c>
      <c r="Q843">
        <v>0.01</v>
      </c>
      <c r="R843">
        <v>1.2786334097385299E-2</v>
      </c>
      <c r="S843">
        <v>1.82245401665568E-2</v>
      </c>
      <c r="T843">
        <v>0.02</v>
      </c>
    </row>
    <row r="844" spans="1:20" x14ac:dyDescent="0.3">
      <c r="A844" t="s">
        <v>71</v>
      </c>
      <c r="B844">
        <v>2012</v>
      </c>
      <c r="C844">
        <v>641955.875</v>
      </c>
      <c r="D844" s="1">
        <v>1E-3</v>
      </c>
      <c r="E844" s="1">
        <v>0.92890703678131104</v>
      </c>
      <c r="F844" s="1">
        <v>-4.0000000000000001E-3</v>
      </c>
      <c r="G844" s="1">
        <f t="shared" si="26"/>
        <v>-1.6000000000000004E-2</v>
      </c>
      <c r="H844" s="1" t="str">
        <f t="shared" si="27"/>
        <v/>
      </c>
      <c r="I844" s="1">
        <v>1.7000000000000001E-2</v>
      </c>
      <c r="J844" s="1">
        <f>+D844-F844+I844*O844</f>
        <v>4.6820000000000001E-2</v>
      </c>
      <c r="K844" s="1">
        <v>3.37863340973854E-2</v>
      </c>
      <c r="L844" s="1">
        <f>+K844-J844</f>
        <v>-1.3033665902614601E-2</v>
      </c>
      <c r="M844" s="1">
        <v>1.2786334097385299E-2</v>
      </c>
      <c r="N844" s="1">
        <f>+M844-J844</f>
        <v>-3.4033665902614703E-2</v>
      </c>
      <c r="O844">
        <v>2.46</v>
      </c>
      <c r="P844" t="s">
        <v>17</v>
      </c>
      <c r="Q844">
        <v>0.02</v>
      </c>
      <c r="R844">
        <v>1.55584743618965E-2</v>
      </c>
      <c r="S844">
        <v>9.4317030161618996E-3</v>
      </c>
      <c r="T844">
        <v>-0.01</v>
      </c>
    </row>
    <row r="845" spans="1:20" x14ac:dyDescent="0.3">
      <c r="A845" t="s">
        <v>71</v>
      </c>
      <c r="B845">
        <v>2013</v>
      </c>
      <c r="C845">
        <v>655466</v>
      </c>
      <c r="D845" s="1">
        <v>0</v>
      </c>
      <c r="E845" s="1">
        <v>0.94047921895980802</v>
      </c>
      <c r="F845" s="1">
        <v>3.3000000000000002E-2</v>
      </c>
      <c r="G845" s="1">
        <f t="shared" si="26"/>
        <v>1.6999999999999998E-2</v>
      </c>
      <c r="H845" s="1" t="str">
        <f t="shared" si="27"/>
        <v/>
      </c>
      <c r="I845" s="1">
        <v>1.2E-2</v>
      </c>
      <c r="J845" s="1">
        <f>+D845-F845+I845*O845</f>
        <v>-2.5200000000000014E-3</v>
      </c>
      <c r="K845" s="1">
        <v>3.0558474361896501E-2</v>
      </c>
      <c r="L845" s="1">
        <f>+K845-J845</f>
        <v>3.3078474361896502E-2</v>
      </c>
      <c r="M845" s="1">
        <v>1.55584743618965E-2</v>
      </c>
      <c r="N845" s="1">
        <f>+M845-J845</f>
        <v>1.8078474361896503E-2</v>
      </c>
      <c r="O845">
        <v>2.54</v>
      </c>
      <c r="P845" t="s">
        <v>15</v>
      </c>
      <c r="Q845">
        <v>0.01</v>
      </c>
      <c r="R845">
        <v>4.0393958628177601E-2</v>
      </c>
      <c r="S845">
        <v>3.8385935127734999E-2</v>
      </c>
      <c r="T845">
        <v>0.03</v>
      </c>
    </row>
    <row r="846" spans="1:20" x14ac:dyDescent="0.3">
      <c r="A846" t="s">
        <v>71</v>
      </c>
      <c r="B846">
        <v>2014</v>
      </c>
      <c r="C846">
        <v>671716.8125</v>
      </c>
      <c r="D846" s="1">
        <v>-8.9999999999999993E-3</v>
      </c>
      <c r="E846" s="1">
        <v>0.94869017601013195</v>
      </c>
      <c r="F846" s="1">
        <v>-2.9000000000000001E-2</v>
      </c>
      <c r="G846" s="1">
        <f t="shared" si="26"/>
        <v>-1.2000000000000004E-2</v>
      </c>
      <c r="H846" s="1" t="str">
        <f t="shared" si="27"/>
        <v/>
      </c>
      <c r="I846" s="1">
        <v>8.0000000000000002E-3</v>
      </c>
      <c r="J846" s="1">
        <f>+D846-F846+I846*O846</f>
        <v>3.9760000000000004E-2</v>
      </c>
      <c r="K846" s="1">
        <v>5.6393958628177601E-2</v>
      </c>
      <c r="L846" s="1">
        <f>+K846-J846</f>
        <v>1.6633958628177598E-2</v>
      </c>
      <c r="M846" s="1">
        <v>4.0393958628177601E-2</v>
      </c>
      <c r="N846" s="1">
        <f>+M846-J846</f>
        <v>6.3395862817759718E-4</v>
      </c>
      <c r="O846">
        <v>2.4700000000000002</v>
      </c>
      <c r="P846" t="s">
        <v>17</v>
      </c>
      <c r="Q846">
        <v>0.04</v>
      </c>
      <c r="R846">
        <v>5.0268503069877499E-2</v>
      </c>
      <c r="S846">
        <v>2.0005051046609899E-2</v>
      </c>
      <c r="T846">
        <v>-0.03</v>
      </c>
    </row>
    <row r="847" spans="1:20" x14ac:dyDescent="0.3">
      <c r="A847" t="s">
        <v>71</v>
      </c>
      <c r="B847">
        <v>2015</v>
      </c>
      <c r="C847">
        <v>691785.375</v>
      </c>
      <c r="D847" s="1">
        <v>6.8000000000000005E-2</v>
      </c>
      <c r="E847" s="1">
        <v>0.93234944343566895</v>
      </c>
      <c r="F847" s="1">
        <v>2E-3</v>
      </c>
      <c r="G847" s="1">
        <f t="shared" si="26"/>
        <v>-1.0000000000000004E-2</v>
      </c>
      <c r="H847" s="1" t="str">
        <f t="shared" si="27"/>
        <v/>
      </c>
      <c r="I847" s="1">
        <v>-1.6E-2</v>
      </c>
      <c r="J847" s="1">
        <f>+D847-F847+I847*O847</f>
        <v>2.6479999999999997E-2</v>
      </c>
      <c r="K847" s="1">
        <v>5.1268503069877597E-2</v>
      </c>
      <c r="L847" s="1">
        <f>+K847-J847</f>
        <v>2.47885030698776E-2</v>
      </c>
      <c r="M847" s="1">
        <v>5.0268503069877499E-2</v>
      </c>
      <c r="N847" s="1">
        <f>+M847-J847</f>
        <v>2.3788503069877502E-2</v>
      </c>
      <c r="O847">
        <v>2.4700000000000002</v>
      </c>
      <c r="P847" t="s">
        <v>17</v>
      </c>
      <c r="Q847">
        <v>0.02</v>
      </c>
      <c r="R847">
        <v>2.6876937866210902E-2</v>
      </c>
      <c r="S847">
        <v>1.37233808636665E-2</v>
      </c>
      <c r="T847">
        <v>0.01</v>
      </c>
    </row>
    <row r="848" spans="1:20" x14ac:dyDescent="0.3">
      <c r="A848" t="s">
        <v>71</v>
      </c>
      <c r="B848">
        <v>2016</v>
      </c>
      <c r="C848">
        <v>711083.125</v>
      </c>
      <c r="D848" s="1">
        <v>4.3999999999999997E-2</v>
      </c>
      <c r="E848" s="1">
        <v>0.93165302276611295</v>
      </c>
      <c r="F848" s="1">
        <v>-3.4000000000000002E-2</v>
      </c>
      <c r="G848" s="1">
        <f t="shared" si="26"/>
        <v>-4.4000000000000004E-2</v>
      </c>
      <c r="H848" s="1" t="str">
        <f t="shared" si="27"/>
        <v/>
      </c>
      <c r="I848" s="1">
        <v>-1E-3</v>
      </c>
      <c r="J848" s="1">
        <f>+D848-F848+I848*O848</f>
        <v>7.5609999999999997E-2</v>
      </c>
      <c r="K848" s="1">
        <v>3.9876937866210903E-2</v>
      </c>
      <c r="L848" s="1">
        <f>+K848-J848</f>
        <v>-3.5733062133789094E-2</v>
      </c>
      <c r="M848" s="1">
        <v>2.6876937866210902E-2</v>
      </c>
      <c r="N848" s="1">
        <f>+M848-J848</f>
        <v>-4.8733062133789098E-2</v>
      </c>
      <c r="O848">
        <v>2.39</v>
      </c>
      <c r="P848" t="s">
        <v>16</v>
      </c>
      <c r="Q848">
        <v>0.01</v>
      </c>
      <c r="R848">
        <v>1.45799570679665E-2</v>
      </c>
      <c r="S848">
        <v>1.17903836071492E-2</v>
      </c>
      <c r="T848">
        <v>-0.03</v>
      </c>
    </row>
    <row r="849" spans="1:20" x14ac:dyDescent="0.3">
      <c r="A849" t="s">
        <v>71</v>
      </c>
      <c r="B849">
        <v>2017</v>
      </c>
      <c r="C849">
        <v>725251.75</v>
      </c>
      <c r="D849" s="1">
        <v>5.1999999999999998E-2</v>
      </c>
      <c r="E849" s="1">
        <v>0.92945277690887496</v>
      </c>
      <c r="F849" s="1">
        <v>3.5999999999999997E-2</v>
      </c>
      <c r="G849" s="1">
        <f t="shared" si="26"/>
        <v>-8.0000000000000071E-3</v>
      </c>
      <c r="H849" s="1" t="str">
        <f t="shared" si="27"/>
        <v/>
      </c>
      <c r="I849" s="1">
        <v>-2E-3</v>
      </c>
      <c r="J849" s="1">
        <f>+D849-F849+I849*O849</f>
        <v>1.106E-2</v>
      </c>
      <c r="K849" s="1">
        <v>3.5579957067966503E-2</v>
      </c>
      <c r="L849" s="1">
        <f>+K849-J849</f>
        <v>2.4519957067966502E-2</v>
      </c>
      <c r="M849" s="1">
        <v>1.45799570679665E-2</v>
      </c>
      <c r="N849" s="1">
        <f>+M849-J849</f>
        <v>3.5199570679664994E-3</v>
      </c>
      <c r="O849">
        <v>2.4700000000000002</v>
      </c>
      <c r="P849" t="s">
        <v>17</v>
      </c>
      <c r="Q849">
        <v>0.01</v>
      </c>
      <c r="R849">
        <v>-3.9038693308829902E-3</v>
      </c>
      <c r="S849">
        <v>-1.30388922989367E-2</v>
      </c>
      <c r="T849">
        <v>0.04</v>
      </c>
    </row>
    <row r="850" spans="1:20" x14ac:dyDescent="0.3">
      <c r="A850" t="s">
        <v>71</v>
      </c>
      <c r="B850">
        <v>2018</v>
      </c>
      <c r="C850">
        <v>737396.125</v>
      </c>
      <c r="D850" s="1">
        <v>9.5000000000000001E-2</v>
      </c>
      <c r="E850" s="1">
        <v>0.90687346458435103</v>
      </c>
      <c r="F850" s="1">
        <v>-7.6999999999999999E-2</v>
      </c>
      <c r="G850" s="1">
        <f t="shared" si="26"/>
        <v>-8.5000000000000006E-2</v>
      </c>
      <c r="H850" s="1" t="str">
        <f t="shared" si="27"/>
        <v/>
      </c>
      <c r="I850" s="1">
        <v>-2.3E-2</v>
      </c>
      <c r="J850" s="1">
        <f>+D850-F850+I850*O850</f>
        <v>0.11956</v>
      </c>
      <c r="K850" s="1">
        <v>2.0096130669117002E-2</v>
      </c>
      <c r="L850" s="1">
        <f>+K850-J850</f>
        <v>-9.9463869330882998E-2</v>
      </c>
      <c r="M850" s="1">
        <v>-3.9038693308829902E-3</v>
      </c>
      <c r="N850" s="1">
        <f>+M850-J850</f>
        <v>-0.12346386933088299</v>
      </c>
      <c r="O850">
        <v>2.2799999999999998</v>
      </c>
      <c r="P850" t="s">
        <v>16</v>
      </c>
      <c r="Q850">
        <v>-0.01</v>
      </c>
      <c r="R850">
        <v>2.0406316190958E-2</v>
      </c>
      <c r="S850">
        <v>2.6051215827464901E-3</v>
      </c>
      <c r="T850">
        <v>-7.0000000000000007E-2</v>
      </c>
    </row>
    <row r="851" spans="1:20" x14ac:dyDescent="0.3">
      <c r="A851" t="s">
        <v>71</v>
      </c>
      <c r="B851">
        <v>2019</v>
      </c>
      <c r="C851">
        <v>752447.3125</v>
      </c>
      <c r="D851" s="1">
        <v>5.6000000000000001E-2</v>
      </c>
      <c r="E851" s="1">
        <v>0.89868414402008101</v>
      </c>
      <c r="F851" s="1">
        <v>7.5999999999999998E-2</v>
      </c>
      <c r="G851" s="1">
        <f t="shared" si="26"/>
        <v>-9.000000000000008E-3</v>
      </c>
      <c r="H851" s="1" t="str">
        <f t="shared" si="27"/>
        <v/>
      </c>
      <c r="I851" s="1">
        <v>-8.0000000000000002E-3</v>
      </c>
      <c r="J851" s="1">
        <f>+D851-F851+I851*O851</f>
        <v>-3.9679999999999993E-2</v>
      </c>
      <c r="K851" s="1">
        <v>3.8406316190958002E-2</v>
      </c>
      <c r="L851" s="1">
        <f>+K851-J851</f>
        <v>7.8086316190957988E-2</v>
      </c>
      <c r="M851" s="1">
        <v>2.0406316190958E-2</v>
      </c>
      <c r="N851" s="1">
        <f>+M851-J851</f>
        <v>6.0086316190957993E-2</v>
      </c>
      <c r="O851">
        <v>2.46</v>
      </c>
      <c r="P851" t="s">
        <v>17</v>
      </c>
      <c r="Q851">
        <v>0</v>
      </c>
      <c r="R851">
        <v>-1.4468643710017199E-2</v>
      </c>
      <c r="S851">
        <v>-3.3317834138870198E-2</v>
      </c>
      <c r="T851">
        <v>0.08</v>
      </c>
    </row>
    <row r="852" spans="1:20" x14ac:dyDescent="0.3">
      <c r="A852" t="s">
        <v>71</v>
      </c>
      <c r="B852">
        <v>2020</v>
      </c>
      <c r="C852">
        <v>771903.375</v>
      </c>
      <c r="D852" s="1">
        <v>0.20499999999999999</v>
      </c>
      <c r="E852" s="1">
        <v>0.83374935388565097</v>
      </c>
      <c r="F852" s="1">
        <v>-2E-3</v>
      </c>
      <c r="G852" s="1">
        <f t="shared" si="26"/>
        <v>-1.1000000000000008E-2</v>
      </c>
      <c r="H852" s="1" t="str">
        <f t="shared" si="27"/>
        <v/>
      </c>
      <c r="I852" s="1">
        <v>-6.5000000000000002E-2</v>
      </c>
      <c r="J852" s="1">
        <f>+D852-F852+I852*O852</f>
        <v>4.7749999999999959E-2</v>
      </c>
      <c r="K852" s="1">
        <v>-2.4686437100171999E-3</v>
      </c>
      <c r="L852" s="1">
        <f>+K852-J852</f>
        <v>-5.0218643710017156E-2</v>
      </c>
      <c r="M852" s="1">
        <v>-1.4468643710017199E-2</v>
      </c>
      <c r="N852" s="1">
        <f>+M852-J852</f>
        <v>-6.221864371001716E-2</v>
      </c>
      <c r="O852">
        <v>2.4500000000000002</v>
      </c>
      <c r="P852" t="s">
        <v>16</v>
      </c>
      <c r="Q852">
        <v>-0.03</v>
      </c>
      <c r="R852">
        <v>0.18197046804428099</v>
      </c>
      <c r="S852">
        <v>0.13838085532188399</v>
      </c>
      <c r="T852">
        <v>0.04</v>
      </c>
    </row>
    <row r="853" spans="1:20" x14ac:dyDescent="0.3">
      <c r="A853" t="s">
        <v>71</v>
      </c>
      <c r="B853">
        <v>2021</v>
      </c>
      <c r="C853">
        <v>799723.875</v>
      </c>
      <c r="D853" s="1">
        <v>0.106</v>
      </c>
      <c r="E853" s="1">
        <v>0.93478286266326904</v>
      </c>
      <c r="F853" s="1">
        <v>-0.05</v>
      </c>
      <c r="G853" s="1">
        <f t="shared" si="26"/>
        <v>-6.1000000000000013E-2</v>
      </c>
      <c r="H853" s="1" t="str">
        <f t="shared" si="27"/>
        <v/>
      </c>
      <c r="I853" s="1">
        <v>0.10100000000000001</v>
      </c>
      <c r="J853" s="1">
        <f>+D853-F853+I853*O853</f>
        <v>0.39133000000000001</v>
      </c>
      <c r="K853" s="1">
        <v>0.22897046804428101</v>
      </c>
      <c r="L853" s="1">
        <f>+K853-J853</f>
        <v>-0.16235953195571901</v>
      </c>
      <c r="M853" s="1">
        <v>0.18197046804428099</v>
      </c>
      <c r="N853" s="1">
        <f>+M853-J853</f>
        <v>-0.20935953195571902</v>
      </c>
      <c r="O853">
        <v>2.33</v>
      </c>
      <c r="P853" t="s">
        <v>17</v>
      </c>
      <c r="Q853">
        <v>0.14000000000000001</v>
      </c>
      <c r="R853">
        <v>2.0868909358977899E-3</v>
      </c>
      <c r="S853">
        <v>3.4190397709608099E-2</v>
      </c>
      <c r="T853">
        <v>-0.08</v>
      </c>
    </row>
    <row r="854" spans="1:20" x14ac:dyDescent="0.3">
      <c r="A854" t="s">
        <v>71</v>
      </c>
      <c r="B854">
        <v>2022</v>
      </c>
      <c r="C854">
        <v>830831.4375</v>
      </c>
      <c r="D854" s="1">
        <v>5.7000000000000002E-2</v>
      </c>
      <c r="E854" s="1">
        <v>0.93239635229110696</v>
      </c>
      <c r="F854" s="1">
        <v>1.9E-2</v>
      </c>
      <c r="G854" s="1">
        <f t="shared" si="26"/>
        <v>-4.200000000000001E-2</v>
      </c>
      <c r="H854" s="1" t="str">
        <f t="shared" si="27"/>
        <v/>
      </c>
      <c r="I854" s="1">
        <v>-2E-3</v>
      </c>
      <c r="J854" s="1">
        <f>+D854-F854+I854*O854</f>
        <v>3.3260000000000005E-2</v>
      </c>
      <c r="K854" s="1">
        <v>8.2086890935897799E-2</v>
      </c>
      <c r="L854" s="1">
        <f>+K854-J854</f>
        <v>4.8826890935897795E-2</v>
      </c>
      <c r="M854" s="1">
        <v>2.0868909358977899E-3</v>
      </c>
      <c r="N854" s="1">
        <f>+M854-J854</f>
        <v>-3.1173109064102214E-2</v>
      </c>
      <c r="O854">
        <v>2.37</v>
      </c>
      <c r="P854" t="s">
        <v>17</v>
      </c>
      <c r="Q854">
        <v>0.03</v>
      </c>
      <c r="R854">
        <v>-9.5916311055421796E-2</v>
      </c>
      <c r="S854">
        <v>-7.6357383280992494E-2</v>
      </c>
      <c r="T854">
        <v>0.04</v>
      </c>
    </row>
    <row r="855" spans="1:20" x14ac:dyDescent="0.3">
      <c r="A855" t="s">
        <v>72</v>
      </c>
      <c r="B855">
        <v>2006</v>
      </c>
      <c r="C855">
        <v>407620.09379999997</v>
      </c>
      <c r="D855" s="1">
        <v>4.0000000000000001E-3</v>
      </c>
      <c r="E855" s="1">
        <v>0.89029031991958596</v>
      </c>
      <c r="F855" s="1">
        <v>-2.1000000000000001E-2</v>
      </c>
      <c r="G855" s="1">
        <f t="shared" si="26"/>
        <v>-2.1000000000000001E-2</v>
      </c>
      <c r="H855" s="1" t="str">
        <f t="shared" si="27"/>
        <v/>
      </c>
      <c r="I855" s="1">
        <v>0.01</v>
      </c>
      <c r="J855" s="1">
        <f>+D855-F855+I855*O855</f>
        <v>4.5600000000000002E-2</v>
      </c>
      <c r="K855" s="1">
        <v>1.9925933331251099E-2</v>
      </c>
      <c r="L855" s="1">
        <f>+K855-J855</f>
        <v>-2.5674066668748902E-2</v>
      </c>
      <c r="M855" s="1">
        <v>-1.20740666687489E-2</v>
      </c>
      <c r="N855" s="1">
        <f>+M855-J855</f>
        <v>-5.76740666687489E-2</v>
      </c>
      <c r="O855">
        <v>2.06</v>
      </c>
      <c r="P855" t="s">
        <v>17</v>
      </c>
      <c r="Q855">
        <v>-0.02</v>
      </c>
      <c r="R855">
        <v>-5.4139745384455002E-3</v>
      </c>
      <c r="S855">
        <v>-4.492218606174E-3</v>
      </c>
      <c r="T855">
        <v>-0.02</v>
      </c>
    </row>
    <row r="856" spans="1:20" x14ac:dyDescent="0.3">
      <c r="A856" t="s">
        <v>72</v>
      </c>
      <c r="B856">
        <v>2007</v>
      </c>
      <c r="C856">
        <v>410680</v>
      </c>
      <c r="D856" s="1">
        <v>0</v>
      </c>
      <c r="E856" s="1">
        <v>0.89654767513275102</v>
      </c>
      <c r="F856" s="1">
        <v>5.0000000000000001E-3</v>
      </c>
      <c r="G856" s="1">
        <f t="shared" si="26"/>
        <v>-1.6E-2</v>
      </c>
      <c r="H856" s="1" t="str">
        <f t="shared" si="27"/>
        <v/>
      </c>
      <c r="I856" s="1">
        <v>6.0000000000000001E-3</v>
      </c>
      <c r="J856" s="1">
        <f>+D856-F856+I856*O856</f>
        <v>7.4199999999999986E-3</v>
      </c>
      <c r="K856" s="1">
        <v>2.35860254615545E-2</v>
      </c>
      <c r="L856" s="1">
        <f>+K856-J856</f>
        <v>1.61660254615545E-2</v>
      </c>
      <c r="M856" s="1">
        <v>-5.4139745384455002E-3</v>
      </c>
      <c r="N856" s="1">
        <f>+M856-J856</f>
        <v>-1.2833974538445498E-2</v>
      </c>
      <c r="O856">
        <v>2.0699999999999998</v>
      </c>
      <c r="P856" t="s">
        <v>15</v>
      </c>
      <c r="Q856">
        <v>0</v>
      </c>
      <c r="R856">
        <v>-2.2828443266451399E-2</v>
      </c>
      <c r="S856">
        <v>6.6823610104619997E-3</v>
      </c>
      <c r="T856">
        <v>0</v>
      </c>
    </row>
    <row r="857" spans="1:20" x14ac:dyDescent="0.3">
      <c r="A857" t="s">
        <v>72</v>
      </c>
      <c r="B857">
        <v>2008</v>
      </c>
      <c r="C857">
        <v>412673.5</v>
      </c>
      <c r="D857" s="1">
        <v>5.0000000000000001E-3</v>
      </c>
      <c r="E857" s="1">
        <v>0.90498197078704801</v>
      </c>
      <c r="F857" s="1">
        <v>7.2999999999999995E-2</v>
      </c>
      <c r="G857" s="1">
        <f t="shared" si="26"/>
        <v>5.6999999999999995E-2</v>
      </c>
      <c r="H857" s="1" t="str">
        <f t="shared" si="27"/>
        <v/>
      </c>
      <c r="I857" s="1">
        <v>8.0000000000000002E-3</v>
      </c>
      <c r="J857" s="1">
        <f>+D857-F857+I857*O857</f>
        <v>-5.0239999999999993E-2</v>
      </c>
      <c r="K857" s="1">
        <v>1.51715567335486E-2</v>
      </c>
      <c r="L857" s="1">
        <f>+K857-J857</f>
        <v>6.5411556733548593E-2</v>
      </c>
      <c r="M857" s="1">
        <v>-2.2828443266451399E-2</v>
      </c>
      <c r="N857" s="1">
        <f>+M857-J857</f>
        <v>2.7411556733548594E-2</v>
      </c>
      <c r="O857">
        <v>2.2200000000000002</v>
      </c>
      <c r="P857" t="s">
        <v>15</v>
      </c>
      <c r="Q857">
        <v>0.01</v>
      </c>
      <c r="R857">
        <v>-1.12004957199096E-2</v>
      </c>
      <c r="S857">
        <v>1.5366205945610899E-2</v>
      </c>
      <c r="T857">
        <v>7.0000000000000007E-2</v>
      </c>
    </row>
    <row r="858" spans="1:20" x14ac:dyDescent="0.3">
      <c r="A858" t="s">
        <v>72</v>
      </c>
      <c r="B858">
        <v>2009</v>
      </c>
      <c r="C858">
        <v>415127</v>
      </c>
      <c r="D858" s="1">
        <v>0</v>
      </c>
      <c r="E858" s="1">
        <v>0.90266197919845603</v>
      </c>
      <c r="F858" s="1">
        <v>-4.8000000000000001E-2</v>
      </c>
      <c r="G858" s="1">
        <f t="shared" si="26"/>
        <v>8.9999999999999941E-3</v>
      </c>
      <c r="H858" s="1" t="str">
        <f t="shared" si="27"/>
        <v/>
      </c>
      <c r="I858" s="1">
        <v>-2E-3</v>
      </c>
      <c r="J858" s="1">
        <f>+D858-F858+I858*O858</f>
        <v>4.3779999999999999E-2</v>
      </c>
      <c r="K858" s="1">
        <v>-1.5200495719909699E-2</v>
      </c>
      <c r="L858" s="1">
        <f>+K858-J858</f>
        <v>-5.8980495719909695E-2</v>
      </c>
      <c r="M858" s="1">
        <v>-1.12004957199096E-2</v>
      </c>
      <c r="N858" s="1">
        <f>+M858-J858</f>
        <v>-5.4980495719909601E-2</v>
      </c>
      <c r="O858">
        <v>2.11</v>
      </c>
      <c r="P858" t="s">
        <v>16</v>
      </c>
      <c r="Q858">
        <v>0.02</v>
      </c>
      <c r="R858">
        <v>-1.56308253030292E-2</v>
      </c>
      <c r="S858">
        <v>-6.17071654414758E-3</v>
      </c>
      <c r="T858">
        <v>-7.0000000000000007E-2</v>
      </c>
    </row>
    <row r="859" spans="1:20" x14ac:dyDescent="0.3">
      <c r="A859" t="s">
        <v>72</v>
      </c>
      <c r="B859">
        <v>2010</v>
      </c>
      <c r="C859">
        <v>417982</v>
      </c>
      <c r="D859" s="1">
        <v>4.0000000000000001E-3</v>
      </c>
      <c r="E859" s="1">
        <v>0.90245532989501998</v>
      </c>
      <c r="F859" s="1">
        <v>7.0000000000000007E-2</v>
      </c>
      <c r="G859" s="1">
        <f t="shared" si="26"/>
        <v>7.9000000000000001E-2</v>
      </c>
      <c r="H859" s="1" t="str">
        <f t="shared" si="27"/>
        <v/>
      </c>
      <c r="I859" s="1">
        <v>0</v>
      </c>
      <c r="J859" s="1">
        <f>+D859-F859+I859*O859</f>
        <v>-6.6000000000000003E-2</v>
      </c>
      <c r="K859" s="1">
        <v>3.6917469697073102E-4</v>
      </c>
      <c r="L859" s="1">
        <f>+K859-J859</f>
        <v>6.6369174696970734E-2</v>
      </c>
      <c r="M859" s="1">
        <v>-1.56308253030292E-2</v>
      </c>
      <c r="N859" s="1">
        <f>+M859-J859</f>
        <v>5.0369174696970803E-2</v>
      </c>
      <c r="O859">
        <v>2.2599999999999998</v>
      </c>
      <c r="P859" t="s">
        <v>17</v>
      </c>
      <c r="Q859">
        <v>-0.01</v>
      </c>
      <c r="R859">
        <v>-2.62827671766281E-2</v>
      </c>
      <c r="S859">
        <v>-4.9989926628768097E-3</v>
      </c>
      <c r="T859">
        <v>0.06</v>
      </c>
    </row>
    <row r="860" spans="1:20" x14ac:dyDescent="0.3">
      <c r="A860" t="s">
        <v>72</v>
      </c>
      <c r="B860">
        <v>2011</v>
      </c>
      <c r="C860">
        <v>421133.78129999997</v>
      </c>
      <c r="D860" s="1">
        <v>0</v>
      </c>
      <c r="E860" s="1">
        <v>0.91096132993698098</v>
      </c>
      <c r="F860" s="1">
        <v>-2.8000000000000001E-2</v>
      </c>
      <c r="G860" s="1">
        <f t="shared" si="26"/>
        <v>5.1000000000000004E-2</v>
      </c>
      <c r="H860" s="1" t="str">
        <f t="shared" si="27"/>
        <v/>
      </c>
      <c r="I860" s="1">
        <v>8.9999999999999993E-3</v>
      </c>
      <c r="J860" s="1">
        <f>+D860-F860+I860*O860</f>
        <v>4.7710000000000002E-2</v>
      </c>
      <c r="K860" s="1">
        <v>5.7172328233718898E-3</v>
      </c>
      <c r="L860" s="1">
        <f>+K860-J860</f>
        <v>-4.1992767176628115E-2</v>
      </c>
      <c r="M860" s="1">
        <v>-2.62827671766281E-2</v>
      </c>
      <c r="N860" s="1">
        <f>+M860-J860</f>
        <v>-7.3992767176628102E-2</v>
      </c>
      <c r="O860">
        <v>2.19</v>
      </c>
      <c r="P860" t="s">
        <v>17</v>
      </c>
      <c r="Q860">
        <v>0</v>
      </c>
      <c r="R860">
        <v>-3.7975258231162999E-3</v>
      </c>
      <c r="S860">
        <v>1.6406802460551E-3</v>
      </c>
      <c r="T860">
        <v>-0.03</v>
      </c>
    </row>
    <row r="861" spans="1:20" x14ac:dyDescent="0.3">
      <c r="A861" t="s">
        <v>72</v>
      </c>
      <c r="B861">
        <v>2012</v>
      </c>
      <c r="C861">
        <v>423595.625</v>
      </c>
      <c r="D861" s="1">
        <v>1.2999999999999999E-2</v>
      </c>
      <c r="E861" s="1">
        <v>0.90947026014328003</v>
      </c>
      <c r="F861" s="1">
        <v>5.0000000000000001E-3</v>
      </c>
      <c r="G861" s="1">
        <f t="shared" si="26"/>
        <v>5.6000000000000001E-2</v>
      </c>
      <c r="H861" s="1" t="str">
        <f t="shared" si="27"/>
        <v/>
      </c>
      <c r="I861" s="1">
        <v>-1E-3</v>
      </c>
      <c r="J861" s="1">
        <f>+D861-F861+I861*O861</f>
        <v>5.7999999999999996E-3</v>
      </c>
      <c r="K861" s="1">
        <v>1.7202474176883701E-2</v>
      </c>
      <c r="L861" s="1">
        <f>+K861-J861</f>
        <v>1.1402474176883701E-2</v>
      </c>
      <c r="M861" s="1">
        <v>-3.7975258231162999E-3</v>
      </c>
      <c r="N861" s="1">
        <f>+M861-J861</f>
        <v>-9.5975258231162999E-3</v>
      </c>
      <c r="O861">
        <v>2.2000000000000002</v>
      </c>
      <c r="P861" t="s">
        <v>17</v>
      </c>
      <c r="Q861">
        <v>0</v>
      </c>
      <c r="R861">
        <v>-1.3257128745317E-3</v>
      </c>
      <c r="S861">
        <v>-7.4524842202662997E-3</v>
      </c>
      <c r="T861">
        <v>0</v>
      </c>
    </row>
    <row r="862" spans="1:20" x14ac:dyDescent="0.3">
      <c r="A862" t="s">
        <v>72</v>
      </c>
      <c r="B862">
        <v>2013</v>
      </c>
      <c r="C862">
        <v>426279.59379999997</v>
      </c>
      <c r="D862" s="1">
        <v>1.2999999999999999E-2</v>
      </c>
      <c r="E862" s="1">
        <v>0.91079175472259499</v>
      </c>
      <c r="F862" s="1">
        <v>0.05</v>
      </c>
      <c r="G862" s="1">
        <f t="shared" si="26"/>
        <v>0.10600000000000001</v>
      </c>
      <c r="H862" s="1" t="str">
        <f t="shared" si="27"/>
        <v/>
      </c>
      <c r="I862" s="1">
        <v>1E-3</v>
      </c>
      <c r="J862" s="1">
        <f>+D862-F862+I862*O862</f>
        <v>-3.4690000000000006E-2</v>
      </c>
      <c r="K862" s="1">
        <v>1.3674287125468299E-2</v>
      </c>
      <c r="L862" s="1">
        <f>+K862-J862</f>
        <v>4.8364287125468308E-2</v>
      </c>
      <c r="M862" s="1">
        <v>-1.3257128745317E-3</v>
      </c>
      <c r="N862" s="1">
        <f>+M862-J862</f>
        <v>3.3364287125468309E-2</v>
      </c>
      <c r="O862">
        <v>2.31</v>
      </c>
      <c r="P862" t="s">
        <v>15</v>
      </c>
      <c r="Q862">
        <v>-0.01</v>
      </c>
      <c r="R862">
        <v>-6.6050302088260697E-3</v>
      </c>
      <c r="S862">
        <v>-8.6130537092685699E-3</v>
      </c>
      <c r="T862">
        <v>0.04</v>
      </c>
    </row>
    <row r="863" spans="1:20" x14ac:dyDescent="0.3">
      <c r="A863" t="s">
        <v>72</v>
      </c>
      <c r="B863">
        <v>2014</v>
      </c>
      <c r="C863">
        <v>428848.59379999997</v>
      </c>
      <c r="D863" s="1">
        <v>8.0000000000000002E-3</v>
      </c>
      <c r="E863" s="1">
        <v>0.91894865036010698</v>
      </c>
      <c r="F863" s="1">
        <v>-0.11</v>
      </c>
      <c r="G863" s="1">
        <f t="shared" si="26"/>
        <v>-3.9999999999999897E-3</v>
      </c>
      <c r="H863" s="1" t="str">
        <f t="shared" si="27"/>
        <v/>
      </c>
      <c r="I863" s="1">
        <v>8.0000000000000002E-3</v>
      </c>
      <c r="J863" s="1">
        <f>+D863-F863+I863*O863</f>
        <v>0.13447999999999999</v>
      </c>
      <c r="K863" s="1">
        <v>9.3949697911739297E-3</v>
      </c>
      <c r="L863" s="1">
        <f>+K863-J863</f>
        <v>-0.12508503020882605</v>
      </c>
      <c r="M863" s="1">
        <v>-6.6050302088260697E-3</v>
      </c>
      <c r="N863" s="1">
        <f>+M863-J863</f>
        <v>-0.14108503020882607</v>
      </c>
      <c r="O863">
        <v>2.06</v>
      </c>
      <c r="P863" t="s">
        <v>17</v>
      </c>
      <c r="Q863">
        <v>-0.01</v>
      </c>
      <c r="R863">
        <v>4.3789116829633698E-2</v>
      </c>
      <c r="S863">
        <v>1.3525664806366E-2</v>
      </c>
      <c r="T863">
        <v>-0.11</v>
      </c>
    </row>
    <row r="864" spans="1:20" x14ac:dyDescent="0.3">
      <c r="A864" t="s">
        <v>72</v>
      </c>
      <c r="B864">
        <v>2015</v>
      </c>
      <c r="C864">
        <v>431438.125</v>
      </c>
      <c r="D864" s="1">
        <v>2.1000000000000001E-2</v>
      </c>
      <c r="E864" s="1">
        <v>0.92536038160324097</v>
      </c>
      <c r="F864" s="1">
        <v>8.4000000000000005E-2</v>
      </c>
      <c r="G864" s="1">
        <f t="shared" si="26"/>
        <v>8.0000000000000016E-2</v>
      </c>
      <c r="H864" s="1" t="str">
        <f t="shared" si="27"/>
        <v/>
      </c>
      <c r="I864" s="1">
        <v>6.0000000000000001E-3</v>
      </c>
      <c r="J864" s="1">
        <f>+D864-F864+I864*O864</f>
        <v>-4.9619999999999997E-2</v>
      </c>
      <c r="K864" s="1">
        <v>4.4789116829633699E-2</v>
      </c>
      <c r="L864" s="1">
        <f>+K864-J864</f>
        <v>9.4409116829633696E-2</v>
      </c>
      <c r="M864" s="1">
        <v>4.3789116829633698E-2</v>
      </c>
      <c r="N864" s="1">
        <f>+M864-J864</f>
        <v>9.3409116829633695E-2</v>
      </c>
      <c r="O864">
        <v>2.23</v>
      </c>
      <c r="P864" t="s">
        <v>15</v>
      </c>
      <c r="Q864">
        <v>0.01</v>
      </c>
      <c r="R864">
        <v>1.7124230310320801E-2</v>
      </c>
      <c r="S864">
        <v>3.9706733077764901E-3</v>
      </c>
      <c r="T864">
        <v>0.09</v>
      </c>
    </row>
    <row r="865" spans="1:20" x14ac:dyDescent="0.3">
      <c r="A865" t="s">
        <v>72</v>
      </c>
      <c r="B865">
        <v>2016</v>
      </c>
      <c r="C865">
        <v>434042.3125</v>
      </c>
      <c r="D865" s="1">
        <v>0.01</v>
      </c>
      <c r="E865" s="1">
        <v>0.91614413261413596</v>
      </c>
      <c r="F865" s="1">
        <v>-7.0000000000000001E-3</v>
      </c>
      <c r="G865" s="1">
        <f t="shared" si="26"/>
        <v>7.3000000000000009E-2</v>
      </c>
      <c r="H865" s="1" t="str">
        <f t="shared" si="27"/>
        <v/>
      </c>
      <c r="I865" s="1">
        <v>-8.9999999999999993E-3</v>
      </c>
      <c r="J865" s="1">
        <f>+D865-F865+I865*O865</f>
        <v>-2.98E-3</v>
      </c>
      <c r="K865" s="1">
        <v>3.0124230310320899E-2</v>
      </c>
      <c r="L865" s="1">
        <f>+K865-J865</f>
        <v>3.3104230310320899E-2</v>
      </c>
      <c r="M865" s="1">
        <v>1.7124230310320801E-2</v>
      </c>
      <c r="N865" s="1">
        <f>+M865-J865</f>
        <v>2.0104230310320801E-2</v>
      </c>
      <c r="O865">
        <v>2.2200000000000002</v>
      </c>
      <c r="P865" t="s">
        <v>16</v>
      </c>
      <c r="Q865">
        <v>0</v>
      </c>
      <c r="R865">
        <v>2.7243101000785901E-3</v>
      </c>
      <c r="S865">
        <v>-6.5263360738698694E-5</v>
      </c>
      <c r="T865">
        <v>-0.01</v>
      </c>
    </row>
    <row r="866" spans="1:20" x14ac:dyDescent="0.3">
      <c r="A866" t="s">
        <v>72</v>
      </c>
      <c r="B866">
        <v>2017</v>
      </c>
      <c r="C866">
        <v>437269.59379999997</v>
      </c>
      <c r="D866" s="1">
        <v>1.7000000000000001E-2</v>
      </c>
      <c r="E866" s="1">
        <v>0.92177009582519498</v>
      </c>
      <c r="F866" s="1">
        <v>1.9E-2</v>
      </c>
      <c r="G866" s="1">
        <f t="shared" si="26"/>
        <v>9.2000000000000012E-2</v>
      </c>
      <c r="H866" s="1" t="str">
        <f t="shared" si="27"/>
        <v/>
      </c>
      <c r="I866" s="1">
        <v>6.0000000000000001E-3</v>
      </c>
      <c r="J866" s="1">
        <f>+D866-F866+I866*O866</f>
        <v>1.1560000000000001E-2</v>
      </c>
      <c r="K866" s="1">
        <v>2.37243101000786E-2</v>
      </c>
      <c r="L866" s="1">
        <f>+K866-J866</f>
        <v>1.2164310100078599E-2</v>
      </c>
      <c r="M866" s="1">
        <v>2.7243101000785901E-3</v>
      </c>
      <c r="N866" s="1">
        <f>+M866-J866</f>
        <v>-8.8356898999214107E-3</v>
      </c>
      <c r="O866">
        <v>2.2599999999999998</v>
      </c>
      <c r="P866" t="s">
        <v>15</v>
      </c>
      <c r="Q866">
        <v>0</v>
      </c>
      <c r="R866">
        <v>1.18974225819111E-2</v>
      </c>
      <c r="S866">
        <v>2.7623996138573001E-3</v>
      </c>
      <c r="T866">
        <v>0.02</v>
      </c>
    </row>
    <row r="867" spans="1:20" x14ac:dyDescent="0.3">
      <c r="A867" t="s">
        <v>72</v>
      </c>
      <c r="B867">
        <v>2018</v>
      </c>
      <c r="C867">
        <v>441337.875</v>
      </c>
      <c r="D867" s="1">
        <v>1.9E-2</v>
      </c>
      <c r="E867" s="1">
        <v>0.92204183340072599</v>
      </c>
      <c r="F867" s="1">
        <v>-4.9000000000000002E-2</v>
      </c>
      <c r="G867" s="1">
        <f t="shared" si="26"/>
        <v>4.300000000000001E-2</v>
      </c>
      <c r="H867" s="1" t="str">
        <f t="shared" si="27"/>
        <v/>
      </c>
      <c r="I867" s="1">
        <v>0</v>
      </c>
      <c r="J867" s="1">
        <f>+D867-F867+I867*O867</f>
        <v>6.8000000000000005E-2</v>
      </c>
      <c r="K867" s="1">
        <v>3.5897422581911101E-2</v>
      </c>
      <c r="L867" s="1">
        <f>+K867-J867</f>
        <v>-3.2102577418088904E-2</v>
      </c>
      <c r="M867" s="1">
        <v>1.18974225819111E-2</v>
      </c>
      <c r="N867" s="1">
        <f>+M867-J867</f>
        <v>-5.6102577418088904E-2</v>
      </c>
      <c r="O867">
        <v>2.15</v>
      </c>
      <c r="P867" t="s">
        <v>17</v>
      </c>
      <c r="Q867">
        <v>0</v>
      </c>
      <c r="R867">
        <v>1.9260651588439901E-2</v>
      </c>
      <c r="S867">
        <v>1.45945698022839E-3</v>
      </c>
      <c r="T867">
        <v>-0.04</v>
      </c>
    </row>
    <row r="868" spans="1:20" x14ac:dyDescent="0.3">
      <c r="A868" t="s">
        <v>72</v>
      </c>
      <c r="B868">
        <v>2019</v>
      </c>
      <c r="C868">
        <v>445638.875</v>
      </c>
      <c r="D868" s="1">
        <v>0</v>
      </c>
      <c r="E868" s="1">
        <v>0.93992632627487205</v>
      </c>
      <c r="F868" s="1">
        <v>-2.5000000000000001E-2</v>
      </c>
      <c r="G868" s="1">
        <f t="shared" si="26"/>
        <v>1.8000000000000009E-2</v>
      </c>
      <c r="H868" s="1" t="str">
        <f t="shared" si="27"/>
        <v/>
      </c>
      <c r="I868" s="1">
        <v>1.7999999999999999E-2</v>
      </c>
      <c r="J868" s="1">
        <f>+D868-F868+I868*O868</f>
        <v>6.2799999999999995E-2</v>
      </c>
      <c r="K868" s="1">
        <v>3.72606515884399E-2</v>
      </c>
      <c r="L868" s="1">
        <f>+K868-J868</f>
        <v>-2.5539348411560095E-2</v>
      </c>
      <c r="M868" s="1">
        <v>1.9260651588439901E-2</v>
      </c>
      <c r="N868" s="1">
        <f>+M868-J868</f>
        <v>-4.3539348411560097E-2</v>
      </c>
      <c r="O868">
        <v>2.1</v>
      </c>
      <c r="P868" t="s">
        <v>17</v>
      </c>
      <c r="Q868">
        <v>0</v>
      </c>
      <c r="R868">
        <v>1.8534636229276698E-2</v>
      </c>
      <c r="S868">
        <v>-3.14554199576301E-4</v>
      </c>
      <c r="T868">
        <v>-0.02</v>
      </c>
    </row>
    <row r="869" spans="1:20" x14ac:dyDescent="0.3">
      <c r="A869" t="s">
        <v>72</v>
      </c>
      <c r="B869">
        <v>2020</v>
      </c>
      <c r="C869">
        <v>449419.59379999997</v>
      </c>
      <c r="D869" s="1">
        <v>1.0999999999999999E-2</v>
      </c>
      <c r="E869" s="1">
        <v>0.95081615447998002</v>
      </c>
      <c r="F869" s="1">
        <v>5.0000000000000001E-3</v>
      </c>
      <c r="G869" s="1">
        <f t="shared" si="26"/>
        <v>2.300000000000001E-2</v>
      </c>
      <c r="H869" s="1" t="str">
        <f t="shared" si="27"/>
        <v/>
      </c>
      <c r="I869" s="1">
        <v>1.0999999999999999E-2</v>
      </c>
      <c r="J869" s="1">
        <f>+D869-F869+I869*O869</f>
        <v>2.9209999999999996E-2</v>
      </c>
      <c r="K869" s="1">
        <v>3.0534636229276699E-2</v>
      </c>
      <c r="L869" s="1">
        <f>+K869-J869</f>
        <v>1.3246362292767024E-3</v>
      </c>
      <c r="M869" s="1">
        <v>1.8534636229276698E-2</v>
      </c>
      <c r="N869" s="1">
        <f>+M869-J869</f>
        <v>-1.0675363770723298E-2</v>
      </c>
      <c r="O869">
        <v>2.11</v>
      </c>
      <c r="P869" t="s">
        <v>15</v>
      </c>
      <c r="Q869">
        <v>0</v>
      </c>
      <c r="R869">
        <v>8.2126280546187994E-2</v>
      </c>
      <c r="S869">
        <v>3.8536667823790997E-2</v>
      </c>
      <c r="T869">
        <v>0.04</v>
      </c>
    </row>
    <row r="870" spans="1:20" x14ac:dyDescent="0.3">
      <c r="A870" t="s">
        <v>72</v>
      </c>
      <c r="B870">
        <v>2021</v>
      </c>
      <c r="C870">
        <v>452563.5</v>
      </c>
      <c r="D870" s="1">
        <v>8.0000000000000002E-3</v>
      </c>
      <c r="E870" s="1">
        <v>0.95882838964462302</v>
      </c>
      <c r="F870" s="1">
        <v>2.8000000000000001E-2</v>
      </c>
      <c r="G870" s="1">
        <f t="shared" si="26"/>
        <v>5.1000000000000011E-2</v>
      </c>
      <c r="H870" s="1" t="str">
        <f t="shared" si="27"/>
        <v/>
      </c>
      <c r="I870" s="1">
        <v>8.0000000000000002E-3</v>
      </c>
      <c r="J870" s="1">
        <f>+D870-F870+I870*O870</f>
        <v>-2.7200000000000002E-3</v>
      </c>
      <c r="K870" s="1">
        <v>0.12912628054618799</v>
      </c>
      <c r="L870" s="1">
        <f>+K870-J870</f>
        <v>0.13184628054618799</v>
      </c>
      <c r="M870" s="1">
        <v>8.2126280546187994E-2</v>
      </c>
      <c r="N870" s="1">
        <f>+M870-J870</f>
        <v>8.4846280546187994E-2</v>
      </c>
      <c r="O870">
        <v>2.16</v>
      </c>
      <c r="P870" t="s">
        <v>15</v>
      </c>
      <c r="Q870">
        <v>0.04</v>
      </c>
      <c r="R870">
        <v>-2.0672084689140301E-2</v>
      </c>
      <c r="S870">
        <v>1.143142208457E-2</v>
      </c>
      <c r="T870">
        <v>0</v>
      </c>
    </row>
    <row r="871" spans="1:20" x14ac:dyDescent="0.3">
      <c r="A871" t="s">
        <v>72</v>
      </c>
      <c r="B871">
        <v>2022</v>
      </c>
      <c r="C871">
        <v>455849.21879999997</v>
      </c>
      <c r="D871" s="1">
        <v>3.1E-2</v>
      </c>
      <c r="E871" s="1">
        <v>0.93635594844818104</v>
      </c>
      <c r="F871" s="1">
        <v>-4.2000000000000003E-2</v>
      </c>
      <c r="G871" s="1">
        <f t="shared" si="26"/>
        <v>9.000000000000008E-3</v>
      </c>
      <c r="H871" s="1" t="str">
        <f t="shared" si="27"/>
        <v/>
      </c>
      <c r="I871" s="1">
        <v>-2.1999999999999999E-2</v>
      </c>
      <c r="J871" s="1">
        <f>+D871-F871+I871*O871</f>
        <v>2.7460000000000012E-2</v>
      </c>
      <c r="K871" s="1">
        <v>5.9327915310859701E-2</v>
      </c>
      <c r="L871" s="1">
        <f>+K871-J871</f>
        <v>3.1867915310859689E-2</v>
      </c>
      <c r="M871" s="1">
        <v>-2.0672084689140301E-2</v>
      </c>
      <c r="N871" s="1">
        <f>+M871-J871</f>
        <v>-4.8132084689140313E-2</v>
      </c>
      <c r="O871">
        <v>2.0699999999999998</v>
      </c>
      <c r="P871" t="s">
        <v>16</v>
      </c>
      <c r="Q871">
        <v>0.01</v>
      </c>
      <c r="R871">
        <v>-3.15743692070245E-2</v>
      </c>
      <c r="S871">
        <v>-1.2015441432595199E-2</v>
      </c>
      <c r="T871">
        <v>-0.03</v>
      </c>
    </row>
    <row r="872" spans="1:20" x14ac:dyDescent="0.3">
      <c r="A872" t="s">
        <v>73</v>
      </c>
      <c r="B872">
        <v>2006</v>
      </c>
      <c r="C872">
        <v>886829.75</v>
      </c>
      <c r="D872" s="1">
        <v>1.4999999999999999E-2</v>
      </c>
      <c r="E872" s="1">
        <v>0.94924426078796398</v>
      </c>
      <c r="F872" s="1">
        <v>-5.7000000000000002E-2</v>
      </c>
      <c r="G872" s="1">
        <f t="shared" si="26"/>
        <v>-5.7000000000000002E-2</v>
      </c>
      <c r="H872" s="1" t="str">
        <f t="shared" si="27"/>
        <v/>
      </c>
      <c r="I872" s="1">
        <v>2E-3</v>
      </c>
      <c r="J872" s="1">
        <f>+D872-F872+I872*O872</f>
        <v>7.7740000000000004E-2</v>
      </c>
      <c r="K872" s="1">
        <v>5.1318321377038997E-2</v>
      </c>
      <c r="L872" s="1">
        <f>+K872-J872</f>
        <v>-2.6421678622961006E-2</v>
      </c>
      <c r="M872" s="1">
        <v>1.93183213770389E-2</v>
      </c>
      <c r="N872" s="1">
        <f>+M872-J872</f>
        <v>-5.8421678622961104E-2</v>
      </c>
      <c r="O872">
        <v>2.87</v>
      </c>
      <c r="P872" t="s">
        <v>17</v>
      </c>
      <c r="Q872">
        <v>0.01</v>
      </c>
      <c r="R872">
        <v>1.17808721065521E-2</v>
      </c>
      <c r="S872">
        <v>1.2702628038823599E-2</v>
      </c>
      <c r="T872">
        <v>-0.06</v>
      </c>
    </row>
    <row r="873" spans="1:20" x14ac:dyDescent="0.3">
      <c r="A873" t="s">
        <v>73</v>
      </c>
      <c r="B873">
        <v>2007</v>
      </c>
      <c r="C873">
        <v>899351.3125</v>
      </c>
      <c r="D873" s="1">
        <v>1.0999999999999999E-2</v>
      </c>
      <c r="E873" s="1">
        <v>0.94801878929138195</v>
      </c>
      <c r="F873" s="1">
        <v>2.8000000000000001E-2</v>
      </c>
      <c r="G873" s="1">
        <f t="shared" si="26"/>
        <v>-2.9000000000000001E-2</v>
      </c>
      <c r="H873" s="1" t="str">
        <f t="shared" si="27"/>
        <v/>
      </c>
      <c r="I873" s="1">
        <v>-1E-3</v>
      </c>
      <c r="J873" s="1">
        <f>+D873-F873+I873*O873</f>
        <v>-1.9950000000000002E-2</v>
      </c>
      <c r="K873" s="1">
        <v>4.0780872106552103E-2</v>
      </c>
      <c r="L873" s="1">
        <f>+K873-J873</f>
        <v>6.0730872106552106E-2</v>
      </c>
      <c r="M873" s="1">
        <v>1.17808721065521E-2</v>
      </c>
      <c r="N873" s="1">
        <f>+M873-J873</f>
        <v>3.1730872106552101E-2</v>
      </c>
      <c r="O873">
        <v>2.95</v>
      </c>
      <c r="P873" t="s">
        <v>17</v>
      </c>
      <c r="Q873">
        <v>0.01</v>
      </c>
      <c r="R873">
        <v>-2.8140864625573098E-2</v>
      </c>
      <c r="S873">
        <v>1.3699396513402399E-3</v>
      </c>
      <c r="T873">
        <v>0.03</v>
      </c>
    </row>
    <row r="874" spans="1:20" x14ac:dyDescent="0.3">
      <c r="A874" t="s">
        <v>73</v>
      </c>
      <c r="B874">
        <v>2008</v>
      </c>
      <c r="C874">
        <v>912630.6875</v>
      </c>
      <c r="D874" s="1">
        <v>4.0000000000000001E-3</v>
      </c>
      <c r="E874" s="1">
        <v>0.94012570381164595</v>
      </c>
      <c r="F874" s="1">
        <v>2.1999999999999999E-2</v>
      </c>
      <c r="G874" s="1">
        <f t="shared" si="26"/>
        <v>-7.0000000000000027E-3</v>
      </c>
      <c r="H874" s="1" t="str">
        <f t="shared" si="27"/>
        <v/>
      </c>
      <c r="I874" s="1">
        <v>-8.0000000000000002E-3</v>
      </c>
      <c r="J874" s="1">
        <f>+D874-F874+I874*O874</f>
        <v>-4.2079999999999992E-2</v>
      </c>
      <c r="K874" s="1">
        <v>9.85913537442684E-3</v>
      </c>
      <c r="L874" s="1">
        <f>+K874-J874</f>
        <v>5.1939135374426834E-2</v>
      </c>
      <c r="M874" s="1">
        <v>-2.8140864625573098E-2</v>
      </c>
      <c r="N874" s="1">
        <f>+M874-J874</f>
        <v>1.3939135374426894E-2</v>
      </c>
      <c r="O874">
        <v>3.01</v>
      </c>
      <c r="P874" t="s">
        <v>17</v>
      </c>
      <c r="Q874">
        <v>0</v>
      </c>
      <c r="R874">
        <v>-4.69878061711788E-2</v>
      </c>
      <c r="S874">
        <v>-2.0421104505658101E-2</v>
      </c>
      <c r="T874">
        <v>0.02</v>
      </c>
    </row>
    <row r="875" spans="1:20" x14ac:dyDescent="0.3">
      <c r="A875" t="s">
        <v>73</v>
      </c>
      <c r="B875">
        <v>2009</v>
      </c>
      <c r="C875">
        <v>924220.6875</v>
      </c>
      <c r="D875" s="1">
        <v>1.2E-2</v>
      </c>
      <c r="E875" s="1">
        <v>0.927881360054016</v>
      </c>
      <c r="F875" s="1">
        <v>3.7999999999999999E-2</v>
      </c>
      <c r="G875" s="1">
        <f t="shared" si="26"/>
        <v>3.0999999999999996E-2</v>
      </c>
      <c r="H875" s="1" t="str">
        <f t="shared" si="27"/>
        <v/>
      </c>
      <c r="I875" s="1">
        <v>-1.2E-2</v>
      </c>
      <c r="J875" s="1">
        <f>+D875-F875+I875*O875</f>
        <v>-6.3439999999999996E-2</v>
      </c>
      <c r="K875" s="1">
        <v>-5.0987806171178797E-2</v>
      </c>
      <c r="L875" s="1">
        <f>+K875-J875</f>
        <v>1.2452193828821199E-2</v>
      </c>
      <c r="M875" s="1">
        <v>-4.69878061711788E-2</v>
      </c>
      <c r="N875" s="1">
        <f>+M875-J875</f>
        <v>1.6452193828821196E-2</v>
      </c>
      <c r="O875">
        <v>3.12</v>
      </c>
      <c r="P875" t="s">
        <v>17</v>
      </c>
      <c r="Q875">
        <v>-0.02</v>
      </c>
      <c r="R875">
        <v>-9.4560079127550094E-3</v>
      </c>
      <c r="S875">
        <v>4.1008461266755998E-6</v>
      </c>
      <c r="T875">
        <v>0.02</v>
      </c>
    </row>
    <row r="876" spans="1:20" x14ac:dyDescent="0.3">
      <c r="A876" t="s">
        <v>73</v>
      </c>
      <c r="B876">
        <v>2010</v>
      </c>
      <c r="C876">
        <v>934254.25</v>
      </c>
      <c r="D876" s="1">
        <v>3.0000000000000001E-3</v>
      </c>
      <c r="E876" s="1">
        <v>0.93907469511032104</v>
      </c>
      <c r="F876" s="1">
        <v>1.2E-2</v>
      </c>
      <c r="G876" s="1">
        <f t="shared" si="26"/>
        <v>4.2999999999999997E-2</v>
      </c>
      <c r="H876" s="1" t="str">
        <f t="shared" si="27"/>
        <v/>
      </c>
      <c r="I876" s="1">
        <v>1.0999999999999999E-2</v>
      </c>
      <c r="J876" s="1">
        <f>+D876-F876+I876*O876</f>
        <v>2.5759999999999998E-2</v>
      </c>
      <c r="K876" s="1">
        <v>6.5439920872449901E-3</v>
      </c>
      <c r="L876" s="1">
        <f>+K876-J876</f>
        <v>-1.9216007912755007E-2</v>
      </c>
      <c r="M876" s="1">
        <v>-9.4560079127550094E-3</v>
      </c>
      <c r="N876" s="1">
        <f>+M876-J876</f>
        <v>-3.5216007912755004E-2</v>
      </c>
      <c r="O876">
        <v>3.16</v>
      </c>
      <c r="P876" t="s">
        <v>15</v>
      </c>
      <c r="Q876">
        <v>0</v>
      </c>
      <c r="R876">
        <v>-2.5917763233184801E-2</v>
      </c>
      <c r="S876">
        <v>-4.6339887194335096E-3</v>
      </c>
      <c r="T876">
        <v>0</v>
      </c>
    </row>
    <row r="877" spans="1:20" x14ac:dyDescent="0.3">
      <c r="A877" t="s">
        <v>73</v>
      </c>
      <c r="B877">
        <v>2011</v>
      </c>
      <c r="C877">
        <v>941736.1875</v>
      </c>
      <c r="D877" s="1">
        <v>5.0000000000000001E-3</v>
      </c>
      <c r="E877" s="1">
        <v>0.93792682886123702</v>
      </c>
      <c r="F877" s="1">
        <v>-4.1000000000000002E-2</v>
      </c>
      <c r="G877" s="1">
        <f t="shared" si="26"/>
        <v>1.9999999999999948E-3</v>
      </c>
      <c r="H877" s="1" t="str">
        <f t="shared" si="27"/>
        <v/>
      </c>
      <c r="I877" s="1">
        <v>-1E-3</v>
      </c>
      <c r="J877" s="1">
        <f>+D877-F877+I877*O877</f>
        <v>4.2970000000000001E-2</v>
      </c>
      <c r="K877" s="1">
        <v>6.0822367668151899E-3</v>
      </c>
      <c r="L877" s="1">
        <f>+K877-J877</f>
        <v>-3.6887763233184809E-2</v>
      </c>
      <c r="M877" s="1">
        <v>-2.5917763233184801E-2</v>
      </c>
      <c r="N877" s="1">
        <f>+M877-J877</f>
        <v>-6.8887763233184796E-2</v>
      </c>
      <c r="O877">
        <v>3.03</v>
      </c>
      <c r="P877" t="s">
        <v>16</v>
      </c>
      <c r="Q877">
        <v>0</v>
      </c>
      <c r="R877">
        <v>-1.3787062190472999E-2</v>
      </c>
      <c r="S877">
        <v>-8.3488561213016805E-3</v>
      </c>
      <c r="T877">
        <v>-0.04</v>
      </c>
    </row>
    <row r="878" spans="1:20" x14ac:dyDescent="0.3">
      <c r="A878" t="s">
        <v>73</v>
      </c>
      <c r="B878">
        <v>2012</v>
      </c>
      <c r="C878">
        <v>948364.0625</v>
      </c>
      <c r="D878" s="1">
        <v>4.0000000000000001E-3</v>
      </c>
      <c r="E878" s="1">
        <v>0.93802696466445901</v>
      </c>
      <c r="F878" s="1">
        <v>0.04</v>
      </c>
      <c r="G878" s="1">
        <f t="shared" si="26"/>
        <v>4.1999999999999996E-2</v>
      </c>
      <c r="H878" s="1" t="str">
        <f t="shared" si="27"/>
        <v/>
      </c>
      <c r="I878" s="1">
        <v>0</v>
      </c>
      <c r="J878" s="1">
        <f>+D878-F878+I878*O878</f>
        <v>-3.6000000000000004E-2</v>
      </c>
      <c r="K878" s="1">
        <v>7.2129378095269203E-3</v>
      </c>
      <c r="L878" s="1">
        <f>+K878-J878</f>
        <v>4.3212937809526925E-2</v>
      </c>
      <c r="M878" s="1">
        <v>-1.3787062190472999E-2</v>
      </c>
      <c r="N878" s="1">
        <f>+M878-J878</f>
        <v>2.2212937809527003E-2</v>
      </c>
      <c r="O878">
        <v>3.15</v>
      </c>
      <c r="P878" t="s">
        <v>15</v>
      </c>
      <c r="Q878">
        <v>-0.01</v>
      </c>
      <c r="R878">
        <v>2.5068061798810999E-3</v>
      </c>
      <c r="S878">
        <v>-3.6199651658534999E-3</v>
      </c>
      <c r="T878">
        <v>0.04</v>
      </c>
    </row>
    <row r="879" spans="1:20" x14ac:dyDescent="0.3">
      <c r="A879" t="s">
        <v>73</v>
      </c>
      <c r="B879">
        <v>2013</v>
      </c>
      <c r="C879">
        <v>956009.1875</v>
      </c>
      <c r="D879" s="1">
        <v>3.0000000000000001E-3</v>
      </c>
      <c r="E879" s="1">
        <v>0.94481688737869296</v>
      </c>
      <c r="F879" s="1">
        <v>-4.0000000000000001E-3</v>
      </c>
      <c r="G879" s="1">
        <f t="shared" si="26"/>
        <v>3.7999999999999992E-2</v>
      </c>
      <c r="H879" s="1" t="str">
        <f t="shared" si="27"/>
        <v/>
      </c>
      <c r="I879" s="1">
        <v>7.0000000000000001E-3</v>
      </c>
      <c r="J879" s="1">
        <f>+D879-F879+I879*O879</f>
        <v>2.8980000000000002E-2</v>
      </c>
      <c r="K879" s="1">
        <v>1.7506806179881099E-2</v>
      </c>
      <c r="L879" s="1">
        <f>+K879-J879</f>
        <v>-1.1473193820118903E-2</v>
      </c>
      <c r="M879" s="1">
        <v>2.5068061798810999E-3</v>
      </c>
      <c r="N879" s="1">
        <f>+M879-J879</f>
        <v>-2.6473193820118902E-2</v>
      </c>
      <c r="O879">
        <v>3.14</v>
      </c>
      <c r="P879" t="s">
        <v>17</v>
      </c>
      <c r="Q879">
        <v>0</v>
      </c>
      <c r="R879">
        <v>-1.8565237373114E-3</v>
      </c>
      <c r="S879">
        <v>-3.8645472377539002E-3</v>
      </c>
      <c r="T879">
        <v>-0.01</v>
      </c>
    </row>
    <row r="880" spans="1:20" x14ac:dyDescent="0.3">
      <c r="A880" t="s">
        <v>73</v>
      </c>
      <c r="B880">
        <v>2014</v>
      </c>
      <c r="C880">
        <v>965783.0625</v>
      </c>
      <c r="D880" s="1">
        <v>4.0000000000000001E-3</v>
      </c>
      <c r="E880" s="1">
        <v>0.94730979204177901</v>
      </c>
      <c r="F880" s="1">
        <v>-7.0000000000000001E-3</v>
      </c>
      <c r="G880" s="1">
        <f t="shared" si="26"/>
        <v>3.0999999999999993E-2</v>
      </c>
      <c r="H880" s="1" t="str">
        <f t="shared" si="27"/>
        <v/>
      </c>
      <c r="I880" s="1">
        <v>2E-3</v>
      </c>
      <c r="J880" s="1">
        <f>+D880-F880+I880*O880</f>
        <v>1.7239999999999998E-2</v>
      </c>
      <c r="K880" s="1">
        <v>1.41434762626886E-2</v>
      </c>
      <c r="L880" s="1">
        <f>+K880-J880</f>
        <v>-3.096523737311398E-3</v>
      </c>
      <c r="M880" s="1">
        <v>-1.8565237373114E-3</v>
      </c>
      <c r="N880" s="1">
        <f>+M880-J880</f>
        <v>-1.9096523737311397E-2</v>
      </c>
      <c r="O880">
        <v>3.12</v>
      </c>
      <c r="P880" t="s">
        <v>17</v>
      </c>
      <c r="Q880">
        <v>0</v>
      </c>
      <c r="R880">
        <v>3.9636338293552398E-2</v>
      </c>
      <c r="S880">
        <v>9.3728862702846995E-3</v>
      </c>
      <c r="T880">
        <v>-0.01</v>
      </c>
    </row>
    <row r="881" spans="1:20" x14ac:dyDescent="0.3">
      <c r="A881" t="s">
        <v>73</v>
      </c>
      <c r="B881">
        <v>2015</v>
      </c>
      <c r="C881">
        <v>974936.25</v>
      </c>
      <c r="D881" s="1">
        <v>5.0000000000000001E-3</v>
      </c>
      <c r="E881" s="1">
        <v>0.95606702566146895</v>
      </c>
      <c r="F881" s="1">
        <v>-1.7999999999999999E-2</v>
      </c>
      <c r="G881" s="1">
        <f t="shared" si="26"/>
        <v>1.2999999999999994E-2</v>
      </c>
      <c r="H881" s="1" t="str">
        <f t="shared" si="27"/>
        <v/>
      </c>
      <c r="I881" s="1">
        <v>8.9999999999999993E-3</v>
      </c>
      <c r="J881" s="1">
        <f>+D881-F881+I881*O881</f>
        <v>5.0540000000000002E-2</v>
      </c>
      <c r="K881" s="1">
        <v>4.0636338293552399E-2</v>
      </c>
      <c r="L881" s="1">
        <f>+K881-J881</f>
        <v>-9.9036617064476029E-3</v>
      </c>
      <c r="M881" s="1">
        <v>3.9636338293552398E-2</v>
      </c>
      <c r="N881" s="1">
        <f>+M881-J881</f>
        <v>-1.0903661706447604E-2</v>
      </c>
      <c r="O881">
        <v>3.06</v>
      </c>
      <c r="P881" t="s">
        <v>17</v>
      </c>
      <c r="Q881">
        <v>0.01</v>
      </c>
      <c r="R881">
        <v>4.2116888135671597E-2</v>
      </c>
      <c r="S881">
        <v>2.8963331133127199E-2</v>
      </c>
      <c r="T881">
        <v>-0.01</v>
      </c>
    </row>
    <row r="882" spans="1:20" x14ac:dyDescent="0.3">
      <c r="A882" t="s">
        <v>73</v>
      </c>
      <c r="B882">
        <v>2016</v>
      </c>
      <c r="C882">
        <v>983397.25</v>
      </c>
      <c r="D882" s="1">
        <v>3.0000000000000001E-3</v>
      </c>
      <c r="E882" s="1">
        <v>0.95970648527145397</v>
      </c>
      <c r="F882" s="1">
        <v>-2.7E-2</v>
      </c>
      <c r="G882" s="1">
        <f t="shared" si="26"/>
        <v>-1.4000000000000005E-2</v>
      </c>
      <c r="H882" s="1" t="str">
        <f t="shared" si="27"/>
        <v/>
      </c>
      <c r="I882" s="1">
        <v>4.0000000000000001E-3</v>
      </c>
      <c r="J882" s="1">
        <f>+D882-F882+I882*O882</f>
        <v>4.1919999999999999E-2</v>
      </c>
      <c r="K882" s="1">
        <v>5.5116888135671602E-2</v>
      </c>
      <c r="L882" s="1">
        <f>+K882-J882</f>
        <v>1.3196888135671603E-2</v>
      </c>
      <c r="M882" s="1">
        <v>4.2116888135671597E-2</v>
      </c>
      <c r="N882" s="1">
        <f>+M882-J882</f>
        <v>1.9688813567159819E-4</v>
      </c>
      <c r="O882">
        <v>2.98</v>
      </c>
      <c r="P882" t="s">
        <v>17</v>
      </c>
      <c r="Q882">
        <v>0.03</v>
      </c>
      <c r="R882">
        <v>2.4443657785654101E-2</v>
      </c>
      <c r="S882">
        <v>2.16540843248368E-2</v>
      </c>
      <c r="T882">
        <v>-0.03</v>
      </c>
    </row>
    <row r="883" spans="1:20" x14ac:dyDescent="0.3">
      <c r="A883" t="s">
        <v>73</v>
      </c>
      <c r="B883">
        <v>2017</v>
      </c>
      <c r="C883">
        <v>992144.25</v>
      </c>
      <c r="D883" s="1">
        <v>8.9999999999999993E-3</v>
      </c>
      <c r="E883" s="1">
        <v>0.96135425567626998</v>
      </c>
      <c r="F883" s="1">
        <v>-1.9E-2</v>
      </c>
      <c r="G883" s="1">
        <f t="shared" si="26"/>
        <v>-3.3000000000000002E-2</v>
      </c>
      <c r="H883" s="1" t="str">
        <f t="shared" si="27"/>
        <v/>
      </c>
      <c r="I883" s="1">
        <v>2E-3</v>
      </c>
      <c r="J883" s="1">
        <f>+D883-F883+I883*O883</f>
        <v>3.3839999999999995E-2</v>
      </c>
      <c r="K883" s="1">
        <v>4.5443657785654103E-2</v>
      </c>
      <c r="L883" s="1">
        <f>+K883-J883</f>
        <v>1.1603657785654108E-2</v>
      </c>
      <c r="M883" s="1">
        <v>2.4443657785654101E-2</v>
      </c>
      <c r="N883" s="1">
        <f>+M883-J883</f>
        <v>-9.3963422143458937E-3</v>
      </c>
      <c r="O883">
        <v>2.92</v>
      </c>
      <c r="P883" t="s">
        <v>17</v>
      </c>
      <c r="Q883">
        <v>0.02</v>
      </c>
      <c r="R883">
        <v>2.8415542304515699E-2</v>
      </c>
      <c r="S883">
        <v>1.9280519336462E-2</v>
      </c>
      <c r="T883">
        <v>-0.02</v>
      </c>
    </row>
    <row r="884" spans="1:20" x14ac:dyDescent="0.3">
      <c r="A884" t="s">
        <v>73</v>
      </c>
      <c r="B884">
        <v>2018</v>
      </c>
      <c r="C884">
        <v>999450.5</v>
      </c>
      <c r="D884" s="1">
        <v>0</v>
      </c>
      <c r="E884" s="1">
        <v>0.96746164560318004</v>
      </c>
      <c r="F884" s="1">
        <v>-2E-3</v>
      </c>
      <c r="G884" s="1">
        <f t="shared" si="26"/>
        <v>-3.5000000000000003E-2</v>
      </c>
      <c r="H884" s="1" t="str">
        <f t="shared" si="27"/>
        <v/>
      </c>
      <c r="I884" s="1">
        <v>6.0000000000000001E-3</v>
      </c>
      <c r="J884" s="1">
        <f>+D884-F884+I884*O884</f>
        <v>1.9520000000000003E-2</v>
      </c>
      <c r="K884" s="1">
        <v>5.2415542304515797E-2</v>
      </c>
      <c r="L884" s="1">
        <f>+K884-J884</f>
        <v>3.2895542304515794E-2</v>
      </c>
      <c r="M884" s="1">
        <v>2.8415542304515699E-2</v>
      </c>
      <c r="N884" s="1">
        <f>+M884-J884</f>
        <v>8.8955423045156967E-3</v>
      </c>
      <c r="O884">
        <v>2.92</v>
      </c>
      <c r="P884" t="s">
        <v>17</v>
      </c>
      <c r="Q884">
        <v>0.02</v>
      </c>
      <c r="R884">
        <v>3.4452713251113903E-2</v>
      </c>
      <c r="S884">
        <v>1.6651518642902399E-2</v>
      </c>
      <c r="T884">
        <v>0.01</v>
      </c>
    </row>
    <row r="885" spans="1:20" x14ac:dyDescent="0.3">
      <c r="A885" t="s">
        <v>73</v>
      </c>
      <c r="B885">
        <v>2019</v>
      </c>
      <c r="C885">
        <v>1006304</v>
      </c>
      <c r="D885" s="1">
        <v>1.2E-2</v>
      </c>
      <c r="E885" s="1">
        <v>0.97159385681152299</v>
      </c>
      <c r="F885" s="1">
        <v>-1.0999999999999999E-2</v>
      </c>
      <c r="G885" s="1">
        <f t="shared" si="26"/>
        <v>-4.5999999999999999E-2</v>
      </c>
      <c r="H885" s="1" t="str">
        <f t="shared" si="27"/>
        <v/>
      </c>
      <c r="I885" s="1">
        <v>4.0000000000000001E-3</v>
      </c>
      <c r="J885" s="1">
        <f>+D885-F885+I885*O885</f>
        <v>3.4519999999999995E-2</v>
      </c>
      <c r="K885" s="1">
        <v>5.2452713251113899E-2</v>
      </c>
      <c r="L885" s="1">
        <f>+K885-J885</f>
        <v>1.7932713251113903E-2</v>
      </c>
      <c r="M885" s="1">
        <v>3.4452713251113903E-2</v>
      </c>
      <c r="N885" s="1">
        <f>+M885-J885</f>
        <v>-6.7286748886091763E-5</v>
      </c>
      <c r="O885">
        <v>2.88</v>
      </c>
      <c r="P885" t="s">
        <v>17</v>
      </c>
      <c r="Q885">
        <v>0.02</v>
      </c>
      <c r="R885">
        <v>4.7800241142511399E-2</v>
      </c>
      <c r="S885">
        <v>2.8951050713658399E-2</v>
      </c>
      <c r="T885">
        <v>0</v>
      </c>
    </row>
    <row r="886" spans="1:20" x14ac:dyDescent="0.3">
      <c r="A886" t="s">
        <v>73</v>
      </c>
      <c r="B886">
        <v>2020</v>
      </c>
      <c r="C886">
        <v>1010398</v>
      </c>
      <c r="D886" s="1">
        <v>1.2E-2</v>
      </c>
      <c r="E886" s="1">
        <v>0.98050081729888905</v>
      </c>
      <c r="F886" s="1">
        <v>-0.04</v>
      </c>
      <c r="G886" s="1">
        <f t="shared" si="26"/>
        <v>-8.5999999999999993E-2</v>
      </c>
      <c r="H886" s="1" t="str">
        <f t="shared" si="27"/>
        <v/>
      </c>
      <c r="I886" s="1">
        <v>8.9999999999999993E-3</v>
      </c>
      <c r="J886" s="1">
        <f>+D886-F886+I886*O886</f>
        <v>7.6929999999999998E-2</v>
      </c>
      <c r="K886" s="1">
        <v>5.9800241142511402E-2</v>
      </c>
      <c r="L886" s="1">
        <f>+K886-J886</f>
        <v>-1.7129758857488596E-2</v>
      </c>
      <c r="M886" s="1">
        <v>4.7800241142511399E-2</v>
      </c>
      <c r="N886" s="1">
        <f>+M886-J886</f>
        <v>-2.91297588574886E-2</v>
      </c>
      <c r="O886">
        <v>2.77</v>
      </c>
      <c r="P886" t="s">
        <v>17</v>
      </c>
      <c r="Q886">
        <v>0.03</v>
      </c>
      <c r="R886">
        <v>6.1124509453772999E-2</v>
      </c>
      <c r="S886">
        <v>1.7534896731375999E-2</v>
      </c>
      <c r="T886">
        <v>0</v>
      </c>
    </row>
    <row r="887" spans="1:20" x14ac:dyDescent="0.3">
      <c r="A887" t="s">
        <v>73</v>
      </c>
      <c r="B887">
        <v>2021</v>
      </c>
      <c r="C887">
        <v>1013711</v>
      </c>
      <c r="D887" s="1">
        <v>8.0000000000000002E-3</v>
      </c>
      <c r="E887" s="1">
        <v>0.97640389204025302</v>
      </c>
      <c r="F887" s="1">
        <v>4.2999999999999997E-2</v>
      </c>
      <c r="G887" s="1">
        <f t="shared" si="26"/>
        <v>-4.2999999999999997E-2</v>
      </c>
      <c r="H887" s="1" t="str">
        <f t="shared" si="27"/>
        <v/>
      </c>
      <c r="I887" s="1">
        <v>-4.0000000000000001E-3</v>
      </c>
      <c r="J887" s="1">
        <f>+D887-F887+I887*O887</f>
        <v>-4.6559999999999997E-2</v>
      </c>
      <c r="K887" s="1">
        <v>0.108124509453773</v>
      </c>
      <c r="L887" s="1">
        <f>+K887-J887</f>
        <v>0.15468450945377299</v>
      </c>
      <c r="M887" s="1">
        <v>6.1124509453772999E-2</v>
      </c>
      <c r="N887" s="1">
        <f>+M887-J887</f>
        <v>0.107684509453773</v>
      </c>
      <c r="O887">
        <v>2.89</v>
      </c>
      <c r="P887" t="s">
        <v>17</v>
      </c>
      <c r="Q887">
        <v>0.02</v>
      </c>
      <c r="R887">
        <v>-3.06905637681484E-2</v>
      </c>
      <c r="S887">
        <v>1.41294300556189E-3</v>
      </c>
      <c r="T887">
        <v>0.01</v>
      </c>
    </row>
    <row r="888" spans="1:20" x14ac:dyDescent="0.3">
      <c r="A888" t="s">
        <v>73</v>
      </c>
      <c r="B888">
        <v>2022</v>
      </c>
      <c r="C888">
        <v>1017621</v>
      </c>
      <c r="D888" s="1">
        <v>2.1999999999999999E-2</v>
      </c>
      <c r="E888" s="1">
        <v>0.96039801836013805</v>
      </c>
      <c r="F888" s="1">
        <v>-8.9999999999999993E-3</v>
      </c>
      <c r="G888" s="1">
        <f t="shared" si="26"/>
        <v>-5.1999999999999998E-2</v>
      </c>
      <c r="H888" s="1" t="str">
        <f t="shared" si="27"/>
        <v/>
      </c>
      <c r="I888" s="1">
        <v>-1.6E-2</v>
      </c>
      <c r="J888" s="1">
        <f>+D888-F888+I888*O888</f>
        <v>-1.4760000000000002E-2</v>
      </c>
      <c r="K888" s="1">
        <v>4.9309436231851599E-2</v>
      </c>
      <c r="L888" s="1">
        <f>+K888-J888</f>
        <v>6.4069436231851601E-2</v>
      </c>
      <c r="M888" s="1">
        <v>-3.06905637681484E-2</v>
      </c>
      <c r="N888" s="1">
        <f>+M888-J888</f>
        <v>-1.5930563768148397E-2</v>
      </c>
      <c r="O888">
        <v>2.86</v>
      </c>
      <c r="P888" t="s">
        <v>16</v>
      </c>
      <c r="Q888">
        <v>0</v>
      </c>
      <c r="R888">
        <v>-1.2285549923777599E-2</v>
      </c>
      <c r="S888">
        <v>7.2733778506516899E-3</v>
      </c>
      <c r="T888">
        <v>0.01</v>
      </c>
    </row>
    <row r="889" spans="1:20" x14ac:dyDescent="0.3">
      <c r="A889" t="s">
        <v>74</v>
      </c>
      <c r="B889">
        <v>2006</v>
      </c>
      <c r="C889">
        <v>256605.98439999999</v>
      </c>
      <c r="D889" s="1">
        <v>1.4E-2</v>
      </c>
      <c r="E889" s="1">
        <v>0.92360740900039695</v>
      </c>
      <c r="F889" s="1">
        <v>-2E-3</v>
      </c>
      <c r="G889" s="1">
        <f t="shared" si="26"/>
        <v>-2E-3</v>
      </c>
      <c r="H889" s="1" t="str">
        <f t="shared" si="27"/>
        <v/>
      </c>
      <c r="I889" s="1">
        <v>-6.0000000000000001E-3</v>
      </c>
      <c r="J889" s="1">
        <f>+D889-F889+I889*O889</f>
        <v>3.6399999999999991E-3</v>
      </c>
      <c r="K889" s="1">
        <v>6.2446121126413297E-2</v>
      </c>
      <c r="L889" s="1">
        <f>+K889-J889</f>
        <v>5.8806121126413299E-2</v>
      </c>
      <c r="M889" s="1">
        <v>3.0446121126413199E-2</v>
      </c>
      <c r="N889" s="1">
        <f>+M889-J889</f>
        <v>2.6806121126413202E-2</v>
      </c>
      <c r="O889">
        <v>2.06</v>
      </c>
      <c r="P889" t="s">
        <v>16</v>
      </c>
      <c r="Q889">
        <v>0.02</v>
      </c>
      <c r="R889">
        <v>-4.2398952841759003E-3</v>
      </c>
      <c r="S889">
        <v>-3.3181393519044E-3</v>
      </c>
      <c r="T889">
        <v>0</v>
      </c>
    </row>
    <row r="890" spans="1:20" x14ac:dyDescent="0.3">
      <c r="A890" t="s">
        <v>74</v>
      </c>
      <c r="B890">
        <v>2007</v>
      </c>
      <c r="C890">
        <v>259890.8125</v>
      </c>
      <c r="D890" s="1">
        <v>0.03</v>
      </c>
      <c r="E890" s="1">
        <v>0.89010328054428101</v>
      </c>
      <c r="F890" s="1">
        <v>-6.4000000000000001E-2</v>
      </c>
      <c r="G890" s="1">
        <f t="shared" si="26"/>
        <v>-6.6000000000000003E-2</v>
      </c>
      <c r="H890" s="1" t="str">
        <f t="shared" si="27"/>
        <v/>
      </c>
      <c r="I890" s="1">
        <v>-3.4000000000000002E-2</v>
      </c>
      <c r="J890" s="1">
        <f>+D890-F890+I890*O890</f>
        <v>2.8380000000000002E-2</v>
      </c>
      <c r="K890" s="1">
        <v>2.4760104715824099E-2</v>
      </c>
      <c r="L890" s="1">
        <f>+K890-J890</f>
        <v>-3.619895284175903E-3</v>
      </c>
      <c r="M890" s="1">
        <v>-4.2398952841759003E-3</v>
      </c>
      <c r="N890" s="1">
        <f>+M890-J890</f>
        <v>-3.2619895284175901E-2</v>
      </c>
      <c r="O890">
        <v>1.93</v>
      </c>
      <c r="P890" t="s">
        <v>16</v>
      </c>
      <c r="Q890">
        <v>0</v>
      </c>
      <c r="R890">
        <v>-5.2739703387021997E-2</v>
      </c>
      <c r="S890">
        <v>-2.3228899110108499E-2</v>
      </c>
      <c r="T890">
        <v>-7.0000000000000007E-2</v>
      </c>
    </row>
    <row r="891" spans="1:20" x14ac:dyDescent="0.3">
      <c r="A891" t="s">
        <v>74</v>
      </c>
      <c r="B891">
        <v>2008</v>
      </c>
      <c r="C891">
        <v>262146.40629999997</v>
      </c>
      <c r="D891" s="1">
        <v>1.4999999999999999E-2</v>
      </c>
      <c r="E891" s="1">
        <v>0.89210200309753396</v>
      </c>
      <c r="F891" s="1">
        <v>2.3E-2</v>
      </c>
      <c r="G891" s="1">
        <f t="shared" si="26"/>
        <v>-4.3000000000000003E-2</v>
      </c>
      <c r="H891" s="1" t="str">
        <f t="shared" si="27"/>
        <v/>
      </c>
      <c r="I891" s="1">
        <v>2E-3</v>
      </c>
      <c r="J891" s="1">
        <f>+D891-F891+I891*O891</f>
        <v>-4.0600000000000002E-3</v>
      </c>
      <c r="K891" s="1">
        <v>-1.4739703387021999E-2</v>
      </c>
      <c r="L891" s="1">
        <f>+K891-J891</f>
        <v>-1.0679703387022E-2</v>
      </c>
      <c r="M891" s="1">
        <v>-5.2739703387021997E-2</v>
      </c>
      <c r="N891" s="1">
        <f>+M891-J891</f>
        <v>-4.8679703387021996E-2</v>
      </c>
      <c r="O891">
        <v>1.97</v>
      </c>
      <c r="P891" t="s">
        <v>15</v>
      </c>
      <c r="Q891">
        <v>-0.02</v>
      </c>
      <c r="R891">
        <v>-2.7235512346029299E-2</v>
      </c>
      <c r="S891">
        <v>-6.6881068050864796E-4</v>
      </c>
      <c r="T891">
        <v>0.02</v>
      </c>
    </row>
    <row r="892" spans="1:20" x14ac:dyDescent="0.3">
      <c r="A892" t="s">
        <v>74</v>
      </c>
      <c r="B892">
        <v>2009</v>
      </c>
      <c r="C892">
        <v>263830.40629999997</v>
      </c>
      <c r="D892" s="1">
        <v>8.0000000000000002E-3</v>
      </c>
      <c r="E892" s="1">
        <v>0.90274965763091997</v>
      </c>
      <c r="F892" s="1">
        <v>7.0000000000000007E-2</v>
      </c>
      <c r="G892" s="1">
        <f t="shared" si="26"/>
        <v>2.7000000000000003E-2</v>
      </c>
      <c r="H892" s="1" t="str">
        <f t="shared" si="27"/>
        <v/>
      </c>
      <c r="I892" s="1">
        <v>1.0999999999999999E-2</v>
      </c>
      <c r="J892" s="1">
        <f>+D892-F892+I892*O892</f>
        <v>-3.8790000000000005E-2</v>
      </c>
      <c r="K892" s="1">
        <v>-3.1235512346029299E-2</v>
      </c>
      <c r="L892" s="1">
        <f>+K892-J892</f>
        <v>7.5544876539707061E-3</v>
      </c>
      <c r="M892" s="1">
        <v>-2.7235512346029299E-2</v>
      </c>
      <c r="N892" s="1">
        <f>+M892-J892</f>
        <v>1.1554487653970706E-2</v>
      </c>
      <c r="O892">
        <v>2.11</v>
      </c>
      <c r="P892" t="s">
        <v>15</v>
      </c>
      <c r="Q892">
        <v>0</v>
      </c>
      <c r="R892">
        <v>-9.4642096050083606E-3</v>
      </c>
      <c r="S892">
        <v>-4.1008461266755998E-6</v>
      </c>
      <c r="T892">
        <v>0.05</v>
      </c>
    </row>
    <row r="893" spans="1:20" x14ac:dyDescent="0.3">
      <c r="A893" t="s">
        <v>74</v>
      </c>
      <c r="B893">
        <v>2010</v>
      </c>
      <c r="C893">
        <v>265532.8125</v>
      </c>
      <c r="D893" s="1">
        <v>0</v>
      </c>
      <c r="E893" s="1">
        <v>0.91295975446701005</v>
      </c>
      <c r="F893" s="1">
        <v>1.7999999999999999E-2</v>
      </c>
      <c r="G893" s="1">
        <f t="shared" si="26"/>
        <v>4.4999999999999998E-2</v>
      </c>
      <c r="H893" s="1" t="str">
        <f t="shared" si="27"/>
        <v/>
      </c>
      <c r="I893" s="1">
        <v>0.01</v>
      </c>
      <c r="J893" s="1">
        <f>+D893-F893+I893*O893</f>
        <v>3.4999999999999996E-3</v>
      </c>
      <c r="K893" s="1">
        <v>6.5357903949916397E-3</v>
      </c>
      <c r="L893" s="1">
        <f>+K893-J893</f>
        <v>3.0357903949916401E-3</v>
      </c>
      <c r="M893" s="1">
        <v>-9.4642096050083606E-3</v>
      </c>
      <c r="N893" s="1">
        <f>+M893-J893</f>
        <v>-1.296420960500836E-2</v>
      </c>
      <c r="O893">
        <v>2.15</v>
      </c>
      <c r="P893" t="s">
        <v>15</v>
      </c>
      <c r="Q893">
        <v>0</v>
      </c>
      <c r="R893">
        <v>-2.2566203370690301E-2</v>
      </c>
      <c r="S893">
        <v>-1.2824288569390401E-3</v>
      </c>
      <c r="T893">
        <v>0.01</v>
      </c>
    </row>
    <row r="894" spans="1:20" x14ac:dyDescent="0.3">
      <c r="A894" t="s">
        <v>74</v>
      </c>
      <c r="B894">
        <v>2011</v>
      </c>
      <c r="C894">
        <v>268250.625</v>
      </c>
      <c r="D894" s="1">
        <v>0</v>
      </c>
      <c r="E894" s="1">
        <v>0.91470247507095304</v>
      </c>
      <c r="F894" s="1">
        <v>-7.0000000000000001E-3</v>
      </c>
      <c r="G894" s="1">
        <f t="shared" si="26"/>
        <v>3.7999999999999999E-2</v>
      </c>
      <c r="H894" s="1" t="str">
        <f t="shared" si="27"/>
        <v/>
      </c>
      <c r="I894" s="1">
        <v>2E-3</v>
      </c>
      <c r="J894" s="1">
        <f>+D894-F894+I894*O894</f>
        <v>1.1259999999999999E-2</v>
      </c>
      <c r="K894" s="1">
        <v>9.4337966293096508E-3</v>
      </c>
      <c r="L894" s="1">
        <f>+K894-J894</f>
        <v>-1.8262033706903484E-3</v>
      </c>
      <c r="M894" s="1">
        <v>-2.2566203370690301E-2</v>
      </c>
      <c r="N894" s="1">
        <f>+M894-J894</f>
        <v>-3.3826203370690297E-2</v>
      </c>
      <c r="O894">
        <v>2.13</v>
      </c>
      <c r="P894" t="s">
        <v>17</v>
      </c>
      <c r="Q894">
        <v>0</v>
      </c>
      <c r="R894">
        <v>-2.1922572553158002E-3</v>
      </c>
      <c r="S894">
        <v>3.2459488138555899E-3</v>
      </c>
      <c r="T894">
        <v>-0.01</v>
      </c>
    </row>
    <row r="895" spans="1:20" x14ac:dyDescent="0.3">
      <c r="A895" t="s">
        <v>74</v>
      </c>
      <c r="B895">
        <v>2012</v>
      </c>
      <c r="C895">
        <v>270418.5</v>
      </c>
      <c r="D895" s="1">
        <v>0</v>
      </c>
      <c r="E895" s="1">
        <v>0.924921214580536</v>
      </c>
      <c r="F895" s="1">
        <v>0</v>
      </c>
      <c r="G895" s="1">
        <f t="shared" si="26"/>
        <v>3.7999999999999999E-2</v>
      </c>
      <c r="H895" s="1" t="str">
        <f t="shared" si="27"/>
        <v/>
      </c>
      <c r="I895" s="1">
        <v>0.01</v>
      </c>
      <c r="J895" s="1">
        <f>+D895-F895+I895*O895</f>
        <v>2.1299999999999999E-2</v>
      </c>
      <c r="K895" s="1">
        <v>1.8807742744684199E-2</v>
      </c>
      <c r="L895" s="1">
        <f>+K895-J895</f>
        <v>-2.4922572553158009E-3</v>
      </c>
      <c r="M895" s="1">
        <v>-2.1922572553158002E-3</v>
      </c>
      <c r="N895" s="1">
        <f>+M895-J895</f>
        <v>-2.3492257255315799E-2</v>
      </c>
      <c r="O895">
        <v>2.13</v>
      </c>
      <c r="P895" t="s">
        <v>17</v>
      </c>
      <c r="Q895">
        <v>0</v>
      </c>
      <c r="R895">
        <v>1.06209541112185E-2</v>
      </c>
      <c r="S895">
        <v>4.4941827654838996E-3</v>
      </c>
      <c r="T895">
        <v>0</v>
      </c>
    </row>
    <row r="896" spans="1:20" x14ac:dyDescent="0.3">
      <c r="A896" t="s">
        <v>74</v>
      </c>
      <c r="B896">
        <v>2013</v>
      </c>
      <c r="C896">
        <v>272586.6875</v>
      </c>
      <c r="D896" s="1">
        <v>0</v>
      </c>
      <c r="E896" s="1">
        <v>0.94144147634506203</v>
      </c>
      <c r="F896" s="1">
        <v>-5.5E-2</v>
      </c>
      <c r="G896" s="1">
        <f t="shared" si="26"/>
        <v>-1.7000000000000001E-2</v>
      </c>
      <c r="H896" s="1" t="str">
        <f t="shared" si="27"/>
        <v/>
      </c>
      <c r="I896" s="1">
        <v>1.7000000000000001E-2</v>
      </c>
      <c r="J896" s="1">
        <f>+D896-F896+I896*O896</f>
        <v>8.9169999999999999E-2</v>
      </c>
      <c r="K896" s="1">
        <v>2.5620954111218501E-2</v>
      </c>
      <c r="L896" s="1">
        <f>+K896-J896</f>
        <v>-6.3549045888781491E-2</v>
      </c>
      <c r="M896" s="1">
        <v>1.06209541112185E-2</v>
      </c>
      <c r="N896" s="1">
        <f>+M896-J896</f>
        <v>-7.8549045888781505E-2</v>
      </c>
      <c r="O896">
        <v>2.0099999999999998</v>
      </c>
      <c r="P896" t="s">
        <v>17</v>
      </c>
      <c r="Q896">
        <v>0</v>
      </c>
      <c r="R896">
        <v>-4.7434458360075997E-3</v>
      </c>
      <c r="S896">
        <v>-6.7514693364500999E-3</v>
      </c>
      <c r="T896">
        <v>-0.06</v>
      </c>
    </row>
    <row r="897" spans="1:20" x14ac:dyDescent="0.3">
      <c r="A897" t="s">
        <v>74</v>
      </c>
      <c r="B897">
        <v>2014</v>
      </c>
      <c r="C897">
        <v>276560.90629999997</v>
      </c>
      <c r="D897" s="1">
        <v>2E-3</v>
      </c>
      <c r="E897" s="1">
        <v>0.93478816747665405</v>
      </c>
      <c r="F897" s="1">
        <v>4.2999999999999997E-2</v>
      </c>
      <c r="G897" s="1">
        <f t="shared" si="26"/>
        <v>2.5999999999999995E-2</v>
      </c>
      <c r="H897" s="1" t="str">
        <f t="shared" si="27"/>
        <v/>
      </c>
      <c r="I897" s="1">
        <v>-7.0000000000000001E-3</v>
      </c>
      <c r="J897" s="1">
        <f>+D897-F897+I897*O897</f>
        <v>-5.57E-2</v>
      </c>
      <c r="K897" s="1">
        <v>1.12565541639924E-2</v>
      </c>
      <c r="L897" s="1">
        <f>+K897-J897</f>
        <v>6.6956554163992404E-2</v>
      </c>
      <c r="M897" s="1">
        <v>-4.7434458360075997E-3</v>
      </c>
      <c r="N897" s="1">
        <f>+M897-J897</f>
        <v>5.0956554163992397E-2</v>
      </c>
      <c r="O897">
        <v>2.1</v>
      </c>
      <c r="P897" t="s">
        <v>17</v>
      </c>
      <c r="Q897">
        <v>-0.01</v>
      </c>
      <c r="R897">
        <v>4.18556054830551E-2</v>
      </c>
      <c r="S897">
        <v>1.15921534597874E-2</v>
      </c>
      <c r="T897">
        <v>0.04</v>
      </c>
    </row>
    <row r="898" spans="1:20" x14ac:dyDescent="0.3">
      <c r="A898" t="s">
        <v>74</v>
      </c>
      <c r="B898">
        <v>2015</v>
      </c>
      <c r="C898">
        <v>281472.09379999997</v>
      </c>
      <c r="D898" s="1">
        <v>-1.4999999999999999E-2</v>
      </c>
      <c r="E898" s="1">
        <v>0.95429813861846902</v>
      </c>
      <c r="F898" s="1">
        <v>2.1000000000000001E-2</v>
      </c>
      <c r="G898" s="1">
        <f t="shared" si="26"/>
        <v>4.7E-2</v>
      </c>
      <c r="H898" s="1" t="str">
        <f t="shared" si="27"/>
        <v/>
      </c>
      <c r="I898" s="1">
        <v>0.02</v>
      </c>
      <c r="J898" s="1">
        <f>+D898-F898+I898*O898</f>
        <v>6.8000000000000005E-3</v>
      </c>
      <c r="K898" s="1">
        <v>4.2855605483055101E-2</v>
      </c>
      <c r="L898" s="1">
        <f>+K898-J898</f>
        <v>3.60556054830551E-2</v>
      </c>
      <c r="M898" s="1">
        <v>4.18556054830551E-2</v>
      </c>
      <c r="N898" s="1">
        <f>+M898-J898</f>
        <v>3.5055605483055099E-2</v>
      </c>
      <c r="O898">
        <v>2.14</v>
      </c>
      <c r="P898" t="s">
        <v>15</v>
      </c>
      <c r="Q898">
        <v>0.01</v>
      </c>
      <c r="R898">
        <v>3.4089371830225E-2</v>
      </c>
      <c r="S898">
        <v>2.0935814827680602E-2</v>
      </c>
      <c r="T898">
        <v>0.03</v>
      </c>
    </row>
    <row r="899" spans="1:20" x14ac:dyDescent="0.3">
      <c r="A899" t="s">
        <v>74</v>
      </c>
      <c r="B899">
        <v>2016</v>
      </c>
      <c r="C899">
        <v>286653.1875</v>
      </c>
      <c r="D899" s="1">
        <v>1.2E-2</v>
      </c>
      <c r="E899" s="1">
        <v>0.94940412044525102</v>
      </c>
      <c r="F899" s="1">
        <v>-7.5999999999999998E-2</v>
      </c>
      <c r="G899" s="1">
        <f t="shared" si="26"/>
        <v>-2.8999999999999998E-2</v>
      </c>
      <c r="H899" s="1" t="str">
        <f t="shared" si="27"/>
        <v/>
      </c>
      <c r="I899" s="1">
        <v>-5.0000000000000001E-3</v>
      </c>
      <c r="J899" s="1">
        <f>+D899-F899+I899*O899</f>
        <v>7.8099999999999989E-2</v>
      </c>
      <c r="K899" s="1">
        <v>4.7089371830224998E-2</v>
      </c>
      <c r="L899" s="1">
        <f>+K899-J899</f>
        <v>-3.1010628169774991E-2</v>
      </c>
      <c r="M899" s="1">
        <v>3.4089371830225E-2</v>
      </c>
      <c r="N899" s="1">
        <f>+M899-J899</f>
        <v>-4.4010628169774989E-2</v>
      </c>
      <c r="O899">
        <v>1.98</v>
      </c>
      <c r="P899" t="s">
        <v>16</v>
      </c>
      <c r="Q899">
        <v>0.02</v>
      </c>
      <c r="R899">
        <v>2.2352026492357301E-2</v>
      </c>
      <c r="S899">
        <v>1.956245303154E-2</v>
      </c>
      <c r="T899">
        <v>-7.0000000000000007E-2</v>
      </c>
    </row>
    <row r="900" spans="1:20" x14ac:dyDescent="0.3">
      <c r="A900" t="s">
        <v>74</v>
      </c>
      <c r="B900">
        <v>2017</v>
      </c>
      <c r="C900">
        <v>290058.28129999997</v>
      </c>
      <c r="D900" s="1">
        <v>-1E-3</v>
      </c>
      <c r="E900" s="1">
        <v>0.95911252498626698</v>
      </c>
      <c r="F900" s="1">
        <v>-6.8000000000000005E-2</v>
      </c>
      <c r="G900" s="1">
        <f t="shared" si="26"/>
        <v>-9.7000000000000003E-2</v>
      </c>
      <c r="H900" s="1" t="str">
        <f t="shared" si="27"/>
        <v/>
      </c>
      <c r="I900" s="1">
        <v>0.01</v>
      </c>
      <c r="J900" s="1">
        <f>+D900-F900+I900*O900</f>
        <v>8.5500000000000007E-2</v>
      </c>
      <c r="K900" s="1">
        <v>4.3352026492357303E-2</v>
      </c>
      <c r="L900" s="1">
        <f>+K900-J900</f>
        <v>-4.2147973507642704E-2</v>
      </c>
      <c r="M900" s="1">
        <v>2.2352026492357301E-2</v>
      </c>
      <c r="N900" s="1">
        <f>+M900-J900</f>
        <v>-6.3147973507642702E-2</v>
      </c>
      <c r="O900">
        <v>1.85</v>
      </c>
      <c r="P900" t="s">
        <v>17</v>
      </c>
      <c r="Q900">
        <v>0.02</v>
      </c>
      <c r="R900">
        <v>1.67529808580874E-2</v>
      </c>
      <c r="S900">
        <v>7.6179578900337002E-3</v>
      </c>
      <c r="T900">
        <v>-0.06</v>
      </c>
    </row>
    <row r="901" spans="1:20" x14ac:dyDescent="0.3">
      <c r="A901" t="s">
        <v>74</v>
      </c>
      <c r="B901">
        <v>2018</v>
      </c>
      <c r="C901">
        <v>293142.6875</v>
      </c>
      <c r="D901" s="1">
        <v>8.9999999999999993E-3</v>
      </c>
      <c r="E901" s="1">
        <v>0.95114237070083596</v>
      </c>
      <c r="F901" s="1">
        <v>6.7000000000000004E-2</v>
      </c>
      <c r="G901" s="1">
        <f t="shared" si="26"/>
        <v>-0.03</v>
      </c>
      <c r="H901" s="1" t="str">
        <f t="shared" si="27"/>
        <v/>
      </c>
      <c r="I901" s="1">
        <v>-8.0000000000000002E-3</v>
      </c>
      <c r="J901" s="1">
        <f>+D901-F901+I901*O901</f>
        <v>-7.3760000000000006E-2</v>
      </c>
      <c r="K901" s="1">
        <v>4.0752980858087498E-2</v>
      </c>
      <c r="L901" s="1">
        <f>+K901-J901</f>
        <v>0.1145129808580875</v>
      </c>
      <c r="M901" s="1">
        <v>1.67529808580874E-2</v>
      </c>
      <c r="N901" s="1">
        <f>+M901-J901</f>
        <v>9.05129808580874E-2</v>
      </c>
      <c r="O901">
        <v>1.97</v>
      </c>
      <c r="P901" t="s">
        <v>17</v>
      </c>
      <c r="Q901">
        <v>0.01</v>
      </c>
      <c r="R901">
        <v>3.4711859345436101E-2</v>
      </c>
      <c r="S901">
        <v>1.69106647372246E-2</v>
      </c>
      <c r="T901">
        <v>0.08</v>
      </c>
    </row>
    <row r="902" spans="1:20" x14ac:dyDescent="0.3">
      <c r="A902" t="s">
        <v>74</v>
      </c>
      <c r="B902">
        <v>2019</v>
      </c>
      <c r="C902">
        <v>294829.8125</v>
      </c>
      <c r="D902" s="1">
        <v>0.01</v>
      </c>
      <c r="E902" s="1">
        <v>0.95551621913909901</v>
      </c>
      <c r="F902" s="1">
        <v>-6.2E-2</v>
      </c>
      <c r="G902" s="1">
        <f t="shared" si="26"/>
        <v>-9.1999999999999998E-2</v>
      </c>
      <c r="H902" s="1" t="str">
        <f t="shared" si="27"/>
        <v/>
      </c>
      <c r="I902" s="1">
        <v>4.0000000000000001E-3</v>
      </c>
      <c r="J902" s="1">
        <f>+D902-F902+I902*O902</f>
        <v>7.9399999999999998E-2</v>
      </c>
      <c r="K902" s="1">
        <v>5.2711859345436103E-2</v>
      </c>
      <c r="L902" s="1">
        <f>+K902-J902</f>
        <v>-2.6688140654563895E-2</v>
      </c>
      <c r="M902" s="1">
        <v>3.4711859345436101E-2</v>
      </c>
      <c r="N902" s="1">
        <f>+M902-J902</f>
        <v>-4.4688140654563897E-2</v>
      </c>
      <c r="O902">
        <v>1.85</v>
      </c>
      <c r="P902" t="s">
        <v>17</v>
      </c>
      <c r="Q902">
        <v>0.02</v>
      </c>
      <c r="R902">
        <v>7.4030757993460003E-3</v>
      </c>
      <c r="S902">
        <v>-1.14461146295069E-2</v>
      </c>
      <c r="T902">
        <v>-0.05</v>
      </c>
    </row>
    <row r="903" spans="1:20" x14ac:dyDescent="0.3">
      <c r="A903" t="s">
        <v>74</v>
      </c>
      <c r="B903">
        <v>2020</v>
      </c>
      <c r="C903">
        <v>298235.40629999997</v>
      </c>
      <c r="D903" s="1">
        <v>2.1000000000000001E-2</v>
      </c>
      <c r="E903" s="1">
        <v>0.92275005578994795</v>
      </c>
      <c r="F903" s="1">
        <v>-2.3E-2</v>
      </c>
      <c r="G903" s="1">
        <f t="shared" ref="G903:G966" si="28">SUMIFS(F:F,A:A,A903,B:B,"&lt;="&amp;B903)</f>
        <v>-0.11499999999999999</v>
      </c>
      <c r="H903" s="1" t="str">
        <f t="shared" ref="H903:H966" si="29">IFERROR(IF(ABS(G903)&gt;0.12,AVERAGEIFS(K:K,A:A,A903,B:B,"&gt;"&amp;B903,B:B,"&lt;"&amp;B903+3),""),"")</f>
        <v/>
      </c>
      <c r="I903" s="1">
        <v>-3.3000000000000002E-2</v>
      </c>
      <c r="J903" s="1">
        <f>+D903-F903+I903*O903</f>
        <v>-1.5730000000000008E-2</v>
      </c>
      <c r="K903" s="1">
        <v>1.9403075799346001E-2</v>
      </c>
      <c r="L903" s="1">
        <f>+K903-J903</f>
        <v>3.5133075799346006E-2</v>
      </c>
      <c r="M903" s="1">
        <v>7.4030757993460003E-3</v>
      </c>
      <c r="N903" s="1">
        <f>+M903-J903</f>
        <v>2.3133075799346009E-2</v>
      </c>
      <c r="O903">
        <v>1.81</v>
      </c>
      <c r="P903" t="s">
        <v>16</v>
      </c>
      <c r="Q903">
        <v>-0.01</v>
      </c>
      <c r="R903">
        <v>6.4618518829345994E-2</v>
      </c>
      <c r="S903">
        <v>2.1028906106949002E-2</v>
      </c>
      <c r="T903">
        <v>0.02</v>
      </c>
    </row>
    <row r="904" spans="1:20" x14ac:dyDescent="0.3">
      <c r="A904" t="s">
        <v>74</v>
      </c>
      <c r="B904">
        <v>2021</v>
      </c>
      <c r="C904">
        <v>301021.90629999997</v>
      </c>
      <c r="D904" s="1">
        <v>1.9E-2</v>
      </c>
      <c r="E904" s="1">
        <v>0.96002328395843495</v>
      </c>
      <c r="F904" s="1">
        <v>0.13</v>
      </c>
      <c r="G904" s="1">
        <f t="shared" si="28"/>
        <v>1.5000000000000013E-2</v>
      </c>
      <c r="H904" s="1" t="str">
        <f t="shared" si="29"/>
        <v/>
      </c>
      <c r="I904" s="1">
        <v>3.6999999999999998E-2</v>
      </c>
      <c r="J904" s="1">
        <f>+D904-F904+I904*O904</f>
        <v>-3.552000000000001E-2</v>
      </c>
      <c r="K904" s="1">
        <v>0.11161851882934599</v>
      </c>
      <c r="L904" s="1">
        <f>+K904-J904</f>
        <v>0.147138518829346</v>
      </c>
      <c r="M904" s="1">
        <v>6.4618518829345994E-2</v>
      </c>
      <c r="N904" s="1">
        <f>+M904-J904</f>
        <v>0.100138518829346</v>
      </c>
      <c r="O904">
        <v>2.04</v>
      </c>
      <c r="P904" t="s">
        <v>15</v>
      </c>
      <c r="Q904">
        <v>0.02</v>
      </c>
      <c r="R904">
        <v>-1.6821915209293301E-2</v>
      </c>
      <c r="S904">
        <v>1.5281591564416899E-2</v>
      </c>
      <c r="T904">
        <v>0.1</v>
      </c>
    </row>
    <row r="905" spans="1:20" x14ac:dyDescent="0.3">
      <c r="A905" t="s">
        <v>74</v>
      </c>
      <c r="B905">
        <v>2022</v>
      </c>
      <c r="C905">
        <v>305320</v>
      </c>
      <c r="D905" s="1">
        <v>1.7999999999999999E-2</v>
      </c>
      <c r="E905" s="1">
        <v>0.93703460693359397</v>
      </c>
      <c r="F905" s="1">
        <v>4.2000000000000003E-2</v>
      </c>
      <c r="G905" s="1">
        <f t="shared" si="28"/>
        <v>5.7000000000000016E-2</v>
      </c>
      <c r="H905" s="1" t="str">
        <f t="shared" si="29"/>
        <v/>
      </c>
      <c r="I905" s="1">
        <v>-2.3E-2</v>
      </c>
      <c r="J905" s="1">
        <f>+D905-F905+I905*O905</f>
        <v>-7.2989999999999999E-2</v>
      </c>
      <c r="K905" s="1">
        <v>6.3178084790706607E-2</v>
      </c>
      <c r="L905" s="1">
        <f>+K905-J905</f>
        <v>0.13616808479070661</v>
      </c>
      <c r="M905" s="1">
        <v>-1.6821915209293301E-2</v>
      </c>
      <c r="N905" s="1">
        <f>+M905-J905</f>
        <v>5.6168084790706702E-2</v>
      </c>
      <c r="O905">
        <v>2.13</v>
      </c>
      <c r="P905" t="s">
        <v>17</v>
      </c>
      <c r="Q905">
        <v>0.02</v>
      </c>
      <c r="R905">
        <v>-2.4270820230245599E-2</v>
      </c>
      <c r="S905">
        <v>-4.7118924558163001E-3</v>
      </c>
      <c r="T905">
        <v>0.06</v>
      </c>
    </row>
    <row r="906" spans="1:20" x14ac:dyDescent="0.3">
      <c r="A906" t="s">
        <v>75</v>
      </c>
      <c r="B906">
        <v>2006</v>
      </c>
      <c r="C906">
        <v>977813.1875</v>
      </c>
      <c r="D906" s="1">
        <v>2.9000000000000001E-2</v>
      </c>
      <c r="E906" s="1">
        <v>0.94258314371108998</v>
      </c>
      <c r="F906" s="1">
        <v>-5.0000000000000001E-3</v>
      </c>
      <c r="G906" s="1">
        <f t="shared" si="28"/>
        <v>-5.0000000000000001E-3</v>
      </c>
      <c r="H906" s="1" t="str">
        <f t="shared" si="29"/>
        <v/>
      </c>
      <c r="I906" s="1">
        <v>8.0000000000000002E-3</v>
      </c>
      <c r="J906" s="1">
        <f>+D906-F906+I906*O906</f>
        <v>5.1600000000000007E-2</v>
      </c>
      <c r="K906" s="1">
        <v>1.7825558781623799E-2</v>
      </c>
      <c r="L906" s="1">
        <f>+K906-J906</f>
        <v>-3.3774441218376208E-2</v>
      </c>
      <c r="M906" s="1">
        <v>-1.41744412183762E-2</v>
      </c>
      <c r="N906" s="1">
        <f>+M906-J906</f>
        <v>-6.5774441218376209E-2</v>
      </c>
      <c r="O906">
        <v>2.2000000000000002</v>
      </c>
      <c r="P906" t="s">
        <v>17</v>
      </c>
      <c r="Q906">
        <v>-0.02</v>
      </c>
      <c r="R906">
        <v>-4.3683172166348004E-3</v>
      </c>
      <c r="S906">
        <v>-3.4465612843632902E-3</v>
      </c>
      <c r="T906">
        <v>-0.01</v>
      </c>
    </row>
    <row r="907" spans="1:20" x14ac:dyDescent="0.3">
      <c r="A907" t="s">
        <v>75</v>
      </c>
      <c r="B907">
        <v>2007</v>
      </c>
      <c r="C907">
        <v>982366.5</v>
      </c>
      <c r="D907" s="1">
        <v>0</v>
      </c>
      <c r="E907" s="1">
        <v>0.95147949457168601</v>
      </c>
      <c r="F907" s="1">
        <v>8.0000000000000002E-3</v>
      </c>
      <c r="G907" s="1">
        <f t="shared" si="28"/>
        <v>3.0000000000000001E-3</v>
      </c>
      <c r="H907" s="1" t="str">
        <f t="shared" si="29"/>
        <v/>
      </c>
      <c r="I907" s="1">
        <v>8.9999999999999993E-3</v>
      </c>
      <c r="J907" s="1">
        <f>+D907-F907+I907*O907</f>
        <v>1.1980000000000001E-2</v>
      </c>
      <c r="K907" s="1">
        <v>2.4631682783365201E-2</v>
      </c>
      <c r="L907" s="1">
        <f>+K907-J907</f>
        <v>1.26516827833652E-2</v>
      </c>
      <c r="M907" s="1">
        <v>-4.3683172166348004E-3</v>
      </c>
      <c r="N907" s="1">
        <f>+M907-J907</f>
        <v>-1.6348317216634801E-2</v>
      </c>
      <c r="O907">
        <v>2.2200000000000002</v>
      </c>
      <c r="P907" t="s">
        <v>15</v>
      </c>
      <c r="Q907">
        <v>0</v>
      </c>
      <c r="R907">
        <v>-2.6478362560272199E-2</v>
      </c>
      <c r="S907">
        <v>3.0324417166411998E-3</v>
      </c>
      <c r="T907">
        <v>0.01</v>
      </c>
    </row>
    <row r="908" spans="1:20" x14ac:dyDescent="0.3">
      <c r="A908" t="s">
        <v>75</v>
      </c>
      <c r="B908">
        <v>2008</v>
      </c>
      <c r="C908">
        <v>985284.4375</v>
      </c>
      <c r="D908" s="1">
        <v>6.0000000000000001E-3</v>
      </c>
      <c r="E908" s="1">
        <v>0.94281435012817405</v>
      </c>
      <c r="F908" s="1">
        <v>3.0000000000000001E-3</v>
      </c>
      <c r="G908" s="1">
        <f t="shared" si="28"/>
        <v>6.0000000000000001E-3</v>
      </c>
      <c r="H908" s="1" t="str">
        <f t="shared" si="29"/>
        <v/>
      </c>
      <c r="I908" s="1">
        <v>-8.9999999999999993E-3</v>
      </c>
      <c r="J908" s="1">
        <f>+D908-F908+I908*O908</f>
        <v>-1.6980000000000002E-2</v>
      </c>
      <c r="K908" s="1">
        <v>1.1521637439727801E-2</v>
      </c>
      <c r="L908" s="1">
        <f>+K908-J908</f>
        <v>2.8501637439727803E-2</v>
      </c>
      <c r="M908" s="1">
        <v>-2.6478362560272199E-2</v>
      </c>
      <c r="N908" s="1">
        <f>+M908-J908</f>
        <v>-9.4983625602721965E-3</v>
      </c>
      <c r="O908">
        <v>2.2200000000000002</v>
      </c>
      <c r="P908" t="s">
        <v>17</v>
      </c>
      <c r="Q908">
        <v>0</v>
      </c>
      <c r="R908">
        <v>-1.5606588408350899E-2</v>
      </c>
      <c r="S908">
        <v>1.0960113257169699E-2</v>
      </c>
      <c r="T908">
        <v>0</v>
      </c>
    </row>
    <row r="909" spans="1:20" x14ac:dyDescent="0.3">
      <c r="A909" t="s">
        <v>75</v>
      </c>
      <c r="B909">
        <v>2009</v>
      </c>
      <c r="C909">
        <v>987937.375</v>
      </c>
      <c r="D909" s="1">
        <v>0</v>
      </c>
      <c r="E909" s="1">
        <v>0.93702340126037598</v>
      </c>
      <c r="F909" s="1">
        <v>1.2E-2</v>
      </c>
      <c r="G909" s="1">
        <f t="shared" si="28"/>
        <v>1.8000000000000002E-2</v>
      </c>
      <c r="H909" s="1" t="str">
        <f t="shared" si="29"/>
        <v/>
      </c>
      <c r="I909" s="1">
        <v>-6.0000000000000001E-3</v>
      </c>
      <c r="J909" s="1">
        <f>+D909-F909+I909*O909</f>
        <v>-2.5500000000000002E-2</v>
      </c>
      <c r="K909" s="1">
        <v>-1.9606588408350899E-2</v>
      </c>
      <c r="L909" s="1">
        <f>+K909-J909</f>
        <v>5.8934115916491024E-3</v>
      </c>
      <c r="M909" s="1">
        <v>-1.5606588408350899E-2</v>
      </c>
      <c r="N909" s="1">
        <f>+M909-J909</f>
        <v>9.8934115916491025E-3</v>
      </c>
      <c r="O909">
        <v>2.25</v>
      </c>
      <c r="P909" t="s">
        <v>17</v>
      </c>
      <c r="Q909">
        <v>0.01</v>
      </c>
      <c r="R909">
        <v>-1.38430322371423E-2</v>
      </c>
      <c r="S909">
        <v>-4.3829234782606303E-3</v>
      </c>
      <c r="T909">
        <v>-0.01</v>
      </c>
    </row>
    <row r="910" spans="1:20" x14ac:dyDescent="0.3">
      <c r="A910" t="s">
        <v>75</v>
      </c>
      <c r="B910">
        <v>2010</v>
      </c>
      <c r="C910">
        <v>991859.6875</v>
      </c>
      <c r="D910" s="1">
        <v>2E-3</v>
      </c>
      <c r="E910" s="1">
        <v>0.94368165731430098</v>
      </c>
      <c r="F910" s="1">
        <v>6.3E-2</v>
      </c>
      <c r="G910" s="1">
        <f t="shared" si="28"/>
        <v>8.1000000000000003E-2</v>
      </c>
      <c r="H910" s="1" t="str">
        <f t="shared" si="29"/>
        <v/>
      </c>
      <c r="I910" s="1">
        <v>7.0000000000000001E-3</v>
      </c>
      <c r="J910" s="1">
        <f>+D910-F910+I910*O910</f>
        <v>-4.4269999999999997E-2</v>
      </c>
      <c r="K910" s="1">
        <v>2.1569677628576799E-3</v>
      </c>
      <c r="L910" s="1">
        <f>+K910-J910</f>
        <v>4.6426967762857679E-2</v>
      </c>
      <c r="M910" s="1">
        <v>-1.38430322371423E-2</v>
      </c>
      <c r="N910" s="1">
        <f>+M910-J910</f>
        <v>3.0426967762857696E-2</v>
      </c>
      <c r="O910">
        <v>2.39</v>
      </c>
      <c r="P910" t="s">
        <v>15</v>
      </c>
      <c r="Q910">
        <v>0</v>
      </c>
      <c r="R910">
        <v>-1.4771771028637901E-2</v>
      </c>
      <c r="S910">
        <v>6.5120034851133997E-3</v>
      </c>
      <c r="T910">
        <v>0.05</v>
      </c>
    </row>
    <row r="911" spans="1:20" x14ac:dyDescent="0.3">
      <c r="A911" t="s">
        <v>75</v>
      </c>
      <c r="B911">
        <v>2011</v>
      </c>
      <c r="C911">
        <v>1001180</v>
      </c>
      <c r="D911" s="1">
        <v>1E-3</v>
      </c>
      <c r="E911" s="1">
        <v>0.95148879289627097</v>
      </c>
      <c r="F911" s="1">
        <v>-3.2000000000000001E-2</v>
      </c>
      <c r="G911" s="1">
        <f t="shared" si="28"/>
        <v>4.9000000000000002E-2</v>
      </c>
      <c r="H911" s="1" t="str">
        <f t="shared" si="29"/>
        <v/>
      </c>
      <c r="I911" s="1">
        <v>8.0000000000000002E-3</v>
      </c>
      <c r="J911" s="1">
        <f>+D911-F911+I911*O911</f>
        <v>5.1479999999999998E-2</v>
      </c>
      <c r="K911" s="1">
        <v>1.72282289713621E-2</v>
      </c>
      <c r="L911" s="1">
        <f>+K911-J911</f>
        <v>-3.4251771028637898E-2</v>
      </c>
      <c r="M911" s="1">
        <v>-1.4771771028637901E-2</v>
      </c>
      <c r="N911" s="1">
        <f>+M911-J911</f>
        <v>-6.6251771028637899E-2</v>
      </c>
      <c r="O911">
        <v>2.31</v>
      </c>
      <c r="P911" t="s">
        <v>17</v>
      </c>
      <c r="Q911">
        <v>0.01</v>
      </c>
      <c r="R911">
        <v>-2.4076684415339999E-3</v>
      </c>
      <c r="S911">
        <v>3.0305376276373898E-3</v>
      </c>
      <c r="T911">
        <v>-0.03</v>
      </c>
    </row>
    <row r="912" spans="1:20" x14ac:dyDescent="0.3">
      <c r="A912" t="s">
        <v>75</v>
      </c>
      <c r="B912">
        <v>2012</v>
      </c>
      <c r="C912">
        <v>1013204</v>
      </c>
      <c r="D912" s="1">
        <v>2E-3</v>
      </c>
      <c r="E912" s="1">
        <v>0.95594286918640103</v>
      </c>
      <c r="F912" s="1">
        <v>7.0000000000000001E-3</v>
      </c>
      <c r="G912" s="1">
        <f t="shared" si="28"/>
        <v>5.6000000000000001E-2</v>
      </c>
      <c r="H912" s="1" t="str">
        <f t="shared" si="29"/>
        <v/>
      </c>
      <c r="I912" s="1">
        <v>4.0000000000000001E-3</v>
      </c>
      <c r="J912" s="1">
        <f>+D912-F912+I912*O912</f>
        <v>4.3200000000000001E-3</v>
      </c>
      <c r="K912" s="1">
        <v>1.8592331558465999E-2</v>
      </c>
      <c r="L912" s="1">
        <f>+K912-J912</f>
        <v>1.4272331558465998E-2</v>
      </c>
      <c r="M912" s="1">
        <v>-2.4076684415339999E-3</v>
      </c>
      <c r="N912" s="1">
        <f>+M912-J912</f>
        <v>-6.7276684415339995E-3</v>
      </c>
      <c r="O912">
        <v>2.33</v>
      </c>
      <c r="P912" t="s">
        <v>15</v>
      </c>
      <c r="Q912">
        <v>0</v>
      </c>
      <c r="R912">
        <v>8.4056189656257999E-3</v>
      </c>
      <c r="S912">
        <v>2.2788476198912001E-3</v>
      </c>
      <c r="T912">
        <v>0</v>
      </c>
    </row>
    <row r="913" spans="1:20" x14ac:dyDescent="0.3">
      <c r="A913" t="s">
        <v>75</v>
      </c>
      <c r="B913">
        <v>2013</v>
      </c>
      <c r="C913">
        <v>1025156</v>
      </c>
      <c r="D913" s="1">
        <v>2E-3</v>
      </c>
      <c r="E913" s="1">
        <v>0.96086901426315297</v>
      </c>
      <c r="F913" s="1">
        <v>-7.0000000000000001E-3</v>
      </c>
      <c r="G913" s="1">
        <f t="shared" si="28"/>
        <v>4.9000000000000002E-2</v>
      </c>
      <c r="H913" s="1" t="str">
        <f t="shared" si="29"/>
        <v/>
      </c>
      <c r="I913" s="1">
        <v>5.0000000000000001E-3</v>
      </c>
      <c r="J913" s="1">
        <f>+D913-F913+I913*O913</f>
        <v>2.06E-2</v>
      </c>
      <c r="K913" s="1">
        <v>2.3405618965625801E-2</v>
      </c>
      <c r="L913" s="1">
        <f>+K913-J913</f>
        <v>2.8056189656258008E-3</v>
      </c>
      <c r="M913" s="1">
        <v>8.4056189656257999E-3</v>
      </c>
      <c r="N913" s="1">
        <f>+M913-J913</f>
        <v>-1.21943810343742E-2</v>
      </c>
      <c r="O913">
        <v>2.3199999999999998</v>
      </c>
      <c r="P913" t="s">
        <v>17</v>
      </c>
      <c r="Q913">
        <v>0</v>
      </c>
      <c r="R913">
        <v>1.16786498725414E-2</v>
      </c>
      <c r="S913">
        <v>9.6706263720988898E-3</v>
      </c>
      <c r="T913">
        <v>-0.01</v>
      </c>
    </row>
    <row r="914" spans="1:20" x14ac:dyDescent="0.3">
      <c r="A914" t="s">
        <v>75</v>
      </c>
      <c r="B914">
        <v>2014</v>
      </c>
      <c r="C914">
        <v>1036115</v>
      </c>
      <c r="D914" s="1">
        <v>3.0000000000000001E-3</v>
      </c>
      <c r="E914" s="1">
        <v>0.96154409646987904</v>
      </c>
      <c r="F914" s="1">
        <v>-1E-3</v>
      </c>
      <c r="G914" s="1">
        <f t="shared" si="28"/>
        <v>4.8000000000000001E-2</v>
      </c>
      <c r="H914" s="1" t="str">
        <f t="shared" si="29"/>
        <v/>
      </c>
      <c r="I914" s="1">
        <v>1E-3</v>
      </c>
      <c r="J914" s="1">
        <f>+D914-F914+I914*O914</f>
        <v>6.3099999999999996E-3</v>
      </c>
      <c r="K914" s="1">
        <v>2.76786498725414E-2</v>
      </c>
      <c r="L914" s="1">
        <f>+K914-J914</f>
        <v>2.13686498725414E-2</v>
      </c>
      <c r="M914" s="1">
        <v>1.16786498725414E-2</v>
      </c>
      <c r="N914" s="1">
        <f>+M914-J914</f>
        <v>5.3686498725413999E-3</v>
      </c>
      <c r="O914">
        <v>2.31</v>
      </c>
      <c r="P914" t="s">
        <v>17</v>
      </c>
      <c r="Q914">
        <v>0.01</v>
      </c>
      <c r="R914">
        <v>5.4128216743469099E-2</v>
      </c>
      <c r="S914">
        <v>2.3864764720201499E-2</v>
      </c>
      <c r="T914">
        <v>0</v>
      </c>
    </row>
    <row r="915" spans="1:20" x14ac:dyDescent="0.3">
      <c r="A915" t="s">
        <v>75</v>
      </c>
      <c r="B915">
        <v>2015</v>
      </c>
      <c r="C915">
        <v>1045863.063</v>
      </c>
      <c r="D915" s="1">
        <v>1.4999999999999999E-2</v>
      </c>
      <c r="E915" s="1">
        <v>0.95954269170761097</v>
      </c>
      <c r="F915" s="1">
        <v>-8.9999999999999993E-3</v>
      </c>
      <c r="G915" s="1">
        <f t="shared" si="28"/>
        <v>3.9E-2</v>
      </c>
      <c r="H915" s="1" t="str">
        <f t="shared" si="29"/>
        <v/>
      </c>
      <c r="I915" s="1">
        <v>-2E-3</v>
      </c>
      <c r="J915" s="1">
        <f>+D915-F915+I915*O915</f>
        <v>1.942E-2</v>
      </c>
      <c r="K915" s="1">
        <v>5.5128216743469197E-2</v>
      </c>
      <c r="L915" s="1">
        <f>+K915-J915</f>
        <v>3.5708216743469197E-2</v>
      </c>
      <c r="M915" s="1">
        <v>5.4128216743469099E-2</v>
      </c>
      <c r="N915" s="1">
        <f>+M915-J915</f>
        <v>3.4708216743469099E-2</v>
      </c>
      <c r="O915">
        <v>2.29</v>
      </c>
      <c r="P915" t="s">
        <v>16</v>
      </c>
      <c r="Q915">
        <v>0.02</v>
      </c>
      <c r="R915">
        <v>1.91309491991997E-2</v>
      </c>
      <c r="S915">
        <v>5.9773921966552899E-3</v>
      </c>
      <c r="T915">
        <v>0</v>
      </c>
    </row>
    <row r="916" spans="1:20" x14ac:dyDescent="0.3">
      <c r="A916" t="s">
        <v>75</v>
      </c>
      <c r="B916">
        <v>2016</v>
      </c>
      <c r="C916">
        <v>1056563</v>
      </c>
      <c r="D916" s="1">
        <v>2.1000000000000001E-2</v>
      </c>
      <c r="E916" s="1">
        <v>0.94877904653549205</v>
      </c>
      <c r="F916" s="1">
        <v>4.9000000000000002E-2</v>
      </c>
      <c r="G916" s="1">
        <f t="shared" si="28"/>
        <v>8.7999999999999995E-2</v>
      </c>
      <c r="H916" s="1" t="str">
        <f t="shared" si="29"/>
        <v/>
      </c>
      <c r="I916" s="1">
        <v>-1.0999999999999999E-2</v>
      </c>
      <c r="J916" s="1">
        <f>+D916-F916+I916*O916</f>
        <v>-5.4510000000000003E-2</v>
      </c>
      <c r="K916" s="1">
        <v>3.2130949199199697E-2</v>
      </c>
      <c r="L916" s="1">
        <f>+K916-J916</f>
        <v>8.6640949199199707E-2</v>
      </c>
      <c r="M916" s="1">
        <v>1.91309491991997E-2</v>
      </c>
      <c r="N916" s="1">
        <f>+M916-J916</f>
        <v>7.3640949199199696E-2</v>
      </c>
      <c r="O916">
        <v>2.41</v>
      </c>
      <c r="P916" t="s">
        <v>17</v>
      </c>
      <c r="Q916">
        <v>0.01</v>
      </c>
      <c r="R916">
        <v>1.3179642796516299E-2</v>
      </c>
      <c r="S916">
        <v>1.0390069335699E-2</v>
      </c>
      <c r="T916">
        <v>0.05</v>
      </c>
    </row>
    <row r="917" spans="1:20" x14ac:dyDescent="0.3">
      <c r="A917" t="s">
        <v>75</v>
      </c>
      <c r="B917">
        <v>2017</v>
      </c>
      <c r="C917">
        <v>1066299</v>
      </c>
      <c r="D917" s="1">
        <v>2.8000000000000001E-2</v>
      </c>
      <c r="E917" s="1">
        <v>0.942049980163574</v>
      </c>
      <c r="F917" s="1">
        <v>-4.4999999999999998E-2</v>
      </c>
      <c r="G917" s="1">
        <f t="shared" si="28"/>
        <v>4.2999999999999997E-2</v>
      </c>
      <c r="H917" s="1" t="str">
        <f t="shared" si="29"/>
        <v/>
      </c>
      <c r="I917" s="1">
        <v>-7.0000000000000001E-3</v>
      </c>
      <c r="J917" s="1">
        <f>+D917-F917+I917*O917</f>
        <v>5.6899999999999992E-2</v>
      </c>
      <c r="K917" s="1">
        <v>3.4179642796516398E-2</v>
      </c>
      <c r="L917" s="1">
        <f>+K917-J917</f>
        <v>-2.2720357203483595E-2</v>
      </c>
      <c r="M917" s="1">
        <v>1.3179642796516299E-2</v>
      </c>
      <c r="N917" s="1">
        <f>+M917-J917</f>
        <v>-4.372035720348369E-2</v>
      </c>
      <c r="O917">
        <v>2.2999999999999998</v>
      </c>
      <c r="P917" t="s">
        <v>16</v>
      </c>
      <c r="Q917">
        <v>0.01</v>
      </c>
      <c r="R917">
        <v>1.1213451832532801E-2</v>
      </c>
      <c r="S917">
        <v>2.0784288644790901E-3</v>
      </c>
      <c r="T917">
        <v>-0.04</v>
      </c>
    </row>
    <row r="918" spans="1:20" x14ac:dyDescent="0.3">
      <c r="A918" t="s">
        <v>75</v>
      </c>
      <c r="B918">
        <v>2018</v>
      </c>
      <c r="C918">
        <v>1073972</v>
      </c>
      <c r="D918" s="1">
        <v>4.4999999999999998E-2</v>
      </c>
      <c r="E918" s="1">
        <v>0.92614066600799605</v>
      </c>
      <c r="F918" s="1">
        <v>-1.7000000000000001E-2</v>
      </c>
      <c r="G918" s="1">
        <f t="shared" si="28"/>
        <v>2.5999999999999995E-2</v>
      </c>
      <c r="H918" s="1" t="str">
        <f t="shared" si="29"/>
        <v/>
      </c>
      <c r="I918" s="1">
        <v>-1.6E-2</v>
      </c>
      <c r="J918" s="1">
        <f>+D918-F918+I918*O918</f>
        <v>2.5840000000000002E-2</v>
      </c>
      <c r="K918" s="1">
        <v>3.5213451832532897E-2</v>
      </c>
      <c r="L918" s="1">
        <f>+K918-J918</f>
        <v>9.3734518325328947E-3</v>
      </c>
      <c r="M918" s="1">
        <v>1.1213451832532801E-2</v>
      </c>
      <c r="N918" s="1">
        <f>+M918-J918</f>
        <v>-1.4626548167467201E-2</v>
      </c>
      <c r="O918">
        <v>2.2599999999999998</v>
      </c>
      <c r="P918" t="s">
        <v>16</v>
      </c>
      <c r="Q918">
        <v>0</v>
      </c>
      <c r="R918">
        <v>2.5620999902486799E-2</v>
      </c>
      <c r="S918">
        <v>7.8198052942752908E-3</v>
      </c>
      <c r="T918">
        <v>-0.01</v>
      </c>
    </row>
    <row r="919" spans="1:20" x14ac:dyDescent="0.3">
      <c r="A919" t="s">
        <v>75</v>
      </c>
      <c r="B919">
        <v>2019</v>
      </c>
      <c r="C919">
        <v>1079943</v>
      </c>
      <c r="D919" s="1">
        <v>2.4E-2</v>
      </c>
      <c r="E919" s="1">
        <v>0.94038897752761796</v>
      </c>
      <c r="F919" s="1">
        <v>5.0000000000000001E-3</v>
      </c>
      <c r="G919" s="1">
        <f t="shared" si="28"/>
        <v>3.0999999999999996E-2</v>
      </c>
      <c r="H919" s="1" t="str">
        <f t="shared" si="29"/>
        <v/>
      </c>
      <c r="I919" s="1">
        <v>1.4E-2</v>
      </c>
      <c r="J919" s="1">
        <f>+D919-F919+I919*O919</f>
        <v>5.0780000000000006E-2</v>
      </c>
      <c r="K919" s="1">
        <v>4.3620999902486801E-2</v>
      </c>
      <c r="L919" s="1">
        <f>+K919-J919</f>
        <v>-7.1590000975132045E-3</v>
      </c>
      <c r="M919" s="1">
        <v>2.5620999902486799E-2</v>
      </c>
      <c r="N919" s="1">
        <f>+M919-J919</f>
        <v>-2.5159000097513207E-2</v>
      </c>
      <c r="O919">
        <v>2.27</v>
      </c>
      <c r="P919" t="s">
        <v>15</v>
      </c>
      <c r="Q919">
        <v>0.01</v>
      </c>
      <c r="R919">
        <v>3.56483292877674E-2</v>
      </c>
      <c r="S919">
        <v>1.67991388589144E-2</v>
      </c>
      <c r="T919">
        <v>0.01</v>
      </c>
    </row>
    <row r="920" spans="1:20" x14ac:dyDescent="0.3">
      <c r="A920" t="s">
        <v>75</v>
      </c>
      <c r="B920">
        <v>2020</v>
      </c>
      <c r="C920">
        <v>1085451</v>
      </c>
      <c r="D920" s="1">
        <v>4.3999999999999997E-2</v>
      </c>
      <c r="E920" s="1">
        <v>0.94891691207885698</v>
      </c>
      <c r="F920" s="1">
        <v>-0.13500000000000001</v>
      </c>
      <c r="G920" s="1">
        <f t="shared" si="28"/>
        <v>-0.10400000000000001</v>
      </c>
      <c r="H920" s="1" t="str">
        <f t="shared" si="29"/>
        <v/>
      </c>
      <c r="I920" s="1">
        <v>8.9999999999999993E-3</v>
      </c>
      <c r="J920" s="1">
        <f>+D920-F920+I920*O920</f>
        <v>0.19663999999999998</v>
      </c>
      <c r="K920" s="1">
        <v>4.7648329287767403E-2</v>
      </c>
      <c r="L920" s="1">
        <f>+K920-J920</f>
        <v>-0.14899167071223257</v>
      </c>
      <c r="M920" s="1">
        <v>3.56483292877674E-2</v>
      </c>
      <c r="N920" s="1">
        <f>+M920-J920</f>
        <v>-0.16099167071223258</v>
      </c>
      <c r="O920">
        <v>1.96</v>
      </c>
      <c r="P920" t="s">
        <v>17</v>
      </c>
      <c r="Q920">
        <v>0.02</v>
      </c>
      <c r="R920">
        <v>4.7060063362121499E-2</v>
      </c>
      <c r="S920">
        <v>3.4704506397246898E-3</v>
      </c>
      <c r="T920">
        <v>-0.1</v>
      </c>
    </row>
    <row r="921" spans="1:20" x14ac:dyDescent="0.3">
      <c r="A921" t="s">
        <v>75</v>
      </c>
      <c r="B921">
        <v>2021</v>
      </c>
      <c r="C921">
        <v>1088602</v>
      </c>
      <c r="D921" s="1">
        <v>1.9E-2</v>
      </c>
      <c r="E921" s="1">
        <v>0.963750600814819</v>
      </c>
      <c r="F921" s="1">
        <v>7.0999999999999994E-2</v>
      </c>
      <c r="G921" s="1">
        <f t="shared" si="28"/>
        <v>-3.3000000000000015E-2</v>
      </c>
      <c r="H921" s="1" t="str">
        <f t="shared" si="29"/>
        <v/>
      </c>
      <c r="I921" s="1">
        <v>1.4999999999999999E-2</v>
      </c>
      <c r="J921" s="1">
        <f>+D921-F921+I921*O921</f>
        <v>-2.049999999999999E-2</v>
      </c>
      <c r="K921" s="1">
        <v>9.4060063362121596E-2</v>
      </c>
      <c r="L921" s="1">
        <f>+K921-J921</f>
        <v>0.11456006336212159</v>
      </c>
      <c r="M921" s="1">
        <v>4.7060063362121499E-2</v>
      </c>
      <c r="N921" s="1">
        <f>+M921-J921</f>
        <v>6.7560063362121489E-2</v>
      </c>
      <c r="O921">
        <v>2.1</v>
      </c>
      <c r="P921" t="s">
        <v>15</v>
      </c>
      <c r="Q921">
        <v>0</v>
      </c>
      <c r="R921">
        <v>-1.9781550318002699E-2</v>
      </c>
      <c r="S921">
        <v>1.23219564557075E-2</v>
      </c>
      <c r="T921">
        <v>0.04</v>
      </c>
    </row>
    <row r="922" spans="1:20" x14ac:dyDescent="0.3">
      <c r="A922" t="s">
        <v>75</v>
      </c>
      <c r="B922">
        <v>2022</v>
      </c>
      <c r="C922">
        <v>1093864</v>
      </c>
      <c r="D922" s="1">
        <v>2.1000000000000001E-2</v>
      </c>
      <c r="E922" s="1">
        <v>0.95666748285293601</v>
      </c>
      <c r="F922" s="1">
        <v>7.0000000000000001E-3</v>
      </c>
      <c r="G922" s="1">
        <f t="shared" si="28"/>
        <v>-2.6000000000000016E-2</v>
      </c>
      <c r="H922" s="1" t="str">
        <f t="shared" si="29"/>
        <v/>
      </c>
      <c r="I922" s="1">
        <v>-7.0000000000000001E-3</v>
      </c>
      <c r="J922" s="1">
        <f>+D922-F922+I922*O922</f>
        <v>-8.3999999999999873E-4</v>
      </c>
      <c r="K922" s="1">
        <v>6.0218449681997299E-2</v>
      </c>
      <c r="L922" s="1">
        <f>+K922-J922</f>
        <v>6.10584496819973E-2</v>
      </c>
      <c r="M922" s="1">
        <v>-1.9781550318002699E-2</v>
      </c>
      <c r="N922" s="1">
        <f>+M922-J922</f>
        <v>-1.8941550318002702E-2</v>
      </c>
      <c r="O922">
        <v>2.12</v>
      </c>
      <c r="P922" t="s">
        <v>17</v>
      </c>
      <c r="Q922">
        <v>0.01</v>
      </c>
      <c r="R922">
        <v>-4.9173410832881997E-3</v>
      </c>
      <c r="S922">
        <v>1.4641586691141101E-2</v>
      </c>
      <c r="T922">
        <v>0.02</v>
      </c>
    </row>
    <row r="923" spans="1:20" x14ac:dyDescent="0.3">
      <c r="A923" t="s">
        <v>76</v>
      </c>
      <c r="B923">
        <v>2006</v>
      </c>
      <c r="C923">
        <v>232437.1875</v>
      </c>
      <c r="D923" s="1">
        <v>5.0000000000000001E-3</v>
      </c>
      <c r="E923" s="1">
        <v>0.94693052768707298</v>
      </c>
      <c r="F923" s="1">
        <v>0.02</v>
      </c>
      <c r="G923" s="1">
        <f t="shared" si="28"/>
        <v>0.02</v>
      </c>
      <c r="H923" s="1" t="str">
        <f t="shared" si="29"/>
        <v/>
      </c>
      <c r="I923" s="1">
        <v>7.0000000000000001E-3</v>
      </c>
      <c r="J923" s="1">
        <f>+D923-F923+I923*O923</f>
        <v>2.5699999999999994E-3</v>
      </c>
      <c r="K923" s="1">
        <v>4.0323227643966703E-2</v>
      </c>
      <c r="L923" s="1">
        <f>+K923-J923</f>
        <v>3.77532276439667E-2</v>
      </c>
      <c r="M923" s="1">
        <v>8.3232276439667002E-3</v>
      </c>
      <c r="N923" s="1">
        <f>+M923-J923</f>
        <v>5.7532276439667008E-3</v>
      </c>
      <c r="O923">
        <v>2.5099999999999998</v>
      </c>
      <c r="P923" t="s">
        <v>15</v>
      </c>
      <c r="Q923">
        <v>0</v>
      </c>
      <c r="R923">
        <v>7.3430939614772903E-3</v>
      </c>
      <c r="S923">
        <v>8.2648498937488001E-3</v>
      </c>
      <c r="T923">
        <v>0.02</v>
      </c>
    </row>
    <row r="924" spans="1:20" x14ac:dyDescent="0.3">
      <c r="A924" t="s">
        <v>76</v>
      </c>
      <c r="B924">
        <v>2007</v>
      </c>
      <c r="C924">
        <v>239127.9063</v>
      </c>
      <c r="D924" s="1">
        <v>2.9000000000000001E-2</v>
      </c>
      <c r="E924" s="1">
        <v>0.931537926197052</v>
      </c>
      <c r="F924" s="1">
        <v>3.0000000000000001E-3</v>
      </c>
      <c r="G924" s="1">
        <f t="shared" si="28"/>
        <v>2.3E-2</v>
      </c>
      <c r="H924" s="1" t="str">
        <f t="shared" si="29"/>
        <v/>
      </c>
      <c r="I924" s="1">
        <v>-1.4999999999999999E-2</v>
      </c>
      <c r="J924" s="1">
        <f>+D924-F924+I924*O924</f>
        <v>-1.1799999999999998E-2</v>
      </c>
      <c r="K924" s="1">
        <v>3.63430939614773E-2</v>
      </c>
      <c r="L924" s="1">
        <f>+K924-J924</f>
        <v>4.8143093961477298E-2</v>
      </c>
      <c r="M924" s="1">
        <v>7.3430939614772903E-3</v>
      </c>
      <c r="N924" s="1">
        <f>+M924-J924</f>
        <v>1.9143093961477287E-2</v>
      </c>
      <c r="O924">
        <v>2.52</v>
      </c>
      <c r="P924" t="s">
        <v>17</v>
      </c>
      <c r="Q924">
        <v>0.01</v>
      </c>
      <c r="R924">
        <v>-2.43249659538269E-2</v>
      </c>
      <c r="S924">
        <v>5.1858383230865002E-3</v>
      </c>
      <c r="T924">
        <v>0</v>
      </c>
    </row>
    <row r="925" spans="1:20" x14ac:dyDescent="0.3">
      <c r="A925" t="s">
        <v>76</v>
      </c>
      <c r="B925">
        <v>2008</v>
      </c>
      <c r="C925">
        <v>244640.10939999999</v>
      </c>
      <c r="D925" s="1">
        <v>1E-3</v>
      </c>
      <c r="E925" s="1">
        <v>0.93236505985259999</v>
      </c>
      <c r="F925" s="1">
        <v>3.6999999999999998E-2</v>
      </c>
      <c r="G925" s="1">
        <f t="shared" si="28"/>
        <v>0.06</v>
      </c>
      <c r="H925" s="1" t="str">
        <f t="shared" si="29"/>
        <v/>
      </c>
      <c r="I925" s="1">
        <v>1E-3</v>
      </c>
      <c r="J925" s="1">
        <f>+D925-F925+I925*O925</f>
        <v>-3.3389999999999996E-2</v>
      </c>
      <c r="K925" s="1">
        <v>1.3675034046173099E-2</v>
      </c>
      <c r="L925" s="1">
        <f>+K925-J925</f>
        <v>4.7065034046173099E-2</v>
      </c>
      <c r="M925" s="1">
        <v>-2.43249659538269E-2</v>
      </c>
      <c r="N925" s="1">
        <f>+M925-J925</f>
        <v>9.0650340461730962E-3</v>
      </c>
      <c r="O925">
        <v>2.61</v>
      </c>
      <c r="P925" t="s">
        <v>15</v>
      </c>
      <c r="Q925">
        <v>0.01</v>
      </c>
      <c r="R925">
        <v>-3.09654331803321E-2</v>
      </c>
      <c r="S925">
        <v>-4.3987315148115401E-3</v>
      </c>
      <c r="T925">
        <v>0.03</v>
      </c>
    </row>
    <row r="926" spans="1:20" x14ac:dyDescent="0.3">
      <c r="A926" t="s">
        <v>76</v>
      </c>
      <c r="B926">
        <v>2009</v>
      </c>
      <c r="C926">
        <v>249700.1875</v>
      </c>
      <c r="D926" s="1">
        <v>0</v>
      </c>
      <c r="E926" s="1">
        <v>0.92444586753845204</v>
      </c>
      <c r="F926" s="1">
        <v>8.5999999999999993E-2</v>
      </c>
      <c r="G926" s="1">
        <f t="shared" si="28"/>
        <v>0.14599999999999999</v>
      </c>
      <c r="H926" s="1">
        <f t="shared" si="29"/>
        <v>5.578664684435357E-3</v>
      </c>
      <c r="I926" s="1">
        <v>-8.0000000000000002E-3</v>
      </c>
      <c r="J926" s="1">
        <f>+D926-F926+I926*O926</f>
        <v>-0.10872</v>
      </c>
      <c r="K926" s="1">
        <v>-3.4965433180332198E-2</v>
      </c>
      <c r="L926" s="1">
        <f>+K926-J926</f>
        <v>7.3754566819667799E-2</v>
      </c>
      <c r="M926" s="1">
        <v>-3.09654331803321E-2</v>
      </c>
      <c r="N926" s="1">
        <f>+M926-J926</f>
        <v>7.77545668196679E-2</v>
      </c>
      <c r="O926">
        <v>2.84</v>
      </c>
      <c r="P926" t="s">
        <v>17</v>
      </c>
      <c r="Q926">
        <v>0</v>
      </c>
      <c r="R926">
        <v>-1.5489391047973099E-2</v>
      </c>
      <c r="S926">
        <v>-6.0292822890915003E-3</v>
      </c>
      <c r="T926">
        <v>7.0000000000000007E-2</v>
      </c>
    </row>
    <row r="927" spans="1:20" x14ac:dyDescent="0.3">
      <c r="A927" t="s">
        <v>76</v>
      </c>
      <c r="B927">
        <v>2010</v>
      </c>
      <c r="C927">
        <v>255259.79689999999</v>
      </c>
      <c r="D927" s="1">
        <v>0</v>
      </c>
      <c r="E927" s="1">
        <v>0.92832183837890603</v>
      </c>
      <c r="F927" s="1">
        <v>-0.161</v>
      </c>
      <c r="G927" s="1">
        <f t="shared" si="28"/>
        <v>-1.5000000000000013E-2</v>
      </c>
      <c r="H927" s="1" t="str">
        <f t="shared" si="29"/>
        <v/>
      </c>
      <c r="I927" s="1">
        <v>4.0000000000000001E-3</v>
      </c>
      <c r="J927" s="1">
        <f>+D927-F927+I927*O927</f>
        <v>0.17052</v>
      </c>
      <c r="K927" s="1">
        <v>5.1060895202681401E-4</v>
      </c>
      <c r="L927" s="1">
        <f>+K927-J927</f>
        <v>-0.17000939104797319</v>
      </c>
      <c r="M927" s="1">
        <v>-1.5489391047973099E-2</v>
      </c>
      <c r="N927" s="1">
        <f>+M927-J927</f>
        <v>-0.18600939104797309</v>
      </c>
      <c r="O927">
        <v>2.38</v>
      </c>
      <c r="P927" t="s">
        <v>17</v>
      </c>
      <c r="Q927">
        <v>-0.01</v>
      </c>
      <c r="R927">
        <v>-2.1353279583156099E-2</v>
      </c>
      <c r="S927">
        <v>-6.9505069404802305E-5</v>
      </c>
      <c r="T927">
        <v>-0.17</v>
      </c>
    </row>
    <row r="928" spans="1:20" x14ac:dyDescent="0.3">
      <c r="A928" t="s">
        <v>76</v>
      </c>
      <c r="B928">
        <v>2011</v>
      </c>
      <c r="C928">
        <v>259725.3125</v>
      </c>
      <c r="D928" s="1">
        <v>0</v>
      </c>
      <c r="E928" s="1">
        <v>0.92863762378692605</v>
      </c>
      <c r="F928" s="1">
        <v>9.6000000000000002E-2</v>
      </c>
      <c r="G928" s="1">
        <f t="shared" si="28"/>
        <v>8.0999999999999989E-2</v>
      </c>
      <c r="H928" s="1" t="str">
        <f t="shared" si="29"/>
        <v/>
      </c>
      <c r="I928" s="1">
        <v>0</v>
      </c>
      <c r="J928" s="1">
        <f>+D928-F928+I928*O928</f>
        <v>-9.6000000000000002E-2</v>
      </c>
      <c r="K928" s="1">
        <v>1.06467204168439E-2</v>
      </c>
      <c r="L928" s="1">
        <f>+K928-J928</f>
        <v>0.10664672041684391</v>
      </c>
      <c r="M928" s="1">
        <v>-2.1353279583156099E-2</v>
      </c>
      <c r="N928" s="1">
        <f>+M928-J928</f>
        <v>7.4646720416843906E-2</v>
      </c>
      <c r="O928">
        <v>2.61</v>
      </c>
      <c r="P928" t="s">
        <v>15</v>
      </c>
      <c r="Q928">
        <v>0</v>
      </c>
      <c r="R928">
        <v>-4.34253457188606E-2</v>
      </c>
      <c r="S928">
        <v>-3.7987139649689201E-2</v>
      </c>
      <c r="T928">
        <v>0.1</v>
      </c>
    </row>
    <row r="929" spans="1:20" x14ac:dyDescent="0.3">
      <c r="A929" t="s">
        <v>76</v>
      </c>
      <c r="B929">
        <v>2022</v>
      </c>
      <c r="C929">
        <v>352947.59379999997</v>
      </c>
      <c r="D929" s="1">
        <v>4.2999999999999997E-2</v>
      </c>
      <c r="E929" s="1">
        <v>0.90655684471130404</v>
      </c>
      <c r="F929" s="1">
        <v>-0.111</v>
      </c>
      <c r="G929" s="1">
        <f t="shared" si="28"/>
        <v>-3.0000000000000013E-2</v>
      </c>
      <c r="H929" s="1" t="str">
        <f t="shared" si="29"/>
        <v/>
      </c>
      <c r="I929" s="1">
        <v>-2.1999999999999999E-2</v>
      </c>
      <c r="J929" s="1">
        <f>+D929-F929+I929*O929</f>
        <v>0.10296</v>
      </c>
      <c r="K929" s="1">
        <v>3.6574654281139402E-2</v>
      </c>
      <c r="L929" s="1">
        <f>+K929-J929</f>
        <v>-6.6385345718860594E-2</v>
      </c>
      <c r="M929" s="1">
        <v>-4.34253457188606E-2</v>
      </c>
      <c r="N929" s="1">
        <f>+M929-J929</f>
        <v>-0.14638534571886058</v>
      </c>
      <c r="O929">
        <v>2.3199999999999998</v>
      </c>
      <c r="P929" t="s">
        <v>16</v>
      </c>
      <c r="Q929">
        <v>-0.01</v>
      </c>
      <c r="R929">
        <v>-4.2110007287934403E-2</v>
      </c>
      <c r="S929">
        <v>-2.2551079513505101E-2</v>
      </c>
      <c r="T929">
        <v>-0.1</v>
      </c>
    </row>
    <row r="930" spans="1:20" x14ac:dyDescent="0.3">
      <c r="A930" t="s">
        <v>77</v>
      </c>
      <c r="B930">
        <v>2006</v>
      </c>
      <c r="C930">
        <v>692310</v>
      </c>
      <c r="D930" s="1">
        <v>3.0000000000000001E-3</v>
      </c>
      <c r="E930" s="1">
        <v>0.90627610683441195</v>
      </c>
      <c r="F930" s="1">
        <v>-2.7E-2</v>
      </c>
      <c r="G930" s="1">
        <f t="shared" si="28"/>
        <v>-2.7E-2</v>
      </c>
      <c r="H930" s="1" t="str">
        <f t="shared" si="29"/>
        <v/>
      </c>
      <c r="I930" s="1">
        <v>-2E-3</v>
      </c>
      <c r="J930" s="1">
        <f>+D930-F930+I930*O930</f>
        <v>2.5499999999999998E-2</v>
      </c>
      <c r="K930" s="1">
        <v>6.2936924397945404E-2</v>
      </c>
      <c r="L930" s="1">
        <f>+K930-J930</f>
        <v>3.7436924397945409E-2</v>
      </c>
      <c r="M930" s="1">
        <v>3.09369243979454E-2</v>
      </c>
      <c r="N930" s="1">
        <f>+M930-J930</f>
        <v>5.4369243979454016E-3</v>
      </c>
      <c r="O930">
        <v>2.25</v>
      </c>
      <c r="P930" t="s">
        <v>16</v>
      </c>
      <c r="Q930">
        <v>0.02</v>
      </c>
      <c r="R930">
        <v>-6.0294055342674001E-3</v>
      </c>
      <c r="S930">
        <v>-5.1076496019958999E-3</v>
      </c>
      <c r="T930">
        <v>-0.03</v>
      </c>
    </row>
    <row r="931" spans="1:20" x14ac:dyDescent="0.3">
      <c r="A931" t="s">
        <v>77</v>
      </c>
      <c r="B931">
        <v>2007</v>
      </c>
      <c r="C931">
        <v>703210.3125</v>
      </c>
      <c r="D931" s="1">
        <v>2.1999999999999999E-2</v>
      </c>
      <c r="E931" s="1">
        <v>0.89224231243133501</v>
      </c>
      <c r="F931" s="1">
        <v>-3.7999999999999999E-2</v>
      </c>
      <c r="G931" s="1">
        <f t="shared" si="28"/>
        <v>-6.5000000000000002E-2</v>
      </c>
      <c r="H931" s="1" t="str">
        <f t="shared" si="29"/>
        <v/>
      </c>
      <c r="I931" s="1">
        <v>-1.4E-2</v>
      </c>
      <c r="J931" s="1">
        <f>+D931-F931+I931*O931</f>
        <v>2.9619999999999997E-2</v>
      </c>
      <c r="K931" s="1">
        <v>2.2970594465732599E-2</v>
      </c>
      <c r="L931" s="1">
        <f>+K931-J931</f>
        <v>-6.6494055342673983E-3</v>
      </c>
      <c r="M931" s="1">
        <v>-6.0294055342674001E-3</v>
      </c>
      <c r="N931" s="1">
        <f>+M931-J931</f>
        <v>-3.5649405534267396E-2</v>
      </c>
      <c r="O931">
        <v>2.17</v>
      </c>
      <c r="P931" t="s">
        <v>16</v>
      </c>
      <c r="Q931">
        <v>-0.01</v>
      </c>
      <c r="R931">
        <v>-5.1640849851071799E-2</v>
      </c>
      <c r="S931">
        <v>-2.2130045574158302E-2</v>
      </c>
      <c r="T931">
        <v>-0.04</v>
      </c>
    </row>
    <row r="932" spans="1:20" x14ac:dyDescent="0.3">
      <c r="A932" t="s">
        <v>77</v>
      </c>
      <c r="B932">
        <v>2008</v>
      </c>
      <c r="C932">
        <v>713309.5625</v>
      </c>
      <c r="D932" s="1">
        <v>0.03</v>
      </c>
      <c r="E932" s="1">
        <v>0.88576263189315796</v>
      </c>
      <c r="F932" s="1">
        <v>2.4E-2</v>
      </c>
      <c r="G932" s="1">
        <f t="shared" si="28"/>
        <v>-4.1000000000000002E-2</v>
      </c>
      <c r="H932" s="1" t="str">
        <f t="shared" si="29"/>
        <v/>
      </c>
      <c r="I932" s="1">
        <v>-6.0000000000000001E-3</v>
      </c>
      <c r="J932" s="1">
        <f>+D932-F932+I932*O932</f>
        <v>-7.3200000000000036E-3</v>
      </c>
      <c r="K932" s="1">
        <v>-1.36408498510718E-2</v>
      </c>
      <c r="L932" s="1">
        <f>+K932-J932</f>
        <v>-6.3208498510717963E-3</v>
      </c>
      <c r="M932" s="1">
        <v>-5.1640849851071799E-2</v>
      </c>
      <c r="N932" s="1">
        <f>+M932-J932</f>
        <v>-4.4320849851071792E-2</v>
      </c>
      <c r="O932">
        <v>2.2200000000000002</v>
      </c>
      <c r="P932" t="s">
        <v>17</v>
      </c>
      <c r="Q932">
        <v>-0.02</v>
      </c>
      <c r="R932">
        <v>-2.3664424851536799E-2</v>
      </c>
      <c r="S932">
        <v>2.90227681398385E-3</v>
      </c>
      <c r="T932">
        <v>0.02</v>
      </c>
    </row>
    <row r="933" spans="1:20" x14ac:dyDescent="0.3">
      <c r="A933" t="s">
        <v>77</v>
      </c>
      <c r="B933">
        <v>2009</v>
      </c>
      <c r="C933">
        <v>720551.875</v>
      </c>
      <c r="D933" s="1">
        <v>8.9999999999999993E-3</v>
      </c>
      <c r="E933" s="1">
        <v>0.89057409763336204</v>
      </c>
      <c r="F933" s="1">
        <v>3.2000000000000001E-2</v>
      </c>
      <c r="G933" s="1">
        <f t="shared" si="28"/>
        <v>-9.0000000000000011E-3</v>
      </c>
      <c r="H933" s="1" t="str">
        <f t="shared" si="29"/>
        <v/>
      </c>
      <c r="I933" s="1">
        <v>5.0000000000000001E-3</v>
      </c>
      <c r="J933" s="1">
        <f>+D933-F933+I933*O933</f>
        <v>-1.155E-2</v>
      </c>
      <c r="K933" s="1">
        <v>-2.7664424851536799E-2</v>
      </c>
      <c r="L933" s="1">
        <f>+K933-J933</f>
        <v>-1.6114424851536802E-2</v>
      </c>
      <c r="M933" s="1">
        <v>-2.3664424851536799E-2</v>
      </c>
      <c r="N933" s="1">
        <f>+M933-J933</f>
        <v>-1.21144248515368E-2</v>
      </c>
      <c r="O933">
        <v>2.29</v>
      </c>
      <c r="P933" t="s">
        <v>15</v>
      </c>
      <c r="Q933">
        <v>0</v>
      </c>
      <c r="R933">
        <v>-1.0528884999453999E-2</v>
      </c>
      <c r="S933">
        <v>-1.0687762405723301E-3</v>
      </c>
      <c r="T933">
        <v>0.01</v>
      </c>
    </row>
    <row r="934" spans="1:20" x14ac:dyDescent="0.3">
      <c r="A934" t="s">
        <v>77</v>
      </c>
      <c r="B934">
        <v>2010</v>
      </c>
      <c r="C934">
        <v>726592.25</v>
      </c>
      <c r="D934" s="1">
        <v>0.02</v>
      </c>
      <c r="E934" s="1">
        <v>0.90571212768554699</v>
      </c>
      <c r="F934" s="1">
        <v>1.9E-2</v>
      </c>
      <c r="G934" s="1">
        <f t="shared" si="28"/>
        <v>9.9999999999999985E-3</v>
      </c>
      <c r="H934" s="1" t="str">
        <f t="shared" si="29"/>
        <v/>
      </c>
      <c r="I934" s="1">
        <v>1.4999999999999999E-2</v>
      </c>
      <c r="J934" s="1">
        <f>+D934-F934+I934*O934</f>
        <v>3.5950000000000003E-2</v>
      </c>
      <c r="K934" s="1">
        <v>5.4711150005459803E-3</v>
      </c>
      <c r="L934" s="1">
        <f>+K934-J934</f>
        <v>-3.0478884999454024E-2</v>
      </c>
      <c r="M934" s="1">
        <v>-1.0528884999453999E-2</v>
      </c>
      <c r="N934" s="1">
        <f>+M934-J934</f>
        <v>-4.6478884999454004E-2</v>
      </c>
      <c r="O934">
        <v>2.33</v>
      </c>
      <c r="P934" t="s">
        <v>15</v>
      </c>
      <c r="Q934">
        <v>0</v>
      </c>
      <c r="R934">
        <v>-2.30772126168012E-2</v>
      </c>
      <c r="S934">
        <v>-1.7934381030499599E-3</v>
      </c>
      <c r="T934">
        <v>0.01</v>
      </c>
    </row>
    <row r="935" spans="1:20" x14ac:dyDescent="0.3">
      <c r="A935" t="s">
        <v>77</v>
      </c>
      <c r="B935">
        <v>2011</v>
      </c>
      <c r="C935">
        <v>731621.375</v>
      </c>
      <c r="D935" s="1">
        <v>0</v>
      </c>
      <c r="E935" s="1">
        <v>0.909112989902496</v>
      </c>
      <c r="F935" s="1">
        <v>1.2999999999999999E-2</v>
      </c>
      <c r="G935" s="1">
        <f t="shared" si="28"/>
        <v>2.3E-2</v>
      </c>
      <c r="H935" s="1" t="str">
        <f t="shared" si="29"/>
        <v/>
      </c>
      <c r="I935" s="1">
        <v>3.0000000000000001E-3</v>
      </c>
      <c r="J935" s="1">
        <f>+D935-F935+I935*O935</f>
        <v>-5.8899999999999985E-3</v>
      </c>
      <c r="K935" s="1">
        <v>8.9227873831987398E-3</v>
      </c>
      <c r="L935" s="1">
        <f>+K935-J935</f>
        <v>1.4812787383198738E-2</v>
      </c>
      <c r="M935" s="1">
        <v>-2.30772126168012E-2</v>
      </c>
      <c r="N935" s="1">
        <f>+M935-J935</f>
        <v>-1.7187212616801201E-2</v>
      </c>
      <c r="O935">
        <v>2.37</v>
      </c>
      <c r="P935" t="s">
        <v>15</v>
      </c>
      <c r="Q935">
        <v>0</v>
      </c>
      <c r="R935">
        <v>-1.09913417175412E-2</v>
      </c>
      <c r="S935">
        <v>-5.5531356483698004E-3</v>
      </c>
      <c r="T935">
        <v>0.01</v>
      </c>
    </row>
    <row r="936" spans="1:20" x14ac:dyDescent="0.3">
      <c r="A936" t="s">
        <v>77</v>
      </c>
      <c r="B936">
        <v>2012</v>
      </c>
      <c r="C936">
        <v>737147.25</v>
      </c>
      <c r="D936" s="1">
        <v>3.3000000000000002E-2</v>
      </c>
      <c r="E936" s="1">
        <v>0.91128200292587302</v>
      </c>
      <c r="F936" s="1">
        <v>-4.5999999999999999E-2</v>
      </c>
      <c r="G936" s="1">
        <f t="shared" si="28"/>
        <v>-2.3E-2</v>
      </c>
      <c r="H936" s="1" t="str">
        <f t="shared" si="29"/>
        <v/>
      </c>
      <c r="I936" s="1">
        <v>2E-3</v>
      </c>
      <c r="J936" s="1">
        <f>+D936-F936+I936*O936</f>
        <v>8.3519999999999997E-2</v>
      </c>
      <c r="K936" s="1">
        <v>1.00086582824588E-2</v>
      </c>
      <c r="L936" s="1">
        <f>+K936-J936</f>
        <v>-7.3511341717541201E-2</v>
      </c>
      <c r="M936" s="1">
        <v>-1.09913417175412E-2</v>
      </c>
      <c r="N936" s="1">
        <f>+M936-J936</f>
        <v>-9.4511341717541192E-2</v>
      </c>
      <c r="O936">
        <v>2.2599999999999998</v>
      </c>
      <c r="P936" t="s">
        <v>17</v>
      </c>
      <c r="Q936">
        <v>-0.01</v>
      </c>
      <c r="R936">
        <v>6.3609766215085902E-3</v>
      </c>
      <c r="S936">
        <v>2.3420527577399801E-4</v>
      </c>
      <c r="T936">
        <v>-0.05</v>
      </c>
    </row>
    <row r="937" spans="1:20" x14ac:dyDescent="0.3">
      <c r="A937" t="s">
        <v>77</v>
      </c>
      <c r="B937">
        <v>2013</v>
      </c>
      <c r="C937">
        <v>742477.75</v>
      </c>
      <c r="D937" s="1">
        <v>8.9999999999999993E-3</v>
      </c>
      <c r="E937" s="1">
        <v>0.92559224367141701</v>
      </c>
      <c r="F937" s="1">
        <v>2.1000000000000001E-2</v>
      </c>
      <c r="G937" s="1">
        <f t="shared" si="28"/>
        <v>-1.9999999999999983E-3</v>
      </c>
      <c r="H937" s="1" t="str">
        <f t="shared" si="29"/>
        <v/>
      </c>
      <c r="I937" s="1">
        <v>1.4E-2</v>
      </c>
      <c r="J937" s="1">
        <f>+D937-F937+I937*O937</f>
        <v>2.0199999999999996E-2</v>
      </c>
      <c r="K937" s="1">
        <v>2.1360976621508598E-2</v>
      </c>
      <c r="L937" s="1">
        <f>+K937-J937</f>
        <v>1.1609766215086026E-3</v>
      </c>
      <c r="M937" s="1">
        <v>6.3609766215085902E-3</v>
      </c>
      <c r="N937" s="1">
        <f>+M937-J937</f>
        <v>-1.3839023378491406E-2</v>
      </c>
      <c r="O937">
        <v>2.2999999999999998</v>
      </c>
      <c r="P937" t="s">
        <v>15</v>
      </c>
      <c r="Q937">
        <v>0</v>
      </c>
      <c r="R937">
        <v>1.4907706677914001E-3</v>
      </c>
      <c r="S937">
        <v>-5.1725283265110003E-4</v>
      </c>
      <c r="T937">
        <v>0.01</v>
      </c>
    </row>
    <row r="938" spans="1:20" x14ac:dyDescent="0.3">
      <c r="A938" t="s">
        <v>77</v>
      </c>
      <c r="B938">
        <v>2014</v>
      </c>
      <c r="C938">
        <v>748285.375</v>
      </c>
      <c r="D938" s="1">
        <v>3.1E-2</v>
      </c>
      <c r="E938" s="1">
        <v>0.90900135040283203</v>
      </c>
      <c r="F938" s="1">
        <v>2E-3</v>
      </c>
      <c r="G938" s="1">
        <f t="shared" si="28"/>
        <v>1.7347234759768071E-18</v>
      </c>
      <c r="H938" s="1" t="str">
        <f t="shared" si="29"/>
        <v/>
      </c>
      <c r="I938" s="1">
        <v>-1.7000000000000001E-2</v>
      </c>
      <c r="J938" s="1">
        <f>+D938-F938+I938*O938</f>
        <v>-1.0270000000000008E-2</v>
      </c>
      <c r="K938" s="1">
        <v>1.7490770667791401E-2</v>
      </c>
      <c r="L938" s="1">
        <f>+K938-J938</f>
        <v>2.776077066779141E-2</v>
      </c>
      <c r="M938" s="1">
        <v>1.4907706677914001E-3</v>
      </c>
      <c r="N938" s="1">
        <f>+M938-J938</f>
        <v>1.1760770667791409E-2</v>
      </c>
      <c r="O938">
        <v>2.31</v>
      </c>
      <c r="P938" t="s">
        <v>17</v>
      </c>
      <c r="Q938">
        <v>0</v>
      </c>
      <c r="R938">
        <v>2.78230273872614E-2</v>
      </c>
      <c r="S938">
        <v>-2.4404246360062898E-3</v>
      </c>
      <c r="T938">
        <v>0</v>
      </c>
    </row>
    <row r="939" spans="1:20" x14ac:dyDescent="0.3">
      <c r="A939" t="s">
        <v>77</v>
      </c>
      <c r="B939">
        <v>2015</v>
      </c>
      <c r="C939">
        <v>753779.625</v>
      </c>
      <c r="D939" s="1">
        <v>6.0000000000000001E-3</v>
      </c>
      <c r="E939" s="1">
        <v>0.91279125213623002</v>
      </c>
      <c r="F939" s="1">
        <v>-3.0000000000000001E-3</v>
      </c>
      <c r="G939" s="1">
        <f t="shared" si="28"/>
        <v>-2.9999999999999983E-3</v>
      </c>
      <c r="H939" s="1" t="str">
        <f t="shared" si="29"/>
        <v/>
      </c>
      <c r="I939" s="1">
        <v>4.0000000000000001E-3</v>
      </c>
      <c r="J939" s="1">
        <f>+D939-F939+I939*O939</f>
        <v>1.8200000000000001E-2</v>
      </c>
      <c r="K939" s="1">
        <v>2.8823027387261401E-2</v>
      </c>
      <c r="L939" s="1">
        <f>+K939-J939</f>
        <v>1.06230273872614E-2</v>
      </c>
      <c r="M939" s="1">
        <v>2.78230273872614E-2</v>
      </c>
      <c r="N939" s="1">
        <f>+M939-J939</f>
        <v>9.6230273872613993E-3</v>
      </c>
      <c r="O939">
        <v>2.2999999999999998</v>
      </c>
      <c r="P939" t="s">
        <v>17</v>
      </c>
      <c r="Q939">
        <v>0</v>
      </c>
      <c r="R939">
        <v>2.3558616906404501E-2</v>
      </c>
      <c r="S939">
        <v>1.0405059903860101E-2</v>
      </c>
      <c r="T939">
        <v>0.01</v>
      </c>
    </row>
    <row r="940" spans="1:20" x14ac:dyDescent="0.3">
      <c r="A940" t="s">
        <v>77</v>
      </c>
      <c r="B940">
        <v>2016</v>
      </c>
      <c r="C940">
        <v>760321.6875</v>
      </c>
      <c r="D940" s="1">
        <v>6.0000000000000001E-3</v>
      </c>
      <c r="E940" s="1">
        <v>0.92735737562179599</v>
      </c>
      <c r="F940" s="1">
        <v>-1E-3</v>
      </c>
      <c r="G940" s="1">
        <f t="shared" si="28"/>
        <v>-3.9999999999999983E-3</v>
      </c>
      <c r="H940" s="1" t="str">
        <f t="shared" si="29"/>
        <v/>
      </c>
      <c r="I940" s="1">
        <v>1.4999999999999999E-2</v>
      </c>
      <c r="J940" s="1">
        <f>+D940-F940+I940*O940</f>
        <v>4.1499999999999995E-2</v>
      </c>
      <c r="K940" s="1">
        <v>3.6558616906404502E-2</v>
      </c>
      <c r="L940" s="1">
        <f>+K940-J940</f>
        <v>-4.941383093595493E-3</v>
      </c>
      <c r="M940" s="1">
        <v>2.3558616906404501E-2</v>
      </c>
      <c r="N940" s="1">
        <f>+M940-J940</f>
        <v>-1.7941383093595494E-2</v>
      </c>
      <c r="O940">
        <v>2.2999999999999998</v>
      </c>
      <c r="P940" t="s">
        <v>17</v>
      </c>
      <c r="Q940">
        <v>0.01</v>
      </c>
      <c r="R940">
        <v>2.1699887663125901E-3</v>
      </c>
      <c r="S940">
        <v>-6.1958469450469904E-4</v>
      </c>
      <c r="T940">
        <v>0</v>
      </c>
    </row>
    <row r="941" spans="1:20" x14ac:dyDescent="0.3">
      <c r="A941" t="s">
        <v>77</v>
      </c>
      <c r="B941">
        <v>2017</v>
      </c>
      <c r="C941">
        <v>764189.875</v>
      </c>
      <c r="D941" s="1">
        <v>2.4E-2</v>
      </c>
      <c r="E941" s="1">
        <v>0.91078823804855302</v>
      </c>
      <c r="F941" s="1">
        <v>-3.1E-2</v>
      </c>
      <c r="G941" s="1">
        <f t="shared" si="28"/>
        <v>-3.4999999999999996E-2</v>
      </c>
      <c r="H941" s="1" t="str">
        <f t="shared" si="29"/>
        <v/>
      </c>
      <c r="I941" s="1">
        <v>-1.7000000000000001E-2</v>
      </c>
      <c r="J941" s="1">
        <f>+D941-F941+I941*O941</f>
        <v>1.7090000000000001E-2</v>
      </c>
      <c r="K941" s="1">
        <v>2.3169988766312599E-2</v>
      </c>
      <c r="L941" s="1">
        <f>+K941-J941</f>
        <v>6.0799887663125982E-3</v>
      </c>
      <c r="M941" s="1">
        <v>2.1699887663125901E-3</v>
      </c>
      <c r="N941" s="1">
        <f>+M941-J941</f>
        <v>-1.492001123368741E-2</v>
      </c>
      <c r="O941">
        <v>2.23</v>
      </c>
      <c r="P941" t="s">
        <v>16</v>
      </c>
      <c r="Q941">
        <v>0</v>
      </c>
      <c r="R941">
        <v>2.5028608947992199E-2</v>
      </c>
      <c r="S941">
        <v>1.58935859799385E-2</v>
      </c>
      <c r="T941">
        <v>-0.03</v>
      </c>
    </row>
    <row r="942" spans="1:20" x14ac:dyDescent="0.3">
      <c r="A942" t="s">
        <v>77</v>
      </c>
      <c r="B942">
        <v>2018</v>
      </c>
      <c r="C942">
        <v>769063.75</v>
      </c>
      <c r="D942" s="1">
        <v>1.0999999999999999E-2</v>
      </c>
      <c r="E942" s="1">
        <v>0.93424594402313199</v>
      </c>
      <c r="F942" s="1">
        <v>1.2999999999999999E-2</v>
      </c>
      <c r="G942" s="1">
        <f t="shared" si="28"/>
        <v>-2.1999999999999999E-2</v>
      </c>
      <c r="H942" s="1" t="str">
        <f t="shared" si="29"/>
        <v/>
      </c>
      <c r="I942" s="1">
        <v>2.3E-2</v>
      </c>
      <c r="J942" s="1">
        <f>+D942-F942+I942*O942</f>
        <v>4.997999999999999E-2</v>
      </c>
      <c r="K942" s="1">
        <v>4.9028608947992297E-2</v>
      </c>
      <c r="L942" s="1">
        <f>+K942-J942</f>
        <v>-9.5139105200769264E-4</v>
      </c>
      <c r="M942" s="1">
        <v>2.5028608947992199E-2</v>
      </c>
      <c r="N942" s="1">
        <f>+M942-J942</f>
        <v>-2.495139105200779E-2</v>
      </c>
      <c r="O942">
        <v>2.2599999999999998</v>
      </c>
      <c r="P942" t="s">
        <v>15</v>
      </c>
      <c r="Q942">
        <v>0.02</v>
      </c>
      <c r="R942">
        <v>3.1701243638992301E-2</v>
      </c>
      <c r="S942">
        <v>1.3900049030780799E-2</v>
      </c>
      <c r="T942">
        <v>0.02</v>
      </c>
    </row>
    <row r="943" spans="1:20" x14ac:dyDescent="0.3">
      <c r="A943" t="s">
        <v>77</v>
      </c>
      <c r="B943">
        <v>2019</v>
      </c>
      <c r="C943">
        <v>774324.8125</v>
      </c>
      <c r="D943" s="1">
        <v>1.4999999999999999E-2</v>
      </c>
      <c r="E943" s="1">
        <v>0.93093514442443803</v>
      </c>
      <c r="F943" s="1">
        <v>2.3E-2</v>
      </c>
      <c r="G943" s="1">
        <f t="shared" si="28"/>
        <v>1.0000000000000009E-3</v>
      </c>
      <c r="H943" s="1" t="str">
        <f t="shared" si="29"/>
        <v/>
      </c>
      <c r="I943" s="1">
        <v>-3.0000000000000001E-3</v>
      </c>
      <c r="J943" s="1">
        <f>+D943-F943+I943*O943</f>
        <v>-1.4930000000000001E-2</v>
      </c>
      <c r="K943" s="1">
        <v>4.9701243638992303E-2</v>
      </c>
      <c r="L943" s="1">
        <f>+K943-J943</f>
        <v>6.4631243638992308E-2</v>
      </c>
      <c r="M943" s="1">
        <v>3.1701243638992301E-2</v>
      </c>
      <c r="N943" s="1">
        <f>+M943-J943</f>
        <v>4.6631243638992299E-2</v>
      </c>
      <c r="O943">
        <v>2.31</v>
      </c>
      <c r="P943" t="s">
        <v>17</v>
      </c>
      <c r="Q943">
        <v>0.01</v>
      </c>
      <c r="R943">
        <v>4.4420873850583999E-2</v>
      </c>
      <c r="S943">
        <v>2.5571683421730999E-2</v>
      </c>
      <c r="T943">
        <v>0.03</v>
      </c>
    </row>
    <row r="944" spans="1:20" x14ac:dyDescent="0.3">
      <c r="A944" t="s">
        <v>77</v>
      </c>
      <c r="B944">
        <v>2020</v>
      </c>
      <c r="C944">
        <v>775367.125</v>
      </c>
      <c r="D944" s="1">
        <v>2.1999999999999999E-2</v>
      </c>
      <c r="E944" s="1">
        <v>0.94514554738998402</v>
      </c>
      <c r="F944" s="1">
        <v>-0.11799999999999999</v>
      </c>
      <c r="G944" s="1">
        <f t="shared" si="28"/>
        <v>-0.11699999999999999</v>
      </c>
      <c r="H944" s="1" t="str">
        <f t="shared" si="29"/>
        <v/>
      </c>
      <c r="I944" s="1">
        <v>1.4E-2</v>
      </c>
      <c r="J944" s="1">
        <f>+D944-F944+I944*O944</f>
        <v>0.16855999999999999</v>
      </c>
      <c r="K944" s="1">
        <v>5.6420873850584002E-2</v>
      </c>
      <c r="L944" s="1">
        <f>+K944-J944</f>
        <v>-0.11213912614941599</v>
      </c>
      <c r="M944" s="1">
        <v>4.4420873850583999E-2</v>
      </c>
      <c r="N944" s="1">
        <f>+M944-J944</f>
        <v>-0.124139126149416</v>
      </c>
      <c r="O944">
        <v>2.04</v>
      </c>
      <c r="P944" t="s">
        <v>17</v>
      </c>
      <c r="Q944">
        <v>0.03</v>
      </c>
      <c r="R944">
        <v>9.3019863843917999E-2</v>
      </c>
      <c r="S944">
        <v>4.94302511215211E-2</v>
      </c>
      <c r="T944">
        <v>-0.08</v>
      </c>
    </row>
    <row r="945" spans="1:20" x14ac:dyDescent="0.3">
      <c r="A945" t="s">
        <v>77</v>
      </c>
      <c r="B945">
        <v>2021</v>
      </c>
      <c r="C945">
        <v>779995.125</v>
      </c>
      <c r="D945" s="1">
        <v>0.01</v>
      </c>
      <c r="E945" s="1">
        <v>0.95697635412216198</v>
      </c>
      <c r="F945" s="1">
        <v>3.5999999999999997E-2</v>
      </c>
      <c r="G945" s="1">
        <f t="shared" si="28"/>
        <v>-8.0999999999999989E-2</v>
      </c>
      <c r="H945" s="1" t="str">
        <f t="shared" si="29"/>
        <v/>
      </c>
      <c r="I945" s="1">
        <v>1.2E-2</v>
      </c>
      <c r="J945" s="1">
        <f>+D945-F945+I945*O945</f>
        <v>-6.7999999999999658E-4</v>
      </c>
      <c r="K945" s="1">
        <v>0.14001986384391801</v>
      </c>
      <c r="L945" s="1">
        <f>+K945-J945</f>
        <v>0.140699863843918</v>
      </c>
      <c r="M945" s="1">
        <v>9.3019863843917999E-2</v>
      </c>
      <c r="N945" s="1">
        <f>+M945-J945</f>
        <v>9.3699863843917999E-2</v>
      </c>
      <c r="O945">
        <v>2.11</v>
      </c>
      <c r="P945" t="s">
        <v>15</v>
      </c>
      <c r="Q945">
        <v>0.05</v>
      </c>
      <c r="R945">
        <v>-1.9941968768835101E-2</v>
      </c>
      <c r="S945">
        <v>1.21615380048751E-2</v>
      </c>
      <c r="T945">
        <v>0.01</v>
      </c>
    </row>
    <row r="946" spans="1:20" x14ac:dyDescent="0.3">
      <c r="A946" t="s">
        <v>77</v>
      </c>
      <c r="B946">
        <v>2022</v>
      </c>
      <c r="C946">
        <v>787207</v>
      </c>
      <c r="D946" s="1">
        <v>2.3E-2</v>
      </c>
      <c r="E946" s="1">
        <v>0.91254353523254395</v>
      </c>
      <c r="F946" s="1">
        <v>5.3999999999999999E-2</v>
      </c>
      <c r="G946" s="1">
        <f t="shared" si="28"/>
        <v>-2.6999999999999989E-2</v>
      </c>
      <c r="H946" s="1" t="str">
        <f t="shared" si="29"/>
        <v/>
      </c>
      <c r="I946" s="1">
        <v>-4.3999999999999997E-2</v>
      </c>
      <c r="J946" s="1">
        <f>+D946-F946+I946*O946</f>
        <v>-0.12868000000000002</v>
      </c>
      <c r="K946" s="1">
        <v>6.0058031231164898E-2</v>
      </c>
      <c r="L946" s="1">
        <f>+K946-J946</f>
        <v>0.18873803123116492</v>
      </c>
      <c r="M946" s="1">
        <v>-1.9941968768835101E-2</v>
      </c>
      <c r="N946" s="1">
        <f>+M946-J946</f>
        <v>0.10873803123116492</v>
      </c>
      <c r="O946">
        <v>2.2200000000000002</v>
      </c>
      <c r="P946" t="s">
        <v>17</v>
      </c>
      <c r="Q946">
        <v>0.01</v>
      </c>
      <c r="R946">
        <v>-2.2597522273659701E-2</v>
      </c>
      <c r="S946">
        <v>-3.03859449923039E-3</v>
      </c>
      <c r="T946">
        <v>7.0000000000000007E-2</v>
      </c>
    </row>
    <row r="947" spans="1:20" x14ac:dyDescent="0.3">
      <c r="A947" t="s">
        <v>78</v>
      </c>
      <c r="B947">
        <v>2006</v>
      </c>
      <c r="C947">
        <v>154061.5938</v>
      </c>
      <c r="D947" s="1">
        <v>9.7000000000000003E-2</v>
      </c>
      <c r="E947" s="1">
        <v>0.91554147005081199</v>
      </c>
      <c r="F947" s="1">
        <v>-5.2999999999999999E-2</v>
      </c>
      <c r="G947" s="1">
        <f t="shared" si="28"/>
        <v>-5.2999999999999999E-2</v>
      </c>
      <c r="H947" s="1" t="str">
        <f t="shared" si="29"/>
        <v/>
      </c>
      <c r="I947" s="1">
        <v>-1.9E-2</v>
      </c>
      <c r="J947" s="1">
        <f>+D947-F947+I947*O947</f>
        <v>0.11162</v>
      </c>
      <c r="K947" s="1">
        <v>5.9166833758354201E-2</v>
      </c>
      <c r="L947" s="1">
        <f>+K947-J947</f>
        <v>-5.2453166241645796E-2</v>
      </c>
      <c r="M947" s="1">
        <v>2.71668337583542E-2</v>
      </c>
      <c r="N947" s="1">
        <f>+M947-J947</f>
        <v>-8.4453166241645797E-2</v>
      </c>
      <c r="O947">
        <v>2.02</v>
      </c>
      <c r="P947" t="s">
        <v>16</v>
      </c>
      <c r="Q947">
        <v>0.02</v>
      </c>
      <c r="R947">
        <v>-3.5003450661897999E-3</v>
      </c>
      <c r="S947">
        <v>-2.5785891339183001E-3</v>
      </c>
      <c r="T947">
        <v>-0.05</v>
      </c>
    </row>
    <row r="948" spans="1:20" x14ac:dyDescent="0.3">
      <c r="A948" t="s">
        <v>78</v>
      </c>
      <c r="B948">
        <v>2007</v>
      </c>
      <c r="C948">
        <v>158637.20310000001</v>
      </c>
      <c r="D948" s="1">
        <v>1.6E-2</v>
      </c>
      <c r="E948" s="1">
        <v>0.88620626926422097</v>
      </c>
      <c r="F948" s="1">
        <v>1.6E-2</v>
      </c>
      <c r="G948" s="1">
        <f t="shared" si="28"/>
        <v>-3.6999999999999998E-2</v>
      </c>
      <c r="H948" s="1" t="str">
        <f t="shared" si="29"/>
        <v/>
      </c>
      <c r="I948" s="1">
        <v>-2.9000000000000001E-2</v>
      </c>
      <c r="J948" s="1">
        <f>+D948-F948+I948*O948</f>
        <v>-5.9449999999999996E-2</v>
      </c>
      <c r="K948" s="1">
        <v>2.5499654933810199E-2</v>
      </c>
      <c r="L948" s="1">
        <f>+K948-J948</f>
        <v>8.4949654933810195E-2</v>
      </c>
      <c r="M948" s="1">
        <v>-3.5003450661897999E-3</v>
      </c>
      <c r="N948" s="1">
        <f>+M948-J948</f>
        <v>5.5949654933810197E-2</v>
      </c>
      <c r="O948">
        <v>2.0499999999999998</v>
      </c>
      <c r="P948" t="s">
        <v>17</v>
      </c>
      <c r="Q948">
        <v>0</v>
      </c>
      <c r="R948">
        <v>-4.93419815897942E-2</v>
      </c>
      <c r="S948">
        <v>-1.9831177312880699E-2</v>
      </c>
      <c r="T948">
        <v>0.01</v>
      </c>
    </row>
    <row r="949" spans="1:20" x14ac:dyDescent="0.3">
      <c r="A949" t="s">
        <v>78</v>
      </c>
      <c r="B949">
        <v>2008</v>
      </c>
      <c r="C949">
        <v>162989.20310000001</v>
      </c>
      <c r="D949" s="1">
        <v>3.5999999999999997E-2</v>
      </c>
      <c r="E949" s="1">
        <v>0.88530039787292503</v>
      </c>
      <c r="F949" s="1">
        <v>4.7E-2</v>
      </c>
      <c r="G949" s="1">
        <f t="shared" si="28"/>
        <v>1.0000000000000002E-2</v>
      </c>
      <c r="H949" s="1" t="str">
        <f t="shared" si="29"/>
        <v/>
      </c>
      <c r="I949" s="1">
        <v>-1E-3</v>
      </c>
      <c r="J949" s="1">
        <f>+D949-F949+I949*O949</f>
        <v>-1.3150000000000002E-2</v>
      </c>
      <c r="K949" s="1">
        <v>-1.1341981589794201E-2</v>
      </c>
      <c r="L949" s="1">
        <f>+K949-J949</f>
        <v>1.8080184102058014E-3</v>
      </c>
      <c r="M949" s="1">
        <v>-4.93419815897942E-2</v>
      </c>
      <c r="N949" s="1">
        <f>+M949-J949</f>
        <v>-3.6191981589794198E-2</v>
      </c>
      <c r="O949">
        <v>2.15</v>
      </c>
      <c r="P949" t="s">
        <v>17</v>
      </c>
      <c r="Q949">
        <v>-0.02</v>
      </c>
      <c r="R949">
        <v>-2.5272655025124501E-2</v>
      </c>
      <c r="S949">
        <v>1.2940466403961401E-3</v>
      </c>
      <c r="T949">
        <v>0.04</v>
      </c>
    </row>
    <row r="950" spans="1:20" x14ac:dyDescent="0.3">
      <c r="A950" t="s">
        <v>78</v>
      </c>
      <c r="B950">
        <v>2009</v>
      </c>
      <c r="C950">
        <v>166336.29689999999</v>
      </c>
      <c r="D950" s="1">
        <v>2.4E-2</v>
      </c>
      <c r="E950" s="1">
        <v>0.89437228441238403</v>
      </c>
      <c r="F950" s="1">
        <v>-0.03</v>
      </c>
      <c r="G950" s="1">
        <f t="shared" si="28"/>
        <v>-1.9999999999999997E-2</v>
      </c>
      <c r="H950" s="1" t="str">
        <f t="shared" si="29"/>
        <v/>
      </c>
      <c r="I950" s="1">
        <v>8.9999999999999993E-3</v>
      </c>
      <c r="J950" s="1">
        <f>+D950-F950+I950*O950</f>
        <v>7.2720000000000007E-2</v>
      </c>
      <c r="K950" s="1">
        <v>-2.9272655025124501E-2</v>
      </c>
      <c r="L950" s="1">
        <f>+K950-J950</f>
        <v>-0.1019926550251245</v>
      </c>
      <c r="M950" s="1">
        <v>-2.5272655025124501E-2</v>
      </c>
      <c r="N950" s="1">
        <f>+M950-J950</f>
        <v>-9.7992655025124512E-2</v>
      </c>
      <c r="O950">
        <v>2.08</v>
      </c>
      <c r="P950" t="s">
        <v>17</v>
      </c>
      <c r="Q950">
        <v>0</v>
      </c>
      <c r="R950">
        <v>-8.35212849453092E-3</v>
      </c>
      <c r="S950">
        <v>1.10798026435076E-3</v>
      </c>
      <c r="T950">
        <v>-0.05</v>
      </c>
    </row>
    <row r="951" spans="1:20" x14ac:dyDescent="0.3">
      <c r="A951" t="s">
        <v>78</v>
      </c>
      <c r="B951">
        <v>2010</v>
      </c>
      <c r="C951">
        <v>168746.3125</v>
      </c>
      <c r="D951" s="1">
        <v>1E-3</v>
      </c>
      <c r="E951" s="1">
        <v>0.90394359827041604</v>
      </c>
      <c r="F951" s="1">
        <v>1.6E-2</v>
      </c>
      <c r="G951" s="1">
        <f t="shared" si="28"/>
        <v>-3.9999999999999966E-3</v>
      </c>
      <c r="H951" s="1" t="str">
        <f t="shared" si="29"/>
        <v/>
      </c>
      <c r="I951" s="1">
        <v>0.01</v>
      </c>
      <c r="J951" s="1">
        <f>+D951-F951+I951*O951</f>
        <v>6.2000000000000006E-3</v>
      </c>
      <c r="K951" s="1">
        <v>7.6478715054690803E-3</v>
      </c>
      <c r="L951" s="1">
        <f>+K951-J951</f>
        <v>1.4478715054690797E-3</v>
      </c>
      <c r="M951" s="1">
        <v>-8.35212849453092E-3</v>
      </c>
      <c r="N951" s="1">
        <f>+M951-J951</f>
        <v>-1.4552128494530921E-2</v>
      </c>
      <c r="O951">
        <v>2.12</v>
      </c>
      <c r="P951" t="s">
        <v>15</v>
      </c>
      <c r="Q951">
        <v>0</v>
      </c>
      <c r="R951">
        <v>-2.3382338106632199E-2</v>
      </c>
      <c r="S951">
        <v>-2.09856359288092E-3</v>
      </c>
      <c r="T951">
        <v>0.01</v>
      </c>
    </row>
    <row r="952" spans="1:20" x14ac:dyDescent="0.3">
      <c r="A952" t="s">
        <v>78</v>
      </c>
      <c r="B952">
        <v>2011</v>
      </c>
      <c r="C952">
        <v>169509.4063</v>
      </c>
      <c r="D952" s="1">
        <v>0</v>
      </c>
      <c r="E952" s="1">
        <v>0.90730106830596902</v>
      </c>
      <c r="F952" s="1">
        <v>4.1000000000000002E-2</v>
      </c>
      <c r="G952" s="1">
        <f t="shared" si="28"/>
        <v>3.7000000000000005E-2</v>
      </c>
      <c r="H952" s="1" t="str">
        <f t="shared" si="29"/>
        <v/>
      </c>
      <c r="I952" s="1">
        <v>3.0000000000000001E-3</v>
      </c>
      <c r="J952" s="1">
        <f>+D952-F952+I952*O952</f>
        <v>-3.44E-2</v>
      </c>
      <c r="K952" s="1">
        <v>8.6176618933677708E-3</v>
      </c>
      <c r="L952" s="1">
        <f>+K952-J952</f>
        <v>4.3017661893367767E-2</v>
      </c>
      <c r="M952" s="1">
        <v>-2.3382338106632199E-2</v>
      </c>
      <c r="N952" s="1">
        <f>+M952-J952</f>
        <v>1.1017661893367801E-2</v>
      </c>
      <c r="O952">
        <v>2.2000000000000002</v>
      </c>
      <c r="P952" t="s">
        <v>15</v>
      </c>
      <c r="Q952">
        <v>0</v>
      </c>
      <c r="R952">
        <v>-6.1372558623551997E-3</v>
      </c>
      <c r="S952">
        <v>-6.9904979318379998E-4</v>
      </c>
      <c r="T952">
        <v>0.04</v>
      </c>
    </row>
    <row r="953" spans="1:20" x14ac:dyDescent="0.3">
      <c r="A953" t="s">
        <v>78</v>
      </c>
      <c r="B953">
        <v>2012</v>
      </c>
      <c r="C953">
        <v>170308.8125</v>
      </c>
      <c r="D953" s="1">
        <v>3.4000000000000002E-2</v>
      </c>
      <c r="E953" s="1">
        <v>0.89138716459274303</v>
      </c>
      <c r="F953" s="1">
        <v>5.6000000000000001E-2</v>
      </c>
      <c r="G953" s="1">
        <f t="shared" si="28"/>
        <v>9.2999999999999999E-2</v>
      </c>
      <c r="H953" s="1" t="str">
        <f t="shared" si="29"/>
        <v/>
      </c>
      <c r="I953" s="1">
        <v>-1.6E-2</v>
      </c>
      <c r="J953" s="1">
        <f>+D953-F953+I953*O953</f>
        <v>-5.9279999999999999E-2</v>
      </c>
      <c r="K953" s="1">
        <v>1.4862744137644801E-2</v>
      </c>
      <c r="L953" s="1">
        <f>+K953-J953</f>
        <v>7.4142744137644795E-2</v>
      </c>
      <c r="M953" s="1">
        <v>-6.1372558623551997E-3</v>
      </c>
      <c r="N953" s="1">
        <f>+M953-J953</f>
        <v>5.3142744137644797E-2</v>
      </c>
      <c r="O953">
        <v>2.33</v>
      </c>
      <c r="P953" t="s">
        <v>17</v>
      </c>
      <c r="Q953">
        <v>0</v>
      </c>
      <c r="R953">
        <v>1.08714836090803E-2</v>
      </c>
      <c r="S953">
        <v>4.7447122633457002E-3</v>
      </c>
      <c r="T953">
        <v>0.05</v>
      </c>
    </row>
    <row r="954" spans="1:20" x14ac:dyDescent="0.3">
      <c r="A954" t="s">
        <v>78</v>
      </c>
      <c r="B954">
        <v>2013</v>
      </c>
      <c r="C954">
        <v>170272.5938</v>
      </c>
      <c r="D954" s="1">
        <v>0</v>
      </c>
      <c r="E954" s="1">
        <v>0.92505544424056996</v>
      </c>
      <c r="F954" s="1">
        <v>-2.1999999999999999E-2</v>
      </c>
      <c r="G954" s="1">
        <f t="shared" si="28"/>
        <v>7.1000000000000008E-2</v>
      </c>
      <c r="H954" s="1" t="str">
        <f t="shared" si="29"/>
        <v/>
      </c>
      <c r="I954" s="1">
        <v>3.4000000000000002E-2</v>
      </c>
      <c r="J954" s="1">
        <f>+D954-F954+I954*O954</f>
        <v>9.9519999999999997E-2</v>
      </c>
      <c r="K954" s="1">
        <v>2.5871483609080301E-2</v>
      </c>
      <c r="L954" s="1">
        <f>+K954-J954</f>
        <v>-7.3648516390919697E-2</v>
      </c>
      <c r="M954" s="1">
        <v>1.08714836090803E-2</v>
      </c>
      <c r="N954" s="1">
        <f>+M954-J954</f>
        <v>-8.8648516390919696E-2</v>
      </c>
      <c r="O954">
        <v>2.2799999999999998</v>
      </c>
      <c r="P954" t="s">
        <v>17</v>
      </c>
      <c r="Q954">
        <v>0</v>
      </c>
      <c r="R954">
        <v>-1.4280593892559401E-2</v>
      </c>
      <c r="S954">
        <v>-1.62886173930019E-2</v>
      </c>
      <c r="T954">
        <v>-0.03</v>
      </c>
    </row>
    <row r="955" spans="1:20" x14ac:dyDescent="0.3">
      <c r="A955" t="s">
        <v>78</v>
      </c>
      <c r="B955">
        <v>2014</v>
      </c>
      <c r="C955">
        <v>169798.79689999999</v>
      </c>
      <c r="D955" s="1">
        <v>5.0000000000000001E-3</v>
      </c>
      <c r="E955" s="1">
        <v>0.91126215457916304</v>
      </c>
      <c r="F955" s="1">
        <v>1.2999999999999999E-2</v>
      </c>
      <c r="G955" s="1">
        <f t="shared" si="28"/>
        <v>8.4000000000000005E-2</v>
      </c>
      <c r="H955" s="1" t="str">
        <f t="shared" si="29"/>
        <v/>
      </c>
      <c r="I955" s="1">
        <v>-1.4E-2</v>
      </c>
      <c r="J955" s="1">
        <f>+D955-F955+I955*O955</f>
        <v>-4.0340000000000001E-2</v>
      </c>
      <c r="K955" s="1">
        <v>1.71940610744059E-3</v>
      </c>
      <c r="L955" s="1">
        <f>+K955-J955</f>
        <v>4.2059406107440592E-2</v>
      </c>
      <c r="M955" s="1">
        <v>-1.4280593892559401E-2</v>
      </c>
      <c r="N955" s="1">
        <f>+M955-J955</f>
        <v>2.6059406107440598E-2</v>
      </c>
      <c r="O955">
        <v>2.31</v>
      </c>
      <c r="P955" t="s">
        <v>17</v>
      </c>
      <c r="Q955">
        <v>-0.02</v>
      </c>
      <c r="R955">
        <v>2.5696979999542201E-2</v>
      </c>
      <c r="S955">
        <v>-4.5664720237254897E-3</v>
      </c>
      <c r="T955">
        <v>0.01</v>
      </c>
    </row>
    <row r="956" spans="1:20" x14ac:dyDescent="0.3">
      <c r="A956" t="s">
        <v>78</v>
      </c>
      <c r="B956">
        <v>2015</v>
      </c>
      <c r="C956">
        <v>169678</v>
      </c>
      <c r="D956" s="1">
        <v>1E-3</v>
      </c>
      <c r="E956" s="1">
        <v>0.91301232576370195</v>
      </c>
      <c r="F956" s="1">
        <v>-4.0000000000000001E-3</v>
      </c>
      <c r="G956" s="1">
        <f t="shared" si="28"/>
        <v>0.08</v>
      </c>
      <c r="H956" s="1" t="str">
        <f t="shared" si="29"/>
        <v/>
      </c>
      <c r="I956" s="1">
        <v>2E-3</v>
      </c>
      <c r="J956" s="1">
        <f>+D956-F956+I956*O956</f>
        <v>9.6000000000000009E-3</v>
      </c>
      <c r="K956" s="1">
        <v>2.6696979999542202E-2</v>
      </c>
      <c r="L956" s="1">
        <f>+K956-J956</f>
        <v>1.7096979999542201E-2</v>
      </c>
      <c r="M956" s="1">
        <v>2.5696979999542201E-2</v>
      </c>
      <c r="N956" s="1">
        <f>+M956-J956</f>
        <v>1.60969799995422E-2</v>
      </c>
      <c r="O956">
        <v>2.2999999999999998</v>
      </c>
      <c r="P956" t="s">
        <v>17</v>
      </c>
      <c r="Q956">
        <v>0</v>
      </c>
      <c r="R956">
        <v>2.0446490764617901E-2</v>
      </c>
      <c r="S956">
        <v>7.2929337620735004E-3</v>
      </c>
      <c r="T956">
        <v>0.01</v>
      </c>
    </row>
    <row r="957" spans="1:20" x14ac:dyDescent="0.3">
      <c r="A957" t="s">
        <v>78</v>
      </c>
      <c r="B957">
        <v>2016</v>
      </c>
      <c r="C957">
        <v>169632.0938</v>
      </c>
      <c r="D957" s="1">
        <v>2.1999999999999999E-2</v>
      </c>
      <c r="E957" s="1">
        <v>0.92578727006912198</v>
      </c>
      <c r="F957" s="1">
        <v>-8.4000000000000005E-2</v>
      </c>
      <c r="G957" s="1">
        <f t="shared" si="28"/>
        <v>-4.0000000000000036E-3</v>
      </c>
      <c r="H957" s="1" t="str">
        <f t="shared" si="29"/>
        <v/>
      </c>
      <c r="I957" s="1">
        <v>1.2999999999999999E-2</v>
      </c>
      <c r="J957" s="1">
        <f>+D957-F957+I957*O957</f>
        <v>0.1333</v>
      </c>
      <c r="K957" s="1">
        <v>3.3446490764617899E-2</v>
      </c>
      <c r="L957" s="1">
        <f>+K957-J957</f>
        <v>-9.985350923538211E-2</v>
      </c>
      <c r="M957" s="1">
        <v>2.0446490764617901E-2</v>
      </c>
      <c r="N957" s="1">
        <f>+M957-J957</f>
        <v>-0.11285350923538209</v>
      </c>
      <c r="O957">
        <v>2.1</v>
      </c>
      <c r="P957" t="s">
        <v>17</v>
      </c>
      <c r="Q957">
        <v>0.01</v>
      </c>
      <c r="R957">
        <v>2.7895734608172902E-3</v>
      </c>
      <c r="S957">
        <v>0</v>
      </c>
      <c r="T957">
        <v>-0.08</v>
      </c>
    </row>
    <row r="958" spans="1:20" x14ac:dyDescent="0.3">
      <c r="A958" t="s">
        <v>78</v>
      </c>
      <c r="B958">
        <v>2017</v>
      </c>
      <c r="C958">
        <v>169675.20310000001</v>
      </c>
      <c r="D958" s="1">
        <v>-4.0000000000000001E-3</v>
      </c>
      <c r="E958" s="1">
        <v>0.93099647760391202</v>
      </c>
      <c r="F958" s="1">
        <v>8.1000000000000003E-2</v>
      </c>
      <c r="G958" s="1">
        <f t="shared" si="28"/>
        <v>7.6999999999999999E-2</v>
      </c>
      <c r="H958" s="1" t="str">
        <f t="shared" si="29"/>
        <v/>
      </c>
      <c r="I958" s="1">
        <v>5.0000000000000001E-3</v>
      </c>
      <c r="J958" s="1">
        <f>+D958-F958+I958*O958</f>
        <v>-7.3650000000000007E-2</v>
      </c>
      <c r="K958" s="1">
        <v>2.3789573460817299E-2</v>
      </c>
      <c r="L958" s="1">
        <f>+K958-J958</f>
        <v>9.7439573460817303E-2</v>
      </c>
      <c r="M958" s="1">
        <v>2.7895734608172902E-3</v>
      </c>
      <c r="N958" s="1">
        <f>+M958-J958</f>
        <v>7.6439573460817298E-2</v>
      </c>
      <c r="O958">
        <v>2.27</v>
      </c>
      <c r="P958" t="s">
        <v>15</v>
      </c>
      <c r="Q958" t="s">
        <v>23</v>
      </c>
      <c r="R958">
        <v>5.4768754392862003E-3</v>
      </c>
      <c r="S958">
        <v>-3.6581475287675901E-3</v>
      </c>
      <c r="T958">
        <v>0.08</v>
      </c>
    </row>
    <row r="959" spans="1:20" x14ac:dyDescent="0.3">
      <c r="A959" t="s">
        <v>78</v>
      </c>
      <c r="B959">
        <v>2018</v>
      </c>
      <c r="C959">
        <v>169594.0938</v>
      </c>
      <c r="D959" s="1">
        <v>7.0000000000000001E-3</v>
      </c>
      <c r="E959" s="1">
        <v>0.92466980218887296</v>
      </c>
      <c r="F959" s="1">
        <v>-1.2E-2</v>
      </c>
      <c r="G959" s="1">
        <f t="shared" si="28"/>
        <v>6.5000000000000002E-2</v>
      </c>
      <c r="H959" s="1" t="str">
        <f t="shared" si="29"/>
        <v/>
      </c>
      <c r="I959" s="1">
        <v>-6.0000000000000001E-3</v>
      </c>
      <c r="J959" s="1">
        <f>+D959-F959+I959*O959</f>
        <v>5.4999999999999997E-3</v>
      </c>
      <c r="K959" s="1">
        <v>2.9476875439286201E-2</v>
      </c>
      <c r="L959" s="1">
        <f>+K959-J959</f>
        <v>2.3976875439286199E-2</v>
      </c>
      <c r="M959" s="1">
        <v>5.4768754392862003E-3</v>
      </c>
      <c r="N959" s="1">
        <f>+M959-J959</f>
        <v>-2.3124560713799411E-5</v>
      </c>
      <c r="O959">
        <v>2.25</v>
      </c>
      <c r="P959" t="s">
        <v>16</v>
      </c>
      <c r="Q959">
        <v>0</v>
      </c>
      <c r="R959">
        <v>2.3045866906642901E-2</v>
      </c>
      <c r="S959">
        <v>5.2446722984313904E-3</v>
      </c>
      <c r="T959">
        <v>0</v>
      </c>
    </row>
    <row r="960" spans="1:20" x14ac:dyDescent="0.3">
      <c r="A960" t="s">
        <v>78</v>
      </c>
      <c r="B960">
        <v>2019</v>
      </c>
      <c r="C960">
        <v>169994.9063</v>
      </c>
      <c r="D960" s="1">
        <v>2.4E-2</v>
      </c>
      <c r="E960" s="1">
        <v>0.92218184471130404</v>
      </c>
      <c r="F960" s="1">
        <v>4.2000000000000003E-2</v>
      </c>
      <c r="G960" s="1">
        <f t="shared" si="28"/>
        <v>0.10700000000000001</v>
      </c>
      <c r="H960" s="1" t="str">
        <f t="shared" si="29"/>
        <v/>
      </c>
      <c r="I960" s="1">
        <v>-2E-3</v>
      </c>
      <c r="J960" s="1">
        <f>+D960-F960+I960*O960</f>
        <v>-2.2680000000000002E-2</v>
      </c>
      <c r="K960" s="1">
        <v>4.10458669066429E-2</v>
      </c>
      <c r="L960" s="1">
        <f>+K960-J960</f>
        <v>6.3725866906642906E-2</v>
      </c>
      <c r="M960" s="1">
        <v>2.3045866906642901E-2</v>
      </c>
      <c r="N960" s="1">
        <f>+M960-J960</f>
        <v>4.5725866906642904E-2</v>
      </c>
      <c r="O960">
        <v>2.34</v>
      </c>
      <c r="P960" t="s">
        <v>17</v>
      </c>
      <c r="Q960">
        <v>0.01</v>
      </c>
      <c r="R960">
        <v>2.85895300209521E-2</v>
      </c>
      <c r="S960">
        <v>9.7403395920991898E-3</v>
      </c>
      <c r="T960">
        <v>0.05</v>
      </c>
    </row>
    <row r="961" spans="1:20" x14ac:dyDescent="0.3">
      <c r="A961" t="s">
        <v>78</v>
      </c>
      <c r="B961">
        <v>2020</v>
      </c>
      <c r="C961">
        <v>174099.5</v>
      </c>
      <c r="D961" s="1">
        <v>4.0000000000000001E-3</v>
      </c>
      <c r="E961" s="1">
        <v>0.96710401773452803</v>
      </c>
      <c r="F961" s="1">
        <v>-6.9000000000000006E-2</v>
      </c>
      <c r="G961" s="1">
        <f t="shared" si="28"/>
        <v>3.8000000000000006E-2</v>
      </c>
      <c r="H961" s="1" t="str">
        <f t="shared" si="29"/>
        <v/>
      </c>
      <c r="I961" s="1">
        <v>4.4999999999999998E-2</v>
      </c>
      <c r="J961" s="1">
        <f>+D961-F961+I961*O961</f>
        <v>0.17110000000000003</v>
      </c>
      <c r="K961" s="1">
        <v>4.0589530020952197E-2</v>
      </c>
      <c r="L961" s="1">
        <f>+K961-J961</f>
        <v>-0.13051046997904783</v>
      </c>
      <c r="M961" s="1">
        <v>2.85895300209521E-2</v>
      </c>
      <c r="N961" s="1">
        <f>+M961-J961</f>
        <v>-0.14251046997904793</v>
      </c>
      <c r="O961">
        <v>2.1800000000000002</v>
      </c>
      <c r="P961" t="s">
        <v>17</v>
      </c>
      <c r="Q961">
        <v>0.01</v>
      </c>
      <c r="R961">
        <v>6.9872392594813995E-2</v>
      </c>
      <c r="S961">
        <v>2.6282779872416999E-2</v>
      </c>
      <c r="T961">
        <v>-0.03</v>
      </c>
    </row>
    <row r="962" spans="1:20" x14ac:dyDescent="0.3">
      <c r="A962" t="s">
        <v>78</v>
      </c>
      <c r="B962">
        <v>2021</v>
      </c>
      <c r="C962">
        <v>175851.70310000001</v>
      </c>
      <c r="D962" s="1">
        <v>2.1000000000000001E-2</v>
      </c>
      <c r="E962" s="1">
        <v>0.95233291387557995</v>
      </c>
      <c r="F962" s="1">
        <v>-0.17100000000000001</v>
      </c>
      <c r="G962" s="1">
        <f t="shared" si="28"/>
        <v>-0.13300000000000001</v>
      </c>
      <c r="H962" s="1">
        <f t="shared" si="29"/>
        <v>7.0817068219184903E-2</v>
      </c>
      <c r="I962" s="1">
        <v>-1.4999999999999999E-2</v>
      </c>
      <c r="J962" s="1">
        <f>+D962-F962+I962*O962</f>
        <v>0.16485</v>
      </c>
      <c r="K962" s="1">
        <v>0.116872392594814</v>
      </c>
      <c r="L962" s="1">
        <f>+K962-J962</f>
        <v>-4.7977607405186001E-2</v>
      </c>
      <c r="M962" s="1">
        <v>6.9872392594813995E-2</v>
      </c>
      <c r="N962" s="1">
        <f>+M962-J962</f>
        <v>-9.4977607405186001E-2</v>
      </c>
      <c r="O962">
        <v>1.81</v>
      </c>
      <c r="P962" t="s">
        <v>16</v>
      </c>
      <c r="Q962">
        <v>0.03</v>
      </c>
      <c r="R962">
        <v>-9.1829317808150897E-3</v>
      </c>
      <c r="S962">
        <v>2.2920574992895199E-2</v>
      </c>
      <c r="T962">
        <v>-0.2</v>
      </c>
    </row>
    <row r="963" spans="1:20" x14ac:dyDescent="0.3">
      <c r="A963" t="s">
        <v>78</v>
      </c>
      <c r="B963">
        <v>2022</v>
      </c>
      <c r="C963">
        <v>177524.4063</v>
      </c>
      <c r="D963" s="1">
        <v>2.3E-2</v>
      </c>
      <c r="E963" s="1">
        <v>0.91577112674713101</v>
      </c>
      <c r="F963" s="1">
        <v>0.10299999999999999</v>
      </c>
      <c r="G963" s="1">
        <f t="shared" si="28"/>
        <v>-3.0000000000000013E-2</v>
      </c>
      <c r="H963" s="1" t="str">
        <f t="shared" si="29"/>
        <v/>
      </c>
      <c r="I963" s="1">
        <v>-3.6999999999999998E-2</v>
      </c>
      <c r="J963" s="1">
        <f>+D963-F963+I963*O963</f>
        <v>-0.15399999999999997</v>
      </c>
      <c r="K963" s="1">
        <v>7.0817068219184903E-2</v>
      </c>
      <c r="L963" s="1">
        <f>+K963-J963</f>
        <v>0.22481706821918487</v>
      </c>
      <c r="M963" s="1">
        <v>-9.1829317808150897E-3</v>
      </c>
      <c r="N963" s="1">
        <f>+M963-J963</f>
        <v>0.14481706821918489</v>
      </c>
      <c r="O963">
        <v>2</v>
      </c>
      <c r="P963" t="s">
        <v>17</v>
      </c>
      <c r="Q963">
        <v>0.02</v>
      </c>
      <c r="R963">
        <v>-2.4775442466139799E-2</v>
      </c>
      <c r="S963">
        <v>-5.2165146917104999E-3</v>
      </c>
      <c r="T963">
        <v>0.12</v>
      </c>
    </row>
    <row r="964" spans="1:20" x14ac:dyDescent="0.3">
      <c r="A964" t="s">
        <v>79</v>
      </c>
      <c r="B964">
        <v>2006</v>
      </c>
      <c r="C964">
        <v>781451.5</v>
      </c>
      <c r="D964" s="1">
        <v>1E-3</v>
      </c>
      <c r="E964" s="1">
        <v>0.91865539550781306</v>
      </c>
      <c r="F964" s="1">
        <v>-2.4E-2</v>
      </c>
      <c r="G964" s="1">
        <f t="shared" si="28"/>
        <v>-2.4E-2</v>
      </c>
      <c r="H964" s="1" t="str">
        <f t="shared" si="29"/>
        <v/>
      </c>
      <c r="I964" s="1">
        <v>1E-3</v>
      </c>
      <c r="J964" s="1">
        <f>+D964-F964+I964*O964</f>
        <v>2.724E-2</v>
      </c>
      <c r="K964" s="1">
        <v>6.2688380479812594E-2</v>
      </c>
      <c r="L964" s="1">
        <f>+K964-J964</f>
        <v>3.5448380479812594E-2</v>
      </c>
      <c r="M964" s="1">
        <v>3.06883804798125E-2</v>
      </c>
      <c r="N964" s="1">
        <f>+M964-J964</f>
        <v>3.4483804798124996E-3</v>
      </c>
      <c r="O964">
        <v>2.2400000000000002</v>
      </c>
      <c r="P964" t="s">
        <v>17</v>
      </c>
      <c r="Q964">
        <v>0.02</v>
      </c>
      <c r="R964">
        <v>-2.7164769321680001E-3</v>
      </c>
      <c r="S964">
        <v>-1.7947209998965001E-3</v>
      </c>
      <c r="T964">
        <v>-0.03</v>
      </c>
    </row>
    <row r="965" spans="1:20" x14ac:dyDescent="0.3">
      <c r="A965" t="s">
        <v>79</v>
      </c>
      <c r="B965">
        <v>2007</v>
      </c>
      <c r="C965">
        <v>797311</v>
      </c>
      <c r="D965" s="1">
        <v>2.5999999999999999E-2</v>
      </c>
      <c r="E965" s="1">
        <v>0.90733355283737205</v>
      </c>
      <c r="F965" s="1">
        <v>1.0999999999999999E-2</v>
      </c>
      <c r="G965" s="1">
        <f t="shared" si="28"/>
        <v>-1.3000000000000001E-2</v>
      </c>
      <c r="H965" s="1" t="str">
        <f t="shared" si="29"/>
        <v/>
      </c>
      <c r="I965" s="1">
        <v>-1.0999999999999999E-2</v>
      </c>
      <c r="J965" s="1">
        <f>+D965-F965+I965*O965</f>
        <v>-9.8599999999999972E-3</v>
      </c>
      <c r="K965" s="1">
        <v>2.6283523067832E-2</v>
      </c>
      <c r="L965" s="1">
        <f>+K965-J965</f>
        <v>3.6143523067832001E-2</v>
      </c>
      <c r="M965" s="1">
        <v>-2.7164769321680001E-3</v>
      </c>
      <c r="N965" s="1">
        <f>+M965-J965</f>
        <v>7.1435230678319975E-3</v>
      </c>
      <c r="O965">
        <v>2.2599999999999998</v>
      </c>
      <c r="P965" t="s">
        <v>17</v>
      </c>
      <c r="Q965">
        <v>0</v>
      </c>
      <c r="R965">
        <v>-5.6215628340840297E-2</v>
      </c>
      <c r="S965">
        <v>-2.6704824063926901E-2</v>
      </c>
      <c r="T965">
        <v>0.01</v>
      </c>
    </row>
    <row r="966" spans="1:20" x14ac:dyDescent="0.3">
      <c r="A966" t="s">
        <v>79</v>
      </c>
      <c r="B966">
        <v>2008</v>
      </c>
      <c r="C966">
        <v>811428</v>
      </c>
      <c r="D966" s="1">
        <v>4.2999999999999997E-2</v>
      </c>
      <c r="E966" s="1">
        <v>0.89865237474441495</v>
      </c>
      <c r="F966" s="1">
        <v>-4.3999999999999997E-2</v>
      </c>
      <c r="G966" s="1">
        <f t="shared" si="28"/>
        <v>-5.6999999999999995E-2</v>
      </c>
      <c r="H966" s="1" t="str">
        <f t="shared" si="29"/>
        <v/>
      </c>
      <c r="I966" s="1">
        <v>-8.9999999999999993E-3</v>
      </c>
      <c r="J966" s="1">
        <f>+D966-F966+I966*O966</f>
        <v>6.7559999999999995E-2</v>
      </c>
      <c r="K966" s="1">
        <v>-1.8215628340840301E-2</v>
      </c>
      <c r="L966" s="1">
        <f>+K966-J966</f>
        <v>-8.5775628340840293E-2</v>
      </c>
      <c r="M966" s="1">
        <v>-5.6215628340840297E-2</v>
      </c>
      <c r="N966" s="1">
        <f>+M966-J966</f>
        <v>-0.1237756283408403</v>
      </c>
      <c r="O966">
        <v>2.16</v>
      </c>
      <c r="P966" t="s">
        <v>16</v>
      </c>
      <c r="Q966">
        <v>-0.03</v>
      </c>
      <c r="R966">
        <v>-2.4574828058481199E-2</v>
      </c>
      <c r="S966">
        <v>1.9918736070394499E-3</v>
      </c>
      <c r="T966">
        <v>-0.05</v>
      </c>
    </row>
    <row r="967" spans="1:20" x14ac:dyDescent="0.3">
      <c r="A967" t="s">
        <v>79</v>
      </c>
      <c r="B967">
        <v>2009</v>
      </c>
      <c r="C967">
        <v>820912</v>
      </c>
      <c r="D967" s="1">
        <v>1.7999999999999999E-2</v>
      </c>
      <c r="E967" s="1">
        <v>0.90880531072616599</v>
      </c>
      <c r="F967" s="1">
        <v>8.4000000000000005E-2</v>
      </c>
      <c r="G967" s="1">
        <f t="shared" ref="G967:G1030" si="30">SUMIFS(F:F,A:A,A967,B:B,"&lt;="&amp;B967)</f>
        <v>2.700000000000001E-2</v>
      </c>
      <c r="H967" s="1" t="str">
        <f t="shared" ref="H967:H1030" si="31">IFERROR(IF(ABS(G967)&gt;0.12,AVERAGEIFS(K:K,A:A,A967,B:B,"&gt;"&amp;B967,B:B,"&lt;"&amp;B967+3),""),"")</f>
        <v/>
      </c>
      <c r="I967" s="1">
        <v>0.01</v>
      </c>
      <c r="J967" s="1">
        <f>+D967-F967+I967*O967</f>
        <v>-4.2500000000000003E-2</v>
      </c>
      <c r="K967" s="1">
        <v>-2.8574828058481199E-2</v>
      </c>
      <c r="L967" s="1">
        <f>+K967-J967</f>
        <v>1.3925171941518804E-2</v>
      </c>
      <c r="M967" s="1">
        <v>-2.4574828058481199E-2</v>
      </c>
      <c r="N967" s="1">
        <f>+M967-J967</f>
        <v>1.7925171941518804E-2</v>
      </c>
      <c r="O967">
        <v>2.35</v>
      </c>
      <c r="P967" t="s">
        <v>15</v>
      </c>
      <c r="Q967">
        <v>0</v>
      </c>
      <c r="R967">
        <v>-6.3727555647492299E-3</v>
      </c>
      <c r="S967">
        <v>3.0873531941324399E-3</v>
      </c>
      <c r="T967">
        <v>7.0000000000000007E-2</v>
      </c>
    </row>
    <row r="968" spans="1:20" x14ac:dyDescent="0.3">
      <c r="A968" t="s">
        <v>79</v>
      </c>
      <c r="B968">
        <v>2010</v>
      </c>
      <c r="C968">
        <v>827509.5</v>
      </c>
      <c r="D968" s="1">
        <v>1.0999999999999999E-2</v>
      </c>
      <c r="E968" s="1">
        <v>0.92006933689117398</v>
      </c>
      <c r="F968" s="1">
        <v>-0.03</v>
      </c>
      <c r="G968" s="1">
        <f t="shared" si="30"/>
        <v>-2.9999999999999888E-3</v>
      </c>
      <c r="H968" s="1" t="str">
        <f t="shared" si="31"/>
        <v/>
      </c>
      <c r="I968" s="1">
        <v>1.0999999999999999E-2</v>
      </c>
      <c r="J968" s="1">
        <f>+D968-F968+I968*O968</f>
        <v>6.608E-2</v>
      </c>
      <c r="K968" s="1">
        <v>9.6272444352507609E-3</v>
      </c>
      <c r="L968" s="1">
        <f>+K968-J968</f>
        <v>-5.6452755564749241E-2</v>
      </c>
      <c r="M968" s="1">
        <v>-6.3727555647492299E-3</v>
      </c>
      <c r="N968" s="1">
        <f>+M968-J968</f>
        <v>-7.2452755564749227E-2</v>
      </c>
      <c r="O968">
        <v>2.2799999999999998</v>
      </c>
      <c r="P968" t="s">
        <v>17</v>
      </c>
      <c r="Q968">
        <v>0</v>
      </c>
      <c r="R968">
        <v>-1.7682353377342201E-2</v>
      </c>
      <c r="S968">
        <v>3.6014211364090898E-3</v>
      </c>
      <c r="T968">
        <v>-0.04</v>
      </c>
    </row>
    <row r="969" spans="1:20" x14ac:dyDescent="0.3">
      <c r="A969" t="s">
        <v>79</v>
      </c>
      <c r="B969">
        <v>2011</v>
      </c>
      <c r="C969">
        <v>834932.625</v>
      </c>
      <c r="D969" s="1">
        <v>0</v>
      </c>
      <c r="E969" s="1">
        <v>0.92460429668426503</v>
      </c>
      <c r="F969" s="1">
        <v>3.4000000000000002E-2</v>
      </c>
      <c r="G969" s="1">
        <f t="shared" si="30"/>
        <v>3.1000000000000014E-2</v>
      </c>
      <c r="H969" s="1" t="str">
        <f t="shared" si="31"/>
        <v/>
      </c>
      <c r="I969" s="1">
        <v>5.0000000000000001E-3</v>
      </c>
      <c r="J969" s="1">
        <f>+D969-F969+I969*O969</f>
        <v>-2.2250000000000002E-2</v>
      </c>
      <c r="K969" s="1">
        <v>1.43176466226578E-2</v>
      </c>
      <c r="L969" s="1">
        <f>+K969-J969</f>
        <v>3.6567646622657803E-2</v>
      </c>
      <c r="M969" s="1">
        <v>-1.7682353377342201E-2</v>
      </c>
      <c r="N969" s="1">
        <f>+M969-J969</f>
        <v>4.5676466226578019E-3</v>
      </c>
      <c r="O969">
        <v>2.35</v>
      </c>
      <c r="P969" t="s">
        <v>15</v>
      </c>
      <c r="Q969">
        <v>0</v>
      </c>
      <c r="R969">
        <v>5.5422314405440898E-3</v>
      </c>
      <c r="S969">
        <v>1.09804375097155E-2</v>
      </c>
      <c r="T969">
        <v>0.03</v>
      </c>
    </row>
    <row r="970" spans="1:20" x14ac:dyDescent="0.3">
      <c r="A970" t="s">
        <v>79</v>
      </c>
      <c r="B970">
        <v>2012</v>
      </c>
      <c r="C970">
        <v>842572.8125</v>
      </c>
      <c r="D970" s="1">
        <v>7.0000000000000001E-3</v>
      </c>
      <c r="E970" s="1">
        <v>0.93204718828201305</v>
      </c>
      <c r="F970" s="1">
        <v>-4.9000000000000002E-2</v>
      </c>
      <c r="G970" s="1">
        <f t="shared" si="30"/>
        <v>-1.7999999999999988E-2</v>
      </c>
      <c r="H970" s="1" t="str">
        <f t="shared" si="31"/>
        <v/>
      </c>
      <c r="I970" s="1">
        <v>7.0000000000000001E-3</v>
      </c>
      <c r="J970" s="1">
        <f>+D970-F970+I970*O970</f>
        <v>7.1680000000000008E-2</v>
      </c>
      <c r="K970" s="1">
        <v>2.6542231440544101E-2</v>
      </c>
      <c r="L970" s="1">
        <f>+K970-J970</f>
        <v>-4.5137768559455907E-2</v>
      </c>
      <c r="M970" s="1">
        <v>5.5422314405440898E-3</v>
      </c>
      <c r="N970" s="1">
        <f>+M970-J970</f>
        <v>-6.6137768559455912E-2</v>
      </c>
      <c r="O970">
        <v>2.2400000000000002</v>
      </c>
      <c r="P970" t="s">
        <v>17</v>
      </c>
      <c r="Q970">
        <v>0.01</v>
      </c>
      <c r="R970">
        <v>1.36791175603867E-2</v>
      </c>
      <c r="S970">
        <v>7.5523462146520996E-3</v>
      </c>
      <c r="T970">
        <v>-0.05</v>
      </c>
    </row>
    <row r="971" spans="1:20" x14ac:dyDescent="0.3">
      <c r="A971" t="s">
        <v>79</v>
      </c>
      <c r="B971">
        <v>2013</v>
      </c>
      <c r="C971">
        <v>850969.1875</v>
      </c>
      <c r="D971" s="1">
        <v>4.8000000000000001E-2</v>
      </c>
      <c r="E971" s="1">
        <v>0.93051952123642001</v>
      </c>
      <c r="F971" s="1">
        <v>3.2000000000000001E-2</v>
      </c>
      <c r="G971" s="1">
        <f t="shared" si="30"/>
        <v>1.4000000000000012E-2</v>
      </c>
      <c r="H971" s="1" t="str">
        <f t="shared" si="31"/>
        <v/>
      </c>
      <c r="I971" s="1">
        <v>-2E-3</v>
      </c>
      <c r="J971" s="1">
        <f>+D971-F971+I971*O971</f>
        <v>1.1380000000000001E-2</v>
      </c>
      <c r="K971" s="1">
        <v>2.8679117560386699E-2</v>
      </c>
      <c r="L971" s="1">
        <f>+K971-J971</f>
        <v>1.7299117560386698E-2</v>
      </c>
      <c r="M971" s="1">
        <v>1.36791175603867E-2</v>
      </c>
      <c r="N971" s="1">
        <f>+M971-J971</f>
        <v>2.2991175603866987E-3</v>
      </c>
      <c r="O971">
        <v>2.31</v>
      </c>
      <c r="P971" t="s">
        <v>17</v>
      </c>
      <c r="Q971">
        <v>0.01</v>
      </c>
      <c r="R971">
        <v>2.4461882948875399E-2</v>
      </c>
      <c r="S971">
        <v>2.2453859448432801E-2</v>
      </c>
      <c r="T971">
        <v>0.02</v>
      </c>
    </row>
    <row r="972" spans="1:20" x14ac:dyDescent="0.3">
      <c r="A972" t="s">
        <v>79</v>
      </c>
      <c r="B972">
        <v>2014</v>
      </c>
      <c r="C972">
        <v>862922.8125</v>
      </c>
      <c r="D972" s="1">
        <v>7.0000000000000001E-3</v>
      </c>
      <c r="E972" s="1">
        <v>0.93446242809295699</v>
      </c>
      <c r="F972" s="1">
        <v>2.3E-2</v>
      </c>
      <c r="G972" s="1">
        <f t="shared" si="30"/>
        <v>3.7000000000000012E-2</v>
      </c>
      <c r="H972" s="1" t="str">
        <f t="shared" si="31"/>
        <v/>
      </c>
      <c r="I972" s="1">
        <v>4.0000000000000001E-3</v>
      </c>
      <c r="J972" s="1">
        <f>+D972-F972+I972*O972</f>
        <v>-6.5599999999999999E-3</v>
      </c>
      <c r="K972" s="1">
        <v>4.0461882948875399E-2</v>
      </c>
      <c r="L972" s="1">
        <f>+K972-J972</f>
        <v>4.7021882948875396E-2</v>
      </c>
      <c r="M972" s="1">
        <v>2.4461882948875399E-2</v>
      </c>
      <c r="N972" s="1">
        <f>+M972-J972</f>
        <v>3.1021882948875399E-2</v>
      </c>
      <c r="O972">
        <v>2.36</v>
      </c>
      <c r="P972" t="s">
        <v>15</v>
      </c>
      <c r="Q972">
        <v>0.02</v>
      </c>
      <c r="R972">
        <v>3.36273444592953E-2</v>
      </c>
      <c r="S972">
        <v>3.3638924360276001E-3</v>
      </c>
      <c r="T972">
        <v>0.02</v>
      </c>
    </row>
    <row r="973" spans="1:20" x14ac:dyDescent="0.3">
      <c r="A973" t="s">
        <v>79</v>
      </c>
      <c r="B973">
        <v>2015</v>
      </c>
      <c r="C973">
        <v>874923</v>
      </c>
      <c r="D973" s="1">
        <v>4.2000000000000003E-2</v>
      </c>
      <c r="E973" s="1">
        <v>0.93327111005783103</v>
      </c>
      <c r="F973" s="1">
        <v>-3.9E-2</v>
      </c>
      <c r="G973" s="1">
        <f t="shared" si="30"/>
        <v>-1.9999999999999879E-3</v>
      </c>
      <c r="H973" s="1" t="str">
        <f t="shared" si="31"/>
        <v/>
      </c>
      <c r="I973" s="1">
        <v>-1E-3</v>
      </c>
      <c r="J973" s="1">
        <f>+D973-F973+I973*O973</f>
        <v>7.8730000000000008E-2</v>
      </c>
      <c r="K973" s="1">
        <v>3.4627344459295301E-2</v>
      </c>
      <c r="L973" s="1">
        <f>+K973-J973</f>
        <v>-4.4102655540704708E-2</v>
      </c>
      <c r="M973" s="1">
        <v>3.36273444592953E-2</v>
      </c>
      <c r="N973" s="1">
        <f>+M973-J973</f>
        <v>-4.5102655540704709E-2</v>
      </c>
      <c r="O973">
        <v>2.27</v>
      </c>
      <c r="P973" t="s">
        <v>16</v>
      </c>
      <c r="Q973">
        <v>0</v>
      </c>
      <c r="R973">
        <v>1.2749790102243E-3</v>
      </c>
      <c r="S973">
        <v>-1.187857799232E-2</v>
      </c>
      <c r="T973">
        <v>-0.03</v>
      </c>
    </row>
    <row r="974" spans="1:20" x14ac:dyDescent="0.3">
      <c r="A974" t="s">
        <v>79</v>
      </c>
      <c r="B974">
        <v>2016</v>
      </c>
      <c r="C974">
        <v>886519.5625</v>
      </c>
      <c r="D974" s="1">
        <v>5.1999999999999998E-2</v>
      </c>
      <c r="E974" s="1">
        <v>0.92149192094802901</v>
      </c>
      <c r="F974" s="1">
        <v>1.7999999999999999E-2</v>
      </c>
      <c r="G974" s="1">
        <f t="shared" si="30"/>
        <v>1.6000000000000011E-2</v>
      </c>
      <c r="H974" s="1" t="str">
        <f t="shared" si="31"/>
        <v/>
      </c>
      <c r="I974" s="1">
        <v>-1.2E-2</v>
      </c>
      <c r="J974" s="1">
        <f>+D974-F974+I974*O974</f>
        <v>6.2800000000000009E-3</v>
      </c>
      <c r="K974" s="1">
        <v>1.4274979010224301E-2</v>
      </c>
      <c r="L974" s="1">
        <f>+K974-J974</f>
        <v>7.9949790102242999E-3</v>
      </c>
      <c r="M974" s="1">
        <v>1.2749790102243E-3</v>
      </c>
      <c r="N974" s="1">
        <f>+M974-J974</f>
        <v>-5.0050209897757013E-3</v>
      </c>
      <c r="O974">
        <v>2.31</v>
      </c>
      <c r="P974" t="s">
        <v>17</v>
      </c>
      <c r="Q974">
        <v>-0.01</v>
      </c>
      <c r="R974">
        <v>-1.4333862163126401E-2</v>
      </c>
      <c r="S974">
        <v>-1.7123435623943702E-2</v>
      </c>
      <c r="T974">
        <v>0.02</v>
      </c>
    </row>
    <row r="975" spans="1:20" x14ac:dyDescent="0.3">
      <c r="A975" t="s">
        <v>79</v>
      </c>
      <c r="B975">
        <v>2017</v>
      </c>
      <c r="C975">
        <v>897496.25</v>
      </c>
      <c r="D975" s="1">
        <v>6.5000000000000002E-2</v>
      </c>
      <c r="E975" s="1">
        <v>0.90104013681411699</v>
      </c>
      <c r="F975" s="1">
        <v>-6.0000000000000001E-3</v>
      </c>
      <c r="G975" s="1">
        <f t="shared" si="30"/>
        <v>1.0000000000000011E-2</v>
      </c>
      <c r="H975" s="1" t="str">
        <f t="shared" si="31"/>
        <v/>
      </c>
      <c r="I975" s="1">
        <v>-0.02</v>
      </c>
      <c r="J975" s="1">
        <f>+D975-F975+I975*O975</f>
        <v>2.5000000000000008E-2</v>
      </c>
      <c r="K975" s="1">
        <v>6.6661378368735296E-3</v>
      </c>
      <c r="L975" s="1">
        <f>+K975-J975</f>
        <v>-1.8333862163126477E-2</v>
      </c>
      <c r="M975" s="1">
        <v>-1.4333862163126401E-2</v>
      </c>
      <c r="N975" s="1">
        <f>+M975-J975</f>
        <v>-3.9333862163126412E-2</v>
      </c>
      <c r="O975">
        <v>2.2999999999999998</v>
      </c>
      <c r="P975" t="s">
        <v>16</v>
      </c>
      <c r="Q975">
        <v>-0.02</v>
      </c>
      <c r="R975">
        <v>1.67743901014328E-2</v>
      </c>
      <c r="S975">
        <v>7.6393671333789999E-3</v>
      </c>
      <c r="T975">
        <v>0</v>
      </c>
    </row>
    <row r="976" spans="1:20" x14ac:dyDescent="0.3">
      <c r="A976" t="s">
        <v>79</v>
      </c>
      <c r="B976">
        <v>2018</v>
      </c>
      <c r="C976">
        <v>909420.5</v>
      </c>
      <c r="D976" s="1">
        <v>0.03</v>
      </c>
      <c r="E976" s="1">
        <v>0.91878557205200195</v>
      </c>
      <c r="F976" s="1">
        <v>-0.04</v>
      </c>
      <c r="G976" s="1">
        <f t="shared" si="30"/>
        <v>-2.9999999999999992E-2</v>
      </c>
      <c r="H976" s="1" t="str">
        <f t="shared" si="31"/>
        <v/>
      </c>
      <c r="I976" s="1">
        <v>1.7999999999999999E-2</v>
      </c>
      <c r="J976" s="1">
        <f>+D976-F976+I976*O976</f>
        <v>0.1096</v>
      </c>
      <c r="K976" s="1">
        <v>4.07743901014328E-2</v>
      </c>
      <c r="L976" s="1">
        <f>+K976-J976</f>
        <v>-6.8825609898567203E-2</v>
      </c>
      <c r="M976" s="1">
        <v>1.67743901014328E-2</v>
      </c>
      <c r="N976" s="1">
        <f>+M976-J976</f>
        <v>-9.2825609898567196E-2</v>
      </c>
      <c r="O976">
        <v>2.2000000000000002</v>
      </c>
      <c r="P976" t="s">
        <v>17</v>
      </c>
      <c r="Q976">
        <v>0.01</v>
      </c>
      <c r="R976">
        <v>1.6875642508268399E-2</v>
      </c>
      <c r="S976">
        <v>-9.2555209994310496E-4</v>
      </c>
      <c r="T976">
        <v>-0.03</v>
      </c>
    </row>
    <row r="977" spans="1:20" x14ac:dyDescent="0.3">
      <c r="A977" t="s">
        <v>79</v>
      </c>
      <c r="B977">
        <v>2019</v>
      </c>
      <c r="C977">
        <v>922441.75</v>
      </c>
      <c r="D977" s="1">
        <v>4.7E-2</v>
      </c>
      <c r="E977" s="1">
        <v>0.90973860025405895</v>
      </c>
      <c r="F977" s="1">
        <v>-1.0999999999999999E-2</v>
      </c>
      <c r="G977" s="1">
        <f t="shared" si="30"/>
        <v>-4.0999999999999995E-2</v>
      </c>
      <c r="H977" s="1" t="str">
        <f t="shared" si="31"/>
        <v/>
      </c>
      <c r="I977" s="1">
        <v>-8.9999999999999993E-3</v>
      </c>
      <c r="J977" s="1">
        <f>+D977-F977+I977*O977</f>
        <v>3.8379999999999997E-2</v>
      </c>
      <c r="K977" s="1">
        <v>3.4875642508268398E-2</v>
      </c>
      <c r="L977" s="1">
        <f>+K977-J977</f>
        <v>-3.5043574917315995E-3</v>
      </c>
      <c r="M977" s="1">
        <v>1.6875642508268399E-2</v>
      </c>
      <c r="N977" s="1">
        <f>+M977-J977</f>
        <v>-2.1504357491731598E-2</v>
      </c>
      <c r="O977">
        <v>2.1800000000000002</v>
      </c>
      <c r="P977" t="s">
        <v>16</v>
      </c>
      <c r="Q977">
        <v>0</v>
      </c>
      <c r="R977">
        <v>1.7102208092808699E-2</v>
      </c>
      <c r="S977">
        <v>-1.7469823360443E-3</v>
      </c>
      <c r="T977">
        <v>0</v>
      </c>
    </row>
    <row r="978" spans="1:20" x14ac:dyDescent="0.3">
      <c r="A978" t="s">
        <v>79</v>
      </c>
      <c r="B978">
        <v>2020</v>
      </c>
      <c r="C978">
        <v>933451.875</v>
      </c>
      <c r="D978" s="1">
        <v>3.6999999999999998E-2</v>
      </c>
      <c r="E978" s="1">
        <v>0.923705995082855</v>
      </c>
      <c r="F978" s="1">
        <v>-0.09</v>
      </c>
      <c r="G978" s="1">
        <f t="shared" si="30"/>
        <v>-0.13100000000000001</v>
      </c>
      <c r="H978" s="1">
        <f t="shared" si="31"/>
        <v>9.11247134208681E-2</v>
      </c>
      <c r="I978" s="1">
        <v>1.4E-2</v>
      </c>
      <c r="J978" s="1">
        <f>+D978-F978+I978*O978</f>
        <v>0.15472</v>
      </c>
      <c r="K978" s="1">
        <v>2.9102208092808699E-2</v>
      </c>
      <c r="L978" s="1">
        <f>+K978-J978</f>
        <v>-0.1256177919071913</v>
      </c>
      <c r="M978" s="1">
        <v>1.7102208092808699E-2</v>
      </c>
      <c r="N978" s="1">
        <f>+M978-J978</f>
        <v>-0.13761779190719131</v>
      </c>
      <c r="O978">
        <v>1.98</v>
      </c>
      <c r="P978" t="s">
        <v>17</v>
      </c>
      <c r="Q978">
        <v>0</v>
      </c>
      <c r="R978">
        <v>6.8390278398991006E-2</v>
      </c>
      <c r="S978">
        <v>2.48006656765941E-2</v>
      </c>
      <c r="T978">
        <v>-0.05</v>
      </c>
    </row>
    <row r="979" spans="1:20" x14ac:dyDescent="0.3">
      <c r="A979" t="s">
        <v>79</v>
      </c>
      <c r="B979">
        <v>2021</v>
      </c>
      <c r="C979">
        <v>946247.375</v>
      </c>
      <c r="D979" s="1">
        <v>5.7000000000000002E-2</v>
      </c>
      <c r="E979" s="1">
        <v>0.92952287197113004</v>
      </c>
      <c r="F979" s="1">
        <v>0.108</v>
      </c>
      <c r="G979" s="1">
        <f t="shared" si="30"/>
        <v>-2.3000000000000007E-2</v>
      </c>
      <c r="H979" s="1" t="str">
        <f t="shared" si="31"/>
        <v/>
      </c>
      <c r="I979" s="1">
        <v>6.0000000000000001E-3</v>
      </c>
      <c r="J979" s="1">
        <f>+D979-F979+I979*O979</f>
        <v>-3.7799999999999993E-2</v>
      </c>
      <c r="K979" s="1">
        <v>0.11539027839899101</v>
      </c>
      <c r="L979" s="1">
        <f>+K979-J979</f>
        <v>0.15319027839899099</v>
      </c>
      <c r="M979" s="1">
        <v>6.8390278398991006E-2</v>
      </c>
      <c r="N979" s="1">
        <f>+M979-J979</f>
        <v>0.10619027839899101</v>
      </c>
      <c r="O979">
        <v>2.2000000000000002</v>
      </c>
      <c r="P979" t="s">
        <v>15</v>
      </c>
      <c r="Q979">
        <v>0.02</v>
      </c>
      <c r="R979">
        <v>-1.31408515572548E-2</v>
      </c>
      <c r="S979">
        <v>1.8962655216455401E-2</v>
      </c>
      <c r="T979">
        <v>0.08</v>
      </c>
    </row>
    <row r="980" spans="1:20" x14ac:dyDescent="0.3">
      <c r="A980" t="s">
        <v>79</v>
      </c>
      <c r="B980">
        <v>2022</v>
      </c>
      <c r="C980">
        <v>965499.8125</v>
      </c>
      <c r="D980" s="1">
        <v>2.5999999999999999E-2</v>
      </c>
      <c r="E980" s="1">
        <v>0.91046351194381703</v>
      </c>
      <c r="F980" s="1">
        <v>3.2000000000000001E-2</v>
      </c>
      <c r="G980" s="1">
        <f t="shared" si="30"/>
        <v>8.9999999999999941E-3</v>
      </c>
      <c r="H980" s="1" t="str">
        <f t="shared" si="31"/>
        <v/>
      </c>
      <c r="I980" s="1">
        <v>-1.9E-2</v>
      </c>
      <c r="J980" s="1">
        <f>+D980-F980+I980*O980</f>
        <v>-4.9130000000000007E-2</v>
      </c>
      <c r="K980" s="1">
        <v>6.6859148442745195E-2</v>
      </c>
      <c r="L980" s="1">
        <f>+K980-J980</f>
        <v>0.1159891484427452</v>
      </c>
      <c r="M980" s="1">
        <v>-1.31408515572548E-2</v>
      </c>
      <c r="N980" s="1">
        <f>+M980-J980</f>
        <v>3.5989148442745207E-2</v>
      </c>
      <c r="O980">
        <v>2.27</v>
      </c>
      <c r="P980" t="s">
        <v>17</v>
      </c>
      <c r="Q980">
        <v>0.02</v>
      </c>
      <c r="R980">
        <v>-4.3850429853424397E-2</v>
      </c>
      <c r="S980">
        <v>-2.4291502078995102E-2</v>
      </c>
      <c r="T980">
        <v>0.05</v>
      </c>
    </row>
    <row r="981" spans="1:20" x14ac:dyDescent="0.3">
      <c r="A981" t="s">
        <v>80</v>
      </c>
      <c r="B981">
        <v>2006</v>
      </c>
      <c r="C981">
        <v>349617.3125</v>
      </c>
      <c r="D981" s="1">
        <v>2.9000000000000001E-2</v>
      </c>
      <c r="E981" s="1">
        <v>0.89985626935958896</v>
      </c>
      <c r="F981" s="1">
        <v>2.4E-2</v>
      </c>
      <c r="G981" s="1">
        <f t="shared" si="30"/>
        <v>2.4E-2</v>
      </c>
      <c r="H981" s="1" t="str">
        <f t="shared" si="31"/>
        <v/>
      </c>
      <c r="I981" s="1">
        <v>-1.0999999999999999E-2</v>
      </c>
      <c r="J981" s="1">
        <f>+D981-F981+I981*O981</f>
        <v>-2.2279999999999998E-2</v>
      </c>
      <c r="K981" s="1">
        <v>6.2460027635097497E-2</v>
      </c>
      <c r="L981" s="1">
        <f>+K981-J981</f>
        <v>8.4740027635097498E-2</v>
      </c>
      <c r="M981" s="1">
        <v>3.0460027635097399E-2</v>
      </c>
      <c r="N981" s="1">
        <f>+M981-J981</f>
        <v>5.27400276350974E-2</v>
      </c>
      <c r="O981">
        <v>2.48</v>
      </c>
      <c r="P981" t="s">
        <v>17</v>
      </c>
      <c r="Q981">
        <v>0.02</v>
      </c>
      <c r="R981">
        <v>-1.9720633476972998E-3</v>
      </c>
      <c r="S981">
        <v>-1.0503074154258E-3</v>
      </c>
      <c r="T981">
        <v>0.02</v>
      </c>
    </row>
    <row r="982" spans="1:20" x14ac:dyDescent="0.3">
      <c r="A982" t="s">
        <v>80</v>
      </c>
      <c r="B982">
        <v>2007</v>
      </c>
      <c r="C982">
        <v>358411.90629999997</v>
      </c>
      <c r="D982" s="1">
        <v>0.03</v>
      </c>
      <c r="E982" s="1">
        <v>0.88128936290741</v>
      </c>
      <c r="F982" s="1">
        <v>-0.04</v>
      </c>
      <c r="G982" s="1">
        <f t="shared" si="30"/>
        <v>-1.6E-2</v>
      </c>
      <c r="H982" s="1" t="str">
        <f t="shared" si="31"/>
        <v/>
      </c>
      <c r="I982" s="1">
        <v>-1.9E-2</v>
      </c>
      <c r="J982" s="1">
        <f>+D982-F982+I982*O982</f>
        <v>2.478000000000001E-2</v>
      </c>
      <c r="K982" s="1">
        <v>2.70279366523027E-2</v>
      </c>
      <c r="L982" s="1">
        <f>+K982-J982</f>
        <v>2.24793665230269E-3</v>
      </c>
      <c r="M982" s="1">
        <v>-1.9720633476972998E-3</v>
      </c>
      <c r="N982" s="1">
        <f>+M982-J982</f>
        <v>-2.6752063347697311E-2</v>
      </c>
      <c r="O982">
        <v>2.38</v>
      </c>
      <c r="P982" t="s">
        <v>16</v>
      </c>
      <c r="Q982">
        <v>0</v>
      </c>
      <c r="R982">
        <v>-5.8091569051146499E-2</v>
      </c>
      <c r="S982">
        <v>-2.8580764774232999E-2</v>
      </c>
      <c r="T982">
        <v>-0.04</v>
      </c>
    </row>
    <row r="983" spans="1:20" x14ac:dyDescent="0.3">
      <c r="A983" t="s">
        <v>80</v>
      </c>
      <c r="B983">
        <v>2008</v>
      </c>
      <c r="C983">
        <v>364377.1875</v>
      </c>
      <c r="D983" s="1">
        <v>0.108</v>
      </c>
      <c r="E983" s="1">
        <v>0.85572224855422996</v>
      </c>
      <c r="F983" s="1">
        <v>8.0000000000000002E-3</v>
      </c>
      <c r="G983" s="1">
        <f t="shared" si="30"/>
        <v>-8.0000000000000002E-3</v>
      </c>
      <c r="H983" s="1" t="str">
        <f t="shared" si="31"/>
        <v/>
      </c>
      <c r="I983" s="1">
        <v>-2.5999999999999999E-2</v>
      </c>
      <c r="J983" s="1">
        <f>+D983-F983+I983*O983</f>
        <v>3.7860000000000005E-2</v>
      </c>
      <c r="K983" s="1">
        <v>-2.00915690511465E-2</v>
      </c>
      <c r="L983" s="1">
        <f>+K983-J983</f>
        <v>-5.7951569051146505E-2</v>
      </c>
      <c r="M983" s="1">
        <v>-5.8091569051146499E-2</v>
      </c>
      <c r="N983" s="1">
        <f>+M983-J983</f>
        <v>-9.5951569051146504E-2</v>
      </c>
      <c r="O983">
        <v>2.39</v>
      </c>
      <c r="P983" t="s">
        <v>17</v>
      </c>
      <c r="Q983">
        <v>-0.03</v>
      </c>
      <c r="R983">
        <v>-2.66072812527418E-2</v>
      </c>
      <c r="S983">
        <v>-4.0579587221149099E-5</v>
      </c>
      <c r="T983">
        <v>0.01</v>
      </c>
    </row>
    <row r="984" spans="1:20" x14ac:dyDescent="0.3">
      <c r="A984" t="s">
        <v>80</v>
      </c>
      <c r="B984">
        <v>2009</v>
      </c>
      <c r="C984">
        <v>368554.09379999997</v>
      </c>
      <c r="D984" s="1">
        <v>3.2000000000000001E-2</v>
      </c>
      <c r="E984" s="1">
        <v>0.87044298648834195</v>
      </c>
      <c r="F984" s="1">
        <v>6.0999999999999999E-2</v>
      </c>
      <c r="G984" s="1">
        <f t="shared" si="30"/>
        <v>5.2999999999999999E-2</v>
      </c>
      <c r="H984" s="1" t="str">
        <f t="shared" si="31"/>
        <v/>
      </c>
      <c r="I984" s="1">
        <v>1.4999999999999999E-2</v>
      </c>
      <c r="J984" s="1">
        <f>+D984-F984+I984*O984</f>
        <v>9.1000000000000039E-3</v>
      </c>
      <c r="K984" s="1">
        <v>-3.06072812527418E-2</v>
      </c>
      <c r="L984" s="1">
        <f>+K984-J984</f>
        <v>-3.9707281252741804E-2</v>
      </c>
      <c r="M984" s="1">
        <v>-2.66072812527418E-2</v>
      </c>
      <c r="N984" s="1">
        <f>+M984-J984</f>
        <v>-3.5707281252741807E-2</v>
      </c>
      <c r="O984">
        <v>2.54</v>
      </c>
      <c r="P984" t="s">
        <v>15</v>
      </c>
      <c r="Q984">
        <v>0</v>
      </c>
      <c r="R984">
        <v>-8.0722134411334995E-3</v>
      </c>
      <c r="S984">
        <v>1.3878953177481801E-3</v>
      </c>
      <c r="T984">
        <v>0.04</v>
      </c>
    </row>
    <row r="985" spans="1:20" x14ac:dyDescent="0.3">
      <c r="A985" t="s">
        <v>80</v>
      </c>
      <c r="B985">
        <v>2010</v>
      </c>
      <c r="C985">
        <v>372471.1875</v>
      </c>
      <c r="D985" s="1">
        <v>0.01</v>
      </c>
      <c r="E985" s="1">
        <v>0.89127677679061901</v>
      </c>
      <c r="F985" s="1">
        <v>-5.6000000000000001E-2</v>
      </c>
      <c r="G985" s="1">
        <f t="shared" si="30"/>
        <v>-3.0000000000000027E-3</v>
      </c>
      <c r="H985" s="1" t="str">
        <f t="shared" si="31"/>
        <v/>
      </c>
      <c r="I985" s="1">
        <v>2.1000000000000001E-2</v>
      </c>
      <c r="J985" s="1">
        <f>+D985-F985+I985*O985</f>
        <v>0.1164</v>
      </c>
      <c r="K985" s="1">
        <v>7.9277865588665009E-3</v>
      </c>
      <c r="L985" s="1">
        <f>+K985-J985</f>
        <v>-0.1084722134411335</v>
      </c>
      <c r="M985" s="1">
        <v>-8.0722134411334995E-3</v>
      </c>
      <c r="N985" s="1">
        <f>+M985-J985</f>
        <v>-0.1244722134411335</v>
      </c>
      <c r="O985">
        <v>2.4</v>
      </c>
      <c r="P985" t="s">
        <v>17</v>
      </c>
      <c r="Q985">
        <v>0</v>
      </c>
      <c r="R985">
        <v>-3.3188137335702701E-2</v>
      </c>
      <c r="S985">
        <v>-1.1904362821951399E-2</v>
      </c>
      <c r="T985">
        <v>-0.06</v>
      </c>
    </row>
    <row r="986" spans="1:20" x14ac:dyDescent="0.3">
      <c r="A986" t="s">
        <v>80</v>
      </c>
      <c r="B986">
        <v>2011</v>
      </c>
      <c r="C986">
        <v>376305.125</v>
      </c>
      <c r="D986" s="1">
        <v>7.0000000000000001E-3</v>
      </c>
      <c r="E986" s="1">
        <v>0.89226764440536499</v>
      </c>
      <c r="F986" s="1">
        <v>1.2999999999999999E-2</v>
      </c>
      <c r="G986" s="1">
        <f t="shared" si="30"/>
        <v>9.9999999999999967E-3</v>
      </c>
      <c r="H986" s="1" t="str">
        <f t="shared" si="31"/>
        <v/>
      </c>
      <c r="I986" s="1">
        <v>1E-3</v>
      </c>
      <c r="J986" s="1">
        <f>+D986-F986+I986*O986</f>
        <v>-3.569999999999999E-3</v>
      </c>
      <c r="K986" s="1">
        <v>-1.1881373357027799E-3</v>
      </c>
      <c r="L986" s="1">
        <f>+K986-J986</f>
        <v>2.381862664297219E-3</v>
      </c>
      <c r="M986" s="1">
        <v>-3.3188137335702701E-2</v>
      </c>
      <c r="N986" s="1">
        <f>+M986-J986</f>
        <v>-2.9618137335702701E-2</v>
      </c>
      <c r="O986">
        <v>2.4300000000000002</v>
      </c>
      <c r="P986" t="s">
        <v>15</v>
      </c>
      <c r="Q986">
        <v>-0.01</v>
      </c>
      <c r="R986">
        <v>-1.6643581729382202E-2</v>
      </c>
      <c r="S986">
        <v>-1.1205375660210799E-2</v>
      </c>
      <c r="T986">
        <v>0.01</v>
      </c>
    </row>
    <row r="987" spans="1:20" x14ac:dyDescent="0.3">
      <c r="A987" t="s">
        <v>80</v>
      </c>
      <c r="B987">
        <v>2012</v>
      </c>
      <c r="C987">
        <v>379154.125</v>
      </c>
      <c r="D987" s="1">
        <v>1E-3</v>
      </c>
      <c r="E987" s="1">
        <v>0.90200412273407005</v>
      </c>
      <c r="F987" s="1">
        <v>3.0000000000000001E-3</v>
      </c>
      <c r="G987" s="1">
        <f t="shared" si="30"/>
        <v>1.2999999999999998E-2</v>
      </c>
      <c r="H987" s="1" t="str">
        <f t="shared" si="31"/>
        <v/>
      </c>
      <c r="I987" s="1">
        <v>0.01</v>
      </c>
      <c r="J987" s="1">
        <f>+D987-F987+I987*O987</f>
        <v>2.2400000000000003E-2</v>
      </c>
      <c r="K987" s="1">
        <v>4.35641827061772E-3</v>
      </c>
      <c r="L987" s="1">
        <f>+K987-J987</f>
        <v>-1.8043581729382283E-2</v>
      </c>
      <c r="M987" s="1">
        <v>-1.6643581729382202E-2</v>
      </c>
      <c r="N987" s="1">
        <f>+M987-J987</f>
        <v>-3.9043581729382201E-2</v>
      </c>
      <c r="O987">
        <v>2.44</v>
      </c>
      <c r="P987" t="s">
        <v>15</v>
      </c>
      <c r="Q987">
        <v>-0.01</v>
      </c>
      <c r="R987">
        <v>-4.3899971991779902E-4</v>
      </c>
      <c r="S987">
        <v>-6.5657710656523999E-3</v>
      </c>
      <c r="T987">
        <v>0</v>
      </c>
    </row>
    <row r="988" spans="1:20" x14ac:dyDescent="0.3">
      <c r="A988" t="s">
        <v>80</v>
      </c>
      <c r="B988">
        <v>2013</v>
      </c>
      <c r="C988">
        <v>382272.875</v>
      </c>
      <c r="D988" s="1">
        <v>0</v>
      </c>
      <c r="E988" s="1">
        <v>0.90686768293380704</v>
      </c>
      <c r="F988" s="1">
        <v>-3.2000000000000001E-2</v>
      </c>
      <c r="G988" s="1">
        <f t="shared" si="30"/>
        <v>-1.9000000000000003E-2</v>
      </c>
      <c r="H988" s="1" t="str">
        <f t="shared" si="31"/>
        <v/>
      </c>
      <c r="I988" s="1">
        <v>5.0000000000000001E-3</v>
      </c>
      <c r="J988" s="1">
        <f>+D988-F988+I988*O988</f>
        <v>4.3799999999999999E-2</v>
      </c>
      <c r="K988" s="1">
        <v>1.45610002800822E-2</v>
      </c>
      <c r="L988" s="1">
        <f>+K988-J988</f>
        <v>-2.9238999719917801E-2</v>
      </c>
      <c r="M988" s="1">
        <v>-4.3899971991779902E-4</v>
      </c>
      <c r="N988" s="1">
        <f>+M988-J988</f>
        <v>-4.42389997199178E-2</v>
      </c>
      <c r="O988">
        <v>2.36</v>
      </c>
      <c r="P988" t="s">
        <v>17</v>
      </c>
      <c r="Q988">
        <v>-0.01</v>
      </c>
      <c r="R988">
        <v>-1.8075051423162201E-2</v>
      </c>
      <c r="S988">
        <v>-2.0083074923604699E-2</v>
      </c>
      <c r="T988">
        <v>-0.04</v>
      </c>
    </row>
    <row r="989" spans="1:20" x14ac:dyDescent="0.3">
      <c r="A989" t="s">
        <v>80</v>
      </c>
      <c r="B989">
        <v>2014</v>
      </c>
      <c r="C989">
        <v>385600</v>
      </c>
      <c r="D989" s="1">
        <v>0</v>
      </c>
      <c r="E989" s="1">
        <v>0.90617132186889604</v>
      </c>
      <c r="F989" s="1">
        <v>-3.9E-2</v>
      </c>
      <c r="G989" s="1">
        <f t="shared" si="30"/>
        <v>-5.8000000000000003E-2</v>
      </c>
      <c r="H989" s="1" t="str">
        <f t="shared" si="31"/>
        <v/>
      </c>
      <c r="I989" s="1">
        <v>-1E-3</v>
      </c>
      <c r="J989" s="1">
        <f>+D989-F989+I989*O989</f>
        <v>3.6729999999999999E-2</v>
      </c>
      <c r="K989" s="1">
        <v>-2.0750514231622202E-3</v>
      </c>
      <c r="L989" s="1">
        <f>+K989-J989</f>
        <v>-3.8805051423162221E-2</v>
      </c>
      <c r="M989" s="1">
        <v>-1.8075051423162201E-2</v>
      </c>
      <c r="N989" s="1">
        <f>+M989-J989</f>
        <v>-5.48050514231622E-2</v>
      </c>
      <c r="O989">
        <v>2.27</v>
      </c>
      <c r="P989" t="s">
        <v>16</v>
      </c>
      <c r="Q989">
        <v>-0.02</v>
      </c>
      <c r="R989">
        <v>7.1844236701726896E-3</v>
      </c>
      <c r="S989">
        <v>-2.3079028353094999E-2</v>
      </c>
      <c r="T989">
        <v>-0.04</v>
      </c>
    </row>
    <row r="990" spans="1:20" x14ac:dyDescent="0.3">
      <c r="A990" t="s">
        <v>80</v>
      </c>
      <c r="B990">
        <v>2015</v>
      </c>
      <c r="C990">
        <v>387915.71879999997</v>
      </c>
      <c r="D990" s="1">
        <v>1.7999999999999999E-2</v>
      </c>
      <c r="E990" s="1">
        <v>0.90802413225173995</v>
      </c>
      <c r="F990" s="1">
        <v>0.11</v>
      </c>
      <c r="G990" s="1">
        <f t="shared" si="30"/>
        <v>5.1999999999999998E-2</v>
      </c>
      <c r="H990" s="1" t="str">
        <f t="shared" si="31"/>
        <v/>
      </c>
      <c r="I990" s="1">
        <v>2E-3</v>
      </c>
      <c r="J990" s="1">
        <f>+D990-F990+I990*O990</f>
        <v>-8.6959999999999996E-2</v>
      </c>
      <c r="K990" s="1">
        <v>8.1844236701726896E-3</v>
      </c>
      <c r="L990" s="1">
        <f>+K990-J990</f>
        <v>9.5144423670172687E-2</v>
      </c>
      <c r="M990" s="1">
        <v>7.1844236701726896E-3</v>
      </c>
      <c r="N990" s="1">
        <f>+M990-J990</f>
        <v>9.4144423670172686E-2</v>
      </c>
      <c r="O990">
        <v>2.52</v>
      </c>
      <c r="P990" t="s">
        <v>15</v>
      </c>
      <c r="Q990">
        <v>-0.02</v>
      </c>
      <c r="R990">
        <v>6.963166296482E-4</v>
      </c>
      <c r="S990">
        <v>-1.24572403728962E-2</v>
      </c>
      <c r="T990">
        <v>0.12</v>
      </c>
    </row>
    <row r="991" spans="1:20" x14ac:dyDescent="0.3">
      <c r="A991" t="s">
        <v>80</v>
      </c>
      <c r="B991">
        <v>2016</v>
      </c>
      <c r="C991">
        <v>390359.8125</v>
      </c>
      <c r="D991" s="1">
        <v>0</v>
      </c>
      <c r="E991" s="1">
        <v>0.90537768602371205</v>
      </c>
      <c r="F991" s="1">
        <v>-2.7E-2</v>
      </c>
      <c r="G991" s="1">
        <f t="shared" si="30"/>
        <v>2.4999999999999998E-2</v>
      </c>
      <c r="H991" s="1" t="str">
        <f t="shared" si="31"/>
        <v/>
      </c>
      <c r="I991" s="1">
        <v>-3.0000000000000001E-3</v>
      </c>
      <c r="J991" s="1">
        <f>+D991-F991+I991*O991</f>
        <v>1.9650000000000001E-2</v>
      </c>
      <c r="K991" s="1">
        <v>1.36963166296482E-2</v>
      </c>
      <c r="L991" s="1">
        <f>+K991-J991</f>
        <v>-5.9536833703518009E-3</v>
      </c>
      <c r="M991" s="1">
        <v>6.963166296482E-4</v>
      </c>
      <c r="N991" s="1">
        <f>+M991-J991</f>
        <v>-1.89536833703518E-2</v>
      </c>
      <c r="O991">
        <v>2.4500000000000002</v>
      </c>
      <c r="P991" t="s">
        <v>16</v>
      </c>
      <c r="Q991">
        <v>-0.01</v>
      </c>
      <c r="R991">
        <v>-9.5268891230225992E-3</v>
      </c>
      <c r="S991">
        <v>-1.23164625838398E-2</v>
      </c>
      <c r="T991">
        <v>-0.03</v>
      </c>
    </row>
    <row r="992" spans="1:20" x14ac:dyDescent="0.3">
      <c r="A992" t="s">
        <v>80</v>
      </c>
      <c r="B992">
        <v>2017</v>
      </c>
      <c r="C992">
        <v>393182</v>
      </c>
      <c r="D992" s="1">
        <v>0</v>
      </c>
      <c r="E992" s="1">
        <v>0.90540492534637496</v>
      </c>
      <c r="F992" s="1">
        <v>-1.2E-2</v>
      </c>
      <c r="G992" s="1">
        <f t="shared" si="30"/>
        <v>1.2999999999999998E-2</v>
      </c>
      <c r="H992" s="1" t="str">
        <f t="shared" si="31"/>
        <v/>
      </c>
      <c r="I992" s="1">
        <v>0</v>
      </c>
      <c r="J992" s="1">
        <f>+D992-F992+I992*O992</f>
        <v>1.2E-2</v>
      </c>
      <c r="K992" s="1">
        <v>1.14731108769774E-2</v>
      </c>
      <c r="L992" s="1">
        <f>+K992-J992</f>
        <v>-5.2688912302259992E-4</v>
      </c>
      <c r="M992" s="1">
        <v>-9.5268891230225992E-3</v>
      </c>
      <c r="N992" s="1">
        <f>+M992-J992</f>
        <v>-2.1526889123022599E-2</v>
      </c>
      <c r="O992">
        <v>2.42</v>
      </c>
      <c r="P992" t="s">
        <v>17</v>
      </c>
      <c r="Q992">
        <v>-0.01</v>
      </c>
      <c r="R992">
        <v>2.67312603294848E-2</v>
      </c>
      <c r="S992">
        <v>1.7596237361431101E-2</v>
      </c>
      <c r="T992">
        <v>-0.01</v>
      </c>
    </row>
    <row r="993" spans="1:20" x14ac:dyDescent="0.3">
      <c r="A993" t="s">
        <v>80</v>
      </c>
      <c r="B993">
        <v>2018</v>
      </c>
      <c r="C993">
        <v>395190.3125</v>
      </c>
      <c r="D993" s="1">
        <v>0</v>
      </c>
      <c r="E993" s="1">
        <v>0.920088350772858</v>
      </c>
      <c r="F993" s="1">
        <v>-6.0999999999999999E-2</v>
      </c>
      <c r="G993" s="1">
        <f t="shared" si="30"/>
        <v>-4.8000000000000001E-2</v>
      </c>
      <c r="H993" s="1" t="str">
        <f t="shared" si="31"/>
        <v/>
      </c>
      <c r="I993" s="1">
        <v>1.4999999999999999E-2</v>
      </c>
      <c r="J993" s="1">
        <f>+D993-F993+I993*O993</f>
        <v>9.5199999999999993E-2</v>
      </c>
      <c r="K993" s="1">
        <v>5.0731260329484898E-2</v>
      </c>
      <c r="L993" s="1">
        <f>+K993-J993</f>
        <v>-4.4468739670515095E-2</v>
      </c>
      <c r="M993" s="1">
        <v>2.67312603294848E-2</v>
      </c>
      <c r="N993" s="1">
        <f>+M993-J993</f>
        <v>-6.84687396705152E-2</v>
      </c>
      <c r="O993">
        <v>2.2799999999999998</v>
      </c>
      <c r="P993" t="s">
        <v>17</v>
      </c>
      <c r="Q993">
        <v>0.02</v>
      </c>
      <c r="R993">
        <v>3.8495178490877198E-2</v>
      </c>
      <c r="S993">
        <v>2.06939838826657E-2</v>
      </c>
      <c r="T993">
        <v>-0.05</v>
      </c>
    </row>
    <row r="994" spans="1:20" x14ac:dyDescent="0.3">
      <c r="A994" t="s">
        <v>80</v>
      </c>
      <c r="B994">
        <v>2019</v>
      </c>
      <c r="C994">
        <v>397032</v>
      </c>
      <c r="D994" s="1">
        <v>0</v>
      </c>
      <c r="E994" s="1">
        <v>0.92067348957061801</v>
      </c>
      <c r="F994" s="1">
        <v>7.8E-2</v>
      </c>
      <c r="G994" s="1">
        <f t="shared" si="30"/>
        <v>0.03</v>
      </c>
      <c r="H994" s="1" t="str">
        <f t="shared" si="31"/>
        <v/>
      </c>
      <c r="I994" s="1">
        <v>1E-3</v>
      </c>
      <c r="J994" s="1">
        <f>+D994-F994+I994*O994</f>
        <v>-7.5550000000000006E-2</v>
      </c>
      <c r="K994" s="1">
        <v>5.64951784908772E-2</v>
      </c>
      <c r="L994" s="1">
        <f>+K994-J994</f>
        <v>0.13204517849087721</v>
      </c>
      <c r="M994" s="1">
        <v>3.8495178490877198E-2</v>
      </c>
      <c r="N994" s="1">
        <f>+M994-J994</f>
        <v>0.1140451784908772</v>
      </c>
      <c r="O994">
        <v>2.4500000000000002</v>
      </c>
      <c r="P994" t="s">
        <v>15</v>
      </c>
      <c r="Q994">
        <v>0.02</v>
      </c>
      <c r="R994">
        <v>-8.0118485614657405E-3</v>
      </c>
      <c r="S994">
        <v>-2.6861038990318699E-2</v>
      </c>
      <c r="T994">
        <v>0.09</v>
      </c>
    </row>
    <row r="995" spans="1:20" x14ac:dyDescent="0.3">
      <c r="A995" t="s">
        <v>80</v>
      </c>
      <c r="B995">
        <v>2020</v>
      </c>
      <c r="C995">
        <v>398747.71879999997</v>
      </c>
      <c r="D995" s="1">
        <v>2E-3</v>
      </c>
      <c r="E995" s="1">
        <v>0.93884605169296298</v>
      </c>
      <c r="F995" s="1">
        <v>-0.16</v>
      </c>
      <c r="G995" s="1">
        <f t="shared" si="30"/>
        <v>-0.13</v>
      </c>
      <c r="H995" s="1">
        <f t="shared" si="31"/>
        <v>8.8649630546569852E-2</v>
      </c>
      <c r="I995" s="1">
        <v>1.7999999999999999E-2</v>
      </c>
      <c r="J995" s="1">
        <f>+D995-F995+I995*O995</f>
        <v>0.19908000000000001</v>
      </c>
      <c r="K995" s="1">
        <v>3.9881514385342598E-3</v>
      </c>
      <c r="L995" s="1">
        <f>+K995-J995</f>
        <v>-0.19509184856146575</v>
      </c>
      <c r="M995" s="1">
        <v>-8.0118485614657405E-3</v>
      </c>
      <c r="N995" s="1">
        <f>+M995-J995</f>
        <v>-0.20709184856146576</v>
      </c>
      <c r="O995">
        <v>2.06</v>
      </c>
      <c r="P995" t="s">
        <v>17</v>
      </c>
      <c r="Q995">
        <v>-0.03</v>
      </c>
      <c r="R995">
        <v>5.27021719813347E-2</v>
      </c>
      <c r="S995">
        <v>9.1125592589377906E-3</v>
      </c>
      <c r="T995">
        <v>-0.12</v>
      </c>
    </row>
    <row r="996" spans="1:20" x14ac:dyDescent="0.3">
      <c r="A996" t="s">
        <v>80</v>
      </c>
      <c r="B996">
        <v>2021</v>
      </c>
      <c r="C996">
        <v>400479.3125</v>
      </c>
      <c r="D996" s="1">
        <v>2.3E-2</v>
      </c>
      <c r="E996" s="1">
        <v>0.93254464864730802</v>
      </c>
      <c r="F996" s="1">
        <v>0.1</v>
      </c>
      <c r="G996" s="1">
        <f t="shared" si="30"/>
        <v>-0.03</v>
      </c>
      <c r="H996" s="1" t="str">
        <f t="shared" si="31"/>
        <v/>
      </c>
      <c r="I996" s="1">
        <v>-6.0000000000000001E-3</v>
      </c>
      <c r="J996" s="1">
        <f>+D996-F996+I996*O996</f>
        <v>-9.0620000000000006E-2</v>
      </c>
      <c r="K996" s="1">
        <v>9.97021719813347E-2</v>
      </c>
      <c r="L996" s="1">
        <f>+K996-J996</f>
        <v>0.19032217198133472</v>
      </c>
      <c r="M996" s="1">
        <v>5.27021719813347E-2</v>
      </c>
      <c r="N996" s="1">
        <f>+M996-J996</f>
        <v>0.14332217198133471</v>
      </c>
      <c r="O996">
        <v>2.27</v>
      </c>
      <c r="P996" t="s">
        <v>17</v>
      </c>
      <c r="Q996">
        <v>0.01</v>
      </c>
      <c r="R996">
        <v>-2.4029108881949901E-3</v>
      </c>
      <c r="S996">
        <v>2.97005958855153E-2</v>
      </c>
      <c r="T996">
        <v>7.0000000000000007E-2</v>
      </c>
    </row>
    <row r="997" spans="1:20" x14ac:dyDescent="0.3">
      <c r="A997" t="s">
        <v>80</v>
      </c>
      <c r="B997">
        <v>2022</v>
      </c>
      <c r="C997">
        <v>402534.90629999997</v>
      </c>
      <c r="D997" s="1">
        <v>1.2999999999999999E-2</v>
      </c>
      <c r="E997" s="1">
        <v>0.91730469465255704</v>
      </c>
      <c r="F997" s="1">
        <v>2.3E-2</v>
      </c>
      <c r="G997" s="1">
        <f t="shared" si="30"/>
        <v>-6.9999999999999993E-3</v>
      </c>
      <c r="H997" s="1" t="str">
        <f t="shared" si="31"/>
        <v/>
      </c>
      <c r="I997" s="1">
        <v>-1.4999999999999999E-2</v>
      </c>
      <c r="J997" s="1">
        <f>+D997-F997+I997*O997</f>
        <v>-4.48E-2</v>
      </c>
      <c r="K997" s="1">
        <v>7.7597089111805004E-2</v>
      </c>
      <c r="L997" s="1">
        <f>+K997-J997</f>
        <v>0.122397089111805</v>
      </c>
      <c r="M997" s="1">
        <v>-2.4029108881949901E-3</v>
      </c>
      <c r="N997" s="1">
        <f>+M997-J997</f>
        <v>4.2397089111805009E-2</v>
      </c>
      <c r="O997">
        <v>2.3199999999999998</v>
      </c>
      <c r="P997" t="s">
        <v>17</v>
      </c>
      <c r="Q997">
        <v>0.03</v>
      </c>
      <c r="R997">
        <v>-1.8263410627841999E-3</v>
      </c>
      <c r="S997">
        <v>1.7732586711645099E-2</v>
      </c>
      <c r="T997">
        <v>0.04</v>
      </c>
    </row>
    <row r="998" spans="1:20" x14ac:dyDescent="0.3">
      <c r="A998" t="s">
        <v>81</v>
      </c>
      <c r="B998">
        <v>2006</v>
      </c>
      <c r="C998">
        <v>533488</v>
      </c>
      <c r="D998" s="1">
        <v>1.7999999999999999E-2</v>
      </c>
      <c r="E998" s="1">
        <v>0.94032537937164296</v>
      </c>
      <c r="F998" s="1">
        <v>-0.06</v>
      </c>
      <c r="G998" s="1">
        <f t="shared" si="30"/>
        <v>-0.06</v>
      </c>
      <c r="H998" s="1" t="str">
        <f t="shared" si="31"/>
        <v/>
      </c>
      <c r="I998" s="1">
        <v>2.3E-2</v>
      </c>
      <c r="J998" s="1">
        <f>+D998-F998+I998*O998</f>
        <v>0.12376999999999999</v>
      </c>
      <c r="K998" s="1">
        <v>3.0762033537030199E-2</v>
      </c>
      <c r="L998" s="1">
        <f>+K998-J998</f>
        <v>-9.3007966462969799E-2</v>
      </c>
      <c r="M998" s="1">
        <v>-1.2379664629697999E-3</v>
      </c>
      <c r="N998" s="1">
        <f>+M998-J998</f>
        <v>-0.1250079664629698</v>
      </c>
      <c r="O998">
        <v>1.99</v>
      </c>
      <c r="P998" t="s">
        <v>17</v>
      </c>
      <c r="Q998">
        <v>-0.01</v>
      </c>
      <c r="R998">
        <v>2.8220816552638902E-3</v>
      </c>
      <c r="S998">
        <v>3.7438375875354E-3</v>
      </c>
      <c r="T998">
        <v>-0.06</v>
      </c>
    </row>
    <row r="999" spans="1:20" x14ac:dyDescent="0.3">
      <c r="A999" t="s">
        <v>81</v>
      </c>
      <c r="B999">
        <v>2007</v>
      </c>
      <c r="C999">
        <v>538522.6875</v>
      </c>
      <c r="D999" s="1">
        <v>5.0000000000000001E-3</v>
      </c>
      <c r="E999" s="1">
        <v>0.94276237487793002</v>
      </c>
      <c r="F999" s="1">
        <v>3.5999999999999997E-2</v>
      </c>
      <c r="G999" s="1">
        <f t="shared" si="30"/>
        <v>-2.4E-2</v>
      </c>
      <c r="H999" s="1" t="str">
        <f t="shared" si="31"/>
        <v/>
      </c>
      <c r="I999" s="1">
        <v>2E-3</v>
      </c>
      <c r="J999" s="1">
        <f>+D999-F999+I999*O999</f>
        <v>-2.6859999999999995E-2</v>
      </c>
      <c r="K999" s="1">
        <v>3.1822081655263901E-2</v>
      </c>
      <c r="L999" s="1">
        <f>+K999-J999</f>
        <v>5.8682081655263896E-2</v>
      </c>
      <c r="M999" s="1">
        <v>2.8220816552638902E-3</v>
      </c>
      <c r="N999" s="1">
        <f>+M999-J999</f>
        <v>2.9682081655263884E-2</v>
      </c>
      <c r="O999">
        <v>2.0699999999999998</v>
      </c>
      <c r="P999" t="s">
        <v>15</v>
      </c>
      <c r="Q999">
        <v>0</v>
      </c>
      <c r="R999">
        <v>-3.2533662684261798E-2</v>
      </c>
      <c r="S999">
        <v>-3.0228584073483901E-3</v>
      </c>
      <c r="T999">
        <v>0.04</v>
      </c>
    </row>
    <row r="1000" spans="1:20" x14ac:dyDescent="0.3">
      <c r="A1000" t="s">
        <v>81</v>
      </c>
      <c r="B1000">
        <v>2008</v>
      </c>
      <c r="C1000">
        <v>543467.3125</v>
      </c>
      <c r="D1000" s="1">
        <v>3.2000000000000001E-2</v>
      </c>
      <c r="E1000" s="1">
        <v>0.93168610334396396</v>
      </c>
      <c r="F1000" s="1">
        <v>1.2999999999999999E-2</v>
      </c>
      <c r="G1000" s="1">
        <f t="shared" si="30"/>
        <v>-1.1000000000000001E-2</v>
      </c>
      <c r="H1000" s="1" t="str">
        <f t="shared" si="31"/>
        <v/>
      </c>
      <c r="I1000" s="1">
        <v>-1.0999999999999999E-2</v>
      </c>
      <c r="J1000" s="1">
        <f>+D1000-F1000+I1000*O1000</f>
        <v>-3.9899999999999936E-3</v>
      </c>
      <c r="K1000" s="1">
        <v>5.4663373157382003E-3</v>
      </c>
      <c r="L1000" s="1">
        <f>+K1000-J1000</f>
        <v>9.4563373157381947E-3</v>
      </c>
      <c r="M1000" s="1">
        <v>-3.2533662684261798E-2</v>
      </c>
      <c r="N1000" s="1">
        <f>+M1000-J1000</f>
        <v>-2.8543662684261804E-2</v>
      </c>
      <c r="O1000">
        <v>2.09</v>
      </c>
      <c r="P1000" t="s">
        <v>17</v>
      </c>
      <c r="Q1000">
        <v>0</v>
      </c>
      <c r="R1000">
        <v>-2.18103534579277E-2</v>
      </c>
      <c r="S1000">
        <v>4.7563482075929503E-3</v>
      </c>
      <c r="T1000">
        <v>0.01</v>
      </c>
    </row>
    <row r="1001" spans="1:20" x14ac:dyDescent="0.3">
      <c r="A1001" t="s">
        <v>81</v>
      </c>
      <c r="B1001">
        <v>2009</v>
      </c>
      <c r="C1001">
        <v>547785.25</v>
      </c>
      <c r="D1001" s="1">
        <v>1.2999999999999999E-2</v>
      </c>
      <c r="E1001" s="1">
        <v>0.941342532634735</v>
      </c>
      <c r="F1001" s="1">
        <v>-2.3E-2</v>
      </c>
      <c r="G1001" s="1">
        <f t="shared" si="30"/>
        <v>-3.4000000000000002E-2</v>
      </c>
      <c r="H1001" s="1" t="str">
        <f t="shared" si="31"/>
        <v/>
      </c>
      <c r="I1001" s="1">
        <v>0.01</v>
      </c>
      <c r="J1001" s="1">
        <f>+D1001-F1001+I1001*O1001</f>
        <v>5.6499999999999995E-2</v>
      </c>
      <c r="K1001" s="1">
        <v>-2.58103534579277E-2</v>
      </c>
      <c r="L1001" s="1">
        <f>+K1001-J1001</f>
        <v>-8.2310353457927699E-2</v>
      </c>
      <c r="M1001" s="1">
        <v>-2.18103534579277E-2</v>
      </c>
      <c r="N1001" s="1">
        <f>+M1001-J1001</f>
        <v>-7.8310353457927695E-2</v>
      </c>
      <c r="O1001">
        <v>2.0499999999999998</v>
      </c>
      <c r="P1001" t="s">
        <v>17</v>
      </c>
      <c r="Q1001">
        <v>0</v>
      </c>
      <c r="R1001">
        <v>-4.7826970368619902E-4</v>
      </c>
      <c r="S1001">
        <v>8.9818390551954803E-3</v>
      </c>
      <c r="T1001">
        <v>-0.04</v>
      </c>
    </row>
    <row r="1002" spans="1:20" x14ac:dyDescent="0.3">
      <c r="A1002" t="s">
        <v>81</v>
      </c>
      <c r="B1002">
        <v>2010</v>
      </c>
      <c r="C1002">
        <v>551224.5</v>
      </c>
      <c r="D1002" s="1">
        <v>1.2E-2</v>
      </c>
      <c r="E1002" s="1">
        <v>0.93261361122131303</v>
      </c>
      <c r="F1002" s="1">
        <v>-1.2E-2</v>
      </c>
      <c r="G1002" s="1">
        <f t="shared" si="30"/>
        <v>-4.5999999999999999E-2</v>
      </c>
      <c r="H1002" s="1" t="str">
        <f t="shared" si="31"/>
        <v/>
      </c>
      <c r="I1002" s="1">
        <v>-8.9999999999999993E-3</v>
      </c>
      <c r="J1002" s="1">
        <f>+D1002-F1002+I1002*O1002</f>
        <v>5.8200000000000023E-3</v>
      </c>
      <c r="K1002" s="1">
        <v>1.5521730296313801E-2</v>
      </c>
      <c r="L1002" s="1">
        <f>+K1002-J1002</f>
        <v>9.7017302963137986E-3</v>
      </c>
      <c r="M1002" s="1">
        <v>-4.7826970368619902E-4</v>
      </c>
      <c r="N1002" s="1">
        <f>+M1002-J1002</f>
        <v>-6.2982697036862009E-3</v>
      </c>
      <c r="O1002">
        <v>2.02</v>
      </c>
      <c r="P1002" t="s">
        <v>16</v>
      </c>
      <c r="Q1002">
        <v>0.01</v>
      </c>
      <c r="R1002">
        <v>-1.7626119188964399E-2</v>
      </c>
      <c r="S1002">
        <v>3.6576553247868902E-3</v>
      </c>
      <c r="T1002">
        <v>-0.02</v>
      </c>
    </row>
    <row r="1003" spans="1:20" x14ac:dyDescent="0.3">
      <c r="A1003" t="s">
        <v>81</v>
      </c>
      <c r="B1003">
        <v>2011</v>
      </c>
      <c r="C1003">
        <v>554600.5625</v>
      </c>
      <c r="D1003" s="1">
        <v>1.7999999999999999E-2</v>
      </c>
      <c r="E1003" s="1">
        <v>0.93203473091125499</v>
      </c>
      <c r="F1003" s="1">
        <v>8.4000000000000005E-2</v>
      </c>
      <c r="G1003" s="1">
        <f t="shared" si="30"/>
        <v>3.8000000000000006E-2</v>
      </c>
      <c r="H1003" s="1" t="str">
        <f t="shared" si="31"/>
        <v/>
      </c>
      <c r="I1003" s="1">
        <v>-1E-3</v>
      </c>
      <c r="J1003" s="1">
        <f>+D1003-F1003+I1003*O1003</f>
        <v>-6.8190000000000001E-2</v>
      </c>
      <c r="K1003" s="1">
        <v>1.43738808110356E-2</v>
      </c>
      <c r="L1003" s="1">
        <f>+K1003-J1003</f>
        <v>8.2563880811035606E-2</v>
      </c>
      <c r="M1003" s="1">
        <v>-1.7626119188964399E-2</v>
      </c>
      <c r="N1003" s="1">
        <f>+M1003-J1003</f>
        <v>5.0563880811035605E-2</v>
      </c>
      <c r="O1003">
        <v>2.19</v>
      </c>
      <c r="P1003" t="s">
        <v>17</v>
      </c>
      <c r="Q1003">
        <v>0</v>
      </c>
      <c r="R1003">
        <v>-9.5077457875013E-3</v>
      </c>
      <c r="S1003">
        <v>-4.0695397183299004E-3</v>
      </c>
      <c r="T1003">
        <v>0.09</v>
      </c>
    </row>
    <row r="1004" spans="1:20" x14ac:dyDescent="0.3">
      <c r="A1004" t="s">
        <v>81</v>
      </c>
      <c r="B1004">
        <v>2012</v>
      </c>
      <c r="C1004">
        <v>558620.4375</v>
      </c>
      <c r="D1004" s="1">
        <v>1.2999999999999999E-2</v>
      </c>
      <c r="E1004" s="1">
        <v>0.93717783689498901</v>
      </c>
      <c r="F1004" s="1">
        <v>-6.0000000000000001E-3</v>
      </c>
      <c r="G1004" s="1">
        <f t="shared" si="30"/>
        <v>3.2000000000000008E-2</v>
      </c>
      <c r="H1004" s="1" t="str">
        <f t="shared" si="31"/>
        <v/>
      </c>
      <c r="I1004" s="1">
        <v>5.0000000000000001E-3</v>
      </c>
      <c r="J1004" s="1">
        <f>+D1004-F1004+I1004*O1004</f>
        <v>2.9900000000000003E-2</v>
      </c>
      <c r="K1004" s="1">
        <v>1.14922542124987E-2</v>
      </c>
      <c r="L1004" s="1">
        <f>+K1004-J1004</f>
        <v>-1.8407745787501303E-2</v>
      </c>
      <c r="M1004" s="1">
        <v>-9.5077457875013E-3</v>
      </c>
      <c r="N1004" s="1">
        <f>+M1004-J1004</f>
        <v>-3.9407745787501301E-2</v>
      </c>
      <c r="O1004">
        <v>2.1800000000000002</v>
      </c>
      <c r="P1004" t="s">
        <v>17</v>
      </c>
      <c r="Q1004">
        <v>0</v>
      </c>
      <c r="R1004">
        <v>4.2280691117047896E-3</v>
      </c>
      <c r="S1004">
        <v>-1.8987022340298E-3</v>
      </c>
      <c r="T1004">
        <v>-0.01</v>
      </c>
    </row>
    <row r="1005" spans="1:20" x14ac:dyDescent="0.3">
      <c r="A1005" t="s">
        <v>81</v>
      </c>
      <c r="B1005">
        <v>2013</v>
      </c>
      <c r="C1005">
        <v>562700.3125</v>
      </c>
      <c r="D1005" s="1">
        <v>0.01</v>
      </c>
      <c r="E1005" s="1">
        <v>0.93415743112564098</v>
      </c>
      <c r="F1005" s="1">
        <v>-3.9E-2</v>
      </c>
      <c r="G1005" s="1">
        <f t="shared" si="30"/>
        <v>-6.9999999999999923E-3</v>
      </c>
      <c r="H1005" s="1" t="str">
        <f t="shared" si="31"/>
        <v/>
      </c>
      <c r="I1005" s="1">
        <v>-3.0000000000000001E-3</v>
      </c>
      <c r="J1005" s="1">
        <f>+D1005-F1005+I1005*O1005</f>
        <v>4.2700000000000002E-2</v>
      </c>
      <c r="K1005" s="1">
        <v>1.9228069111704799E-2</v>
      </c>
      <c r="L1005" s="1">
        <f>+K1005-J1005</f>
        <v>-2.3471930888295203E-2</v>
      </c>
      <c r="M1005" s="1">
        <v>4.2280691117047896E-3</v>
      </c>
      <c r="N1005" s="1">
        <f>+M1005-J1005</f>
        <v>-3.847193088829521E-2</v>
      </c>
      <c r="O1005">
        <v>2.1</v>
      </c>
      <c r="P1005" t="s">
        <v>16</v>
      </c>
      <c r="Q1005">
        <v>0</v>
      </c>
      <c r="R1005">
        <v>-6.4857414364810097E-4</v>
      </c>
      <c r="S1005">
        <v>-2.6565976440906E-3</v>
      </c>
      <c r="T1005">
        <v>-0.05</v>
      </c>
    </row>
    <row r="1006" spans="1:20" x14ac:dyDescent="0.3">
      <c r="A1006" t="s">
        <v>81</v>
      </c>
      <c r="B1006">
        <v>2014</v>
      </c>
      <c r="C1006">
        <v>567000.5</v>
      </c>
      <c r="D1006" s="1">
        <v>1.2E-2</v>
      </c>
      <c r="E1006" s="1">
        <v>0.94227081537246704</v>
      </c>
      <c r="F1006" s="1">
        <v>1E-3</v>
      </c>
      <c r="G1006" s="1">
        <f t="shared" si="30"/>
        <v>-5.9999999999999923E-3</v>
      </c>
      <c r="H1006" s="1" t="str">
        <f t="shared" si="31"/>
        <v/>
      </c>
      <c r="I1006" s="1">
        <v>8.0000000000000002E-3</v>
      </c>
      <c r="J1006" s="1">
        <f>+D1006-F1006+I1006*O1006</f>
        <v>2.7800000000000002E-2</v>
      </c>
      <c r="K1006" s="1">
        <v>1.5351425856351899E-2</v>
      </c>
      <c r="L1006" s="1">
        <f>+K1006-J1006</f>
        <v>-1.2448574143648103E-2</v>
      </c>
      <c r="M1006" s="1">
        <v>-6.4857414364810097E-4</v>
      </c>
      <c r="N1006" s="1">
        <f>+M1006-J1006</f>
        <v>-2.8448574143648101E-2</v>
      </c>
      <c r="O1006">
        <v>2.1</v>
      </c>
      <c r="P1006" t="s">
        <v>15</v>
      </c>
      <c r="Q1006">
        <v>0</v>
      </c>
      <c r="R1006">
        <v>2.3161281064152699E-2</v>
      </c>
      <c r="S1006">
        <v>-7.1021709591149902E-3</v>
      </c>
      <c r="T1006">
        <v>0</v>
      </c>
    </row>
    <row r="1007" spans="1:20" x14ac:dyDescent="0.3">
      <c r="A1007" t="s">
        <v>81</v>
      </c>
      <c r="B1007">
        <v>2015</v>
      </c>
      <c r="C1007">
        <v>571416</v>
      </c>
      <c r="D1007" s="1">
        <v>2.9000000000000001E-2</v>
      </c>
      <c r="E1007" s="1">
        <v>0.93908160924911499</v>
      </c>
      <c r="F1007" s="1">
        <v>1.2999999999999999E-2</v>
      </c>
      <c r="G1007" s="1">
        <f t="shared" si="30"/>
        <v>7.0000000000000071E-3</v>
      </c>
      <c r="H1007" s="1" t="str">
        <f t="shared" si="31"/>
        <v/>
      </c>
      <c r="I1007" s="1">
        <v>-3.0000000000000001E-3</v>
      </c>
      <c r="J1007" s="1">
        <f>+D1007-F1007+I1007*O1007</f>
        <v>9.6100000000000005E-3</v>
      </c>
      <c r="K1007" s="1">
        <v>2.41612810641527E-2</v>
      </c>
      <c r="L1007" s="1">
        <f>+K1007-J1007</f>
        <v>1.45512810641527E-2</v>
      </c>
      <c r="M1007" s="1">
        <v>2.3161281064152699E-2</v>
      </c>
      <c r="N1007" s="1">
        <f>+M1007-J1007</f>
        <v>1.3551281064152699E-2</v>
      </c>
      <c r="O1007">
        <v>2.13</v>
      </c>
      <c r="P1007" t="s">
        <v>17</v>
      </c>
      <c r="Q1007">
        <v>-0.01</v>
      </c>
      <c r="R1007">
        <v>2.0054713159799599E-2</v>
      </c>
      <c r="S1007">
        <v>6.9011561572551901E-3</v>
      </c>
      <c r="T1007">
        <v>0.02</v>
      </c>
    </row>
    <row r="1008" spans="1:20" x14ac:dyDescent="0.3">
      <c r="A1008" t="s">
        <v>81</v>
      </c>
      <c r="B1008">
        <v>2016</v>
      </c>
      <c r="C1008">
        <v>575526.8125</v>
      </c>
      <c r="D1008" s="1">
        <v>0</v>
      </c>
      <c r="E1008" s="1">
        <v>0.94656670093536399</v>
      </c>
      <c r="F1008" s="1">
        <v>3.3000000000000002E-2</v>
      </c>
      <c r="G1008" s="1">
        <f t="shared" si="30"/>
        <v>4.0000000000000008E-2</v>
      </c>
      <c r="H1008" s="1" t="str">
        <f t="shared" si="31"/>
        <v/>
      </c>
      <c r="I1008" s="1">
        <v>7.0000000000000001E-3</v>
      </c>
      <c r="J1008" s="1">
        <f>+D1008-F1008+I1008*O1008</f>
        <v>-1.7599999999999998E-2</v>
      </c>
      <c r="K1008" s="1">
        <v>3.3054713159799597E-2</v>
      </c>
      <c r="L1008" s="1">
        <f>+K1008-J1008</f>
        <v>5.0654713159799594E-2</v>
      </c>
      <c r="M1008" s="1">
        <v>2.0054713159799599E-2</v>
      </c>
      <c r="N1008" s="1">
        <f>+M1008-J1008</f>
        <v>3.7654713159799597E-2</v>
      </c>
      <c r="O1008">
        <v>2.2000000000000002</v>
      </c>
      <c r="P1008" t="s">
        <v>15</v>
      </c>
      <c r="Q1008">
        <v>0.01</v>
      </c>
      <c r="R1008">
        <v>-2.0198992490767999E-3</v>
      </c>
      <c r="S1008">
        <v>-4.8094727098940996E-3</v>
      </c>
      <c r="T1008">
        <v>0.03</v>
      </c>
    </row>
    <row r="1009" spans="1:20" x14ac:dyDescent="0.3">
      <c r="A1009" t="s">
        <v>81</v>
      </c>
      <c r="B1009">
        <v>2017</v>
      </c>
      <c r="C1009">
        <v>579876</v>
      </c>
      <c r="D1009" s="1">
        <v>1.9E-2</v>
      </c>
      <c r="E1009" s="1">
        <v>0.94432926177978505</v>
      </c>
      <c r="F1009" s="1">
        <v>-1E-3</v>
      </c>
      <c r="G1009" s="1">
        <f t="shared" si="30"/>
        <v>3.9000000000000007E-2</v>
      </c>
      <c r="H1009" s="1" t="str">
        <f t="shared" si="31"/>
        <v/>
      </c>
      <c r="I1009" s="1">
        <v>-2E-3</v>
      </c>
      <c r="J1009" s="1">
        <f>+D1009-F1009+I1009*O1009</f>
        <v>1.562E-2</v>
      </c>
      <c r="K1009" s="1">
        <v>1.8980100750923198E-2</v>
      </c>
      <c r="L1009" s="1">
        <f>+K1009-J1009</f>
        <v>3.3601007509231982E-3</v>
      </c>
      <c r="M1009" s="1">
        <v>-2.0198992490767999E-3</v>
      </c>
      <c r="N1009" s="1">
        <f>+M1009-J1009</f>
        <v>-1.7639899249076801E-2</v>
      </c>
      <c r="O1009">
        <v>2.19</v>
      </c>
      <c r="P1009" t="s">
        <v>16</v>
      </c>
      <c r="Q1009">
        <v>0</v>
      </c>
      <c r="R1009">
        <v>1.6849190205335599E-2</v>
      </c>
      <c r="S1009">
        <v>7.7141672372818002E-3</v>
      </c>
      <c r="T1009">
        <v>0</v>
      </c>
    </row>
    <row r="1010" spans="1:20" x14ac:dyDescent="0.3">
      <c r="A1010" t="s">
        <v>81</v>
      </c>
      <c r="B1010">
        <v>2018</v>
      </c>
      <c r="C1010">
        <v>584293.1875</v>
      </c>
      <c r="D1010" s="1">
        <v>1.2E-2</v>
      </c>
      <c r="E1010" s="1">
        <v>0.945415079593658</v>
      </c>
      <c r="F1010" s="1">
        <v>3.5999999999999997E-2</v>
      </c>
      <c r="G1010" s="1">
        <f t="shared" si="30"/>
        <v>7.5000000000000011E-2</v>
      </c>
      <c r="H1010" s="1" t="str">
        <f t="shared" si="31"/>
        <v/>
      </c>
      <c r="I1010" s="1">
        <v>1E-3</v>
      </c>
      <c r="J1010" s="1">
        <f>+D1010-F1010+I1010*O1010</f>
        <v>-2.1729999999999996E-2</v>
      </c>
      <c r="K1010" s="1">
        <v>4.0849190205335603E-2</v>
      </c>
      <c r="L1010" s="1">
        <f>+K1010-J1010</f>
        <v>6.2579190205335603E-2</v>
      </c>
      <c r="M1010" s="1">
        <v>1.6849190205335599E-2</v>
      </c>
      <c r="N1010" s="1">
        <f>+M1010-J1010</f>
        <v>3.8579190205335595E-2</v>
      </c>
      <c r="O1010">
        <v>2.27</v>
      </c>
      <c r="P1010" t="s">
        <v>15</v>
      </c>
      <c r="Q1010">
        <v>0.01</v>
      </c>
      <c r="R1010">
        <v>1.30602411627769E-2</v>
      </c>
      <c r="S1010">
        <v>-4.7409534454345998E-3</v>
      </c>
      <c r="T1010">
        <v>0.05</v>
      </c>
    </row>
    <row r="1011" spans="1:20" x14ac:dyDescent="0.3">
      <c r="A1011" t="s">
        <v>81</v>
      </c>
      <c r="B1011">
        <v>2019</v>
      </c>
      <c r="C1011">
        <v>588931.25</v>
      </c>
      <c r="D1011" s="1">
        <v>2.8000000000000001E-2</v>
      </c>
      <c r="E1011" s="1">
        <v>0.94845455884933505</v>
      </c>
      <c r="F1011" s="1">
        <v>-8.3000000000000004E-2</v>
      </c>
      <c r="G1011" s="1">
        <f t="shared" si="30"/>
        <v>-7.9999999999999932E-3</v>
      </c>
      <c r="H1011" s="1" t="str">
        <f t="shared" si="31"/>
        <v/>
      </c>
      <c r="I1011" s="1">
        <v>3.0000000000000001E-3</v>
      </c>
      <c r="J1011" s="1">
        <f>+D1011-F1011+I1011*O1011</f>
        <v>0.11724</v>
      </c>
      <c r="K1011" s="1">
        <v>3.1060241162776898E-2</v>
      </c>
      <c r="L1011" s="1">
        <f>+K1011-J1011</f>
        <v>-8.6179758837223092E-2</v>
      </c>
      <c r="M1011" s="1">
        <v>1.30602411627769E-2</v>
      </c>
      <c r="N1011" s="1">
        <f>+M1011-J1011</f>
        <v>-0.10417975883722309</v>
      </c>
      <c r="O1011">
        <v>2.08</v>
      </c>
      <c r="P1011" t="s">
        <v>17</v>
      </c>
      <c r="Q1011">
        <v>0</v>
      </c>
      <c r="R1011">
        <v>2.28218977451323E-2</v>
      </c>
      <c r="S1011">
        <v>3.9727073162793896E-3</v>
      </c>
      <c r="T1011">
        <v>-0.08</v>
      </c>
    </row>
    <row r="1012" spans="1:20" x14ac:dyDescent="0.3">
      <c r="A1012" t="s">
        <v>81</v>
      </c>
      <c r="B1012">
        <v>2020</v>
      </c>
      <c r="C1012">
        <v>594537.3125</v>
      </c>
      <c r="D1012" s="1">
        <v>5.0000000000000001E-3</v>
      </c>
      <c r="E1012" s="1">
        <v>0.96443068981170699</v>
      </c>
      <c r="F1012" s="1">
        <v>-5.0000000000000001E-3</v>
      </c>
      <c r="G1012" s="1">
        <f t="shared" si="30"/>
        <v>-1.2999999999999994E-2</v>
      </c>
      <c r="H1012" s="1" t="str">
        <f t="shared" si="31"/>
        <v/>
      </c>
      <c r="I1012" s="1">
        <v>1.6E-2</v>
      </c>
      <c r="J1012" s="1">
        <f>+D1012-F1012+I1012*O1012</f>
        <v>4.3119999999999999E-2</v>
      </c>
      <c r="K1012" s="1">
        <v>3.4821897745132398E-2</v>
      </c>
      <c r="L1012" s="1">
        <f>+K1012-J1012</f>
        <v>-8.2981022548676009E-3</v>
      </c>
      <c r="M1012" s="1">
        <v>2.28218977451323E-2</v>
      </c>
      <c r="N1012" s="1">
        <f>+M1012-J1012</f>
        <v>-2.0298102254867698E-2</v>
      </c>
      <c r="O1012">
        <v>2.0699999999999998</v>
      </c>
      <c r="P1012" t="s">
        <v>17</v>
      </c>
      <c r="Q1012">
        <v>0</v>
      </c>
      <c r="R1012">
        <v>3.36028768420219E-2</v>
      </c>
      <c r="S1012">
        <v>-9.9867358803750004E-3</v>
      </c>
      <c r="T1012">
        <v>0.04</v>
      </c>
    </row>
    <row r="1013" spans="1:20" x14ac:dyDescent="0.3">
      <c r="A1013" t="s">
        <v>81</v>
      </c>
      <c r="B1013">
        <v>2021</v>
      </c>
      <c r="C1013">
        <v>600715.0625</v>
      </c>
      <c r="D1013" s="1">
        <v>1.0999999999999999E-2</v>
      </c>
      <c r="E1013" s="1">
        <v>0.96947884559631303</v>
      </c>
      <c r="F1013" s="1">
        <v>-3.7999999999999999E-2</v>
      </c>
      <c r="G1013" s="1">
        <f t="shared" si="30"/>
        <v>-5.099999999999999E-2</v>
      </c>
      <c r="H1013" s="1" t="str">
        <f t="shared" si="31"/>
        <v/>
      </c>
      <c r="I1013" s="1">
        <v>5.0000000000000001E-3</v>
      </c>
      <c r="J1013" s="1">
        <f>+D1013-F1013+I1013*O1013</f>
        <v>5.8950000000000002E-2</v>
      </c>
      <c r="K1013" s="1">
        <v>8.0602876842021901E-2</v>
      </c>
      <c r="L1013" s="1">
        <f>+K1013-J1013</f>
        <v>2.1652876842021898E-2</v>
      </c>
      <c r="M1013" s="1">
        <v>3.36028768420219E-2</v>
      </c>
      <c r="N1013" s="1">
        <f>+M1013-J1013</f>
        <v>-2.5347123157978102E-2</v>
      </c>
      <c r="O1013">
        <v>1.99</v>
      </c>
      <c r="P1013" t="s">
        <v>17</v>
      </c>
      <c r="Q1013">
        <v>-0.01</v>
      </c>
      <c r="R1013">
        <v>-5.2316941246390303E-2</v>
      </c>
      <c r="S1013">
        <v>-2.0213434472680002E-2</v>
      </c>
      <c r="T1013">
        <v>-7.0000000000000007E-2</v>
      </c>
    </row>
    <row r="1014" spans="1:20" x14ac:dyDescent="0.3">
      <c r="A1014" t="s">
        <v>81</v>
      </c>
      <c r="B1014">
        <v>2022</v>
      </c>
      <c r="C1014">
        <v>605094.1875</v>
      </c>
      <c r="D1014" s="1">
        <v>2.5999999999999999E-2</v>
      </c>
      <c r="E1014" s="1">
        <v>0.95181411504745495</v>
      </c>
      <c r="F1014" s="1">
        <v>4.4999999999999998E-2</v>
      </c>
      <c r="G1014" s="1">
        <f t="shared" si="30"/>
        <v>-5.9999999999999915E-3</v>
      </c>
      <c r="H1014" s="1" t="str">
        <f t="shared" si="31"/>
        <v/>
      </c>
      <c r="I1014" s="1">
        <v>-1.7999999999999999E-2</v>
      </c>
      <c r="J1014" s="1">
        <f>+D1014-F1014+I1014*O1014</f>
        <v>-5.6440000000000004E-2</v>
      </c>
      <c r="K1014" s="1">
        <v>2.7683058753609699E-2</v>
      </c>
      <c r="L1014" s="1">
        <f>+K1014-J1014</f>
        <v>8.4123058753609703E-2</v>
      </c>
      <c r="M1014" s="1">
        <v>-5.2316941246390303E-2</v>
      </c>
      <c r="N1014" s="1">
        <f>+M1014-J1014</f>
        <v>4.1230587536097013E-3</v>
      </c>
      <c r="O1014">
        <v>2.08</v>
      </c>
      <c r="P1014" t="s">
        <v>17</v>
      </c>
      <c r="Q1014">
        <v>-0.02</v>
      </c>
      <c r="R1014">
        <v>-1.46342113465071E-2</v>
      </c>
      <c r="S1014">
        <v>4.9247164279222003E-3</v>
      </c>
      <c r="T1014">
        <v>0.06</v>
      </c>
    </row>
    <row r="1015" spans="1:20" x14ac:dyDescent="0.3">
      <c r="A1015" t="s">
        <v>82</v>
      </c>
      <c r="B1015">
        <v>2006</v>
      </c>
      <c r="C1015">
        <v>1194825</v>
      </c>
      <c r="D1015" s="1">
        <v>5.0000000000000001E-3</v>
      </c>
      <c r="E1015" s="1">
        <v>0.94074767827987704</v>
      </c>
      <c r="F1015" s="1">
        <v>8.0000000000000002E-3</v>
      </c>
      <c r="G1015" s="1">
        <f t="shared" si="30"/>
        <v>8.0000000000000002E-3</v>
      </c>
      <c r="H1015" s="1" t="str">
        <f t="shared" si="31"/>
        <v/>
      </c>
      <c r="I1015" s="1">
        <v>8.0000000000000002E-3</v>
      </c>
      <c r="J1015" s="1">
        <f>+D1015-F1015+I1015*O1015</f>
        <v>1.4280000000000001E-2</v>
      </c>
      <c r="K1015" s="1">
        <v>1.47970840334892E-2</v>
      </c>
      <c r="L1015" s="1">
        <f>+K1015-J1015</f>
        <v>5.1708403348919851E-4</v>
      </c>
      <c r="M1015" s="1">
        <v>-1.7202915966510801E-2</v>
      </c>
      <c r="N1015" s="1">
        <f>+M1015-J1015</f>
        <v>-3.1482915966510802E-2</v>
      </c>
      <c r="O1015">
        <v>2.16</v>
      </c>
      <c r="P1015" t="s">
        <v>15</v>
      </c>
      <c r="Q1015">
        <v>-0.02</v>
      </c>
      <c r="R1015">
        <v>-2.2360206484794601E-2</v>
      </c>
      <c r="S1015">
        <v>-2.1438450552523101E-2</v>
      </c>
      <c r="T1015">
        <v>0.01</v>
      </c>
    </row>
    <row r="1016" spans="1:20" x14ac:dyDescent="0.3">
      <c r="A1016" t="s">
        <v>82</v>
      </c>
      <c r="B1016">
        <v>2007</v>
      </c>
      <c r="C1016">
        <v>1199897</v>
      </c>
      <c r="D1016" s="1">
        <v>8.9999999999999993E-3</v>
      </c>
      <c r="E1016" s="1">
        <v>0.93727266788482699</v>
      </c>
      <c r="F1016" s="1">
        <v>-8.9999999999999993E-3</v>
      </c>
      <c r="G1016" s="1">
        <f t="shared" si="30"/>
        <v>-9.9999999999999915E-4</v>
      </c>
      <c r="H1016" s="1" t="str">
        <f t="shared" si="31"/>
        <v/>
      </c>
      <c r="I1016" s="1">
        <v>-3.0000000000000001E-3</v>
      </c>
      <c r="J1016" s="1">
        <f>+D1016-F1016+I1016*O1016</f>
        <v>1.1579999999999998E-2</v>
      </c>
      <c r="K1016" s="1">
        <v>6.6397935152053798E-3</v>
      </c>
      <c r="L1016" s="1">
        <f>+K1016-J1016</f>
        <v>-4.9402064847946184E-3</v>
      </c>
      <c r="M1016" s="1">
        <v>-2.2360206484794601E-2</v>
      </c>
      <c r="N1016" s="1">
        <f>+M1016-J1016</f>
        <v>-3.3940206484794601E-2</v>
      </c>
      <c r="O1016">
        <v>2.14</v>
      </c>
      <c r="P1016" t="s">
        <v>16</v>
      </c>
      <c r="Q1016">
        <v>-0.02</v>
      </c>
      <c r="R1016">
        <v>-3.0464451584964899E-2</v>
      </c>
      <c r="S1016">
        <v>-9.5364730805158604E-4</v>
      </c>
      <c r="T1016">
        <v>-0.01</v>
      </c>
    </row>
    <row r="1017" spans="1:20" x14ac:dyDescent="0.3">
      <c r="A1017" t="s">
        <v>82</v>
      </c>
      <c r="B1017">
        <v>2008</v>
      </c>
      <c r="C1017">
        <v>1205779</v>
      </c>
      <c r="D1017" s="1">
        <v>7.0000000000000001E-3</v>
      </c>
      <c r="E1017" s="1">
        <v>0.94287294149398804</v>
      </c>
      <c r="F1017" s="1">
        <v>-0.01</v>
      </c>
      <c r="G1017" s="1">
        <f t="shared" si="30"/>
        <v>-1.0999999999999999E-2</v>
      </c>
      <c r="H1017" s="1" t="str">
        <f t="shared" si="31"/>
        <v/>
      </c>
      <c r="I1017" s="1">
        <v>6.0000000000000001E-3</v>
      </c>
      <c r="J1017" s="1">
        <f>+D1017-F1017+I1017*O1017</f>
        <v>2.9659999999999999E-2</v>
      </c>
      <c r="K1017" s="1">
        <v>7.5355484150350103E-3</v>
      </c>
      <c r="L1017" s="1">
        <f>+K1017-J1017</f>
        <v>-2.2124451584964989E-2</v>
      </c>
      <c r="M1017" s="1">
        <v>-3.0464451584964899E-2</v>
      </c>
      <c r="N1017" s="1">
        <f>+M1017-J1017</f>
        <v>-6.0124451584964898E-2</v>
      </c>
      <c r="O1017">
        <v>2.11</v>
      </c>
      <c r="P1017" t="s">
        <v>17</v>
      </c>
      <c r="Q1017">
        <v>0</v>
      </c>
      <c r="R1017">
        <v>-3.0151818603277199E-2</v>
      </c>
      <c r="S1017">
        <v>-3.5851169377565401E-3</v>
      </c>
      <c r="T1017">
        <v>-0.01</v>
      </c>
    </row>
    <row r="1018" spans="1:20" x14ac:dyDescent="0.3">
      <c r="A1018" t="s">
        <v>82</v>
      </c>
      <c r="B1018">
        <v>2009</v>
      </c>
      <c r="C1018">
        <v>1210869</v>
      </c>
      <c r="D1018" s="1">
        <v>4.0000000000000001E-3</v>
      </c>
      <c r="E1018" s="1">
        <v>0.93615776300430298</v>
      </c>
      <c r="F1018" s="1">
        <v>4.1000000000000002E-2</v>
      </c>
      <c r="G1018" s="1">
        <f t="shared" si="30"/>
        <v>3.0000000000000002E-2</v>
      </c>
      <c r="H1018" s="1" t="str">
        <f t="shared" si="31"/>
        <v/>
      </c>
      <c r="I1018" s="1">
        <v>-7.0000000000000001E-3</v>
      </c>
      <c r="J1018" s="1">
        <f>+D1018-F1018+I1018*O1018</f>
        <v>-5.2400000000000009E-2</v>
      </c>
      <c r="K1018" s="1">
        <v>-3.4151818603277199E-2</v>
      </c>
      <c r="L1018" s="1">
        <f>+K1018-J1018</f>
        <v>1.824818139672281E-2</v>
      </c>
      <c r="M1018" s="1">
        <v>-3.0151818603277199E-2</v>
      </c>
      <c r="N1018" s="1">
        <f>+M1018-J1018</f>
        <v>2.224818139672281E-2</v>
      </c>
      <c r="O1018">
        <v>2.2000000000000002</v>
      </c>
      <c r="P1018" t="s">
        <v>17</v>
      </c>
      <c r="Q1018">
        <v>0</v>
      </c>
      <c r="R1018">
        <v>-1.6967348692938599E-2</v>
      </c>
      <c r="S1018">
        <v>-7.5072399340569999E-3</v>
      </c>
      <c r="T1018">
        <v>0.02</v>
      </c>
    </row>
    <row r="1019" spans="1:20" x14ac:dyDescent="0.3">
      <c r="A1019" t="s">
        <v>82</v>
      </c>
      <c r="B1019">
        <v>2010</v>
      </c>
      <c r="C1019">
        <v>1215191</v>
      </c>
      <c r="D1019" s="1">
        <v>0</v>
      </c>
      <c r="E1019" s="1">
        <v>0.94454222917556796</v>
      </c>
      <c r="F1019" s="1">
        <v>-2.7E-2</v>
      </c>
      <c r="G1019" s="1">
        <f t="shared" si="30"/>
        <v>3.0000000000000027E-3</v>
      </c>
      <c r="H1019" s="1" t="str">
        <f t="shared" si="31"/>
        <v/>
      </c>
      <c r="I1019" s="1">
        <v>8.0000000000000002E-3</v>
      </c>
      <c r="J1019" s="1">
        <f>+D1019-F1019+I1019*O1019</f>
        <v>4.4119999999999999E-2</v>
      </c>
      <c r="K1019" s="1">
        <v>-9.6734869293868498E-4</v>
      </c>
      <c r="L1019" s="1">
        <f>+K1019-J1019</f>
        <v>-4.5087348692938685E-2</v>
      </c>
      <c r="M1019" s="1">
        <v>-1.6967348692938599E-2</v>
      </c>
      <c r="N1019" s="1">
        <f>+M1019-J1019</f>
        <v>-6.1087348692938595E-2</v>
      </c>
      <c r="O1019">
        <v>2.14</v>
      </c>
      <c r="P1019" t="s">
        <v>17</v>
      </c>
      <c r="Q1019">
        <v>-0.01</v>
      </c>
      <c r="R1019">
        <v>-2.3439487785100899E-2</v>
      </c>
      <c r="S1019">
        <v>-2.1557132713496399E-3</v>
      </c>
      <c r="T1019">
        <v>-0.04</v>
      </c>
    </row>
    <row r="1020" spans="1:20" x14ac:dyDescent="0.3">
      <c r="A1020" t="s">
        <v>82</v>
      </c>
      <c r="B1020">
        <v>2011</v>
      </c>
      <c r="C1020">
        <v>1217505</v>
      </c>
      <c r="D1020" s="1">
        <v>-1E-3</v>
      </c>
      <c r="E1020" s="1">
        <v>0.94623124599456798</v>
      </c>
      <c r="F1020" s="1">
        <v>4.1000000000000002E-2</v>
      </c>
      <c r="G1020" s="1">
        <f t="shared" si="30"/>
        <v>4.4000000000000004E-2</v>
      </c>
      <c r="H1020" s="1" t="str">
        <f t="shared" si="31"/>
        <v/>
      </c>
      <c r="I1020" s="1">
        <v>2E-3</v>
      </c>
      <c r="J1020" s="1">
        <f>+D1020-F1020+I1020*O1020</f>
        <v>-3.7540000000000004E-2</v>
      </c>
      <c r="K1020" s="1">
        <v>8.5605122148990596E-3</v>
      </c>
      <c r="L1020" s="1">
        <f>+K1020-J1020</f>
        <v>4.6100512214899067E-2</v>
      </c>
      <c r="M1020" s="1">
        <v>-2.3439487785100899E-2</v>
      </c>
      <c r="N1020" s="1">
        <f>+M1020-J1020</f>
        <v>1.4100512214899105E-2</v>
      </c>
      <c r="O1020">
        <v>2.23</v>
      </c>
      <c r="P1020" t="s">
        <v>15</v>
      </c>
      <c r="Q1020">
        <v>0</v>
      </c>
      <c r="R1020">
        <v>-1.0894821308553199E-2</v>
      </c>
      <c r="S1020">
        <v>-5.4566152393817997E-3</v>
      </c>
      <c r="T1020">
        <v>0.04</v>
      </c>
    </row>
    <row r="1021" spans="1:20" x14ac:dyDescent="0.3">
      <c r="A1021" t="s">
        <v>82</v>
      </c>
      <c r="B1021">
        <v>2012</v>
      </c>
      <c r="C1021">
        <v>1218092</v>
      </c>
      <c r="D1021" s="1">
        <v>1.0999999999999999E-2</v>
      </c>
      <c r="E1021" s="1">
        <v>0.94299644231796298</v>
      </c>
      <c r="F1021" s="1">
        <v>-4.2999999999999997E-2</v>
      </c>
      <c r="G1021" s="1">
        <f t="shared" si="30"/>
        <v>1.0000000000000078E-3</v>
      </c>
      <c r="H1021" s="1" t="str">
        <f t="shared" si="31"/>
        <v/>
      </c>
      <c r="I1021" s="1">
        <v>-3.0000000000000001E-3</v>
      </c>
      <c r="J1021" s="1">
        <f>+D1021-F1021+I1021*O1021</f>
        <v>4.757999999999999E-2</v>
      </c>
      <c r="K1021" s="1">
        <v>1.01051786914468E-2</v>
      </c>
      <c r="L1021" s="1">
        <f>+K1021-J1021</f>
        <v>-3.7474821308553188E-2</v>
      </c>
      <c r="M1021" s="1">
        <v>-1.0894821308553199E-2</v>
      </c>
      <c r="N1021" s="1">
        <f>+M1021-J1021</f>
        <v>-5.8474821308553193E-2</v>
      </c>
      <c r="O1021">
        <v>2.14</v>
      </c>
      <c r="P1021" t="s">
        <v>16</v>
      </c>
      <c r="Q1021">
        <v>-0.01</v>
      </c>
      <c r="R1021">
        <v>-1.12641729414459E-3</v>
      </c>
      <c r="S1021">
        <v>-7.2531886398791903E-3</v>
      </c>
      <c r="T1021">
        <v>-0.05</v>
      </c>
    </row>
    <row r="1022" spans="1:20" x14ac:dyDescent="0.3">
      <c r="A1022" t="s">
        <v>82</v>
      </c>
      <c r="B1022">
        <v>2013</v>
      </c>
      <c r="C1022">
        <v>1218458</v>
      </c>
      <c r="D1022" s="1">
        <v>4.0000000000000001E-3</v>
      </c>
      <c r="E1022" s="1">
        <v>0.94437384605407704</v>
      </c>
      <c r="F1022" s="1">
        <v>2.3E-2</v>
      </c>
      <c r="G1022" s="1">
        <f t="shared" si="30"/>
        <v>2.4000000000000007E-2</v>
      </c>
      <c r="H1022" s="1" t="str">
        <f t="shared" si="31"/>
        <v/>
      </c>
      <c r="I1022" s="1">
        <v>1E-3</v>
      </c>
      <c r="J1022" s="1">
        <f>+D1022-F1022+I1022*O1022</f>
        <v>-1.6809999999999999E-2</v>
      </c>
      <c r="K1022" s="1">
        <v>1.3873582705855401E-2</v>
      </c>
      <c r="L1022" s="1">
        <f>+K1022-J1022</f>
        <v>3.0683582705855399E-2</v>
      </c>
      <c r="M1022" s="1">
        <v>-1.12641729414459E-3</v>
      </c>
      <c r="N1022" s="1">
        <f>+M1022-J1022</f>
        <v>1.568358270585541E-2</v>
      </c>
      <c r="O1022">
        <v>2.19</v>
      </c>
      <c r="P1022" t="s">
        <v>15</v>
      </c>
      <c r="Q1022">
        <v>-0.01</v>
      </c>
      <c r="R1022">
        <v>6.3675407469272896E-3</v>
      </c>
      <c r="S1022">
        <v>4.3595172464847903E-3</v>
      </c>
      <c r="T1022">
        <v>0.01</v>
      </c>
    </row>
    <row r="1023" spans="1:20" x14ac:dyDescent="0.3">
      <c r="A1023" t="s">
        <v>82</v>
      </c>
      <c r="B1023">
        <v>2014</v>
      </c>
      <c r="C1023">
        <v>1218515</v>
      </c>
      <c r="D1023" s="1">
        <v>7.0000000000000001E-3</v>
      </c>
      <c r="E1023" s="1">
        <v>0.94464904069900502</v>
      </c>
      <c r="F1023" s="1">
        <v>1.4999999999999999E-2</v>
      </c>
      <c r="G1023" s="1">
        <f t="shared" si="30"/>
        <v>3.9000000000000007E-2</v>
      </c>
      <c r="H1023" s="1" t="str">
        <f t="shared" si="31"/>
        <v/>
      </c>
      <c r="I1023" s="1">
        <v>0</v>
      </c>
      <c r="J1023" s="1">
        <f>+D1023-F1023+I1023*O1023</f>
        <v>-8.0000000000000002E-3</v>
      </c>
      <c r="K1023" s="1">
        <v>2.23675407469273E-2</v>
      </c>
      <c r="L1023" s="1">
        <f>+K1023-J1023</f>
        <v>3.03675407469273E-2</v>
      </c>
      <c r="M1023" s="1">
        <v>6.3675407469272896E-3</v>
      </c>
      <c r="N1023" s="1">
        <f>+M1023-J1023</f>
        <v>1.4367540746927289E-2</v>
      </c>
      <c r="O1023">
        <v>2.2200000000000002</v>
      </c>
      <c r="P1023" t="s">
        <v>15</v>
      </c>
      <c r="Q1023">
        <v>0</v>
      </c>
      <c r="R1023">
        <v>2.2839708417653998E-2</v>
      </c>
      <c r="S1023">
        <v>-7.4237436056136903E-3</v>
      </c>
      <c r="T1023">
        <v>0.01</v>
      </c>
    </row>
    <row r="1024" spans="1:20" x14ac:dyDescent="0.3">
      <c r="A1024" t="s">
        <v>82</v>
      </c>
      <c r="B1024">
        <v>2015</v>
      </c>
      <c r="C1024">
        <v>1217123</v>
      </c>
      <c r="D1024" s="1">
        <v>1.9E-2</v>
      </c>
      <c r="E1024" s="1">
        <v>0.94412207603454601</v>
      </c>
      <c r="F1024" s="1">
        <v>-4.4999999999999998E-2</v>
      </c>
      <c r="G1024" s="1">
        <f t="shared" si="30"/>
        <v>-5.9999999999999915E-3</v>
      </c>
      <c r="H1024" s="1" t="str">
        <f t="shared" si="31"/>
        <v/>
      </c>
      <c r="I1024" s="1">
        <v>-1E-3</v>
      </c>
      <c r="J1024" s="1">
        <f>+D1024-F1024+I1024*O1024</f>
        <v>6.1880000000000004E-2</v>
      </c>
      <c r="K1024" s="1">
        <v>2.3839708417653999E-2</v>
      </c>
      <c r="L1024" s="1">
        <f>+K1024-J1024</f>
        <v>-3.8040291582346009E-2</v>
      </c>
      <c r="M1024" s="1">
        <v>2.2839708417653998E-2</v>
      </c>
      <c r="N1024" s="1">
        <f>+M1024-J1024</f>
        <v>-3.9040291582346009E-2</v>
      </c>
      <c r="O1024">
        <v>2.12</v>
      </c>
      <c r="P1024" t="s">
        <v>16</v>
      </c>
      <c r="Q1024">
        <v>-0.01</v>
      </c>
      <c r="R1024">
        <v>7.7394901663064997E-3</v>
      </c>
      <c r="S1024">
        <v>-5.4140668362378996E-3</v>
      </c>
      <c r="T1024">
        <v>-0.03</v>
      </c>
    </row>
    <row r="1025" spans="1:20" x14ac:dyDescent="0.3">
      <c r="A1025" t="s">
        <v>82</v>
      </c>
      <c r="B1025">
        <v>2016</v>
      </c>
      <c r="C1025">
        <v>1215398</v>
      </c>
      <c r="D1025" s="1">
        <v>1.9E-2</v>
      </c>
      <c r="E1025" s="1">
        <v>0.94441848993301403</v>
      </c>
      <c r="F1025" s="1">
        <v>-1.4E-2</v>
      </c>
      <c r="G1025" s="1">
        <f t="shared" si="30"/>
        <v>-1.999999999999999E-2</v>
      </c>
      <c r="H1025" s="1" t="str">
        <f t="shared" si="31"/>
        <v/>
      </c>
      <c r="I1025" s="1">
        <v>0</v>
      </c>
      <c r="J1025" s="1">
        <f>+D1025-F1025+I1025*O1025</f>
        <v>3.3000000000000002E-2</v>
      </c>
      <c r="K1025" s="1">
        <v>2.0739490166306499E-2</v>
      </c>
      <c r="L1025" s="1">
        <f>+K1025-J1025</f>
        <v>-1.2260509833693502E-2</v>
      </c>
      <c r="M1025" s="1">
        <v>7.7394901663064997E-3</v>
      </c>
      <c r="N1025" s="1">
        <f>+M1025-J1025</f>
        <v>-2.5260509833693504E-2</v>
      </c>
      <c r="O1025">
        <v>2.09</v>
      </c>
      <c r="P1025" t="s">
        <v>17</v>
      </c>
      <c r="Q1025">
        <v>-0.01</v>
      </c>
      <c r="R1025">
        <v>-2.9407854229211998E-3</v>
      </c>
      <c r="S1025">
        <v>-5.7303588837385004E-3</v>
      </c>
      <c r="T1025">
        <v>-0.01</v>
      </c>
    </row>
    <row r="1026" spans="1:20" x14ac:dyDescent="0.3">
      <c r="A1026" t="s">
        <v>82</v>
      </c>
      <c r="B1026">
        <v>2017</v>
      </c>
      <c r="C1026">
        <v>1215074</v>
      </c>
      <c r="D1026" s="1">
        <v>2.3E-2</v>
      </c>
      <c r="E1026" s="1">
        <v>0.93989682197570801</v>
      </c>
      <c r="F1026" s="1">
        <v>0</v>
      </c>
      <c r="G1026" s="1">
        <f t="shared" si="30"/>
        <v>-1.999999999999999E-2</v>
      </c>
      <c r="H1026" s="1" t="str">
        <f t="shared" si="31"/>
        <v/>
      </c>
      <c r="I1026" s="1">
        <v>-5.0000000000000001E-3</v>
      </c>
      <c r="J1026" s="1">
        <f>+D1026-F1026+I1026*O1026</f>
        <v>1.255E-2</v>
      </c>
      <c r="K1026" s="1">
        <v>1.8059214577078798E-2</v>
      </c>
      <c r="L1026" s="1">
        <f>+K1026-J1026</f>
        <v>5.5092145770787981E-3</v>
      </c>
      <c r="M1026" s="1">
        <v>-2.9407854229211998E-3</v>
      </c>
      <c r="N1026" s="1">
        <f>+M1026-J1026</f>
        <v>-1.54907854229212E-2</v>
      </c>
      <c r="O1026">
        <v>2.09</v>
      </c>
      <c r="P1026" t="s">
        <v>16</v>
      </c>
      <c r="Q1026">
        <v>-0.01</v>
      </c>
      <c r="R1026">
        <v>6.4341148585080896E-3</v>
      </c>
      <c r="S1026">
        <v>-2.7009081095456899E-3</v>
      </c>
      <c r="T1026">
        <v>0</v>
      </c>
    </row>
    <row r="1027" spans="1:20" x14ac:dyDescent="0.3">
      <c r="A1027" t="s">
        <v>82</v>
      </c>
      <c r="B1027">
        <v>2018</v>
      </c>
      <c r="C1027">
        <v>1215141</v>
      </c>
      <c r="D1027" s="1">
        <v>0.01</v>
      </c>
      <c r="E1027" s="1">
        <v>0.94957804679870605</v>
      </c>
      <c r="F1027" s="1">
        <v>3.5999999999999997E-2</v>
      </c>
      <c r="G1027" s="1">
        <f t="shared" si="30"/>
        <v>1.6000000000000007E-2</v>
      </c>
      <c r="H1027" s="1" t="str">
        <f t="shared" si="31"/>
        <v/>
      </c>
      <c r="I1027" s="1">
        <v>0.01</v>
      </c>
      <c r="J1027" s="1">
        <f>+D1027-F1027+I1027*O1027</f>
        <v>-4.3999999999999942E-3</v>
      </c>
      <c r="K1027" s="1">
        <v>3.04341148585081E-2</v>
      </c>
      <c r="L1027" s="1">
        <f>+K1027-J1027</f>
        <v>3.4834114858508097E-2</v>
      </c>
      <c r="M1027" s="1">
        <v>6.4341148585080896E-3</v>
      </c>
      <c r="N1027" s="1">
        <f>+M1027-J1027</f>
        <v>1.0834114858508083E-2</v>
      </c>
      <c r="O1027">
        <v>2.16</v>
      </c>
      <c r="P1027" t="s">
        <v>15</v>
      </c>
      <c r="Q1027">
        <v>0</v>
      </c>
      <c r="R1027">
        <v>1.0857348486781101E-2</v>
      </c>
      <c r="S1027">
        <v>-6.9438461214303996E-3</v>
      </c>
      <c r="T1027">
        <v>0.05</v>
      </c>
    </row>
    <row r="1028" spans="1:20" x14ac:dyDescent="0.3">
      <c r="A1028" t="s">
        <v>82</v>
      </c>
      <c r="B1028">
        <v>2019</v>
      </c>
      <c r="C1028">
        <v>1214215</v>
      </c>
      <c r="D1028" s="1">
        <v>2.4E-2</v>
      </c>
      <c r="E1028" s="1">
        <v>0.94141924381256104</v>
      </c>
      <c r="F1028" s="1">
        <v>-7.0999999999999994E-2</v>
      </c>
      <c r="G1028" s="1">
        <f t="shared" si="30"/>
        <v>-5.4999999999999986E-2</v>
      </c>
      <c r="H1028" s="1" t="str">
        <f t="shared" si="31"/>
        <v/>
      </c>
      <c r="I1028" s="1">
        <v>-8.0000000000000002E-3</v>
      </c>
      <c r="J1028" s="1">
        <f>+D1028-F1028+I1028*O1028</f>
        <v>7.8920000000000004E-2</v>
      </c>
      <c r="K1028" s="1">
        <v>2.8857348486781099E-2</v>
      </c>
      <c r="L1028" s="1">
        <f>+K1028-J1028</f>
        <v>-5.0062651513218905E-2</v>
      </c>
      <c r="M1028" s="1">
        <v>1.0857348486781101E-2</v>
      </c>
      <c r="N1028" s="1">
        <f>+M1028-J1028</f>
        <v>-6.80626515132189E-2</v>
      </c>
      <c r="O1028">
        <v>2.0099999999999998</v>
      </c>
      <c r="P1028" t="s">
        <v>16</v>
      </c>
      <c r="Q1028">
        <v>-0.01</v>
      </c>
      <c r="R1028">
        <v>1.7077459126710898E-2</v>
      </c>
      <c r="S1028">
        <v>-1.7717313021421001E-3</v>
      </c>
      <c r="T1028">
        <v>-0.06</v>
      </c>
    </row>
    <row r="1029" spans="1:20" x14ac:dyDescent="0.3">
      <c r="A1029" t="s">
        <v>82</v>
      </c>
      <c r="B1029">
        <v>2020</v>
      </c>
      <c r="C1029">
        <v>1206782</v>
      </c>
      <c r="D1029" s="1">
        <v>1.9E-2</v>
      </c>
      <c r="E1029" s="1">
        <v>0.95468300580978405</v>
      </c>
      <c r="F1029" s="1">
        <v>-1.4E-2</v>
      </c>
      <c r="G1029" s="1">
        <f t="shared" si="30"/>
        <v>-6.8999999999999992E-2</v>
      </c>
      <c r="H1029" s="1" t="str">
        <f t="shared" si="31"/>
        <v/>
      </c>
      <c r="I1029" s="1">
        <v>1.2999999999999999E-2</v>
      </c>
      <c r="J1029" s="1">
        <f>+D1029-F1029+I1029*O1029</f>
        <v>5.8740000000000001E-2</v>
      </c>
      <c r="K1029" s="1">
        <v>2.9077459126710899E-2</v>
      </c>
      <c r="L1029" s="1">
        <f>+K1029-J1029</f>
        <v>-2.9662540873289102E-2</v>
      </c>
      <c r="M1029" s="1">
        <v>1.7077459126710898E-2</v>
      </c>
      <c r="N1029" s="1">
        <f>+M1029-J1029</f>
        <v>-4.1662540873289106E-2</v>
      </c>
      <c r="O1029">
        <v>1.98</v>
      </c>
      <c r="P1029" t="s">
        <v>17</v>
      </c>
      <c r="Q1029">
        <v>0</v>
      </c>
      <c r="R1029">
        <v>1.7722649753093699E-2</v>
      </c>
      <c r="S1029">
        <v>-2.58669629693032E-2</v>
      </c>
      <c r="T1029">
        <v>0.03</v>
      </c>
    </row>
    <row r="1030" spans="1:20" x14ac:dyDescent="0.3">
      <c r="A1030" t="s">
        <v>82</v>
      </c>
      <c r="B1030">
        <v>2021</v>
      </c>
      <c r="C1030">
        <v>1215449</v>
      </c>
      <c r="D1030" s="1">
        <v>6.0000000000000001E-3</v>
      </c>
      <c r="E1030" s="1">
        <v>0.96177285909652699</v>
      </c>
      <c r="F1030" s="1">
        <v>6.0999999999999999E-2</v>
      </c>
      <c r="G1030" s="1">
        <f t="shared" si="30"/>
        <v>-7.9999999999999932E-3</v>
      </c>
      <c r="H1030" s="1" t="str">
        <f t="shared" si="31"/>
        <v/>
      </c>
      <c r="I1030" s="1">
        <v>7.0000000000000001E-3</v>
      </c>
      <c r="J1030" s="1">
        <f>+D1030-F1030+I1030*O1030</f>
        <v>-4.0300000000000002E-2</v>
      </c>
      <c r="K1030" s="1">
        <v>6.4722649753093706E-2</v>
      </c>
      <c r="L1030" s="1">
        <f>+K1030-J1030</f>
        <v>0.10502264975309371</v>
      </c>
      <c r="M1030" s="1">
        <v>1.7722649753093699E-2</v>
      </c>
      <c r="N1030" s="1">
        <f>+M1030-J1030</f>
        <v>5.8022649753093701E-2</v>
      </c>
      <c r="O1030">
        <v>2.1</v>
      </c>
      <c r="P1030" t="s">
        <v>15</v>
      </c>
      <c r="Q1030">
        <v>-0.03</v>
      </c>
      <c r="R1030">
        <v>-2.6616426110267599E-2</v>
      </c>
      <c r="S1030">
        <v>5.4870806634427002E-3</v>
      </c>
      <c r="T1030">
        <v>0.03</v>
      </c>
    </row>
    <row r="1031" spans="1:20" x14ac:dyDescent="0.3">
      <c r="A1031" t="s">
        <v>82</v>
      </c>
      <c r="B1031">
        <v>2022</v>
      </c>
      <c r="C1031">
        <v>1220828</v>
      </c>
      <c r="D1031" s="1">
        <v>6.0000000000000001E-3</v>
      </c>
      <c r="E1031" s="1">
        <v>0.95645546913146995</v>
      </c>
      <c r="F1031" s="1">
        <v>-7.1999999999999995E-2</v>
      </c>
      <c r="G1031" s="1">
        <f t="shared" ref="G1031:G1094" si="32">SUMIFS(F:F,A:A,A1031,B:B,"&lt;="&amp;B1031)</f>
        <v>-7.9999999999999988E-2</v>
      </c>
      <c r="H1031" s="1" t="str">
        <f t="shared" ref="H1031:H1094" si="33">IFERROR(IF(ABS(G1031)&gt;0.12,AVERAGEIFS(K:K,A:A,A1031,B:B,"&gt;"&amp;B1031,B:B,"&lt;"&amp;B1031+3),""),"")</f>
        <v/>
      </c>
      <c r="I1031" s="1">
        <v>-5.0000000000000001E-3</v>
      </c>
      <c r="J1031" s="1">
        <f>+D1031-F1031+I1031*O1031</f>
        <v>6.8250000000000005E-2</v>
      </c>
      <c r="K1031" s="1">
        <v>5.3383573889732402E-2</v>
      </c>
      <c r="L1031" s="1">
        <f>+K1031-J1031</f>
        <v>-1.4866426110267603E-2</v>
      </c>
      <c r="M1031" s="1">
        <v>-2.6616426110267599E-2</v>
      </c>
      <c r="N1031" s="1">
        <f>+M1031-J1031</f>
        <v>-9.4866426110267604E-2</v>
      </c>
      <c r="O1031">
        <v>1.95</v>
      </c>
      <c r="P1031" t="s">
        <v>16</v>
      </c>
      <c r="Q1031">
        <v>0.01</v>
      </c>
      <c r="R1031">
        <v>-2.3644268513020501E-6</v>
      </c>
      <c r="S1031">
        <v>1.9556563347578E-2</v>
      </c>
      <c r="T1031">
        <v>-0.06</v>
      </c>
    </row>
    <row r="1032" spans="1:20" x14ac:dyDescent="0.3">
      <c r="A1032" t="s">
        <v>83</v>
      </c>
      <c r="B1032">
        <v>2006</v>
      </c>
      <c r="C1032">
        <v>926497.0625</v>
      </c>
      <c r="D1032" s="1">
        <v>0</v>
      </c>
      <c r="E1032" s="1">
        <v>0.96103650331497203</v>
      </c>
      <c r="F1032" s="1">
        <v>0.01</v>
      </c>
      <c r="G1032" s="1">
        <f t="shared" si="32"/>
        <v>0.01</v>
      </c>
      <c r="H1032" s="1" t="str">
        <f t="shared" si="33"/>
        <v/>
      </c>
      <c r="I1032" s="1">
        <v>5.0000000000000001E-3</v>
      </c>
      <c r="J1032" s="1">
        <f>+D1032-F1032+I1032*O1032</f>
        <v>3.1000000000000003E-3</v>
      </c>
      <c r="K1032" s="1">
        <v>8.2445144653320299E-2</v>
      </c>
      <c r="L1032" s="1">
        <f>+K1032-J1032</f>
        <v>7.9345144653320293E-2</v>
      </c>
      <c r="M1032" s="1">
        <v>5.0445144653320298E-2</v>
      </c>
      <c r="N1032" s="1">
        <f>+M1032-J1032</f>
        <v>4.7345144653320299E-2</v>
      </c>
      <c r="O1032">
        <v>2.62</v>
      </c>
      <c r="P1032" t="s">
        <v>15</v>
      </c>
      <c r="Q1032">
        <v>0.04</v>
      </c>
      <c r="R1032">
        <v>3.1111496597528401E-2</v>
      </c>
      <c r="S1032">
        <v>3.2033252529800001E-2</v>
      </c>
      <c r="T1032">
        <v>0.01</v>
      </c>
    </row>
    <row r="1033" spans="1:20" x14ac:dyDescent="0.3">
      <c r="A1033" t="s">
        <v>83</v>
      </c>
      <c r="B1033">
        <v>2007</v>
      </c>
      <c r="C1033">
        <v>927415.125</v>
      </c>
      <c r="D1033" s="1">
        <v>0</v>
      </c>
      <c r="E1033" s="1">
        <v>0.96140450239181496</v>
      </c>
      <c r="F1033" s="1">
        <v>-0.03</v>
      </c>
      <c r="G1033" s="1">
        <f t="shared" si="32"/>
        <v>-1.9999999999999997E-2</v>
      </c>
      <c r="H1033" s="1" t="str">
        <f t="shared" si="33"/>
        <v/>
      </c>
      <c r="I1033" s="1">
        <v>0</v>
      </c>
      <c r="J1033" s="1">
        <f>+D1033-F1033+I1033*O1033</f>
        <v>0.03</v>
      </c>
      <c r="K1033" s="1">
        <v>6.0111496597528499E-2</v>
      </c>
      <c r="L1033" s="1">
        <f>+K1033-J1033</f>
        <v>3.01114965975285E-2</v>
      </c>
      <c r="M1033" s="1">
        <v>3.1111496597528401E-2</v>
      </c>
      <c r="N1033" s="1">
        <f>+M1033-J1033</f>
        <v>1.1114965975284018E-3</v>
      </c>
      <c r="O1033">
        <v>2.54</v>
      </c>
      <c r="P1033" t="s">
        <v>17</v>
      </c>
      <c r="Q1033">
        <v>0.03</v>
      </c>
      <c r="R1033">
        <v>-3.88424302213825E-2</v>
      </c>
      <c r="S1033">
        <v>-9.3316259444691206E-3</v>
      </c>
      <c r="T1033">
        <v>-0.03</v>
      </c>
    </row>
    <row r="1034" spans="1:20" x14ac:dyDescent="0.3">
      <c r="A1034" t="s">
        <v>83</v>
      </c>
      <c r="B1034">
        <v>2008</v>
      </c>
      <c r="C1034">
        <v>936094</v>
      </c>
      <c r="D1034" s="1">
        <v>0</v>
      </c>
      <c r="E1034" s="1">
        <v>0.95483303070068404</v>
      </c>
      <c r="F1034" s="1">
        <v>4.1000000000000002E-2</v>
      </c>
      <c r="G1034" s="1">
        <f t="shared" si="32"/>
        <v>2.1000000000000005E-2</v>
      </c>
      <c r="H1034" s="1" t="str">
        <f t="shared" si="33"/>
        <v/>
      </c>
      <c r="I1034" s="1">
        <v>-7.0000000000000001E-3</v>
      </c>
      <c r="J1034" s="1">
        <f>+D1034-F1034+I1034*O1034</f>
        <v>-5.9550000000000006E-2</v>
      </c>
      <c r="K1034" s="1">
        <v>-8.4243022138252898E-4</v>
      </c>
      <c r="L1034" s="1">
        <f>+K1034-J1034</f>
        <v>5.8707569778617477E-2</v>
      </c>
      <c r="M1034" s="1">
        <v>-3.88424302213825E-2</v>
      </c>
      <c r="N1034" s="1">
        <f>+M1034-J1034</f>
        <v>2.0707569778617506E-2</v>
      </c>
      <c r="O1034">
        <v>2.65</v>
      </c>
      <c r="P1034" t="s">
        <v>17</v>
      </c>
      <c r="Q1034">
        <v>-0.01</v>
      </c>
      <c r="R1034">
        <v>-4.9752642124891298E-2</v>
      </c>
      <c r="S1034">
        <v>-2.3185940459370599E-2</v>
      </c>
      <c r="T1034">
        <v>0.04</v>
      </c>
    </row>
    <row r="1035" spans="1:20" x14ac:dyDescent="0.3">
      <c r="A1035" t="s">
        <v>83</v>
      </c>
      <c r="B1035">
        <v>2009</v>
      </c>
      <c r="C1035">
        <v>946832.6875</v>
      </c>
      <c r="D1035" s="1">
        <v>3.0000000000000001E-3</v>
      </c>
      <c r="E1035" s="1">
        <v>0.94823998212814298</v>
      </c>
      <c r="F1035" s="1">
        <v>-4.0000000000000001E-3</v>
      </c>
      <c r="G1035" s="1">
        <f t="shared" si="32"/>
        <v>1.7000000000000005E-2</v>
      </c>
      <c r="H1035" s="1" t="str">
        <f t="shared" si="33"/>
        <v/>
      </c>
      <c r="I1035" s="1">
        <v>-7.0000000000000001E-3</v>
      </c>
      <c r="J1035" s="1">
        <f>+D1035-F1035+I1035*O1035</f>
        <v>-1.1480000000000001E-2</v>
      </c>
      <c r="K1035" s="1">
        <v>-5.3752642124891302E-2</v>
      </c>
      <c r="L1035" s="1">
        <f>+K1035-J1035</f>
        <v>-4.2272642124891305E-2</v>
      </c>
      <c r="M1035" s="1">
        <v>-4.9752642124891298E-2</v>
      </c>
      <c r="N1035" s="1">
        <f>+M1035-J1035</f>
        <v>-3.8272642124891301E-2</v>
      </c>
      <c r="O1035">
        <v>2.64</v>
      </c>
      <c r="P1035" t="s">
        <v>16</v>
      </c>
      <c r="Q1035">
        <v>-0.02</v>
      </c>
      <c r="R1035">
        <v>2.14034158885478E-2</v>
      </c>
      <c r="S1035">
        <v>3.0863524647429499E-2</v>
      </c>
      <c r="T1035">
        <v>-0.02</v>
      </c>
    </row>
    <row r="1036" spans="1:20" x14ac:dyDescent="0.3">
      <c r="A1036" t="s">
        <v>83</v>
      </c>
      <c r="B1036">
        <v>2010</v>
      </c>
      <c r="C1036">
        <v>961626.75</v>
      </c>
      <c r="D1036" s="1">
        <v>0</v>
      </c>
      <c r="E1036" s="1">
        <v>0.95627415180206299</v>
      </c>
      <c r="F1036" s="1">
        <v>-1.4999999999999999E-2</v>
      </c>
      <c r="G1036" s="1">
        <f t="shared" si="32"/>
        <v>2.0000000000000052E-3</v>
      </c>
      <c r="H1036" s="1" t="str">
        <f t="shared" si="33"/>
        <v/>
      </c>
      <c r="I1036" s="1">
        <v>8.0000000000000002E-3</v>
      </c>
      <c r="J1036" s="1">
        <f>+D1036-F1036+I1036*O1036</f>
        <v>3.5799999999999998E-2</v>
      </c>
      <c r="K1036" s="1">
        <v>3.7403415888547897E-2</v>
      </c>
      <c r="L1036" s="1">
        <f>+K1036-J1036</f>
        <v>1.6034158885478988E-3</v>
      </c>
      <c r="M1036" s="1">
        <v>2.14034158885478E-2</v>
      </c>
      <c r="N1036" s="1">
        <f>+M1036-J1036</f>
        <v>-1.4396584111452199E-2</v>
      </c>
      <c r="O1036">
        <v>2.6</v>
      </c>
      <c r="P1036" t="s">
        <v>17</v>
      </c>
      <c r="Q1036">
        <v>0.03</v>
      </c>
      <c r="R1036">
        <v>-1.9640019506216001E-2</v>
      </c>
      <c r="S1036">
        <v>1.6437550075352901E-3</v>
      </c>
      <c r="T1036">
        <v>-0.02</v>
      </c>
    </row>
    <row r="1037" spans="1:20" x14ac:dyDescent="0.3">
      <c r="A1037" t="s">
        <v>83</v>
      </c>
      <c r="B1037">
        <v>2011</v>
      </c>
      <c r="C1037">
        <v>977539.125</v>
      </c>
      <c r="D1037" s="1">
        <v>0</v>
      </c>
      <c r="E1037" s="1">
        <v>0.95437389612197898</v>
      </c>
      <c r="F1037" s="1">
        <v>1.2999999999999999E-2</v>
      </c>
      <c r="G1037" s="1">
        <f t="shared" si="32"/>
        <v>1.5000000000000005E-2</v>
      </c>
      <c r="H1037" s="1" t="str">
        <f t="shared" si="33"/>
        <v/>
      </c>
      <c r="I1037" s="1">
        <v>-2E-3</v>
      </c>
      <c r="J1037" s="1">
        <f>+D1037-F1037+I1037*O1037</f>
        <v>-1.8259999999999998E-2</v>
      </c>
      <c r="K1037" s="1">
        <v>1.2359980493783999E-2</v>
      </c>
      <c r="L1037" s="1">
        <f>+K1037-J1037</f>
        <v>3.0619980493783998E-2</v>
      </c>
      <c r="M1037" s="1">
        <v>-1.9640019506216001E-2</v>
      </c>
      <c r="N1037" s="1">
        <f>+M1037-J1037</f>
        <v>-1.3800195062160028E-3</v>
      </c>
      <c r="O1037">
        <v>2.63</v>
      </c>
      <c r="P1037" t="s">
        <v>17</v>
      </c>
      <c r="Q1037">
        <v>0</v>
      </c>
      <c r="R1037">
        <v>5.8331449478865004E-3</v>
      </c>
      <c r="S1037">
        <v>1.1271351017057901E-2</v>
      </c>
      <c r="T1037">
        <v>0.01</v>
      </c>
    </row>
    <row r="1038" spans="1:20" x14ac:dyDescent="0.3">
      <c r="A1038" t="s">
        <v>83</v>
      </c>
      <c r="B1038">
        <v>2012</v>
      </c>
      <c r="C1038">
        <v>992736.3125</v>
      </c>
      <c r="D1038" s="1">
        <v>2E-3</v>
      </c>
      <c r="E1038" s="1">
        <v>0.95495414733886697</v>
      </c>
      <c r="F1038" s="1">
        <v>1.7000000000000001E-2</v>
      </c>
      <c r="G1038" s="1">
        <f t="shared" si="32"/>
        <v>3.2000000000000008E-2</v>
      </c>
      <c r="H1038" s="1" t="str">
        <f t="shared" si="33"/>
        <v/>
      </c>
      <c r="I1038" s="1">
        <v>1E-3</v>
      </c>
      <c r="J1038" s="1">
        <f>+D1038-F1038+I1038*O1038</f>
        <v>-1.2320000000000001E-2</v>
      </c>
      <c r="K1038" s="1">
        <v>2.6833144947886502E-2</v>
      </c>
      <c r="L1038" s="1">
        <f>+K1038-J1038</f>
        <v>3.9153144947886506E-2</v>
      </c>
      <c r="M1038" s="1">
        <v>5.8331449478865004E-3</v>
      </c>
      <c r="N1038" s="1">
        <f>+M1038-J1038</f>
        <v>1.8153144947886501E-2</v>
      </c>
      <c r="O1038">
        <v>2.68</v>
      </c>
      <c r="P1038" t="s">
        <v>15</v>
      </c>
      <c r="Q1038">
        <v>0.01</v>
      </c>
      <c r="R1038">
        <v>2.12651161849499E-2</v>
      </c>
      <c r="S1038">
        <v>1.5138344839215299E-2</v>
      </c>
      <c r="T1038">
        <v>0.01</v>
      </c>
    </row>
    <row r="1039" spans="1:20" x14ac:dyDescent="0.3">
      <c r="A1039" t="s">
        <v>83</v>
      </c>
      <c r="B1039">
        <v>2013</v>
      </c>
      <c r="C1039">
        <v>1004051</v>
      </c>
      <c r="D1039" s="1">
        <v>0</v>
      </c>
      <c r="E1039" s="1">
        <v>0.95419639348983798</v>
      </c>
      <c r="F1039" s="1">
        <v>1.4E-2</v>
      </c>
      <c r="G1039" s="1">
        <f t="shared" si="32"/>
        <v>4.6000000000000006E-2</v>
      </c>
      <c r="H1039" s="1" t="str">
        <f t="shared" si="33"/>
        <v/>
      </c>
      <c r="I1039" s="1">
        <v>-1E-3</v>
      </c>
      <c r="J1039" s="1">
        <f>+D1039-F1039+I1039*O1039</f>
        <v>-1.6709999999999999E-2</v>
      </c>
      <c r="K1039" s="1">
        <v>3.6265116184949903E-2</v>
      </c>
      <c r="L1039" s="1">
        <f>+K1039-J1039</f>
        <v>5.2975116184949905E-2</v>
      </c>
      <c r="M1039" s="1">
        <v>2.12651161849499E-2</v>
      </c>
      <c r="N1039" s="1">
        <f>+M1039-J1039</f>
        <v>3.7975116184949899E-2</v>
      </c>
      <c r="O1039">
        <v>2.71</v>
      </c>
      <c r="P1039" t="s">
        <v>17</v>
      </c>
      <c r="Q1039">
        <v>0.02</v>
      </c>
      <c r="R1039">
        <v>2.72271286845207E-2</v>
      </c>
      <c r="S1039">
        <v>2.5219105184078199E-2</v>
      </c>
      <c r="T1039">
        <v>0.01</v>
      </c>
    </row>
    <row r="1040" spans="1:20" x14ac:dyDescent="0.3">
      <c r="A1040" t="s">
        <v>83</v>
      </c>
      <c r="B1040">
        <v>2014</v>
      </c>
      <c r="C1040">
        <v>1011153</v>
      </c>
      <c r="D1040" s="1">
        <v>0</v>
      </c>
      <c r="E1040" s="1">
        <v>0.958407282829285</v>
      </c>
      <c r="F1040" s="1">
        <v>3.0000000000000001E-3</v>
      </c>
      <c r="G1040" s="1">
        <f t="shared" si="32"/>
        <v>4.9000000000000009E-2</v>
      </c>
      <c r="H1040" s="1" t="str">
        <f t="shared" si="33"/>
        <v/>
      </c>
      <c r="I1040" s="1">
        <v>4.0000000000000001E-3</v>
      </c>
      <c r="J1040" s="1">
        <f>+D1040-F1040+I1040*O1040</f>
        <v>7.8800000000000016E-3</v>
      </c>
      <c r="K1040" s="1">
        <v>4.3227128684520701E-2</v>
      </c>
      <c r="L1040" s="1">
        <f>+K1040-J1040</f>
        <v>3.5347128684520696E-2</v>
      </c>
      <c r="M1040" s="1">
        <v>2.72271286845207E-2</v>
      </c>
      <c r="N1040" s="1">
        <f>+M1040-J1040</f>
        <v>1.9347128684520699E-2</v>
      </c>
      <c r="O1040">
        <v>2.72</v>
      </c>
      <c r="P1040" t="s">
        <v>15</v>
      </c>
      <c r="Q1040">
        <v>0.03</v>
      </c>
      <c r="R1040">
        <v>1.43816780075431E-2</v>
      </c>
      <c r="S1040">
        <v>-1.5881774015724499E-2</v>
      </c>
      <c r="T1040">
        <v>0</v>
      </c>
    </row>
    <row r="1041" spans="1:20" x14ac:dyDescent="0.3">
      <c r="A1041" t="s">
        <v>83</v>
      </c>
      <c r="B1041">
        <v>2015</v>
      </c>
      <c r="C1041">
        <v>1019147</v>
      </c>
      <c r="D1041" s="1">
        <v>1.7999999999999999E-2</v>
      </c>
      <c r="E1041" s="1">
        <v>0.94770032167434703</v>
      </c>
      <c r="F1041" s="1">
        <v>7.0000000000000001E-3</v>
      </c>
      <c r="G1041" s="1">
        <f t="shared" si="32"/>
        <v>5.6000000000000008E-2</v>
      </c>
      <c r="H1041" s="1" t="str">
        <f t="shared" si="33"/>
        <v/>
      </c>
      <c r="I1041" s="1">
        <v>-1.0999999999999999E-2</v>
      </c>
      <c r="J1041" s="1">
        <f>+D1041-F1041+I1041*O1041</f>
        <v>-1.9140000000000001E-2</v>
      </c>
      <c r="K1041" s="1">
        <v>1.5381678007543099E-2</v>
      </c>
      <c r="L1041" s="1">
        <f>+K1041-J1041</f>
        <v>3.4521678007543098E-2</v>
      </c>
      <c r="M1041" s="1">
        <v>1.43816780075431E-2</v>
      </c>
      <c r="N1041" s="1">
        <f>+M1041-J1041</f>
        <v>3.3521678007543104E-2</v>
      </c>
      <c r="O1041">
        <v>2.74</v>
      </c>
      <c r="P1041" t="s">
        <v>17</v>
      </c>
      <c r="Q1041">
        <v>-0.02</v>
      </c>
      <c r="R1041">
        <v>-3.28479028493165E-3</v>
      </c>
      <c r="S1041">
        <v>-1.6438347287476E-2</v>
      </c>
      <c r="T1041">
        <v>0.02</v>
      </c>
    </row>
    <row r="1042" spans="1:20" x14ac:dyDescent="0.3">
      <c r="A1042" t="s">
        <v>83</v>
      </c>
      <c r="B1042">
        <v>2016</v>
      </c>
      <c r="C1042">
        <v>1023593</v>
      </c>
      <c r="D1042" s="1">
        <v>2E-3</v>
      </c>
      <c r="E1042" s="1">
        <v>0.95330399274826005</v>
      </c>
      <c r="F1042" s="1">
        <v>-2.4E-2</v>
      </c>
      <c r="G1042" s="1">
        <f t="shared" si="32"/>
        <v>3.2000000000000008E-2</v>
      </c>
      <c r="H1042" s="1" t="str">
        <f t="shared" si="33"/>
        <v/>
      </c>
      <c r="I1042" s="1">
        <v>6.0000000000000001E-3</v>
      </c>
      <c r="J1042" s="1">
        <f>+D1042-F1042+I1042*O1042</f>
        <v>4.2080000000000006E-2</v>
      </c>
      <c r="K1042" s="1">
        <v>9.7152097150683403E-3</v>
      </c>
      <c r="L1042" s="1">
        <f>+K1042-J1042</f>
        <v>-3.2364790284931666E-2</v>
      </c>
      <c r="M1042" s="1">
        <v>-3.28479028493165E-3</v>
      </c>
      <c r="N1042" s="1">
        <f>+M1042-J1042</f>
        <v>-4.5364790284931657E-2</v>
      </c>
      <c r="O1042">
        <v>2.68</v>
      </c>
      <c r="P1042" t="s">
        <v>17</v>
      </c>
      <c r="Q1042">
        <v>-0.02</v>
      </c>
      <c r="R1042">
        <v>7.6920275539159901E-3</v>
      </c>
      <c r="S1042">
        <v>4.9024540930986899E-3</v>
      </c>
      <c r="T1042">
        <v>-0.02</v>
      </c>
    </row>
    <row r="1043" spans="1:20" x14ac:dyDescent="0.3">
      <c r="A1043" t="s">
        <v>83</v>
      </c>
      <c r="B1043">
        <v>2017</v>
      </c>
      <c r="C1043">
        <v>1022452</v>
      </c>
      <c r="D1043" s="1">
        <v>8.0000000000000002E-3</v>
      </c>
      <c r="E1043" s="1">
        <v>0.95053642988205</v>
      </c>
      <c r="F1043" s="1">
        <v>-3.2000000000000001E-2</v>
      </c>
      <c r="G1043" s="1">
        <f t="shared" si="32"/>
        <v>6.9388939039072284E-18</v>
      </c>
      <c r="H1043" s="1" t="str">
        <f t="shared" si="33"/>
        <v/>
      </c>
      <c r="I1043" s="1">
        <v>-3.0000000000000001E-3</v>
      </c>
      <c r="J1043" s="1">
        <f>+D1043-F1043+I1043*O1043</f>
        <v>3.2230000000000002E-2</v>
      </c>
      <c r="K1043" s="1">
        <v>2.8692027553915998E-2</v>
      </c>
      <c r="L1043" s="1">
        <f>+K1043-J1043</f>
        <v>-3.5379724460840034E-3</v>
      </c>
      <c r="M1043" s="1">
        <v>7.6920275539159901E-3</v>
      </c>
      <c r="N1043" s="1">
        <f>+M1043-J1043</f>
        <v>-2.4537972446084012E-2</v>
      </c>
      <c r="O1043">
        <v>2.59</v>
      </c>
      <c r="P1043" t="s">
        <v>16</v>
      </c>
      <c r="Q1043">
        <v>0</v>
      </c>
      <c r="R1043">
        <v>-1.4436652660369999E-3</v>
      </c>
      <c r="S1043">
        <v>-1.0578688234090699E-2</v>
      </c>
      <c r="T1043">
        <v>-0.03</v>
      </c>
    </row>
    <row r="1044" spans="1:20" x14ac:dyDescent="0.3">
      <c r="A1044" t="s">
        <v>83</v>
      </c>
      <c r="B1044">
        <v>2018</v>
      </c>
      <c r="C1044">
        <v>1021025</v>
      </c>
      <c r="D1044" s="1">
        <v>0</v>
      </c>
      <c r="E1044" s="1">
        <v>0.94564467668533303</v>
      </c>
      <c r="F1044" s="1">
        <v>1.4E-2</v>
      </c>
      <c r="G1044" s="1">
        <f t="shared" si="32"/>
        <v>1.4000000000000007E-2</v>
      </c>
      <c r="H1044" s="1" t="str">
        <f t="shared" si="33"/>
        <v/>
      </c>
      <c r="I1044" s="1">
        <v>-5.0000000000000001E-3</v>
      </c>
      <c r="J1044" s="1">
        <f>+D1044-F1044+I1044*O1044</f>
        <v>-2.7150000000000001E-2</v>
      </c>
      <c r="K1044" s="1">
        <v>2.2556334733962999E-2</v>
      </c>
      <c r="L1044" s="1">
        <f>+K1044-J1044</f>
        <v>4.9706334733962999E-2</v>
      </c>
      <c r="M1044" s="1">
        <v>-1.4436652660369999E-3</v>
      </c>
      <c r="N1044" s="1">
        <f>+M1044-J1044</f>
        <v>2.5706334733962999E-2</v>
      </c>
      <c r="O1044">
        <v>2.63</v>
      </c>
      <c r="P1044" t="s">
        <v>17</v>
      </c>
      <c r="Q1044">
        <v>-0.01</v>
      </c>
      <c r="R1044">
        <v>1.7518199205398599E-2</v>
      </c>
      <c r="S1044">
        <v>-2.8299540281290198E-4</v>
      </c>
      <c r="T1044">
        <v>0.02</v>
      </c>
    </row>
    <row r="1045" spans="1:20" x14ac:dyDescent="0.3">
      <c r="A1045" t="s">
        <v>83</v>
      </c>
      <c r="B1045">
        <v>2019</v>
      </c>
      <c r="C1045">
        <v>1018163</v>
      </c>
      <c r="D1045" s="1">
        <v>0</v>
      </c>
      <c r="E1045" s="1">
        <v>0.94726103544235196</v>
      </c>
      <c r="F1045" s="1">
        <v>-2.9000000000000001E-2</v>
      </c>
      <c r="G1045" s="1">
        <f t="shared" si="32"/>
        <v>-1.4999999999999994E-2</v>
      </c>
      <c r="H1045" s="1" t="str">
        <f t="shared" si="33"/>
        <v/>
      </c>
      <c r="I1045" s="1">
        <v>2E-3</v>
      </c>
      <c r="J1045" s="1">
        <f>+D1045-F1045+I1045*O1045</f>
        <v>3.4099999999999998E-2</v>
      </c>
      <c r="K1045" s="1">
        <v>3.5518199205398601E-2</v>
      </c>
      <c r="L1045" s="1">
        <f>+K1045-J1045</f>
        <v>1.4181992053986028E-3</v>
      </c>
      <c r="M1045" s="1">
        <v>1.7518199205398599E-2</v>
      </c>
      <c r="N1045" s="1">
        <f>+M1045-J1045</f>
        <v>-1.6581800794601399E-2</v>
      </c>
      <c r="O1045">
        <v>2.5499999999999998</v>
      </c>
      <c r="P1045" t="s">
        <v>17</v>
      </c>
      <c r="Q1045">
        <v>0</v>
      </c>
      <c r="R1045">
        <v>5.3746664077043904E-3</v>
      </c>
      <c r="S1045">
        <v>-1.34745240211486E-2</v>
      </c>
      <c r="T1045">
        <v>-0.02</v>
      </c>
    </row>
    <row r="1046" spans="1:20" x14ac:dyDescent="0.3">
      <c r="A1046" t="s">
        <v>83</v>
      </c>
      <c r="B1046">
        <v>2020</v>
      </c>
      <c r="C1046">
        <v>1010361</v>
      </c>
      <c r="D1046" s="1">
        <v>2.8000000000000001E-2</v>
      </c>
      <c r="E1046" s="1">
        <v>0.942582607269287</v>
      </c>
      <c r="F1046" s="1">
        <v>1.6E-2</v>
      </c>
      <c r="G1046" s="1">
        <f t="shared" si="32"/>
        <v>1.0000000000000061E-3</v>
      </c>
      <c r="H1046" s="1" t="str">
        <f t="shared" si="33"/>
        <v/>
      </c>
      <c r="I1046" s="1">
        <v>-5.0000000000000001E-3</v>
      </c>
      <c r="J1046" s="1">
        <f>+D1046-F1046+I1046*O1046</f>
        <v>-9.4999999999999946E-4</v>
      </c>
      <c r="K1046" s="1">
        <v>1.7374666407704398E-2</v>
      </c>
      <c r="L1046" s="1">
        <f>+K1046-J1046</f>
        <v>1.8324666407704398E-2</v>
      </c>
      <c r="M1046" s="1">
        <v>5.3746664077043904E-3</v>
      </c>
      <c r="N1046" s="1">
        <f>+M1046-J1046</f>
        <v>6.3246664077043898E-3</v>
      </c>
      <c r="O1046">
        <v>2.59</v>
      </c>
      <c r="P1046" t="s">
        <v>17</v>
      </c>
      <c r="Q1046">
        <v>-0.01</v>
      </c>
      <c r="R1046">
        <v>3.6041332662105602E-2</v>
      </c>
      <c r="S1046">
        <v>-7.5482800602912998E-3</v>
      </c>
      <c r="T1046">
        <v>0.06</v>
      </c>
    </row>
    <row r="1047" spans="1:20" x14ac:dyDescent="0.3">
      <c r="A1047" t="s">
        <v>83</v>
      </c>
      <c r="B1047">
        <v>2021</v>
      </c>
      <c r="C1047">
        <v>1001952</v>
      </c>
      <c r="D1047" s="1">
        <v>-1E-3</v>
      </c>
      <c r="E1047" s="1">
        <v>0.96450543403625499</v>
      </c>
      <c r="F1047" s="1">
        <v>2E-3</v>
      </c>
      <c r="G1047" s="1">
        <f t="shared" si="32"/>
        <v>3.0000000000000061E-3</v>
      </c>
      <c r="H1047" s="1" t="str">
        <f t="shared" si="33"/>
        <v/>
      </c>
      <c r="I1047" s="1">
        <v>2.1999999999999999E-2</v>
      </c>
      <c r="J1047" s="1">
        <f>+D1047-F1047+I1047*O1047</f>
        <v>5.4199999999999998E-2</v>
      </c>
      <c r="K1047" s="1">
        <v>8.3041332662105602E-2</v>
      </c>
      <c r="L1047" s="1">
        <f>+K1047-J1047</f>
        <v>2.8841332662105604E-2</v>
      </c>
      <c r="M1047" s="1">
        <v>3.6041332662105602E-2</v>
      </c>
      <c r="N1047" s="1">
        <f>+M1047-J1047</f>
        <v>-1.8158667337894396E-2</v>
      </c>
      <c r="O1047">
        <v>2.6</v>
      </c>
      <c r="P1047" t="s">
        <v>15</v>
      </c>
      <c r="Q1047">
        <v>-0.01</v>
      </c>
      <c r="R1047">
        <v>-8.2361691789701499E-2</v>
      </c>
      <c r="S1047">
        <v>-5.0258185015991198E-2</v>
      </c>
      <c r="T1047">
        <v>-0.03</v>
      </c>
    </row>
    <row r="1048" spans="1:20" x14ac:dyDescent="0.3">
      <c r="A1048" t="s">
        <v>83</v>
      </c>
      <c r="B1048">
        <v>2022</v>
      </c>
      <c r="C1048">
        <v>995202.875</v>
      </c>
      <c r="D1048" s="1">
        <v>1.2E-2</v>
      </c>
      <c r="E1048" s="1">
        <v>0.94985234737396196</v>
      </c>
      <c r="F1048" s="1">
        <v>-1.4999999999999999E-2</v>
      </c>
      <c r="G1048" s="1">
        <f t="shared" si="32"/>
        <v>-1.1999999999999993E-2</v>
      </c>
      <c r="H1048" s="1" t="str">
        <f t="shared" si="33"/>
        <v/>
      </c>
      <c r="I1048" s="1">
        <v>-1.4999999999999999E-2</v>
      </c>
      <c r="J1048" s="1">
        <f>+D1048-F1048+I1048*O1048</f>
        <v>-1.1399999999999997E-2</v>
      </c>
      <c r="K1048" s="1">
        <v>-2.3616917897015801E-3</v>
      </c>
      <c r="L1048" s="1">
        <f>+K1048-J1048</f>
        <v>9.0383082102984159E-3</v>
      </c>
      <c r="M1048" s="1">
        <v>-8.2361691789701499E-2</v>
      </c>
      <c r="N1048" s="1">
        <f>+M1048-J1048</f>
        <v>-7.0961691789701506E-2</v>
      </c>
      <c r="O1048">
        <v>2.56</v>
      </c>
      <c r="P1048" t="s">
        <v>16</v>
      </c>
      <c r="Q1048">
        <v>-0.05</v>
      </c>
      <c r="R1048">
        <v>-8.8041264414786997E-3</v>
      </c>
      <c r="S1048">
        <v>1.07548013329505E-2</v>
      </c>
      <c r="T1048">
        <v>0</v>
      </c>
    </row>
    <row r="1049" spans="1:20" x14ac:dyDescent="0.3">
      <c r="A1049" t="s">
        <v>84</v>
      </c>
      <c r="B1049">
        <v>2006</v>
      </c>
      <c r="C1049">
        <v>5452625</v>
      </c>
      <c r="D1049" s="1">
        <v>1.2999999999999999E-2</v>
      </c>
      <c r="E1049" s="1">
        <v>0.90926349163055398</v>
      </c>
      <c r="F1049" s="1">
        <v>-2.8000000000000001E-2</v>
      </c>
      <c r="G1049" s="1">
        <f t="shared" si="32"/>
        <v>-2.8000000000000001E-2</v>
      </c>
      <c r="H1049" s="1" t="str">
        <f t="shared" si="33"/>
        <v/>
      </c>
      <c r="I1049" s="1">
        <v>-2E-3</v>
      </c>
      <c r="J1049" s="1">
        <f>+D1049-F1049+I1049*O1049</f>
        <v>3.6119999999999999E-2</v>
      </c>
      <c r="K1049" s="1">
        <v>2.5122949853539502E-2</v>
      </c>
      <c r="L1049" s="1">
        <f>+K1049-J1049</f>
        <v>-1.0997050146460498E-2</v>
      </c>
      <c r="M1049" s="1">
        <v>-6.8770501464604896E-3</v>
      </c>
      <c r="N1049" s="1">
        <f>+M1049-J1049</f>
        <v>-4.2997050146460492E-2</v>
      </c>
      <c r="O1049">
        <v>2.44</v>
      </c>
      <c r="P1049" t="s">
        <v>16</v>
      </c>
      <c r="Q1049">
        <v>-0.01</v>
      </c>
      <c r="R1049">
        <v>8.6036167144774908E-3</v>
      </c>
      <c r="S1049">
        <v>9.5253726467489901E-3</v>
      </c>
      <c r="T1049">
        <v>-0.03</v>
      </c>
    </row>
    <row r="1050" spans="1:20" x14ac:dyDescent="0.3">
      <c r="A1050" t="s">
        <v>84</v>
      </c>
      <c r="B1050">
        <v>2007</v>
      </c>
      <c r="C1050">
        <v>5574720</v>
      </c>
      <c r="D1050" s="1">
        <v>2.5000000000000001E-2</v>
      </c>
      <c r="E1050" s="1">
        <v>0.902010917663574</v>
      </c>
      <c r="F1050" s="1">
        <v>-2E-3</v>
      </c>
      <c r="G1050" s="1">
        <f t="shared" si="32"/>
        <v>-0.03</v>
      </c>
      <c r="H1050" s="1" t="str">
        <f t="shared" si="33"/>
        <v/>
      </c>
      <c r="I1050" s="1">
        <v>-7.0000000000000001E-3</v>
      </c>
      <c r="J1050" s="1">
        <f>+D1050-F1050+I1050*O1050</f>
        <v>9.9200000000000017E-3</v>
      </c>
      <c r="K1050" s="1">
        <v>3.7603616714477497E-2</v>
      </c>
      <c r="L1050" s="1">
        <f>+K1050-J1050</f>
        <v>2.7683616714477496E-2</v>
      </c>
      <c r="M1050" s="1">
        <v>8.6036167144774908E-3</v>
      </c>
      <c r="N1050" s="1">
        <f>+M1050-J1050</f>
        <v>-1.316383285522511E-3</v>
      </c>
      <c r="O1050">
        <v>2.44</v>
      </c>
      <c r="P1050" t="s">
        <v>16</v>
      </c>
      <c r="Q1050">
        <v>0.01</v>
      </c>
      <c r="R1050">
        <v>-1.14697490930557E-2</v>
      </c>
      <c r="S1050">
        <v>1.80410551838577E-2</v>
      </c>
      <c r="T1050">
        <v>0</v>
      </c>
    </row>
    <row r="1051" spans="1:20" x14ac:dyDescent="0.3">
      <c r="A1051" t="s">
        <v>84</v>
      </c>
      <c r="B1051">
        <v>2008</v>
      </c>
      <c r="C1051">
        <v>5714056</v>
      </c>
      <c r="D1051" s="1">
        <v>4.3999999999999997E-2</v>
      </c>
      <c r="E1051" s="1">
        <v>0.90101557970046997</v>
      </c>
      <c r="F1051" s="1">
        <v>-3.0000000000000001E-3</v>
      </c>
      <c r="G1051" s="1">
        <f t="shared" si="32"/>
        <v>-3.3000000000000002E-2</v>
      </c>
      <c r="H1051" s="1" t="str">
        <f t="shared" si="33"/>
        <v/>
      </c>
      <c r="I1051" s="1">
        <v>-1E-3</v>
      </c>
      <c r="J1051" s="1">
        <f>+D1051-F1051+I1051*O1051</f>
        <v>4.4569999999999999E-2</v>
      </c>
      <c r="K1051" s="1">
        <v>2.6530250906944299E-2</v>
      </c>
      <c r="L1051" s="1">
        <f>+K1051-J1051</f>
        <v>-1.8039749093055699E-2</v>
      </c>
      <c r="M1051" s="1">
        <v>-1.14697490930557E-2</v>
      </c>
      <c r="N1051" s="1">
        <f>+M1051-J1051</f>
        <v>-5.6039749093055702E-2</v>
      </c>
      <c r="O1051">
        <v>2.4300000000000002</v>
      </c>
      <c r="P1051" t="s">
        <v>16</v>
      </c>
      <c r="Q1051">
        <v>0.02</v>
      </c>
      <c r="R1051">
        <v>-1.45954514890908E-2</v>
      </c>
      <c r="S1051">
        <v>1.19712501764297E-2</v>
      </c>
      <c r="T1051">
        <v>0</v>
      </c>
    </row>
    <row r="1052" spans="1:20" x14ac:dyDescent="0.3">
      <c r="A1052" t="s">
        <v>84</v>
      </c>
      <c r="B1052">
        <v>2009</v>
      </c>
      <c r="C1052">
        <v>5856678</v>
      </c>
      <c r="D1052" s="1">
        <v>1.4999999999999999E-2</v>
      </c>
      <c r="E1052" s="1">
        <v>0.88630998134613004</v>
      </c>
      <c r="F1052" s="1">
        <v>4.1000000000000002E-2</v>
      </c>
      <c r="G1052" s="1">
        <f t="shared" si="32"/>
        <v>8.0000000000000002E-3</v>
      </c>
      <c r="H1052" s="1" t="str">
        <f t="shared" si="33"/>
        <v/>
      </c>
      <c r="I1052" s="1">
        <v>-1.4999999999999999E-2</v>
      </c>
      <c r="J1052" s="1">
        <f>+D1052-F1052+I1052*O1052</f>
        <v>-6.3950000000000007E-2</v>
      </c>
      <c r="K1052" s="1">
        <v>-1.8595451489090899E-2</v>
      </c>
      <c r="L1052" s="1">
        <f>+K1052-J1052</f>
        <v>4.5354548510909108E-2</v>
      </c>
      <c r="M1052" s="1">
        <v>-1.45954514890908E-2</v>
      </c>
      <c r="N1052" s="1">
        <f>+M1052-J1052</f>
        <v>4.9354548510909209E-2</v>
      </c>
      <c r="O1052">
        <v>2.5299999999999998</v>
      </c>
      <c r="P1052" t="s">
        <v>17</v>
      </c>
      <c r="Q1052">
        <v>0.01</v>
      </c>
      <c r="R1052">
        <v>-1.3752834809943999E-2</v>
      </c>
      <c r="S1052">
        <v>-4.2927260510623403E-3</v>
      </c>
      <c r="T1052">
        <v>0.02</v>
      </c>
    </row>
    <row r="1053" spans="1:20" x14ac:dyDescent="0.3">
      <c r="A1053" t="s">
        <v>84</v>
      </c>
      <c r="B1053">
        <v>2010</v>
      </c>
      <c r="C1053">
        <v>5973997</v>
      </c>
      <c r="D1053" s="1">
        <v>7.0000000000000001E-3</v>
      </c>
      <c r="E1053" s="1">
        <v>0.89308464527130105</v>
      </c>
      <c r="F1053" s="1">
        <v>-3.0000000000000001E-3</v>
      </c>
      <c r="G1053" s="1">
        <f t="shared" si="32"/>
        <v>5.0000000000000001E-3</v>
      </c>
      <c r="H1053" s="1" t="str">
        <f t="shared" si="33"/>
        <v/>
      </c>
      <c r="I1053" s="1">
        <v>7.0000000000000001E-3</v>
      </c>
      <c r="J1053" s="1">
        <f>+D1053-F1053+I1053*O1053</f>
        <v>2.7639999999999998E-2</v>
      </c>
      <c r="K1053" s="1">
        <v>2.2471651900559698E-3</v>
      </c>
      <c r="L1053" s="1">
        <f>+K1053-J1053</f>
        <v>-2.5392834809944028E-2</v>
      </c>
      <c r="M1053" s="1">
        <v>-1.3752834809943999E-2</v>
      </c>
      <c r="N1053" s="1">
        <f>+M1053-J1053</f>
        <v>-4.1392834809943997E-2</v>
      </c>
      <c r="O1053">
        <v>2.52</v>
      </c>
      <c r="P1053" t="s">
        <v>17</v>
      </c>
      <c r="Q1053">
        <v>0</v>
      </c>
      <c r="R1053">
        <v>-1.6881634823977899E-2</v>
      </c>
      <c r="S1053">
        <v>4.4021396897734001E-3</v>
      </c>
      <c r="T1053">
        <v>-0.01</v>
      </c>
    </row>
    <row r="1054" spans="1:20" x14ac:dyDescent="0.3">
      <c r="A1054" t="s">
        <v>84</v>
      </c>
      <c r="B1054">
        <v>2011</v>
      </c>
      <c r="C1054">
        <v>6085334</v>
      </c>
      <c r="D1054" s="1">
        <v>1E-3</v>
      </c>
      <c r="E1054" s="1">
        <v>0.90473878383636497</v>
      </c>
      <c r="F1054" s="1">
        <v>-5.0000000000000001E-3</v>
      </c>
      <c r="G1054" s="1">
        <f t="shared" si="32"/>
        <v>0</v>
      </c>
      <c r="H1054" s="1" t="str">
        <f t="shared" si="33"/>
        <v/>
      </c>
      <c r="I1054" s="1">
        <v>1.2E-2</v>
      </c>
      <c r="J1054" s="1">
        <f>+D1054-F1054+I1054*O1054</f>
        <v>3.6119999999999999E-2</v>
      </c>
      <c r="K1054" s="1">
        <v>1.51183651760221E-2</v>
      </c>
      <c r="L1054" s="1">
        <f>+K1054-J1054</f>
        <v>-2.1001634823977898E-2</v>
      </c>
      <c r="M1054" s="1">
        <v>-1.6881634823977899E-2</v>
      </c>
      <c r="N1054" s="1">
        <f>+M1054-J1054</f>
        <v>-5.3001634823977899E-2</v>
      </c>
      <c r="O1054">
        <v>2.5099999999999998</v>
      </c>
      <c r="P1054" t="s">
        <v>17</v>
      </c>
      <c r="Q1054">
        <v>0</v>
      </c>
      <c r="R1054">
        <v>6.2618718445300904E-3</v>
      </c>
      <c r="S1054">
        <v>1.1700077913701401E-2</v>
      </c>
      <c r="T1054">
        <v>0</v>
      </c>
    </row>
    <row r="1055" spans="1:20" x14ac:dyDescent="0.3">
      <c r="A1055" t="s">
        <v>84</v>
      </c>
      <c r="B1055">
        <v>2012</v>
      </c>
      <c r="C1055">
        <v>6216155</v>
      </c>
      <c r="D1055" s="1">
        <v>4.0000000000000001E-3</v>
      </c>
      <c r="E1055" s="1">
        <v>0.920246541500092</v>
      </c>
      <c r="F1055" s="1">
        <v>-8.0000000000000002E-3</v>
      </c>
      <c r="G1055" s="1">
        <f t="shared" si="32"/>
        <v>-8.0000000000000002E-3</v>
      </c>
      <c r="H1055" s="1" t="str">
        <f t="shared" si="33"/>
        <v/>
      </c>
      <c r="I1055" s="1">
        <v>1.6E-2</v>
      </c>
      <c r="J1055" s="1">
        <f>+D1055-F1055+I1055*O1055</f>
        <v>5.1840000000000011E-2</v>
      </c>
      <c r="K1055" s="1">
        <v>2.7261871844530099E-2</v>
      </c>
      <c r="L1055" s="1">
        <f>+K1055-J1055</f>
        <v>-2.4578128155469912E-2</v>
      </c>
      <c r="M1055" s="1">
        <v>6.2618718445300904E-3</v>
      </c>
      <c r="N1055" s="1">
        <f>+M1055-J1055</f>
        <v>-4.5578128155469924E-2</v>
      </c>
      <c r="O1055">
        <v>2.4900000000000002</v>
      </c>
      <c r="P1055" t="s">
        <v>17</v>
      </c>
      <c r="Q1055">
        <v>0.01</v>
      </c>
      <c r="R1055">
        <v>1.92758931219578E-2</v>
      </c>
      <c r="S1055">
        <v>1.31491217762232E-2</v>
      </c>
      <c r="T1055">
        <v>-0.01</v>
      </c>
    </row>
    <row r="1056" spans="1:20" x14ac:dyDescent="0.3">
      <c r="A1056" t="s">
        <v>84</v>
      </c>
      <c r="B1056">
        <v>2013</v>
      </c>
      <c r="C1056">
        <v>6365199</v>
      </c>
      <c r="D1056" s="1">
        <v>1.2999999999999999E-2</v>
      </c>
      <c r="E1056" s="1">
        <v>0.92668414115905795</v>
      </c>
      <c r="F1056" s="1">
        <v>4.0000000000000001E-3</v>
      </c>
      <c r="G1056" s="1">
        <f t="shared" si="32"/>
        <v>-4.0000000000000001E-3</v>
      </c>
      <c r="H1056" s="1" t="str">
        <f t="shared" si="33"/>
        <v/>
      </c>
      <c r="I1056" s="1">
        <v>6.0000000000000001E-3</v>
      </c>
      <c r="J1056" s="1">
        <f>+D1056-F1056+I1056*O1056</f>
        <v>2.4E-2</v>
      </c>
      <c r="K1056" s="1">
        <v>3.42758931219578E-2</v>
      </c>
      <c r="L1056" s="1">
        <f>+K1056-J1056</f>
        <v>1.0275893121957799E-2</v>
      </c>
      <c r="M1056" s="1">
        <v>1.92758931219578E-2</v>
      </c>
      <c r="N1056" s="1">
        <f>+M1056-J1056</f>
        <v>-4.7241068780422002E-3</v>
      </c>
      <c r="O1056">
        <v>2.5</v>
      </c>
      <c r="P1056" t="s">
        <v>15</v>
      </c>
      <c r="Q1056">
        <v>0.01</v>
      </c>
      <c r="R1056">
        <v>1.07571378499269E-2</v>
      </c>
      <c r="S1056">
        <v>8.7491143494843899E-3</v>
      </c>
      <c r="T1056">
        <v>0</v>
      </c>
    </row>
    <row r="1057" spans="1:20" x14ac:dyDescent="0.3">
      <c r="A1057" t="s">
        <v>84</v>
      </c>
      <c r="B1057">
        <v>2014</v>
      </c>
      <c r="C1057">
        <v>6536154</v>
      </c>
      <c r="D1057" s="1">
        <v>3.1E-2</v>
      </c>
      <c r="E1057" s="1">
        <v>0.919741570949554</v>
      </c>
      <c r="F1057" s="1">
        <v>0</v>
      </c>
      <c r="G1057" s="1">
        <f t="shared" si="32"/>
        <v>-4.0000000000000001E-3</v>
      </c>
      <c r="H1057" s="1" t="str">
        <f t="shared" si="33"/>
        <v/>
      </c>
      <c r="I1057" s="1">
        <v>-7.0000000000000001E-3</v>
      </c>
      <c r="J1057" s="1">
        <f>+D1057-F1057+I1057*O1057</f>
        <v>1.3499999999999998E-2</v>
      </c>
      <c r="K1057" s="1">
        <v>2.67571378499269E-2</v>
      </c>
      <c r="L1057" s="1">
        <f>+K1057-J1057</f>
        <v>1.3257137849926902E-2</v>
      </c>
      <c r="M1057" s="1">
        <v>1.07571378499269E-2</v>
      </c>
      <c r="N1057" s="1">
        <f>+M1057-J1057</f>
        <v>-2.7428621500730985E-3</v>
      </c>
      <c r="O1057">
        <v>2.5</v>
      </c>
      <c r="P1057" t="s">
        <v>17</v>
      </c>
      <c r="Q1057">
        <v>0.01</v>
      </c>
      <c r="R1057">
        <v>2.9652981251478101E-2</v>
      </c>
      <c r="S1057">
        <v>-6.1047077178949798E-4</v>
      </c>
      <c r="T1057">
        <v>0</v>
      </c>
    </row>
    <row r="1058" spans="1:20" x14ac:dyDescent="0.3">
      <c r="A1058" t="s">
        <v>84</v>
      </c>
      <c r="B1058">
        <v>2015</v>
      </c>
      <c r="C1058">
        <v>6696740</v>
      </c>
      <c r="D1058" s="1">
        <v>3.3000000000000002E-2</v>
      </c>
      <c r="E1058" s="1">
        <v>0.91160273551940896</v>
      </c>
      <c r="F1058" s="1">
        <v>1.2999999999999999E-2</v>
      </c>
      <c r="G1058" s="1">
        <f t="shared" si="32"/>
        <v>8.9999999999999993E-3</v>
      </c>
      <c r="H1058" s="1" t="str">
        <f t="shared" si="33"/>
        <v/>
      </c>
      <c r="I1058" s="1">
        <v>-8.0000000000000002E-3</v>
      </c>
      <c r="J1058" s="1">
        <f>+D1058-F1058+I1058*O1058</f>
        <v>-2.3999999999999369E-4</v>
      </c>
      <c r="K1058" s="1">
        <v>3.0652981251478199E-2</v>
      </c>
      <c r="L1058" s="1">
        <f>+K1058-J1058</f>
        <v>3.0892981251478192E-2</v>
      </c>
      <c r="M1058" s="1">
        <v>2.9652981251478101E-2</v>
      </c>
      <c r="N1058" s="1">
        <f>+M1058-J1058</f>
        <v>2.9892981251478094E-2</v>
      </c>
      <c r="O1058">
        <v>2.5299999999999998</v>
      </c>
      <c r="P1058" t="s">
        <v>17</v>
      </c>
      <c r="Q1058">
        <v>0</v>
      </c>
      <c r="R1058">
        <v>-2.90095933824778E-2</v>
      </c>
      <c r="S1058">
        <v>-4.2163150385022198E-2</v>
      </c>
      <c r="T1058">
        <v>0.02</v>
      </c>
    </row>
    <row r="1059" spans="1:20" x14ac:dyDescent="0.3">
      <c r="A1059" t="s">
        <v>84</v>
      </c>
      <c r="B1059">
        <v>2016</v>
      </c>
      <c r="C1059">
        <v>6820520</v>
      </c>
      <c r="D1059" s="1">
        <v>3.3000000000000002E-2</v>
      </c>
      <c r="E1059" s="1">
        <v>0.89208406209945701</v>
      </c>
      <c r="F1059" s="1">
        <v>-1.7000000000000001E-2</v>
      </c>
      <c r="G1059" s="1">
        <f t="shared" si="32"/>
        <v>-8.0000000000000019E-3</v>
      </c>
      <c r="H1059" s="1" t="str">
        <f t="shared" si="33"/>
        <v/>
      </c>
      <c r="I1059" s="1">
        <v>-0.02</v>
      </c>
      <c r="J1059" s="1">
        <f>+D1059-F1059+I1059*O1059</f>
        <v>1.9999999999999879E-4</v>
      </c>
      <c r="K1059" s="1">
        <v>-1.6009593382477798E-2</v>
      </c>
      <c r="L1059" s="1">
        <f>+K1059-J1059</f>
        <v>-1.6209593382477797E-2</v>
      </c>
      <c r="M1059" s="1">
        <v>-2.90095933824778E-2</v>
      </c>
      <c r="N1059" s="1">
        <f>+M1059-J1059</f>
        <v>-2.9209593382477798E-2</v>
      </c>
      <c r="O1059">
        <v>2.4900000000000002</v>
      </c>
      <c r="P1059" t="s">
        <v>16</v>
      </c>
      <c r="Q1059">
        <v>-0.04</v>
      </c>
      <c r="R1059">
        <v>1.25936881601809E-2</v>
      </c>
      <c r="S1059">
        <v>9.8041146993636894E-3</v>
      </c>
      <c r="T1059">
        <v>-0.02</v>
      </c>
    </row>
    <row r="1060" spans="1:20" x14ac:dyDescent="0.3">
      <c r="A1060" t="s">
        <v>84</v>
      </c>
      <c r="B1060">
        <v>2017</v>
      </c>
      <c r="C1060">
        <v>6907312</v>
      </c>
      <c r="D1060" s="1">
        <v>2.5999999999999999E-2</v>
      </c>
      <c r="E1060" s="1">
        <v>0.89605003595352195</v>
      </c>
      <c r="F1060" s="1">
        <v>-1E-3</v>
      </c>
      <c r="G1060" s="1">
        <f t="shared" si="32"/>
        <v>-9.0000000000000011E-3</v>
      </c>
      <c r="H1060" s="1" t="str">
        <f t="shared" si="33"/>
        <v/>
      </c>
      <c r="I1060" s="1">
        <v>4.0000000000000001E-3</v>
      </c>
      <c r="J1060" s="1">
        <f>+D1060-F1060+I1060*O1060</f>
        <v>3.6920000000000001E-2</v>
      </c>
      <c r="K1060" s="1">
        <v>3.3593688160180997E-2</v>
      </c>
      <c r="L1060" s="1">
        <f>+K1060-J1060</f>
        <v>-3.3263118398190045E-3</v>
      </c>
      <c r="M1060" s="1">
        <v>1.25936881601809E-2</v>
      </c>
      <c r="N1060" s="1">
        <f>+M1060-J1060</f>
        <v>-2.4326311839819099E-2</v>
      </c>
      <c r="O1060">
        <v>2.48</v>
      </c>
      <c r="P1060" t="s">
        <v>17</v>
      </c>
      <c r="Q1060">
        <v>0.01</v>
      </c>
      <c r="R1060">
        <v>-1.23644264191389E-2</v>
      </c>
      <c r="S1060">
        <v>-2.1499449387192698E-2</v>
      </c>
      <c r="T1060">
        <v>0</v>
      </c>
    </row>
    <row r="1061" spans="1:20" x14ac:dyDescent="0.3">
      <c r="A1061" t="s">
        <v>84</v>
      </c>
      <c r="B1061">
        <v>2018</v>
      </c>
      <c r="C1061">
        <v>6984831</v>
      </c>
      <c r="D1061" s="1">
        <v>1.2999999999999999E-2</v>
      </c>
      <c r="E1061" s="1">
        <v>0.89791417121887196</v>
      </c>
      <c r="F1061" s="1">
        <v>3.0000000000000001E-3</v>
      </c>
      <c r="G1061" s="1">
        <f t="shared" si="32"/>
        <v>-6.000000000000001E-3</v>
      </c>
      <c r="H1061" s="1" t="str">
        <f t="shared" si="33"/>
        <v/>
      </c>
      <c r="I1061" s="1">
        <v>2E-3</v>
      </c>
      <c r="J1061" s="1">
        <f>+D1061-F1061+I1061*O1061</f>
        <v>1.498E-2</v>
      </c>
      <c r="K1061" s="1">
        <v>1.16355735808611E-2</v>
      </c>
      <c r="L1061" s="1">
        <f>+K1061-J1061</f>
        <v>-3.3444264191389E-3</v>
      </c>
      <c r="M1061" s="1">
        <v>-1.23644264191389E-2</v>
      </c>
      <c r="N1061" s="1">
        <f>+M1061-J1061</f>
        <v>-2.7344426419138902E-2</v>
      </c>
      <c r="O1061">
        <v>2.4900000000000002</v>
      </c>
      <c r="P1061" t="s">
        <v>15</v>
      </c>
      <c r="Q1061">
        <v>-0.02</v>
      </c>
      <c r="R1061">
        <v>1.48487306833267E-2</v>
      </c>
      <c r="S1061">
        <v>-2.9524639248848E-3</v>
      </c>
      <c r="T1061">
        <v>0.01</v>
      </c>
    </row>
    <row r="1062" spans="1:20" x14ac:dyDescent="0.3">
      <c r="A1062" t="s">
        <v>84</v>
      </c>
      <c r="B1062">
        <v>2019</v>
      </c>
      <c r="C1062">
        <v>7074333</v>
      </c>
      <c r="D1062" s="1">
        <v>2.1000000000000001E-2</v>
      </c>
      <c r="E1062" s="1">
        <v>0.90026974678039595</v>
      </c>
      <c r="F1062" s="1">
        <v>-3.0000000000000001E-3</v>
      </c>
      <c r="G1062" s="1">
        <f t="shared" si="32"/>
        <v>-9.0000000000000011E-3</v>
      </c>
      <c r="H1062" s="1" t="str">
        <f t="shared" si="33"/>
        <v/>
      </c>
      <c r="I1062" s="1">
        <v>2E-3</v>
      </c>
      <c r="J1062" s="1">
        <f>+D1062-F1062+I1062*O1062</f>
        <v>2.896E-2</v>
      </c>
      <c r="K1062" s="1">
        <v>3.28487306833267E-2</v>
      </c>
      <c r="L1062" s="1">
        <f>+K1062-J1062</f>
        <v>3.8887306833267007E-3</v>
      </c>
      <c r="M1062" s="1">
        <v>1.48487306833267E-2</v>
      </c>
      <c r="N1062" s="1">
        <f>+M1062-J1062</f>
        <v>-1.41112693166733E-2</v>
      </c>
      <c r="O1062">
        <v>2.48</v>
      </c>
      <c r="P1062" t="s">
        <v>17</v>
      </c>
      <c r="Q1062">
        <v>0</v>
      </c>
      <c r="R1062">
        <v>-1.34050938189029E-2</v>
      </c>
      <c r="S1062">
        <v>-3.22542842477559E-2</v>
      </c>
      <c r="T1062">
        <v>0.01</v>
      </c>
    </row>
    <row r="1063" spans="1:20" x14ac:dyDescent="0.3">
      <c r="A1063" t="s">
        <v>84</v>
      </c>
      <c r="B1063">
        <v>2020</v>
      </c>
      <c r="C1063">
        <v>7161202</v>
      </c>
      <c r="D1063" s="1">
        <v>3.5999999999999997E-2</v>
      </c>
      <c r="E1063" s="1">
        <v>0.89095151424408003</v>
      </c>
      <c r="F1063" s="1">
        <v>-9.7000000000000003E-2</v>
      </c>
      <c r="G1063" s="1">
        <f t="shared" si="32"/>
        <v>-0.10600000000000001</v>
      </c>
      <c r="H1063" s="1" t="str">
        <f t="shared" si="33"/>
        <v/>
      </c>
      <c r="I1063" s="1">
        <v>-8.9999999999999993E-3</v>
      </c>
      <c r="J1063" s="1">
        <f>+D1063-F1063+I1063*O1063</f>
        <v>0.11284000000000001</v>
      </c>
      <c r="K1063" s="1">
        <v>-1.40509381890297E-3</v>
      </c>
      <c r="L1063" s="1">
        <f>+K1063-J1063</f>
        <v>-0.11424509381890298</v>
      </c>
      <c r="M1063" s="1">
        <v>-1.34050938189029E-2</v>
      </c>
      <c r="N1063" s="1">
        <f>+M1063-J1063</f>
        <v>-0.12624509381890292</v>
      </c>
      <c r="O1063">
        <v>2.2400000000000002</v>
      </c>
      <c r="P1063" t="s">
        <v>16</v>
      </c>
      <c r="Q1063">
        <v>-0.03</v>
      </c>
      <c r="R1063">
        <v>4.4813914477825199E-2</v>
      </c>
      <c r="S1063">
        <v>1.2243017554282999E-3</v>
      </c>
      <c r="T1063">
        <v>-0.06</v>
      </c>
    </row>
    <row r="1064" spans="1:20" x14ac:dyDescent="0.3">
      <c r="A1064" t="s">
        <v>84</v>
      </c>
      <c r="B1064">
        <v>2021</v>
      </c>
      <c r="C1064">
        <v>7256409</v>
      </c>
      <c r="D1064" s="1">
        <v>2.8000000000000001E-2</v>
      </c>
      <c r="E1064" s="1">
        <v>0.92494761943817105</v>
      </c>
      <c r="F1064" s="1">
        <v>6.8000000000000005E-2</v>
      </c>
      <c r="G1064" s="1">
        <f t="shared" si="32"/>
        <v>-3.8000000000000006E-2</v>
      </c>
      <c r="H1064" s="1" t="str">
        <f t="shared" si="33"/>
        <v/>
      </c>
      <c r="I1064" s="1">
        <v>3.4000000000000002E-2</v>
      </c>
      <c r="J1064" s="1">
        <f>+D1064-F1064+I1064*O1064</f>
        <v>4.1599999999999998E-2</v>
      </c>
      <c r="K1064" s="1">
        <v>9.1813914477825206E-2</v>
      </c>
      <c r="L1064" s="1">
        <f>+K1064-J1064</f>
        <v>5.0213914477825208E-2</v>
      </c>
      <c r="M1064" s="1">
        <v>4.4813914477825199E-2</v>
      </c>
      <c r="N1064" s="1">
        <f>+M1064-J1064</f>
        <v>3.2139144778252013E-3</v>
      </c>
      <c r="O1064">
        <v>2.4</v>
      </c>
      <c r="P1064" t="s">
        <v>15</v>
      </c>
      <c r="Q1064">
        <v>0</v>
      </c>
      <c r="R1064">
        <v>-4.6591771692037598E-2</v>
      </c>
      <c r="S1064">
        <v>-1.44882649183273E-2</v>
      </c>
      <c r="T1064">
        <v>0.04</v>
      </c>
    </row>
    <row r="1065" spans="1:20" x14ac:dyDescent="0.3">
      <c r="A1065" t="s">
        <v>84</v>
      </c>
      <c r="B1065">
        <v>2022</v>
      </c>
      <c r="C1065">
        <v>7421880</v>
      </c>
      <c r="D1065" s="1">
        <v>2.5999999999999999E-2</v>
      </c>
      <c r="E1065" s="1">
        <v>0.90407317876815796</v>
      </c>
      <c r="F1065" s="1">
        <v>-1.7000000000000001E-2</v>
      </c>
      <c r="G1065" s="1">
        <f t="shared" si="32"/>
        <v>-5.5000000000000007E-2</v>
      </c>
      <c r="H1065" s="1" t="str">
        <f t="shared" si="33"/>
        <v/>
      </c>
      <c r="I1065" s="1">
        <v>-2.1000000000000001E-2</v>
      </c>
      <c r="J1065" s="1">
        <f>+D1065-F1065+I1065*O1065</f>
        <v>-6.5600000000000033E-3</v>
      </c>
      <c r="K1065" s="1">
        <v>3.3408228307962397E-2</v>
      </c>
      <c r="L1065" s="1">
        <f>+K1065-J1065</f>
        <v>3.99682283079624E-2</v>
      </c>
      <c r="M1065" s="1">
        <v>-4.6591771692037598E-2</v>
      </c>
      <c r="N1065" s="1">
        <f>+M1065-J1065</f>
        <v>-4.0031771692037595E-2</v>
      </c>
      <c r="O1065">
        <v>2.36</v>
      </c>
      <c r="P1065" t="s">
        <v>16</v>
      </c>
      <c r="Q1065">
        <v>-0.01</v>
      </c>
      <c r="R1065">
        <v>-3.7438271598890398E-2</v>
      </c>
      <c r="S1065">
        <v>-1.7879343824461099E-2</v>
      </c>
      <c r="T1065">
        <v>0</v>
      </c>
    </row>
    <row r="1066" spans="1:20" x14ac:dyDescent="0.3">
      <c r="A1066" t="s">
        <v>85</v>
      </c>
      <c r="B1066">
        <v>2006</v>
      </c>
      <c r="C1066">
        <v>385074.59379999997</v>
      </c>
      <c r="D1066" s="1">
        <v>1.2E-2</v>
      </c>
      <c r="E1066" s="1">
        <v>0.91982990503311202</v>
      </c>
      <c r="F1066" s="1">
        <v>3.4000000000000002E-2</v>
      </c>
      <c r="G1066" s="1">
        <f t="shared" si="32"/>
        <v>3.4000000000000002E-2</v>
      </c>
      <c r="H1066" s="1" t="str">
        <f t="shared" si="33"/>
        <v/>
      </c>
      <c r="I1066" s="1">
        <v>-1.2E-2</v>
      </c>
      <c r="J1066" s="1">
        <f>+D1066-F1066+I1066*O1066</f>
        <v>-4.7200000000000006E-2</v>
      </c>
      <c r="K1066" s="1">
        <v>6.1545103788375903E-2</v>
      </c>
      <c r="L1066" s="1">
        <f>+K1066-J1066</f>
        <v>0.1087451037883759</v>
      </c>
      <c r="M1066" s="1">
        <v>2.9545103788375899E-2</v>
      </c>
      <c r="N1066" s="1">
        <f>+M1066-J1066</f>
        <v>7.6745103788375901E-2</v>
      </c>
      <c r="O1066">
        <v>2.1</v>
      </c>
      <c r="P1066" t="s">
        <v>17</v>
      </c>
      <c r="Q1066">
        <v>0.02</v>
      </c>
      <c r="R1066">
        <v>-1.1160661429166999E-3</v>
      </c>
      <c r="S1066">
        <v>-1.9431021064519999E-4</v>
      </c>
      <c r="T1066">
        <v>0.03</v>
      </c>
    </row>
    <row r="1067" spans="1:20" x14ac:dyDescent="0.3">
      <c r="A1067" t="s">
        <v>85</v>
      </c>
      <c r="B1067">
        <v>2007</v>
      </c>
      <c r="C1067">
        <v>394529.125</v>
      </c>
      <c r="D1067" s="1">
        <v>1.4999999999999999E-2</v>
      </c>
      <c r="E1067" s="1">
        <v>0.89658737182617199</v>
      </c>
      <c r="F1067" s="1">
        <v>-7.0000000000000001E-3</v>
      </c>
      <c r="G1067" s="1">
        <f t="shared" si="32"/>
        <v>2.7000000000000003E-2</v>
      </c>
      <c r="H1067" s="1" t="str">
        <f t="shared" si="33"/>
        <v/>
      </c>
      <c r="I1067" s="1">
        <v>-2.3E-2</v>
      </c>
      <c r="J1067" s="1">
        <f>+D1067-F1067+I1067*O1067</f>
        <v>-2.6069999999999996E-2</v>
      </c>
      <c r="K1067" s="1">
        <v>2.78839338570833E-2</v>
      </c>
      <c r="L1067" s="1">
        <f>+K1067-J1067</f>
        <v>5.3953933857083296E-2</v>
      </c>
      <c r="M1067" s="1">
        <v>-1.1160661429166999E-3</v>
      </c>
      <c r="N1067" s="1">
        <f>+M1067-J1067</f>
        <v>2.4953933857083298E-2</v>
      </c>
      <c r="O1067">
        <v>2.09</v>
      </c>
      <c r="P1067" t="s">
        <v>16</v>
      </c>
      <c r="Q1067">
        <v>0</v>
      </c>
      <c r="R1067">
        <v>-5.3353322029113803E-2</v>
      </c>
      <c r="S1067">
        <v>-2.38425177522004E-2</v>
      </c>
      <c r="T1067">
        <v>-0.01</v>
      </c>
    </row>
    <row r="1068" spans="1:20" x14ac:dyDescent="0.3">
      <c r="A1068" t="s">
        <v>85</v>
      </c>
      <c r="B1068">
        <v>2008</v>
      </c>
      <c r="C1068">
        <v>404833.40629999997</v>
      </c>
      <c r="D1068" s="1">
        <v>5.0999999999999997E-2</v>
      </c>
      <c r="E1068" s="1">
        <v>0.88476681709289595</v>
      </c>
      <c r="F1068" s="1">
        <v>8.0000000000000002E-3</v>
      </c>
      <c r="G1068" s="1">
        <f t="shared" si="32"/>
        <v>3.5000000000000003E-2</v>
      </c>
      <c r="H1068" s="1" t="str">
        <f t="shared" si="33"/>
        <v/>
      </c>
      <c r="I1068" s="1">
        <v>-1.2E-2</v>
      </c>
      <c r="J1068" s="1">
        <f>+D1068-F1068+I1068*O1068</f>
        <v>1.7799999999999996E-2</v>
      </c>
      <c r="K1068" s="1">
        <v>-1.5353322029113801E-2</v>
      </c>
      <c r="L1068" s="1">
        <f>+K1068-J1068</f>
        <v>-3.3153322029113794E-2</v>
      </c>
      <c r="M1068" s="1">
        <v>-5.3353322029113803E-2</v>
      </c>
      <c r="N1068" s="1">
        <f>+M1068-J1068</f>
        <v>-7.11533220291138E-2</v>
      </c>
      <c r="O1068">
        <v>2.1</v>
      </c>
      <c r="P1068" t="s">
        <v>17</v>
      </c>
      <c r="Q1068">
        <v>-0.02</v>
      </c>
      <c r="R1068">
        <v>-3.08824113607407E-2</v>
      </c>
      <c r="S1068">
        <v>-4.31570969522005E-3</v>
      </c>
      <c r="T1068">
        <v>0.01</v>
      </c>
    </row>
    <row r="1069" spans="1:20" x14ac:dyDescent="0.3">
      <c r="A1069" t="s">
        <v>85</v>
      </c>
      <c r="B1069">
        <v>2009</v>
      </c>
      <c r="C1069">
        <v>414061.1875</v>
      </c>
      <c r="D1069" s="1">
        <v>4.2999999999999997E-2</v>
      </c>
      <c r="E1069" s="1">
        <v>0.89664483070373502</v>
      </c>
      <c r="F1069" s="1">
        <v>-2.1000000000000001E-2</v>
      </c>
      <c r="G1069" s="1">
        <f t="shared" si="32"/>
        <v>1.4000000000000002E-2</v>
      </c>
      <c r="H1069" s="1" t="str">
        <f t="shared" si="33"/>
        <v/>
      </c>
      <c r="I1069" s="1">
        <v>1.2E-2</v>
      </c>
      <c r="J1069" s="1">
        <f>+D1069-F1069+I1069*O1069</f>
        <v>8.8720000000000007E-2</v>
      </c>
      <c r="K1069" s="1">
        <v>-3.4882411360740703E-2</v>
      </c>
      <c r="L1069" s="1">
        <f>+K1069-J1069</f>
        <v>-0.12360241136074071</v>
      </c>
      <c r="M1069" s="1">
        <v>-3.08824113607407E-2</v>
      </c>
      <c r="N1069" s="1">
        <f>+M1069-J1069</f>
        <v>-0.11960241136074071</v>
      </c>
      <c r="O1069">
        <v>2.06</v>
      </c>
      <c r="P1069" t="s">
        <v>17</v>
      </c>
      <c r="Q1069">
        <v>0</v>
      </c>
      <c r="R1069">
        <v>-7.7652029544115096E-3</v>
      </c>
      <c r="S1069">
        <v>1.69490580447017E-3</v>
      </c>
      <c r="T1069">
        <v>-0.04</v>
      </c>
    </row>
    <row r="1070" spans="1:20" x14ac:dyDescent="0.3">
      <c r="A1070" t="s">
        <v>85</v>
      </c>
      <c r="B1070">
        <v>2010</v>
      </c>
      <c r="C1070">
        <v>421393.1875</v>
      </c>
      <c r="D1070" s="1">
        <v>2.9000000000000001E-2</v>
      </c>
      <c r="E1070" s="1">
        <v>0.91222465038299605</v>
      </c>
      <c r="F1070" s="1">
        <v>5.1999999999999998E-2</v>
      </c>
      <c r="G1070" s="1">
        <f t="shared" si="32"/>
        <v>6.6000000000000003E-2</v>
      </c>
      <c r="H1070" s="1" t="str">
        <f t="shared" si="33"/>
        <v/>
      </c>
      <c r="I1070" s="1">
        <v>1.6E-2</v>
      </c>
      <c r="J1070" s="1">
        <f>+D1070-F1070+I1070*O1070</f>
        <v>1.1720000000000005E-2</v>
      </c>
      <c r="K1070" s="1">
        <v>8.2347970455884899E-3</v>
      </c>
      <c r="L1070" s="1">
        <f>+K1070-J1070</f>
        <v>-3.4852029544115148E-3</v>
      </c>
      <c r="M1070" s="1">
        <v>-7.7652029544115096E-3</v>
      </c>
      <c r="N1070" s="1">
        <f>+M1070-J1070</f>
        <v>-1.9485202954411515E-2</v>
      </c>
      <c r="O1070">
        <v>2.17</v>
      </c>
      <c r="P1070" t="s">
        <v>15</v>
      </c>
      <c r="Q1070">
        <v>0</v>
      </c>
      <c r="R1070">
        <v>-1.6232701361179401E-2</v>
      </c>
      <c r="S1070">
        <v>5.0510731525718897E-3</v>
      </c>
      <c r="T1070">
        <v>0.04</v>
      </c>
    </row>
    <row r="1071" spans="1:20" x14ac:dyDescent="0.3">
      <c r="A1071" t="s">
        <v>85</v>
      </c>
      <c r="B1071">
        <v>2011</v>
      </c>
      <c r="C1071">
        <v>428251.1875</v>
      </c>
      <c r="D1071" s="1">
        <v>0</v>
      </c>
      <c r="E1071" s="1">
        <v>0.91653549671173096</v>
      </c>
      <c r="F1071" s="1">
        <v>-1.2999999999999999E-2</v>
      </c>
      <c r="G1071" s="1">
        <f t="shared" si="32"/>
        <v>5.3000000000000005E-2</v>
      </c>
      <c r="H1071" s="1" t="str">
        <f t="shared" si="33"/>
        <v/>
      </c>
      <c r="I1071" s="1">
        <v>4.0000000000000001E-3</v>
      </c>
      <c r="J1071" s="1">
        <f>+D1071-F1071+I1071*O1071</f>
        <v>2.1559999999999999E-2</v>
      </c>
      <c r="K1071" s="1">
        <v>1.57672986388206E-2</v>
      </c>
      <c r="L1071" s="1">
        <f>+K1071-J1071</f>
        <v>-5.7927013611793997E-3</v>
      </c>
      <c r="M1071" s="1">
        <v>-1.6232701361179401E-2</v>
      </c>
      <c r="N1071" s="1">
        <f>+M1071-J1071</f>
        <v>-3.7792701361179404E-2</v>
      </c>
      <c r="O1071">
        <v>2.14</v>
      </c>
      <c r="P1071" t="s">
        <v>17</v>
      </c>
      <c r="Q1071">
        <v>0.01</v>
      </c>
      <c r="R1071">
        <v>-5.3526072800158999E-3</v>
      </c>
      <c r="S1071">
        <v>8.5598789155498804E-5</v>
      </c>
      <c r="T1071">
        <v>-0.01</v>
      </c>
    </row>
    <row r="1072" spans="1:20" x14ac:dyDescent="0.3">
      <c r="A1072" t="s">
        <v>85</v>
      </c>
      <c r="B1072">
        <v>2012</v>
      </c>
      <c r="C1072">
        <v>434665.5</v>
      </c>
      <c r="D1072" s="1">
        <v>3.0000000000000001E-3</v>
      </c>
      <c r="E1072" s="1">
        <v>0.91921538114547696</v>
      </c>
      <c r="F1072" s="1">
        <v>7.4999999999999997E-2</v>
      </c>
      <c r="G1072" s="1">
        <f t="shared" si="32"/>
        <v>0.128</v>
      </c>
      <c r="H1072" s="1">
        <f t="shared" si="33"/>
        <v>-8.3408283535391483E-4</v>
      </c>
      <c r="I1072" s="1">
        <v>3.0000000000000001E-3</v>
      </c>
      <c r="J1072" s="1">
        <f>+D1072-F1072+I1072*O1072</f>
        <v>-6.5099999999999991E-2</v>
      </c>
      <c r="K1072" s="1">
        <v>1.56473927199841E-2</v>
      </c>
      <c r="L1072" s="1">
        <f>+K1072-J1072</f>
        <v>8.0747392719984087E-2</v>
      </c>
      <c r="M1072" s="1">
        <v>-5.3526072800158999E-3</v>
      </c>
      <c r="N1072" s="1">
        <f>+M1072-J1072</f>
        <v>5.974739271998409E-2</v>
      </c>
      <c r="O1072">
        <v>2.2999999999999998</v>
      </c>
      <c r="P1072" t="s">
        <v>15</v>
      </c>
      <c r="Q1072" t="s">
        <v>23</v>
      </c>
      <c r="R1072">
        <v>-1.27808075491339E-2</v>
      </c>
      <c r="S1072">
        <v>-1.89075788948685E-2</v>
      </c>
      <c r="T1072">
        <v>7.0000000000000007E-2</v>
      </c>
    </row>
    <row r="1073" spans="1:20" x14ac:dyDescent="0.3">
      <c r="A1073" t="s">
        <v>85</v>
      </c>
      <c r="B1073">
        <v>2013</v>
      </c>
      <c r="C1073">
        <v>441219.09379999997</v>
      </c>
      <c r="D1073" s="1">
        <v>3.3000000000000002E-2</v>
      </c>
      <c r="E1073" s="1">
        <v>0.89684623479843095</v>
      </c>
      <c r="F1073" s="1">
        <v>-2.5999999999999999E-2</v>
      </c>
      <c r="G1073" s="1">
        <f t="shared" si="32"/>
        <v>0.10200000000000001</v>
      </c>
      <c r="H1073" s="1" t="str">
        <f t="shared" si="33"/>
        <v/>
      </c>
      <c r="I1073" s="1">
        <v>-2.1999999999999999E-2</v>
      </c>
      <c r="J1073" s="1">
        <f>+D1073-F1073+I1073*O1073</f>
        <v>9.7199999999999925E-3</v>
      </c>
      <c r="K1073" s="1">
        <v>2.2191924508661001E-3</v>
      </c>
      <c r="L1073" s="1">
        <f>+K1073-J1073</f>
        <v>-7.5008075491338928E-3</v>
      </c>
      <c r="M1073" s="1">
        <v>-1.27808075491339E-2</v>
      </c>
      <c r="N1073" s="1">
        <f>+M1073-J1073</f>
        <v>-2.2500807549133892E-2</v>
      </c>
      <c r="O1073">
        <v>2.2400000000000002</v>
      </c>
      <c r="P1073" t="s">
        <v>16</v>
      </c>
      <c r="Q1073">
        <v>-0.02</v>
      </c>
      <c r="R1073">
        <v>-1.9887358121573901E-2</v>
      </c>
      <c r="S1073">
        <v>-2.1895381622016399E-2</v>
      </c>
      <c r="T1073">
        <v>-0.03</v>
      </c>
    </row>
    <row r="1074" spans="1:20" x14ac:dyDescent="0.3">
      <c r="A1074" t="s">
        <v>85</v>
      </c>
      <c r="B1074">
        <v>2014</v>
      </c>
      <c r="C1074">
        <v>447227.125</v>
      </c>
      <c r="D1074" s="1">
        <v>4.5999999999999999E-2</v>
      </c>
      <c r="E1074" s="1">
        <v>0.88356918096542403</v>
      </c>
      <c r="F1074" s="1">
        <v>1.2E-2</v>
      </c>
      <c r="G1074" s="1">
        <f t="shared" si="32"/>
        <v>0.114</v>
      </c>
      <c r="H1074" s="1" t="str">
        <f t="shared" si="33"/>
        <v/>
      </c>
      <c r="I1074" s="1">
        <v>-1.2999999999999999E-2</v>
      </c>
      <c r="J1074" s="1">
        <f>+D1074-F1074+I1074*O1074</f>
        <v>4.4900000000000044E-3</v>
      </c>
      <c r="K1074" s="1">
        <v>-3.8873581215739298E-3</v>
      </c>
      <c r="L1074" s="1">
        <f>+K1074-J1074</f>
        <v>-8.3773581215739346E-3</v>
      </c>
      <c r="M1074" s="1">
        <v>-1.9887358121573901E-2</v>
      </c>
      <c r="N1074" s="1">
        <f>+M1074-J1074</f>
        <v>-2.4377358121573905E-2</v>
      </c>
      <c r="O1074">
        <v>2.27</v>
      </c>
      <c r="P1074" t="s">
        <v>17</v>
      </c>
      <c r="Q1074">
        <v>-0.02</v>
      </c>
      <c r="R1074">
        <v>1.92279984951019E-2</v>
      </c>
      <c r="S1074">
        <v>-1.1035453528165699E-2</v>
      </c>
      <c r="T1074">
        <v>0.01</v>
      </c>
    </row>
    <row r="1075" spans="1:20" x14ac:dyDescent="0.3">
      <c r="A1075" t="s">
        <v>85</v>
      </c>
      <c r="B1075">
        <v>2015</v>
      </c>
      <c r="C1075">
        <v>452852.375</v>
      </c>
      <c r="D1075" s="1">
        <v>8.0000000000000002E-3</v>
      </c>
      <c r="E1075" s="1">
        <v>0.90770345926284801</v>
      </c>
      <c r="F1075" s="1">
        <v>2.7E-2</v>
      </c>
      <c r="G1075" s="1">
        <f t="shared" si="32"/>
        <v>0.14100000000000001</v>
      </c>
      <c r="H1075" s="1">
        <f t="shared" si="33"/>
        <v>3.18471174687147E-2</v>
      </c>
      <c r="I1075" s="1">
        <v>2.4E-2</v>
      </c>
      <c r="J1075" s="1">
        <f>+D1075-F1075+I1075*O1075</f>
        <v>3.6920000000000008E-2</v>
      </c>
      <c r="K1075" s="1">
        <v>2.0227998495101901E-2</v>
      </c>
      <c r="L1075" s="1">
        <f>+K1075-J1075</f>
        <v>-1.6692001504898107E-2</v>
      </c>
      <c r="M1075" s="1">
        <v>1.92279984951019E-2</v>
      </c>
      <c r="N1075" s="1">
        <f>+M1075-J1075</f>
        <v>-1.7692001504898108E-2</v>
      </c>
      <c r="O1075">
        <v>2.33</v>
      </c>
      <c r="P1075" t="s">
        <v>15</v>
      </c>
      <c r="Q1075">
        <v>-0.01</v>
      </c>
      <c r="R1075">
        <v>1.0468729108572E-2</v>
      </c>
      <c r="S1075">
        <v>-2.6848278939723999E-3</v>
      </c>
      <c r="T1075">
        <v>0.04</v>
      </c>
    </row>
    <row r="1076" spans="1:20" x14ac:dyDescent="0.3">
      <c r="A1076" t="s">
        <v>85</v>
      </c>
      <c r="B1076">
        <v>2016</v>
      </c>
      <c r="C1076">
        <v>459518.09379999997</v>
      </c>
      <c r="D1076" s="1">
        <v>2.8000000000000001E-2</v>
      </c>
      <c r="E1076" s="1">
        <v>0.91127532720565796</v>
      </c>
      <c r="F1076" s="1">
        <v>-0.05</v>
      </c>
      <c r="G1076" s="1">
        <f t="shared" si="32"/>
        <v>9.1000000000000011E-2</v>
      </c>
      <c r="H1076" s="1" t="str">
        <f t="shared" si="33"/>
        <v/>
      </c>
      <c r="I1076" s="1">
        <v>4.0000000000000001E-3</v>
      </c>
      <c r="J1076" s="1">
        <f>+D1076-F1076+I1076*O1076</f>
        <v>8.6840000000000001E-2</v>
      </c>
      <c r="K1076" s="1">
        <v>2.3468729108571999E-2</v>
      </c>
      <c r="L1076" s="1">
        <f>+K1076-J1076</f>
        <v>-6.3371270891427994E-2</v>
      </c>
      <c r="M1076" s="1">
        <v>1.0468729108572E-2</v>
      </c>
      <c r="N1076" s="1">
        <f>+M1076-J1076</f>
        <v>-7.6371270891428006E-2</v>
      </c>
      <c r="O1076">
        <v>2.21</v>
      </c>
      <c r="P1076" t="s">
        <v>17</v>
      </c>
      <c r="Q1076">
        <v>0</v>
      </c>
      <c r="R1076">
        <v>1.92255058288574E-2</v>
      </c>
      <c r="S1076">
        <v>1.6435932368040099E-2</v>
      </c>
      <c r="T1076">
        <v>-0.05</v>
      </c>
    </row>
    <row r="1077" spans="1:20" x14ac:dyDescent="0.3">
      <c r="A1077" t="s">
        <v>85</v>
      </c>
      <c r="B1077">
        <v>2017</v>
      </c>
      <c r="C1077">
        <v>467325</v>
      </c>
      <c r="D1077" s="1">
        <v>1.0999999999999999E-2</v>
      </c>
      <c r="E1077" s="1">
        <v>0.917838275432587</v>
      </c>
      <c r="F1077" s="1">
        <v>-1.4999999999999999E-2</v>
      </c>
      <c r="G1077" s="1">
        <f t="shared" si="32"/>
        <v>7.6000000000000012E-2</v>
      </c>
      <c r="H1077" s="1" t="str">
        <f t="shared" si="33"/>
        <v/>
      </c>
      <c r="I1077" s="1">
        <v>7.0000000000000001E-3</v>
      </c>
      <c r="J1077" s="1">
        <f>+D1077-F1077+I1077*O1077</f>
        <v>4.1259999999999998E-2</v>
      </c>
      <c r="K1077" s="1">
        <v>4.0225505828857401E-2</v>
      </c>
      <c r="L1077" s="1">
        <f>+K1077-J1077</f>
        <v>-1.034494171142597E-3</v>
      </c>
      <c r="M1077" s="1">
        <v>1.92255058288574E-2</v>
      </c>
      <c r="N1077" s="1">
        <f>+M1077-J1077</f>
        <v>-2.2034494171142598E-2</v>
      </c>
      <c r="O1077">
        <v>2.1800000000000002</v>
      </c>
      <c r="P1077" t="s">
        <v>17</v>
      </c>
      <c r="Q1077">
        <v>0.02</v>
      </c>
      <c r="R1077">
        <v>2.66228655576706E-2</v>
      </c>
      <c r="S1077">
        <v>1.74878425896168E-2</v>
      </c>
      <c r="T1077">
        <v>-0.01</v>
      </c>
    </row>
    <row r="1078" spans="1:20" x14ac:dyDescent="0.3">
      <c r="A1078" t="s">
        <v>85</v>
      </c>
      <c r="B1078">
        <v>2018</v>
      </c>
      <c r="C1078">
        <v>476105</v>
      </c>
      <c r="D1078" s="1">
        <v>1.9E-2</v>
      </c>
      <c r="E1078" s="1">
        <v>0.92468643188476596</v>
      </c>
      <c r="F1078" s="1">
        <v>-4.2000000000000003E-2</v>
      </c>
      <c r="G1078" s="1">
        <f t="shared" si="32"/>
        <v>3.4000000000000009E-2</v>
      </c>
      <c r="H1078" s="1" t="str">
        <f t="shared" si="33"/>
        <v/>
      </c>
      <c r="I1078" s="1">
        <v>7.0000000000000001E-3</v>
      </c>
      <c r="J1078" s="1">
        <f>+D1078-F1078+I1078*O1078</f>
        <v>7.5630000000000003E-2</v>
      </c>
      <c r="K1078" s="1">
        <v>5.06228655576706E-2</v>
      </c>
      <c r="L1078" s="1">
        <f>+K1078-J1078</f>
        <v>-2.5007134442329403E-2</v>
      </c>
      <c r="M1078" s="1">
        <v>2.66228655576706E-2</v>
      </c>
      <c r="N1078" s="1">
        <f>+M1078-J1078</f>
        <v>-4.9007134442329403E-2</v>
      </c>
      <c r="O1078">
        <v>2.09</v>
      </c>
      <c r="P1078" t="s">
        <v>17</v>
      </c>
      <c r="Q1078">
        <v>0.02</v>
      </c>
      <c r="R1078">
        <v>3.9395584881305699E-2</v>
      </c>
      <c r="S1078">
        <v>2.1594390273094202E-2</v>
      </c>
      <c r="T1078">
        <v>-0.03</v>
      </c>
    </row>
    <row r="1079" spans="1:20" x14ac:dyDescent="0.3">
      <c r="A1079" t="s">
        <v>85</v>
      </c>
      <c r="B1079">
        <v>2019</v>
      </c>
      <c r="C1079">
        <v>486001.90629999997</v>
      </c>
      <c r="D1079" s="1">
        <v>1.4999999999999999E-2</v>
      </c>
      <c r="E1079" s="1">
        <v>0.938149094581604</v>
      </c>
      <c r="F1079" s="1">
        <v>-1.0999999999999999E-2</v>
      </c>
      <c r="G1079" s="1">
        <f t="shared" si="32"/>
        <v>2.300000000000001E-2</v>
      </c>
      <c r="H1079" s="1" t="str">
        <f t="shared" si="33"/>
        <v/>
      </c>
      <c r="I1079" s="1">
        <v>1.2999999999999999E-2</v>
      </c>
      <c r="J1079" s="1">
        <f>+D1079-F1079+I1079*O1079</f>
        <v>5.2909999999999999E-2</v>
      </c>
      <c r="K1079" s="1">
        <v>5.7395584881305702E-2</v>
      </c>
      <c r="L1079" s="1">
        <f>+K1079-J1079</f>
        <v>4.4855848813057028E-3</v>
      </c>
      <c r="M1079" s="1">
        <v>3.9395584881305699E-2</v>
      </c>
      <c r="N1079" s="1">
        <f>+M1079-J1079</f>
        <v>-1.3514415118694299E-2</v>
      </c>
      <c r="O1079">
        <v>2.0699999999999998</v>
      </c>
      <c r="P1079" t="s">
        <v>17</v>
      </c>
      <c r="Q1079">
        <v>0.02</v>
      </c>
      <c r="R1079">
        <v>2.6997091352939599E-2</v>
      </c>
      <c r="S1079">
        <v>8.1479009240865898E-3</v>
      </c>
      <c r="T1079">
        <v>0</v>
      </c>
    </row>
    <row r="1080" spans="1:20" x14ac:dyDescent="0.3">
      <c r="A1080" t="s">
        <v>85</v>
      </c>
      <c r="B1080">
        <v>2020</v>
      </c>
      <c r="C1080">
        <v>497023.40629999997</v>
      </c>
      <c r="D1080" s="1">
        <v>4.7E-2</v>
      </c>
      <c r="E1080" s="1">
        <v>0.92966777086257901</v>
      </c>
      <c r="F1080" s="1">
        <v>-8.1000000000000003E-2</v>
      </c>
      <c r="G1080" s="1">
        <f t="shared" si="32"/>
        <v>-5.7999999999999996E-2</v>
      </c>
      <c r="H1080" s="1" t="str">
        <f t="shared" si="33"/>
        <v/>
      </c>
      <c r="I1080" s="1">
        <v>-8.0000000000000002E-3</v>
      </c>
      <c r="J1080" s="1">
        <f>+D1080-F1080+I1080*O1080</f>
        <v>0.1128</v>
      </c>
      <c r="K1080" s="1">
        <v>3.8997091352939599E-2</v>
      </c>
      <c r="L1080" s="1">
        <f>+K1080-J1080</f>
        <v>-7.3802908647060406E-2</v>
      </c>
      <c r="M1080" s="1">
        <v>2.6997091352939599E-2</v>
      </c>
      <c r="N1080" s="1">
        <f>+M1080-J1080</f>
        <v>-8.5802908647060402E-2</v>
      </c>
      <c r="O1080">
        <v>1.9</v>
      </c>
      <c r="P1080" t="s">
        <v>16</v>
      </c>
      <c r="Q1080">
        <v>0.01</v>
      </c>
      <c r="R1080">
        <v>2.3676818490028301E-2</v>
      </c>
      <c r="S1080">
        <v>-1.99127942323685E-2</v>
      </c>
      <c r="T1080">
        <v>-0.04</v>
      </c>
    </row>
    <row r="1081" spans="1:20" x14ac:dyDescent="0.3">
      <c r="A1081" t="s">
        <v>85</v>
      </c>
      <c r="B1081">
        <v>2021</v>
      </c>
      <c r="C1081">
        <v>506618.71879999997</v>
      </c>
      <c r="D1081" s="1">
        <v>7.8E-2</v>
      </c>
      <c r="E1081" s="1">
        <v>0.90786719322204601</v>
      </c>
      <c r="F1081" s="1">
        <v>5.8000000000000003E-2</v>
      </c>
      <c r="G1081" s="1">
        <f t="shared" si="32"/>
        <v>6.9388939039072284E-18</v>
      </c>
      <c r="H1081" s="1" t="str">
        <f t="shared" si="33"/>
        <v/>
      </c>
      <c r="I1081" s="1">
        <v>-2.1999999999999999E-2</v>
      </c>
      <c r="J1081" s="1">
        <f>+D1081-F1081+I1081*O1081</f>
        <v>-2.4219999999999998E-2</v>
      </c>
      <c r="K1081" s="1">
        <v>7.0676818490028395E-2</v>
      </c>
      <c r="L1081" s="1">
        <f>+K1081-J1081</f>
        <v>9.4896818490028401E-2</v>
      </c>
      <c r="M1081" s="1">
        <v>2.3676818490028301E-2</v>
      </c>
      <c r="N1081" s="1">
        <f>+M1081-J1081</f>
        <v>4.7896818490028303E-2</v>
      </c>
      <c r="O1081">
        <v>2.0099999999999998</v>
      </c>
      <c r="P1081" t="s">
        <v>17</v>
      </c>
      <c r="Q1081">
        <v>-0.02</v>
      </c>
      <c r="R1081">
        <v>-5.2064243629574798E-2</v>
      </c>
      <c r="S1081">
        <v>-1.9960736855864501E-2</v>
      </c>
      <c r="T1081">
        <v>0.03</v>
      </c>
    </row>
    <row r="1082" spans="1:20" x14ac:dyDescent="0.3">
      <c r="A1082" t="s">
        <v>85</v>
      </c>
      <c r="B1082">
        <v>2022</v>
      </c>
      <c r="C1082">
        <v>518390.375</v>
      </c>
      <c r="D1082" s="1">
        <v>0.106</v>
      </c>
      <c r="E1082" s="1">
        <v>0.86933356523513805</v>
      </c>
      <c r="F1082" s="1">
        <v>2.7E-2</v>
      </c>
      <c r="G1082" s="1">
        <f t="shared" si="32"/>
        <v>2.7000000000000007E-2</v>
      </c>
      <c r="H1082" s="1" t="str">
        <f t="shared" si="33"/>
        <v/>
      </c>
      <c r="I1082" s="1">
        <v>-3.9E-2</v>
      </c>
      <c r="J1082" s="1">
        <f>+D1082-F1082+I1082*O1082</f>
        <v>-1.3400000000000079E-3</v>
      </c>
      <c r="K1082" s="1">
        <v>2.79357563704252E-2</v>
      </c>
      <c r="L1082" s="1">
        <f>+K1082-J1082</f>
        <v>2.9275756370425208E-2</v>
      </c>
      <c r="M1082" s="1">
        <v>-5.2064243629574798E-2</v>
      </c>
      <c r="N1082" s="1">
        <f>+M1082-J1082</f>
        <v>-5.072424362957479E-2</v>
      </c>
      <c r="O1082">
        <v>2.06</v>
      </c>
      <c r="P1082" t="s">
        <v>17</v>
      </c>
      <c r="Q1082">
        <v>-0.02</v>
      </c>
      <c r="R1082">
        <v>-6.8981003746390296E-2</v>
      </c>
      <c r="S1082">
        <v>-4.9422075971960903E-2</v>
      </c>
      <c r="T1082">
        <v>0.04</v>
      </c>
    </row>
    <row r="1083" spans="1:20" x14ac:dyDescent="0.3">
      <c r="A1083" t="s">
        <v>86</v>
      </c>
      <c r="B1083">
        <v>2006</v>
      </c>
      <c r="C1083">
        <v>1807070</v>
      </c>
      <c r="D1083" s="1">
        <v>1.6E-2</v>
      </c>
      <c r="E1083" s="1">
        <v>0.89683598279953003</v>
      </c>
      <c r="F1083" s="1">
        <v>-8.0000000000000002E-3</v>
      </c>
      <c r="G1083" s="1">
        <f t="shared" si="32"/>
        <v>-8.0000000000000002E-3</v>
      </c>
      <c r="H1083" s="1" t="str">
        <f t="shared" si="33"/>
        <v/>
      </c>
      <c r="I1083" s="1">
        <v>4.0000000000000001E-3</v>
      </c>
      <c r="J1083" s="1">
        <f>+D1083-F1083+I1083*O1083</f>
        <v>3.2640000000000002E-2</v>
      </c>
      <c r="K1083" s="1">
        <v>1.3599998317658899E-2</v>
      </c>
      <c r="L1083" s="1">
        <f>+K1083-J1083</f>
        <v>-1.9040001682341101E-2</v>
      </c>
      <c r="M1083" s="1">
        <v>-1.8400001682341099E-2</v>
      </c>
      <c r="N1083" s="1">
        <f>+M1083-J1083</f>
        <v>-5.1040001682341102E-2</v>
      </c>
      <c r="O1083">
        <v>2.16</v>
      </c>
      <c r="P1083" t="s">
        <v>17</v>
      </c>
      <c r="Q1083">
        <v>-0.02</v>
      </c>
      <c r="R1083">
        <v>-1.16705157756805E-2</v>
      </c>
      <c r="S1083">
        <v>-1.0748759843409001E-2</v>
      </c>
      <c r="T1083">
        <v>-0.01</v>
      </c>
    </row>
    <row r="1084" spans="1:20" x14ac:dyDescent="0.3">
      <c r="A1084" t="s">
        <v>86</v>
      </c>
      <c r="B1084">
        <v>2007</v>
      </c>
      <c r="C1084">
        <v>1832454</v>
      </c>
      <c r="D1084" s="1">
        <v>8.9999999999999993E-3</v>
      </c>
      <c r="E1084" s="1">
        <v>0.90341293811798096</v>
      </c>
      <c r="F1084" s="1">
        <v>-2.4E-2</v>
      </c>
      <c r="G1084" s="1">
        <f t="shared" si="32"/>
        <v>-3.2000000000000001E-2</v>
      </c>
      <c r="H1084" s="1" t="str">
        <f t="shared" si="33"/>
        <v/>
      </c>
      <c r="I1084" s="1">
        <v>7.0000000000000001E-3</v>
      </c>
      <c r="J1084" s="1">
        <f>+D1084-F1084+I1084*O1084</f>
        <v>4.7700000000000006E-2</v>
      </c>
      <c r="K1084" s="1">
        <v>1.73294842243195E-2</v>
      </c>
      <c r="L1084" s="1">
        <f>+K1084-J1084</f>
        <v>-3.0370515775680507E-2</v>
      </c>
      <c r="M1084" s="1">
        <v>-1.16705157756805E-2</v>
      </c>
      <c r="N1084" s="1">
        <f>+M1084-J1084</f>
        <v>-5.9370515775680505E-2</v>
      </c>
      <c r="O1084">
        <v>2.1</v>
      </c>
      <c r="P1084" t="s">
        <v>17</v>
      </c>
      <c r="Q1084">
        <v>-0.01</v>
      </c>
      <c r="R1084">
        <v>-1.8425463989377E-2</v>
      </c>
      <c r="S1084">
        <v>1.10853402875364E-2</v>
      </c>
      <c r="T1084">
        <v>-0.03</v>
      </c>
    </row>
    <row r="1085" spans="1:20" x14ac:dyDescent="0.3">
      <c r="A1085" t="s">
        <v>86</v>
      </c>
      <c r="B1085">
        <v>2008</v>
      </c>
      <c r="C1085">
        <v>1856185</v>
      </c>
      <c r="D1085" s="1">
        <v>8.9999999999999993E-3</v>
      </c>
      <c r="E1085" s="1">
        <v>0.89965873956680298</v>
      </c>
      <c r="F1085" s="1">
        <v>3.2000000000000001E-2</v>
      </c>
      <c r="G1085" s="1">
        <f t="shared" si="32"/>
        <v>0</v>
      </c>
      <c r="H1085" s="1" t="str">
        <f t="shared" si="33"/>
        <v/>
      </c>
      <c r="I1085" s="1">
        <v>-4.0000000000000001E-3</v>
      </c>
      <c r="J1085" s="1">
        <f>+D1085-F1085+I1085*O1085</f>
        <v>-3.168E-2</v>
      </c>
      <c r="K1085" s="1">
        <v>1.9574536010622999E-2</v>
      </c>
      <c r="L1085" s="1">
        <f>+K1085-J1085</f>
        <v>5.1254536010622999E-2</v>
      </c>
      <c r="M1085" s="1">
        <v>-1.8425463989377E-2</v>
      </c>
      <c r="N1085" s="1">
        <f>+M1085-J1085</f>
        <v>1.3254536010623E-2</v>
      </c>
      <c r="O1085">
        <v>2.17</v>
      </c>
      <c r="P1085" t="s">
        <v>17</v>
      </c>
      <c r="Q1085">
        <v>0.01</v>
      </c>
      <c r="R1085">
        <v>-8.5702153891324996E-3</v>
      </c>
      <c r="S1085">
        <v>1.7996486276388099E-2</v>
      </c>
      <c r="T1085">
        <v>0.03</v>
      </c>
    </row>
    <row r="1086" spans="1:20" x14ac:dyDescent="0.3">
      <c r="A1086" t="s">
        <v>86</v>
      </c>
      <c r="B1086">
        <v>2009</v>
      </c>
      <c r="C1086">
        <v>1878532</v>
      </c>
      <c r="D1086" s="1">
        <v>7.0000000000000001E-3</v>
      </c>
      <c r="E1086" s="1">
        <v>0.89230495691299405</v>
      </c>
      <c r="F1086" s="1">
        <v>3.3000000000000002E-2</v>
      </c>
      <c r="G1086" s="1">
        <f t="shared" si="32"/>
        <v>3.3000000000000002E-2</v>
      </c>
      <c r="H1086" s="1" t="str">
        <f t="shared" si="33"/>
        <v/>
      </c>
      <c r="I1086" s="1">
        <v>-7.0000000000000001E-3</v>
      </c>
      <c r="J1086" s="1">
        <f>+D1086-F1086+I1086*O1086</f>
        <v>-4.1680000000000009E-2</v>
      </c>
      <c r="K1086" s="1">
        <v>-1.25702153891325E-2</v>
      </c>
      <c r="L1086" s="1">
        <f>+K1086-J1086</f>
        <v>2.9109784610867509E-2</v>
      </c>
      <c r="M1086" s="1">
        <v>-8.5702153891324996E-3</v>
      </c>
      <c r="N1086" s="1">
        <f>+M1086-J1086</f>
        <v>3.3109784610867513E-2</v>
      </c>
      <c r="O1086">
        <v>2.2400000000000002</v>
      </c>
      <c r="P1086" t="s">
        <v>17</v>
      </c>
      <c r="Q1086">
        <v>0.02</v>
      </c>
      <c r="R1086">
        <v>-2.17640634477138E-2</v>
      </c>
      <c r="S1086">
        <v>-1.23039546888321E-2</v>
      </c>
      <c r="T1086">
        <v>0.01</v>
      </c>
    </row>
    <row r="1087" spans="1:20" x14ac:dyDescent="0.3">
      <c r="A1087" t="s">
        <v>86</v>
      </c>
      <c r="B1087">
        <v>2010</v>
      </c>
      <c r="C1087">
        <v>1898493</v>
      </c>
      <c r="D1087" s="1">
        <v>1.7000000000000001E-2</v>
      </c>
      <c r="E1087" s="1">
        <v>0.90110307931900002</v>
      </c>
      <c r="F1087" s="1">
        <v>8.0000000000000002E-3</v>
      </c>
      <c r="G1087" s="1">
        <f t="shared" si="32"/>
        <v>4.1000000000000002E-2</v>
      </c>
      <c r="H1087" s="1" t="str">
        <f t="shared" si="33"/>
        <v/>
      </c>
      <c r="I1087" s="1">
        <v>8.9999999999999993E-3</v>
      </c>
      <c r="J1087" s="1">
        <f>+D1087-F1087+I1087*O1087</f>
        <v>2.9339999999999998E-2</v>
      </c>
      <c r="K1087" s="1">
        <v>-5.7640634477138502E-3</v>
      </c>
      <c r="L1087" s="1">
        <f>+K1087-J1087</f>
        <v>-3.510406344771385E-2</v>
      </c>
      <c r="M1087" s="1">
        <v>-2.17640634477138E-2</v>
      </c>
      <c r="N1087" s="1">
        <f>+M1087-J1087</f>
        <v>-5.1104063447713802E-2</v>
      </c>
      <c r="O1087">
        <v>2.2599999999999998</v>
      </c>
      <c r="P1087" t="s">
        <v>15</v>
      </c>
      <c r="Q1087">
        <v>-0.01</v>
      </c>
      <c r="R1087">
        <v>-1.8065178178250801E-2</v>
      </c>
      <c r="S1087">
        <v>3.21859633550049E-3</v>
      </c>
      <c r="T1087">
        <v>0</v>
      </c>
    </row>
    <row r="1088" spans="1:20" x14ac:dyDescent="0.3">
      <c r="A1088" t="s">
        <v>86</v>
      </c>
      <c r="B1088">
        <v>2011</v>
      </c>
      <c r="C1088">
        <v>1919091</v>
      </c>
      <c r="D1088" s="1">
        <v>2E-3</v>
      </c>
      <c r="E1088" s="1">
        <v>0.90946716070175204</v>
      </c>
      <c r="F1088" s="1">
        <v>-2.7E-2</v>
      </c>
      <c r="G1088" s="1">
        <f t="shared" si="32"/>
        <v>1.4000000000000002E-2</v>
      </c>
      <c r="H1088" s="1" t="str">
        <f t="shared" si="33"/>
        <v/>
      </c>
      <c r="I1088" s="1">
        <v>8.0000000000000002E-3</v>
      </c>
      <c r="J1088" s="1">
        <f>+D1088-F1088+I1088*O1088</f>
        <v>4.6600000000000003E-2</v>
      </c>
      <c r="K1088" s="1">
        <v>1.39348218217492E-2</v>
      </c>
      <c r="L1088" s="1">
        <f>+K1088-J1088</f>
        <v>-3.2665178178250806E-2</v>
      </c>
      <c r="M1088" s="1">
        <v>-1.8065178178250801E-2</v>
      </c>
      <c r="N1088" s="1">
        <f>+M1088-J1088</f>
        <v>-6.4665178178250807E-2</v>
      </c>
      <c r="O1088">
        <v>2.2000000000000002</v>
      </c>
      <c r="P1088" t="s">
        <v>17</v>
      </c>
      <c r="Q1088">
        <v>0</v>
      </c>
      <c r="R1088">
        <v>-7.6985240951180003E-3</v>
      </c>
      <c r="S1088">
        <v>-2.2603180259466002E-3</v>
      </c>
      <c r="T1088">
        <v>-0.03</v>
      </c>
    </row>
    <row r="1089" spans="1:20" x14ac:dyDescent="0.3">
      <c r="A1089" t="s">
        <v>86</v>
      </c>
      <c r="B1089">
        <v>2012</v>
      </c>
      <c r="C1089">
        <v>1942046</v>
      </c>
      <c r="D1089" s="1">
        <v>1.6E-2</v>
      </c>
      <c r="E1089" s="1">
        <v>0.91187340021133401</v>
      </c>
      <c r="F1089" s="1">
        <v>1.2999999999999999E-2</v>
      </c>
      <c r="G1089" s="1">
        <f t="shared" si="32"/>
        <v>2.7000000000000003E-2</v>
      </c>
      <c r="H1089" s="1" t="str">
        <f t="shared" si="33"/>
        <v/>
      </c>
      <c r="I1089" s="1">
        <v>2E-3</v>
      </c>
      <c r="J1089" s="1">
        <f>+D1089-F1089+I1089*O1089</f>
        <v>7.4600000000000014E-3</v>
      </c>
      <c r="K1089" s="1">
        <v>1.3301475904881999E-2</v>
      </c>
      <c r="L1089" s="1">
        <f>+K1089-J1089</f>
        <v>5.8414759048819979E-3</v>
      </c>
      <c r="M1089" s="1">
        <v>-7.6985240951180003E-3</v>
      </c>
      <c r="N1089" s="1">
        <f>+M1089-J1089</f>
        <v>-1.5158524095118002E-2</v>
      </c>
      <c r="O1089">
        <v>2.23</v>
      </c>
      <c r="P1089" t="s">
        <v>15</v>
      </c>
      <c r="Q1089">
        <v>0</v>
      </c>
      <c r="R1089">
        <v>3.8748294115069999E-4</v>
      </c>
      <c r="S1089">
        <v>-5.7392884045838997E-3</v>
      </c>
      <c r="T1089">
        <v>0.01</v>
      </c>
    </row>
    <row r="1090" spans="1:20" x14ac:dyDescent="0.3">
      <c r="A1090" t="s">
        <v>86</v>
      </c>
      <c r="B1090">
        <v>2013</v>
      </c>
      <c r="C1090">
        <v>1966576</v>
      </c>
      <c r="D1090" s="1">
        <v>1.4999999999999999E-2</v>
      </c>
      <c r="E1090" s="1">
        <v>0.90716880559921298</v>
      </c>
      <c r="F1090" s="1">
        <v>1.6E-2</v>
      </c>
      <c r="G1090" s="1">
        <f t="shared" si="32"/>
        <v>4.3000000000000003E-2</v>
      </c>
      <c r="H1090" s="1" t="str">
        <f t="shared" si="33"/>
        <v/>
      </c>
      <c r="I1090" s="1">
        <v>-5.0000000000000001E-3</v>
      </c>
      <c r="J1090" s="1">
        <f>+D1090-F1090+I1090*O1090</f>
        <v>-1.2350000000000002E-2</v>
      </c>
      <c r="K1090" s="1">
        <v>1.53874829411507E-2</v>
      </c>
      <c r="L1090" s="1">
        <f>+K1090-J1090</f>
        <v>2.77374829411507E-2</v>
      </c>
      <c r="M1090" s="1">
        <v>3.8748294115069999E-4</v>
      </c>
      <c r="N1090" s="1">
        <f>+M1090-J1090</f>
        <v>1.2737482941150702E-2</v>
      </c>
      <c r="O1090">
        <v>2.27</v>
      </c>
      <c r="P1090" t="s">
        <v>17</v>
      </c>
      <c r="Q1090">
        <v>-0.01</v>
      </c>
      <c r="R1090">
        <v>-6.0610400363802896E-3</v>
      </c>
      <c r="S1090">
        <v>-8.0690635368227907E-3</v>
      </c>
      <c r="T1090">
        <v>0.01</v>
      </c>
    </row>
    <row r="1091" spans="1:20" x14ac:dyDescent="0.3">
      <c r="A1091" t="s">
        <v>86</v>
      </c>
      <c r="B1091">
        <v>2014</v>
      </c>
      <c r="C1091">
        <v>1986103</v>
      </c>
      <c r="D1091" s="1">
        <v>2.9000000000000001E-2</v>
      </c>
      <c r="E1091" s="1">
        <v>0.90121287107467696</v>
      </c>
      <c r="F1091" s="1">
        <v>-8.9999999999999993E-3</v>
      </c>
      <c r="G1091" s="1">
        <f t="shared" si="32"/>
        <v>3.4000000000000002E-2</v>
      </c>
      <c r="H1091" s="1" t="str">
        <f t="shared" si="33"/>
        <v/>
      </c>
      <c r="I1091" s="1">
        <v>-6.0000000000000001E-3</v>
      </c>
      <c r="J1091" s="1">
        <f>+D1091-F1091+I1091*O1091</f>
        <v>2.4500000000000001E-2</v>
      </c>
      <c r="K1091" s="1">
        <v>9.9389599636197107E-3</v>
      </c>
      <c r="L1091" s="1">
        <f>+K1091-J1091</f>
        <v>-1.456104003638029E-2</v>
      </c>
      <c r="M1091" s="1">
        <v>-6.0610400363802896E-3</v>
      </c>
      <c r="N1091" s="1">
        <f>+M1091-J1091</f>
        <v>-3.0561040036380292E-2</v>
      </c>
      <c r="O1091">
        <v>2.25</v>
      </c>
      <c r="P1091" t="s">
        <v>16</v>
      </c>
      <c r="Q1091">
        <v>-0.01</v>
      </c>
      <c r="R1091">
        <v>2.62620376199484E-2</v>
      </c>
      <c r="S1091">
        <v>-4.0014144033192903E-3</v>
      </c>
      <c r="T1091">
        <v>-0.01</v>
      </c>
    </row>
    <row r="1092" spans="1:20" x14ac:dyDescent="0.3">
      <c r="A1092" t="s">
        <v>86</v>
      </c>
      <c r="B1092">
        <v>2015</v>
      </c>
      <c r="C1092">
        <v>2005012</v>
      </c>
      <c r="D1092" s="1">
        <v>0.02</v>
      </c>
      <c r="E1092" s="1">
        <v>0.91007488965988204</v>
      </c>
      <c r="F1092" s="1">
        <v>-1.7999999999999999E-2</v>
      </c>
      <c r="G1092" s="1">
        <f t="shared" si="32"/>
        <v>1.6000000000000004E-2</v>
      </c>
      <c r="H1092" s="1" t="str">
        <f t="shared" si="33"/>
        <v/>
      </c>
      <c r="I1092" s="1">
        <v>8.9999999999999993E-3</v>
      </c>
      <c r="J1092" s="1">
        <f>+D1092-F1092+I1092*O1092</f>
        <v>5.7889999999999997E-2</v>
      </c>
      <c r="K1092" s="1">
        <v>2.7262037619948401E-2</v>
      </c>
      <c r="L1092" s="1">
        <f>+K1092-J1092</f>
        <v>-3.0627962380051596E-2</v>
      </c>
      <c r="M1092" s="1">
        <v>2.62620376199484E-2</v>
      </c>
      <c r="N1092" s="1">
        <f>+M1092-J1092</f>
        <v>-3.1627962380051597E-2</v>
      </c>
      <c r="O1092">
        <v>2.21</v>
      </c>
      <c r="P1092" t="s">
        <v>17</v>
      </c>
      <c r="Q1092">
        <v>0</v>
      </c>
      <c r="R1092">
        <v>1.5099723160266899E-2</v>
      </c>
      <c r="S1092">
        <v>1.9461661577225E-3</v>
      </c>
      <c r="T1092">
        <v>-0.01</v>
      </c>
    </row>
    <row r="1093" spans="1:20" x14ac:dyDescent="0.3">
      <c r="A1093" t="s">
        <v>86</v>
      </c>
      <c r="B1093">
        <v>2016</v>
      </c>
      <c r="C1093">
        <v>2028459</v>
      </c>
      <c r="D1093" s="1">
        <v>1.7000000000000001E-2</v>
      </c>
      <c r="E1093" s="1">
        <v>0.91126996278762795</v>
      </c>
      <c r="F1093" s="1">
        <v>-1.7999999999999999E-2</v>
      </c>
      <c r="G1093" s="1">
        <f t="shared" si="32"/>
        <v>-1.9999999999999948E-3</v>
      </c>
      <c r="H1093" s="1" t="str">
        <f t="shared" si="33"/>
        <v/>
      </c>
      <c r="I1093" s="1">
        <v>1E-3</v>
      </c>
      <c r="J1093" s="1">
        <f>+D1093-F1093+I1093*O1093</f>
        <v>3.7170000000000002E-2</v>
      </c>
      <c r="K1093" s="1">
        <v>2.8099723160266901E-2</v>
      </c>
      <c r="L1093" s="1">
        <f>+K1093-J1093</f>
        <v>-9.0702768397331011E-3</v>
      </c>
      <c r="M1093" s="1">
        <v>1.5099723160266899E-2</v>
      </c>
      <c r="N1093" s="1">
        <f>+M1093-J1093</f>
        <v>-2.2070276839733102E-2</v>
      </c>
      <c r="O1093">
        <v>2.17</v>
      </c>
      <c r="P1093" t="s">
        <v>17</v>
      </c>
      <c r="Q1093">
        <v>0</v>
      </c>
      <c r="R1093">
        <v>9.8164097368716903E-3</v>
      </c>
      <c r="S1093">
        <v>7.0268362760543997E-3</v>
      </c>
      <c r="T1093">
        <v>-0.02</v>
      </c>
    </row>
    <row r="1094" spans="1:20" x14ac:dyDescent="0.3">
      <c r="A1094" t="s">
        <v>86</v>
      </c>
      <c r="B1094">
        <v>2017</v>
      </c>
      <c r="C1094">
        <v>2052709</v>
      </c>
      <c r="D1094" s="1">
        <v>1.4E-2</v>
      </c>
      <c r="E1094" s="1">
        <v>0.91296720504760698</v>
      </c>
      <c r="F1094" s="1">
        <v>-2.1000000000000001E-2</v>
      </c>
      <c r="G1094" s="1">
        <f t="shared" si="32"/>
        <v>-2.2999999999999996E-2</v>
      </c>
      <c r="H1094" s="1" t="str">
        <f t="shared" si="33"/>
        <v/>
      </c>
      <c r="I1094" s="1">
        <v>2E-3</v>
      </c>
      <c r="J1094" s="1">
        <f>+D1094-F1094+I1094*O1094</f>
        <v>3.9240000000000004E-2</v>
      </c>
      <c r="K1094" s="1">
        <v>3.0816409736871699E-2</v>
      </c>
      <c r="L1094" s="1">
        <f>+K1094-J1094</f>
        <v>-8.4235902631283055E-3</v>
      </c>
      <c r="M1094" s="1">
        <v>9.8164097368716903E-3</v>
      </c>
      <c r="N1094" s="1">
        <f>+M1094-J1094</f>
        <v>-2.9423590263128314E-2</v>
      </c>
      <c r="O1094">
        <v>2.12</v>
      </c>
      <c r="P1094" t="s">
        <v>17</v>
      </c>
      <c r="Q1094">
        <v>0.01</v>
      </c>
      <c r="R1094">
        <v>9.1350229680537895E-3</v>
      </c>
      <c r="S1094">
        <v>0</v>
      </c>
      <c r="T1094">
        <v>-0.02</v>
      </c>
    </row>
    <row r="1095" spans="1:20" x14ac:dyDescent="0.3">
      <c r="A1095" t="s">
        <v>86</v>
      </c>
      <c r="B1095">
        <v>2018</v>
      </c>
      <c r="C1095">
        <v>2078336</v>
      </c>
      <c r="D1095" s="1">
        <v>0.02</v>
      </c>
      <c r="E1095" s="1">
        <v>0.91157513856887795</v>
      </c>
      <c r="F1095" s="1">
        <v>2.1000000000000001E-2</v>
      </c>
      <c r="G1095" s="1">
        <f t="shared" ref="G1095:G1158" si="34">SUMIFS(F:F,A:A,A1095,B:B,"&lt;="&amp;B1095)</f>
        <v>-1.9999999999999948E-3</v>
      </c>
      <c r="H1095" s="1" t="str">
        <f t="shared" ref="H1095:H1158" si="35">IFERROR(IF(ABS(G1095)&gt;0.12,AVERAGEIFS(K:K,A:A,A1095,B:B,"&gt;"&amp;B1095,B:B,"&lt;"&amp;B1095+3),""),"")</f>
        <v/>
      </c>
      <c r="I1095" s="1">
        <v>-1E-3</v>
      </c>
      <c r="J1095" s="1">
        <f>+D1095-F1095+I1095*O1095</f>
        <v>-3.1700000000000009E-3</v>
      </c>
      <c r="K1095" s="1">
        <v>3.3135022968053797E-2</v>
      </c>
      <c r="L1095" s="1">
        <f>+K1095-J1095</f>
        <v>3.6305022968053796E-2</v>
      </c>
      <c r="M1095" s="1">
        <v>9.1350229680537895E-3</v>
      </c>
      <c r="N1095" s="1">
        <f>+M1095-J1095</f>
        <v>1.230502296805379E-2</v>
      </c>
      <c r="O1095">
        <v>2.17</v>
      </c>
      <c r="P1095" t="s">
        <v>17</v>
      </c>
      <c r="Q1095" t="s">
        <v>23</v>
      </c>
      <c r="R1095">
        <v>2.59054034650326E-2</v>
      </c>
      <c r="S1095">
        <v>8.1042088568210897E-3</v>
      </c>
      <c r="T1095">
        <v>0.03</v>
      </c>
    </row>
    <row r="1096" spans="1:20" x14ac:dyDescent="0.3">
      <c r="A1096" t="s">
        <v>86</v>
      </c>
      <c r="B1096">
        <v>2019</v>
      </c>
      <c r="C1096">
        <v>2100410</v>
      </c>
      <c r="D1096" s="1">
        <v>5.0000000000000001E-3</v>
      </c>
      <c r="E1096" s="1">
        <v>0.91674125194549605</v>
      </c>
      <c r="F1096" s="1">
        <v>-7.5999999999999998E-2</v>
      </c>
      <c r="G1096" s="1">
        <f t="shared" si="34"/>
        <v>-7.7999999999999986E-2</v>
      </c>
      <c r="H1096" s="1" t="str">
        <f t="shared" si="35"/>
        <v/>
      </c>
      <c r="I1096" s="1">
        <v>5.0000000000000001E-3</v>
      </c>
      <c r="J1096" s="1">
        <f>+D1096-F1096+I1096*O1096</f>
        <v>9.0999999999999998E-2</v>
      </c>
      <c r="K1096" s="1">
        <v>4.3905403465032598E-2</v>
      </c>
      <c r="L1096" s="1">
        <f>+K1096-J1096</f>
        <v>-4.7094596534967399E-2</v>
      </c>
      <c r="M1096" s="1">
        <v>2.59054034650326E-2</v>
      </c>
      <c r="N1096" s="1">
        <f>+M1096-J1096</f>
        <v>-6.5094596534967394E-2</v>
      </c>
      <c r="O1096">
        <v>2</v>
      </c>
      <c r="P1096" t="s">
        <v>17</v>
      </c>
      <c r="Q1096">
        <v>0.01</v>
      </c>
      <c r="R1096">
        <v>2.83578355908394E-2</v>
      </c>
      <c r="S1096">
        <v>9.5086451619863996E-3</v>
      </c>
      <c r="T1096">
        <v>-7.0000000000000007E-2</v>
      </c>
    </row>
    <row r="1097" spans="1:20" x14ac:dyDescent="0.3">
      <c r="A1097" t="s">
        <v>86</v>
      </c>
      <c r="B1097">
        <v>2020</v>
      </c>
      <c r="C1097">
        <v>2117928</v>
      </c>
      <c r="D1097" s="1">
        <v>2.1000000000000001E-2</v>
      </c>
      <c r="E1097" s="1">
        <v>0.92778569459915206</v>
      </c>
      <c r="F1097" s="1">
        <v>2.9000000000000001E-2</v>
      </c>
      <c r="G1097" s="1">
        <f t="shared" si="34"/>
        <v>-4.8999999999999988E-2</v>
      </c>
      <c r="H1097" s="1" t="str">
        <f t="shared" si="35"/>
        <v/>
      </c>
      <c r="I1097" s="1">
        <v>1.0999999999999999E-2</v>
      </c>
      <c r="J1097" s="1">
        <f>+D1097-F1097+I1097*O1097</f>
        <v>1.4659999999999999E-2</v>
      </c>
      <c r="K1097" s="1">
        <v>4.03578355908394E-2</v>
      </c>
      <c r="L1097" s="1">
        <f>+K1097-J1097</f>
        <v>2.56978355908394E-2</v>
      </c>
      <c r="M1097" s="1">
        <v>2.83578355908394E-2</v>
      </c>
      <c r="N1097" s="1">
        <f>+M1097-J1097</f>
        <v>1.36978355908394E-2</v>
      </c>
      <c r="O1097">
        <v>2.06</v>
      </c>
      <c r="P1097" t="s">
        <v>15</v>
      </c>
      <c r="Q1097">
        <v>0.01</v>
      </c>
      <c r="R1097">
        <v>5.4212784647941999E-2</v>
      </c>
      <c r="S1097">
        <v>1.06231719255451E-2</v>
      </c>
      <c r="T1097">
        <v>7.0000000000000007E-2</v>
      </c>
    </row>
    <row r="1098" spans="1:20" x14ac:dyDescent="0.3">
      <c r="A1098" t="s">
        <v>86</v>
      </c>
      <c r="B1098">
        <v>2021</v>
      </c>
      <c r="C1098">
        <v>2133781</v>
      </c>
      <c r="D1098" s="1">
        <v>1.6E-2</v>
      </c>
      <c r="E1098" s="1">
        <v>0.94100296497345004</v>
      </c>
      <c r="F1098" s="1">
        <v>1.4E-2</v>
      </c>
      <c r="G1098" s="1">
        <f t="shared" si="34"/>
        <v>-3.4999999999999989E-2</v>
      </c>
      <c r="H1098" s="1" t="str">
        <f t="shared" si="35"/>
        <v/>
      </c>
      <c r="I1098" s="1">
        <v>1.2999999999999999E-2</v>
      </c>
      <c r="J1098" s="1">
        <f>+D1098-F1098+I1098*O1098</f>
        <v>2.9169999999999995E-2</v>
      </c>
      <c r="K1098" s="1">
        <v>0.10121278464794201</v>
      </c>
      <c r="L1098" s="1">
        <f>+K1098-J1098</f>
        <v>7.2042784647942004E-2</v>
      </c>
      <c r="M1098" s="1">
        <v>5.4212784647941999E-2</v>
      </c>
      <c r="N1098" s="1">
        <f>+M1098-J1098</f>
        <v>2.5042784647942004E-2</v>
      </c>
      <c r="O1098">
        <v>2.09</v>
      </c>
      <c r="P1098" t="s">
        <v>15</v>
      </c>
      <c r="Q1098">
        <v>0.01</v>
      </c>
      <c r="R1098">
        <v>-1.1310744285582899E-3</v>
      </c>
      <c r="S1098">
        <v>3.0972432345151998E-2</v>
      </c>
      <c r="T1098">
        <v>-0.02</v>
      </c>
    </row>
    <row r="1099" spans="1:20" x14ac:dyDescent="0.3">
      <c r="A1099" t="s">
        <v>86</v>
      </c>
      <c r="B1099">
        <v>2022</v>
      </c>
      <c r="C1099">
        <v>2153608</v>
      </c>
      <c r="D1099" s="1">
        <v>1.0999999999999999E-2</v>
      </c>
      <c r="E1099" s="1">
        <v>0.92287856340408303</v>
      </c>
      <c r="F1099" s="1">
        <v>2E-3</v>
      </c>
      <c r="G1099" s="1">
        <f t="shared" si="34"/>
        <v>-3.2999999999999988E-2</v>
      </c>
      <c r="H1099" s="1" t="str">
        <f t="shared" si="35"/>
        <v/>
      </c>
      <c r="I1099" s="1">
        <v>-1.7999999999999999E-2</v>
      </c>
      <c r="J1099" s="1">
        <f>+D1099-F1099+I1099*O1099</f>
        <v>-2.8619999999999993E-2</v>
      </c>
      <c r="K1099" s="1">
        <v>7.8868925571441706E-2</v>
      </c>
      <c r="L1099" s="1">
        <f>+K1099-J1099</f>
        <v>0.1074889255714417</v>
      </c>
      <c r="M1099" s="1">
        <v>-1.1310744285582899E-3</v>
      </c>
      <c r="N1099" s="1">
        <f>+M1099-J1099</f>
        <v>2.7488925571441704E-2</v>
      </c>
      <c r="O1099">
        <v>2.09</v>
      </c>
      <c r="P1099" t="s">
        <v>17</v>
      </c>
      <c r="Q1099">
        <v>0.03</v>
      </c>
      <c r="R1099">
        <v>-1.55440501719713E-2</v>
      </c>
      <c r="S1099">
        <v>4.0148776024580002E-3</v>
      </c>
      <c r="T1099">
        <v>0.02</v>
      </c>
    </row>
    <row r="1100" spans="1:20" x14ac:dyDescent="0.3">
      <c r="A1100" t="s">
        <v>87</v>
      </c>
      <c r="B1100">
        <v>2006</v>
      </c>
      <c r="C1100">
        <v>4006493</v>
      </c>
      <c r="D1100" s="1">
        <v>2.5000000000000001E-2</v>
      </c>
      <c r="E1100" s="1">
        <v>0.93624645471572898</v>
      </c>
      <c r="F1100" s="1">
        <v>4.0000000000000001E-3</v>
      </c>
      <c r="G1100" s="1">
        <f t="shared" si="34"/>
        <v>4.0000000000000001E-3</v>
      </c>
      <c r="H1100" s="1" t="str">
        <f t="shared" si="35"/>
        <v/>
      </c>
      <c r="I1100" s="1">
        <v>-1E-3</v>
      </c>
      <c r="J1100" s="1">
        <f>+D1100-F1100+I1100*O1100</f>
        <v>1.8020000000000001E-2</v>
      </c>
      <c r="K1100" s="1">
        <v>4.6386282891035101E-2</v>
      </c>
      <c r="L1100" s="1">
        <f>+K1100-J1100</f>
        <v>2.8366282891035099E-2</v>
      </c>
      <c r="M1100" s="1">
        <v>1.43862828910351E-2</v>
      </c>
      <c r="N1100" s="1">
        <f>+M1100-J1100</f>
        <v>-3.6337171089649012E-3</v>
      </c>
      <c r="O1100">
        <v>2.98</v>
      </c>
      <c r="P1100" t="s">
        <v>17</v>
      </c>
      <c r="Q1100">
        <v>0.01</v>
      </c>
      <c r="R1100">
        <v>-1.08693045526743E-2</v>
      </c>
      <c r="S1100">
        <v>-9.9475486204028008E-3</v>
      </c>
      <c r="T1100">
        <v>0</v>
      </c>
    </row>
    <row r="1101" spans="1:20" x14ac:dyDescent="0.3">
      <c r="A1101" t="s">
        <v>87</v>
      </c>
      <c r="B1101">
        <v>2007</v>
      </c>
      <c r="C1101">
        <v>4078843</v>
      </c>
      <c r="D1101" s="1">
        <v>2.4E-2</v>
      </c>
      <c r="E1101" s="1">
        <v>0.92854863405227706</v>
      </c>
      <c r="F1101" s="1">
        <v>5.0000000000000001E-3</v>
      </c>
      <c r="G1101" s="1">
        <f t="shared" si="34"/>
        <v>9.0000000000000011E-3</v>
      </c>
      <c r="H1101" s="1" t="str">
        <f t="shared" si="35"/>
        <v/>
      </c>
      <c r="I1101" s="1">
        <v>-8.0000000000000002E-3</v>
      </c>
      <c r="J1101" s="1">
        <f>+D1101-F1101+I1101*O1101</f>
        <v>-4.9200000000000042E-3</v>
      </c>
      <c r="K1101" s="1">
        <v>1.81306954473257E-2</v>
      </c>
      <c r="L1101" s="1">
        <f>+K1101-J1101</f>
        <v>2.3050695447325704E-2</v>
      </c>
      <c r="M1101" s="1">
        <v>-1.08693045526743E-2</v>
      </c>
      <c r="N1101" s="1">
        <f>+M1101-J1101</f>
        <v>-5.949304552674296E-3</v>
      </c>
      <c r="O1101">
        <v>2.99</v>
      </c>
      <c r="P1101" t="s">
        <v>17</v>
      </c>
      <c r="Q1101">
        <v>-0.01</v>
      </c>
      <c r="R1101">
        <v>-6.5099471539258894E-2</v>
      </c>
      <c r="S1101">
        <v>-3.5588667262345497E-2</v>
      </c>
      <c r="T1101">
        <v>0</v>
      </c>
    </row>
    <row r="1102" spans="1:20" x14ac:dyDescent="0.3">
      <c r="A1102" t="s">
        <v>87</v>
      </c>
      <c r="B1102">
        <v>2008</v>
      </c>
      <c r="C1102">
        <v>4125432.25</v>
      </c>
      <c r="D1102" s="1">
        <v>1.2E-2</v>
      </c>
      <c r="E1102" s="1">
        <v>0.92335534095764205</v>
      </c>
      <c r="F1102" s="1">
        <v>-8.0000000000000002E-3</v>
      </c>
      <c r="G1102" s="1">
        <f t="shared" si="34"/>
        <v>1.0000000000000009E-3</v>
      </c>
      <c r="H1102" s="1" t="str">
        <f t="shared" si="35"/>
        <v/>
      </c>
      <c r="I1102" s="1">
        <v>-5.0000000000000001E-3</v>
      </c>
      <c r="J1102" s="1">
        <f>+D1102-F1102+I1102*O1102</f>
        <v>5.1499999999999983E-3</v>
      </c>
      <c r="K1102" s="1">
        <v>-2.7099471539258999E-2</v>
      </c>
      <c r="L1102" s="1">
        <f>+K1102-J1102</f>
        <v>-3.2249471539259E-2</v>
      </c>
      <c r="M1102" s="1">
        <v>-6.5099471539258894E-2</v>
      </c>
      <c r="N1102" s="1">
        <f>+M1102-J1102</f>
        <v>-7.0249471539258895E-2</v>
      </c>
      <c r="O1102">
        <v>2.97</v>
      </c>
      <c r="P1102" t="s">
        <v>16</v>
      </c>
      <c r="Q1102">
        <v>-0.04</v>
      </c>
      <c r="R1102">
        <v>-4.1042160898446998E-2</v>
      </c>
      <c r="S1102">
        <v>-1.4475459232926299E-2</v>
      </c>
      <c r="T1102">
        <v>-0.01</v>
      </c>
    </row>
    <row r="1103" spans="1:20" x14ac:dyDescent="0.3">
      <c r="A1103" t="s">
        <v>87</v>
      </c>
      <c r="B1103">
        <v>2009</v>
      </c>
      <c r="C1103">
        <v>4180928.25</v>
      </c>
      <c r="D1103" s="1">
        <v>1.2999999999999999E-2</v>
      </c>
      <c r="E1103" s="1">
        <v>0.92557489871978804</v>
      </c>
      <c r="F1103" s="1">
        <v>2.5999999999999999E-2</v>
      </c>
      <c r="G1103" s="1">
        <f t="shared" si="34"/>
        <v>2.7E-2</v>
      </c>
      <c r="H1103" s="1" t="str">
        <f t="shared" si="35"/>
        <v/>
      </c>
      <c r="I1103" s="1">
        <v>2E-3</v>
      </c>
      <c r="J1103" s="1">
        <f>+D1103-F1103+I1103*O1103</f>
        <v>-6.8999999999999999E-3</v>
      </c>
      <c r="K1103" s="1">
        <v>-4.5042160898447002E-2</v>
      </c>
      <c r="L1103" s="1">
        <f>+K1103-J1103</f>
        <v>-3.8142160898447006E-2</v>
      </c>
      <c r="M1103" s="1">
        <v>-4.1042160898446998E-2</v>
      </c>
      <c r="N1103" s="1">
        <f>+M1103-J1103</f>
        <v>-3.4142160898447002E-2</v>
      </c>
      <c r="O1103">
        <v>3.05</v>
      </c>
      <c r="P1103" t="s">
        <v>15</v>
      </c>
      <c r="Q1103">
        <v>-0.01</v>
      </c>
      <c r="R1103">
        <v>-2.19349834918975E-2</v>
      </c>
      <c r="S1103">
        <v>-1.2474874733015799E-2</v>
      </c>
      <c r="T1103">
        <v>0.01</v>
      </c>
    </row>
    <row r="1104" spans="1:20" x14ac:dyDescent="0.3">
      <c r="A1104" t="s">
        <v>87</v>
      </c>
      <c r="B1104">
        <v>2010</v>
      </c>
      <c r="C1104">
        <v>4251961</v>
      </c>
      <c r="D1104" s="1">
        <v>3.0000000000000001E-3</v>
      </c>
      <c r="E1104" s="1">
        <v>0.93379133939742998</v>
      </c>
      <c r="F1104" s="1">
        <v>3.3000000000000002E-2</v>
      </c>
      <c r="G1104" s="1">
        <f t="shared" si="34"/>
        <v>0.06</v>
      </c>
      <c r="H1104" s="1" t="str">
        <f t="shared" si="35"/>
        <v/>
      </c>
      <c r="I1104" s="1">
        <v>8.0000000000000002E-3</v>
      </c>
      <c r="J1104" s="1">
        <f>+D1104-F1104+I1104*O1104</f>
        <v>-4.8000000000000022E-3</v>
      </c>
      <c r="K1104" s="1">
        <v>-5.9349834918975804E-3</v>
      </c>
      <c r="L1104" s="1">
        <f>+K1104-J1104</f>
        <v>-1.1349834918975782E-3</v>
      </c>
      <c r="M1104" s="1">
        <v>-2.19349834918975E-2</v>
      </c>
      <c r="N1104" s="1">
        <f>+M1104-J1104</f>
        <v>-1.7134983491897498E-2</v>
      </c>
      <c r="O1104">
        <v>3.15</v>
      </c>
      <c r="P1104" t="s">
        <v>15</v>
      </c>
      <c r="Q1104">
        <v>-0.01</v>
      </c>
      <c r="R1104">
        <v>-1.6176160767674402E-2</v>
      </c>
      <c r="S1104">
        <v>5.1076137460768899E-3</v>
      </c>
      <c r="T1104">
        <v>0.03</v>
      </c>
    </row>
    <row r="1105" spans="1:20" x14ac:dyDescent="0.3">
      <c r="A1105" t="s">
        <v>87</v>
      </c>
      <c r="B1105">
        <v>2011</v>
      </c>
      <c r="C1105">
        <v>4293112</v>
      </c>
      <c r="D1105" s="1">
        <v>0</v>
      </c>
      <c r="E1105" s="1">
        <v>0.93332517147064198</v>
      </c>
      <c r="F1105" s="1">
        <v>-0.02</v>
      </c>
      <c r="G1105" s="1">
        <f t="shared" si="34"/>
        <v>3.9999999999999994E-2</v>
      </c>
      <c r="H1105" s="1" t="str">
        <f t="shared" si="35"/>
        <v/>
      </c>
      <c r="I1105" s="1">
        <v>0</v>
      </c>
      <c r="J1105" s="1">
        <f>+D1105-F1105+I1105*O1105</f>
        <v>0.02</v>
      </c>
      <c r="K1105" s="1">
        <v>1.5823839232325599E-2</v>
      </c>
      <c r="L1105" s="1">
        <f>+K1105-J1105</f>
        <v>-4.1761607676744014E-3</v>
      </c>
      <c r="M1105" s="1">
        <v>-1.6176160767674402E-2</v>
      </c>
      <c r="N1105" s="1">
        <f>+M1105-J1105</f>
        <v>-3.6176160767674402E-2</v>
      </c>
      <c r="O1105">
        <v>3.09</v>
      </c>
      <c r="P1105" t="s">
        <v>16</v>
      </c>
      <c r="Q1105">
        <v>0.01</v>
      </c>
      <c r="R1105">
        <v>-1.5764723569155E-3</v>
      </c>
      <c r="S1105">
        <v>3.8617337122558901E-3</v>
      </c>
      <c r="T1105">
        <v>-0.02</v>
      </c>
    </row>
    <row r="1106" spans="1:20" x14ac:dyDescent="0.3">
      <c r="A1106" t="s">
        <v>87</v>
      </c>
      <c r="B1106">
        <v>2012</v>
      </c>
      <c r="C1106">
        <v>4324491</v>
      </c>
      <c r="D1106" s="1">
        <v>3.0000000000000001E-3</v>
      </c>
      <c r="E1106" s="1">
        <v>0.93599158525466897</v>
      </c>
      <c r="F1106" s="1">
        <v>-2E-3</v>
      </c>
      <c r="G1106" s="1">
        <f t="shared" si="34"/>
        <v>3.7999999999999992E-2</v>
      </c>
      <c r="H1106" s="1" t="str">
        <f t="shared" si="35"/>
        <v/>
      </c>
      <c r="I1106" s="1">
        <v>3.0000000000000001E-3</v>
      </c>
      <c r="J1106" s="1">
        <f>+D1106-F1106+I1106*O1106</f>
        <v>1.4239999999999999E-2</v>
      </c>
      <c r="K1106" s="1">
        <v>1.9423527643084498E-2</v>
      </c>
      <c r="L1106" s="1">
        <f>+K1106-J1106</f>
        <v>5.1835276430844991E-3</v>
      </c>
      <c r="M1106" s="1">
        <v>-1.5764723569155E-3</v>
      </c>
      <c r="N1106" s="1">
        <f>+M1106-J1106</f>
        <v>-1.5816472356915499E-2</v>
      </c>
      <c r="O1106">
        <v>3.08</v>
      </c>
      <c r="P1106" t="s">
        <v>17</v>
      </c>
      <c r="Q1106">
        <v>0</v>
      </c>
      <c r="R1106">
        <v>1.28964955359697E-2</v>
      </c>
      <c r="S1106">
        <v>6.7697241902350998E-3</v>
      </c>
      <c r="T1106">
        <v>-0.01</v>
      </c>
    </row>
    <row r="1107" spans="1:20" x14ac:dyDescent="0.3">
      <c r="A1107" t="s">
        <v>87</v>
      </c>
      <c r="B1107">
        <v>2013</v>
      </c>
      <c r="C1107">
        <v>4353704</v>
      </c>
      <c r="D1107" s="1">
        <v>1E-3</v>
      </c>
      <c r="E1107" s="1">
        <v>0.94360548257827803</v>
      </c>
      <c r="F1107" s="1">
        <v>-7.0000000000000001E-3</v>
      </c>
      <c r="G1107" s="1">
        <f t="shared" si="34"/>
        <v>3.0999999999999993E-2</v>
      </c>
      <c r="H1107" s="1" t="str">
        <f t="shared" si="35"/>
        <v/>
      </c>
      <c r="I1107" s="1">
        <v>8.0000000000000002E-3</v>
      </c>
      <c r="J1107" s="1">
        <f>+D1107-F1107+I1107*O1107</f>
        <v>3.2480000000000002E-2</v>
      </c>
      <c r="K1107" s="1">
        <v>2.7896495535969699E-2</v>
      </c>
      <c r="L1107" s="1">
        <f>+K1107-J1107</f>
        <v>-4.5835044640303024E-3</v>
      </c>
      <c r="M1107" s="1">
        <v>1.28964955359697E-2</v>
      </c>
      <c r="N1107" s="1">
        <f>+M1107-J1107</f>
        <v>-1.9583504464030302E-2</v>
      </c>
      <c r="O1107">
        <v>3.06</v>
      </c>
      <c r="P1107" t="s">
        <v>17</v>
      </c>
      <c r="Q1107">
        <v>0.01</v>
      </c>
      <c r="R1107">
        <v>1.48210067451E-2</v>
      </c>
      <c r="S1107">
        <v>1.28129832446574E-2</v>
      </c>
      <c r="T1107">
        <v>-0.01</v>
      </c>
    </row>
    <row r="1108" spans="1:20" x14ac:dyDescent="0.3">
      <c r="A1108" t="s">
        <v>87</v>
      </c>
      <c r="B1108">
        <v>2014</v>
      </c>
      <c r="C1108">
        <v>4392279</v>
      </c>
      <c r="D1108" s="1">
        <v>0.02</v>
      </c>
      <c r="E1108" s="1">
        <v>0.94653803110122703</v>
      </c>
      <c r="F1108" s="1">
        <v>4.0000000000000001E-3</v>
      </c>
      <c r="G1108" s="1">
        <f t="shared" si="34"/>
        <v>3.4999999999999989E-2</v>
      </c>
      <c r="H1108" s="1" t="str">
        <f t="shared" si="35"/>
        <v/>
      </c>
      <c r="I1108" s="1">
        <v>3.0000000000000001E-3</v>
      </c>
      <c r="J1108" s="1">
        <f>+D1108-F1108+I1108*O1108</f>
        <v>2.521E-2</v>
      </c>
      <c r="K1108" s="1">
        <v>3.0821006745100001E-2</v>
      </c>
      <c r="L1108" s="1">
        <f>+K1108-J1108</f>
        <v>5.6110067451000008E-3</v>
      </c>
      <c r="M1108" s="1">
        <v>1.48210067451E-2</v>
      </c>
      <c r="N1108" s="1">
        <f>+M1108-J1108</f>
        <v>-1.03889932549E-2</v>
      </c>
      <c r="O1108">
        <v>3.07</v>
      </c>
      <c r="P1108" t="s">
        <v>15</v>
      </c>
      <c r="Q1108">
        <v>0.01</v>
      </c>
      <c r="R1108">
        <v>5.8898741543292998E-2</v>
      </c>
      <c r="S1108">
        <v>2.8635289520025298E-2</v>
      </c>
      <c r="T1108">
        <v>0</v>
      </c>
    </row>
    <row r="1109" spans="1:20" x14ac:dyDescent="0.3">
      <c r="A1109" t="s">
        <v>87</v>
      </c>
      <c r="B1109">
        <v>2015</v>
      </c>
      <c r="C1109">
        <v>4431241</v>
      </c>
      <c r="D1109" s="1">
        <v>8.9999999999999993E-3</v>
      </c>
      <c r="E1109" s="1">
        <v>0.95377051830291704</v>
      </c>
      <c r="F1109" s="1">
        <v>-2.4E-2</v>
      </c>
      <c r="G1109" s="1">
        <f t="shared" si="34"/>
        <v>1.0999999999999989E-2</v>
      </c>
      <c r="H1109" s="1" t="str">
        <f t="shared" si="35"/>
        <v/>
      </c>
      <c r="I1109" s="1">
        <v>7.0000000000000001E-3</v>
      </c>
      <c r="J1109" s="1">
        <f>+D1109-F1109+I1109*O1109</f>
        <v>5.4000000000000006E-2</v>
      </c>
      <c r="K1109" s="1">
        <v>5.9898741543292999E-2</v>
      </c>
      <c r="L1109" s="1">
        <f>+K1109-J1109</f>
        <v>5.8987415432929929E-3</v>
      </c>
      <c r="M1109" s="1">
        <v>5.8898741543292998E-2</v>
      </c>
      <c r="N1109" s="1">
        <f>+M1109-J1109</f>
        <v>4.8987415432929921E-3</v>
      </c>
      <c r="O1109">
        <v>3</v>
      </c>
      <c r="P1109" t="s">
        <v>17</v>
      </c>
      <c r="Q1109">
        <v>0.03</v>
      </c>
      <c r="R1109">
        <v>4.5452386409044303E-2</v>
      </c>
      <c r="S1109">
        <v>3.2298829406499897E-2</v>
      </c>
      <c r="T1109">
        <v>-0.01</v>
      </c>
    </row>
    <row r="1110" spans="1:20" x14ac:dyDescent="0.3">
      <c r="A1110" t="s">
        <v>87</v>
      </c>
      <c r="B1110">
        <v>2016</v>
      </c>
      <c r="C1110">
        <v>4475180</v>
      </c>
      <c r="D1110" s="1">
        <v>5.0000000000000001E-3</v>
      </c>
      <c r="E1110" s="1">
        <v>0.956717729568481</v>
      </c>
      <c r="F1110" s="1">
        <v>2.1000000000000001E-2</v>
      </c>
      <c r="G1110" s="1">
        <f t="shared" si="34"/>
        <v>3.1999999999999987E-2</v>
      </c>
      <c r="H1110" s="1" t="str">
        <f t="shared" si="35"/>
        <v/>
      </c>
      <c r="I1110" s="1">
        <v>3.0000000000000001E-3</v>
      </c>
      <c r="J1110" s="1">
        <f>+D1110-F1110+I1110*O1110</f>
        <v>-6.8199999999999997E-3</v>
      </c>
      <c r="K1110" s="1">
        <v>5.84523864090443E-2</v>
      </c>
      <c r="L1110" s="1">
        <f>+K1110-J1110</f>
        <v>6.52723864090443E-2</v>
      </c>
      <c r="M1110" s="1">
        <v>4.5452386409044303E-2</v>
      </c>
      <c r="N1110" s="1">
        <f>+M1110-J1110</f>
        <v>5.2272386409044302E-2</v>
      </c>
      <c r="O1110">
        <v>3.06</v>
      </c>
      <c r="P1110" t="s">
        <v>15</v>
      </c>
      <c r="Q1110">
        <v>0.03</v>
      </c>
      <c r="R1110">
        <v>2.71324046850203E-2</v>
      </c>
      <c r="S1110">
        <v>2.4342831224203099E-2</v>
      </c>
      <c r="T1110">
        <v>0.02</v>
      </c>
    </row>
    <row r="1111" spans="1:20" x14ac:dyDescent="0.3">
      <c r="A1111" t="s">
        <v>87</v>
      </c>
      <c r="B1111">
        <v>2017</v>
      </c>
      <c r="C1111">
        <v>4519626</v>
      </c>
      <c r="D1111" s="1">
        <v>7.0000000000000001E-3</v>
      </c>
      <c r="E1111" s="1">
        <v>0.95555669069290206</v>
      </c>
      <c r="F1111" s="1">
        <v>-2.3E-2</v>
      </c>
      <c r="G1111" s="1">
        <f t="shared" si="34"/>
        <v>8.9999999999999872E-3</v>
      </c>
      <c r="H1111" s="1" t="str">
        <f t="shared" si="35"/>
        <v/>
      </c>
      <c r="I1111" s="1">
        <v>-1E-3</v>
      </c>
      <c r="J1111" s="1">
        <f>+D1111-F1111+I1111*O1111</f>
        <v>2.7009999999999999E-2</v>
      </c>
      <c r="K1111" s="1">
        <v>4.8132404685020398E-2</v>
      </c>
      <c r="L1111" s="1">
        <f>+K1111-J1111</f>
        <v>2.1122404685020399E-2</v>
      </c>
      <c r="M1111" s="1">
        <v>2.71324046850203E-2</v>
      </c>
      <c r="N1111" s="1">
        <f>+M1111-J1111</f>
        <v>1.2240468502030047E-4</v>
      </c>
      <c r="O1111">
        <v>2.99</v>
      </c>
      <c r="P1111" t="s">
        <v>16</v>
      </c>
      <c r="Q1111">
        <v>0.02</v>
      </c>
      <c r="R1111">
        <v>2.1218352228403001E-2</v>
      </c>
      <c r="S1111">
        <v>1.20833292603493E-2</v>
      </c>
      <c r="T1111">
        <v>-0.02</v>
      </c>
    </row>
    <row r="1112" spans="1:20" x14ac:dyDescent="0.3">
      <c r="A1112" t="s">
        <v>87</v>
      </c>
      <c r="B1112">
        <v>2018</v>
      </c>
      <c r="C1112">
        <v>4555150</v>
      </c>
      <c r="D1112" s="1">
        <v>1.4999999999999999E-2</v>
      </c>
      <c r="E1112" s="1">
        <v>0.95098775625228904</v>
      </c>
      <c r="F1112" s="1">
        <v>2E-3</v>
      </c>
      <c r="G1112" s="1">
        <f t="shared" si="34"/>
        <v>1.0999999999999987E-2</v>
      </c>
      <c r="H1112" s="1" t="str">
        <f t="shared" si="35"/>
        <v/>
      </c>
      <c r="I1112" s="1">
        <v>-5.0000000000000001E-3</v>
      </c>
      <c r="J1112" s="1">
        <f>+D1112-F1112+I1112*O1112</f>
        <v>-2E-3</v>
      </c>
      <c r="K1112" s="1">
        <v>4.5218352228403098E-2</v>
      </c>
      <c r="L1112" s="1">
        <f>+K1112-J1112</f>
        <v>4.72183522284031E-2</v>
      </c>
      <c r="M1112" s="1">
        <v>2.1218352228403001E-2</v>
      </c>
      <c r="N1112" s="1">
        <f>+M1112-J1112</f>
        <v>2.3218352228403003E-2</v>
      </c>
      <c r="O1112">
        <v>3</v>
      </c>
      <c r="P1112" t="s">
        <v>17</v>
      </c>
      <c r="Q1112">
        <v>0.01</v>
      </c>
      <c r="R1112">
        <v>3.3324628293514298E-2</v>
      </c>
      <c r="S1112">
        <v>1.55234336853028E-2</v>
      </c>
      <c r="T1112">
        <v>0.01</v>
      </c>
    </row>
    <row r="1113" spans="1:20" x14ac:dyDescent="0.3">
      <c r="A1113" t="s">
        <v>87</v>
      </c>
      <c r="B1113">
        <v>2019</v>
      </c>
      <c r="C1113">
        <v>4583987</v>
      </c>
      <c r="D1113" s="1">
        <v>1.2999999999999999E-2</v>
      </c>
      <c r="E1113" s="1">
        <v>0.94652253389358498</v>
      </c>
      <c r="F1113" s="1">
        <v>-2.1999999999999999E-2</v>
      </c>
      <c r="G1113" s="1">
        <f t="shared" si="34"/>
        <v>-1.1000000000000012E-2</v>
      </c>
      <c r="H1113" s="1" t="str">
        <f t="shared" si="35"/>
        <v/>
      </c>
      <c r="I1113" s="1">
        <v>-4.0000000000000001E-3</v>
      </c>
      <c r="J1113" s="1">
        <f>+D1113-F1113+I1113*O1113</f>
        <v>2.3279999999999995E-2</v>
      </c>
      <c r="K1113" s="1">
        <v>5.13246282935143E-2</v>
      </c>
      <c r="L1113" s="1">
        <f>+K1113-J1113</f>
        <v>2.8044628293514305E-2</v>
      </c>
      <c r="M1113" s="1">
        <v>3.3324628293514298E-2</v>
      </c>
      <c r="N1113" s="1">
        <f>+M1113-J1113</f>
        <v>1.0044628293514303E-2</v>
      </c>
      <c r="O1113">
        <v>2.93</v>
      </c>
      <c r="P1113" t="s">
        <v>16</v>
      </c>
      <c r="Q1113">
        <v>0.02</v>
      </c>
      <c r="R1113">
        <v>5.9084134280681599E-2</v>
      </c>
      <c r="S1113">
        <v>4.0234943851828603E-2</v>
      </c>
      <c r="T1113">
        <v>-0.01</v>
      </c>
    </row>
    <row r="1114" spans="1:20" x14ac:dyDescent="0.3">
      <c r="A1114" t="s">
        <v>87</v>
      </c>
      <c r="B1114">
        <v>2020</v>
      </c>
      <c r="C1114">
        <v>4617522</v>
      </c>
      <c r="D1114" s="1">
        <v>1.0999999999999999E-2</v>
      </c>
      <c r="E1114" s="1">
        <v>0.97338795661926303</v>
      </c>
      <c r="F1114" s="1">
        <v>1.4E-2</v>
      </c>
      <c r="G1114" s="1">
        <f t="shared" si="34"/>
        <v>2.9999999999999888E-3</v>
      </c>
      <c r="H1114" s="1" t="str">
        <f t="shared" si="35"/>
        <v/>
      </c>
      <c r="I1114" s="1">
        <v>2.7E-2</v>
      </c>
      <c r="J1114" s="1">
        <f>+D1114-F1114+I1114*O1114</f>
        <v>7.7190000000000009E-2</v>
      </c>
      <c r="K1114" s="1">
        <v>7.1084134280681596E-2</v>
      </c>
      <c r="L1114" s="1">
        <f>+K1114-J1114</f>
        <v>-6.1058657193184124E-3</v>
      </c>
      <c r="M1114" s="1">
        <v>5.9084134280681599E-2</v>
      </c>
      <c r="N1114" s="1">
        <f>+M1114-J1114</f>
        <v>-1.8105865719318409E-2</v>
      </c>
      <c r="O1114">
        <v>2.97</v>
      </c>
      <c r="P1114" t="s">
        <v>15</v>
      </c>
      <c r="Q1114">
        <v>0.04</v>
      </c>
      <c r="R1114">
        <v>9.1576284050940995E-2</v>
      </c>
      <c r="S1114">
        <v>4.7986671328543999E-2</v>
      </c>
      <c r="T1114">
        <v>0.05</v>
      </c>
    </row>
    <row r="1115" spans="1:20" x14ac:dyDescent="0.3">
      <c r="A1115" t="s">
        <v>87</v>
      </c>
      <c r="B1115">
        <v>2021</v>
      </c>
      <c r="C1115">
        <v>4652458</v>
      </c>
      <c r="D1115" s="1">
        <v>5.0000000000000001E-3</v>
      </c>
      <c r="E1115" s="1">
        <v>0.97324252128601096</v>
      </c>
      <c r="F1115" s="1">
        <v>-1.2999999999999999E-2</v>
      </c>
      <c r="G1115" s="1">
        <f t="shared" si="34"/>
        <v>-1.0000000000000011E-2</v>
      </c>
      <c r="H1115" s="1" t="str">
        <f t="shared" si="35"/>
        <v/>
      </c>
      <c r="I1115" s="1">
        <v>0</v>
      </c>
      <c r="J1115" s="1">
        <f>+D1115-F1115+I1115*O1115</f>
        <v>1.7999999999999999E-2</v>
      </c>
      <c r="K1115" s="1">
        <v>0.138576284050941</v>
      </c>
      <c r="L1115" s="1">
        <f>+K1115-J1115</f>
        <v>0.12057628405094099</v>
      </c>
      <c r="M1115" s="1">
        <v>9.1576284050940995E-2</v>
      </c>
      <c r="N1115" s="1">
        <f>+M1115-J1115</f>
        <v>7.3576284050940993E-2</v>
      </c>
      <c r="O1115">
        <v>2.93</v>
      </c>
      <c r="P1115" t="s">
        <v>16</v>
      </c>
      <c r="Q1115">
        <v>0.05</v>
      </c>
      <c r="R1115">
        <v>-4.4775178581476199E-2</v>
      </c>
      <c r="S1115">
        <v>-1.2671671807765799E-2</v>
      </c>
      <c r="T1115">
        <v>-0.04</v>
      </c>
    </row>
    <row r="1116" spans="1:20" x14ac:dyDescent="0.3">
      <c r="A1116" t="s">
        <v>87</v>
      </c>
      <c r="B1116">
        <v>2022</v>
      </c>
      <c r="C1116">
        <v>4681984</v>
      </c>
      <c r="D1116" s="1">
        <v>1.2999999999999999E-2</v>
      </c>
      <c r="E1116" s="1">
        <v>0.94970196485519398</v>
      </c>
      <c r="F1116" s="1">
        <v>2E-3</v>
      </c>
      <c r="G1116" s="1">
        <f t="shared" si="34"/>
        <v>-8.0000000000000106E-3</v>
      </c>
      <c r="H1116" s="1" t="str">
        <f t="shared" si="35"/>
        <v/>
      </c>
      <c r="I1116" s="1">
        <v>-2.4E-2</v>
      </c>
      <c r="J1116" s="1">
        <f>+D1116-F1116+I1116*O1116</f>
        <v>-5.9560000000000002E-2</v>
      </c>
      <c r="K1116" s="1">
        <v>3.5224821418523802E-2</v>
      </c>
      <c r="L1116" s="1">
        <f>+K1116-J1116</f>
        <v>9.4784821418523804E-2</v>
      </c>
      <c r="M1116" s="1">
        <v>-4.4775178581476199E-2</v>
      </c>
      <c r="N1116" s="1">
        <f>+M1116-J1116</f>
        <v>1.4784821418523802E-2</v>
      </c>
      <c r="O1116">
        <v>2.94</v>
      </c>
      <c r="P1116" t="s">
        <v>17</v>
      </c>
      <c r="Q1116">
        <v>-0.01</v>
      </c>
      <c r="R1116">
        <v>-3.7923453174531399E-2</v>
      </c>
      <c r="S1116">
        <v>-1.83645254001021E-2</v>
      </c>
      <c r="T1116">
        <v>0.02</v>
      </c>
    </row>
    <row r="1117" spans="1:20" x14ac:dyDescent="0.3">
      <c r="A1117" t="s">
        <v>88</v>
      </c>
      <c r="B1117">
        <v>2006</v>
      </c>
      <c r="C1117">
        <v>557414.625</v>
      </c>
      <c r="D1117" s="1">
        <v>0</v>
      </c>
      <c r="E1117" s="1">
        <v>0.91632515192031905</v>
      </c>
      <c r="F1117" s="1">
        <v>-3.3000000000000002E-2</v>
      </c>
      <c r="G1117" s="1">
        <f t="shared" si="34"/>
        <v>-3.3000000000000002E-2</v>
      </c>
      <c r="H1117" s="1" t="str">
        <f t="shared" si="35"/>
        <v/>
      </c>
      <c r="I1117" s="1">
        <v>-1.0999999999999999E-2</v>
      </c>
      <c r="J1117" s="1">
        <f>+D1117-F1117+I1117*O1117</f>
        <v>8.5800000000000008E-3</v>
      </c>
      <c r="K1117" s="1">
        <v>6.1861906200647403E-2</v>
      </c>
      <c r="L1117" s="1">
        <f>+K1117-J1117</f>
        <v>5.3281906200647405E-2</v>
      </c>
      <c r="M1117" s="1">
        <v>2.9861906200647399E-2</v>
      </c>
      <c r="N1117" s="1">
        <f>+M1117-J1117</f>
        <v>2.1281906200647398E-2</v>
      </c>
      <c r="O1117">
        <v>2.2200000000000002</v>
      </c>
      <c r="P1117" t="s">
        <v>16</v>
      </c>
      <c r="Q1117">
        <v>0.02</v>
      </c>
      <c r="R1117">
        <v>-3.9981034547090996E-3</v>
      </c>
      <c r="S1117">
        <v>-3.0763475224375998E-3</v>
      </c>
      <c r="T1117">
        <v>-0.03</v>
      </c>
    </row>
    <row r="1118" spans="1:20" x14ac:dyDescent="0.3">
      <c r="A1118" t="s">
        <v>88</v>
      </c>
      <c r="B1118">
        <v>2007</v>
      </c>
      <c r="C1118">
        <v>559814</v>
      </c>
      <c r="D1118" s="1">
        <v>2E-3</v>
      </c>
      <c r="E1118" s="1">
        <v>0.89225000143051103</v>
      </c>
      <c r="F1118" s="1">
        <v>3.7999999999999999E-2</v>
      </c>
      <c r="G1118" s="1">
        <f t="shared" si="34"/>
        <v>4.9999999999999975E-3</v>
      </c>
      <c r="H1118" s="1" t="str">
        <f t="shared" si="35"/>
        <v/>
      </c>
      <c r="I1118" s="1">
        <v>-2.4E-2</v>
      </c>
      <c r="J1118" s="1">
        <f>+D1118-F1118+I1118*O1118</f>
        <v>-9.1439999999999994E-2</v>
      </c>
      <c r="K1118" s="1">
        <v>2.5001896545290898E-2</v>
      </c>
      <c r="L1118" s="1">
        <f>+K1118-J1118</f>
        <v>0.11644189654529088</v>
      </c>
      <c r="M1118" s="1">
        <v>-3.9981034547090996E-3</v>
      </c>
      <c r="N1118" s="1">
        <f>+M1118-J1118</f>
        <v>8.7441896545290887E-2</v>
      </c>
      <c r="O1118">
        <v>2.31</v>
      </c>
      <c r="P1118" t="s">
        <v>17</v>
      </c>
      <c r="Q1118">
        <v>0</v>
      </c>
      <c r="R1118">
        <v>-5.2447180554270598E-2</v>
      </c>
      <c r="S1118">
        <v>-2.2936376277357201E-2</v>
      </c>
      <c r="T1118">
        <v>0.04</v>
      </c>
    </row>
    <row r="1119" spans="1:20" x14ac:dyDescent="0.3">
      <c r="A1119" t="s">
        <v>88</v>
      </c>
      <c r="B1119">
        <v>2008</v>
      </c>
      <c r="C1119">
        <v>562476.9375</v>
      </c>
      <c r="D1119" s="1">
        <v>4.0000000000000001E-3</v>
      </c>
      <c r="E1119" s="1">
        <v>0.88871771097183205</v>
      </c>
      <c r="F1119" s="1">
        <v>4.4999999999999998E-2</v>
      </c>
      <c r="G1119" s="1">
        <f t="shared" si="34"/>
        <v>4.9999999999999996E-2</v>
      </c>
      <c r="H1119" s="1" t="str">
        <f t="shared" si="35"/>
        <v/>
      </c>
      <c r="I1119" s="1">
        <v>-4.0000000000000001E-3</v>
      </c>
      <c r="J1119" s="1">
        <f>+D1119-F1119+I1119*O1119</f>
        <v>-5.0639999999999998E-2</v>
      </c>
      <c r="K1119" s="1">
        <v>-1.4447180554270699E-2</v>
      </c>
      <c r="L1119" s="1">
        <f>+K1119-J1119</f>
        <v>3.6192819445729302E-2</v>
      </c>
      <c r="M1119" s="1">
        <v>-5.2447180554270598E-2</v>
      </c>
      <c r="N1119" s="1">
        <f>+M1119-J1119</f>
        <v>-1.8071805542706001E-3</v>
      </c>
      <c r="O1119">
        <v>2.41</v>
      </c>
      <c r="P1119" t="s">
        <v>17</v>
      </c>
      <c r="Q1119">
        <v>-0.02</v>
      </c>
      <c r="R1119">
        <v>-2.7497474759817099E-2</v>
      </c>
      <c r="S1119">
        <v>-9.3077309429645105E-4</v>
      </c>
      <c r="T1119">
        <v>0.04</v>
      </c>
    </row>
    <row r="1120" spans="1:20" x14ac:dyDescent="0.3">
      <c r="A1120" t="s">
        <v>88</v>
      </c>
      <c r="B1120">
        <v>2009</v>
      </c>
      <c r="C1120">
        <v>565545.25</v>
      </c>
      <c r="D1120" s="1">
        <v>2E-3</v>
      </c>
      <c r="E1120" s="1">
        <v>0.89249825477600098</v>
      </c>
      <c r="F1120" s="1">
        <v>-8.0000000000000002E-3</v>
      </c>
      <c r="G1120" s="1">
        <f t="shared" si="34"/>
        <v>4.1999999999999996E-2</v>
      </c>
      <c r="H1120" s="1" t="str">
        <f t="shared" si="35"/>
        <v/>
      </c>
      <c r="I1120" s="1">
        <v>4.0000000000000001E-3</v>
      </c>
      <c r="J1120" s="1">
        <f>+D1120-F1120+I1120*O1120</f>
        <v>1.9560000000000001E-2</v>
      </c>
      <c r="K1120" s="1">
        <v>-3.1497474759817103E-2</v>
      </c>
      <c r="L1120" s="1">
        <f>+K1120-J1120</f>
        <v>-5.1057474759817104E-2</v>
      </c>
      <c r="M1120" s="1">
        <v>-2.7497474759817099E-2</v>
      </c>
      <c r="N1120" s="1">
        <f>+M1120-J1120</f>
        <v>-4.70574747598171E-2</v>
      </c>
      <c r="O1120">
        <v>2.39</v>
      </c>
      <c r="P1120" t="s">
        <v>17</v>
      </c>
      <c r="Q1120">
        <v>0</v>
      </c>
      <c r="R1120">
        <v>-9.5293402522802304E-3</v>
      </c>
      <c r="S1120">
        <v>-6.9231493398554098E-5</v>
      </c>
      <c r="T1120">
        <v>-0.03</v>
      </c>
    </row>
    <row r="1121" spans="1:20" x14ac:dyDescent="0.3">
      <c r="A1121" t="s">
        <v>88</v>
      </c>
      <c r="B1121">
        <v>2010</v>
      </c>
      <c r="C1121">
        <v>570328.3125</v>
      </c>
      <c r="D1121" s="1">
        <v>6.0000000000000001E-3</v>
      </c>
      <c r="E1121" s="1">
        <v>0.89703720808029197</v>
      </c>
      <c r="F1121" s="1">
        <v>7.8E-2</v>
      </c>
      <c r="G1121" s="1">
        <f t="shared" si="34"/>
        <v>0.12</v>
      </c>
      <c r="H1121" s="1" t="str">
        <f t="shared" si="35"/>
        <v/>
      </c>
      <c r="I1121" s="1">
        <v>5.0000000000000001E-3</v>
      </c>
      <c r="J1121" s="1">
        <f>+D1121-F1121+I1121*O1121</f>
        <v>-5.9099999999999993E-2</v>
      </c>
      <c r="K1121" s="1">
        <v>6.4706597477197604E-3</v>
      </c>
      <c r="L1121" s="1">
        <f>+K1121-J1121</f>
        <v>6.5570659747719751E-2</v>
      </c>
      <c r="M1121" s="1">
        <v>-9.5293402522802304E-3</v>
      </c>
      <c r="N1121" s="1">
        <f>+M1121-J1121</f>
        <v>4.9570659747719764E-2</v>
      </c>
      <c r="O1121">
        <v>2.58</v>
      </c>
      <c r="P1121" t="s">
        <v>15</v>
      </c>
      <c r="Q1121">
        <v>0</v>
      </c>
      <c r="R1121">
        <v>-2.32747889757156E-2</v>
      </c>
      <c r="S1121">
        <v>-1.9910144619643402E-3</v>
      </c>
      <c r="T1121">
        <v>7.0000000000000007E-2</v>
      </c>
    </row>
    <row r="1122" spans="1:20" x14ac:dyDescent="0.3">
      <c r="A1122" t="s">
        <v>88</v>
      </c>
      <c r="B1122">
        <v>2011</v>
      </c>
      <c r="C1122">
        <v>575077.875</v>
      </c>
      <c r="D1122" s="1">
        <v>-3.0000000000000001E-3</v>
      </c>
      <c r="E1122" s="1">
        <v>0.90506446361541704</v>
      </c>
      <c r="F1122" s="1">
        <v>-6.9000000000000006E-2</v>
      </c>
      <c r="G1122" s="1">
        <f t="shared" si="34"/>
        <v>5.099999999999999E-2</v>
      </c>
      <c r="H1122" s="1" t="str">
        <f t="shared" si="35"/>
        <v/>
      </c>
      <c r="I1122" s="1">
        <v>8.0000000000000002E-3</v>
      </c>
      <c r="J1122" s="1">
        <f>+D1122-F1122+I1122*O1122</f>
        <v>8.5199999999999998E-2</v>
      </c>
      <c r="K1122" s="1">
        <v>8.7252110242843593E-3</v>
      </c>
      <c r="L1122" s="1">
        <f>+K1122-J1122</f>
        <v>-7.6474788975715635E-2</v>
      </c>
      <c r="M1122" s="1">
        <v>-2.32747889757156E-2</v>
      </c>
      <c r="N1122" s="1">
        <f>+M1122-J1122</f>
        <v>-0.10847478897571559</v>
      </c>
      <c r="O1122">
        <v>2.4</v>
      </c>
      <c r="P1122" t="s">
        <v>17</v>
      </c>
      <c r="Q1122">
        <v>0</v>
      </c>
      <c r="R1122">
        <v>-8.6150330528617005E-3</v>
      </c>
      <c r="S1122">
        <v>-3.1768269836903E-3</v>
      </c>
      <c r="T1122">
        <v>-7.0000000000000007E-2</v>
      </c>
    </row>
    <row r="1123" spans="1:20" x14ac:dyDescent="0.3">
      <c r="A1123" t="s">
        <v>88</v>
      </c>
      <c r="B1123">
        <v>2012</v>
      </c>
      <c r="C1123">
        <v>577272</v>
      </c>
      <c r="D1123" s="1">
        <v>-1E-3</v>
      </c>
      <c r="E1123" s="1">
        <v>0.912475645542145</v>
      </c>
      <c r="F1123" s="1">
        <v>2.3E-2</v>
      </c>
      <c r="G1123" s="1">
        <f t="shared" si="34"/>
        <v>7.3999999999999982E-2</v>
      </c>
      <c r="H1123" s="1" t="str">
        <f t="shared" si="35"/>
        <v/>
      </c>
      <c r="I1123" s="1">
        <v>7.0000000000000001E-3</v>
      </c>
      <c r="J1123" s="1">
        <f>+D1123-F1123+I1123*O1123</f>
        <v>-6.7800000000000013E-3</v>
      </c>
      <c r="K1123" s="1">
        <v>1.2384966947138301E-2</v>
      </c>
      <c r="L1123" s="1">
        <f>+K1123-J1123</f>
        <v>1.9164966947138304E-2</v>
      </c>
      <c r="M1123" s="1">
        <v>-8.6150330528617005E-3</v>
      </c>
      <c r="N1123" s="1">
        <f>+M1123-J1123</f>
        <v>-1.8350330528616992E-3</v>
      </c>
      <c r="O1123">
        <v>2.46</v>
      </c>
      <c r="P1123" t="s">
        <v>15</v>
      </c>
      <c r="Q1123">
        <v>0</v>
      </c>
      <c r="R1123">
        <v>1.9844329357147001E-3</v>
      </c>
      <c r="S1123">
        <v>-4.1423384100198902E-3</v>
      </c>
      <c r="T1123">
        <v>0.02</v>
      </c>
    </row>
    <row r="1124" spans="1:20" x14ac:dyDescent="0.3">
      <c r="A1124" t="s">
        <v>88</v>
      </c>
      <c r="B1124">
        <v>2013</v>
      </c>
      <c r="C1124">
        <v>578309.8125</v>
      </c>
      <c r="D1124" s="1">
        <v>0</v>
      </c>
      <c r="E1124" s="1">
        <v>0.91862767934799205</v>
      </c>
      <c r="F1124" s="1">
        <v>2.9000000000000001E-2</v>
      </c>
      <c r="G1124" s="1">
        <f t="shared" si="34"/>
        <v>0.10299999999999998</v>
      </c>
      <c r="H1124" s="1" t="str">
        <f t="shared" si="35"/>
        <v/>
      </c>
      <c r="I1124" s="1">
        <v>6.0000000000000001E-3</v>
      </c>
      <c r="J1124" s="1">
        <f>+D1124-F1124+I1124*O1124</f>
        <v>-1.3820000000000002E-2</v>
      </c>
      <c r="K1124" s="1">
        <v>1.6984432935714701E-2</v>
      </c>
      <c r="L1124" s="1">
        <f>+K1124-J1124</f>
        <v>3.0804432935714703E-2</v>
      </c>
      <c r="M1124" s="1">
        <v>1.9844329357147001E-3</v>
      </c>
      <c r="N1124" s="1">
        <f>+M1124-J1124</f>
        <v>1.5804432935714704E-2</v>
      </c>
      <c r="O1124">
        <v>2.5299999999999998</v>
      </c>
      <c r="P1124" t="s">
        <v>15</v>
      </c>
      <c r="Q1124">
        <v>0</v>
      </c>
      <c r="R1124">
        <v>1.1191387489437999E-2</v>
      </c>
      <c r="S1124">
        <v>9.1833639889955902E-3</v>
      </c>
      <c r="T1124">
        <v>0.02</v>
      </c>
    </row>
    <row r="1125" spans="1:20" x14ac:dyDescent="0.3">
      <c r="A1125" t="s">
        <v>88</v>
      </c>
      <c r="B1125">
        <v>2014</v>
      </c>
      <c r="C1125">
        <v>579676.375</v>
      </c>
      <c r="D1125" s="1">
        <v>1.0999999999999999E-2</v>
      </c>
      <c r="E1125" s="1">
        <v>0.91305506229400601</v>
      </c>
      <c r="F1125" s="1">
        <v>-2.8000000000000001E-2</v>
      </c>
      <c r="G1125" s="1">
        <f t="shared" si="34"/>
        <v>7.4999999999999983E-2</v>
      </c>
      <c r="H1125" s="1" t="str">
        <f t="shared" si="35"/>
        <v/>
      </c>
      <c r="I1125" s="1">
        <v>-6.0000000000000001E-3</v>
      </c>
      <c r="J1125" s="1">
        <f>+D1125-F1125+I1125*O1125</f>
        <v>2.4239999999999998E-2</v>
      </c>
      <c r="K1125" s="1">
        <v>2.7191387489438099E-2</v>
      </c>
      <c r="L1125" s="1">
        <f>+K1125-J1125</f>
        <v>2.9513874894381009E-3</v>
      </c>
      <c r="M1125" s="1">
        <v>1.1191387489437999E-2</v>
      </c>
      <c r="N1125" s="1">
        <f>+M1125-J1125</f>
        <v>-1.3048612510561998E-2</v>
      </c>
      <c r="O1125">
        <v>2.46</v>
      </c>
      <c r="P1125" t="s">
        <v>16</v>
      </c>
      <c r="Q1125">
        <v>0.01</v>
      </c>
      <c r="R1125">
        <v>3.39684171378613E-2</v>
      </c>
      <c r="S1125">
        <v>3.7049651145936E-3</v>
      </c>
      <c r="T1125">
        <v>-0.03</v>
      </c>
    </row>
    <row r="1126" spans="1:20" x14ac:dyDescent="0.3">
      <c r="A1126" t="s">
        <v>88</v>
      </c>
      <c r="B1126">
        <v>2015</v>
      </c>
      <c r="C1126">
        <v>580845.0625</v>
      </c>
      <c r="D1126" s="1">
        <v>0</v>
      </c>
      <c r="E1126" s="1">
        <v>0.92138910293579102</v>
      </c>
      <c r="F1126" s="1">
        <v>3.5000000000000003E-2</v>
      </c>
      <c r="G1126" s="1">
        <f t="shared" si="34"/>
        <v>0.10999999999999999</v>
      </c>
      <c r="H1126" s="1" t="str">
        <f t="shared" si="35"/>
        <v/>
      </c>
      <c r="I1126" s="1">
        <v>8.0000000000000002E-3</v>
      </c>
      <c r="J1126" s="1">
        <f>+D1126-F1126+I1126*O1126</f>
        <v>-1.4600000000000005E-2</v>
      </c>
      <c r="K1126" s="1">
        <v>3.49684171378613E-2</v>
      </c>
      <c r="L1126" s="1">
        <f>+K1126-J1126</f>
        <v>4.9568417137861309E-2</v>
      </c>
      <c r="M1126" s="1">
        <v>3.39684171378613E-2</v>
      </c>
      <c r="N1126" s="1">
        <f>+M1126-J1126</f>
        <v>4.8568417137861308E-2</v>
      </c>
      <c r="O1126">
        <v>2.5499999999999998</v>
      </c>
      <c r="P1126" t="s">
        <v>15</v>
      </c>
      <c r="Q1126">
        <v>0</v>
      </c>
      <c r="R1126">
        <v>1.3823884427546999E-3</v>
      </c>
      <c r="S1126">
        <v>-1.1771168559789699E-2</v>
      </c>
      <c r="T1126">
        <v>0.05</v>
      </c>
    </row>
    <row r="1127" spans="1:20" x14ac:dyDescent="0.3">
      <c r="A1127" t="s">
        <v>88</v>
      </c>
      <c r="B1127">
        <v>2016</v>
      </c>
      <c r="C1127">
        <v>582511.75</v>
      </c>
      <c r="D1127" s="1">
        <v>1.0999999999999999E-2</v>
      </c>
      <c r="E1127" s="1">
        <v>0.90610086917877197</v>
      </c>
      <c r="F1127" s="1">
        <v>-5.8999999999999997E-2</v>
      </c>
      <c r="G1127" s="1">
        <f t="shared" si="34"/>
        <v>5.099999999999999E-2</v>
      </c>
      <c r="H1127" s="1" t="str">
        <f t="shared" si="35"/>
        <v/>
      </c>
      <c r="I1127" s="1">
        <v>-1.4999999999999999E-2</v>
      </c>
      <c r="J1127" s="1">
        <f>+D1127-F1127+I1127*O1127</f>
        <v>3.3999999999999996E-2</v>
      </c>
      <c r="K1127" s="1">
        <v>1.43823884427547E-2</v>
      </c>
      <c r="L1127" s="1">
        <f>+K1127-J1127</f>
        <v>-1.9617611557245295E-2</v>
      </c>
      <c r="M1127" s="1">
        <v>1.3823884427546999E-3</v>
      </c>
      <c r="N1127" s="1">
        <f>+M1127-J1127</f>
        <v>-3.2617611557245296E-2</v>
      </c>
      <c r="O1127">
        <v>2.4</v>
      </c>
      <c r="P1127" t="s">
        <v>16</v>
      </c>
      <c r="Q1127">
        <v>-0.01</v>
      </c>
      <c r="R1127">
        <v>-1.3875923402607401E-2</v>
      </c>
      <c r="S1127">
        <v>-1.6665496863424702E-2</v>
      </c>
      <c r="T1127">
        <v>-0.06</v>
      </c>
    </row>
    <row r="1128" spans="1:20" x14ac:dyDescent="0.3">
      <c r="A1128" t="s">
        <v>88</v>
      </c>
      <c r="B1128">
        <v>2017</v>
      </c>
      <c r="C1128">
        <v>582015.625</v>
      </c>
      <c r="D1128" s="1">
        <v>4.0000000000000001E-3</v>
      </c>
      <c r="E1128" s="1">
        <v>0.90166181325912498</v>
      </c>
      <c r="F1128" s="1">
        <v>2.8000000000000001E-2</v>
      </c>
      <c r="G1128" s="1">
        <f t="shared" si="34"/>
        <v>7.8999999999999987E-2</v>
      </c>
      <c r="H1128" s="1" t="str">
        <f t="shared" si="35"/>
        <v/>
      </c>
      <c r="I1128" s="1">
        <v>-4.0000000000000001E-3</v>
      </c>
      <c r="J1128" s="1">
        <f>+D1128-F1128+I1128*O1128</f>
        <v>-3.3840000000000002E-2</v>
      </c>
      <c r="K1128" s="1">
        <v>7.1240765973925599E-3</v>
      </c>
      <c r="L1128" s="1">
        <f>+K1128-J1128</f>
        <v>4.0964076597392561E-2</v>
      </c>
      <c r="M1128" s="1">
        <v>-1.3875923402607401E-2</v>
      </c>
      <c r="N1128" s="1">
        <f>+M1128-J1128</f>
        <v>1.9964076597392601E-2</v>
      </c>
      <c r="O1128">
        <v>2.46</v>
      </c>
      <c r="P1128" t="s">
        <v>17</v>
      </c>
      <c r="Q1128">
        <v>-0.02</v>
      </c>
      <c r="R1128">
        <v>6.3799491375685002E-3</v>
      </c>
      <c r="S1128">
        <v>-2.7550738304852902E-3</v>
      </c>
      <c r="T1128">
        <v>0.03</v>
      </c>
    </row>
    <row r="1129" spans="1:20" x14ac:dyDescent="0.3">
      <c r="A1129" t="s">
        <v>88</v>
      </c>
      <c r="B1129">
        <v>2018</v>
      </c>
      <c r="C1129">
        <v>580436.875</v>
      </c>
      <c r="D1129" s="1">
        <v>0</v>
      </c>
      <c r="E1129" s="1">
        <v>0.91603463888168302</v>
      </c>
      <c r="F1129" s="1">
        <v>-1.9E-2</v>
      </c>
      <c r="G1129" s="1">
        <f t="shared" si="34"/>
        <v>5.9999999999999984E-2</v>
      </c>
      <c r="H1129" s="1" t="str">
        <f t="shared" si="35"/>
        <v/>
      </c>
      <c r="I1129" s="1">
        <v>1.4E-2</v>
      </c>
      <c r="J1129" s="1">
        <f>+D1129-F1129+I1129*O1129</f>
        <v>5.2879999999999996E-2</v>
      </c>
      <c r="K1129" s="1">
        <v>3.0379949137568502E-2</v>
      </c>
      <c r="L1129" s="1">
        <f>+K1129-J1129</f>
        <v>-2.2500050862431495E-2</v>
      </c>
      <c r="M1129" s="1">
        <v>6.3799491375685002E-3</v>
      </c>
      <c r="N1129" s="1">
        <f>+M1129-J1129</f>
        <v>-4.6500050862431495E-2</v>
      </c>
      <c r="O1129">
        <v>2.42</v>
      </c>
      <c r="P1129" t="s">
        <v>17</v>
      </c>
      <c r="Q1129">
        <v>0</v>
      </c>
      <c r="R1129">
        <v>2.4997464537620501E-2</v>
      </c>
      <c r="S1129">
        <v>7.1962699294089898E-3</v>
      </c>
      <c r="T1129">
        <v>-0.01</v>
      </c>
    </row>
    <row r="1130" spans="1:20" x14ac:dyDescent="0.3">
      <c r="A1130" t="s">
        <v>88</v>
      </c>
      <c r="B1130">
        <v>2019</v>
      </c>
      <c r="C1130">
        <v>577676.5</v>
      </c>
      <c r="D1130" s="1">
        <v>0</v>
      </c>
      <c r="E1130" s="1">
        <v>0.913646459579468</v>
      </c>
      <c r="F1130" s="1">
        <v>-8.3000000000000004E-2</v>
      </c>
      <c r="G1130" s="1">
        <f t="shared" si="34"/>
        <v>-2.300000000000002E-2</v>
      </c>
      <c r="H1130" s="1" t="str">
        <f t="shared" si="35"/>
        <v/>
      </c>
      <c r="I1130" s="1">
        <v>-2E-3</v>
      </c>
      <c r="J1130" s="1">
        <f>+D1130-F1130+I1130*O1130</f>
        <v>7.8560000000000005E-2</v>
      </c>
      <c r="K1130" s="1">
        <v>4.2997464537620503E-2</v>
      </c>
      <c r="L1130" s="1">
        <f>+K1130-J1130</f>
        <v>-3.5562535462379502E-2</v>
      </c>
      <c r="M1130" s="1">
        <v>2.4997464537620501E-2</v>
      </c>
      <c r="N1130" s="1">
        <f>+M1130-J1130</f>
        <v>-5.3562535462379504E-2</v>
      </c>
      <c r="O1130">
        <v>2.2200000000000002</v>
      </c>
      <c r="P1130" t="s">
        <v>16</v>
      </c>
      <c r="Q1130">
        <v>0.01</v>
      </c>
      <c r="R1130">
        <v>2.61125360727309E-2</v>
      </c>
      <c r="S1130">
        <v>7.26334564387799E-3</v>
      </c>
      <c r="T1130">
        <v>-7.0000000000000007E-2</v>
      </c>
    </row>
    <row r="1131" spans="1:20" x14ac:dyDescent="0.3">
      <c r="A1131" t="s">
        <v>88</v>
      </c>
      <c r="B1131">
        <v>2020</v>
      </c>
      <c r="C1131">
        <v>572601</v>
      </c>
      <c r="D1131" s="1">
        <v>3.5000000000000003E-2</v>
      </c>
      <c r="E1131" s="1">
        <v>0.91570472717285201</v>
      </c>
      <c r="F1131" s="1">
        <v>-1.4E-2</v>
      </c>
      <c r="G1131" s="1">
        <f t="shared" si="34"/>
        <v>-3.7000000000000019E-2</v>
      </c>
      <c r="H1131" s="1" t="str">
        <f t="shared" si="35"/>
        <v/>
      </c>
      <c r="I1131" s="1">
        <v>2E-3</v>
      </c>
      <c r="J1131" s="1">
        <f>+D1131-F1131+I1131*O1131</f>
        <v>5.3360000000000005E-2</v>
      </c>
      <c r="K1131" s="1">
        <v>3.8112536072730997E-2</v>
      </c>
      <c r="L1131" s="1">
        <f>+K1131-J1131</f>
        <v>-1.5247463927269007E-2</v>
      </c>
      <c r="M1131" s="1">
        <v>2.61125360727309E-2</v>
      </c>
      <c r="N1131" s="1">
        <f>+M1131-J1131</f>
        <v>-2.7247463927269105E-2</v>
      </c>
      <c r="O1131">
        <v>2.1800000000000002</v>
      </c>
      <c r="P1131" t="s">
        <v>17</v>
      </c>
      <c r="Q1131">
        <v>0.01</v>
      </c>
      <c r="R1131">
        <v>3.9528971791267298E-2</v>
      </c>
      <c r="S1131">
        <v>-4.0606409311295102E-3</v>
      </c>
      <c r="T1131">
        <v>0.03</v>
      </c>
    </row>
    <row r="1132" spans="1:20" x14ac:dyDescent="0.3">
      <c r="A1132" t="s">
        <v>88</v>
      </c>
      <c r="B1132">
        <v>2021</v>
      </c>
      <c r="C1132">
        <v>567647</v>
      </c>
      <c r="D1132" s="1">
        <v>5.0000000000000001E-3</v>
      </c>
      <c r="E1132" s="1">
        <v>0.91885602474212602</v>
      </c>
      <c r="F1132" s="1">
        <v>2.1999999999999999E-2</v>
      </c>
      <c r="G1132" s="1">
        <f t="shared" si="34"/>
        <v>-1.500000000000002E-2</v>
      </c>
      <c r="H1132" s="1" t="str">
        <f t="shared" si="35"/>
        <v/>
      </c>
      <c r="I1132" s="1">
        <v>3.0000000000000001E-3</v>
      </c>
      <c r="J1132" s="1">
        <f>+D1132-F1132+I1132*O1132</f>
        <v>-1.0309999999999998E-2</v>
      </c>
      <c r="K1132" s="1">
        <v>8.6528971791267395E-2</v>
      </c>
      <c r="L1132" s="1">
        <f>+K1132-J1132</f>
        <v>9.6838971791267395E-2</v>
      </c>
      <c r="M1132" s="1">
        <v>3.9528971791267298E-2</v>
      </c>
      <c r="N1132" s="1">
        <f>+M1132-J1132</f>
        <v>4.9838971791267297E-2</v>
      </c>
      <c r="O1132">
        <v>2.23</v>
      </c>
      <c r="P1132" t="s">
        <v>15</v>
      </c>
      <c r="Q1132">
        <v>0</v>
      </c>
      <c r="R1132">
        <v>-2.6032594889402402E-2</v>
      </c>
      <c r="S1132">
        <v>6.07091188430789E-3</v>
      </c>
      <c r="T1132">
        <v>-0.01</v>
      </c>
    </row>
    <row r="1133" spans="1:20" x14ac:dyDescent="0.3">
      <c r="A1133" t="s">
        <v>88</v>
      </c>
      <c r="B1133">
        <v>2022</v>
      </c>
      <c r="C1133">
        <v>565788.5625</v>
      </c>
      <c r="D1133" s="1">
        <v>0</v>
      </c>
      <c r="E1133" s="1">
        <v>0.88319665193557695</v>
      </c>
      <c r="F1133" s="1">
        <v>-6.7000000000000004E-2</v>
      </c>
      <c r="G1133" s="1">
        <f t="shared" si="34"/>
        <v>-8.2000000000000017E-2</v>
      </c>
      <c r="H1133" s="1" t="str">
        <f t="shared" si="35"/>
        <v/>
      </c>
      <c r="I1133" s="1">
        <v>-3.5999999999999997E-2</v>
      </c>
      <c r="J1133" s="1">
        <f>+D1133-F1133+I1133*O1133</f>
        <v>-7.8799999999999981E-3</v>
      </c>
      <c r="K1133" s="1">
        <v>5.3967405110597597E-2</v>
      </c>
      <c r="L1133" s="1">
        <f>+K1133-J1133</f>
        <v>6.1847405110597595E-2</v>
      </c>
      <c r="M1133" s="1">
        <v>-2.6032594889402402E-2</v>
      </c>
      <c r="N1133" s="1">
        <f>+M1133-J1133</f>
        <v>-1.8152594889402403E-2</v>
      </c>
      <c r="O1133">
        <v>2.08</v>
      </c>
      <c r="P1133" t="s">
        <v>16</v>
      </c>
      <c r="Q1133">
        <v>0.01</v>
      </c>
      <c r="R1133">
        <v>-1.8804863825440402E-2</v>
      </c>
      <c r="S1133">
        <v>7.5406394898889996E-4</v>
      </c>
      <c r="T1133">
        <v>-0.05</v>
      </c>
    </row>
    <row r="1134" spans="1:20" x14ac:dyDescent="0.3">
      <c r="A1134" t="s">
        <v>89</v>
      </c>
      <c r="B1134">
        <v>2006</v>
      </c>
      <c r="C1134">
        <v>1288358</v>
      </c>
      <c r="D1134" s="1">
        <v>1.6E-2</v>
      </c>
      <c r="E1134" s="1">
        <v>0.89693486690521196</v>
      </c>
      <c r="F1134" s="1">
        <v>-1.4E-2</v>
      </c>
      <c r="G1134" s="1">
        <f t="shared" si="34"/>
        <v>-1.4E-2</v>
      </c>
      <c r="H1134" s="1" t="str">
        <f t="shared" si="35"/>
        <v/>
      </c>
      <c r="I1134" s="1">
        <v>-8.0000000000000002E-3</v>
      </c>
      <c r="J1134" s="1">
        <f>+D1134-F1134+I1134*O1134</f>
        <v>1.2319999999999998E-2</v>
      </c>
      <c r="K1134" s="1">
        <v>4.5471515506506001E-2</v>
      </c>
      <c r="L1134" s="1">
        <f>+K1134-J1134</f>
        <v>3.3151515506506003E-2</v>
      </c>
      <c r="M1134" s="1">
        <v>1.3471515506506E-2</v>
      </c>
      <c r="N1134" s="1">
        <f>+M1134-J1134</f>
        <v>1.1515155065060026E-3</v>
      </c>
      <c r="O1134">
        <v>2.21</v>
      </c>
      <c r="P1134" t="s">
        <v>16</v>
      </c>
      <c r="Q1134">
        <v>0.01</v>
      </c>
      <c r="R1134">
        <v>-1.7037478178739501E-2</v>
      </c>
      <c r="S1134">
        <v>-1.6115722246467901E-2</v>
      </c>
      <c r="T1134">
        <v>-0.02</v>
      </c>
    </row>
    <row r="1135" spans="1:20" x14ac:dyDescent="0.3">
      <c r="A1135" t="s">
        <v>89</v>
      </c>
      <c r="B1135">
        <v>2007</v>
      </c>
      <c r="C1135">
        <v>1310764</v>
      </c>
      <c r="D1135" s="1">
        <v>4.7E-2</v>
      </c>
      <c r="E1135" s="1">
        <v>0.87614202499389604</v>
      </c>
      <c r="F1135" s="1">
        <v>5.3999999999999999E-2</v>
      </c>
      <c r="G1135" s="1">
        <f t="shared" si="34"/>
        <v>0.04</v>
      </c>
      <c r="H1135" s="1" t="str">
        <f t="shared" si="35"/>
        <v/>
      </c>
      <c r="I1135" s="1">
        <v>-2.1000000000000001E-2</v>
      </c>
      <c r="J1135" s="1">
        <f>+D1135-F1135+I1135*O1135</f>
        <v>-5.5930000000000001E-2</v>
      </c>
      <c r="K1135" s="1">
        <v>1.1962521821260501E-2</v>
      </c>
      <c r="L1135" s="1">
        <f>+K1135-J1135</f>
        <v>6.7892521821260501E-2</v>
      </c>
      <c r="M1135" s="1">
        <v>-1.7037478178739501E-2</v>
      </c>
      <c r="N1135" s="1">
        <f>+M1135-J1135</f>
        <v>3.8892521821260503E-2</v>
      </c>
      <c r="O1135">
        <v>2.33</v>
      </c>
      <c r="P1135" t="s">
        <v>17</v>
      </c>
      <c r="Q1135">
        <v>-0.02</v>
      </c>
      <c r="R1135">
        <v>-6.1492822423577301E-2</v>
      </c>
      <c r="S1135">
        <v>-3.1982018146663897E-2</v>
      </c>
      <c r="T1135">
        <v>0.05</v>
      </c>
    </row>
    <row r="1136" spans="1:20" x14ac:dyDescent="0.3">
      <c r="A1136" t="s">
        <v>89</v>
      </c>
      <c r="B1136">
        <v>2008</v>
      </c>
      <c r="C1136">
        <v>1325845</v>
      </c>
      <c r="D1136" s="1">
        <v>2.7E-2</v>
      </c>
      <c r="E1136" s="1">
        <v>0.86911416053771995</v>
      </c>
      <c r="F1136" s="1">
        <v>-2.7E-2</v>
      </c>
      <c r="G1136" s="1">
        <f t="shared" si="34"/>
        <v>1.3000000000000001E-2</v>
      </c>
      <c r="H1136" s="1" t="str">
        <f t="shared" si="35"/>
        <v/>
      </c>
      <c r="I1136" s="1">
        <v>-7.0000000000000001E-3</v>
      </c>
      <c r="J1136" s="1">
        <f>+D1136-F1136+I1136*O1136</f>
        <v>3.8109999999999998E-2</v>
      </c>
      <c r="K1136" s="1">
        <v>-2.3492822423577302E-2</v>
      </c>
      <c r="L1136" s="1">
        <f>+K1136-J1136</f>
        <v>-6.16028224235773E-2</v>
      </c>
      <c r="M1136" s="1">
        <v>-6.1492822423577301E-2</v>
      </c>
      <c r="N1136" s="1">
        <f>+M1136-J1136</f>
        <v>-9.9602822423577292E-2</v>
      </c>
      <c r="O1136">
        <v>2.27</v>
      </c>
      <c r="P1136" t="s">
        <v>16</v>
      </c>
      <c r="Q1136">
        <v>-0.03</v>
      </c>
      <c r="R1136">
        <v>-3.2205932497978103E-2</v>
      </c>
      <c r="S1136">
        <v>-5.6392308324575398E-3</v>
      </c>
      <c r="T1136">
        <v>-0.03</v>
      </c>
    </row>
    <row r="1137" spans="1:20" x14ac:dyDescent="0.3">
      <c r="A1137" t="s">
        <v>89</v>
      </c>
      <c r="B1137">
        <v>2009</v>
      </c>
      <c r="C1137">
        <v>1338707</v>
      </c>
      <c r="D1137" s="1">
        <v>3.3000000000000002E-2</v>
      </c>
      <c r="E1137" s="1">
        <v>0.873180091381073</v>
      </c>
      <c r="F1137" s="1">
        <v>1.4999999999999999E-2</v>
      </c>
      <c r="G1137" s="1">
        <f t="shared" si="34"/>
        <v>2.8000000000000001E-2</v>
      </c>
      <c r="H1137" s="1" t="str">
        <f t="shared" si="35"/>
        <v/>
      </c>
      <c r="I1137" s="1">
        <v>4.0000000000000001E-3</v>
      </c>
      <c r="J1137" s="1">
        <f>+D1137-F1137+I1137*O1137</f>
        <v>2.7200000000000002E-2</v>
      </c>
      <c r="K1137" s="1">
        <v>-3.6205932497978197E-2</v>
      </c>
      <c r="L1137" s="1">
        <f>+K1137-J1137</f>
        <v>-6.3405932497978199E-2</v>
      </c>
      <c r="M1137" s="1">
        <v>-3.2205932497978103E-2</v>
      </c>
      <c r="N1137" s="1">
        <f>+M1137-J1137</f>
        <v>-5.9405932497978105E-2</v>
      </c>
      <c r="O1137">
        <v>2.2999999999999998</v>
      </c>
      <c r="P1137" t="s">
        <v>15</v>
      </c>
      <c r="Q1137">
        <v>-0.01</v>
      </c>
      <c r="R1137">
        <v>-1.4112458502873701E-2</v>
      </c>
      <c r="S1137">
        <v>-4.6523497439920902E-3</v>
      </c>
      <c r="T1137">
        <v>0</v>
      </c>
    </row>
    <row r="1138" spans="1:20" x14ac:dyDescent="0.3">
      <c r="A1138" t="s">
        <v>89</v>
      </c>
      <c r="B1138">
        <v>2010</v>
      </c>
      <c r="C1138">
        <v>1353527</v>
      </c>
      <c r="D1138" s="1">
        <v>3.0000000000000001E-3</v>
      </c>
      <c r="E1138" s="1">
        <v>0.889209985733032</v>
      </c>
      <c r="F1138" s="1">
        <v>-7.0000000000000001E-3</v>
      </c>
      <c r="G1138" s="1">
        <f t="shared" si="34"/>
        <v>2.1000000000000001E-2</v>
      </c>
      <c r="H1138" s="1" t="str">
        <f t="shared" si="35"/>
        <v/>
      </c>
      <c r="I1138" s="1">
        <v>1.6E-2</v>
      </c>
      <c r="J1138" s="1">
        <f>+D1138-F1138+I1138*O1138</f>
        <v>4.648E-2</v>
      </c>
      <c r="K1138" s="1">
        <v>1.8875414971262199E-3</v>
      </c>
      <c r="L1138" s="1">
        <f>+K1138-J1138</f>
        <v>-4.4592458502873779E-2</v>
      </c>
      <c r="M1138" s="1">
        <v>-1.4112458502873701E-2</v>
      </c>
      <c r="N1138" s="1">
        <f>+M1138-J1138</f>
        <v>-6.0592458502873703E-2</v>
      </c>
      <c r="O1138">
        <v>2.2799999999999998</v>
      </c>
      <c r="P1138" t="s">
        <v>17</v>
      </c>
      <c r="Q1138">
        <v>0</v>
      </c>
      <c r="R1138">
        <v>-1.8533006653189701E-2</v>
      </c>
      <c r="S1138">
        <v>2.7507678605615902E-3</v>
      </c>
      <c r="T1138">
        <v>-0.02</v>
      </c>
    </row>
    <row r="1139" spans="1:20" x14ac:dyDescent="0.3">
      <c r="A1139" t="s">
        <v>89</v>
      </c>
      <c r="B1139">
        <v>2011</v>
      </c>
      <c r="C1139">
        <v>1369629</v>
      </c>
      <c r="D1139" s="1">
        <v>0</v>
      </c>
      <c r="E1139" s="1">
        <v>0.89456874132156405</v>
      </c>
      <c r="F1139" s="1">
        <v>2.4E-2</v>
      </c>
      <c r="G1139" s="1">
        <f t="shared" si="34"/>
        <v>4.4999999999999998E-2</v>
      </c>
      <c r="H1139" s="1" t="str">
        <f t="shared" si="35"/>
        <v/>
      </c>
      <c r="I1139" s="1">
        <v>5.0000000000000001E-3</v>
      </c>
      <c r="J1139" s="1">
        <f>+D1139-F1139+I1139*O1139</f>
        <v>-1.23E-2</v>
      </c>
      <c r="K1139" s="1">
        <v>1.3466993346810299E-2</v>
      </c>
      <c r="L1139" s="1">
        <f>+K1139-J1139</f>
        <v>2.5766993346810298E-2</v>
      </c>
      <c r="M1139" s="1">
        <v>-1.8533006653189701E-2</v>
      </c>
      <c r="N1139" s="1">
        <f>+M1139-J1139</f>
        <v>-6.2330066531897012E-3</v>
      </c>
      <c r="O1139">
        <v>2.34</v>
      </c>
      <c r="P1139" t="s">
        <v>15</v>
      </c>
      <c r="Q1139">
        <v>0</v>
      </c>
      <c r="R1139">
        <v>-4.3485707640647997E-3</v>
      </c>
      <c r="S1139">
        <v>1.0896353051066E-3</v>
      </c>
      <c r="T1139">
        <v>0.03</v>
      </c>
    </row>
    <row r="1140" spans="1:20" x14ac:dyDescent="0.3">
      <c r="A1140" t="s">
        <v>89</v>
      </c>
      <c r="B1140">
        <v>2012</v>
      </c>
      <c r="C1140">
        <v>1388039</v>
      </c>
      <c r="D1140" s="1">
        <v>7.0000000000000001E-3</v>
      </c>
      <c r="E1140" s="1">
        <v>0.90397107601165805</v>
      </c>
      <c r="F1140" s="1">
        <v>-3.5000000000000003E-2</v>
      </c>
      <c r="G1140" s="1">
        <f t="shared" si="34"/>
        <v>9.999999999999995E-3</v>
      </c>
      <c r="H1140" s="1" t="str">
        <f t="shared" si="35"/>
        <v/>
      </c>
      <c r="I1140" s="1">
        <v>8.9999999999999993E-3</v>
      </c>
      <c r="J1140" s="1">
        <f>+D1140-F1140+I1140*O1140</f>
        <v>6.234E-2</v>
      </c>
      <c r="K1140" s="1">
        <v>1.6651429235935201E-2</v>
      </c>
      <c r="L1140" s="1">
        <f>+K1140-J1140</f>
        <v>-4.5688570764064795E-2</v>
      </c>
      <c r="M1140" s="1">
        <v>-4.3485707640647997E-3</v>
      </c>
      <c r="N1140" s="1">
        <f>+M1140-J1140</f>
        <v>-6.66885707640648E-2</v>
      </c>
      <c r="O1140">
        <v>2.2599999999999998</v>
      </c>
      <c r="P1140" t="s">
        <v>17</v>
      </c>
      <c r="Q1140">
        <v>0</v>
      </c>
      <c r="R1140">
        <v>9.3040302395819903E-4</v>
      </c>
      <c r="S1140">
        <v>-5.1963683217763996E-3</v>
      </c>
      <c r="T1140">
        <v>-0.04</v>
      </c>
    </row>
    <row r="1141" spans="1:20" x14ac:dyDescent="0.3">
      <c r="A1141" t="s">
        <v>89</v>
      </c>
      <c r="B1141">
        <v>2013</v>
      </c>
      <c r="C1141">
        <v>1408009</v>
      </c>
      <c r="D1141" s="1">
        <v>2.5000000000000001E-2</v>
      </c>
      <c r="E1141" s="1">
        <v>0.90934705734252896</v>
      </c>
      <c r="F1141" s="1">
        <v>2.3E-2</v>
      </c>
      <c r="G1141" s="1">
        <f t="shared" si="34"/>
        <v>3.2999999999999995E-2</v>
      </c>
      <c r="H1141" s="1" t="str">
        <f t="shared" si="35"/>
        <v/>
      </c>
      <c r="I1141" s="1">
        <v>5.0000000000000001E-3</v>
      </c>
      <c r="J1141" s="1">
        <f>+D1141-F1141+I1141*O1141</f>
        <v>1.3550000000000003E-2</v>
      </c>
      <c r="K1141" s="1">
        <v>1.5930403023958199E-2</v>
      </c>
      <c r="L1141" s="1">
        <f>+K1141-J1141</f>
        <v>2.3804030239581962E-3</v>
      </c>
      <c r="M1141" s="1">
        <v>9.3040302395819903E-4</v>
      </c>
      <c r="N1141" s="1">
        <f>+M1141-J1141</f>
        <v>-1.2619596976041803E-2</v>
      </c>
      <c r="O1141">
        <v>2.31</v>
      </c>
      <c r="P1141" t="s">
        <v>15</v>
      </c>
      <c r="Q1141">
        <v>-0.01</v>
      </c>
      <c r="R1141">
        <v>9.1073017716407894E-3</v>
      </c>
      <c r="S1141">
        <v>7.0992782711982901E-3</v>
      </c>
      <c r="T1141">
        <v>0.01</v>
      </c>
    </row>
    <row r="1142" spans="1:20" x14ac:dyDescent="0.3">
      <c r="A1142" t="s">
        <v>89</v>
      </c>
      <c r="B1142">
        <v>2014</v>
      </c>
      <c r="C1142">
        <v>1435023</v>
      </c>
      <c r="D1142" s="1">
        <v>5.0000000000000001E-3</v>
      </c>
      <c r="E1142" s="1">
        <v>0.92824518680572499</v>
      </c>
      <c r="F1142" s="1">
        <v>4.2000000000000003E-2</v>
      </c>
      <c r="G1142" s="1">
        <f t="shared" si="34"/>
        <v>7.4999999999999997E-2</v>
      </c>
      <c r="H1142" s="1" t="str">
        <f t="shared" si="35"/>
        <v/>
      </c>
      <c r="I1142" s="1">
        <v>1.9E-2</v>
      </c>
      <c r="J1142" s="1">
        <f>+D1142-F1142+I1142*O1142</f>
        <v>8.5999999999999896E-3</v>
      </c>
      <c r="K1142" s="1">
        <v>2.5107301771640798E-2</v>
      </c>
      <c r="L1142" s="1">
        <f>+K1142-J1142</f>
        <v>1.6507301771640809E-2</v>
      </c>
      <c r="M1142" s="1">
        <v>9.1073017716407894E-3</v>
      </c>
      <c r="N1142" s="1">
        <f>+M1142-J1142</f>
        <v>5.073017716407998E-4</v>
      </c>
      <c r="O1142">
        <v>2.4</v>
      </c>
      <c r="P1142" t="s">
        <v>15</v>
      </c>
      <c r="Q1142">
        <v>0.01</v>
      </c>
      <c r="R1142">
        <v>4.0068334132432902E-2</v>
      </c>
      <c r="S1142">
        <v>9.8048821091652003E-3</v>
      </c>
      <c r="T1142">
        <v>0.04</v>
      </c>
    </row>
    <row r="1143" spans="1:20" x14ac:dyDescent="0.3">
      <c r="A1143" t="s">
        <v>89</v>
      </c>
      <c r="B1143">
        <v>2015</v>
      </c>
      <c r="C1143">
        <v>1466608</v>
      </c>
      <c r="D1143" s="1">
        <v>2.8000000000000001E-2</v>
      </c>
      <c r="E1143" s="1">
        <v>0.93052566051483199</v>
      </c>
      <c r="F1143" s="1">
        <v>-1.6E-2</v>
      </c>
      <c r="G1143" s="1">
        <f t="shared" si="34"/>
        <v>5.8999999999999997E-2</v>
      </c>
      <c r="H1143" s="1" t="str">
        <f t="shared" si="35"/>
        <v/>
      </c>
      <c r="I1143" s="1">
        <v>2E-3</v>
      </c>
      <c r="J1143" s="1">
        <f>+D1143-F1143+I1143*O1143</f>
        <v>4.8719999999999999E-2</v>
      </c>
      <c r="K1143" s="1">
        <v>4.1068334132432903E-2</v>
      </c>
      <c r="L1143" s="1">
        <f>+K1143-J1143</f>
        <v>-7.6516658675670965E-3</v>
      </c>
      <c r="M1143" s="1">
        <v>4.0068334132432902E-2</v>
      </c>
      <c r="N1143" s="1">
        <f>+M1143-J1143</f>
        <v>-8.6516658675670974E-3</v>
      </c>
      <c r="O1143">
        <v>2.36</v>
      </c>
      <c r="P1143" t="s">
        <v>17</v>
      </c>
      <c r="Q1143">
        <v>0.01</v>
      </c>
      <c r="R1143">
        <v>2.2470958799123801E-2</v>
      </c>
      <c r="S1143">
        <v>9.3174017965794009E-3</v>
      </c>
      <c r="T1143">
        <v>-0.01</v>
      </c>
    </row>
    <row r="1144" spans="1:20" x14ac:dyDescent="0.3">
      <c r="A1144" t="s">
        <v>89</v>
      </c>
      <c r="B1144">
        <v>2016</v>
      </c>
      <c r="C1144">
        <v>1500427</v>
      </c>
      <c r="D1144" s="1">
        <v>0.02</v>
      </c>
      <c r="E1144" s="1">
        <v>0.92845070362091098</v>
      </c>
      <c r="F1144" s="1">
        <v>-5.0000000000000001E-3</v>
      </c>
      <c r="G1144" s="1">
        <f t="shared" si="34"/>
        <v>5.3999999999999999E-2</v>
      </c>
      <c r="H1144" s="1" t="str">
        <f t="shared" si="35"/>
        <v/>
      </c>
      <c r="I1144" s="1">
        <v>-2E-3</v>
      </c>
      <c r="J1144" s="1">
        <f>+D1144-F1144+I1144*O1144</f>
        <v>2.0300000000000002E-2</v>
      </c>
      <c r="K1144" s="1">
        <v>3.5470958799123799E-2</v>
      </c>
      <c r="L1144" s="1">
        <f>+K1144-J1144</f>
        <v>1.5170958799123797E-2</v>
      </c>
      <c r="M1144" s="1">
        <v>2.2470958799123801E-2</v>
      </c>
      <c r="N1144" s="1">
        <f>+M1144-J1144</f>
        <v>2.170958799123799E-3</v>
      </c>
      <c r="O1144">
        <v>2.35</v>
      </c>
      <c r="P1144" t="s">
        <v>16</v>
      </c>
      <c r="Q1144">
        <v>0.01</v>
      </c>
      <c r="R1144">
        <v>1.9393263101577799E-2</v>
      </c>
      <c r="S1144">
        <v>1.6603689640760502E-2</v>
      </c>
      <c r="T1144">
        <v>0</v>
      </c>
    </row>
    <row r="1145" spans="1:20" x14ac:dyDescent="0.3">
      <c r="A1145" t="s">
        <v>89</v>
      </c>
      <c r="B1145">
        <v>2017</v>
      </c>
      <c r="C1145">
        <v>1531576</v>
      </c>
      <c r="D1145" s="1">
        <v>2.7E-2</v>
      </c>
      <c r="E1145" s="1">
        <v>0.92904788255691495</v>
      </c>
      <c r="F1145" s="1">
        <v>8.9999999999999993E-3</v>
      </c>
      <c r="G1145" s="1">
        <f t="shared" si="34"/>
        <v>6.3E-2</v>
      </c>
      <c r="H1145" s="1" t="str">
        <f t="shared" si="35"/>
        <v/>
      </c>
      <c r="I1145" s="1">
        <v>1E-3</v>
      </c>
      <c r="J1145" s="1">
        <f>+D1145-F1145+I1145*O1145</f>
        <v>2.0370000000000003E-2</v>
      </c>
      <c r="K1145" s="1">
        <v>4.03932631015778E-2</v>
      </c>
      <c r="L1145" s="1">
        <f>+K1145-J1145</f>
        <v>2.0023263101577798E-2</v>
      </c>
      <c r="M1145" s="1">
        <v>1.9393263101577799E-2</v>
      </c>
      <c r="N1145" s="1">
        <f>+M1145-J1145</f>
        <v>-9.7673689842220357E-4</v>
      </c>
      <c r="O1145">
        <v>2.37</v>
      </c>
      <c r="P1145" t="s">
        <v>15</v>
      </c>
      <c r="Q1145">
        <v>0.02</v>
      </c>
      <c r="R1145">
        <v>1.7181694716215098E-2</v>
      </c>
      <c r="S1145">
        <v>8.0466717481613003E-3</v>
      </c>
      <c r="T1145">
        <v>0.01</v>
      </c>
    </row>
    <row r="1146" spans="1:20" x14ac:dyDescent="0.3">
      <c r="A1146" t="s">
        <v>89</v>
      </c>
      <c r="B1146">
        <v>2018</v>
      </c>
      <c r="C1146">
        <v>1561516</v>
      </c>
      <c r="D1146" s="1">
        <v>2.9000000000000001E-2</v>
      </c>
      <c r="E1146" s="1">
        <v>0.92352473735809304</v>
      </c>
      <c r="F1146" s="1">
        <v>-0.02</v>
      </c>
      <c r="G1146" s="1">
        <f t="shared" si="34"/>
        <v>4.2999999999999997E-2</v>
      </c>
      <c r="H1146" s="1" t="str">
        <f t="shared" si="35"/>
        <v/>
      </c>
      <c r="I1146" s="1">
        <v>-6.0000000000000001E-3</v>
      </c>
      <c r="J1146" s="1">
        <f>+D1146-F1146+I1146*O1146</f>
        <v>3.5020000000000003E-2</v>
      </c>
      <c r="K1146" s="1">
        <v>4.1181694716215099E-2</v>
      </c>
      <c r="L1146" s="1">
        <f>+K1146-J1146</f>
        <v>6.1616947162150965E-3</v>
      </c>
      <c r="M1146" s="1">
        <v>1.7181694716215098E-2</v>
      </c>
      <c r="N1146" s="1">
        <f>+M1146-J1146</f>
        <v>-1.7838305283784904E-2</v>
      </c>
      <c r="O1146">
        <v>2.33</v>
      </c>
      <c r="P1146" t="s">
        <v>16</v>
      </c>
      <c r="Q1146">
        <v>0.01</v>
      </c>
      <c r="R1146">
        <v>1.8203209310770001E-2</v>
      </c>
      <c r="S1146">
        <v>4.0201470255849599E-4</v>
      </c>
      <c r="T1146">
        <v>-0.01</v>
      </c>
    </row>
    <row r="1147" spans="1:20" x14ac:dyDescent="0.3">
      <c r="A1147" t="s">
        <v>89</v>
      </c>
      <c r="B1147">
        <v>2019</v>
      </c>
      <c r="C1147">
        <v>1591005</v>
      </c>
      <c r="D1147" s="1">
        <v>4.3999999999999997E-2</v>
      </c>
      <c r="E1147" s="1">
        <v>0.91639322042465199</v>
      </c>
      <c r="F1147" s="1">
        <v>-3.1E-2</v>
      </c>
      <c r="G1147" s="1">
        <f t="shared" si="34"/>
        <v>1.1999999999999997E-2</v>
      </c>
      <c r="H1147" s="1" t="str">
        <f t="shared" si="35"/>
        <v/>
      </c>
      <c r="I1147" s="1">
        <v>-7.0000000000000001E-3</v>
      </c>
      <c r="J1147" s="1">
        <f>+D1147-F1147+I1147*O1147</f>
        <v>5.9249999999999997E-2</v>
      </c>
      <c r="K1147" s="1">
        <v>3.620320931077E-2</v>
      </c>
      <c r="L1147" s="1">
        <f>+K1147-J1147</f>
        <v>-2.3046790689229997E-2</v>
      </c>
      <c r="M1147" s="1">
        <v>1.8203209310770001E-2</v>
      </c>
      <c r="N1147" s="1">
        <f>+M1147-J1147</f>
        <v>-4.1046790689229992E-2</v>
      </c>
      <c r="O1147">
        <v>2.25</v>
      </c>
      <c r="P1147" t="s">
        <v>16</v>
      </c>
      <c r="Q1147">
        <v>0</v>
      </c>
      <c r="R1147">
        <v>2.7563421159982698E-2</v>
      </c>
      <c r="S1147">
        <v>8.7142307311297001E-3</v>
      </c>
      <c r="T1147">
        <v>-0.02</v>
      </c>
    </row>
    <row r="1148" spans="1:20" x14ac:dyDescent="0.3">
      <c r="A1148" t="s">
        <v>89</v>
      </c>
      <c r="B1148">
        <v>2020</v>
      </c>
      <c r="C1148">
        <v>1620148</v>
      </c>
      <c r="D1148" s="1">
        <v>4.5999999999999999E-2</v>
      </c>
      <c r="E1148" s="1">
        <v>0.92644053697586104</v>
      </c>
      <c r="F1148" s="1">
        <v>-9.7000000000000003E-2</v>
      </c>
      <c r="G1148" s="1">
        <f t="shared" si="34"/>
        <v>-8.5000000000000006E-2</v>
      </c>
      <c r="H1148" s="1" t="str">
        <f t="shared" si="35"/>
        <v/>
      </c>
      <c r="I1148" s="1">
        <v>0.01</v>
      </c>
      <c r="J1148" s="1">
        <f>+D1148-F1148+I1148*O1148</f>
        <v>0.1633</v>
      </c>
      <c r="K1148" s="1">
        <v>3.9563421159982702E-2</v>
      </c>
      <c r="L1148" s="1">
        <f>+K1148-J1148</f>
        <v>-0.12373657884001729</v>
      </c>
      <c r="M1148" s="1">
        <v>2.7563421159982698E-2</v>
      </c>
      <c r="N1148" s="1">
        <f>+M1148-J1148</f>
        <v>-0.1357365788400173</v>
      </c>
      <c r="O1148">
        <v>2.0299999999999998</v>
      </c>
      <c r="P1148" t="s">
        <v>17</v>
      </c>
      <c r="Q1148">
        <v>0.01</v>
      </c>
      <c r="R1148">
        <v>0.11796904194355</v>
      </c>
      <c r="S1148">
        <v>7.4379429221152996E-2</v>
      </c>
      <c r="T1148">
        <v>-0.06</v>
      </c>
    </row>
    <row r="1149" spans="1:20" x14ac:dyDescent="0.3">
      <c r="A1149" t="s">
        <v>89</v>
      </c>
      <c r="B1149">
        <v>2021</v>
      </c>
      <c r="C1149">
        <v>1651216</v>
      </c>
      <c r="D1149" s="1">
        <v>3.2000000000000001E-2</v>
      </c>
      <c r="E1149" s="1">
        <v>0.94472593069076505</v>
      </c>
      <c r="F1149" s="1">
        <v>0.127</v>
      </c>
      <c r="G1149" s="1">
        <f t="shared" si="34"/>
        <v>4.1999999999999996E-2</v>
      </c>
      <c r="H1149" s="1" t="str">
        <f t="shared" si="35"/>
        <v/>
      </c>
      <c r="I1149" s="1">
        <v>1.7999999999999999E-2</v>
      </c>
      <c r="J1149" s="1">
        <f>+D1149-F1149+I1149*O1149</f>
        <v>-5.3780000000000001E-2</v>
      </c>
      <c r="K1149" s="1">
        <v>0.16496904194355</v>
      </c>
      <c r="L1149" s="1">
        <f>+K1149-J1149</f>
        <v>0.21874904194354999</v>
      </c>
      <c r="M1149" s="1">
        <v>0.11796904194355</v>
      </c>
      <c r="N1149" s="1">
        <f>+M1149-J1149</f>
        <v>0.17174904194355001</v>
      </c>
      <c r="O1149">
        <v>2.29</v>
      </c>
      <c r="P1149" t="s">
        <v>15</v>
      </c>
      <c r="Q1149">
        <v>7.0000000000000007E-2</v>
      </c>
      <c r="R1149">
        <v>-5.68393933773041E-2</v>
      </c>
      <c r="S1149">
        <v>-2.4735886603593799E-2</v>
      </c>
      <c r="T1149">
        <v>0.1</v>
      </c>
    </row>
    <row r="1150" spans="1:20" x14ac:dyDescent="0.3">
      <c r="A1150" t="s">
        <v>89</v>
      </c>
      <c r="B1150">
        <v>2022</v>
      </c>
      <c r="C1150">
        <v>1691503</v>
      </c>
      <c r="D1150" s="1">
        <v>5.8000000000000003E-2</v>
      </c>
      <c r="E1150" s="1">
        <v>0.90136468410491899</v>
      </c>
      <c r="F1150" s="1">
        <v>-2.3E-2</v>
      </c>
      <c r="G1150" s="1">
        <f t="shared" si="34"/>
        <v>1.8999999999999996E-2</v>
      </c>
      <c r="H1150" s="1" t="str">
        <f t="shared" si="35"/>
        <v/>
      </c>
      <c r="I1150" s="1">
        <v>-4.2999999999999997E-2</v>
      </c>
      <c r="J1150" s="1">
        <f>+D1150-F1150+I1150*O1150</f>
        <v>-1.532E-2</v>
      </c>
      <c r="K1150" s="1">
        <v>2.3160606622695899E-2</v>
      </c>
      <c r="L1150" s="1">
        <f>+K1150-J1150</f>
        <v>3.8480606622695895E-2</v>
      </c>
      <c r="M1150" s="1">
        <v>-5.68393933773041E-2</v>
      </c>
      <c r="N1150" s="1">
        <f>+M1150-J1150</f>
        <v>-4.1519393377304099E-2</v>
      </c>
      <c r="O1150">
        <v>2.2400000000000002</v>
      </c>
      <c r="P1150" t="s">
        <v>16</v>
      </c>
      <c r="Q1150">
        <v>-0.02</v>
      </c>
      <c r="R1150">
        <v>-7.0805527999997106E-2</v>
      </c>
      <c r="S1150">
        <v>-5.1246600225567797E-2</v>
      </c>
      <c r="T1150">
        <v>-0.01</v>
      </c>
    </row>
    <row r="1151" spans="1:20" x14ac:dyDescent="0.3">
      <c r="A1151" t="s">
        <v>90</v>
      </c>
      <c r="B1151">
        <v>2006</v>
      </c>
      <c r="C1151">
        <v>321397.1875</v>
      </c>
      <c r="D1151" s="1">
        <v>0</v>
      </c>
      <c r="E1151" s="1">
        <v>0.92474424839019798</v>
      </c>
      <c r="F1151" s="1">
        <v>-5.8000000000000003E-2</v>
      </c>
      <c r="G1151" s="1">
        <f t="shared" si="34"/>
        <v>-5.8000000000000003E-2</v>
      </c>
      <c r="H1151" s="1" t="str">
        <f t="shared" si="35"/>
        <v/>
      </c>
      <c r="I1151" s="1">
        <v>0.01</v>
      </c>
      <c r="J1151" s="1">
        <f>+D1151-F1151+I1151*O1151</f>
        <v>7.8300000000000008E-2</v>
      </c>
      <c r="K1151" s="1">
        <v>1.9164003431797E-2</v>
      </c>
      <c r="L1151" s="1">
        <f>+K1151-J1151</f>
        <v>-5.9135996568203009E-2</v>
      </c>
      <c r="M1151" s="1">
        <v>-1.2835996568203001E-2</v>
      </c>
      <c r="N1151" s="1">
        <f>+M1151-J1151</f>
        <v>-9.1135996568203009E-2</v>
      </c>
      <c r="O1151">
        <v>2.0299999999999998</v>
      </c>
      <c r="P1151" t="s">
        <v>17</v>
      </c>
      <c r="Q1151">
        <v>-0.02</v>
      </c>
      <c r="R1151">
        <v>-9.1158998161554004E-3</v>
      </c>
      <c r="S1151">
        <v>-8.1941438838838993E-3</v>
      </c>
      <c r="T1151">
        <v>-0.06</v>
      </c>
    </row>
    <row r="1152" spans="1:20" x14ac:dyDescent="0.3">
      <c r="A1152" t="s">
        <v>90</v>
      </c>
      <c r="B1152">
        <v>2007</v>
      </c>
      <c r="C1152">
        <v>322391.125</v>
      </c>
      <c r="D1152" s="1">
        <v>1.2E-2</v>
      </c>
      <c r="E1152" s="1">
        <v>0.92026090621948198</v>
      </c>
      <c r="F1152" s="1">
        <v>4.2000000000000003E-2</v>
      </c>
      <c r="G1152" s="1">
        <f t="shared" si="34"/>
        <v>-1.6E-2</v>
      </c>
      <c r="H1152" s="1" t="str">
        <f t="shared" si="35"/>
        <v/>
      </c>
      <c r="I1152" s="1">
        <v>-4.0000000000000001E-3</v>
      </c>
      <c r="J1152" s="1">
        <f>+D1152-F1152+I1152*O1152</f>
        <v>-3.8440000000000002E-2</v>
      </c>
      <c r="K1152" s="1">
        <v>1.9884100183844601E-2</v>
      </c>
      <c r="L1152" s="1">
        <f>+K1152-J1152</f>
        <v>5.8324100183844603E-2</v>
      </c>
      <c r="M1152" s="1">
        <v>-9.1158998161554004E-3</v>
      </c>
      <c r="N1152" s="1">
        <f>+M1152-J1152</f>
        <v>2.9324100183844602E-2</v>
      </c>
      <c r="O1152">
        <v>2.11</v>
      </c>
      <c r="P1152" t="s">
        <v>17</v>
      </c>
      <c r="Q1152">
        <v>-0.01</v>
      </c>
      <c r="R1152">
        <v>-2.3170659609138999E-2</v>
      </c>
      <c r="S1152">
        <v>6.3401446677743998E-3</v>
      </c>
      <c r="T1152">
        <v>0.04</v>
      </c>
    </row>
    <row r="1153" spans="1:20" x14ac:dyDescent="0.3">
      <c r="A1153" t="s">
        <v>90</v>
      </c>
      <c r="B1153">
        <v>2008</v>
      </c>
      <c r="C1153">
        <v>323937</v>
      </c>
      <c r="D1153" s="1">
        <v>-6.0000000000000001E-3</v>
      </c>
      <c r="E1153" s="1">
        <v>0.93814212083816495</v>
      </c>
      <c r="F1153" s="1">
        <v>-0.01</v>
      </c>
      <c r="G1153" s="1">
        <f t="shared" si="34"/>
        <v>-2.6000000000000002E-2</v>
      </c>
      <c r="H1153" s="1" t="str">
        <f t="shared" si="35"/>
        <v/>
      </c>
      <c r="I1153" s="1">
        <v>1.7999999999999999E-2</v>
      </c>
      <c r="J1153" s="1">
        <f>+D1153-F1153+I1153*O1153</f>
        <v>4.161999999999999E-2</v>
      </c>
      <c r="K1153" s="1">
        <v>1.4829340390861E-2</v>
      </c>
      <c r="L1153" s="1">
        <f>+K1153-J1153</f>
        <v>-2.6790659609138991E-2</v>
      </c>
      <c r="M1153" s="1">
        <v>-2.3170659609138999E-2</v>
      </c>
      <c r="N1153" s="1">
        <f>+M1153-J1153</f>
        <v>-6.479065960913899E-2</v>
      </c>
      <c r="O1153">
        <v>2.09</v>
      </c>
      <c r="P1153" t="s">
        <v>17</v>
      </c>
      <c r="Q1153">
        <v>0.01</v>
      </c>
      <c r="R1153">
        <v>-1.5392879679799101E-2</v>
      </c>
      <c r="S1153">
        <v>1.11738219857215E-2</v>
      </c>
      <c r="T1153">
        <v>-0.01</v>
      </c>
    </row>
    <row r="1154" spans="1:20" x14ac:dyDescent="0.3">
      <c r="A1154" t="s">
        <v>90</v>
      </c>
      <c r="B1154">
        <v>2009</v>
      </c>
      <c r="C1154">
        <v>325925</v>
      </c>
      <c r="D1154" s="1">
        <v>0</v>
      </c>
      <c r="E1154" s="1">
        <v>0.93625545501708995</v>
      </c>
      <c r="F1154" s="1">
        <v>-5.2999999999999999E-2</v>
      </c>
      <c r="G1154" s="1">
        <f t="shared" si="34"/>
        <v>-7.9000000000000001E-2</v>
      </c>
      <c r="H1154" s="1" t="str">
        <f t="shared" si="35"/>
        <v/>
      </c>
      <c r="I1154" s="1">
        <v>-2E-3</v>
      </c>
      <c r="J1154" s="1">
        <f>+D1154-F1154+I1154*O1154</f>
        <v>4.904E-2</v>
      </c>
      <c r="K1154" s="1">
        <v>-1.9392879679799101E-2</v>
      </c>
      <c r="L1154" s="1">
        <f>+K1154-J1154</f>
        <v>-6.8432879679799108E-2</v>
      </c>
      <c r="M1154" s="1">
        <v>-1.5392879679799101E-2</v>
      </c>
      <c r="N1154" s="1">
        <f>+M1154-J1154</f>
        <v>-6.4432879679799104E-2</v>
      </c>
      <c r="O1154">
        <v>1.98</v>
      </c>
      <c r="P1154" t="s">
        <v>16</v>
      </c>
      <c r="Q1154">
        <v>0.01</v>
      </c>
      <c r="R1154">
        <v>-1.49047029521316E-2</v>
      </c>
      <c r="S1154">
        <v>-5.44459419324994E-3</v>
      </c>
      <c r="T1154">
        <v>-7.0000000000000007E-2</v>
      </c>
    </row>
    <row r="1155" spans="1:20" x14ac:dyDescent="0.3">
      <c r="A1155" t="s">
        <v>90</v>
      </c>
      <c r="B1155">
        <v>2010</v>
      </c>
      <c r="C1155">
        <v>327129</v>
      </c>
      <c r="D1155" s="1">
        <v>0</v>
      </c>
      <c r="E1155" s="1">
        <v>0.936118423938751</v>
      </c>
      <c r="F1155" s="1">
        <v>0.17299999999999999</v>
      </c>
      <c r="G1155" s="1">
        <f t="shared" si="34"/>
        <v>9.3999999999999986E-2</v>
      </c>
      <c r="H1155" s="1" t="str">
        <f t="shared" si="35"/>
        <v/>
      </c>
      <c r="I1155" s="1">
        <v>0</v>
      </c>
      <c r="J1155" s="1">
        <f>+D1155-F1155+I1155*O1155</f>
        <v>-0.17299999999999999</v>
      </c>
      <c r="K1155" s="1">
        <v>1.0952970478683699E-3</v>
      </c>
      <c r="L1155" s="1">
        <f>+K1155-J1155</f>
        <v>0.17409529704786836</v>
      </c>
      <c r="M1155" s="1">
        <v>-1.49047029521316E-2</v>
      </c>
      <c r="N1155" s="1">
        <f>+M1155-J1155</f>
        <v>0.1580952970478684</v>
      </c>
      <c r="O1155">
        <v>2.3199999999999998</v>
      </c>
      <c r="P1155" t="s">
        <v>17</v>
      </c>
      <c r="Q1155">
        <v>-0.01</v>
      </c>
      <c r="R1155">
        <v>-2.1169158041477201E-2</v>
      </c>
      <c r="S1155">
        <v>1.1461647227409899E-4</v>
      </c>
      <c r="T1155">
        <v>0.16</v>
      </c>
    </row>
    <row r="1156" spans="1:20" x14ac:dyDescent="0.3">
      <c r="A1156" t="s">
        <v>90</v>
      </c>
      <c r="B1156">
        <v>2011</v>
      </c>
      <c r="C1156">
        <v>328456.09379999997</v>
      </c>
      <c r="D1156" s="1">
        <v>0</v>
      </c>
      <c r="E1156" s="1">
        <v>0.94453328847885099</v>
      </c>
      <c r="F1156" s="1">
        <v>-4.2000000000000003E-2</v>
      </c>
      <c r="G1156" s="1">
        <f t="shared" si="34"/>
        <v>5.1999999999999984E-2</v>
      </c>
      <c r="H1156" s="1" t="str">
        <f t="shared" si="35"/>
        <v/>
      </c>
      <c r="I1156" s="1">
        <v>8.0000000000000002E-3</v>
      </c>
      <c r="J1156" s="1">
        <f>+D1156-F1156+I1156*O1156</f>
        <v>5.9840000000000004E-2</v>
      </c>
      <c r="K1156" s="1">
        <v>1.08308419585228E-2</v>
      </c>
      <c r="L1156" s="1">
        <f>+K1156-J1156</f>
        <v>-4.9009158041477208E-2</v>
      </c>
      <c r="M1156" s="1">
        <v>-2.1169158041477201E-2</v>
      </c>
      <c r="N1156" s="1">
        <f>+M1156-J1156</f>
        <v>-8.1009158041477208E-2</v>
      </c>
      <c r="O1156">
        <v>2.23</v>
      </c>
      <c r="P1156" t="s">
        <v>17</v>
      </c>
      <c r="Q1156">
        <v>0</v>
      </c>
      <c r="R1156">
        <v>-9.1127681583165997E-3</v>
      </c>
      <c r="S1156">
        <v>-3.6745620891452E-3</v>
      </c>
      <c r="T1156">
        <v>-0.04</v>
      </c>
    </row>
    <row r="1157" spans="1:20" x14ac:dyDescent="0.3">
      <c r="A1157" t="s">
        <v>90</v>
      </c>
      <c r="B1157">
        <v>2012</v>
      </c>
      <c r="C1157">
        <v>330185.90629999997</v>
      </c>
      <c r="D1157" s="1">
        <v>7.0000000000000001E-3</v>
      </c>
      <c r="E1157" s="1">
        <v>0.94392645359039296</v>
      </c>
      <c r="F1157" s="1">
        <v>-9.4E-2</v>
      </c>
      <c r="G1157" s="1">
        <f t="shared" si="34"/>
        <v>-4.2000000000000016E-2</v>
      </c>
      <c r="H1157" s="1" t="str">
        <f t="shared" si="35"/>
        <v/>
      </c>
      <c r="I1157" s="1">
        <v>-1E-3</v>
      </c>
      <c r="J1157" s="1">
        <f>+D1157-F1157+I1157*O1157</f>
        <v>9.8980000000000012E-2</v>
      </c>
      <c r="K1157" s="1">
        <v>1.18872318416834E-2</v>
      </c>
      <c r="L1157" s="1">
        <f>+K1157-J1157</f>
        <v>-8.7092768158316611E-2</v>
      </c>
      <c r="M1157" s="1">
        <v>-9.1127681583165997E-3</v>
      </c>
      <c r="N1157" s="1">
        <f>+M1157-J1157</f>
        <v>-0.10809276815831662</v>
      </c>
      <c r="O1157">
        <v>2.02</v>
      </c>
      <c r="P1157" t="s">
        <v>16</v>
      </c>
      <c r="Q1157">
        <v>0</v>
      </c>
      <c r="R1157">
        <v>8.1563132256268992E-3</v>
      </c>
      <c r="S1157">
        <v>2.0295418798922998E-3</v>
      </c>
      <c r="T1157">
        <v>-0.1</v>
      </c>
    </row>
    <row r="1158" spans="1:20" x14ac:dyDescent="0.3">
      <c r="A1158" t="s">
        <v>90</v>
      </c>
      <c r="B1158">
        <v>2013</v>
      </c>
      <c r="C1158">
        <v>331617.71879999997</v>
      </c>
      <c r="D1158" s="1">
        <v>0</v>
      </c>
      <c r="E1158" s="1">
        <v>0.94375252723693803</v>
      </c>
      <c r="F1158" s="1">
        <v>5.2999999999999999E-2</v>
      </c>
      <c r="G1158" s="1">
        <f t="shared" si="34"/>
        <v>1.0999999999999982E-2</v>
      </c>
      <c r="H1158" s="1" t="str">
        <f t="shared" si="35"/>
        <v/>
      </c>
      <c r="I1158" s="1">
        <v>0</v>
      </c>
      <c r="J1158" s="1">
        <f>+D1158-F1158+I1158*O1158</f>
        <v>-5.2999999999999999E-2</v>
      </c>
      <c r="K1158" s="1">
        <v>2.31563132256269E-2</v>
      </c>
      <c r="L1158" s="1">
        <f>+K1158-J1158</f>
        <v>7.6156313225626895E-2</v>
      </c>
      <c r="M1158" s="1">
        <v>8.1563132256268992E-3</v>
      </c>
      <c r="N1158" s="1">
        <f>+M1158-J1158</f>
        <v>6.1156313225626896E-2</v>
      </c>
      <c r="O1158">
        <v>2.12</v>
      </c>
      <c r="P1158" t="s">
        <v>17</v>
      </c>
      <c r="Q1158">
        <v>0</v>
      </c>
      <c r="R1158">
        <v>1.0411658152937899E-2</v>
      </c>
      <c r="S1158">
        <v>8.4036346524953894E-3</v>
      </c>
      <c r="T1158">
        <v>0.05</v>
      </c>
    </row>
    <row r="1159" spans="1:20" x14ac:dyDescent="0.3">
      <c r="A1159" t="s">
        <v>90</v>
      </c>
      <c r="B1159">
        <v>2014</v>
      </c>
      <c r="C1159">
        <v>332559.6875</v>
      </c>
      <c r="D1159" s="1">
        <v>0</v>
      </c>
      <c r="E1159" s="1">
        <v>0.94256097078323398</v>
      </c>
      <c r="F1159" s="1">
        <v>2.3E-2</v>
      </c>
      <c r="G1159" s="1">
        <f t="shared" ref="G1159:G1222" si="36">SUMIFS(F:F,A:A,A1159,B:B,"&lt;="&amp;B1159)</f>
        <v>3.3999999999999982E-2</v>
      </c>
      <c r="H1159" s="1" t="str">
        <f t="shared" ref="H1159:H1222" si="37">IFERROR(IF(ABS(G1159)&gt;0.12,AVERAGEIFS(K:K,A:A,A1159,B:B,"&gt;"&amp;B1159,B:B,"&lt;"&amp;B1159+3),""),"")</f>
        <v/>
      </c>
      <c r="I1159" s="1">
        <v>-1E-3</v>
      </c>
      <c r="J1159" s="1">
        <f>+D1159-F1159+I1159*O1159</f>
        <v>-2.5169999999999998E-2</v>
      </c>
      <c r="K1159" s="1">
        <v>2.64116581529379E-2</v>
      </c>
      <c r="L1159" s="1">
        <f>+K1159-J1159</f>
        <v>5.1581658152937901E-2</v>
      </c>
      <c r="M1159" s="1">
        <v>1.0411658152937899E-2</v>
      </c>
      <c r="N1159" s="1">
        <f>+M1159-J1159</f>
        <v>3.5581658152937901E-2</v>
      </c>
      <c r="O1159">
        <v>2.17</v>
      </c>
      <c r="P1159" t="s">
        <v>17</v>
      </c>
      <c r="Q1159">
        <v>0.01</v>
      </c>
      <c r="R1159">
        <v>4.5549372375011402E-2</v>
      </c>
      <c r="S1159">
        <v>1.52859203517437E-2</v>
      </c>
      <c r="T1159">
        <v>0.02</v>
      </c>
    </row>
    <row r="1160" spans="1:20" x14ac:dyDescent="0.3">
      <c r="A1160" t="s">
        <v>90</v>
      </c>
      <c r="B1160">
        <v>2015</v>
      </c>
      <c r="C1160">
        <v>333043.78129999997</v>
      </c>
      <c r="D1160" s="1">
        <v>2E-3</v>
      </c>
      <c r="E1160" s="1">
        <v>0.94606345891952504</v>
      </c>
      <c r="F1160" s="1">
        <v>-1.7000000000000001E-2</v>
      </c>
      <c r="G1160" s="1">
        <f t="shared" si="36"/>
        <v>1.699999999999998E-2</v>
      </c>
      <c r="H1160" s="1" t="str">
        <f t="shared" si="37"/>
        <v/>
      </c>
      <c r="I1160" s="1">
        <v>4.0000000000000001E-3</v>
      </c>
      <c r="J1160" s="1">
        <f>+D1160-F1160+I1160*O1160</f>
        <v>2.7560000000000001E-2</v>
      </c>
      <c r="K1160" s="1">
        <v>4.6549372375011402E-2</v>
      </c>
      <c r="L1160" s="1">
        <f>+K1160-J1160</f>
        <v>1.8989372375011401E-2</v>
      </c>
      <c r="M1160" s="1">
        <v>4.5549372375011402E-2</v>
      </c>
      <c r="N1160" s="1">
        <f>+M1160-J1160</f>
        <v>1.79893723750114E-2</v>
      </c>
      <c r="O1160">
        <v>2.14</v>
      </c>
      <c r="P1160" t="s">
        <v>17</v>
      </c>
      <c r="Q1160">
        <v>0.02</v>
      </c>
      <c r="R1160">
        <v>2.9011868208646801E-2</v>
      </c>
      <c r="S1160">
        <v>1.5858311206102399E-2</v>
      </c>
      <c r="T1160">
        <v>-0.01</v>
      </c>
    </row>
    <row r="1161" spans="1:20" x14ac:dyDescent="0.3">
      <c r="A1161" t="s">
        <v>90</v>
      </c>
      <c r="B1161">
        <v>2016</v>
      </c>
      <c r="C1161">
        <v>334564</v>
      </c>
      <c r="D1161" s="1">
        <v>3.0000000000000001E-3</v>
      </c>
      <c r="E1161" s="1">
        <v>0.95524430274963401</v>
      </c>
      <c r="F1161" s="1">
        <v>8.4000000000000005E-2</v>
      </c>
      <c r="G1161" s="1">
        <f t="shared" si="36"/>
        <v>0.10099999999999998</v>
      </c>
      <c r="H1161" s="1" t="str">
        <f t="shared" si="37"/>
        <v/>
      </c>
      <c r="I1161" s="1">
        <v>8.9999999999999993E-3</v>
      </c>
      <c r="J1161" s="1">
        <f>+D1161-F1161+I1161*O1161</f>
        <v>-6.0120000000000007E-2</v>
      </c>
      <c r="K1161" s="1">
        <v>4.2011868208646802E-2</v>
      </c>
      <c r="L1161" s="1">
        <f>+K1161-J1161</f>
        <v>0.10213186820864681</v>
      </c>
      <c r="M1161" s="1">
        <v>2.9011868208646801E-2</v>
      </c>
      <c r="N1161" s="1">
        <f>+M1161-J1161</f>
        <v>8.9131868208646811E-2</v>
      </c>
      <c r="O1161">
        <v>2.3199999999999998</v>
      </c>
      <c r="P1161" t="s">
        <v>15</v>
      </c>
      <c r="Q1161">
        <v>0.02</v>
      </c>
      <c r="R1161">
        <v>8.8638101667165899E-3</v>
      </c>
      <c r="S1161">
        <v>6.0742367058993002E-3</v>
      </c>
      <c r="T1161">
        <v>0.09</v>
      </c>
    </row>
    <row r="1162" spans="1:20" x14ac:dyDescent="0.3">
      <c r="A1162" t="s">
        <v>90</v>
      </c>
      <c r="B1162">
        <v>2017</v>
      </c>
      <c r="C1162">
        <v>335955.1875</v>
      </c>
      <c r="D1162" s="1">
        <v>0</v>
      </c>
      <c r="E1162" s="1">
        <v>0.95275706052780196</v>
      </c>
      <c r="F1162" s="1">
        <v>-9.0999999999999998E-2</v>
      </c>
      <c r="G1162" s="1">
        <f t="shared" si="36"/>
        <v>9.9999999999999811E-3</v>
      </c>
      <c r="H1162" s="1" t="str">
        <f t="shared" si="37"/>
        <v/>
      </c>
      <c r="I1162" s="1">
        <v>-2E-3</v>
      </c>
      <c r="J1162" s="1">
        <f>+D1162-F1162+I1162*O1162</f>
        <v>8.6779999999999996E-2</v>
      </c>
      <c r="K1162" s="1">
        <v>2.98638101667166E-2</v>
      </c>
      <c r="L1162" s="1">
        <f>+K1162-J1162</f>
        <v>-5.6916189833283393E-2</v>
      </c>
      <c r="M1162" s="1">
        <v>8.8638101667165899E-3</v>
      </c>
      <c r="N1162" s="1">
        <f>+M1162-J1162</f>
        <v>-7.7916189833283411E-2</v>
      </c>
      <c r="O1162">
        <v>2.11</v>
      </c>
      <c r="P1162" t="s">
        <v>16</v>
      </c>
      <c r="Q1162">
        <v>0.01</v>
      </c>
      <c r="R1162">
        <v>1.8879339307546601E-2</v>
      </c>
      <c r="S1162">
        <v>9.7443163394927996E-3</v>
      </c>
      <c r="T1162">
        <v>-0.09</v>
      </c>
    </row>
    <row r="1163" spans="1:20" x14ac:dyDescent="0.3">
      <c r="A1163" t="s">
        <v>90</v>
      </c>
      <c r="B1163">
        <v>2018</v>
      </c>
      <c r="C1163">
        <v>337065.71879999997</v>
      </c>
      <c r="D1163" s="1">
        <v>4.1000000000000002E-2</v>
      </c>
      <c r="E1163" s="1">
        <v>0.94905096292495705</v>
      </c>
      <c r="F1163" s="1">
        <v>-1.6E-2</v>
      </c>
      <c r="G1163" s="1">
        <f t="shared" si="36"/>
        <v>-6.0000000000000192E-3</v>
      </c>
      <c r="H1163" s="1" t="str">
        <f t="shared" si="37"/>
        <v/>
      </c>
      <c r="I1163" s="1">
        <v>-4.0000000000000001E-3</v>
      </c>
      <c r="J1163" s="1">
        <f>+D1163-F1163+I1163*O1163</f>
        <v>4.8719999999999999E-2</v>
      </c>
      <c r="K1163" s="1">
        <v>4.2879339307546602E-2</v>
      </c>
      <c r="L1163" s="1">
        <f>+K1163-J1163</f>
        <v>-5.8406606924533977E-3</v>
      </c>
      <c r="M1163" s="1">
        <v>1.8879339307546601E-2</v>
      </c>
      <c r="N1163" s="1">
        <f>+M1163-J1163</f>
        <v>-2.9840660692453398E-2</v>
      </c>
      <c r="O1163">
        <v>2.0699999999999998</v>
      </c>
      <c r="P1163" t="s">
        <v>16</v>
      </c>
      <c r="Q1163">
        <v>0.01</v>
      </c>
      <c r="R1163">
        <v>1.6286379814147899E-2</v>
      </c>
      <c r="S1163">
        <v>-1.5148147940636E-3</v>
      </c>
      <c r="T1163">
        <v>-0.01</v>
      </c>
    </row>
    <row r="1164" spans="1:20" x14ac:dyDescent="0.3">
      <c r="A1164" t="s">
        <v>90</v>
      </c>
      <c r="B1164">
        <v>2019</v>
      </c>
      <c r="C1164">
        <v>337216.09379999997</v>
      </c>
      <c r="D1164" s="1">
        <v>2.1000000000000001E-2</v>
      </c>
      <c r="E1164" s="1">
        <v>0.94499266147613503</v>
      </c>
      <c r="F1164" s="1">
        <v>1.0999999999999999E-2</v>
      </c>
      <c r="G1164" s="1">
        <f t="shared" si="36"/>
        <v>4.9999999999999802E-3</v>
      </c>
      <c r="H1164" s="1" t="str">
        <f t="shared" si="37"/>
        <v/>
      </c>
      <c r="I1164" s="1">
        <v>-4.0000000000000001E-3</v>
      </c>
      <c r="J1164" s="1">
        <f>+D1164-F1164+I1164*O1164</f>
        <v>1.6400000000000026E-3</v>
      </c>
      <c r="K1164" s="1">
        <v>3.4286379814147901E-2</v>
      </c>
      <c r="L1164" s="1">
        <f>+K1164-J1164</f>
        <v>3.2646379814147898E-2</v>
      </c>
      <c r="M1164" s="1">
        <v>1.6286379814147899E-2</v>
      </c>
      <c r="N1164" s="1">
        <f>+M1164-J1164</f>
        <v>1.4646379814147896E-2</v>
      </c>
      <c r="O1164">
        <v>2.09</v>
      </c>
      <c r="P1164" t="s">
        <v>17</v>
      </c>
      <c r="Q1164">
        <v>0</v>
      </c>
      <c r="R1164">
        <v>3.3064039528369803E-2</v>
      </c>
      <c r="S1164">
        <v>1.4214849099516799E-2</v>
      </c>
      <c r="T1164">
        <v>0.02</v>
      </c>
    </row>
    <row r="1165" spans="1:20" x14ac:dyDescent="0.3">
      <c r="A1165" t="s">
        <v>90</v>
      </c>
      <c r="B1165">
        <v>2020</v>
      </c>
      <c r="C1165">
        <v>337087.1875</v>
      </c>
      <c r="D1165" s="1">
        <v>1.7999999999999999E-2</v>
      </c>
      <c r="E1165" s="1">
        <v>0.96448397636413596</v>
      </c>
      <c r="F1165" s="1">
        <v>0.09</v>
      </c>
      <c r="G1165" s="1">
        <f t="shared" si="36"/>
        <v>9.4999999999999973E-2</v>
      </c>
      <c r="H1165" s="1" t="str">
        <f t="shared" si="37"/>
        <v/>
      </c>
      <c r="I1165" s="1">
        <v>1.9E-2</v>
      </c>
      <c r="J1165" s="1">
        <f>+D1165-F1165+I1165*O1165</f>
        <v>-2.8679999999999997E-2</v>
      </c>
      <c r="K1165" s="1">
        <v>4.5064039528369897E-2</v>
      </c>
      <c r="L1165" s="1">
        <f>+K1165-J1165</f>
        <v>7.3744039528369887E-2</v>
      </c>
      <c r="M1165" s="1">
        <v>3.3064039528369803E-2</v>
      </c>
      <c r="N1165" s="1">
        <f>+M1165-J1165</f>
        <v>6.17440395283698E-2</v>
      </c>
      <c r="O1165">
        <v>2.2799999999999998</v>
      </c>
      <c r="P1165" t="s">
        <v>15</v>
      </c>
      <c r="Q1165">
        <v>0.01</v>
      </c>
      <c r="R1165">
        <v>5.9621347367763998E-2</v>
      </c>
      <c r="S1165">
        <v>1.6031734645367099E-2</v>
      </c>
      <c r="T1165">
        <v>0.13</v>
      </c>
    </row>
    <row r="1166" spans="1:20" x14ac:dyDescent="0.3">
      <c r="A1166" t="s">
        <v>90</v>
      </c>
      <c r="B1166">
        <v>2021</v>
      </c>
      <c r="C1166">
        <v>336390.28129999997</v>
      </c>
      <c r="D1166" s="1">
        <v>7.0000000000000001E-3</v>
      </c>
      <c r="E1166" s="1">
        <v>0.9677374958992</v>
      </c>
      <c r="F1166" s="1">
        <v>-0.187</v>
      </c>
      <c r="G1166" s="1">
        <f t="shared" si="36"/>
        <v>-9.2000000000000026E-2</v>
      </c>
      <c r="H1166" s="1" t="str">
        <f t="shared" si="37"/>
        <v/>
      </c>
      <c r="I1166" s="1">
        <v>3.0000000000000001E-3</v>
      </c>
      <c r="J1166" s="1">
        <f>+D1166-F1166+I1166*O1166</f>
        <v>0.19958000000000001</v>
      </c>
      <c r="K1166" s="1">
        <v>0.10662134736776401</v>
      </c>
      <c r="L1166" s="1">
        <f>+K1166-J1166</f>
        <v>-9.2958652632236002E-2</v>
      </c>
      <c r="M1166" s="1">
        <v>5.9621347367763998E-2</v>
      </c>
      <c r="N1166" s="1">
        <f>+M1166-J1166</f>
        <v>-0.139958652632236</v>
      </c>
      <c r="O1166">
        <v>1.86</v>
      </c>
      <c r="P1166" t="s">
        <v>17</v>
      </c>
      <c r="Q1166">
        <v>0.02</v>
      </c>
      <c r="R1166">
        <v>-3.1002705842256499E-2</v>
      </c>
      <c r="S1166">
        <v>1.1008009314538E-3</v>
      </c>
      <c r="T1166">
        <v>-0.22</v>
      </c>
    </row>
    <row r="1167" spans="1:20" x14ac:dyDescent="0.3">
      <c r="A1167" t="s">
        <v>90</v>
      </c>
      <c r="B1167">
        <v>2022</v>
      </c>
      <c r="C1167">
        <v>337569.6875</v>
      </c>
      <c r="D1167" s="1">
        <v>2E-3</v>
      </c>
      <c r="E1167" s="1">
        <v>0.95291846990585305</v>
      </c>
      <c r="F1167" s="1">
        <v>3.1E-2</v>
      </c>
      <c r="G1167" s="1">
        <f t="shared" si="36"/>
        <v>-6.1000000000000026E-2</v>
      </c>
      <c r="H1167" s="1" t="str">
        <f t="shared" si="37"/>
        <v/>
      </c>
      <c r="I1167" s="1">
        <v>-1.4999999999999999E-2</v>
      </c>
      <c r="J1167" s="1">
        <f>+D1167-F1167+I1167*O1167</f>
        <v>-5.7649999999999993E-2</v>
      </c>
      <c r="K1167" s="1">
        <v>4.8997294157743503E-2</v>
      </c>
      <c r="L1167" s="1">
        <f>+K1167-J1167</f>
        <v>0.10664729415774349</v>
      </c>
      <c r="M1167" s="1">
        <v>-3.1002705842256499E-2</v>
      </c>
      <c r="N1167" s="1">
        <f>+M1167-J1167</f>
        <v>2.6647294157743494E-2</v>
      </c>
      <c r="O1167">
        <v>1.91</v>
      </c>
      <c r="P1167" t="s">
        <v>17</v>
      </c>
      <c r="Q1167">
        <v>0</v>
      </c>
      <c r="R1167">
        <v>-1.6685939192771899E-2</v>
      </c>
      <c r="S1167">
        <v>2.8729885816573902E-3</v>
      </c>
      <c r="T1167">
        <v>0.05</v>
      </c>
    </row>
    <row r="1168" spans="1:20" x14ac:dyDescent="0.3">
      <c r="A1168" t="s">
        <v>91</v>
      </c>
      <c r="B1168">
        <v>2006</v>
      </c>
      <c r="C1168">
        <v>1937386</v>
      </c>
      <c r="D1168" s="1">
        <v>1.2999999999999999E-2</v>
      </c>
      <c r="E1168" s="1">
        <v>0.91928893327713002</v>
      </c>
      <c r="F1168" s="1">
        <v>1.2999999999999999E-2</v>
      </c>
      <c r="G1168" s="1">
        <f t="shared" si="36"/>
        <v>1.2999999999999999E-2</v>
      </c>
      <c r="H1168" s="1" t="str">
        <f t="shared" si="37"/>
        <v/>
      </c>
      <c r="I1168" s="1">
        <v>1.2E-2</v>
      </c>
      <c r="J1168" s="1">
        <f>+D1168-F1168+I1168*O1168</f>
        <v>2.6280000000000001E-2</v>
      </c>
      <c r="K1168" s="1">
        <v>1.39543619006872E-2</v>
      </c>
      <c r="L1168" s="1">
        <f>+K1168-J1168</f>
        <v>-1.2325638099312801E-2</v>
      </c>
      <c r="M1168" s="1">
        <v>-1.80456380993128E-2</v>
      </c>
      <c r="N1168" s="1">
        <f>+M1168-J1168</f>
        <v>-4.4325638099312802E-2</v>
      </c>
      <c r="O1168">
        <v>2.19</v>
      </c>
      <c r="P1168" t="s">
        <v>15</v>
      </c>
      <c r="Q1168">
        <v>-0.02</v>
      </c>
      <c r="R1168">
        <v>1.6906439363955899E-3</v>
      </c>
      <c r="S1168">
        <v>2.6123998686670901E-3</v>
      </c>
      <c r="T1168">
        <v>0.01</v>
      </c>
    </row>
    <row r="1169" spans="1:20" x14ac:dyDescent="0.3">
      <c r="A1169" t="s">
        <v>91</v>
      </c>
      <c r="B1169">
        <v>2007</v>
      </c>
      <c r="C1169">
        <v>1959475</v>
      </c>
      <c r="D1169" s="1">
        <v>1.7000000000000001E-2</v>
      </c>
      <c r="E1169" s="1">
        <v>0.91575151681900002</v>
      </c>
      <c r="F1169" s="1">
        <v>-3.0000000000000001E-3</v>
      </c>
      <c r="G1169" s="1">
        <f t="shared" si="36"/>
        <v>9.9999999999999985E-3</v>
      </c>
      <c r="H1169" s="1" t="str">
        <f t="shared" si="37"/>
        <v/>
      </c>
      <c r="I1169" s="1">
        <v>-4.0000000000000001E-3</v>
      </c>
      <c r="J1169" s="1">
        <f>+D1169-F1169+I1169*O1169</f>
        <v>1.128E-2</v>
      </c>
      <c r="K1169" s="1">
        <v>3.06906439363956E-2</v>
      </c>
      <c r="L1169" s="1">
        <f>+K1169-J1169</f>
        <v>1.9410643936395598E-2</v>
      </c>
      <c r="M1169" s="1">
        <v>1.6906439363955899E-3</v>
      </c>
      <c r="N1169" s="1">
        <f>+M1169-J1169</f>
        <v>-9.5893560636044102E-3</v>
      </c>
      <c r="O1169">
        <v>2.1800000000000002</v>
      </c>
      <c r="P1169" t="s">
        <v>16</v>
      </c>
      <c r="Q1169">
        <v>0</v>
      </c>
      <c r="R1169">
        <v>-2.0879338786006001E-2</v>
      </c>
      <c r="S1169">
        <v>8.6314654909073994E-3</v>
      </c>
      <c r="T1169">
        <v>0</v>
      </c>
    </row>
    <row r="1170" spans="1:20" x14ac:dyDescent="0.3">
      <c r="A1170" t="s">
        <v>91</v>
      </c>
      <c r="B1170">
        <v>2008</v>
      </c>
      <c r="C1170">
        <v>1979209</v>
      </c>
      <c r="D1170" s="1">
        <v>1.4E-2</v>
      </c>
      <c r="E1170" s="1">
        <v>0.90899288654327404</v>
      </c>
      <c r="F1170" s="1">
        <v>-3.5999999999999997E-2</v>
      </c>
      <c r="G1170" s="1">
        <f t="shared" si="36"/>
        <v>-2.5999999999999999E-2</v>
      </c>
      <c r="H1170" s="1" t="str">
        <f t="shared" si="37"/>
        <v/>
      </c>
      <c r="I1170" s="1">
        <v>-7.0000000000000001E-3</v>
      </c>
      <c r="J1170" s="1">
        <f>+D1170-F1170+I1170*O1170</f>
        <v>3.5299999999999998E-2</v>
      </c>
      <c r="K1170" s="1">
        <v>1.7120661213993998E-2</v>
      </c>
      <c r="L1170" s="1">
        <f>+K1170-J1170</f>
        <v>-1.8179338786006E-2</v>
      </c>
      <c r="M1170" s="1">
        <v>-2.0879338786006001E-2</v>
      </c>
      <c r="N1170" s="1">
        <f>+M1170-J1170</f>
        <v>-5.6179338786005999E-2</v>
      </c>
      <c r="O1170">
        <v>2.1</v>
      </c>
      <c r="P1170" t="s">
        <v>16</v>
      </c>
      <c r="Q1170">
        <v>0.01</v>
      </c>
      <c r="R1170">
        <v>-1.3598634585738199E-2</v>
      </c>
      <c r="S1170">
        <v>1.2968067079782399E-2</v>
      </c>
      <c r="T1170">
        <v>-0.04</v>
      </c>
    </row>
    <row r="1171" spans="1:20" x14ac:dyDescent="0.3">
      <c r="A1171" t="s">
        <v>91</v>
      </c>
      <c r="B1171">
        <v>2009</v>
      </c>
      <c r="C1171">
        <v>1999744</v>
      </c>
      <c r="D1171" s="1">
        <v>8.9999999999999993E-3</v>
      </c>
      <c r="E1171" s="1">
        <v>0.90001964569091797</v>
      </c>
      <c r="F1171" s="1">
        <v>3.5000000000000003E-2</v>
      </c>
      <c r="G1171" s="1">
        <f t="shared" si="36"/>
        <v>9.0000000000000045E-3</v>
      </c>
      <c r="H1171" s="1" t="str">
        <f t="shared" si="37"/>
        <v/>
      </c>
      <c r="I1171" s="1">
        <v>-8.9999999999999993E-3</v>
      </c>
      <c r="J1171" s="1">
        <f>+D1171-F1171+I1171*O1171</f>
        <v>-4.5530000000000001E-2</v>
      </c>
      <c r="K1171" s="1">
        <v>-1.7598634585738199E-2</v>
      </c>
      <c r="L1171" s="1">
        <f>+K1171-J1171</f>
        <v>2.7931365414261802E-2</v>
      </c>
      <c r="M1171" s="1">
        <v>-1.3598634585738199E-2</v>
      </c>
      <c r="N1171" s="1">
        <f>+M1171-J1171</f>
        <v>3.1931365414261802E-2</v>
      </c>
      <c r="O1171">
        <v>2.17</v>
      </c>
      <c r="P1171" t="s">
        <v>17</v>
      </c>
      <c r="Q1171">
        <v>0.01</v>
      </c>
      <c r="R1171">
        <v>-1.1490824803709899E-2</v>
      </c>
      <c r="S1171">
        <v>-2.0307160448282901E-3</v>
      </c>
      <c r="T1171">
        <v>0.02</v>
      </c>
    </row>
    <row r="1172" spans="1:20" x14ac:dyDescent="0.3">
      <c r="A1172" t="s">
        <v>91</v>
      </c>
      <c r="B1172">
        <v>2010</v>
      </c>
      <c r="C1172">
        <v>2017674</v>
      </c>
      <c r="D1172" s="1">
        <v>7.0000000000000001E-3</v>
      </c>
      <c r="E1172" s="1">
        <v>0.90461337566375699</v>
      </c>
      <c r="F1172" s="1">
        <v>0.02</v>
      </c>
      <c r="G1172" s="1">
        <f t="shared" si="36"/>
        <v>2.9000000000000005E-2</v>
      </c>
      <c r="H1172" s="1" t="str">
        <f t="shared" si="37"/>
        <v/>
      </c>
      <c r="I1172" s="1">
        <v>5.0000000000000001E-3</v>
      </c>
      <c r="J1172" s="1">
        <f>+D1172-F1172+I1172*O1172</f>
        <v>-1.9000000000000006E-3</v>
      </c>
      <c r="K1172" s="1">
        <v>4.5091751962900196E-3</v>
      </c>
      <c r="L1172" s="1">
        <f>+K1172-J1172</f>
        <v>6.4091751962900203E-3</v>
      </c>
      <c r="M1172" s="1">
        <v>-1.1490824803709899E-2</v>
      </c>
      <c r="N1172" s="1">
        <f>+M1172-J1172</f>
        <v>-9.5908248037098985E-3</v>
      </c>
      <c r="O1172">
        <v>2.2200000000000002</v>
      </c>
      <c r="P1172" t="s">
        <v>15</v>
      </c>
      <c r="Q1172">
        <v>0</v>
      </c>
      <c r="R1172">
        <v>-2.1512911997735501E-2</v>
      </c>
      <c r="S1172">
        <v>-2.2913748398419999E-4</v>
      </c>
      <c r="T1172">
        <v>0.01</v>
      </c>
    </row>
    <row r="1173" spans="1:20" x14ac:dyDescent="0.3">
      <c r="A1173" t="s">
        <v>91</v>
      </c>
      <c r="B1173">
        <v>2011</v>
      </c>
      <c r="C1173">
        <v>2032196</v>
      </c>
      <c r="D1173" s="1">
        <v>3.0000000000000001E-3</v>
      </c>
      <c r="E1173" s="1">
        <v>0.91443651914596602</v>
      </c>
      <c r="F1173" s="1">
        <v>-8.0000000000000002E-3</v>
      </c>
      <c r="G1173" s="1">
        <f t="shared" si="36"/>
        <v>2.1000000000000005E-2</v>
      </c>
      <c r="H1173" s="1" t="str">
        <f t="shared" si="37"/>
        <v/>
      </c>
      <c r="I1173" s="1">
        <v>0.01</v>
      </c>
      <c r="J1173" s="1">
        <f>+D1173-F1173+I1173*O1173</f>
        <v>3.3000000000000002E-2</v>
      </c>
      <c r="K1173" s="1">
        <v>1.04870880022645E-2</v>
      </c>
      <c r="L1173" s="1">
        <f>+K1173-J1173</f>
        <v>-2.2512911997735502E-2</v>
      </c>
      <c r="M1173" s="1">
        <v>-2.1512911997735501E-2</v>
      </c>
      <c r="N1173" s="1">
        <f>+M1173-J1173</f>
        <v>-5.4512911997735503E-2</v>
      </c>
      <c r="O1173">
        <v>2.2000000000000002</v>
      </c>
      <c r="P1173" t="s">
        <v>17</v>
      </c>
      <c r="Q1173">
        <v>0</v>
      </c>
      <c r="R1173">
        <v>-5.4498867169022998E-3</v>
      </c>
      <c r="S1173">
        <v>-1.16806477309001E-5</v>
      </c>
      <c r="T1173">
        <v>-0.01</v>
      </c>
    </row>
    <row r="1174" spans="1:20" x14ac:dyDescent="0.3">
      <c r="A1174" t="s">
        <v>91</v>
      </c>
      <c r="B1174">
        <v>2012</v>
      </c>
      <c r="C1174">
        <v>2048427</v>
      </c>
      <c r="D1174" s="1">
        <v>6.0000000000000001E-3</v>
      </c>
      <c r="E1174" s="1">
        <v>0.92066675424575795</v>
      </c>
      <c r="F1174" s="1">
        <v>-7.0000000000000001E-3</v>
      </c>
      <c r="G1174" s="1">
        <f t="shared" si="36"/>
        <v>1.4000000000000005E-2</v>
      </c>
      <c r="H1174" s="1" t="str">
        <f t="shared" si="37"/>
        <v/>
      </c>
      <c r="I1174" s="1">
        <v>6.0000000000000001E-3</v>
      </c>
      <c r="J1174" s="1">
        <f>+D1174-F1174+I1174*O1174</f>
        <v>2.6080000000000002E-2</v>
      </c>
      <c r="K1174" s="1">
        <v>1.5550113283097701E-2</v>
      </c>
      <c r="L1174" s="1">
        <f>+K1174-J1174</f>
        <v>-1.0529886716902302E-2</v>
      </c>
      <c r="M1174" s="1">
        <v>-5.4498867169022998E-3</v>
      </c>
      <c r="N1174" s="1">
        <f>+M1174-J1174</f>
        <v>-3.1529886716902301E-2</v>
      </c>
      <c r="O1174">
        <v>2.1800000000000002</v>
      </c>
      <c r="P1174" t="s">
        <v>17</v>
      </c>
      <c r="Q1174">
        <v>0</v>
      </c>
      <c r="R1174">
        <v>6.2768670171498998E-3</v>
      </c>
      <c r="S1174">
        <v>1.5009567141530101E-4</v>
      </c>
      <c r="T1174">
        <v>-0.01</v>
      </c>
    </row>
    <row r="1175" spans="1:20" x14ac:dyDescent="0.3">
      <c r="A1175" t="s">
        <v>91</v>
      </c>
      <c r="B1175">
        <v>2013</v>
      </c>
      <c r="C1175">
        <v>2065789</v>
      </c>
      <c r="D1175" s="1">
        <v>1.4999999999999999E-2</v>
      </c>
      <c r="E1175" s="1">
        <v>0.92029309272766102</v>
      </c>
      <c r="F1175" s="1">
        <v>1.7999999999999999E-2</v>
      </c>
      <c r="G1175" s="1">
        <f t="shared" si="36"/>
        <v>3.2000000000000001E-2</v>
      </c>
      <c r="H1175" s="1" t="str">
        <f t="shared" si="37"/>
        <v/>
      </c>
      <c r="I1175" s="1">
        <v>0</v>
      </c>
      <c r="J1175" s="1">
        <f>+D1175-F1175+I1175*O1175</f>
        <v>-2.9999999999999992E-3</v>
      </c>
      <c r="K1175" s="1">
        <v>2.1276867017149901E-2</v>
      </c>
      <c r="L1175" s="1">
        <f>+K1175-J1175</f>
        <v>2.42768670171499E-2</v>
      </c>
      <c r="M1175" s="1">
        <v>6.2768670171498998E-3</v>
      </c>
      <c r="N1175" s="1">
        <f>+M1175-J1175</f>
        <v>9.276867017149899E-3</v>
      </c>
      <c r="O1175">
        <v>2.2200000000000002</v>
      </c>
      <c r="P1175" t="s">
        <v>17</v>
      </c>
      <c r="Q1175">
        <v>0</v>
      </c>
      <c r="R1175">
        <v>1.6391471177339999E-3</v>
      </c>
      <c r="S1175">
        <v>-3.6887638270850001E-4</v>
      </c>
      <c r="T1175">
        <v>0.01</v>
      </c>
    </row>
    <row r="1176" spans="1:20" x14ac:dyDescent="0.3">
      <c r="A1176" t="s">
        <v>91</v>
      </c>
      <c r="B1176">
        <v>2014</v>
      </c>
      <c r="C1176">
        <v>2084054</v>
      </c>
      <c r="D1176" s="1">
        <v>1.4E-2</v>
      </c>
      <c r="E1176" s="1">
        <v>0.92129278182983398</v>
      </c>
      <c r="F1176" s="1">
        <v>0</v>
      </c>
      <c r="G1176" s="1">
        <f t="shared" si="36"/>
        <v>3.2000000000000001E-2</v>
      </c>
      <c r="H1176" s="1" t="str">
        <f t="shared" si="37"/>
        <v/>
      </c>
      <c r="I1176" s="1">
        <v>1E-3</v>
      </c>
      <c r="J1176" s="1">
        <f>+D1176-F1176+I1176*O1176</f>
        <v>1.6220000000000002E-2</v>
      </c>
      <c r="K1176" s="1">
        <v>1.7639147117734E-2</v>
      </c>
      <c r="L1176" s="1">
        <f>+K1176-J1176</f>
        <v>1.4191471177339987E-3</v>
      </c>
      <c r="M1176" s="1">
        <v>1.6391471177339999E-3</v>
      </c>
      <c r="N1176" s="1">
        <f>+M1176-J1176</f>
        <v>-1.4580852882266002E-2</v>
      </c>
      <c r="O1176">
        <v>2.2200000000000002</v>
      </c>
      <c r="P1176" t="s">
        <v>17</v>
      </c>
      <c r="Q1176">
        <v>0</v>
      </c>
      <c r="R1176">
        <v>3.0520817428827299E-2</v>
      </c>
      <c r="S1176">
        <v>2.5736540555960197E-4</v>
      </c>
      <c r="T1176">
        <v>0</v>
      </c>
    </row>
    <row r="1177" spans="1:20" x14ac:dyDescent="0.3">
      <c r="A1177" t="s">
        <v>91</v>
      </c>
      <c r="B1177">
        <v>2015</v>
      </c>
      <c r="C1177">
        <v>2104093</v>
      </c>
      <c r="D1177" s="1">
        <v>3.1E-2</v>
      </c>
      <c r="E1177" s="1">
        <v>0.916293084621429</v>
      </c>
      <c r="F1177" s="1">
        <v>1E-3</v>
      </c>
      <c r="G1177" s="1">
        <f t="shared" si="36"/>
        <v>3.3000000000000002E-2</v>
      </c>
      <c r="H1177" s="1" t="str">
        <f t="shared" si="37"/>
        <v/>
      </c>
      <c r="I1177" s="1">
        <v>-5.0000000000000001E-3</v>
      </c>
      <c r="J1177" s="1">
        <f>+D1177-F1177+I1177*O1177</f>
        <v>1.89E-2</v>
      </c>
      <c r="K1177" s="1">
        <v>3.15208174288273E-2</v>
      </c>
      <c r="L1177" s="1">
        <f>+K1177-J1177</f>
        <v>1.26208174288273E-2</v>
      </c>
      <c r="M1177" s="1">
        <v>3.0520817428827299E-2</v>
      </c>
      <c r="N1177" s="1">
        <f>+M1177-J1177</f>
        <v>1.1620817428827299E-2</v>
      </c>
      <c r="O1177">
        <v>2.2200000000000002</v>
      </c>
      <c r="P1177" t="s">
        <v>17</v>
      </c>
      <c r="Q1177">
        <v>0</v>
      </c>
      <c r="R1177">
        <v>1.66333841979504E-2</v>
      </c>
      <c r="S1177">
        <v>3.479827195406E-3</v>
      </c>
      <c r="T1177">
        <v>0.01</v>
      </c>
    </row>
    <row r="1178" spans="1:20" x14ac:dyDescent="0.3">
      <c r="A1178" t="s">
        <v>91</v>
      </c>
      <c r="B1178">
        <v>2016</v>
      </c>
      <c r="C1178">
        <v>2127481</v>
      </c>
      <c r="D1178" s="1">
        <v>2.4E-2</v>
      </c>
      <c r="E1178" s="1">
        <v>0.91245961189269997</v>
      </c>
      <c r="F1178" s="1">
        <v>-0.01</v>
      </c>
      <c r="G1178" s="1">
        <f t="shared" si="36"/>
        <v>2.3E-2</v>
      </c>
      <c r="H1178" s="1" t="str">
        <f t="shared" si="37"/>
        <v/>
      </c>
      <c r="I1178" s="1">
        <v>-4.0000000000000001E-3</v>
      </c>
      <c r="J1178" s="1">
        <f>+D1178-F1178+I1178*O1178</f>
        <v>2.52E-2</v>
      </c>
      <c r="K1178" s="1">
        <v>2.9633384197950401E-2</v>
      </c>
      <c r="L1178" s="1">
        <f>+K1178-J1178</f>
        <v>4.4333841979504011E-3</v>
      </c>
      <c r="M1178" s="1">
        <v>1.66333841979504E-2</v>
      </c>
      <c r="N1178" s="1">
        <f>+M1178-J1178</f>
        <v>-8.5666158020496E-3</v>
      </c>
      <c r="O1178">
        <v>2.2000000000000002</v>
      </c>
      <c r="P1178" t="s">
        <v>16</v>
      </c>
      <c r="Q1178">
        <v>0</v>
      </c>
      <c r="R1178">
        <v>-4.3906888961791997E-3</v>
      </c>
      <c r="S1178">
        <v>-7.1802623569964903E-3</v>
      </c>
      <c r="T1178">
        <v>-0.01</v>
      </c>
    </row>
    <row r="1179" spans="1:20" x14ac:dyDescent="0.3">
      <c r="A1179" t="s">
        <v>91</v>
      </c>
      <c r="B1179">
        <v>2017</v>
      </c>
      <c r="C1179">
        <v>2149511</v>
      </c>
      <c r="D1179" s="1">
        <v>3.2000000000000001E-2</v>
      </c>
      <c r="E1179" s="1">
        <v>0.91645574569702104</v>
      </c>
      <c r="F1179" s="1">
        <v>-1.6E-2</v>
      </c>
      <c r="G1179" s="1">
        <f t="shared" si="36"/>
        <v>6.9999999999999993E-3</v>
      </c>
      <c r="H1179" s="1" t="str">
        <f t="shared" si="37"/>
        <v/>
      </c>
      <c r="I1179" s="1">
        <v>4.0000000000000001E-3</v>
      </c>
      <c r="J1179" s="1">
        <f>+D1179-F1179+I1179*O1179</f>
        <v>5.6640000000000003E-2</v>
      </c>
      <c r="K1179" s="1">
        <v>1.6609311103820801E-2</v>
      </c>
      <c r="L1179" s="1">
        <f>+K1179-J1179</f>
        <v>-4.0030688896179202E-2</v>
      </c>
      <c r="M1179" s="1">
        <v>-4.3906888961791997E-3</v>
      </c>
      <c r="N1179" s="1">
        <f>+M1179-J1179</f>
        <v>-6.10306888961792E-2</v>
      </c>
      <c r="O1179">
        <v>2.16</v>
      </c>
      <c r="P1179" t="s">
        <v>17</v>
      </c>
      <c r="Q1179">
        <v>-0.01</v>
      </c>
      <c r="R1179">
        <v>4.0055832266809902E-4</v>
      </c>
      <c r="S1179">
        <v>-8.7344646453856901E-3</v>
      </c>
      <c r="T1179">
        <v>-0.01</v>
      </c>
    </row>
    <row r="1180" spans="1:20" x14ac:dyDescent="0.3">
      <c r="A1180" t="s">
        <v>91</v>
      </c>
      <c r="B1180">
        <v>2018</v>
      </c>
      <c r="C1180">
        <v>2168662</v>
      </c>
      <c r="D1180" s="1">
        <v>2.4E-2</v>
      </c>
      <c r="E1180" s="1">
        <v>0.91757708787918102</v>
      </c>
      <c r="F1180" s="1">
        <v>1.2999999999999999E-2</v>
      </c>
      <c r="G1180" s="1">
        <f t="shared" si="36"/>
        <v>1.9999999999999997E-2</v>
      </c>
      <c r="H1180" s="1" t="str">
        <f t="shared" si="37"/>
        <v/>
      </c>
      <c r="I1180" s="1">
        <v>1E-3</v>
      </c>
      <c r="J1180" s="1">
        <f>+D1180-F1180+I1180*O1180</f>
        <v>1.319E-2</v>
      </c>
      <c r="K1180" s="1">
        <v>2.44005583226681E-2</v>
      </c>
      <c r="L1180" s="1">
        <f>+K1180-J1180</f>
        <v>1.12105583226681E-2</v>
      </c>
      <c r="M1180" s="1">
        <v>4.0055832266809902E-4</v>
      </c>
      <c r="N1180" s="1">
        <f>+M1180-J1180</f>
        <v>-1.2789441677331901E-2</v>
      </c>
      <c r="O1180">
        <v>2.19</v>
      </c>
      <c r="P1180" t="s">
        <v>15</v>
      </c>
      <c r="Q1180">
        <v>-0.01</v>
      </c>
      <c r="R1180">
        <v>1.8121789366006901E-2</v>
      </c>
      <c r="S1180">
        <v>3.2059475779539599E-4</v>
      </c>
      <c r="T1180">
        <v>0.02</v>
      </c>
    </row>
    <row r="1181" spans="1:20" x14ac:dyDescent="0.3">
      <c r="A1181" t="s">
        <v>91</v>
      </c>
      <c r="B1181">
        <v>2019</v>
      </c>
      <c r="C1181">
        <v>2184463</v>
      </c>
      <c r="D1181" s="1">
        <v>1.4999999999999999E-2</v>
      </c>
      <c r="E1181" s="1">
        <v>0.92251068353652999</v>
      </c>
      <c r="F1181" s="1">
        <v>-8.0000000000000002E-3</v>
      </c>
      <c r="G1181" s="1">
        <f t="shared" si="36"/>
        <v>1.1999999999999997E-2</v>
      </c>
      <c r="H1181" s="1" t="str">
        <f t="shared" si="37"/>
        <v/>
      </c>
      <c r="I1181" s="1">
        <v>5.0000000000000001E-3</v>
      </c>
      <c r="J1181" s="1">
        <f>+D1181-F1181+I1181*O1181</f>
        <v>3.3849999999999998E-2</v>
      </c>
      <c r="K1181" s="1">
        <v>3.61217893660069E-2</v>
      </c>
      <c r="L1181" s="1">
        <f>+K1181-J1181</f>
        <v>2.2717893660069016E-3</v>
      </c>
      <c r="M1181" s="1">
        <v>1.8121789366006901E-2</v>
      </c>
      <c r="N1181" s="1">
        <f>+M1181-J1181</f>
        <v>-1.5728210633993097E-2</v>
      </c>
      <c r="O1181">
        <v>2.17</v>
      </c>
      <c r="P1181" t="s">
        <v>17</v>
      </c>
      <c r="Q1181">
        <v>0</v>
      </c>
      <c r="R1181">
        <v>9.7921510338782897E-3</v>
      </c>
      <c r="S1181">
        <v>-9.0570393949746999E-3</v>
      </c>
      <c r="T1181">
        <v>0</v>
      </c>
    </row>
    <row r="1182" spans="1:20" x14ac:dyDescent="0.3">
      <c r="A1182" t="s">
        <v>91</v>
      </c>
      <c r="B1182">
        <v>2020</v>
      </c>
      <c r="C1182">
        <v>2197301</v>
      </c>
      <c r="D1182" s="1">
        <v>3.7999999999999999E-2</v>
      </c>
      <c r="E1182" s="1">
        <v>0.90880727767944303</v>
      </c>
      <c r="F1182" s="1">
        <v>-6.2E-2</v>
      </c>
      <c r="G1182" s="1">
        <f t="shared" si="36"/>
        <v>-0.05</v>
      </c>
      <c r="H1182" s="1" t="str">
        <f t="shared" si="37"/>
        <v/>
      </c>
      <c r="I1182" s="1">
        <v>-1.4E-2</v>
      </c>
      <c r="J1182" s="1">
        <f>+D1182-F1182+I1182*O1182</f>
        <v>7.1440000000000003E-2</v>
      </c>
      <c r="K1182" s="1">
        <v>2.1792151033878299E-2</v>
      </c>
      <c r="L1182" s="1">
        <f>+K1182-J1182</f>
        <v>-4.9647848966121705E-2</v>
      </c>
      <c r="M1182" s="1">
        <v>9.7921510338782897E-3</v>
      </c>
      <c r="N1182" s="1">
        <f>+M1182-J1182</f>
        <v>-6.1647848966121715E-2</v>
      </c>
      <c r="O1182">
        <v>2.04</v>
      </c>
      <c r="P1182" t="s">
        <v>16</v>
      </c>
      <c r="Q1182">
        <v>-0.01</v>
      </c>
      <c r="R1182">
        <v>2.5074972093105299E-2</v>
      </c>
      <c r="S1182">
        <v>-1.85146406292916E-2</v>
      </c>
      <c r="T1182">
        <v>-0.02</v>
      </c>
    </row>
    <row r="1183" spans="1:20" x14ac:dyDescent="0.3">
      <c r="A1183" t="s">
        <v>91</v>
      </c>
      <c r="B1183">
        <v>2021</v>
      </c>
      <c r="C1183">
        <v>2204588</v>
      </c>
      <c r="D1183" s="1">
        <v>2.9000000000000001E-2</v>
      </c>
      <c r="E1183" s="1">
        <v>0.92864751815795898</v>
      </c>
      <c r="F1183" s="1">
        <v>4.1000000000000002E-2</v>
      </c>
      <c r="G1183" s="1">
        <f t="shared" si="36"/>
        <v>-9.0000000000000011E-3</v>
      </c>
      <c r="H1183" s="1" t="str">
        <f t="shared" si="37"/>
        <v/>
      </c>
      <c r="I1183" s="1">
        <v>0.02</v>
      </c>
      <c r="J1183" s="1">
        <f>+D1183-F1183+I1183*O1183</f>
        <v>3.04E-2</v>
      </c>
      <c r="K1183" s="1">
        <v>7.2074972093105302E-2</v>
      </c>
      <c r="L1183" s="1">
        <f>+K1183-J1183</f>
        <v>4.1674972093105306E-2</v>
      </c>
      <c r="M1183" s="1">
        <v>2.5074972093105299E-2</v>
      </c>
      <c r="N1183" s="1">
        <f>+M1183-J1183</f>
        <v>-5.3250279068947012E-3</v>
      </c>
      <c r="O1183">
        <v>2.12</v>
      </c>
      <c r="P1183" t="s">
        <v>15</v>
      </c>
      <c r="Q1183">
        <v>-0.02</v>
      </c>
      <c r="R1183">
        <v>-2.14767362177372E-2</v>
      </c>
      <c r="S1183">
        <v>1.06267705559731E-2</v>
      </c>
      <c r="T1183">
        <v>0.01</v>
      </c>
    </row>
    <row r="1184" spans="1:20" x14ac:dyDescent="0.3">
      <c r="A1184" t="s">
        <v>91</v>
      </c>
      <c r="B1184">
        <v>2022</v>
      </c>
      <c r="C1184">
        <v>2213883</v>
      </c>
      <c r="D1184" s="1">
        <v>2.7E-2</v>
      </c>
      <c r="E1184" s="1">
        <v>0.92542815208435103</v>
      </c>
      <c r="F1184" s="1">
        <v>-0.05</v>
      </c>
      <c r="G1184" s="1">
        <f t="shared" si="36"/>
        <v>-5.9000000000000004E-2</v>
      </c>
      <c r="H1184" s="1" t="str">
        <f t="shared" si="37"/>
        <v/>
      </c>
      <c r="I1184" s="1">
        <v>-3.0000000000000001E-3</v>
      </c>
      <c r="J1184" s="1">
        <f>+D1184-F1184+I1184*O1184</f>
        <v>7.0940000000000003E-2</v>
      </c>
      <c r="K1184" s="1">
        <v>5.8523263782262802E-2</v>
      </c>
      <c r="L1184" s="1">
        <f>+K1184-J1184</f>
        <v>-1.2416736217737201E-2</v>
      </c>
      <c r="M1184" s="1">
        <v>-2.14767362177372E-2</v>
      </c>
      <c r="N1184" s="1">
        <f>+M1184-J1184</f>
        <v>-9.2416736217737203E-2</v>
      </c>
      <c r="O1184">
        <v>2.02</v>
      </c>
      <c r="P1184" t="s">
        <v>16</v>
      </c>
      <c r="Q1184">
        <v>0.01</v>
      </c>
      <c r="R1184">
        <v>-1.30659274607897E-2</v>
      </c>
      <c r="S1184">
        <v>6.4930003136395896E-3</v>
      </c>
      <c r="T1184">
        <v>-0.03</v>
      </c>
    </row>
    <row r="1185" spans="1:20" x14ac:dyDescent="0.3">
      <c r="A1185" t="s">
        <v>92</v>
      </c>
      <c r="B1185">
        <v>2006</v>
      </c>
      <c r="C1185">
        <v>225412.79689999999</v>
      </c>
      <c r="D1185" s="1">
        <v>5.5E-2</v>
      </c>
      <c r="E1185" s="1">
        <v>0.91421002149581898</v>
      </c>
      <c r="F1185" s="1">
        <v>-2.8000000000000001E-2</v>
      </c>
      <c r="G1185" s="1">
        <f t="shared" si="36"/>
        <v>-2.8000000000000001E-2</v>
      </c>
      <c r="H1185" s="1" t="str">
        <f t="shared" si="37"/>
        <v/>
      </c>
      <c r="I1185" s="1">
        <v>6.0000000000000001E-3</v>
      </c>
      <c r="J1185" s="1">
        <f>+D1185-F1185+I1185*O1185</f>
        <v>9.8180000000000003E-2</v>
      </c>
      <c r="K1185" s="1">
        <v>5.1184948533773401E-2</v>
      </c>
      <c r="L1185" s="1">
        <f>+K1185-J1185</f>
        <v>-4.6995051466226602E-2</v>
      </c>
      <c r="M1185" s="1">
        <v>1.9184948533773401E-2</v>
      </c>
      <c r="N1185" s="1">
        <f>+M1185-J1185</f>
        <v>-7.8995051466226596E-2</v>
      </c>
      <c r="O1185">
        <v>2.5299999999999998</v>
      </c>
      <c r="P1185" t="s">
        <v>17</v>
      </c>
      <c r="Q1185">
        <v>0.01</v>
      </c>
      <c r="R1185">
        <v>2.2030691713094599E-2</v>
      </c>
      <c r="S1185">
        <v>2.2952447645366199E-2</v>
      </c>
      <c r="T1185">
        <v>-0.03</v>
      </c>
    </row>
    <row r="1186" spans="1:20" x14ac:dyDescent="0.3">
      <c r="A1186" t="s">
        <v>92</v>
      </c>
      <c r="B1186">
        <v>2007</v>
      </c>
      <c r="C1186">
        <v>231276.70310000001</v>
      </c>
      <c r="D1186" s="1">
        <v>0</v>
      </c>
      <c r="E1186" s="1">
        <v>0.92583620548248302</v>
      </c>
      <c r="F1186" s="1">
        <v>-6.0999999999999999E-2</v>
      </c>
      <c r="G1186" s="1">
        <f t="shared" si="36"/>
        <v>-8.8999999999999996E-2</v>
      </c>
      <c r="H1186" s="1" t="str">
        <f t="shared" si="37"/>
        <v/>
      </c>
      <c r="I1186" s="1">
        <v>1.2E-2</v>
      </c>
      <c r="J1186" s="1">
        <f>+D1186-F1186+I1186*O1186</f>
        <v>8.9440000000000006E-2</v>
      </c>
      <c r="K1186" s="1">
        <v>5.1030691713094697E-2</v>
      </c>
      <c r="L1186" s="1">
        <f>+K1186-J1186</f>
        <v>-3.8409308286905308E-2</v>
      </c>
      <c r="M1186" s="1">
        <v>2.2030691713094599E-2</v>
      </c>
      <c r="N1186" s="1">
        <f>+M1186-J1186</f>
        <v>-6.7409308286905403E-2</v>
      </c>
      <c r="O1186">
        <v>2.37</v>
      </c>
      <c r="P1186" t="s">
        <v>17</v>
      </c>
      <c r="Q1186">
        <v>0.02</v>
      </c>
      <c r="R1186">
        <v>-2.2837410971522299E-2</v>
      </c>
      <c r="S1186">
        <v>6.6733933053911001E-3</v>
      </c>
      <c r="T1186">
        <v>-0.06</v>
      </c>
    </row>
    <row r="1187" spans="1:20" x14ac:dyDescent="0.3">
      <c r="A1187" t="s">
        <v>92</v>
      </c>
      <c r="B1187">
        <v>2008</v>
      </c>
      <c r="C1187">
        <v>239421.20310000001</v>
      </c>
      <c r="D1187" s="1">
        <v>0</v>
      </c>
      <c r="E1187" s="1">
        <v>0.92420172691345204</v>
      </c>
      <c r="F1187" s="1">
        <v>0.16300000000000001</v>
      </c>
      <c r="G1187" s="1">
        <f t="shared" si="36"/>
        <v>7.400000000000001E-2</v>
      </c>
      <c r="H1187" s="1" t="str">
        <f t="shared" si="37"/>
        <v/>
      </c>
      <c r="I1187" s="1">
        <v>-2E-3</v>
      </c>
      <c r="J1187" s="1">
        <f>+D1187-F1187+I1187*O1187</f>
        <v>-0.16852</v>
      </c>
      <c r="K1187" s="1">
        <v>1.51625890284777E-2</v>
      </c>
      <c r="L1187" s="1">
        <f>+K1187-J1187</f>
        <v>0.1836825890284777</v>
      </c>
      <c r="M1187" s="1">
        <v>-2.2837410971522299E-2</v>
      </c>
      <c r="N1187" s="1">
        <f>+M1187-J1187</f>
        <v>0.14568258902847769</v>
      </c>
      <c r="O1187">
        <v>2.76</v>
      </c>
      <c r="P1187" t="s">
        <v>17</v>
      </c>
      <c r="Q1187">
        <v>0.01</v>
      </c>
      <c r="R1187">
        <v>-4.3088269144296601E-2</v>
      </c>
      <c r="S1187">
        <v>-1.6521567478775898E-2</v>
      </c>
      <c r="T1187">
        <v>0.16</v>
      </c>
    </row>
    <row r="1188" spans="1:20" x14ac:dyDescent="0.3">
      <c r="A1188" t="s">
        <v>92</v>
      </c>
      <c r="B1188">
        <v>2009</v>
      </c>
      <c r="C1188">
        <v>248107.79689999999</v>
      </c>
      <c r="D1188" s="1">
        <v>0</v>
      </c>
      <c r="E1188" s="1">
        <v>0.92263370752334595</v>
      </c>
      <c r="F1188" s="1">
        <v>-9.2999999999999999E-2</v>
      </c>
      <c r="G1188" s="1">
        <f t="shared" si="36"/>
        <v>-1.8999999999999989E-2</v>
      </c>
      <c r="H1188" s="1" t="str">
        <f t="shared" si="37"/>
        <v/>
      </c>
      <c r="I1188" s="1">
        <v>-2E-3</v>
      </c>
      <c r="J1188" s="1">
        <f>+D1188-F1188+I1188*O1188</f>
        <v>8.7999999999999995E-2</v>
      </c>
      <c r="K1188" s="1">
        <v>-4.7088269144296598E-2</v>
      </c>
      <c r="L1188" s="1">
        <f>+K1188-J1188</f>
        <v>-0.13508826914429659</v>
      </c>
      <c r="M1188" s="1">
        <v>-4.3088269144296601E-2</v>
      </c>
      <c r="N1188" s="1">
        <f>+M1188-J1188</f>
        <v>-0.13108826914429661</v>
      </c>
      <c r="O1188">
        <v>2.5</v>
      </c>
      <c r="P1188" t="s">
        <v>16</v>
      </c>
      <c r="Q1188">
        <v>-0.02</v>
      </c>
      <c r="R1188">
        <v>-6.5770762413739996E-4</v>
      </c>
      <c r="S1188">
        <v>8.8024011347442796E-3</v>
      </c>
      <c r="T1188">
        <v>-0.11</v>
      </c>
    </row>
    <row r="1189" spans="1:20" x14ac:dyDescent="0.3">
      <c r="A1189" t="s">
        <v>92</v>
      </c>
      <c r="B1189">
        <v>2010</v>
      </c>
      <c r="C1189">
        <v>257589.39060000001</v>
      </c>
      <c r="D1189" s="1">
        <v>0</v>
      </c>
      <c r="E1189" s="1">
        <v>0.92763042449951205</v>
      </c>
      <c r="F1189" s="1">
        <v>3.4000000000000002E-2</v>
      </c>
      <c r="G1189" s="1">
        <f t="shared" si="36"/>
        <v>1.5000000000000013E-2</v>
      </c>
      <c r="H1189" s="1" t="str">
        <f t="shared" si="37"/>
        <v/>
      </c>
      <c r="I1189" s="1">
        <v>5.0000000000000001E-3</v>
      </c>
      <c r="J1189" s="1">
        <f>+D1189-F1189+I1189*O1189</f>
        <v>-2.1050000000000003E-2</v>
      </c>
      <c r="K1189" s="1">
        <v>1.53422923758626E-2</v>
      </c>
      <c r="L1189" s="1">
        <f>+K1189-J1189</f>
        <v>3.6392292375862605E-2</v>
      </c>
      <c r="M1189" s="1">
        <v>-6.5770762413739996E-4</v>
      </c>
      <c r="N1189" s="1">
        <f>+M1189-J1189</f>
        <v>2.0392292375862604E-2</v>
      </c>
      <c r="O1189">
        <v>2.59</v>
      </c>
      <c r="P1189" t="s">
        <v>15</v>
      </c>
      <c r="Q1189">
        <v>0.01</v>
      </c>
      <c r="R1189">
        <v>-2.77943311892449E-2</v>
      </c>
      <c r="S1189">
        <v>-6.5105566754936799E-3</v>
      </c>
      <c r="T1189">
        <v>0.03</v>
      </c>
    </row>
    <row r="1190" spans="1:20" x14ac:dyDescent="0.3">
      <c r="A1190" t="s">
        <v>93</v>
      </c>
      <c r="B1190">
        <v>2006</v>
      </c>
      <c r="C1190">
        <v>369275.21879999997</v>
      </c>
      <c r="D1190" s="1">
        <v>1.2999999999999999E-2</v>
      </c>
      <c r="E1190" s="1">
        <v>0.93831896781921398</v>
      </c>
      <c r="F1190" s="1">
        <v>-3.4000000000000002E-2</v>
      </c>
      <c r="G1190" s="1">
        <f t="shared" si="36"/>
        <v>-3.4000000000000002E-2</v>
      </c>
      <c r="H1190" s="1" t="str">
        <f t="shared" si="37"/>
        <v/>
      </c>
      <c r="I1190" s="1">
        <v>5.0000000000000001E-3</v>
      </c>
      <c r="J1190" s="1">
        <f>+D1190-F1190+I1190*O1190</f>
        <v>5.9650000000000002E-2</v>
      </c>
      <c r="K1190" s="1">
        <v>3.9150681346654899E-2</v>
      </c>
      <c r="L1190" s="1">
        <f>+K1190-J1190</f>
        <v>-2.0499318653345103E-2</v>
      </c>
      <c r="M1190" s="1">
        <v>7.1506813466548896E-3</v>
      </c>
      <c r="N1190" s="1">
        <f>+M1190-J1190</f>
        <v>-5.249931865334511E-2</v>
      </c>
      <c r="O1190">
        <v>2.5299999999999998</v>
      </c>
      <c r="P1190" t="s">
        <v>17</v>
      </c>
      <c r="Q1190">
        <v>0</v>
      </c>
      <c r="R1190">
        <v>6.3417992591857904E-3</v>
      </c>
      <c r="S1190">
        <v>7.2635551914572898E-3</v>
      </c>
      <c r="T1190">
        <v>-0.04</v>
      </c>
    </row>
    <row r="1191" spans="1:20" x14ac:dyDescent="0.3">
      <c r="A1191" t="s">
        <v>93</v>
      </c>
      <c r="B1191">
        <v>2007</v>
      </c>
      <c r="C1191">
        <v>383659.6875</v>
      </c>
      <c r="D1191" s="1">
        <v>4.1000000000000002E-2</v>
      </c>
      <c r="E1191" s="1">
        <v>0.93072146177291903</v>
      </c>
      <c r="F1191" s="1">
        <v>-1E-3</v>
      </c>
      <c r="G1191" s="1">
        <f t="shared" si="36"/>
        <v>-3.5000000000000003E-2</v>
      </c>
      <c r="H1191" s="1" t="str">
        <f t="shared" si="37"/>
        <v/>
      </c>
      <c r="I1191" s="1">
        <v>-8.0000000000000002E-3</v>
      </c>
      <c r="J1191" s="1">
        <f>+D1191-F1191+I1191*O1191</f>
        <v>2.1760000000000005E-2</v>
      </c>
      <c r="K1191" s="1">
        <v>3.5341799259185798E-2</v>
      </c>
      <c r="L1191" s="1">
        <f>+K1191-J1191</f>
        <v>1.3581799259185793E-2</v>
      </c>
      <c r="M1191" s="1">
        <v>6.3417992591857904E-3</v>
      </c>
      <c r="N1191" s="1">
        <f>+M1191-J1191</f>
        <v>-1.5418200740814215E-2</v>
      </c>
      <c r="O1191">
        <v>2.5299999999999998</v>
      </c>
      <c r="P1191" t="s">
        <v>16</v>
      </c>
      <c r="Q1191">
        <v>0.01</v>
      </c>
      <c r="R1191">
        <v>-2.23972362577914E-2</v>
      </c>
      <c r="S1191">
        <v>7.1135680191219E-3</v>
      </c>
      <c r="T1191">
        <v>0</v>
      </c>
    </row>
    <row r="1192" spans="1:20" x14ac:dyDescent="0.3">
      <c r="A1192" t="s">
        <v>93</v>
      </c>
      <c r="B1192">
        <v>2008</v>
      </c>
      <c r="C1192">
        <v>393038.21879999997</v>
      </c>
      <c r="D1192" s="1">
        <v>3.0000000000000001E-3</v>
      </c>
      <c r="E1192" s="1">
        <v>0.92491751909256004</v>
      </c>
      <c r="F1192" s="1">
        <v>4.9000000000000002E-2</v>
      </c>
      <c r="G1192" s="1">
        <f t="shared" si="36"/>
        <v>1.3999999999999999E-2</v>
      </c>
      <c r="H1192" s="1" t="str">
        <f t="shared" si="37"/>
        <v/>
      </c>
      <c r="I1192" s="1">
        <v>-6.0000000000000001E-3</v>
      </c>
      <c r="J1192" s="1">
        <f>+D1192-F1192+I1192*O1192</f>
        <v>-6.1899999999999997E-2</v>
      </c>
      <c r="K1192" s="1">
        <v>1.56027637422085E-2</v>
      </c>
      <c r="L1192" s="1">
        <f>+K1192-J1192</f>
        <v>7.7502763742208491E-2</v>
      </c>
      <c r="M1192" s="1">
        <v>-2.23972362577914E-2</v>
      </c>
      <c r="N1192" s="1">
        <f>+M1192-J1192</f>
        <v>3.9502763742208596E-2</v>
      </c>
      <c r="O1192">
        <v>2.65</v>
      </c>
      <c r="P1192" t="s">
        <v>17</v>
      </c>
      <c r="Q1192">
        <v>0.01</v>
      </c>
      <c r="R1192">
        <v>-2.71041511595249E-2</v>
      </c>
      <c r="S1192">
        <v>-5.3744949400424903E-4</v>
      </c>
      <c r="T1192">
        <v>0.05</v>
      </c>
    </row>
    <row r="1193" spans="1:20" x14ac:dyDescent="0.3">
      <c r="A1193" t="s">
        <v>93</v>
      </c>
      <c r="B1193">
        <v>2009</v>
      </c>
      <c r="C1193">
        <v>398684.90629999997</v>
      </c>
      <c r="D1193" s="1">
        <v>2.4E-2</v>
      </c>
      <c r="E1193" s="1">
        <v>0.92097574472427401</v>
      </c>
      <c r="F1193" s="1">
        <v>-1.2E-2</v>
      </c>
      <c r="G1193" s="1">
        <f t="shared" si="36"/>
        <v>1.9999999999999983E-3</v>
      </c>
      <c r="H1193" s="1" t="str">
        <f t="shared" si="37"/>
        <v/>
      </c>
      <c r="I1193" s="1">
        <v>-4.0000000000000001E-3</v>
      </c>
      <c r="J1193" s="1">
        <f>+D1193-F1193+I1193*O1193</f>
        <v>2.5520000000000001E-2</v>
      </c>
      <c r="K1193" s="1">
        <v>-3.11041511595249E-2</v>
      </c>
      <c r="L1193" s="1">
        <f>+K1193-J1193</f>
        <v>-5.6624151159524905E-2</v>
      </c>
      <c r="M1193" s="1">
        <v>-2.71041511595249E-2</v>
      </c>
      <c r="N1193" s="1">
        <f>+M1193-J1193</f>
        <v>-5.2624151159524901E-2</v>
      </c>
      <c r="O1193">
        <v>2.62</v>
      </c>
      <c r="P1193" t="s">
        <v>16</v>
      </c>
      <c r="Q1193">
        <v>0</v>
      </c>
      <c r="R1193">
        <v>-1.3981579508632399E-2</v>
      </c>
      <c r="S1193">
        <v>-4.5214707497507299E-3</v>
      </c>
      <c r="T1193">
        <v>-0.03</v>
      </c>
    </row>
    <row r="1194" spans="1:20" x14ac:dyDescent="0.3">
      <c r="A1194" t="s">
        <v>93</v>
      </c>
      <c r="B1194">
        <v>2010</v>
      </c>
      <c r="C1194">
        <v>409787.8125</v>
      </c>
      <c r="D1194" s="1">
        <v>0</v>
      </c>
      <c r="E1194" s="1">
        <v>0.91373658180236805</v>
      </c>
      <c r="F1194" s="1">
        <v>-3.5000000000000003E-2</v>
      </c>
      <c r="G1194" s="1">
        <f t="shared" si="36"/>
        <v>-3.3000000000000002E-2</v>
      </c>
      <c r="H1194" s="1" t="str">
        <f t="shared" si="37"/>
        <v/>
      </c>
      <c r="I1194" s="1">
        <v>-7.0000000000000001E-3</v>
      </c>
      <c r="J1194" s="1">
        <f>+D1194-F1194+I1194*O1194</f>
        <v>1.7290000000000003E-2</v>
      </c>
      <c r="K1194" s="1">
        <v>2.0184204913675798E-3</v>
      </c>
      <c r="L1194" s="1">
        <f>+K1194-J1194</f>
        <v>-1.5271579508632423E-2</v>
      </c>
      <c r="M1194" s="1">
        <v>-1.3981579508632399E-2</v>
      </c>
      <c r="N1194" s="1">
        <f>+M1194-J1194</f>
        <v>-3.1271579508632401E-2</v>
      </c>
      <c r="O1194">
        <v>2.5299999999999998</v>
      </c>
      <c r="P1194" t="s">
        <v>16</v>
      </c>
      <c r="Q1194">
        <v>0</v>
      </c>
      <c r="R1194">
        <v>-2.37745292186737E-2</v>
      </c>
      <c r="S1194">
        <v>-2.4907547049224099E-3</v>
      </c>
      <c r="T1194">
        <v>-0.04</v>
      </c>
    </row>
    <row r="1195" spans="1:20" x14ac:dyDescent="0.3">
      <c r="A1195" t="s">
        <v>94</v>
      </c>
      <c r="B1195">
        <v>2006</v>
      </c>
      <c r="C1195">
        <v>807719.5</v>
      </c>
      <c r="D1195" s="1">
        <v>7.0000000000000001E-3</v>
      </c>
      <c r="E1195" s="1">
        <v>0.92708951234817505</v>
      </c>
      <c r="F1195" s="1">
        <v>-2.4E-2</v>
      </c>
      <c r="G1195" s="1">
        <f t="shared" si="36"/>
        <v>-2.4E-2</v>
      </c>
      <c r="H1195" s="1" t="str">
        <f t="shared" si="37"/>
        <v/>
      </c>
      <c r="I1195" s="1">
        <v>-2E-3</v>
      </c>
      <c r="J1195" s="1">
        <f>+D1195-F1195+I1195*O1195</f>
        <v>2.6799999999999997E-2</v>
      </c>
      <c r="K1195" s="1">
        <v>6.3670679926872295E-2</v>
      </c>
      <c r="L1195" s="1">
        <f>+K1195-J1195</f>
        <v>3.6870679926872298E-2</v>
      </c>
      <c r="M1195" s="1">
        <v>3.1670679926872197E-2</v>
      </c>
      <c r="N1195" s="1">
        <f>+M1195-J1195</f>
        <v>4.8706799268721998E-3</v>
      </c>
      <c r="O1195">
        <v>2.1</v>
      </c>
      <c r="P1195" t="s">
        <v>16</v>
      </c>
      <c r="Q1195">
        <v>0.03</v>
      </c>
      <c r="R1195">
        <v>-9.7940200567250097E-4</v>
      </c>
      <c r="S1195">
        <v>-5.76460734010002E-5</v>
      </c>
      <c r="T1195">
        <v>-0.03</v>
      </c>
    </row>
    <row r="1196" spans="1:20" x14ac:dyDescent="0.3">
      <c r="A1196" t="s">
        <v>94</v>
      </c>
      <c r="B1196">
        <v>2007</v>
      </c>
      <c r="C1196">
        <v>819129.25</v>
      </c>
      <c r="D1196" s="1">
        <v>0.02</v>
      </c>
      <c r="E1196" s="1">
        <v>0.92345595359802202</v>
      </c>
      <c r="F1196" s="1">
        <v>-2.1999999999999999E-2</v>
      </c>
      <c r="G1196" s="1">
        <f t="shared" si="36"/>
        <v>-4.5999999999999999E-2</v>
      </c>
      <c r="H1196" s="1" t="str">
        <f t="shared" si="37"/>
        <v/>
      </c>
      <c r="I1196" s="1">
        <v>-4.0000000000000001E-3</v>
      </c>
      <c r="J1196" s="1">
        <f>+D1196-F1196+I1196*O1196</f>
        <v>3.3799999999999997E-2</v>
      </c>
      <c r="K1196" s="1">
        <v>2.80205979943275E-2</v>
      </c>
      <c r="L1196" s="1">
        <f>+K1196-J1196</f>
        <v>-5.7794020056724967E-3</v>
      </c>
      <c r="M1196" s="1">
        <v>-9.7940200567250097E-4</v>
      </c>
      <c r="N1196" s="1">
        <f>+M1196-J1196</f>
        <v>-3.4779402005672498E-2</v>
      </c>
      <c r="O1196">
        <v>2.0499999999999998</v>
      </c>
      <c r="P1196" t="s">
        <v>16</v>
      </c>
      <c r="Q1196">
        <v>0</v>
      </c>
      <c r="R1196">
        <v>-5.3403911471366902E-2</v>
      </c>
      <c r="S1196">
        <v>-2.3893107194453499E-2</v>
      </c>
      <c r="T1196">
        <v>-0.02</v>
      </c>
    </row>
    <row r="1197" spans="1:20" x14ac:dyDescent="0.3">
      <c r="A1197" t="s">
        <v>94</v>
      </c>
      <c r="B1197">
        <v>2008</v>
      </c>
      <c r="C1197">
        <v>828825</v>
      </c>
      <c r="D1197" s="1">
        <v>1.7999999999999999E-2</v>
      </c>
      <c r="E1197" s="1">
        <v>0.91592246294021595</v>
      </c>
      <c r="F1197" s="1">
        <v>-0.03</v>
      </c>
      <c r="G1197" s="1">
        <f t="shared" si="36"/>
        <v>-7.5999999999999998E-2</v>
      </c>
      <c r="H1197" s="1" t="str">
        <f t="shared" si="37"/>
        <v/>
      </c>
      <c r="I1197" s="1">
        <v>-8.0000000000000002E-3</v>
      </c>
      <c r="J1197" s="1">
        <f>+D1197-F1197+I1197*O1197</f>
        <v>3.2079999999999997E-2</v>
      </c>
      <c r="K1197" s="1">
        <v>-1.54039114713669E-2</v>
      </c>
      <c r="L1197" s="1">
        <f>+K1197-J1197</f>
        <v>-4.7483911471366894E-2</v>
      </c>
      <c r="M1197" s="1">
        <v>-5.3403911471366902E-2</v>
      </c>
      <c r="N1197" s="1">
        <f>+M1197-J1197</f>
        <v>-8.54839114713669E-2</v>
      </c>
      <c r="O1197">
        <v>1.99</v>
      </c>
      <c r="P1197" t="s">
        <v>16</v>
      </c>
      <c r="Q1197">
        <v>-0.02</v>
      </c>
      <c r="R1197">
        <v>-2.9409763127565301E-2</v>
      </c>
      <c r="S1197">
        <v>-2.8430614620447402E-3</v>
      </c>
      <c r="T1197">
        <v>-0.03</v>
      </c>
    </row>
    <row r="1198" spans="1:20" x14ac:dyDescent="0.3">
      <c r="A1198" t="s">
        <v>94</v>
      </c>
      <c r="B1198">
        <v>2009</v>
      </c>
      <c r="C1198">
        <v>835159</v>
      </c>
      <c r="D1198" s="1">
        <v>2.1000000000000001E-2</v>
      </c>
      <c r="E1198" s="1">
        <v>0.91852766275405895</v>
      </c>
      <c r="F1198" s="1">
        <v>7.3999999999999996E-2</v>
      </c>
      <c r="G1198" s="1">
        <f t="shared" si="36"/>
        <v>-2.0000000000000018E-3</v>
      </c>
      <c r="H1198" s="1" t="str">
        <f t="shared" si="37"/>
        <v/>
      </c>
      <c r="I1198" s="1">
        <v>3.0000000000000001E-3</v>
      </c>
      <c r="J1198" s="1">
        <f>+D1198-F1198+I1198*O1198</f>
        <v>-4.6579999999999989E-2</v>
      </c>
      <c r="K1198" s="1">
        <v>-3.3409763127565398E-2</v>
      </c>
      <c r="L1198" s="1">
        <f>+K1198-J1198</f>
        <v>1.3170236872434592E-2</v>
      </c>
      <c r="M1198" s="1">
        <v>-2.9409763127565301E-2</v>
      </c>
      <c r="N1198" s="1">
        <f>+M1198-J1198</f>
        <v>1.7170236872434689E-2</v>
      </c>
      <c r="O1198">
        <v>2.14</v>
      </c>
      <c r="P1198" t="s">
        <v>15</v>
      </c>
      <c r="Q1198">
        <v>0</v>
      </c>
      <c r="R1198">
        <v>-8.1829514205455801E-3</v>
      </c>
      <c r="S1198">
        <v>1.2771573383360999E-3</v>
      </c>
      <c r="T1198">
        <v>0.06</v>
      </c>
    </row>
    <row r="1199" spans="1:20" x14ac:dyDescent="0.3">
      <c r="A1199" t="s">
        <v>94</v>
      </c>
      <c r="B1199">
        <v>2010</v>
      </c>
      <c r="C1199">
        <v>840165.875</v>
      </c>
      <c r="D1199" s="1">
        <v>1.0999999999999999E-2</v>
      </c>
      <c r="E1199" s="1">
        <v>0.92711079120635997</v>
      </c>
      <c r="F1199" s="1">
        <v>-1.0999999999999999E-2</v>
      </c>
      <c r="G1199" s="1">
        <f t="shared" si="36"/>
        <v>-1.3000000000000001E-2</v>
      </c>
      <c r="H1199" s="1" t="str">
        <f t="shared" si="37"/>
        <v/>
      </c>
      <c r="I1199" s="1">
        <v>8.9999999999999993E-3</v>
      </c>
      <c r="J1199" s="1">
        <f>+D1199-F1199+I1199*O1199</f>
        <v>4.0989999999999999E-2</v>
      </c>
      <c r="K1199" s="1">
        <v>7.8170485794544203E-3</v>
      </c>
      <c r="L1199" s="1">
        <f>+K1199-J1199</f>
        <v>-3.3172951420545577E-2</v>
      </c>
      <c r="M1199" s="1">
        <v>-8.1829514205455801E-3</v>
      </c>
      <c r="N1199" s="1">
        <f>+M1199-J1199</f>
        <v>-4.9172951420545577E-2</v>
      </c>
      <c r="O1199">
        <v>2.11</v>
      </c>
      <c r="P1199" t="s">
        <v>17</v>
      </c>
      <c r="Q1199">
        <v>0</v>
      </c>
      <c r="R1199">
        <v>-2.82887174915522E-2</v>
      </c>
      <c r="S1199">
        <v>-7.0049429778009297E-3</v>
      </c>
      <c r="T1199">
        <v>-0.02</v>
      </c>
    </row>
    <row r="1200" spans="1:20" x14ac:dyDescent="0.3">
      <c r="A1200" t="s">
        <v>94</v>
      </c>
      <c r="B1200">
        <v>2011</v>
      </c>
      <c r="C1200">
        <v>845128.4375</v>
      </c>
      <c r="D1200" s="1">
        <v>3.3000000000000002E-2</v>
      </c>
      <c r="E1200" s="1">
        <v>0.92477434873580899</v>
      </c>
      <c r="F1200" s="1">
        <v>8.0000000000000002E-3</v>
      </c>
      <c r="G1200" s="1">
        <f t="shared" si="36"/>
        <v>-5.000000000000001E-3</v>
      </c>
      <c r="H1200" s="1" t="str">
        <f t="shared" si="37"/>
        <v/>
      </c>
      <c r="I1200" s="1">
        <v>-2E-3</v>
      </c>
      <c r="J1200" s="1">
        <f>+D1200-F1200+I1200*O1200</f>
        <v>2.0740000000000001E-2</v>
      </c>
      <c r="K1200" s="1">
        <v>3.7112825084477702E-3</v>
      </c>
      <c r="L1200" s="1">
        <f>+K1200-J1200</f>
        <v>-1.7028717491552232E-2</v>
      </c>
      <c r="M1200" s="1">
        <v>-2.82887174915522E-2</v>
      </c>
      <c r="N1200" s="1">
        <f>+M1200-J1200</f>
        <v>-4.9028717491552201E-2</v>
      </c>
      <c r="O1200">
        <v>2.13</v>
      </c>
      <c r="P1200" t="s">
        <v>17</v>
      </c>
      <c r="Q1200">
        <v>-0.01</v>
      </c>
      <c r="R1200">
        <v>-6.5537535622715998E-3</v>
      </c>
      <c r="S1200">
        <v>-1.1155474931001999E-3</v>
      </c>
      <c r="T1200">
        <v>0.01</v>
      </c>
    </row>
    <row r="1201" spans="1:20" x14ac:dyDescent="0.3">
      <c r="A1201" t="s">
        <v>94</v>
      </c>
      <c r="B1201">
        <v>2012</v>
      </c>
      <c r="C1201">
        <v>849873.25</v>
      </c>
      <c r="D1201" s="1">
        <v>6.0000000000000001E-3</v>
      </c>
      <c r="E1201" s="1">
        <v>0.92724919319152799</v>
      </c>
      <c r="F1201" s="1">
        <v>1.0999999999999999E-2</v>
      </c>
      <c r="G1201" s="1">
        <f t="shared" si="36"/>
        <v>5.9999999999999984E-3</v>
      </c>
      <c r="H1201" s="1" t="str">
        <f t="shared" si="37"/>
        <v/>
      </c>
      <c r="I1201" s="1">
        <v>2E-3</v>
      </c>
      <c r="J1201" s="1">
        <f>+D1201-F1201+I1201*O1201</f>
        <v>-6.7999999999999918E-4</v>
      </c>
      <c r="K1201" s="1">
        <v>1.44462464377284E-2</v>
      </c>
      <c r="L1201" s="1">
        <f>+K1201-J1201</f>
        <v>1.5126246437728398E-2</v>
      </c>
      <c r="M1201" s="1">
        <v>-6.5537535622715998E-3</v>
      </c>
      <c r="N1201" s="1">
        <f>+M1201-J1201</f>
        <v>-5.8737535622716006E-3</v>
      </c>
      <c r="O1201">
        <v>2.16</v>
      </c>
      <c r="P1201" t="s">
        <v>15</v>
      </c>
      <c r="Q1201">
        <v>0</v>
      </c>
      <c r="R1201">
        <v>7.0375750213861003E-3</v>
      </c>
      <c r="S1201">
        <v>9.1080367565150096E-4</v>
      </c>
      <c r="T1201">
        <v>0.01</v>
      </c>
    </row>
    <row r="1202" spans="1:20" x14ac:dyDescent="0.3">
      <c r="A1202" t="s">
        <v>94</v>
      </c>
      <c r="B1202">
        <v>2013</v>
      </c>
      <c r="C1202">
        <v>854260.0625</v>
      </c>
      <c r="D1202" s="1">
        <v>8.0000000000000002E-3</v>
      </c>
      <c r="E1202" s="1">
        <v>0.93077766895294201</v>
      </c>
      <c r="F1202" s="1">
        <v>5.1999999999999998E-2</v>
      </c>
      <c r="G1202" s="1">
        <f t="shared" si="36"/>
        <v>5.7999999999999996E-2</v>
      </c>
      <c r="H1202" s="1" t="str">
        <f t="shared" si="37"/>
        <v/>
      </c>
      <c r="I1202" s="1">
        <v>4.0000000000000001E-3</v>
      </c>
      <c r="J1202" s="1">
        <f>+D1202-F1202+I1202*O1202</f>
        <v>-3.492E-2</v>
      </c>
      <c r="K1202" s="1">
        <v>2.2037575021386101E-2</v>
      </c>
      <c r="L1202" s="1">
        <f>+K1202-J1202</f>
        <v>5.6957575021386098E-2</v>
      </c>
      <c r="M1202" s="1">
        <v>7.0375750213861003E-3</v>
      </c>
      <c r="N1202" s="1">
        <f>+M1202-J1202</f>
        <v>4.1957575021386098E-2</v>
      </c>
      <c r="O1202">
        <v>2.27</v>
      </c>
      <c r="P1202" t="s">
        <v>15</v>
      </c>
      <c r="Q1202">
        <v>0</v>
      </c>
      <c r="R1202">
        <v>-9.4111125767230904E-3</v>
      </c>
      <c r="S1202">
        <v>-1.14191360771656E-2</v>
      </c>
      <c r="T1202">
        <v>0.04</v>
      </c>
    </row>
    <row r="1203" spans="1:20" x14ac:dyDescent="0.3">
      <c r="A1203" t="s">
        <v>94</v>
      </c>
      <c r="B1203">
        <v>2014</v>
      </c>
      <c r="C1203">
        <v>859060.125</v>
      </c>
      <c r="D1203" s="1">
        <v>0.02</v>
      </c>
      <c r="E1203" s="1">
        <v>0.92162054777145397</v>
      </c>
      <c r="F1203" s="1">
        <v>-1.6E-2</v>
      </c>
      <c r="G1203" s="1">
        <f t="shared" si="36"/>
        <v>4.1999999999999996E-2</v>
      </c>
      <c r="H1203" s="1" t="str">
        <f t="shared" si="37"/>
        <v/>
      </c>
      <c r="I1203" s="1">
        <v>-8.9999999999999993E-3</v>
      </c>
      <c r="J1203" s="1">
        <f>+D1203-F1203+I1203*O1203</f>
        <v>1.5930000000000007E-2</v>
      </c>
      <c r="K1203" s="1">
        <v>6.5888874232769004E-3</v>
      </c>
      <c r="L1203" s="1">
        <f>+K1203-J1203</f>
        <v>-9.3411125767231054E-3</v>
      </c>
      <c r="M1203" s="1">
        <v>-9.4111125767230904E-3</v>
      </c>
      <c r="N1203" s="1">
        <f>+M1203-J1203</f>
        <v>-2.5341112576723099E-2</v>
      </c>
      <c r="O1203">
        <v>2.23</v>
      </c>
      <c r="P1203" t="s">
        <v>16</v>
      </c>
      <c r="Q1203">
        <v>-0.01</v>
      </c>
      <c r="R1203">
        <v>2.93949043154716E-2</v>
      </c>
      <c r="S1203">
        <v>-8.6854770779609604E-4</v>
      </c>
      <c r="T1203">
        <v>-0.02</v>
      </c>
    </row>
    <row r="1204" spans="1:20" x14ac:dyDescent="0.3">
      <c r="A1204" t="s">
        <v>94</v>
      </c>
      <c r="B1204">
        <v>2015</v>
      </c>
      <c r="C1204">
        <v>864952</v>
      </c>
      <c r="D1204" s="1">
        <v>1.2999999999999999E-2</v>
      </c>
      <c r="E1204" s="1">
        <v>0.93826448917388905</v>
      </c>
      <c r="F1204" s="1">
        <v>-2E-3</v>
      </c>
      <c r="G1204" s="1">
        <f t="shared" si="36"/>
        <v>3.9999999999999994E-2</v>
      </c>
      <c r="H1204" s="1" t="str">
        <f t="shared" si="37"/>
        <v/>
      </c>
      <c r="I1204" s="1">
        <v>1.7000000000000001E-2</v>
      </c>
      <c r="J1204" s="1">
        <f>+D1204-F1204+I1204*O1204</f>
        <v>5.2909999999999999E-2</v>
      </c>
      <c r="K1204" s="1">
        <v>3.0394904315471601E-2</v>
      </c>
      <c r="L1204" s="1">
        <f>+K1204-J1204</f>
        <v>-2.2515095684528398E-2</v>
      </c>
      <c r="M1204" s="1">
        <v>2.93949043154716E-2</v>
      </c>
      <c r="N1204" s="1">
        <f>+M1204-J1204</f>
        <v>-2.3515095684528399E-2</v>
      </c>
      <c r="O1204">
        <v>2.23</v>
      </c>
      <c r="P1204" t="s">
        <v>17</v>
      </c>
      <c r="Q1204">
        <v>0</v>
      </c>
      <c r="R1204">
        <v>2.10580642223358E-2</v>
      </c>
      <c r="S1204">
        <v>7.9045072197914002E-3</v>
      </c>
      <c r="T1204">
        <v>0.01</v>
      </c>
    </row>
    <row r="1205" spans="1:20" x14ac:dyDescent="0.3">
      <c r="A1205" t="s">
        <v>94</v>
      </c>
      <c r="B1205">
        <v>2016</v>
      </c>
      <c r="C1205">
        <v>873170.6875</v>
      </c>
      <c r="D1205" s="1">
        <v>1.4999999999999999E-2</v>
      </c>
      <c r="E1205" s="1">
        <v>0.93564832210540805</v>
      </c>
      <c r="F1205" s="1">
        <v>1.6E-2</v>
      </c>
      <c r="G1205" s="1">
        <f t="shared" si="36"/>
        <v>5.5999999999999994E-2</v>
      </c>
      <c r="H1205" s="1" t="str">
        <f t="shared" si="37"/>
        <v/>
      </c>
      <c r="I1205" s="1">
        <v>-3.0000000000000001E-3</v>
      </c>
      <c r="J1205" s="1">
        <f>+D1205-F1205+I1205*O1205</f>
        <v>-7.7800000000000005E-3</v>
      </c>
      <c r="K1205" s="1">
        <v>3.4058064222335802E-2</v>
      </c>
      <c r="L1205" s="1">
        <f>+K1205-J1205</f>
        <v>4.1838064222335804E-2</v>
      </c>
      <c r="M1205" s="1">
        <v>2.10580642223358E-2</v>
      </c>
      <c r="N1205" s="1">
        <f>+M1205-J1205</f>
        <v>2.8838064222335799E-2</v>
      </c>
      <c r="O1205">
        <v>2.2599999999999998</v>
      </c>
      <c r="P1205" t="s">
        <v>17</v>
      </c>
      <c r="Q1205">
        <v>0.01</v>
      </c>
      <c r="R1205">
        <v>1.4363964736461499E-2</v>
      </c>
      <c r="S1205">
        <v>1.15743912756442E-2</v>
      </c>
      <c r="T1205">
        <v>0.02</v>
      </c>
    </row>
    <row r="1206" spans="1:20" x14ac:dyDescent="0.3">
      <c r="A1206" t="s">
        <v>94</v>
      </c>
      <c r="B1206">
        <v>2017</v>
      </c>
      <c r="C1206">
        <v>882071.5</v>
      </c>
      <c r="D1206" s="1">
        <v>1.2999999999999999E-2</v>
      </c>
      <c r="E1206" s="1">
        <v>0.94436568021774303</v>
      </c>
      <c r="F1206" s="1">
        <v>-1.4999999999999999E-2</v>
      </c>
      <c r="G1206" s="1">
        <f t="shared" si="36"/>
        <v>4.0999999999999995E-2</v>
      </c>
      <c r="H1206" s="1" t="str">
        <f t="shared" si="37"/>
        <v/>
      </c>
      <c r="I1206" s="1">
        <v>8.9999999999999993E-3</v>
      </c>
      <c r="J1206" s="1">
        <f>+D1206-F1206+I1206*O1206</f>
        <v>4.8069999999999995E-2</v>
      </c>
      <c r="K1206" s="1">
        <v>3.5363964736461598E-2</v>
      </c>
      <c r="L1206" s="1">
        <f>+K1206-J1206</f>
        <v>-1.2706035263538397E-2</v>
      </c>
      <c r="M1206" s="1">
        <v>1.4363964736461499E-2</v>
      </c>
      <c r="N1206" s="1">
        <f>+M1206-J1206</f>
        <v>-3.3706035263538492E-2</v>
      </c>
      <c r="O1206">
        <v>2.23</v>
      </c>
      <c r="P1206" t="s">
        <v>17</v>
      </c>
      <c r="Q1206">
        <v>0.01</v>
      </c>
      <c r="R1206">
        <v>-5.6266931593417996E-3</v>
      </c>
      <c r="S1206">
        <v>-1.47617161273955E-2</v>
      </c>
      <c r="T1206">
        <v>-0.01</v>
      </c>
    </row>
    <row r="1207" spans="1:20" x14ac:dyDescent="0.3">
      <c r="A1207" t="s">
        <v>94</v>
      </c>
      <c r="B1207">
        <v>2018</v>
      </c>
      <c r="C1207">
        <v>890111.3125</v>
      </c>
      <c r="D1207" s="1">
        <v>1.6E-2</v>
      </c>
      <c r="E1207" s="1">
        <v>0.93945151567459095</v>
      </c>
      <c r="F1207" s="1">
        <v>-8.9999999999999993E-3</v>
      </c>
      <c r="G1207" s="1">
        <f t="shared" si="36"/>
        <v>3.1999999999999994E-2</v>
      </c>
      <c r="H1207" s="1" t="str">
        <f t="shared" si="37"/>
        <v/>
      </c>
      <c r="I1207" s="1">
        <v>-5.0000000000000001E-3</v>
      </c>
      <c r="J1207" s="1">
        <f>+D1207-F1207+I1207*O1207</f>
        <v>1.3950000000000001E-2</v>
      </c>
      <c r="K1207" s="1">
        <v>1.8373306840658198E-2</v>
      </c>
      <c r="L1207" s="1">
        <f>+K1207-J1207</f>
        <v>4.4233068406581977E-3</v>
      </c>
      <c r="M1207" s="1">
        <v>-5.6266931593417996E-3</v>
      </c>
      <c r="N1207" s="1">
        <f>+M1207-J1207</f>
        <v>-1.9576693159341799E-2</v>
      </c>
      <c r="O1207">
        <v>2.21</v>
      </c>
      <c r="P1207" t="s">
        <v>16</v>
      </c>
      <c r="Q1207">
        <v>-0.01</v>
      </c>
      <c r="R1207">
        <v>3.2068840384483301E-2</v>
      </c>
      <c r="S1207">
        <v>1.4267645776271799E-2</v>
      </c>
      <c r="T1207">
        <v>0</v>
      </c>
    </row>
    <row r="1208" spans="1:20" x14ac:dyDescent="0.3">
      <c r="A1208" t="s">
        <v>94</v>
      </c>
      <c r="B1208">
        <v>2019</v>
      </c>
      <c r="C1208">
        <v>898334.75</v>
      </c>
      <c r="D1208" s="1">
        <v>3.2000000000000001E-2</v>
      </c>
      <c r="E1208" s="1">
        <v>0.93963611125946001</v>
      </c>
      <c r="F1208" s="1">
        <v>5.0000000000000001E-3</v>
      </c>
      <c r="G1208" s="1">
        <f t="shared" si="36"/>
        <v>3.6999999999999991E-2</v>
      </c>
      <c r="H1208" s="1" t="str">
        <f t="shared" si="37"/>
        <v/>
      </c>
      <c r="I1208" s="1">
        <v>0</v>
      </c>
      <c r="J1208" s="1">
        <f>+D1208-F1208+I1208*O1208</f>
        <v>2.7E-2</v>
      </c>
      <c r="K1208" s="1">
        <v>5.0068840384483303E-2</v>
      </c>
      <c r="L1208" s="1">
        <f>+K1208-J1208</f>
        <v>2.3068840384483303E-2</v>
      </c>
      <c r="M1208" s="1">
        <v>3.2068840384483301E-2</v>
      </c>
      <c r="N1208" s="1">
        <f>+M1208-J1208</f>
        <v>5.0688403844833009E-3</v>
      </c>
      <c r="O1208">
        <v>2.2200000000000002</v>
      </c>
      <c r="P1208" t="s">
        <v>15</v>
      </c>
      <c r="Q1208">
        <v>0.01</v>
      </c>
      <c r="R1208">
        <v>3.5050084918737401E-2</v>
      </c>
      <c r="S1208">
        <v>1.6200894489884401E-2</v>
      </c>
      <c r="T1208">
        <v>0.01</v>
      </c>
    </row>
    <row r="1209" spans="1:20" x14ac:dyDescent="0.3">
      <c r="A1209" t="s">
        <v>94</v>
      </c>
      <c r="B1209">
        <v>2020</v>
      </c>
      <c r="C1209">
        <v>908686.875</v>
      </c>
      <c r="D1209" s="1">
        <v>0.01</v>
      </c>
      <c r="E1209" s="1">
        <v>0.96329504251480103</v>
      </c>
      <c r="F1209" s="1">
        <v>-4.2999999999999997E-2</v>
      </c>
      <c r="G1209" s="1">
        <f t="shared" si="36"/>
        <v>-6.0000000000000053E-3</v>
      </c>
      <c r="H1209" s="1" t="str">
        <f t="shared" si="37"/>
        <v/>
      </c>
      <c r="I1209" s="1">
        <v>2.4E-2</v>
      </c>
      <c r="J1209" s="1">
        <f>+D1209-F1209+I1209*O1209</f>
        <v>0.10411999999999999</v>
      </c>
      <c r="K1209" s="1">
        <v>4.7050084918737398E-2</v>
      </c>
      <c r="L1209" s="1">
        <f>+K1209-J1209</f>
        <v>-5.7069915081262593E-2</v>
      </c>
      <c r="M1209" s="1">
        <v>3.5050084918737401E-2</v>
      </c>
      <c r="N1209" s="1">
        <f>+M1209-J1209</f>
        <v>-6.9069915081262589E-2</v>
      </c>
      <c r="O1209">
        <v>2.13</v>
      </c>
      <c r="P1209" t="s">
        <v>17</v>
      </c>
      <c r="Q1209">
        <v>0.02</v>
      </c>
      <c r="R1209">
        <v>7.0017902433872001E-2</v>
      </c>
      <c r="S1209">
        <v>2.6428289711475001E-2</v>
      </c>
      <c r="T1209">
        <v>0</v>
      </c>
    </row>
    <row r="1210" spans="1:20" x14ac:dyDescent="0.3">
      <c r="A1210" t="s">
        <v>94</v>
      </c>
      <c r="B1210">
        <v>2021</v>
      </c>
      <c r="C1210">
        <v>920661.8125</v>
      </c>
      <c r="D1210" s="1">
        <v>5.3999999999999999E-2</v>
      </c>
      <c r="E1210" s="1">
        <v>0.96093350648880005</v>
      </c>
      <c r="F1210" s="1">
        <v>1.6E-2</v>
      </c>
      <c r="G1210" s="1">
        <f t="shared" si="36"/>
        <v>9.999999999999995E-3</v>
      </c>
      <c r="H1210" s="1" t="str">
        <f t="shared" si="37"/>
        <v/>
      </c>
      <c r="I1210" s="1">
        <v>-2E-3</v>
      </c>
      <c r="J1210" s="1">
        <f>+D1210-F1210+I1210*O1210</f>
        <v>3.3680000000000002E-2</v>
      </c>
      <c r="K1210" s="1">
        <v>0.117017902433872</v>
      </c>
      <c r="L1210" s="1">
        <f>+K1210-J1210</f>
        <v>8.3337902433871999E-2</v>
      </c>
      <c r="M1210" s="1">
        <v>7.0017902433872001E-2</v>
      </c>
      <c r="N1210" s="1">
        <f>+M1210-J1210</f>
        <v>3.6337902433871999E-2</v>
      </c>
      <c r="O1210">
        <v>2.16</v>
      </c>
      <c r="P1210" t="s">
        <v>17</v>
      </c>
      <c r="Q1210">
        <v>0.03</v>
      </c>
      <c r="R1210">
        <v>9.9292826652526908E-3</v>
      </c>
      <c r="S1210">
        <v>4.2032789438962999E-2</v>
      </c>
      <c r="T1210">
        <v>-0.01</v>
      </c>
    </row>
    <row r="1211" spans="1:20" x14ac:dyDescent="0.3">
      <c r="A1211" t="s">
        <v>94</v>
      </c>
      <c r="B1211">
        <v>2022</v>
      </c>
      <c r="C1211">
        <v>936869.6875</v>
      </c>
      <c r="D1211" s="1">
        <v>2.5999999999999999E-2</v>
      </c>
      <c r="E1211" s="1">
        <v>0.95357507467269897</v>
      </c>
      <c r="F1211" s="1">
        <v>-3.4000000000000002E-2</v>
      </c>
      <c r="G1211" s="1">
        <f t="shared" si="36"/>
        <v>-2.4000000000000007E-2</v>
      </c>
      <c r="H1211" s="1" t="str">
        <f t="shared" si="37"/>
        <v/>
      </c>
      <c r="I1211" s="1">
        <v>-7.0000000000000001E-3</v>
      </c>
      <c r="J1211" s="1">
        <f>+D1211-F1211+I1211*O1211</f>
        <v>4.5370000000000001E-2</v>
      </c>
      <c r="K1211" s="1">
        <v>8.9929282665252699E-2</v>
      </c>
      <c r="L1211" s="1">
        <f>+K1211-J1211</f>
        <v>4.4559282665252699E-2</v>
      </c>
      <c r="M1211" s="1">
        <v>9.9292826652526908E-3</v>
      </c>
      <c r="N1211" s="1">
        <f>+M1211-J1211</f>
        <v>-3.544071733474731E-2</v>
      </c>
      <c r="O1211">
        <v>2.09</v>
      </c>
      <c r="P1211" t="s">
        <v>16</v>
      </c>
      <c r="Q1211">
        <v>0.04</v>
      </c>
      <c r="R1211">
        <v>-4.5289870202541004E-3</v>
      </c>
      <c r="S1211">
        <v>1.50299407541752E-2</v>
      </c>
      <c r="T1211">
        <v>-0.02</v>
      </c>
    </row>
    <row r="1212" spans="1:20" x14ac:dyDescent="0.3">
      <c r="A1212" t="s">
        <v>95</v>
      </c>
      <c r="B1212">
        <v>2006</v>
      </c>
      <c r="C1212">
        <v>451608.3125</v>
      </c>
      <c r="D1212" s="1">
        <v>0</v>
      </c>
      <c r="E1212" s="1">
        <v>0.93615770339965798</v>
      </c>
      <c r="F1212" s="1">
        <v>0.112</v>
      </c>
      <c r="G1212" s="1">
        <f t="shared" si="36"/>
        <v>0.112</v>
      </c>
      <c r="H1212" s="1" t="str">
        <f t="shared" si="37"/>
        <v/>
      </c>
      <c r="I1212" s="1">
        <v>-0.01</v>
      </c>
      <c r="J1212" s="1">
        <f>+D1212-F1212+I1212*O1212</f>
        <v>-0.13639999999999999</v>
      </c>
      <c r="K1212" s="1">
        <v>6.4478479325771304E-2</v>
      </c>
      <c r="L1212" s="1">
        <f>+K1212-J1212</f>
        <v>0.2008784793257713</v>
      </c>
      <c r="M1212" s="1">
        <v>3.2478479325771303E-2</v>
      </c>
      <c r="N1212" s="1">
        <f>+M1212-J1212</f>
        <v>0.1688784793257713</v>
      </c>
      <c r="O1212">
        <v>2.44</v>
      </c>
      <c r="P1212" t="s">
        <v>17</v>
      </c>
      <c r="Q1212">
        <v>0.03</v>
      </c>
      <c r="R1212">
        <v>-8.6903841793539998E-4</v>
      </c>
      <c r="S1212">
        <v>5.27175143361004E-5</v>
      </c>
      <c r="T1212">
        <v>0.11</v>
      </c>
    </row>
    <row r="1213" spans="1:20" x14ac:dyDescent="0.3">
      <c r="A1213" t="s">
        <v>95</v>
      </c>
      <c r="B1213">
        <v>2007</v>
      </c>
      <c r="C1213">
        <v>455511</v>
      </c>
      <c r="D1213" s="1">
        <v>0</v>
      </c>
      <c r="E1213" s="1">
        <v>0.91365766525268599</v>
      </c>
      <c r="F1213" s="1">
        <v>-7.0999999999999994E-2</v>
      </c>
      <c r="G1213" s="1">
        <f t="shared" si="36"/>
        <v>4.1000000000000009E-2</v>
      </c>
      <c r="H1213" s="1" t="str">
        <f t="shared" si="37"/>
        <v/>
      </c>
      <c r="I1213" s="1">
        <v>-2.3E-2</v>
      </c>
      <c r="J1213" s="1">
        <f>+D1213-F1213+I1213*O1213</f>
        <v>1.8789999999999994E-2</v>
      </c>
      <c r="K1213" s="1">
        <v>2.8130961582064601E-2</v>
      </c>
      <c r="L1213" s="1">
        <f>+K1213-J1213</f>
        <v>9.3409615820646066E-3</v>
      </c>
      <c r="M1213" s="1">
        <v>-8.6903841793539998E-4</v>
      </c>
      <c r="N1213" s="1">
        <f>+M1213-J1213</f>
        <v>-1.9659038417935395E-2</v>
      </c>
      <c r="O1213">
        <v>2.27</v>
      </c>
      <c r="P1213" t="s">
        <v>16</v>
      </c>
      <c r="Q1213">
        <v>0</v>
      </c>
      <c r="R1213">
        <v>-6.4450026780366904E-2</v>
      </c>
      <c r="S1213">
        <v>-3.49392225034535E-2</v>
      </c>
      <c r="T1213">
        <v>-7.0000000000000007E-2</v>
      </c>
    </row>
    <row r="1214" spans="1:20" x14ac:dyDescent="0.3">
      <c r="A1214" t="s">
        <v>95</v>
      </c>
      <c r="B1214">
        <v>2008</v>
      </c>
      <c r="C1214">
        <v>460352.28129999997</v>
      </c>
      <c r="D1214" s="1">
        <v>0.13400000000000001</v>
      </c>
      <c r="E1214" s="1">
        <v>0.87861073017120395</v>
      </c>
      <c r="F1214" s="1">
        <v>2.1000000000000001E-2</v>
      </c>
      <c r="G1214" s="1">
        <f t="shared" si="36"/>
        <v>6.2000000000000013E-2</v>
      </c>
      <c r="H1214" s="1" t="str">
        <f t="shared" si="37"/>
        <v/>
      </c>
      <c r="I1214" s="1">
        <v>-3.5000000000000003E-2</v>
      </c>
      <c r="J1214" s="1">
        <f>+D1214-F1214+I1214*O1214</f>
        <v>3.2149999999999998E-2</v>
      </c>
      <c r="K1214" s="1">
        <v>-2.6450026780366901E-2</v>
      </c>
      <c r="L1214" s="1">
        <f>+K1214-J1214</f>
        <v>-5.8600026780366896E-2</v>
      </c>
      <c r="M1214" s="1">
        <v>-6.4450026780366904E-2</v>
      </c>
      <c r="N1214" s="1">
        <f>+M1214-J1214</f>
        <v>-9.6600026780366902E-2</v>
      </c>
      <c r="O1214">
        <v>2.31</v>
      </c>
      <c r="P1214" t="s">
        <v>17</v>
      </c>
      <c r="Q1214">
        <v>-0.03</v>
      </c>
      <c r="R1214">
        <v>-2.070812946558E-2</v>
      </c>
      <c r="S1214">
        <v>5.8585721999406502E-3</v>
      </c>
      <c r="T1214">
        <v>0.02</v>
      </c>
    </row>
    <row r="1215" spans="1:20" x14ac:dyDescent="0.3">
      <c r="A1215" t="s">
        <v>95</v>
      </c>
      <c r="B1215">
        <v>2009</v>
      </c>
      <c r="C1215">
        <v>464861.5</v>
      </c>
      <c r="D1215" s="1">
        <v>3.3000000000000002E-2</v>
      </c>
      <c r="E1215" s="1">
        <v>0.91272348165512096</v>
      </c>
      <c r="F1215" s="1">
        <v>-6.9000000000000006E-2</v>
      </c>
      <c r="G1215" s="1">
        <f t="shared" si="36"/>
        <v>-6.9999999999999923E-3</v>
      </c>
      <c r="H1215" s="1" t="str">
        <f t="shared" si="37"/>
        <v/>
      </c>
      <c r="I1215" s="1">
        <v>3.4000000000000002E-2</v>
      </c>
      <c r="J1215" s="1">
        <f>+D1215-F1215+I1215*O1215</f>
        <v>0.17510000000000001</v>
      </c>
      <c r="K1215" s="1">
        <v>-2.470812946558E-2</v>
      </c>
      <c r="L1215" s="1">
        <f>+K1215-J1215</f>
        <v>-0.19980812946558002</v>
      </c>
      <c r="M1215" s="1">
        <v>-2.070812946558E-2</v>
      </c>
      <c r="N1215" s="1">
        <f>+M1215-J1215</f>
        <v>-0.19580812946558002</v>
      </c>
      <c r="O1215">
        <v>2.15</v>
      </c>
      <c r="P1215" t="s">
        <v>17</v>
      </c>
      <c r="Q1215">
        <v>0.01</v>
      </c>
      <c r="R1215">
        <v>-6.6575363129377403E-3</v>
      </c>
      <c r="S1215">
        <v>2.8025724459439399E-3</v>
      </c>
      <c r="T1215">
        <v>-0.09</v>
      </c>
    </row>
    <row r="1216" spans="1:20" x14ac:dyDescent="0.3">
      <c r="A1216" t="s">
        <v>95</v>
      </c>
      <c r="B1216">
        <v>2010</v>
      </c>
      <c r="C1216">
        <v>467906.5</v>
      </c>
      <c r="D1216" s="1">
        <v>1.0999999999999999E-2</v>
      </c>
      <c r="E1216" s="1">
        <v>0.93346464633941695</v>
      </c>
      <c r="F1216" s="1">
        <v>0.14000000000000001</v>
      </c>
      <c r="G1216" s="1">
        <f t="shared" si="36"/>
        <v>0.13300000000000001</v>
      </c>
      <c r="H1216" s="1">
        <f t="shared" si="37"/>
        <v>1.6377266263589263E-2</v>
      </c>
      <c r="I1216" s="1">
        <v>2.1000000000000001E-2</v>
      </c>
      <c r="J1216" s="1">
        <f>+D1216-F1216+I1216*O1216</f>
        <v>-7.7549999999999994E-2</v>
      </c>
      <c r="K1216" s="1">
        <v>9.34246368706226E-3</v>
      </c>
      <c r="L1216" s="1">
        <f>+K1216-J1216</f>
        <v>8.6892463687062257E-2</v>
      </c>
      <c r="M1216" s="1">
        <v>-6.6575363129377403E-3</v>
      </c>
      <c r="N1216" s="1">
        <f>+M1216-J1216</f>
        <v>7.0892463687062257E-2</v>
      </c>
      <c r="O1216">
        <v>2.4500000000000002</v>
      </c>
      <c r="P1216" t="s">
        <v>15</v>
      </c>
      <c r="Q1216">
        <v>0</v>
      </c>
      <c r="R1216">
        <v>-2.4221320513635802E-2</v>
      </c>
      <c r="S1216">
        <v>-2.9375459998845698E-3</v>
      </c>
      <c r="T1216">
        <v>0.13</v>
      </c>
    </row>
    <row r="1217" spans="1:20" x14ac:dyDescent="0.3">
      <c r="A1217" t="s">
        <v>95</v>
      </c>
      <c r="B1217">
        <v>2011</v>
      </c>
      <c r="C1217">
        <v>470056.5</v>
      </c>
      <c r="D1217" s="1">
        <v>4.9000000000000002E-2</v>
      </c>
      <c r="E1217" s="1">
        <v>0.93148499727249101</v>
      </c>
      <c r="F1217" s="1">
        <v>-0.1</v>
      </c>
      <c r="G1217" s="1">
        <f t="shared" si="36"/>
        <v>3.3000000000000002E-2</v>
      </c>
      <c r="H1217" s="1" t="str">
        <f t="shared" si="37"/>
        <v/>
      </c>
      <c r="I1217" s="1">
        <v>-2E-3</v>
      </c>
      <c r="J1217" s="1">
        <f>+D1217-F1217+I1217*O1217</f>
        <v>0.14458000000000001</v>
      </c>
      <c r="K1217" s="1">
        <v>7.7786794863641297E-3</v>
      </c>
      <c r="L1217" s="1">
        <f>+K1217-J1217</f>
        <v>-0.13680132051363589</v>
      </c>
      <c r="M1217" s="1">
        <v>-2.4221320513635802E-2</v>
      </c>
      <c r="N1217" s="1">
        <f>+M1217-J1217</f>
        <v>-0.16880132051363581</v>
      </c>
      <c r="O1217">
        <v>2.21</v>
      </c>
      <c r="P1217" t="s">
        <v>16</v>
      </c>
      <c r="Q1217">
        <v>0</v>
      </c>
      <c r="R1217">
        <v>3.9758530408143897E-3</v>
      </c>
      <c r="S1217">
        <v>9.4140591099857902E-3</v>
      </c>
      <c r="T1217">
        <v>-0.1</v>
      </c>
    </row>
    <row r="1218" spans="1:20" x14ac:dyDescent="0.3">
      <c r="A1218" t="s">
        <v>95</v>
      </c>
      <c r="B1218">
        <v>2012</v>
      </c>
      <c r="C1218">
        <v>472852.125</v>
      </c>
      <c r="D1218" s="1">
        <v>0</v>
      </c>
      <c r="E1218" s="1">
        <v>0.937680423259735</v>
      </c>
      <c r="F1218" s="1">
        <v>6.0999999999999999E-2</v>
      </c>
      <c r="G1218" s="1">
        <f t="shared" si="36"/>
        <v>9.4E-2</v>
      </c>
      <c r="H1218" s="1" t="str">
        <f t="shared" si="37"/>
        <v/>
      </c>
      <c r="I1218" s="1">
        <v>6.0000000000000001E-3</v>
      </c>
      <c r="J1218" s="1">
        <f>+D1218-F1218+I1218*O1218</f>
        <v>-4.6960000000000002E-2</v>
      </c>
      <c r="K1218" s="1">
        <v>2.49758530408144E-2</v>
      </c>
      <c r="L1218" s="1">
        <f>+K1218-J1218</f>
        <v>7.1935853040814401E-2</v>
      </c>
      <c r="M1218" s="1">
        <v>3.9758530408143897E-3</v>
      </c>
      <c r="N1218" s="1">
        <f>+M1218-J1218</f>
        <v>5.093585304081439E-2</v>
      </c>
      <c r="O1218">
        <v>2.34</v>
      </c>
      <c r="P1218" t="s">
        <v>15</v>
      </c>
      <c r="Q1218">
        <v>0.01</v>
      </c>
      <c r="R1218">
        <v>7.0151338726282004E-3</v>
      </c>
      <c r="S1218">
        <v>8.8836252689360098E-4</v>
      </c>
      <c r="T1218">
        <v>0.06</v>
      </c>
    </row>
    <row r="1219" spans="1:20" x14ac:dyDescent="0.3">
      <c r="A1219" t="s">
        <v>95</v>
      </c>
      <c r="B1219">
        <v>2013</v>
      </c>
      <c r="C1219">
        <v>477126</v>
      </c>
      <c r="D1219" s="1">
        <v>2E-3</v>
      </c>
      <c r="E1219" s="1">
        <v>0.94548016786575295</v>
      </c>
      <c r="F1219" s="1">
        <v>-1.0999999999999999E-2</v>
      </c>
      <c r="G1219" s="1">
        <f t="shared" si="36"/>
        <v>8.3000000000000004E-2</v>
      </c>
      <c r="H1219" s="1" t="str">
        <f t="shared" si="37"/>
        <v/>
      </c>
      <c r="I1219" s="1">
        <v>8.0000000000000002E-3</v>
      </c>
      <c r="J1219" s="1">
        <f>+D1219-F1219+I1219*O1219</f>
        <v>3.1559999999999998E-2</v>
      </c>
      <c r="K1219" s="1">
        <v>2.2015133872628202E-2</v>
      </c>
      <c r="L1219" s="1">
        <f>+K1219-J1219</f>
        <v>-9.5448661273717962E-3</v>
      </c>
      <c r="M1219" s="1">
        <v>7.0151338726282004E-3</v>
      </c>
      <c r="N1219" s="1">
        <f>+M1219-J1219</f>
        <v>-2.4544866127371799E-2</v>
      </c>
      <c r="O1219">
        <v>2.3199999999999998</v>
      </c>
      <c r="P1219" t="s">
        <v>17</v>
      </c>
      <c r="Q1219">
        <v>0</v>
      </c>
      <c r="R1219">
        <v>7.3373021185399803E-4</v>
      </c>
      <c r="S1219">
        <v>-1.2742932885885E-3</v>
      </c>
      <c r="T1219">
        <v>-0.02</v>
      </c>
    </row>
    <row r="1220" spans="1:20" x14ac:dyDescent="0.3">
      <c r="A1220" t="s">
        <v>95</v>
      </c>
      <c r="B1220">
        <v>2014</v>
      </c>
      <c r="C1220">
        <v>481024.09379999997</v>
      </c>
      <c r="D1220" s="1">
        <v>0</v>
      </c>
      <c r="E1220" s="1">
        <v>0.94213539361953702</v>
      </c>
      <c r="F1220" s="1">
        <v>3.2000000000000001E-2</v>
      </c>
      <c r="G1220" s="1">
        <f t="shared" si="36"/>
        <v>0.115</v>
      </c>
      <c r="H1220" s="1" t="str">
        <f t="shared" si="37"/>
        <v/>
      </c>
      <c r="I1220" s="1">
        <v>-3.0000000000000001E-3</v>
      </c>
      <c r="J1220" s="1">
        <f>+D1220-F1220+I1220*O1220</f>
        <v>-3.9170000000000003E-2</v>
      </c>
      <c r="K1220" s="1">
        <v>1.6733730211853998E-2</v>
      </c>
      <c r="L1220" s="1">
        <f>+K1220-J1220</f>
        <v>5.5903730211854005E-2</v>
      </c>
      <c r="M1220" s="1">
        <v>7.3373021185399803E-4</v>
      </c>
      <c r="N1220" s="1">
        <f>+M1220-J1220</f>
        <v>3.9903730211854005E-2</v>
      </c>
      <c r="O1220">
        <v>2.39</v>
      </c>
      <c r="P1220" t="s">
        <v>17</v>
      </c>
      <c r="Q1220">
        <v>0</v>
      </c>
      <c r="R1220">
        <v>-2.06972861886024E-2</v>
      </c>
      <c r="S1220">
        <v>-5.0960738211869999E-2</v>
      </c>
      <c r="T1220">
        <v>0.03</v>
      </c>
    </row>
    <row r="1221" spans="1:20" x14ac:dyDescent="0.3">
      <c r="A1221" t="s">
        <v>95</v>
      </c>
      <c r="B1221">
        <v>2015</v>
      </c>
      <c r="C1221">
        <v>483691</v>
      </c>
      <c r="D1221" s="1">
        <v>2.7E-2</v>
      </c>
      <c r="E1221" s="1">
        <v>0.91001361608505205</v>
      </c>
      <c r="F1221" s="1">
        <v>-0.02</v>
      </c>
      <c r="G1221" s="1">
        <f t="shared" si="36"/>
        <v>9.5000000000000001E-2</v>
      </c>
      <c r="H1221" s="1" t="str">
        <f t="shared" si="37"/>
        <v/>
      </c>
      <c r="I1221" s="1">
        <v>-3.2000000000000001E-2</v>
      </c>
      <c r="J1221" s="1">
        <f>+D1221-F1221+I1221*O1221</f>
        <v>-2.7880000000000002E-2</v>
      </c>
      <c r="K1221" s="1">
        <v>-1.9697286188602399E-2</v>
      </c>
      <c r="L1221" s="1">
        <f>+K1221-J1221</f>
        <v>8.1827138113976031E-3</v>
      </c>
      <c r="M1221" s="1">
        <v>-2.06972861886024E-2</v>
      </c>
      <c r="N1221" s="1">
        <f>+M1221-J1221</f>
        <v>7.1827138113976022E-3</v>
      </c>
      <c r="O1221">
        <v>2.34</v>
      </c>
      <c r="P1221" t="s">
        <v>16</v>
      </c>
      <c r="Q1221">
        <v>-0.05</v>
      </c>
      <c r="R1221">
        <v>-2.1233615197241301E-2</v>
      </c>
      <c r="S1221">
        <v>-3.4387172199785702E-2</v>
      </c>
      <c r="T1221">
        <v>-0.01</v>
      </c>
    </row>
    <row r="1222" spans="1:20" x14ac:dyDescent="0.3">
      <c r="A1222" t="s">
        <v>95</v>
      </c>
      <c r="B1222">
        <v>2016</v>
      </c>
      <c r="C1222">
        <v>483467.40629999997</v>
      </c>
      <c r="D1222" s="1">
        <v>2.5000000000000001E-2</v>
      </c>
      <c r="E1222" s="1">
        <v>0.88144153356552102</v>
      </c>
      <c r="F1222" s="1">
        <v>-0.05</v>
      </c>
      <c r="G1222" s="1">
        <f t="shared" si="36"/>
        <v>4.4999999999999998E-2</v>
      </c>
      <c r="H1222" s="1" t="str">
        <f t="shared" si="37"/>
        <v/>
      </c>
      <c r="I1222" s="1">
        <v>-2.9000000000000001E-2</v>
      </c>
      <c r="J1222" s="1">
        <f>+D1222-F1222+I1222*O1222</f>
        <v>1.0330000000000006E-2</v>
      </c>
      <c r="K1222" s="1">
        <v>-8.2336151972413098E-3</v>
      </c>
      <c r="L1222" s="1">
        <f>+K1222-J1222</f>
        <v>-1.8563615197241316E-2</v>
      </c>
      <c r="M1222" s="1">
        <v>-2.1233615197241301E-2</v>
      </c>
      <c r="N1222" s="1">
        <f>+M1222-J1222</f>
        <v>-3.156361519724131E-2</v>
      </c>
      <c r="O1222">
        <v>2.23</v>
      </c>
      <c r="P1222" t="s">
        <v>16</v>
      </c>
      <c r="Q1222">
        <v>-0.03</v>
      </c>
      <c r="R1222">
        <v>-1.92540218625217E-2</v>
      </c>
      <c r="S1222">
        <v>-2.2043595323339001E-2</v>
      </c>
      <c r="T1222">
        <v>-0.05</v>
      </c>
    </row>
    <row r="1223" spans="1:20" x14ac:dyDescent="0.3">
      <c r="A1223" t="s">
        <v>95</v>
      </c>
      <c r="B1223">
        <v>2017</v>
      </c>
      <c r="C1223">
        <v>481674.1875</v>
      </c>
      <c r="D1223" s="1">
        <v>1.4999999999999999E-2</v>
      </c>
      <c r="E1223" s="1">
        <v>0.87609791755676303</v>
      </c>
      <c r="F1223" s="1">
        <v>-2.7E-2</v>
      </c>
      <c r="G1223" s="1">
        <f t="shared" ref="G1223:G1286" si="38">SUMIFS(F:F,A:A,A1223,B:B,"&lt;="&amp;B1223)</f>
        <v>1.7999999999999999E-2</v>
      </c>
      <c r="H1223" s="1" t="str">
        <f t="shared" ref="H1223:H1286" si="39">IFERROR(IF(ABS(G1223)&gt;0.12,AVERAGEIFS(K:K,A:A,A1223,B:B,"&gt;"&amp;B1223,B:B,"&lt;"&amp;B1223+3),""),"")</f>
        <v/>
      </c>
      <c r="I1223" s="1">
        <v>-5.0000000000000001E-3</v>
      </c>
      <c r="J1223" s="1">
        <f>+D1223-F1223+I1223*O1223</f>
        <v>3.1149999999999997E-2</v>
      </c>
      <c r="K1223" s="1">
        <v>1.74597813747823E-3</v>
      </c>
      <c r="L1223" s="1">
        <f>+K1223-J1223</f>
        <v>-2.9404021862521768E-2</v>
      </c>
      <c r="M1223" s="1">
        <v>-1.92540218625217E-2</v>
      </c>
      <c r="N1223" s="1">
        <f>+M1223-J1223</f>
        <v>-5.04040218625217E-2</v>
      </c>
      <c r="O1223">
        <v>2.17</v>
      </c>
      <c r="P1223" t="s">
        <v>16</v>
      </c>
      <c r="Q1223">
        <v>-0.02</v>
      </c>
      <c r="R1223">
        <v>-1.13829074203968E-2</v>
      </c>
      <c r="S1223">
        <v>-2.0517930388450501E-2</v>
      </c>
      <c r="T1223">
        <v>-0.02</v>
      </c>
    </row>
    <row r="1224" spans="1:20" x14ac:dyDescent="0.3">
      <c r="A1224" t="s">
        <v>95</v>
      </c>
      <c r="B1224">
        <v>2018</v>
      </c>
      <c r="C1224">
        <v>480062.28129999997</v>
      </c>
      <c r="D1224" s="1">
        <v>1.2E-2</v>
      </c>
      <c r="E1224" s="1">
        <v>0.89951044321060203</v>
      </c>
      <c r="F1224" s="1">
        <v>7.4999999999999997E-2</v>
      </c>
      <c r="G1224" s="1">
        <f t="shared" si="38"/>
        <v>9.2999999999999999E-2</v>
      </c>
      <c r="H1224" s="1" t="str">
        <f t="shared" si="39"/>
        <v/>
      </c>
      <c r="I1224" s="1">
        <v>2.3E-2</v>
      </c>
      <c r="J1224" s="1">
        <f>+D1224-F1224+I1224*O1224</f>
        <v>-9.4100000000000017E-3</v>
      </c>
      <c r="K1224" s="1">
        <v>1.26170925796032E-2</v>
      </c>
      <c r="L1224" s="1">
        <f>+K1224-J1224</f>
        <v>2.2027092579603204E-2</v>
      </c>
      <c r="M1224" s="1">
        <v>-1.13829074203968E-2</v>
      </c>
      <c r="N1224" s="1">
        <f>+M1224-J1224</f>
        <v>-1.9729074203967984E-3</v>
      </c>
      <c r="O1224">
        <v>2.33</v>
      </c>
      <c r="P1224" t="s">
        <v>15</v>
      </c>
      <c r="Q1224">
        <v>-0.02</v>
      </c>
      <c r="R1224">
        <v>5.9458251744509E-3</v>
      </c>
      <c r="S1224">
        <v>-1.18553694337606E-2</v>
      </c>
      <c r="T1224">
        <v>0.09</v>
      </c>
    </row>
    <row r="1225" spans="1:20" x14ac:dyDescent="0.3">
      <c r="A1225" t="s">
        <v>95</v>
      </c>
      <c r="B1225">
        <v>2019</v>
      </c>
      <c r="C1225">
        <v>478773.1875</v>
      </c>
      <c r="D1225" s="1">
        <v>1.6E-2</v>
      </c>
      <c r="E1225" s="1">
        <v>0.90783858299255404</v>
      </c>
      <c r="F1225" s="1">
        <v>1.2999999999999999E-2</v>
      </c>
      <c r="G1225" s="1">
        <f t="shared" si="38"/>
        <v>0.106</v>
      </c>
      <c r="H1225" s="1" t="str">
        <f t="shared" si="39"/>
        <v/>
      </c>
      <c r="I1225" s="1">
        <v>8.0000000000000002E-3</v>
      </c>
      <c r="J1225" s="1">
        <f>+D1225-F1225+I1225*O1225</f>
        <v>2.1880000000000004E-2</v>
      </c>
      <c r="K1225" s="1">
        <v>2.3945825174450899E-2</v>
      </c>
      <c r="L1225" s="1">
        <f>+K1225-J1225</f>
        <v>2.065825174450895E-3</v>
      </c>
      <c r="M1225" s="1">
        <v>5.9458251744509E-3</v>
      </c>
      <c r="N1225" s="1">
        <f>+M1225-J1225</f>
        <v>-1.5934174825549104E-2</v>
      </c>
      <c r="O1225">
        <v>2.36</v>
      </c>
      <c r="P1225" t="s">
        <v>15</v>
      </c>
      <c r="Q1225">
        <v>-0.01</v>
      </c>
      <c r="R1225">
        <v>3.2667087495326999E-2</v>
      </c>
      <c r="S1225">
        <v>1.38178970664739E-2</v>
      </c>
      <c r="T1225">
        <v>0.02</v>
      </c>
    </row>
    <row r="1226" spans="1:20" x14ac:dyDescent="0.3">
      <c r="A1226" t="s">
        <v>95</v>
      </c>
      <c r="B1226">
        <v>2020</v>
      </c>
      <c r="C1226">
        <v>478687</v>
      </c>
      <c r="D1226" s="1">
        <v>2E-3</v>
      </c>
      <c r="E1226" s="1">
        <v>0.93699049949645996</v>
      </c>
      <c r="F1226" s="1">
        <v>-3.6999999999999998E-2</v>
      </c>
      <c r="G1226" s="1">
        <f t="shared" si="38"/>
        <v>6.9000000000000006E-2</v>
      </c>
      <c r="H1226" s="1" t="str">
        <f t="shared" si="39"/>
        <v/>
      </c>
      <c r="I1226" s="1">
        <v>2.9000000000000001E-2</v>
      </c>
      <c r="J1226" s="1">
        <f>+D1226-F1226+I1226*O1226</f>
        <v>0.10483000000000001</v>
      </c>
      <c r="K1226" s="1">
        <v>4.4667087495327003E-2</v>
      </c>
      <c r="L1226" s="1">
        <f>+K1226-J1226</f>
        <v>-6.0162912504673004E-2</v>
      </c>
      <c r="M1226" s="1">
        <v>3.2667087495326999E-2</v>
      </c>
      <c r="N1226" s="1">
        <f>+M1226-J1226</f>
        <v>-7.2162912504673007E-2</v>
      </c>
      <c r="O1226">
        <v>2.27</v>
      </c>
      <c r="P1226" t="s">
        <v>17</v>
      </c>
      <c r="Q1226">
        <v>0.01</v>
      </c>
      <c r="R1226">
        <v>5.0971133887767799E-2</v>
      </c>
      <c r="S1226">
        <v>7.38152116537089E-3</v>
      </c>
      <c r="T1226">
        <v>0</v>
      </c>
    </row>
    <row r="1227" spans="1:20" x14ac:dyDescent="0.3">
      <c r="A1227" t="s">
        <v>95</v>
      </c>
      <c r="B1227">
        <v>2021</v>
      </c>
      <c r="C1227">
        <v>480224.40629999997</v>
      </c>
      <c r="D1227" s="1">
        <v>1.0999999999999999E-2</v>
      </c>
      <c r="E1227" s="1">
        <v>0.936074018478394</v>
      </c>
      <c r="F1227" s="1">
        <v>-1E-3</v>
      </c>
      <c r="G1227" s="1">
        <f t="shared" si="38"/>
        <v>6.8000000000000005E-2</v>
      </c>
      <c r="H1227" s="1" t="str">
        <f t="shared" si="39"/>
        <v/>
      </c>
      <c r="I1227" s="1">
        <v>-1E-3</v>
      </c>
      <c r="J1227" s="1">
        <f>+D1227-F1227+I1227*O1227</f>
        <v>9.7300000000000008E-3</v>
      </c>
      <c r="K1227" s="1">
        <v>9.7971133887767806E-2</v>
      </c>
      <c r="L1227" s="1">
        <f>+K1227-J1227</f>
        <v>8.8241133887767803E-2</v>
      </c>
      <c r="M1227" s="1">
        <v>5.0971133887767799E-2</v>
      </c>
      <c r="N1227" s="1">
        <f>+M1227-J1227</f>
        <v>4.1241133887767796E-2</v>
      </c>
      <c r="O1227">
        <v>2.27</v>
      </c>
      <c r="P1227" t="s">
        <v>16</v>
      </c>
      <c r="Q1227">
        <v>0.01</v>
      </c>
      <c r="R1227">
        <v>-6.00828918814659E-2</v>
      </c>
      <c r="S1227">
        <v>-2.7979385107755599E-2</v>
      </c>
      <c r="T1227">
        <v>-0.03</v>
      </c>
    </row>
    <row r="1228" spans="1:20" x14ac:dyDescent="0.3">
      <c r="A1228" t="s">
        <v>95</v>
      </c>
      <c r="B1228">
        <v>2022</v>
      </c>
      <c r="C1228">
        <v>481837.09379999997</v>
      </c>
      <c r="D1228" s="1">
        <v>6.0000000000000001E-3</v>
      </c>
      <c r="E1228" s="1">
        <v>0.91619855165481601</v>
      </c>
      <c r="F1228" s="1">
        <v>-4.3999999999999997E-2</v>
      </c>
      <c r="G1228" s="1">
        <f t="shared" si="38"/>
        <v>2.4000000000000007E-2</v>
      </c>
      <c r="H1228" s="1" t="str">
        <f t="shared" si="39"/>
        <v/>
      </c>
      <c r="I1228" s="1">
        <v>-0.02</v>
      </c>
      <c r="J1228" s="1">
        <f>+D1228-F1228+I1228*O1228</f>
        <v>6.5999999999999948E-3</v>
      </c>
      <c r="K1228" s="1">
        <v>1.9917108118534099E-2</v>
      </c>
      <c r="L1228" s="1">
        <f>+K1228-J1228</f>
        <v>1.3317108118534104E-2</v>
      </c>
      <c r="M1228" s="1">
        <v>-6.00828918814659E-2</v>
      </c>
      <c r="N1228" s="1">
        <f>+M1228-J1228</f>
        <v>-6.6682891881465894E-2</v>
      </c>
      <c r="O1228">
        <v>2.17</v>
      </c>
      <c r="P1228" t="s">
        <v>16</v>
      </c>
      <c r="Q1228">
        <v>-0.03</v>
      </c>
      <c r="R1228">
        <v>-1.4241550847888E-2</v>
      </c>
      <c r="S1228">
        <v>5.3173769265412998E-3</v>
      </c>
      <c r="T1228">
        <v>-0.03</v>
      </c>
    </row>
    <row r="1229" spans="1:20" x14ac:dyDescent="0.3">
      <c r="A1229" t="s">
        <v>96</v>
      </c>
      <c r="B1229">
        <v>2006</v>
      </c>
      <c r="C1229">
        <v>572706.1875</v>
      </c>
      <c r="D1229" s="1">
        <v>1.9E-2</v>
      </c>
      <c r="E1229" s="1">
        <v>0.92097449302673295</v>
      </c>
      <c r="F1229" s="1">
        <v>-4.4999999999999998E-2</v>
      </c>
      <c r="G1229" s="1">
        <f t="shared" si="38"/>
        <v>-4.4999999999999998E-2</v>
      </c>
      <c r="H1229" s="1" t="str">
        <f t="shared" si="39"/>
        <v/>
      </c>
      <c r="I1229" s="1">
        <v>-1.4999999999999999E-2</v>
      </c>
      <c r="J1229" s="1">
        <f>+D1229-F1229+I1229*O1229</f>
        <v>2.5450000000000007E-2</v>
      </c>
      <c r="K1229" s="1">
        <v>6.0660187155008302E-2</v>
      </c>
      <c r="L1229" s="1">
        <f>+K1229-J1229</f>
        <v>3.5210187155008295E-2</v>
      </c>
      <c r="M1229" s="1">
        <v>2.8660187155008301E-2</v>
      </c>
      <c r="N1229" s="1">
        <f>+M1229-J1229</f>
        <v>3.2101871550082942E-3</v>
      </c>
      <c r="O1229">
        <v>2.57</v>
      </c>
      <c r="P1229" t="s">
        <v>16</v>
      </c>
      <c r="Q1229">
        <v>0.02</v>
      </c>
      <c r="R1229">
        <v>-3.7626613825559999E-3</v>
      </c>
      <c r="S1229">
        <v>-2.8409054502845001E-3</v>
      </c>
      <c r="T1229">
        <v>-0.05</v>
      </c>
    </row>
    <row r="1230" spans="1:20" x14ac:dyDescent="0.3">
      <c r="A1230" t="s">
        <v>96</v>
      </c>
      <c r="B1230">
        <v>2007</v>
      </c>
      <c r="C1230">
        <v>588182.9375</v>
      </c>
      <c r="D1230" s="1">
        <v>0</v>
      </c>
      <c r="E1230" s="1">
        <v>0.89109563827514604</v>
      </c>
      <c r="F1230" s="1">
        <v>2.9000000000000001E-2</v>
      </c>
      <c r="G1230" s="1">
        <f t="shared" si="38"/>
        <v>-1.5999999999999997E-2</v>
      </c>
      <c r="H1230" s="1" t="str">
        <f t="shared" si="39"/>
        <v/>
      </c>
      <c r="I1230" s="1">
        <v>-0.03</v>
      </c>
      <c r="J1230" s="1">
        <f>+D1230-F1230+I1230*O1230</f>
        <v>-0.1082</v>
      </c>
      <c r="K1230" s="1">
        <v>2.5237338617444E-2</v>
      </c>
      <c r="L1230" s="1">
        <f>+K1230-J1230</f>
        <v>0.133437338617444</v>
      </c>
      <c r="M1230" s="1">
        <v>-3.7626613825559999E-3</v>
      </c>
      <c r="N1230" s="1">
        <f>+M1230-J1230</f>
        <v>0.104437338617444</v>
      </c>
      <c r="O1230">
        <v>2.64</v>
      </c>
      <c r="P1230" t="s">
        <v>17</v>
      </c>
      <c r="Q1230">
        <v>0</v>
      </c>
      <c r="R1230">
        <v>-5.2690304175019298E-2</v>
      </c>
      <c r="S1230">
        <v>-2.3179499898105801E-2</v>
      </c>
      <c r="T1230">
        <v>0.03</v>
      </c>
    </row>
    <row r="1231" spans="1:20" x14ac:dyDescent="0.3">
      <c r="A1231" t="s">
        <v>96</v>
      </c>
      <c r="B1231">
        <v>2008</v>
      </c>
      <c r="C1231">
        <v>595796.8125</v>
      </c>
      <c r="D1231" s="1">
        <v>3.6999999999999998E-2</v>
      </c>
      <c r="E1231" s="1">
        <v>0.88492035865783703</v>
      </c>
      <c r="F1231" s="1">
        <v>8.6999999999999994E-2</v>
      </c>
      <c r="G1231" s="1">
        <f t="shared" si="38"/>
        <v>7.0999999999999994E-2</v>
      </c>
      <c r="H1231" s="1" t="str">
        <f t="shared" si="39"/>
        <v/>
      </c>
      <c r="I1231" s="1">
        <v>-6.0000000000000001E-3</v>
      </c>
      <c r="J1231" s="1">
        <f>+D1231-F1231+I1231*O1231</f>
        <v>-6.7220000000000002E-2</v>
      </c>
      <c r="K1231" s="1">
        <v>-1.4690304175019301E-2</v>
      </c>
      <c r="L1231" s="1">
        <f>+K1231-J1231</f>
        <v>5.2529695824980703E-2</v>
      </c>
      <c r="M1231" s="1">
        <v>-5.2690304175019298E-2</v>
      </c>
      <c r="N1231" s="1">
        <f>+M1231-J1231</f>
        <v>1.4529695824980704E-2</v>
      </c>
      <c r="O1231">
        <v>2.87</v>
      </c>
      <c r="P1231" t="s">
        <v>17</v>
      </c>
      <c r="Q1231">
        <v>-0.02</v>
      </c>
      <c r="R1231">
        <v>-2.8840628176927601E-2</v>
      </c>
      <c r="S1231">
        <v>-2.2739265114069501E-3</v>
      </c>
      <c r="T1231">
        <v>0.08</v>
      </c>
    </row>
    <row r="1232" spans="1:20" x14ac:dyDescent="0.3">
      <c r="A1232" t="s">
        <v>96</v>
      </c>
      <c r="B1232">
        <v>2009</v>
      </c>
      <c r="C1232">
        <v>599738</v>
      </c>
      <c r="D1232" s="1">
        <v>5.3999999999999999E-2</v>
      </c>
      <c r="E1232" s="1">
        <v>0.88061916828155495</v>
      </c>
      <c r="F1232" s="1">
        <v>-0.109</v>
      </c>
      <c r="G1232" s="1">
        <f t="shared" si="38"/>
        <v>-3.8000000000000006E-2</v>
      </c>
      <c r="H1232" s="1" t="str">
        <f t="shared" si="39"/>
        <v/>
      </c>
      <c r="I1232" s="1">
        <v>-4.0000000000000001E-3</v>
      </c>
      <c r="J1232" s="1">
        <f>+D1232-F1232+I1232*O1232</f>
        <v>0.15276000000000001</v>
      </c>
      <c r="K1232" s="1">
        <v>-3.2840628176927601E-2</v>
      </c>
      <c r="L1232" s="1">
        <f>+K1232-J1232</f>
        <v>-0.1856006281769276</v>
      </c>
      <c r="M1232" s="1">
        <v>-2.8840628176927601E-2</v>
      </c>
      <c r="N1232" s="1">
        <f>+M1232-J1232</f>
        <v>-0.1816006281769276</v>
      </c>
      <c r="O1232">
        <v>2.56</v>
      </c>
      <c r="P1232" t="s">
        <v>16</v>
      </c>
      <c r="Q1232">
        <v>0</v>
      </c>
      <c r="R1232">
        <v>-4.0175562575458998E-3</v>
      </c>
      <c r="S1232">
        <v>5.44255250133578E-3</v>
      </c>
      <c r="T1232">
        <v>-0.13</v>
      </c>
    </row>
    <row r="1233" spans="1:20" x14ac:dyDescent="0.3">
      <c r="A1233" t="s">
        <v>96</v>
      </c>
      <c r="B1233">
        <v>2010</v>
      </c>
      <c r="C1233">
        <v>604126.5</v>
      </c>
      <c r="D1233" s="1">
        <v>1E-3</v>
      </c>
      <c r="E1233" s="1">
        <v>0.89615797996520996</v>
      </c>
      <c r="F1233" s="1">
        <v>0.04</v>
      </c>
      <c r="G1233" s="1">
        <f t="shared" si="38"/>
        <v>1.9999999999999948E-3</v>
      </c>
      <c r="H1233" s="1" t="str">
        <f t="shared" si="39"/>
        <v/>
      </c>
      <c r="I1233" s="1">
        <v>1.6E-2</v>
      </c>
      <c r="J1233" s="1">
        <f>+D1233-F1233+I1233*O1233</f>
        <v>3.5600000000000007E-3</v>
      </c>
      <c r="K1233" s="1">
        <v>1.1982443742454101E-2</v>
      </c>
      <c r="L1233" s="1">
        <f>+K1233-J1233</f>
        <v>8.4224437424540999E-3</v>
      </c>
      <c r="M1233" s="1">
        <v>-4.0175562575458998E-3</v>
      </c>
      <c r="N1233" s="1">
        <f>+M1233-J1233</f>
        <v>-7.5775562575459005E-3</v>
      </c>
      <c r="O1233">
        <v>2.66</v>
      </c>
      <c r="P1233" t="s">
        <v>15</v>
      </c>
      <c r="Q1233">
        <v>0.01</v>
      </c>
      <c r="R1233">
        <v>-1.9425736151635599E-2</v>
      </c>
      <c r="S1233">
        <v>1.8580383621157001E-3</v>
      </c>
      <c r="T1233">
        <v>0.03</v>
      </c>
    </row>
    <row r="1234" spans="1:20" x14ac:dyDescent="0.3">
      <c r="A1234" t="s">
        <v>96</v>
      </c>
      <c r="B1234">
        <v>2011</v>
      </c>
      <c r="C1234">
        <v>609126.5625</v>
      </c>
      <c r="D1234" s="1">
        <v>0</v>
      </c>
      <c r="E1234" s="1">
        <v>0.89997386932373002</v>
      </c>
      <c r="F1234" s="1">
        <v>-3.4000000000000002E-2</v>
      </c>
      <c r="G1234" s="1">
        <f t="shared" si="38"/>
        <v>-3.2000000000000008E-2</v>
      </c>
      <c r="H1234" s="1" t="str">
        <f t="shared" si="39"/>
        <v/>
      </c>
      <c r="I1234" s="1">
        <v>4.0000000000000001E-3</v>
      </c>
      <c r="J1234" s="1">
        <f>+D1234-F1234+I1234*O1234</f>
        <v>4.428E-2</v>
      </c>
      <c r="K1234" s="1">
        <v>1.25742638483644E-2</v>
      </c>
      <c r="L1234" s="1">
        <f>+K1234-J1234</f>
        <v>-3.1705736151635598E-2</v>
      </c>
      <c r="M1234" s="1">
        <v>-1.9425736151635599E-2</v>
      </c>
      <c r="N1234" s="1">
        <f>+M1234-J1234</f>
        <v>-6.3705736151635606E-2</v>
      </c>
      <c r="O1234">
        <v>2.57</v>
      </c>
      <c r="P1234" t="s">
        <v>17</v>
      </c>
      <c r="Q1234">
        <v>0</v>
      </c>
      <c r="R1234">
        <v>-3.0183776319026999E-3</v>
      </c>
      <c r="S1234">
        <v>2.4198284372686902E-3</v>
      </c>
      <c r="T1234">
        <v>-0.03</v>
      </c>
    </row>
    <row r="1235" spans="1:20" x14ac:dyDescent="0.3">
      <c r="A1235" t="s">
        <v>96</v>
      </c>
      <c r="B1235">
        <v>2012</v>
      </c>
      <c r="C1235">
        <v>613669.625</v>
      </c>
      <c r="D1235" s="1">
        <v>-1E-3</v>
      </c>
      <c r="E1235" s="1">
        <v>0.91775155067443803</v>
      </c>
      <c r="F1235" s="1">
        <v>-1.4E-2</v>
      </c>
      <c r="G1235" s="1">
        <f t="shared" si="38"/>
        <v>-4.6000000000000006E-2</v>
      </c>
      <c r="H1235" s="1" t="str">
        <f t="shared" si="39"/>
        <v/>
      </c>
      <c r="I1235" s="1">
        <v>1.7999999999999999E-2</v>
      </c>
      <c r="J1235" s="1">
        <f>+D1235-F1235+I1235*O1235</f>
        <v>5.8719999999999994E-2</v>
      </c>
      <c r="K1235" s="1">
        <v>1.7981622368097298E-2</v>
      </c>
      <c r="L1235" s="1">
        <f>+K1235-J1235</f>
        <v>-4.0738377631902696E-2</v>
      </c>
      <c r="M1235" s="1">
        <v>-3.0183776319026999E-3</v>
      </c>
      <c r="N1235" s="1">
        <f>+M1235-J1235</f>
        <v>-6.1738377631902694E-2</v>
      </c>
      <c r="O1235">
        <v>2.54</v>
      </c>
      <c r="P1235" t="s">
        <v>17</v>
      </c>
      <c r="Q1235">
        <v>0</v>
      </c>
      <c r="R1235">
        <v>1.23933634161948E-2</v>
      </c>
      <c r="S1235">
        <v>6.26659207046029E-3</v>
      </c>
      <c r="T1235">
        <v>-0.02</v>
      </c>
    </row>
    <row r="1236" spans="1:20" x14ac:dyDescent="0.3">
      <c r="A1236" t="s">
        <v>96</v>
      </c>
      <c r="B1236">
        <v>2013</v>
      </c>
      <c r="C1236">
        <v>620456.625</v>
      </c>
      <c r="D1236" s="1">
        <v>0.01</v>
      </c>
      <c r="E1236" s="1">
        <v>0.919652760028839</v>
      </c>
      <c r="F1236" s="1">
        <v>6.7000000000000004E-2</v>
      </c>
      <c r="G1236" s="1">
        <f t="shared" si="38"/>
        <v>2.0999999999999998E-2</v>
      </c>
      <c r="H1236" s="1" t="str">
        <f t="shared" si="39"/>
        <v/>
      </c>
      <c r="I1236" s="1">
        <v>2E-3</v>
      </c>
      <c r="J1236" s="1">
        <f>+D1236-F1236+I1236*O1236</f>
        <v>-5.1580000000000001E-2</v>
      </c>
      <c r="K1236" s="1">
        <v>2.7393363416194898E-2</v>
      </c>
      <c r="L1236" s="1">
        <f>+K1236-J1236</f>
        <v>7.8973363416194903E-2</v>
      </c>
      <c r="M1236" s="1">
        <v>1.23933634161948E-2</v>
      </c>
      <c r="N1236" s="1">
        <f>+M1236-J1236</f>
        <v>6.3973363416194806E-2</v>
      </c>
      <c r="O1236">
        <v>2.71</v>
      </c>
      <c r="P1236" t="s">
        <v>15</v>
      </c>
      <c r="Q1236">
        <v>0.01</v>
      </c>
      <c r="R1236">
        <v>1.0627119630575201E-2</v>
      </c>
      <c r="S1236">
        <v>8.6190961301326995E-3</v>
      </c>
      <c r="T1236">
        <v>0.06</v>
      </c>
    </row>
    <row r="1237" spans="1:20" x14ac:dyDescent="0.3">
      <c r="A1237" t="s">
        <v>96</v>
      </c>
      <c r="B1237">
        <v>2014</v>
      </c>
      <c r="C1237">
        <v>631432.375</v>
      </c>
      <c r="D1237" s="1">
        <v>-5.0000000000000001E-3</v>
      </c>
      <c r="E1237" s="1">
        <v>0.93687170743942305</v>
      </c>
      <c r="F1237" s="1">
        <v>5.0000000000000001E-3</v>
      </c>
      <c r="G1237" s="1">
        <f t="shared" si="38"/>
        <v>2.5999999999999999E-2</v>
      </c>
      <c r="H1237" s="1" t="str">
        <f t="shared" si="39"/>
        <v/>
      </c>
      <c r="I1237" s="1">
        <v>1.7000000000000001E-2</v>
      </c>
      <c r="J1237" s="1">
        <f>+D1237-F1237+I1237*O1237</f>
        <v>3.6240000000000001E-2</v>
      </c>
      <c r="K1237" s="1">
        <v>2.6627119630575201E-2</v>
      </c>
      <c r="L1237" s="1">
        <f>+K1237-J1237</f>
        <v>-9.6128803694248005E-3</v>
      </c>
      <c r="M1237" s="1">
        <v>1.0627119630575201E-2</v>
      </c>
      <c r="N1237" s="1">
        <f>+M1237-J1237</f>
        <v>-2.5612880369424801E-2</v>
      </c>
      <c r="O1237">
        <v>2.72</v>
      </c>
      <c r="P1237" t="s">
        <v>15</v>
      </c>
      <c r="Q1237">
        <v>0.01</v>
      </c>
      <c r="R1237">
        <v>4.43890487551689E-2</v>
      </c>
      <c r="S1237">
        <v>1.41255967319012E-2</v>
      </c>
      <c r="T1237">
        <v>0</v>
      </c>
    </row>
    <row r="1238" spans="1:20" x14ac:dyDescent="0.3">
      <c r="A1238" t="s">
        <v>96</v>
      </c>
      <c r="B1238">
        <v>2015</v>
      </c>
      <c r="C1238">
        <v>644896.1875</v>
      </c>
      <c r="D1238" s="1">
        <v>0</v>
      </c>
      <c r="E1238" s="1">
        <v>0.94588923454284701</v>
      </c>
      <c r="F1238" s="1">
        <v>-3.3000000000000002E-2</v>
      </c>
      <c r="G1238" s="1">
        <f t="shared" si="38"/>
        <v>-7.0000000000000027E-3</v>
      </c>
      <c r="H1238" s="1" t="str">
        <f t="shared" si="39"/>
        <v/>
      </c>
      <c r="I1238" s="1">
        <v>8.9999999999999993E-3</v>
      </c>
      <c r="J1238" s="1">
        <f>+D1238-F1238+I1238*O1238</f>
        <v>5.6669999999999998E-2</v>
      </c>
      <c r="K1238" s="1">
        <v>4.5389048755168901E-2</v>
      </c>
      <c r="L1238" s="1">
        <f>+K1238-J1238</f>
        <v>-1.1280951244831097E-2</v>
      </c>
      <c r="M1238" s="1">
        <v>4.43890487551689E-2</v>
      </c>
      <c r="N1238" s="1">
        <f>+M1238-J1238</f>
        <v>-1.2280951244831098E-2</v>
      </c>
      <c r="O1238">
        <v>2.63</v>
      </c>
      <c r="P1238" t="s">
        <v>17</v>
      </c>
      <c r="Q1238">
        <v>0.01</v>
      </c>
      <c r="R1238">
        <v>2.3841444671154E-2</v>
      </c>
      <c r="S1238">
        <v>1.06878876686096E-2</v>
      </c>
      <c r="T1238">
        <v>-0.02</v>
      </c>
    </row>
    <row r="1239" spans="1:20" x14ac:dyDescent="0.3">
      <c r="A1239" t="s">
        <v>96</v>
      </c>
      <c r="B1239">
        <v>2016</v>
      </c>
      <c r="C1239">
        <v>661395.6875</v>
      </c>
      <c r="D1239" s="1">
        <v>5.0000000000000001E-3</v>
      </c>
      <c r="E1239" s="1">
        <v>0.94374179840087902</v>
      </c>
      <c r="F1239" s="1">
        <v>-2.1999999999999999E-2</v>
      </c>
      <c r="G1239" s="1">
        <f t="shared" si="38"/>
        <v>-2.9000000000000001E-2</v>
      </c>
      <c r="H1239" s="1" t="str">
        <f t="shared" si="39"/>
        <v/>
      </c>
      <c r="I1239" s="1">
        <v>-2E-3</v>
      </c>
      <c r="J1239" s="1">
        <f>+D1239-F1239+I1239*O1239</f>
        <v>2.1860000000000001E-2</v>
      </c>
      <c r="K1239" s="1">
        <v>3.6841444671154001E-2</v>
      </c>
      <c r="L1239" s="1">
        <f>+K1239-J1239</f>
        <v>1.4981444671154E-2</v>
      </c>
      <c r="M1239" s="1">
        <v>2.3841444671154E-2</v>
      </c>
      <c r="N1239" s="1">
        <f>+M1239-J1239</f>
        <v>1.9814446711539993E-3</v>
      </c>
      <c r="O1239">
        <v>2.57</v>
      </c>
      <c r="P1239" t="s">
        <v>16</v>
      </c>
      <c r="Q1239">
        <v>0.01</v>
      </c>
      <c r="R1239">
        <v>1.7538139313459399E-2</v>
      </c>
      <c r="S1239">
        <v>1.4748565852642099E-2</v>
      </c>
      <c r="T1239">
        <v>-0.02</v>
      </c>
    </row>
    <row r="1240" spans="1:20" x14ac:dyDescent="0.3">
      <c r="A1240" t="s">
        <v>96</v>
      </c>
      <c r="B1240">
        <v>2017</v>
      </c>
      <c r="C1240">
        <v>679834.25</v>
      </c>
      <c r="D1240" s="1">
        <v>3.7999999999999999E-2</v>
      </c>
      <c r="E1240" s="1">
        <v>0.93615615367889404</v>
      </c>
      <c r="F1240" s="1">
        <v>4.3999999999999997E-2</v>
      </c>
      <c r="G1240" s="1">
        <f t="shared" si="38"/>
        <v>1.4999999999999996E-2</v>
      </c>
      <c r="H1240" s="1" t="str">
        <f t="shared" si="39"/>
        <v/>
      </c>
      <c r="I1240" s="1">
        <v>-8.0000000000000002E-3</v>
      </c>
      <c r="J1240" s="1">
        <f>+D1240-F1240+I1240*O1240</f>
        <v>-2.7439999999999999E-2</v>
      </c>
      <c r="K1240" s="1">
        <v>3.8538139313459403E-2</v>
      </c>
      <c r="L1240" s="1">
        <f>+K1240-J1240</f>
        <v>6.5978139313459402E-2</v>
      </c>
      <c r="M1240" s="1">
        <v>1.7538139313459399E-2</v>
      </c>
      <c r="N1240" s="1">
        <f>+M1240-J1240</f>
        <v>4.4978139313459398E-2</v>
      </c>
      <c r="O1240">
        <v>2.68</v>
      </c>
      <c r="P1240" t="s">
        <v>17</v>
      </c>
      <c r="Q1240">
        <v>0.01</v>
      </c>
      <c r="R1240">
        <v>9.7166264653206005E-3</v>
      </c>
      <c r="S1240">
        <v>5.81603497266804E-4</v>
      </c>
      <c r="T1240">
        <v>0.05</v>
      </c>
    </row>
    <row r="1241" spans="1:20" x14ac:dyDescent="0.3">
      <c r="A1241" t="s">
        <v>96</v>
      </c>
      <c r="B1241">
        <v>2018</v>
      </c>
      <c r="C1241">
        <v>698757</v>
      </c>
      <c r="D1241" s="1">
        <v>1.7000000000000001E-2</v>
      </c>
      <c r="E1241" s="1">
        <v>0.930927515029907</v>
      </c>
      <c r="F1241" s="1">
        <v>-1.6E-2</v>
      </c>
      <c r="G1241" s="1">
        <f t="shared" si="38"/>
        <v>-1.0000000000000044E-3</v>
      </c>
      <c r="H1241" s="1" t="str">
        <f t="shared" si="39"/>
        <v/>
      </c>
      <c r="I1241" s="1">
        <v>-5.0000000000000001E-3</v>
      </c>
      <c r="J1241" s="1">
        <f>+D1241-F1241+I1241*O1241</f>
        <v>1.9799999999999998E-2</v>
      </c>
      <c r="K1241" s="1">
        <v>3.3716626465320601E-2</v>
      </c>
      <c r="L1241" s="1">
        <f>+K1241-J1241</f>
        <v>1.3916626465320603E-2</v>
      </c>
      <c r="M1241" s="1">
        <v>9.7166264653206005E-3</v>
      </c>
      <c r="N1241" s="1">
        <f>+M1241-J1241</f>
        <v>-1.0083373534679398E-2</v>
      </c>
      <c r="O1241">
        <v>2.64</v>
      </c>
      <c r="P1241" t="s">
        <v>16</v>
      </c>
      <c r="Q1241">
        <v>0</v>
      </c>
      <c r="R1241">
        <v>2.2402006357908202E-2</v>
      </c>
      <c r="S1241">
        <v>4.6008117496966899E-3</v>
      </c>
      <c r="T1241">
        <v>-0.01</v>
      </c>
    </row>
    <row r="1242" spans="1:20" x14ac:dyDescent="0.3">
      <c r="A1242" t="s">
        <v>96</v>
      </c>
      <c r="B1242">
        <v>2019</v>
      </c>
      <c r="C1242">
        <v>715691</v>
      </c>
      <c r="D1242" s="1">
        <v>2.5000000000000001E-2</v>
      </c>
      <c r="E1242" s="1">
        <v>0.92789345979690596</v>
      </c>
      <c r="F1242" s="1">
        <v>-2.3E-2</v>
      </c>
      <c r="G1242" s="1">
        <f t="shared" si="38"/>
        <v>-2.4000000000000004E-2</v>
      </c>
      <c r="H1242" s="1" t="str">
        <f t="shared" si="39"/>
        <v/>
      </c>
      <c r="I1242" s="1">
        <v>-3.0000000000000001E-3</v>
      </c>
      <c r="J1242" s="1">
        <f>+D1242-F1242+I1242*O1242</f>
        <v>4.0260000000000004E-2</v>
      </c>
      <c r="K1242" s="1">
        <v>4.04020063579082E-2</v>
      </c>
      <c r="L1242" s="1">
        <f>+K1242-J1242</f>
        <v>1.4200635790819621E-4</v>
      </c>
      <c r="M1242" s="1">
        <v>2.2402006357908202E-2</v>
      </c>
      <c r="N1242" s="1">
        <f>+M1242-J1242</f>
        <v>-1.7857993642091802E-2</v>
      </c>
      <c r="O1242">
        <v>2.58</v>
      </c>
      <c r="P1242" t="s">
        <v>16</v>
      </c>
      <c r="Q1242">
        <v>0</v>
      </c>
      <c r="R1242">
        <v>-7.6428883522750002E-4</v>
      </c>
      <c r="S1242">
        <v>-1.96134792640805E-2</v>
      </c>
      <c r="T1242">
        <v>-0.01</v>
      </c>
    </row>
    <row r="1243" spans="1:20" x14ac:dyDescent="0.3">
      <c r="A1243" t="s">
        <v>96</v>
      </c>
      <c r="B1243">
        <v>2020</v>
      </c>
      <c r="C1243">
        <v>736539.125</v>
      </c>
      <c r="D1243" s="1">
        <v>9.5000000000000001E-2</v>
      </c>
      <c r="E1243" s="1">
        <v>0.90952801704406705</v>
      </c>
      <c r="F1243" s="1">
        <v>5.8000000000000003E-2</v>
      </c>
      <c r="G1243" s="1">
        <f t="shared" si="38"/>
        <v>3.4000000000000002E-2</v>
      </c>
      <c r="H1243" s="1" t="str">
        <f t="shared" si="39"/>
        <v/>
      </c>
      <c r="I1243" s="1">
        <v>-1.7999999999999999E-2</v>
      </c>
      <c r="J1243" s="1">
        <f>+D1243-F1243+I1243*O1243</f>
        <v>-1.2139999999999998E-2</v>
      </c>
      <c r="K1243" s="1">
        <v>1.12357111647725E-2</v>
      </c>
      <c r="L1243" s="1">
        <f>+K1243-J1243</f>
        <v>2.3375711164772498E-2</v>
      </c>
      <c r="M1243" s="1">
        <v>-7.6428883522750002E-4</v>
      </c>
      <c r="N1243" s="1">
        <f>+M1243-J1243</f>
        <v>1.1375711164772498E-2</v>
      </c>
      <c r="O1243">
        <v>2.73</v>
      </c>
      <c r="P1243" t="s">
        <v>17</v>
      </c>
      <c r="Q1243">
        <v>-0.02</v>
      </c>
      <c r="R1243">
        <v>8.2172995686530997E-2</v>
      </c>
      <c r="S1243">
        <v>3.8583382964134098E-2</v>
      </c>
      <c r="T1243">
        <v>0.1</v>
      </c>
    </row>
    <row r="1244" spans="1:20" x14ac:dyDescent="0.3">
      <c r="A1244" t="s">
        <v>96</v>
      </c>
      <c r="B1244">
        <v>2021</v>
      </c>
      <c r="C1244">
        <v>764246.8125</v>
      </c>
      <c r="D1244" s="1">
        <v>7.0000000000000007E-2</v>
      </c>
      <c r="E1244" s="1">
        <v>0.94562220573425304</v>
      </c>
      <c r="F1244" s="1">
        <v>5.0000000000000001E-3</v>
      </c>
      <c r="G1244" s="1">
        <f t="shared" si="38"/>
        <v>3.9E-2</v>
      </c>
      <c r="H1244" s="1" t="str">
        <f t="shared" si="39"/>
        <v/>
      </c>
      <c r="I1244" s="1">
        <v>3.5999999999999997E-2</v>
      </c>
      <c r="J1244" s="1">
        <f>+D1244-F1244+I1244*O1244</f>
        <v>0.16364000000000001</v>
      </c>
      <c r="K1244" s="1">
        <v>0.12917299568653101</v>
      </c>
      <c r="L1244" s="1">
        <f>+K1244-J1244</f>
        <v>-3.4467004313468996E-2</v>
      </c>
      <c r="M1244" s="1">
        <v>8.2172995686530997E-2</v>
      </c>
      <c r="N1244" s="1">
        <f>+M1244-J1244</f>
        <v>-8.146700431346901E-2</v>
      </c>
      <c r="O1244">
        <v>2.74</v>
      </c>
      <c r="P1244" t="s">
        <v>15</v>
      </c>
      <c r="Q1244">
        <v>0.04</v>
      </c>
      <c r="R1244">
        <v>-3.4768273979425397E-2</v>
      </c>
      <c r="S1244">
        <v>-2.6647672057151001E-3</v>
      </c>
      <c r="T1244">
        <v>-0.02</v>
      </c>
    </row>
    <row r="1245" spans="1:20" x14ac:dyDescent="0.3">
      <c r="A1245" t="s">
        <v>96</v>
      </c>
      <c r="B1245">
        <v>2022</v>
      </c>
      <c r="C1245">
        <v>798796</v>
      </c>
      <c r="D1245" s="1">
        <v>6.6000000000000003E-2</v>
      </c>
      <c r="E1245" s="1">
        <v>0.91483354568481401</v>
      </c>
      <c r="F1245" s="1">
        <v>-9.7000000000000003E-2</v>
      </c>
      <c r="G1245" s="1">
        <f t="shared" si="38"/>
        <v>-5.8000000000000003E-2</v>
      </c>
      <c r="H1245" s="1" t="str">
        <f t="shared" si="39"/>
        <v/>
      </c>
      <c r="I1245" s="1">
        <v>-3.1E-2</v>
      </c>
      <c r="J1245" s="1">
        <f>+D1245-F1245+I1245*O1245</f>
        <v>8.6120000000000002E-2</v>
      </c>
      <c r="K1245" s="1">
        <v>4.5231726020574597E-2</v>
      </c>
      <c r="L1245" s="1">
        <f>+K1245-J1245</f>
        <v>-4.0888273979425405E-2</v>
      </c>
      <c r="M1245" s="1">
        <v>-3.4768273979425397E-2</v>
      </c>
      <c r="N1245" s="1">
        <f>+M1245-J1245</f>
        <v>-0.12088827397942539</v>
      </c>
      <c r="O1245">
        <v>2.48</v>
      </c>
      <c r="P1245" t="s">
        <v>16</v>
      </c>
      <c r="Q1245">
        <v>0</v>
      </c>
      <c r="R1245">
        <v>-4.7470677442848601E-2</v>
      </c>
      <c r="S1245">
        <v>-2.7911749668419299E-2</v>
      </c>
      <c r="T1245">
        <v>-0.08</v>
      </c>
    </row>
    <row r="1246" spans="1:20" x14ac:dyDescent="0.3">
      <c r="A1246" t="s">
        <v>97</v>
      </c>
      <c r="B1246">
        <v>2006</v>
      </c>
      <c r="C1246">
        <v>502323</v>
      </c>
      <c r="D1246" s="1">
        <v>0</v>
      </c>
      <c r="E1246" s="1">
        <v>0.95769065618515004</v>
      </c>
      <c r="F1246" s="1">
        <v>-2.5000000000000001E-2</v>
      </c>
      <c r="G1246" s="1">
        <f t="shared" si="38"/>
        <v>-2.5000000000000001E-2</v>
      </c>
      <c r="H1246" s="1" t="str">
        <f t="shared" si="39"/>
        <v/>
      </c>
      <c r="I1246" s="1">
        <v>4.0000000000000001E-3</v>
      </c>
      <c r="J1246" s="1">
        <f>+D1246-F1246+I1246*O1246</f>
        <v>3.3759999999999998E-2</v>
      </c>
      <c r="K1246" s="1">
        <v>3.1016500666737602E-2</v>
      </c>
      <c r="L1246" s="1">
        <f>+K1246-J1246</f>
        <v>-2.7434993332623968E-3</v>
      </c>
      <c r="M1246" s="1">
        <v>-9.8349933326239911E-4</v>
      </c>
      <c r="N1246" s="1">
        <f>+M1246-J1246</f>
        <v>-3.4743499333262401E-2</v>
      </c>
      <c r="O1246">
        <v>2.19</v>
      </c>
      <c r="P1246" t="s">
        <v>17</v>
      </c>
      <c r="Q1246">
        <v>-0.01</v>
      </c>
      <c r="R1246">
        <v>2.2118586152791902E-3</v>
      </c>
      <c r="S1246">
        <v>3.1336145475506999E-3</v>
      </c>
      <c r="T1246">
        <v>-0.03</v>
      </c>
    </row>
    <row r="1247" spans="1:20" x14ac:dyDescent="0.3">
      <c r="A1247" t="s">
        <v>97</v>
      </c>
      <c r="B1247">
        <v>2007</v>
      </c>
      <c r="C1247">
        <v>507965.09379999997</v>
      </c>
      <c r="D1247" s="1">
        <v>2.7E-2</v>
      </c>
      <c r="E1247" s="1">
        <v>0.95543128252029397</v>
      </c>
      <c r="F1247" s="1">
        <v>4.3999999999999997E-2</v>
      </c>
      <c r="G1247" s="1">
        <f t="shared" si="38"/>
        <v>1.8999999999999996E-2</v>
      </c>
      <c r="H1247" s="1" t="str">
        <f t="shared" si="39"/>
        <v/>
      </c>
      <c r="I1247" s="1">
        <v>-2E-3</v>
      </c>
      <c r="J1247" s="1">
        <f>+D1247-F1247+I1247*O1247</f>
        <v>-2.1579999999999998E-2</v>
      </c>
      <c r="K1247" s="1">
        <v>3.1211858615279201E-2</v>
      </c>
      <c r="L1247" s="1">
        <f>+K1247-J1247</f>
        <v>5.27918586152792E-2</v>
      </c>
      <c r="M1247" s="1">
        <v>2.2118586152791902E-3</v>
      </c>
      <c r="N1247" s="1">
        <f>+M1247-J1247</f>
        <v>2.3791858615279188E-2</v>
      </c>
      <c r="O1247">
        <v>2.29</v>
      </c>
      <c r="P1247" t="s">
        <v>17</v>
      </c>
      <c r="Q1247">
        <v>0</v>
      </c>
      <c r="R1247">
        <v>-3.1782400153577299E-2</v>
      </c>
      <c r="S1247">
        <v>-2.2715958766639198E-3</v>
      </c>
      <c r="T1247">
        <v>0.04</v>
      </c>
    </row>
    <row r="1248" spans="1:20" x14ac:dyDescent="0.3">
      <c r="A1248" t="s">
        <v>97</v>
      </c>
      <c r="B1248">
        <v>2008</v>
      </c>
      <c r="C1248">
        <v>513133.78129999997</v>
      </c>
      <c r="D1248" s="1">
        <v>1.4E-2</v>
      </c>
      <c r="E1248" s="1">
        <v>0.94725859165191695</v>
      </c>
      <c r="F1248" s="1">
        <v>2E-3</v>
      </c>
      <c r="G1248" s="1">
        <f t="shared" si="38"/>
        <v>2.0999999999999998E-2</v>
      </c>
      <c r="H1248" s="1" t="str">
        <f t="shared" si="39"/>
        <v/>
      </c>
      <c r="I1248" s="1">
        <v>-8.0000000000000002E-3</v>
      </c>
      <c r="J1248" s="1">
        <f>+D1248-F1248+I1248*O1248</f>
        <v>-6.3999999999999994E-3</v>
      </c>
      <c r="K1248" s="1">
        <v>6.2175998464226697E-3</v>
      </c>
      <c r="L1248" s="1">
        <f>+K1248-J1248</f>
        <v>1.2617599846422668E-2</v>
      </c>
      <c r="M1248" s="1">
        <v>-3.1782400153577299E-2</v>
      </c>
      <c r="N1248" s="1">
        <f>+M1248-J1248</f>
        <v>-2.53824001535773E-2</v>
      </c>
      <c r="O1248">
        <v>2.2999999999999998</v>
      </c>
      <c r="P1248" t="s">
        <v>17</v>
      </c>
      <c r="Q1248">
        <v>0</v>
      </c>
      <c r="R1248">
        <v>-2.48898702710867E-2</v>
      </c>
      <c r="S1248">
        <v>1.6768313944339501E-3</v>
      </c>
      <c r="T1248">
        <v>0</v>
      </c>
    </row>
    <row r="1249" spans="1:20" x14ac:dyDescent="0.3">
      <c r="A1249" t="s">
        <v>97</v>
      </c>
      <c r="B1249">
        <v>2009</v>
      </c>
      <c r="C1249">
        <v>517590.28129999997</v>
      </c>
      <c r="D1249" s="1">
        <v>3.4000000000000002E-2</v>
      </c>
      <c r="E1249" s="1">
        <v>0.95037245750427202</v>
      </c>
      <c r="F1249" s="1">
        <v>-1.2E-2</v>
      </c>
      <c r="G1249" s="1">
        <f t="shared" si="38"/>
        <v>8.9999999999999976E-3</v>
      </c>
      <c r="H1249" s="1" t="str">
        <f t="shared" si="39"/>
        <v/>
      </c>
      <c r="I1249" s="1">
        <v>3.0000000000000001E-3</v>
      </c>
      <c r="J1249" s="1">
        <f>+D1249-F1249+I1249*O1249</f>
        <v>5.2809999999999996E-2</v>
      </c>
      <c r="K1249" s="1">
        <v>-2.88898702710867E-2</v>
      </c>
      <c r="L1249" s="1">
        <f>+K1249-J1249</f>
        <v>-8.1699870271086689E-2</v>
      </c>
      <c r="M1249" s="1">
        <v>-2.48898702710867E-2</v>
      </c>
      <c r="N1249" s="1">
        <f>+M1249-J1249</f>
        <v>-7.7699870271086699E-2</v>
      </c>
      <c r="O1249">
        <v>2.27</v>
      </c>
      <c r="P1249" t="s">
        <v>17</v>
      </c>
      <c r="Q1249">
        <v>0</v>
      </c>
      <c r="R1249">
        <v>-9.8652377724599201E-5</v>
      </c>
      <c r="S1249">
        <v>9.3614563811570805E-3</v>
      </c>
      <c r="T1249">
        <v>-0.03</v>
      </c>
    </row>
    <row r="1250" spans="1:20" x14ac:dyDescent="0.3">
      <c r="A1250" t="s">
        <v>97</v>
      </c>
      <c r="B1250">
        <v>2010</v>
      </c>
      <c r="C1250">
        <v>521605.40629999997</v>
      </c>
      <c r="D1250" s="1">
        <v>8.0000000000000002E-3</v>
      </c>
      <c r="E1250" s="1">
        <v>0.95050895214080799</v>
      </c>
      <c r="F1250" s="1">
        <v>8.9999999999999993E-3</v>
      </c>
      <c r="G1250" s="1">
        <f t="shared" si="38"/>
        <v>1.7999999999999995E-2</v>
      </c>
      <c r="H1250" s="1" t="str">
        <f t="shared" si="39"/>
        <v/>
      </c>
      <c r="I1250" s="1">
        <v>0</v>
      </c>
      <c r="J1250" s="1">
        <f>+D1250-F1250+I1250*O1250</f>
        <v>-9.9999999999999915E-4</v>
      </c>
      <c r="K1250" s="1">
        <v>1.5901347622275401E-2</v>
      </c>
      <c r="L1250" s="1">
        <f>+K1250-J1250</f>
        <v>1.6901347622275402E-2</v>
      </c>
      <c r="M1250" s="1">
        <v>-9.8652377724599201E-5</v>
      </c>
      <c r="N1250" s="1">
        <f>+M1250-J1250</f>
        <v>9.0134762227539998E-4</v>
      </c>
      <c r="O1250">
        <v>2.29</v>
      </c>
      <c r="P1250" t="s">
        <v>15</v>
      </c>
      <c r="Q1250">
        <v>0.01</v>
      </c>
      <c r="R1250">
        <v>-2.0949400372803201E-2</v>
      </c>
      <c r="S1250">
        <v>3.3437414094809799E-4</v>
      </c>
      <c r="T1250">
        <v>0</v>
      </c>
    </row>
    <row r="1251" spans="1:20" x14ac:dyDescent="0.3">
      <c r="A1251" t="s">
        <v>97</v>
      </c>
      <c r="B1251">
        <v>2011</v>
      </c>
      <c r="C1251">
        <v>525712.5</v>
      </c>
      <c r="D1251" s="1">
        <v>3.0000000000000001E-3</v>
      </c>
      <c r="E1251" s="1">
        <v>0.95375132560730003</v>
      </c>
      <c r="F1251" s="1">
        <v>-2.9000000000000001E-2</v>
      </c>
      <c r="G1251" s="1">
        <f t="shared" si="38"/>
        <v>-1.1000000000000006E-2</v>
      </c>
      <c r="H1251" s="1" t="str">
        <f t="shared" si="39"/>
        <v/>
      </c>
      <c r="I1251" s="1">
        <v>3.0000000000000001E-3</v>
      </c>
      <c r="J1251" s="1">
        <f>+D1251-F1251+I1251*O1251</f>
        <v>3.866E-2</v>
      </c>
      <c r="K1251" s="1">
        <v>1.1050599627196799E-2</v>
      </c>
      <c r="L1251" s="1">
        <f>+K1251-J1251</f>
        <v>-2.7609400372803201E-2</v>
      </c>
      <c r="M1251" s="1">
        <v>-2.0949400372803201E-2</v>
      </c>
      <c r="N1251" s="1">
        <f>+M1251-J1251</f>
        <v>-5.9609400372803198E-2</v>
      </c>
      <c r="O1251">
        <v>2.2200000000000002</v>
      </c>
      <c r="P1251" t="s">
        <v>17</v>
      </c>
      <c r="Q1251">
        <v>0</v>
      </c>
      <c r="R1251">
        <v>-3.3226723819970998E-3</v>
      </c>
      <c r="S1251">
        <v>2.1155336871742899E-3</v>
      </c>
      <c r="T1251">
        <v>-0.03</v>
      </c>
    </row>
    <row r="1252" spans="1:20" x14ac:dyDescent="0.3">
      <c r="A1252" t="s">
        <v>97</v>
      </c>
      <c r="B1252">
        <v>2012</v>
      </c>
      <c r="C1252">
        <v>529456.125</v>
      </c>
      <c r="D1252" s="1">
        <v>1.7000000000000001E-2</v>
      </c>
      <c r="E1252" s="1">
        <v>0.95105659961700395</v>
      </c>
      <c r="F1252" s="1">
        <v>6.0999999999999999E-2</v>
      </c>
      <c r="G1252" s="1">
        <f t="shared" si="38"/>
        <v>4.9999999999999989E-2</v>
      </c>
      <c r="H1252" s="1" t="str">
        <f t="shared" si="39"/>
        <v/>
      </c>
      <c r="I1252" s="1">
        <v>-3.0000000000000001E-3</v>
      </c>
      <c r="J1252" s="1">
        <f>+D1252-F1252+I1252*O1252</f>
        <v>-5.108E-2</v>
      </c>
      <c r="K1252" s="1">
        <v>1.7677327618002898E-2</v>
      </c>
      <c r="L1252" s="1">
        <f>+K1252-J1252</f>
        <v>6.8757327618002906E-2</v>
      </c>
      <c r="M1252" s="1">
        <v>-3.3226723819970998E-3</v>
      </c>
      <c r="N1252" s="1">
        <f>+M1252-J1252</f>
        <v>4.7757327618002901E-2</v>
      </c>
      <c r="O1252">
        <v>2.36</v>
      </c>
      <c r="P1252" t="s">
        <v>17</v>
      </c>
      <c r="Q1252">
        <v>0</v>
      </c>
      <c r="R1252">
        <v>3.7401752918958999E-3</v>
      </c>
      <c r="S1252">
        <v>-2.38659605383869E-3</v>
      </c>
      <c r="T1252">
        <v>0.06</v>
      </c>
    </row>
    <row r="1253" spans="1:20" x14ac:dyDescent="0.3">
      <c r="A1253" t="s">
        <v>97</v>
      </c>
      <c r="B1253">
        <v>2013</v>
      </c>
      <c r="C1253">
        <v>533250.9375</v>
      </c>
      <c r="D1253" s="1">
        <v>0.01</v>
      </c>
      <c r="E1253" s="1">
        <v>0.945778608322144</v>
      </c>
      <c r="F1253" s="1">
        <v>-3.5000000000000003E-2</v>
      </c>
      <c r="G1253" s="1">
        <f t="shared" si="38"/>
        <v>1.4999999999999986E-2</v>
      </c>
      <c r="H1253" s="1" t="str">
        <f t="shared" si="39"/>
        <v/>
      </c>
      <c r="I1253" s="1">
        <v>-5.0000000000000001E-3</v>
      </c>
      <c r="J1253" s="1">
        <f>+D1253-F1253+I1253*O1253</f>
        <v>3.3650000000000006E-2</v>
      </c>
      <c r="K1253" s="1">
        <v>1.8740175291895901E-2</v>
      </c>
      <c r="L1253" s="1">
        <f>+K1253-J1253</f>
        <v>-1.4909824708104105E-2</v>
      </c>
      <c r="M1253" s="1">
        <v>3.7401752918958999E-3</v>
      </c>
      <c r="N1253" s="1">
        <f>+M1253-J1253</f>
        <v>-2.9909824708104105E-2</v>
      </c>
      <c r="O1253">
        <v>2.27</v>
      </c>
      <c r="P1253" t="s">
        <v>16</v>
      </c>
      <c r="Q1253">
        <v>0</v>
      </c>
      <c r="R1253">
        <v>-2.1047407612205002E-3</v>
      </c>
      <c r="S1253">
        <v>-4.112764261663E-3</v>
      </c>
      <c r="T1253">
        <v>-0.04</v>
      </c>
    </row>
    <row r="1254" spans="1:20" x14ac:dyDescent="0.3">
      <c r="A1254" t="s">
        <v>97</v>
      </c>
      <c r="B1254">
        <v>2014</v>
      </c>
      <c r="C1254">
        <v>537095.25</v>
      </c>
      <c r="D1254" s="1">
        <v>4.0000000000000001E-3</v>
      </c>
      <c r="E1254" s="1">
        <v>0.945218145847321</v>
      </c>
      <c r="F1254" s="1">
        <v>4.5999999999999999E-2</v>
      </c>
      <c r="G1254" s="1">
        <f t="shared" si="38"/>
        <v>6.0999999999999985E-2</v>
      </c>
      <c r="H1254" s="1" t="str">
        <f t="shared" si="39"/>
        <v/>
      </c>
      <c r="I1254" s="1">
        <v>-1E-3</v>
      </c>
      <c r="J1254" s="1">
        <f>+D1254-F1254+I1254*O1254</f>
        <v>-4.4379999999999996E-2</v>
      </c>
      <c r="K1254" s="1">
        <v>1.38952592387795E-2</v>
      </c>
      <c r="L1254" s="1">
        <f>+K1254-J1254</f>
        <v>5.8275259238779492E-2</v>
      </c>
      <c r="M1254" s="1">
        <v>-2.1047407612205002E-3</v>
      </c>
      <c r="N1254" s="1">
        <f>+M1254-J1254</f>
        <v>4.2275259238779499E-2</v>
      </c>
      <c r="O1254">
        <v>2.38</v>
      </c>
      <c r="P1254" t="s">
        <v>17</v>
      </c>
      <c r="Q1254">
        <v>0</v>
      </c>
      <c r="R1254">
        <v>2.83761361390352E-2</v>
      </c>
      <c r="S1254">
        <v>-1.88731588423249E-3</v>
      </c>
      <c r="T1254">
        <v>0.04</v>
      </c>
    </row>
    <row r="1255" spans="1:20" x14ac:dyDescent="0.3">
      <c r="A1255" t="s">
        <v>97</v>
      </c>
      <c r="B1255">
        <v>2015</v>
      </c>
      <c r="C1255">
        <v>540225.25</v>
      </c>
      <c r="D1255" s="1">
        <v>1.0999999999999999E-2</v>
      </c>
      <c r="E1255" s="1">
        <v>0.949379563331604</v>
      </c>
      <c r="F1255" s="1">
        <v>-2.3E-2</v>
      </c>
      <c r="G1255" s="1">
        <f t="shared" si="38"/>
        <v>3.7999999999999985E-2</v>
      </c>
      <c r="H1255" s="1" t="str">
        <f t="shared" si="39"/>
        <v/>
      </c>
      <c r="I1255" s="1">
        <v>4.0000000000000001E-3</v>
      </c>
      <c r="J1255" s="1">
        <f>+D1255-F1255+I1255*O1255</f>
        <v>4.3279999999999999E-2</v>
      </c>
      <c r="K1255" s="1">
        <v>2.9376136139035201E-2</v>
      </c>
      <c r="L1255" s="1">
        <f>+K1255-J1255</f>
        <v>-1.3903863860964798E-2</v>
      </c>
      <c r="M1255" s="1">
        <v>2.83761361390352E-2</v>
      </c>
      <c r="N1255" s="1">
        <f>+M1255-J1255</f>
        <v>-1.4903863860964799E-2</v>
      </c>
      <c r="O1255">
        <v>2.3199999999999998</v>
      </c>
      <c r="P1255" t="s">
        <v>17</v>
      </c>
      <c r="Q1255">
        <v>0</v>
      </c>
      <c r="R1255">
        <v>1.7323868617415399E-2</v>
      </c>
      <c r="S1255">
        <v>4.1703116148709999E-3</v>
      </c>
      <c r="T1255">
        <v>-0.01</v>
      </c>
    </row>
    <row r="1256" spans="1:20" x14ac:dyDescent="0.3">
      <c r="A1256" t="s">
        <v>97</v>
      </c>
      <c r="B1256">
        <v>2016</v>
      </c>
      <c r="C1256">
        <v>543450.625</v>
      </c>
      <c r="D1256" s="1">
        <v>2.5999999999999999E-2</v>
      </c>
      <c r="E1256" s="1">
        <v>0.94984728097915605</v>
      </c>
      <c r="F1256" s="1">
        <v>2.1999999999999999E-2</v>
      </c>
      <c r="G1256" s="1">
        <f t="shared" si="38"/>
        <v>5.9999999999999984E-2</v>
      </c>
      <c r="H1256" s="1" t="str">
        <f t="shared" si="39"/>
        <v/>
      </c>
      <c r="I1256" s="1">
        <v>0</v>
      </c>
      <c r="J1256" s="1">
        <f>+D1256-F1256+I1256*O1256</f>
        <v>4.0000000000000001E-3</v>
      </c>
      <c r="K1256" s="1">
        <v>3.03238686174154E-2</v>
      </c>
      <c r="L1256" s="1">
        <f>+K1256-J1256</f>
        <v>2.63238686174154E-2</v>
      </c>
      <c r="M1256" s="1">
        <v>1.7323868617415399E-2</v>
      </c>
      <c r="N1256" s="1">
        <f>+M1256-J1256</f>
        <v>1.3323868617415399E-2</v>
      </c>
      <c r="O1256">
        <v>2.37</v>
      </c>
      <c r="P1256" t="s">
        <v>15</v>
      </c>
      <c r="Q1256">
        <v>0</v>
      </c>
      <c r="R1256">
        <v>8.2307380586863002E-3</v>
      </c>
      <c r="S1256">
        <v>5.441164597869E-3</v>
      </c>
      <c r="T1256">
        <v>0.02</v>
      </c>
    </row>
    <row r="1257" spans="1:20" x14ac:dyDescent="0.3">
      <c r="A1257" t="s">
        <v>97</v>
      </c>
      <c r="B1257">
        <v>2017</v>
      </c>
      <c r="C1257">
        <v>547039.9375</v>
      </c>
      <c r="D1257" s="1">
        <v>0.03</v>
      </c>
      <c r="E1257" s="1">
        <v>0.95846718549728405</v>
      </c>
      <c r="F1257" s="1">
        <v>-1.4999999999999999E-2</v>
      </c>
      <c r="G1257" s="1">
        <f t="shared" si="38"/>
        <v>4.4999999999999984E-2</v>
      </c>
      <c r="H1257" s="1" t="str">
        <f t="shared" si="39"/>
        <v/>
      </c>
      <c r="I1257" s="1">
        <v>8.9999999999999993E-3</v>
      </c>
      <c r="J1257" s="1">
        <f>+D1257-F1257+I1257*O1257</f>
        <v>6.6059999999999994E-2</v>
      </c>
      <c r="K1257" s="1">
        <v>2.9230738058686302E-2</v>
      </c>
      <c r="L1257" s="1">
        <f>+K1257-J1257</f>
        <v>-3.6829261941313696E-2</v>
      </c>
      <c r="M1257" s="1">
        <v>8.2307380586863002E-3</v>
      </c>
      <c r="N1257" s="1">
        <f>+M1257-J1257</f>
        <v>-5.7829261941313694E-2</v>
      </c>
      <c r="O1257">
        <v>2.34</v>
      </c>
      <c r="P1257" t="s">
        <v>17</v>
      </c>
      <c r="Q1257">
        <v>0.01</v>
      </c>
      <c r="R1257">
        <v>1.31741056442261E-2</v>
      </c>
      <c r="S1257">
        <v>4.0390826761722998E-3</v>
      </c>
      <c r="T1257">
        <v>-0.01</v>
      </c>
    </row>
    <row r="1258" spans="1:20" x14ac:dyDescent="0.3">
      <c r="A1258" t="s">
        <v>97</v>
      </c>
      <c r="B1258">
        <v>2018</v>
      </c>
      <c r="C1258">
        <v>550020.625</v>
      </c>
      <c r="D1258" s="1">
        <v>2.4E-2</v>
      </c>
      <c r="E1258" s="1">
        <v>0.95619571208953902</v>
      </c>
      <c r="F1258" s="1">
        <v>-7.5999999999999998E-2</v>
      </c>
      <c r="G1258" s="1">
        <f t="shared" si="38"/>
        <v>-3.1000000000000014E-2</v>
      </c>
      <c r="H1258" s="1" t="str">
        <f t="shared" si="39"/>
        <v/>
      </c>
      <c r="I1258" s="1">
        <v>-2E-3</v>
      </c>
      <c r="J1258" s="1">
        <f>+D1258-F1258+I1258*O1258</f>
        <v>9.5680000000000001E-2</v>
      </c>
      <c r="K1258" s="1">
        <v>3.7174105644226102E-2</v>
      </c>
      <c r="L1258" s="1">
        <f>+K1258-J1258</f>
        <v>-5.8505894355773899E-2</v>
      </c>
      <c r="M1258" s="1">
        <v>1.31741056442261E-2</v>
      </c>
      <c r="N1258" s="1">
        <f>+M1258-J1258</f>
        <v>-8.2505894355773907E-2</v>
      </c>
      <c r="O1258">
        <v>2.16</v>
      </c>
      <c r="P1258" t="s">
        <v>16</v>
      </c>
      <c r="Q1258">
        <v>0</v>
      </c>
      <c r="R1258">
        <v>1.0752401471138E-2</v>
      </c>
      <c r="S1258">
        <v>-7.0487931370735004E-3</v>
      </c>
      <c r="T1258">
        <v>-7.0000000000000007E-2</v>
      </c>
    </row>
    <row r="1259" spans="1:20" x14ac:dyDescent="0.3">
      <c r="A1259" t="s">
        <v>97</v>
      </c>
      <c r="B1259">
        <v>2019</v>
      </c>
      <c r="C1259">
        <v>552077.5</v>
      </c>
      <c r="D1259" s="1">
        <v>4.1000000000000002E-2</v>
      </c>
      <c r="E1259" s="1">
        <v>0.96684193611144997</v>
      </c>
      <c r="F1259" s="1">
        <v>2.3E-2</v>
      </c>
      <c r="G1259" s="1">
        <f t="shared" si="38"/>
        <v>-8.000000000000014E-3</v>
      </c>
      <c r="H1259" s="1" t="str">
        <f t="shared" si="39"/>
        <v/>
      </c>
      <c r="I1259" s="1">
        <v>1.0999999999999999E-2</v>
      </c>
      <c r="J1259" s="1">
        <f>+D1259-F1259+I1259*O1259</f>
        <v>4.231E-2</v>
      </c>
      <c r="K1259" s="1">
        <v>2.8752401471138E-2</v>
      </c>
      <c r="L1259" s="1">
        <f>+K1259-J1259</f>
        <v>-1.3557598528862E-2</v>
      </c>
      <c r="M1259" s="1">
        <v>1.0752401471138E-2</v>
      </c>
      <c r="N1259" s="1">
        <f>+M1259-J1259</f>
        <v>-3.1557598528862002E-2</v>
      </c>
      <c r="O1259">
        <v>2.21</v>
      </c>
      <c r="P1259" t="s">
        <v>15</v>
      </c>
      <c r="Q1259">
        <v>-0.01</v>
      </c>
      <c r="R1259">
        <v>3.5375746071338698E-2</v>
      </c>
      <c r="S1259">
        <v>1.6526555642485698E-2</v>
      </c>
      <c r="T1259">
        <v>0.03</v>
      </c>
    </row>
    <row r="1260" spans="1:20" x14ac:dyDescent="0.3">
      <c r="A1260" t="s">
        <v>97</v>
      </c>
      <c r="B1260">
        <v>2020</v>
      </c>
      <c r="C1260">
        <v>553699.125</v>
      </c>
      <c r="D1260" s="1">
        <v>0.02</v>
      </c>
      <c r="E1260" s="1">
        <v>0.97195029258728005</v>
      </c>
      <c r="F1260" s="1">
        <v>-5.3999999999999999E-2</v>
      </c>
      <c r="G1260" s="1">
        <f t="shared" si="38"/>
        <v>-6.2000000000000013E-2</v>
      </c>
      <c r="H1260" s="1" t="str">
        <f t="shared" si="39"/>
        <v/>
      </c>
      <c r="I1260" s="1">
        <v>5.0000000000000001E-3</v>
      </c>
      <c r="J1260" s="1">
        <f>+D1260-F1260+I1260*O1260</f>
        <v>8.4449999999999997E-2</v>
      </c>
      <c r="K1260" s="1">
        <v>4.7375746071338702E-2</v>
      </c>
      <c r="L1260" s="1">
        <f>+K1260-J1260</f>
        <v>-3.7074253928661295E-2</v>
      </c>
      <c r="M1260" s="1">
        <v>3.5375746071338698E-2</v>
      </c>
      <c r="N1260" s="1">
        <f>+M1260-J1260</f>
        <v>-4.9074253928661299E-2</v>
      </c>
      <c r="O1260">
        <v>2.09</v>
      </c>
      <c r="P1260" t="s">
        <v>17</v>
      </c>
      <c r="Q1260">
        <v>0.02</v>
      </c>
      <c r="R1260">
        <v>2.1199187517165999E-2</v>
      </c>
      <c r="S1260">
        <v>-2.23904252052308E-2</v>
      </c>
      <c r="T1260">
        <v>-0.01</v>
      </c>
    </row>
    <row r="1261" spans="1:20" x14ac:dyDescent="0.3">
      <c r="A1261" t="s">
        <v>97</v>
      </c>
      <c r="B1261">
        <v>2021</v>
      </c>
      <c r="C1261">
        <v>556397.1875</v>
      </c>
      <c r="D1261" s="1">
        <v>2.8000000000000001E-2</v>
      </c>
      <c r="E1261" s="1">
        <v>0.97780191898345903</v>
      </c>
      <c r="F1261" s="1">
        <v>0.15</v>
      </c>
      <c r="G1261" s="1">
        <f t="shared" si="38"/>
        <v>8.7999999999999981E-2</v>
      </c>
      <c r="H1261" s="1" t="str">
        <f t="shared" si="39"/>
        <v/>
      </c>
      <c r="I1261" s="1">
        <v>6.0000000000000001E-3</v>
      </c>
      <c r="J1261" s="1">
        <f>+D1261-F1261+I1261*O1261</f>
        <v>-0.10754</v>
      </c>
      <c r="K1261" s="1">
        <v>6.8199187517166096E-2</v>
      </c>
      <c r="L1261" s="1">
        <f>+K1261-J1261</f>
        <v>0.17573918751716611</v>
      </c>
      <c r="M1261" s="1">
        <v>2.1199187517165999E-2</v>
      </c>
      <c r="N1261" s="1">
        <f>+M1261-J1261</f>
        <v>0.12873918751716601</v>
      </c>
      <c r="O1261">
        <v>2.41</v>
      </c>
      <c r="P1261" t="s">
        <v>15</v>
      </c>
      <c r="Q1261">
        <v>-0.02</v>
      </c>
      <c r="R1261">
        <v>-2.04073320329189E-2</v>
      </c>
      <c r="S1261">
        <v>1.16961747407913E-2</v>
      </c>
      <c r="T1261">
        <v>0.12</v>
      </c>
    </row>
    <row r="1262" spans="1:20" x14ac:dyDescent="0.3">
      <c r="A1262" t="s">
        <v>97</v>
      </c>
      <c r="B1262">
        <v>2022</v>
      </c>
      <c r="C1262">
        <v>557685.9375</v>
      </c>
      <c r="D1262" s="1">
        <v>2.4E-2</v>
      </c>
      <c r="E1262" s="1">
        <v>0.97068452835082997</v>
      </c>
      <c r="F1262" s="1">
        <v>-9.8000000000000004E-2</v>
      </c>
      <c r="G1262" s="1">
        <f t="shared" si="38"/>
        <v>-1.0000000000000023E-2</v>
      </c>
      <c r="H1262" s="1" t="str">
        <f t="shared" si="39"/>
        <v/>
      </c>
      <c r="I1262" s="1">
        <v>-7.0000000000000001E-3</v>
      </c>
      <c r="J1262" s="1">
        <f>+D1262-F1262+I1262*O1262</f>
        <v>0.10681</v>
      </c>
      <c r="K1262" s="1">
        <v>5.9592667967081098E-2</v>
      </c>
      <c r="L1262" s="1">
        <f>+K1262-J1262</f>
        <v>-4.7217332032918904E-2</v>
      </c>
      <c r="M1262" s="1">
        <v>-2.04073320329189E-2</v>
      </c>
      <c r="N1262" s="1">
        <f>+M1262-J1262</f>
        <v>-0.12721733203291891</v>
      </c>
      <c r="O1262">
        <v>2.17</v>
      </c>
      <c r="P1262" t="s">
        <v>16</v>
      </c>
      <c r="Q1262">
        <v>0.01</v>
      </c>
      <c r="R1262">
        <v>-7.4547415971760295E-4</v>
      </c>
      <c r="S1262">
        <v>1.8813453614711699E-2</v>
      </c>
      <c r="T1262">
        <v>-0.08</v>
      </c>
    </row>
    <row r="1263" spans="1:20" x14ac:dyDescent="0.3">
      <c r="A1263" t="s">
        <v>98</v>
      </c>
      <c r="B1263">
        <v>2006</v>
      </c>
      <c r="C1263">
        <v>463436.625</v>
      </c>
      <c r="D1263" s="1">
        <v>6.0000000000000001E-3</v>
      </c>
      <c r="E1263" s="1">
        <v>0.89501100778579701</v>
      </c>
      <c r="F1263" s="1">
        <v>1.0999999999999999E-2</v>
      </c>
      <c r="G1263" s="1">
        <f t="shared" si="38"/>
        <v>1.0999999999999999E-2</v>
      </c>
      <c r="H1263" s="1" t="str">
        <f t="shared" si="39"/>
        <v/>
      </c>
      <c r="I1263" s="1">
        <v>2.1999999999999999E-2</v>
      </c>
      <c r="J1263" s="1">
        <f>+D1263-F1263+I1263*O1263</f>
        <v>4.3400000000000001E-2</v>
      </c>
      <c r="K1263" s="1">
        <v>2.0527116954326598E-2</v>
      </c>
      <c r="L1263" s="1">
        <f>+K1263-J1263</f>
        <v>-2.2872883045673403E-2</v>
      </c>
      <c r="M1263" s="1">
        <v>-1.1472883045673401E-2</v>
      </c>
      <c r="N1263" s="1">
        <f>+M1263-J1263</f>
        <v>-5.48728830456734E-2</v>
      </c>
      <c r="O1263">
        <v>2.2000000000000002</v>
      </c>
      <c r="P1263" t="s">
        <v>15</v>
      </c>
      <c r="Q1263">
        <v>-0.02</v>
      </c>
      <c r="R1263">
        <v>-9.2114609628915992E-3</v>
      </c>
      <c r="S1263">
        <v>-8.2897050306200998E-3</v>
      </c>
      <c r="T1263">
        <v>0.01</v>
      </c>
    </row>
    <row r="1264" spans="1:20" x14ac:dyDescent="0.3">
      <c r="A1264" t="s">
        <v>98</v>
      </c>
      <c r="B1264">
        <v>2007</v>
      </c>
      <c r="C1264">
        <v>463759.40629999997</v>
      </c>
      <c r="D1264" s="1">
        <v>2.1000000000000001E-2</v>
      </c>
      <c r="E1264" s="1">
        <v>0.917369604110718</v>
      </c>
      <c r="F1264" s="1">
        <v>-9.1999999999999998E-2</v>
      </c>
      <c r="G1264" s="1">
        <f t="shared" si="38"/>
        <v>-8.1000000000000003E-2</v>
      </c>
      <c r="H1264" s="1" t="str">
        <f t="shared" si="39"/>
        <v/>
      </c>
      <c r="I1264" s="1">
        <v>2.1999999999999999E-2</v>
      </c>
      <c r="J1264" s="1">
        <f>+D1264-F1264+I1264*O1264</f>
        <v>0.15678</v>
      </c>
      <c r="K1264" s="1">
        <v>1.9788539037108401E-2</v>
      </c>
      <c r="L1264" s="1">
        <f>+K1264-J1264</f>
        <v>-0.13699146096289161</v>
      </c>
      <c r="M1264" s="1">
        <v>-9.2114609628915992E-3</v>
      </c>
      <c r="N1264" s="1">
        <f>+M1264-J1264</f>
        <v>-0.16599146096289161</v>
      </c>
      <c r="O1264">
        <v>1.99</v>
      </c>
      <c r="P1264" t="s">
        <v>17</v>
      </c>
      <c r="Q1264">
        <v>-0.01</v>
      </c>
      <c r="R1264">
        <v>-2.2905494377016999E-2</v>
      </c>
      <c r="S1264">
        <v>6.6053098998963998E-3</v>
      </c>
      <c r="T1264">
        <v>-0.09</v>
      </c>
    </row>
    <row r="1265" spans="1:20" x14ac:dyDescent="0.3">
      <c r="A1265" t="s">
        <v>98</v>
      </c>
      <c r="B1265">
        <v>2008</v>
      </c>
      <c r="C1265">
        <v>463534.90629999997</v>
      </c>
      <c r="D1265" s="1">
        <v>0</v>
      </c>
      <c r="E1265" s="1">
        <v>0.92591142654418901</v>
      </c>
      <c r="F1265" s="1">
        <v>1.9E-2</v>
      </c>
      <c r="G1265" s="1">
        <f t="shared" si="38"/>
        <v>-6.2E-2</v>
      </c>
      <c r="H1265" s="1" t="str">
        <f t="shared" si="39"/>
        <v/>
      </c>
      <c r="I1265" s="1">
        <v>8.9999999999999993E-3</v>
      </c>
      <c r="J1265" s="1">
        <f>+D1265-F1265+I1265*O1265</f>
        <v>-7.3000000000000148E-4</v>
      </c>
      <c r="K1265" s="1">
        <v>1.5094505622983E-2</v>
      </c>
      <c r="L1265" s="1">
        <f>+K1265-J1265</f>
        <v>1.5824505622983001E-2</v>
      </c>
      <c r="M1265" s="1">
        <v>-2.2905494377016999E-2</v>
      </c>
      <c r="N1265" s="1">
        <f>+M1265-J1265</f>
        <v>-2.2175494377016998E-2</v>
      </c>
      <c r="O1265">
        <v>2.0299999999999998</v>
      </c>
      <c r="P1265" t="s">
        <v>15</v>
      </c>
      <c r="Q1265">
        <v>0.01</v>
      </c>
      <c r="R1265">
        <v>-1.5915521144866902E-2</v>
      </c>
      <c r="S1265">
        <v>1.06511805206537E-2</v>
      </c>
      <c r="T1265">
        <v>0.02</v>
      </c>
    </row>
    <row r="1266" spans="1:20" x14ac:dyDescent="0.3">
      <c r="A1266" t="s">
        <v>98</v>
      </c>
      <c r="B1266">
        <v>2009</v>
      </c>
      <c r="C1266">
        <v>463409.6875</v>
      </c>
      <c r="D1266" s="1">
        <v>0</v>
      </c>
      <c r="E1266" s="1">
        <v>0.92239046096801802</v>
      </c>
      <c r="F1266" s="1">
        <v>5.7000000000000002E-2</v>
      </c>
      <c r="G1266" s="1">
        <f t="shared" si="38"/>
        <v>-4.9999999999999975E-3</v>
      </c>
      <c r="H1266" s="1" t="str">
        <f t="shared" si="39"/>
        <v/>
      </c>
      <c r="I1266" s="1">
        <v>-4.0000000000000001E-3</v>
      </c>
      <c r="J1266" s="1">
        <f>+D1266-F1266+I1266*O1266</f>
        <v>-6.5600000000000006E-2</v>
      </c>
      <c r="K1266" s="1">
        <v>-1.9915521144866902E-2</v>
      </c>
      <c r="L1266" s="1">
        <f>+K1266-J1266</f>
        <v>4.5684478855133104E-2</v>
      </c>
      <c r="M1266" s="1">
        <v>-1.5915521144866902E-2</v>
      </c>
      <c r="N1266" s="1">
        <f>+M1266-J1266</f>
        <v>4.9684478855133107E-2</v>
      </c>
      <c r="O1266">
        <v>2.15</v>
      </c>
      <c r="P1266" t="s">
        <v>17</v>
      </c>
      <c r="Q1266">
        <v>0.01</v>
      </c>
      <c r="R1266">
        <v>-1.5120121123269201E-2</v>
      </c>
      <c r="S1266">
        <v>-5.6600123643875096E-3</v>
      </c>
      <c r="T1266">
        <v>0.04</v>
      </c>
    </row>
    <row r="1267" spans="1:20" x14ac:dyDescent="0.3">
      <c r="A1267" t="s">
        <v>98</v>
      </c>
      <c r="B1267">
        <v>2010</v>
      </c>
      <c r="C1267">
        <v>464503.28129999997</v>
      </c>
      <c r="D1267" s="1">
        <v>0</v>
      </c>
      <c r="E1267" s="1">
        <v>0.92197728157043501</v>
      </c>
      <c r="F1267" s="1">
        <v>3.9E-2</v>
      </c>
      <c r="G1267" s="1">
        <f t="shared" si="38"/>
        <v>3.4000000000000002E-2</v>
      </c>
      <c r="H1267" s="1" t="str">
        <f t="shared" si="39"/>
        <v/>
      </c>
      <c r="I1267" s="1">
        <v>0</v>
      </c>
      <c r="J1267" s="1">
        <f>+D1267-F1267+I1267*O1267</f>
        <v>-3.9E-2</v>
      </c>
      <c r="K1267" s="1">
        <v>8.798788767308E-4</v>
      </c>
      <c r="L1267" s="1">
        <f>+K1267-J1267</f>
        <v>3.98798788767308E-2</v>
      </c>
      <c r="M1267" s="1">
        <v>-1.5120121123269201E-2</v>
      </c>
      <c r="N1267" s="1">
        <f>+M1267-J1267</f>
        <v>2.3879878876730799E-2</v>
      </c>
      <c r="O1267">
        <v>2.23</v>
      </c>
      <c r="P1267" t="s">
        <v>17</v>
      </c>
      <c r="Q1267">
        <v>-0.01</v>
      </c>
      <c r="R1267">
        <v>-2.3244018077850301E-2</v>
      </c>
      <c r="S1267">
        <v>-1.96024356409904E-3</v>
      </c>
      <c r="T1267">
        <v>0.03</v>
      </c>
    </row>
    <row r="1268" spans="1:20" x14ac:dyDescent="0.3">
      <c r="A1268" t="s">
        <v>98</v>
      </c>
      <c r="B1268">
        <v>2011</v>
      </c>
      <c r="C1268">
        <v>465752.5</v>
      </c>
      <c r="D1268" s="1">
        <v>0</v>
      </c>
      <c r="E1268" s="1">
        <v>0.928045094013214</v>
      </c>
      <c r="F1268" s="1">
        <v>-6.6000000000000003E-2</v>
      </c>
      <c r="G1268" s="1">
        <f t="shared" si="38"/>
        <v>-3.2000000000000001E-2</v>
      </c>
      <c r="H1268" s="1" t="str">
        <f t="shared" si="39"/>
        <v/>
      </c>
      <c r="I1268" s="1">
        <v>6.0000000000000001E-3</v>
      </c>
      <c r="J1268" s="1">
        <f>+D1268-F1268+I1268*O1268</f>
        <v>7.8480000000000008E-2</v>
      </c>
      <c r="K1268" s="1">
        <v>8.7559819221496599E-3</v>
      </c>
      <c r="L1268" s="1">
        <f>+K1268-J1268</f>
        <v>-6.972401807785035E-2</v>
      </c>
      <c r="M1268" s="1">
        <v>-2.3244018077850301E-2</v>
      </c>
      <c r="N1268" s="1">
        <f>+M1268-J1268</f>
        <v>-0.10172401807785031</v>
      </c>
      <c r="O1268">
        <v>2.08</v>
      </c>
      <c r="P1268" t="s">
        <v>17</v>
      </c>
      <c r="Q1268">
        <v>0</v>
      </c>
      <c r="R1268">
        <v>-1.17654179260134E-2</v>
      </c>
      <c r="S1268">
        <v>-6.3272118568420696E-3</v>
      </c>
      <c r="T1268">
        <v>-7.0000000000000007E-2</v>
      </c>
    </row>
    <row r="1269" spans="1:20" x14ac:dyDescent="0.3">
      <c r="A1269" t="s">
        <v>98</v>
      </c>
      <c r="B1269">
        <v>2012</v>
      </c>
      <c r="C1269">
        <v>466265</v>
      </c>
      <c r="D1269" s="1">
        <v>4.0000000000000001E-3</v>
      </c>
      <c r="E1269" s="1">
        <v>0.93192493915557895</v>
      </c>
      <c r="F1269" s="1">
        <v>7.0000000000000001E-3</v>
      </c>
      <c r="G1269" s="1">
        <f t="shared" si="38"/>
        <v>-2.5000000000000001E-2</v>
      </c>
      <c r="H1269" s="1" t="str">
        <f t="shared" si="39"/>
        <v/>
      </c>
      <c r="I1269" s="1">
        <v>4.0000000000000001E-3</v>
      </c>
      <c r="J1269" s="1">
        <f>+D1269-F1269+I1269*O1269</f>
        <v>5.4000000000000012E-3</v>
      </c>
      <c r="K1269" s="1">
        <v>9.2345820739865303E-3</v>
      </c>
      <c r="L1269" s="1">
        <f>+K1269-J1269</f>
        <v>3.8345820739865292E-3</v>
      </c>
      <c r="M1269" s="1">
        <v>-1.17654179260134E-2</v>
      </c>
      <c r="N1269" s="1">
        <f>+M1269-J1269</f>
        <v>-1.71654179260134E-2</v>
      </c>
      <c r="O1269">
        <v>2.1</v>
      </c>
      <c r="P1269" t="s">
        <v>15</v>
      </c>
      <c r="Q1269">
        <v>-0.01</v>
      </c>
      <c r="R1269">
        <v>-1.1677251756190899E-3</v>
      </c>
      <c r="S1269">
        <v>-7.2944965213536904E-3</v>
      </c>
      <c r="T1269">
        <v>0</v>
      </c>
    </row>
    <row r="1270" spans="1:20" x14ac:dyDescent="0.3">
      <c r="A1270" t="s">
        <v>98</v>
      </c>
      <c r="B1270">
        <v>2013</v>
      </c>
      <c r="C1270">
        <v>467114.40629999997</v>
      </c>
      <c r="D1270" s="1">
        <v>8.9999999999999993E-3</v>
      </c>
      <c r="E1270" s="1">
        <v>0.93708914518356301</v>
      </c>
      <c r="F1270" s="1">
        <v>5.3999999999999999E-2</v>
      </c>
      <c r="G1270" s="1">
        <f t="shared" si="38"/>
        <v>2.8999999999999998E-2</v>
      </c>
      <c r="H1270" s="1" t="str">
        <f t="shared" si="39"/>
        <v/>
      </c>
      <c r="I1270" s="1">
        <v>5.0000000000000001E-3</v>
      </c>
      <c r="J1270" s="1">
        <f>+D1270-F1270+I1270*O1270</f>
        <v>-3.3949999999999994E-2</v>
      </c>
      <c r="K1270" s="1">
        <v>1.3832274824380901E-2</v>
      </c>
      <c r="L1270" s="1">
        <f>+K1270-J1270</f>
        <v>4.7782274824380896E-2</v>
      </c>
      <c r="M1270" s="1">
        <v>-1.1677251756190899E-3</v>
      </c>
      <c r="N1270" s="1">
        <f>+M1270-J1270</f>
        <v>3.2782274824380904E-2</v>
      </c>
      <c r="O1270">
        <v>2.21</v>
      </c>
      <c r="P1270" t="s">
        <v>15</v>
      </c>
      <c r="Q1270">
        <v>-0.01</v>
      </c>
      <c r="R1270">
        <v>-4.2642254233359999E-3</v>
      </c>
      <c r="S1270">
        <v>-6.2722489237785001E-3</v>
      </c>
      <c r="T1270">
        <v>0.05</v>
      </c>
    </row>
    <row r="1271" spans="1:20" x14ac:dyDescent="0.3">
      <c r="A1271" t="s">
        <v>98</v>
      </c>
      <c r="B1271">
        <v>2014</v>
      </c>
      <c r="C1271">
        <v>468337.5</v>
      </c>
      <c r="D1271" s="1">
        <v>8.0000000000000002E-3</v>
      </c>
      <c r="E1271" s="1">
        <v>0.93513530492782604</v>
      </c>
      <c r="F1271" s="1">
        <v>-0.02</v>
      </c>
      <c r="G1271" s="1">
        <f t="shared" si="38"/>
        <v>8.9999999999999976E-3</v>
      </c>
      <c r="H1271" s="1" t="str">
        <f t="shared" si="39"/>
        <v/>
      </c>
      <c r="I1271" s="1">
        <v>-2E-3</v>
      </c>
      <c r="J1271" s="1">
        <f>+D1271-F1271+I1271*O1271</f>
        <v>2.366E-2</v>
      </c>
      <c r="K1271" s="1">
        <v>1.1735774576664E-2</v>
      </c>
      <c r="L1271" s="1">
        <f>+K1271-J1271</f>
        <v>-1.1924225423336E-2</v>
      </c>
      <c r="M1271" s="1">
        <v>-4.2642254233359999E-3</v>
      </c>
      <c r="N1271" s="1">
        <f>+M1271-J1271</f>
        <v>-2.7924225423336002E-2</v>
      </c>
      <c r="O1271">
        <v>2.17</v>
      </c>
      <c r="P1271" t="s">
        <v>16</v>
      </c>
      <c r="Q1271">
        <v>-0.01</v>
      </c>
      <c r="R1271">
        <v>3.3298520535230601E-2</v>
      </c>
      <c r="S1271">
        <v>3.0350685119629002E-3</v>
      </c>
      <c r="T1271">
        <v>-0.02</v>
      </c>
    </row>
    <row r="1272" spans="1:20" x14ac:dyDescent="0.3">
      <c r="A1272" t="s">
        <v>98</v>
      </c>
      <c r="B1272">
        <v>2015</v>
      </c>
      <c r="C1272">
        <v>469600.5</v>
      </c>
      <c r="D1272" s="1">
        <v>4.0000000000000001E-3</v>
      </c>
      <c r="E1272" s="1">
        <v>0.93741816282272294</v>
      </c>
      <c r="F1272" s="1">
        <v>-3.7999999999999999E-2</v>
      </c>
      <c r="G1272" s="1">
        <f t="shared" si="38"/>
        <v>-2.9000000000000001E-2</v>
      </c>
      <c r="H1272" s="1" t="str">
        <f t="shared" si="39"/>
        <v/>
      </c>
      <c r="I1272" s="1">
        <v>2E-3</v>
      </c>
      <c r="J1272" s="1">
        <f>+D1272-F1272+I1272*O1272</f>
        <v>4.6179999999999999E-2</v>
      </c>
      <c r="K1272" s="1">
        <v>3.4298520535230602E-2</v>
      </c>
      <c r="L1272" s="1">
        <f>+K1272-J1272</f>
        <v>-1.1881479464769397E-2</v>
      </c>
      <c r="M1272" s="1">
        <v>3.3298520535230601E-2</v>
      </c>
      <c r="N1272" s="1">
        <f>+M1272-J1272</f>
        <v>-1.2881479464769398E-2</v>
      </c>
      <c r="O1272">
        <v>2.09</v>
      </c>
      <c r="P1272" t="s">
        <v>17</v>
      </c>
      <c r="Q1272">
        <v>0</v>
      </c>
      <c r="R1272">
        <v>1.9030552625656099E-2</v>
      </c>
      <c r="S1272">
        <v>5.8769956231116997E-3</v>
      </c>
      <c r="T1272">
        <v>-0.03</v>
      </c>
    </row>
    <row r="1273" spans="1:20" x14ac:dyDescent="0.3">
      <c r="A1273" t="s">
        <v>98</v>
      </c>
      <c r="B1273">
        <v>2016</v>
      </c>
      <c r="C1273">
        <v>472281.71879999997</v>
      </c>
      <c r="D1273" s="1">
        <v>8.0000000000000002E-3</v>
      </c>
      <c r="E1273" s="1">
        <v>0.94227379560470603</v>
      </c>
      <c r="F1273" s="1">
        <v>2.5000000000000001E-2</v>
      </c>
      <c r="G1273" s="1">
        <f t="shared" si="38"/>
        <v>-4.0000000000000001E-3</v>
      </c>
      <c r="H1273" s="1" t="str">
        <f t="shared" si="39"/>
        <v/>
      </c>
      <c r="I1273" s="1">
        <v>5.0000000000000001E-3</v>
      </c>
      <c r="J1273" s="1">
        <f>+D1273-F1273+I1273*O1273</f>
        <v>-6.3E-3</v>
      </c>
      <c r="K1273" s="1">
        <v>3.20305526256561E-2</v>
      </c>
      <c r="L1273" s="1">
        <f>+K1273-J1273</f>
        <v>3.83305526256561E-2</v>
      </c>
      <c r="M1273" s="1">
        <v>1.9030552625656099E-2</v>
      </c>
      <c r="N1273" s="1">
        <f>+M1273-J1273</f>
        <v>2.5330552625656099E-2</v>
      </c>
      <c r="O1273">
        <v>2.14</v>
      </c>
      <c r="P1273" t="s">
        <v>15</v>
      </c>
      <c r="Q1273">
        <v>0.01</v>
      </c>
      <c r="R1273">
        <v>-5.7568429410460105E-4</v>
      </c>
      <c r="S1273">
        <v>-3.3652577549218902E-3</v>
      </c>
      <c r="T1273">
        <v>0.03</v>
      </c>
    </row>
    <row r="1274" spans="1:20" x14ac:dyDescent="0.3">
      <c r="A1274" t="s">
        <v>98</v>
      </c>
      <c r="B1274">
        <v>2017</v>
      </c>
      <c r="C1274">
        <v>474021.21879999997</v>
      </c>
      <c r="D1274" s="1">
        <v>7.0000000000000001E-3</v>
      </c>
      <c r="E1274" s="1">
        <v>0.94035154581069902</v>
      </c>
      <c r="F1274" s="1">
        <v>-2.4E-2</v>
      </c>
      <c r="G1274" s="1">
        <f t="shared" si="38"/>
        <v>-2.8000000000000001E-2</v>
      </c>
      <c r="H1274" s="1" t="str">
        <f t="shared" si="39"/>
        <v/>
      </c>
      <c r="I1274" s="1">
        <v>-2E-3</v>
      </c>
      <c r="J1274" s="1">
        <f>+D1274-F1274+I1274*O1274</f>
        <v>2.682E-2</v>
      </c>
      <c r="K1274" s="1">
        <v>2.04243157058954E-2</v>
      </c>
      <c r="L1274" s="1">
        <f>+K1274-J1274</f>
        <v>-6.3956842941046005E-3</v>
      </c>
      <c r="M1274" s="1">
        <v>-5.7568429410460105E-4</v>
      </c>
      <c r="N1274" s="1">
        <f>+M1274-J1274</f>
        <v>-2.7395684294104602E-2</v>
      </c>
      <c r="O1274">
        <v>2.09</v>
      </c>
      <c r="P1274" t="s">
        <v>16</v>
      </c>
      <c r="Q1274">
        <v>0</v>
      </c>
      <c r="R1274">
        <v>6.5204913020134002E-3</v>
      </c>
      <c r="S1274">
        <v>-2.6145316660403902E-3</v>
      </c>
      <c r="T1274">
        <v>-0.02</v>
      </c>
    </row>
    <row r="1275" spans="1:20" x14ac:dyDescent="0.3">
      <c r="A1275" t="s">
        <v>98</v>
      </c>
      <c r="B1275">
        <v>2018</v>
      </c>
      <c r="C1275">
        <v>473832.5</v>
      </c>
      <c r="D1275" s="1">
        <v>2.4E-2</v>
      </c>
      <c r="E1275" s="1">
        <v>0.93177473545074496</v>
      </c>
      <c r="F1275" s="1">
        <v>1.7999999999999999E-2</v>
      </c>
      <c r="G1275" s="1">
        <f t="shared" si="38"/>
        <v>-1.0000000000000002E-2</v>
      </c>
      <c r="H1275" s="1" t="str">
        <f t="shared" si="39"/>
        <v/>
      </c>
      <c r="I1275" s="1">
        <v>-8.9999999999999993E-3</v>
      </c>
      <c r="J1275" s="1">
        <f>+D1275-F1275+I1275*O1275</f>
        <v>-1.3079999999999998E-2</v>
      </c>
      <c r="K1275" s="1">
        <v>3.0520491302013401E-2</v>
      </c>
      <c r="L1275" s="1">
        <f>+K1275-J1275</f>
        <v>4.3600491302013399E-2</v>
      </c>
      <c r="M1275" s="1">
        <v>6.5204913020134002E-3</v>
      </c>
      <c r="N1275" s="1">
        <f>+M1275-J1275</f>
        <v>1.9600491302013398E-2</v>
      </c>
      <c r="O1275">
        <v>2.12</v>
      </c>
      <c r="P1275" t="s">
        <v>17</v>
      </c>
      <c r="Q1275">
        <v>0</v>
      </c>
      <c r="R1275">
        <v>1.5462613821029699E-2</v>
      </c>
      <c r="S1275">
        <v>-2.3385807871818E-3</v>
      </c>
      <c r="T1275">
        <v>0.03</v>
      </c>
    </row>
    <row r="1276" spans="1:20" x14ac:dyDescent="0.3">
      <c r="A1276" t="s">
        <v>98</v>
      </c>
      <c r="B1276">
        <v>2019</v>
      </c>
      <c r="C1276">
        <v>473743</v>
      </c>
      <c r="D1276" s="1">
        <v>0</v>
      </c>
      <c r="E1276" s="1">
        <v>0.94098705053329501</v>
      </c>
      <c r="F1276" s="1">
        <v>-5.2999999999999999E-2</v>
      </c>
      <c r="G1276" s="1">
        <f t="shared" si="38"/>
        <v>-6.3E-2</v>
      </c>
      <c r="H1276" s="1" t="str">
        <f t="shared" si="39"/>
        <v/>
      </c>
      <c r="I1276" s="1">
        <v>8.9999999999999993E-3</v>
      </c>
      <c r="J1276" s="1">
        <f>+D1276-F1276+I1276*O1276</f>
        <v>7.109E-2</v>
      </c>
      <c r="K1276" s="1">
        <v>3.3462613821029698E-2</v>
      </c>
      <c r="L1276" s="1">
        <f>+K1276-J1276</f>
        <v>-3.7627386178970303E-2</v>
      </c>
      <c r="M1276" s="1">
        <v>1.5462613821029699E-2</v>
      </c>
      <c r="N1276" s="1">
        <f>+M1276-J1276</f>
        <v>-5.5627386178970298E-2</v>
      </c>
      <c r="O1276">
        <v>2.0099999999999998</v>
      </c>
      <c r="P1276" t="s">
        <v>17</v>
      </c>
      <c r="Q1276">
        <v>0</v>
      </c>
      <c r="R1276">
        <v>1.7789799824357001E-2</v>
      </c>
      <c r="S1276">
        <v>-1.0593906044959901E-3</v>
      </c>
      <c r="T1276">
        <v>-0.04</v>
      </c>
    </row>
    <row r="1277" spans="1:20" x14ac:dyDescent="0.3">
      <c r="A1277" t="s">
        <v>98</v>
      </c>
      <c r="B1277">
        <v>2020</v>
      </c>
      <c r="C1277">
        <v>470021.6875</v>
      </c>
      <c r="D1277" s="1">
        <v>2.4E-2</v>
      </c>
      <c r="E1277" s="1">
        <v>0.93237179517746005</v>
      </c>
      <c r="F1277" s="1">
        <v>-5.3999999999999999E-2</v>
      </c>
      <c r="G1277" s="1">
        <f t="shared" si="38"/>
        <v>-0.11699999999999999</v>
      </c>
      <c r="H1277" s="1" t="str">
        <f t="shared" si="39"/>
        <v/>
      </c>
      <c r="I1277" s="1">
        <v>-8.9999999999999993E-3</v>
      </c>
      <c r="J1277" s="1">
        <f>+D1277-F1277+I1277*O1277</f>
        <v>6.0900000000000003E-2</v>
      </c>
      <c r="K1277" s="1">
        <v>2.9789799824357002E-2</v>
      </c>
      <c r="L1277" s="1">
        <f>+K1277-J1277</f>
        <v>-3.1110200175643001E-2</v>
      </c>
      <c r="M1277" s="1">
        <v>1.7789799824357001E-2</v>
      </c>
      <c r="N1277" s="1">
        <f>+M1277-J1277</f>
        <v>-4.3110200175643001E-2</v>
      </c>
      <c r="O1277">
        <v>1.9</v>
      </c>
      <c r="P1277" t="s">
        <v>16</v>
      </c>
      <c r="Q1277">
        <v>0</v>
      </c>
      <c r="R1277">
        <v>3.1900374472141203E-2</v>
      </c>
      <c r="S1277">
        <v>-1.16892382502556E-2</v>
      </c>
      <c r="T1277">
        <v>-0.01</v>
      </c>
    </row>
    <row r="1278" spans="1:20" x14ac:dyDescent="0.3">
      <c r="A1278" t="s">
        <v>98</v>
      </c>
      <c r="B1278">
        <v>2021</v>
      </c>
      <c r="C1278">
        <v>463252.09379999997</v>
      </c>
      <c r="D1278" s="1">
        <v>1.0999999999999999E-2</v>
      </c>
      <c r="E1278" s="1">
        <v>0.949718177318573</v>
      </c>
      <c r="F1278" s="1">
        <v>-0.04</v>
      </c>
      <c r="G1278" s="1">
        <f t="shared" si="38"/>
        <v>-0.157</v>
      </c>
      <c r="H1278" s="1">
        <f t="shared" si="39"/>
        <v>5.8296110481023802E-2</v>
      </c>
      <c r="I1278" s="1">
        <v>1.7000000000000001E-2</v>
      </c>
      <c r="J1278" s="1">
        <f>+D1278-F1278+I1278*O1278</f>
        <v>8.2110000000000002E-2</v>
      </c>
      <c r="K1278" s="1">
        <v>7.8900374472141294E-2</v>
      </c>
      <c r="L1278" s="1">
        <f>+K1278-J1278</f>
        <v>-3.2096255278587088E-3</v>
      </c>
      <c r="M1278" s="1">
        <v>3.1900374472141203E-2</v>
      </c>
      <c r="N1278" s="1">
        <f>+M1278-J1278</f>
        <v>-5.0209625527858799E-2</v>
      </c>
      <c r="O1278">
        <v>1.83</v>
      </c>
      <c r="P1278" t="s">
        <v>17</v>
      </c>
      <c r="Q1278">
        <v>-0.01</v>
      </c>
      <c r="R1278">
        <v>-2.1703889518976199E-2</v>
      </c>
      <c r="S1278">
        <v>1.03996172547341E-2</v>
      </c>
      <c r="T1278">
        <v>-7.0000000000000007E-2</v>
      </c>
    </row>
    <row r="1279" spans="1:20" x14ac:dyDescent="0.3">
      <c r="A1279" t="s">
        <v>98</v>
      </c>
      <c r="B1279">
        <v>2022</v>
      </c>
      <c r="C1279">
        <v>474096.71879999997</v>
      </c>
      <c r="D1279" s="1">
        <v>6.0000000000000001E-3</v>
      </c>
      <c r="E1279" s="1">
        <v>0.94255834817886397</v>
      </c>
      <c r="F1279" s="1">
        <v>5.8000000000000003E-2</v>
      </c>
      <c r="G1279" s="1">
        <f t="shared" si="38"/>
        <v>-9.9000000000000005E-2</v>
      </c>
      <c r="H1279" s="1" t="str">
        <f t="shared" si="39"/>
        <v/>
      </c>
      <c r="I1279" s="1">
        <v>-7.0000000000000001E-3</v>
      </c>
      <c r="J1279" s="1">
        <f>+D1279-F1279+I1279*O1279</f>
        <v>-6.5509999999999999E-2</v>
      </c>
      <c r="K1279" s="1">
        <v>5.8296110481023802E-2</v>
      </c>
      <c r="L1279" s="1">
        <f>+K1279-J1279</f>
        <v>0.1238061104810238</v>
      </c>
      <c r="M1279" s="1">
        <v>-2.1703889518976199E-2</v>
      </c>
      <c r="N1279" s="1">
        <f>+M1279-J1279</f>
        <v>4.3806110481023799E-2</v>
      </c>
      <c r="O1279">
        <v>1.93</v>
      </c>
      <c r="P1279" t="s">
        <v>17</v>
      </c>
      <c r="Q1279">
        <v>0.01</v>
      </c>
      <c r="R1279">
        <v>-9.8409306108952002E-3</v>
      </c>
      <c r="S1279">
        <v>9.7179971635341002E-3</v>
      </c>
      <c r="T1279">
        <v>7.0000000000000007E-2</v>
      </c>
    </row>
    <row r="1280" spans="1:20" x14ac:dyDescent="0.3">
      <c r="A1280" t="s">
        <v>99</v>
      </c>
      <c r="B1280">
        <v>2006</v>
      </c>
      <c r="C1280">
        <v>1819682</v>
      </c>
      <c r="D1280" s="1">
        <v>8.0000000000000002E-3</v>
      </c>
      <c r="E1280" s="1">
        <v>0.93433851003646895</v>
      </c>
      <c r="F1280" s="1">
        <v>2.5999999999999999E-2</v>
      </c>
      <c r="G1280" s="1">
        <f t="shared" si="38"/>
        <v>2.5999999999999999E-2</v>
      </c>
      <c r="H1280" s="1" t="str">
        <f t="shared" si="39"/>
        <v/>
      </c>
      <c r="I1280" s="1">
        <v>-5.0000000000000001E-3</v>
      </c>
      <c r="J1280" s="1">
        <f>+D1280-F1280+I1280*O1280</f>
        <v>-3.0499999999999999E-2</v>
      </c>
      <c r="K1280" s="1">
        <v>4.7058466821908999E-2</v>
      </c>
      <c r="L1280" s="1">
        <f>+K1280-J1280</f>
        <v>7.7558466821909006E-2</v>
      </c>
      <c r="M1280" s="1">
        <v>1.50584668219089E-2</v>
      </c>
      <c r="N1280" s="1">
        <f>+M1280-J1280</f>
        <v>4.5558466821908901E-2</v>
      </c>
      <c r="O1280">
        <v>2.5</v>
      </c>
      <c r="P1280" t="s">
        <v>17</v>
      </c>
      <c r="Q1280">
        <v>0.01</v>
      </c>
      <c r="R1280">
        <v>-2.9586506038904001E-3</v>
      </c>
      <c r="S1280">
        <v>-2.0368946716188998E-3</v>
      </c>
      <c r="T1280">
        <v>0.02</v>
      </c>
    </row>
    <row r="1281" spans="1:20" x14ac:dyDescent="0.3">
      <c r="A1281" t="s">
        <v>99</v>
      </c>
      <c r="B1281">
        <v>2007</v>
      </c>
      <c r="C1281">
        <v>1878938</v>
      </c>
      <c r="D1281" s="1">
        <v>3.2000000000000001E-2</v>
      </c>
      <c r="E1281" s="1">
        <v>0.91445553302764904</v>
      </c>
      <c r="F1281" s="1">
        <v>1.7000000000000001E-2</v>
      </c>
      <c r="G1281" s="1">
        <f t="shared" si="38"/>
        <v>4.2999999999999997E-2</v>
      </c>
      <c r="H1281" s="1" t="str">
        <f t="shared" si="39"/>
        <v/>
      </c>
      <c r="I1281" s="1">
        <v>-0.02</v>
      </c>
      <c r="J1281" s="1">
        <f>+D1281-F1281+I1281*O1281</f>
        <v>-3.5800000000000005E-2</v>
      </c>
      <c r="K1281" s="1">
        <v>2.6041349396109598E-2</v>
      </c>
      <c r="L1281" s="1">
        <f>+K1281-J1281</f>
        <v>6.1841349396109607E-2</v>
      </c>
      <c r="M1281" s="1">
        <v>-2.9586506038904001E-3</v>
      </c>
      <c r="N1281" s="1">
        <f>+M1281-J1281</f>
        <v>3.2841349396109602E-2</v>
      </c>
      <c r="O1281">
        <v>2.54</v>
      </c>
      <c r="P1281" t="s">
        <v>17</v>
      </c>
      <c r="Q1281">
        <v>0</v>
      </c>
      <c r="R1281">
        <v>-5.1833861798047998E-2</v>
      </c>
      <c r="S1281">
        <v>-2.23230575211345E-2</v>
      </c>
      <c r="T1281">
        <v>0.02</v>
      </c>
    </row>
    <row r="1282" spans="1:20" x14ac:dyDescent="0.3">
      <c r="A1282" t="s">
        <v>99</v>
      </c>
      <c r="B1282">
        <v>2008</v>
      </c>
      <c r="C1282">
        <v>1919195</v>
      </c>
      <c r="D1282" s="1">
        <v>2.1999999999999999E-2</v>
      </c>
      <c r="E1282" s="1">
        <v>0.90620219707489003</v>
      </c>
      <c r="F1282" s="1">
        <v>1E-3</v>
      </c>
      <c r="G1282" s="1">
        <f t="shared" si="38"/>
        <v>4.3999999999999997E-2</v>
      </c>
      <c r="H1282" s="1" t="str">
        <f t="shared" si="39"/>
        <v/>
      </c>
      <c r="I1282" s="1">
        <v>-8.0000000000000002E-3</v>
      </c>
      <c r="J1282" s="1">
        <f>+D1282-F1282+I1282*O1282</f>
        <v>6.7999999999999658E-4</v>
      </c>
      <c r="K1282" s="1">
        <v>-1.3833861798048E-2</v>
      </c>
      <c r="L1282" s="1">
        <f>+K1282-J1282</f>
        <v>-1.4513861798047997E-2</v>
      </c>
      <c r="M1282" s="1">
        <v>-5.1833861798047998E-2</v>
      </c>
      <c r="N1282" s="1">
        <f>+M1282-J1282</f>
        <v>-5.2513861798047998E-2</v>
      </c>
      <c r="O1282">
        <v>2.54</v>
      </c>
      <c r="P1282" t="s">
        <v>17</v>
      </c>
      <c r="Q1282">
        <v>-0.02</v>
      </c>
      <c r="R1282">
        <v>-7.5398505389690396E-2</v>
      </c>
      <c r="S1282">
        <v>-4.8831803724169703E-2</v>
      </c>
      <c r="T1282">
        <v>0</v>
      </c>
    </row>
    <row r="1283" spans="1:20" x14ac:dyDescent="0.3">
      <c r="A1283" t="s">
        <v>99</v>
      </c>
      <c r="B1283">
        <v>2009</v>
      </c>
      <c r="C1283">
        <v>1942583</v>
      </c>
      <c r="D1283" s="1">
        <v>2.9000000000000001E-2</v>
      </c>
      <c r="E1283" s="1">
        <v>0.88794195652008101</v>
      </c>
      <c r="F1283" s="1">
        <v>8.0000000000000002E-3</v>
      </c>
      <c r="G1283" s="1">
        <f t="shared" si="38"/>
        <v>5.1999999999999998E-2</v>
      </c>
      <c r="H1283" s="1" t="str">
        <f t="shared" si="39"/>
        <v/>
      </c>
      <c r="I1283" s="1">
        <v>-1.7999999999999999E-2</v>
      </c>
      <c r="J1283" s="1">
        <f>+D1283-F1283+I1283*O1283</f>
        <v>-2.5079999999999995E-2</v>
      </c>
      <c r="K1283" s="1">
        <v>-7.9398505389690399E-2</v>
      </c>
      <c r="L1283" s="1">
        <f>+K1283-J1283</f>
        <v>-5.4318505389690408E-2</v>
      </c>
      <c r="M1283" s="1">
        <v>-7.5398505389690396E-2</v>
      </c>
      <c r="N1283" s="1">
        <f>+M1283-J1283</f>
        <v>-5.0318505389690404E-2</v>
      </c>
      <c r="O1283">
        <v>2.56</v>
      </c>
      <c r="P1283" t="s">
        <v>17</v>
      </c>
      <c r="Q1283">
        <v>-0.05</v>
      </c>
      <c r="R1283">
        <v>-3.7370586007833502E-2</v>
      </c>
      <c r="S1283">
        <v>-2.79104772489518E-2</v>
      </c>
      <c r="T1283">
        <v>-0.01</v>
      </c>
    </row>
    <row r="1284" spans="1:20" x14ac:dyDescent="0.3">
      <c r="A1284" t="s">
        <v>99</v>
      </c>
      <c r="B1284">
        <v>2010</v>
      </c>
      <c r="C1284">
        <v>1953029</v>
      </c>
      <c r="D1284" s="1">
        <v>3.0000000000000001E-3</v>
      </c>
      <c r="E1284" s="1">
        <v>0.89780646562576305</v>
      </c>
      <c r="F1284" s="1">
        <v>6.0000000000000001E-3</v>
      </c>
      <c r="G1284" s="1">
        <f t="shared" si="38"/>
        <v>5.7999999999999996E-2</v>
      </c>
      <c r="H1284" s="1" t="str">
        <f t="shared" si="39"/>
        <v/>
      </c>
      <c r="I1284" s="1">
        <v>0.01</v>
      </c>
      <c r="J1284" s="1">
        <f>+D1284-F1284+I1284*O1284</f>
        <v>2.2800000000000001E-2</v>
      </c>
      <c r="K1284" s="1">
        <v>-2.1370586007833502E-2</v>
      </c>
      <c r="L1284" s="1">
        <f>+K1284-J1284</f>
        <v>-4.4170586007833502E-2</v>
      </c>
      <c r="M1284" s="1">
        <v>-3.7370586007833502E-2</v>
      </c>
      <c r="N1284" s="1">
        <f>+M1284-J1284</f>
        <v>-6.0170586007833503E-2</v>
      </c>
      <c r="O1284">
        <v>2.58</v>
      </c>
      <c r="P1284" t="s">
        <v>15</v>
      </c>
      <c r="Q1284">
        <v>-0.03</v>
      </c>
      <c r="R1284">
        <v>-2.7492273475974799E-2</v>
      </c>
      <c r="S1284">
        <v>-6.2084989622234899E-3</v>
      </c>
      <c r="T1284">
        <v>0</v>
      </c>
    </row>
    <row r="1285" spans="1:20" x14ac:dyDescent="0.3">
      <c r="A1285" t="s">
        <v>99</v>
      </c>
      <c r="B1285">
        <v>2011</v>
      </c>
      <c r="C1285">
        <v>1962635</v>
      </c>
      <c r="D1285" s="1">
        <v>0</v>
      </c>
      <c r="E1285" s="1">
        <v>0.90179151296615601</v>
      </c>
      <c r="F1285" s="1">
        <v>4.0000000000000001E-3</v>
      </c>
      <c r="G1285" s="1">
        <f t="shared" si="38"/>
        <v>6.2E-2</v>
      </c>
      <c r="H1285" s="1" t="str">
        <f t="shared" si="39"/>
        <v/>
      </c>
      <c r="I1285" s="1">
        <v>4.0000000000000001E-3</v>
      </c>
      <c r="J1285" s="1">
        <f>+D1285-F1285+I1285*O1285</f>
        <v>6.3599999999999993E-3</v>
      </c>
      <c r="K1285" s="1">
        <v>4.5077265240252001E-3</v>
      </c>
      <c r="L1285" s="1">
        <f>+K1285-J1285</f>
        <v>-1.8522734759747993E-3</v>
      </c>
      <c r="M1285" s="1">
        <v>-2.7492273475974799E-2</v>
      </c>
      <c r="N1285" s="1">
        <f>+M1285-J1285</f>
        <v>-3.3852273475974796E-2</v>
      </c>
      <c r="O1285">
        <v>2.59</v>
      </c>
      <c r="P1285" t="s">
        <v>15</v>
      </c>
      <c r="Q1285">
        <v>-0.01</v>
      </c>
      <c r="R1285">
        <v>-1.4615630082786E-2</v>
      </c>
      <c r="S1285">
        <v>-9.1774240136146806E-3</v>
      </c>
      <c r="T1285">
        <v>0.01</v>
      </c>
    </row>
    <row r="1286" spans="1:20" x14ac:dyDescent="0.3">
      <c r="A1286" t="s">
        <v>99</v>
      </c>
      <c r="B1286">
        <v>2012</v>
      </c>
      <c r="C1286">
        <v>1986332</v>
      </c>
      <c r="D1286" s="1">
        <v>3.0000000000000001E-3</v>
      </c>
      <c r="E1286" s="1">
        <v>0.90405631065368697</v>
      </c>
      <c r="F1286" s="1">
        <v>1.7999999999999999E-2</v>
      </c>
      <c r="G1286" s="1">
        <f t="shared" si="38"/>
        <v>0.08</v>
      </c>
      <c r="H1286" s="1" t="str">
        <f t="shared" si="39"/>
        <v/>
      </c>
      <c r="I1286" s="1">
        <v>2E-3</v>
      </c>
      <c r="J1286" s="1">
        <f>+D1286-F1286+I1286*O1286</f>
        <v>-9.7199999999999995E-3</v>
      </c>
      <c r="K1286" s="1">
        <v>6.3843699172139202E-3</v>
      </c>
      <c r="L1286" s="1">
        <f>+K1286-J1286</f>
        <v>1.610436991721392E-2</v>
      </c>
      <c r="M1286" s="1">
        <v>-1.4615630082786E-2</v>
      </c>
      <c r="N1286" s="1">
        <f>+M1286-J1286</f>
        <v>-4.8956300827860001E-3</v>
      </c>
      <c r="O1286">
        <v>2.64</v>
      </c>
      <c r="P1286" t="s">
        <v>15</v>
      </c>
      <c r="Q1286">
        <v>-0.01</v>
      </c>
      <c r="R1286">
        <v>8.0837985873221992E-3</v>
      </c>
      <c r="S1286">
        <v>1.9570272415875998E-3</v>
      </c>
      <c r="T1286">
        <v>0.01</v>
      </c>
    </row>
    <row r="1287" spans="1:20" x14ac:dyDescent="0.3">
      <c r="A1287" t="s">
        <v>99</v>
      </c>
      <c r="B1287">
        <v>2013</v>
      </c>
      <c r="C1287">
        <v>2012015</v>
      </c>
      <c r="D1287" s="1">
        <v>2E-3</v>
      </c>
      <c r="E1287" s="1">
        <v>0.909076988697052</v>
      </c>
      <c r="F1287" s="1">
        <v>-2.5000000000000001E-2</v>
      </c>
      <c r="G1287" s="1">
        <f t="shared" ref="G1287:G1350" si="40">SUMIFS(F:F,A:A,A1287,B:B,"&lt;="&amp;B1287)</f>
        <v>5.5E-2</v>
      </c>
      <c r="H1287" s="1" t="str">
        <f t="shared" ref="H1287:H1350" si="41">IFERROR(IF(ABS(G1287)&gt;0.12,AVERAGEIFS(K:K,A:A,A1287,B:B,"&gt;"&amp;B1287,B:B,"&lt;"&amp;B1287+3),""),"")</f>
        <v/>
      </c>
      <c r="I1287" s="1">
        <v>5.0000000000000001E-3</v>
      </c>
      <c r="J1287" s="1">
        <f>+D1287-F1287+I1287*O1287</f>
        <v>3.9850000000000003E-2</v>
      </c>
      <c r="K1287" s="1">
        <v>2.30837985873222E-2</v>
      </c>
      <c r="L1287" s="1">
        <f>+K1287-J1287</f>
        <v>-1.6766201412677803E-2</v>
      </c>
      <c r="M1287" s="1">
        <v>8.0837985873221992E-3</v>
      </c>
      <c r="N1287" s="1">
        <f>+M1287-J1287</f>
        <v>-3.1766201412677803E-2</v>
      </c>
      <c r="O1287">
        <v>2.57</v>
      </c>
      <c r="P1287" t="s">
        <v>17</v>
      </c>
      <c r="Q1287">
        <v>0</v>
      </c>
      <c r="R1287">
        <v>1.0052996516227699E-2</v>
      </c>
      <c r="S1287">
        <v>8.0449730157851999E-3</v>
      </c>
      <c r="T1287">
        <v>-0.03</v>
      </c>
    </row>
    <row r="1288" spans="1:20" x14ac:dyDescent="0.3">
      <c r="A1288" t="s">
        <v>99</v>
      </c>
      <c r="B1288">
        <v>2014</v>
      </c>
      <c r="C1288">
        <v>2046114</v>
      </c>
      <c r="D1288" s="1">
        <v>7.0000000000000001E-3</v>
      </c>
      <c r="E1288" s="1">
        <v>0.92116057872772195</v>
      </c>
      <c r="F1288" s="1">
        <v>-4.1000000000000002E-2</v>
      </c>
      <c r="G1288" s="1">
        <f t="shared" si="40"/>
        <v>1.3999999999999999E-2</v>
      </c>
      <c r="H1288" s="1" t="str">
        <f t="shared" si="41"/>
        <v/>
      </c>
      <c r="I1288" s="1">
        <v>1.2E-2</v>
      </c>
      <c r="J1288" s="1">
        <f>+D1288-F1288+I1288*O1288</f>
        <v>7.7640000000000001E-2</v>
      </c>
      <c r="K1288" s="1">
        <v>2.6052996516227701E-2</v>
      </c>
      <c r="L1288" s="1">
        <f>+K1288-J1288</f>
        <v>-5.1587003483772299E-2</v>
      </c>
      <c r="M1288" s="1">
        <v>1.0052996516227699E-2</v>
      </c>
      <c r="N1288" s="1">
        <f>+M1288-J1288</f>
        <v>-6.7587003483772307E-2</v>
      </c>
      <c r="O1288">
        <v>2.4700000000000002</v>
      </c>
      <c r="P1288" t="s">
        <v>17</v>
      </c>
      <c r="Q1288">
        <v>0.01</v>
      </c>
      <c r="R1288">
        <v>5.4770970880985301E-2</v>
      </c>
      <c r="S1288">
        <v>2.4507518857717601E-2</v>
      </c>
      <c r="T1288">
        <v>-0.04</v>
      </c>
    </row>
    <row r="1289" spans="1:20" x14ac:dyDescent="0.3">
      <c r="A1289" t="s">
        <v>99</v>
      </c>
      <c r="B1289">
        <v>2015</v>
      </c>
      <c r="C1289">
        <v>2085304.875</v>
      </c>
      <c r="D1289" s="1">
        <v>1.4999999999999999E-2</v>
      </c>
      <c r="E1289" s="1">
        <v>0.93024015426635698</v>
      </c>
      <c r="F1289" s="1">
        <v>6.0000000000000001E-3</v>
      </c>
      <c r="G1289" s="1">
        <f t="shared" si="40"/>
        <v>1.9999999999999997E-2</v>
      </c>
      <c r="H1289" s="1" t="str">
        <f t="shared" si="41"/>
        <v/>
      </c>
      <c r="I1289" s="1">
        <v>8.9999999999999993E-3</v>
      </c>
      <c r="J1289" s="1">
        <f>+D1289-F1289+I1289*O1289</f>
        <v>3.1320000000000001E-2</v>
      </c>
      <c r="K1289" s="1">
        <v>5.5770970880985302E-2</v>
      </c>
      <c r="L1289" s="1">
        <f>+K1289-J1289</f>
        <v>2.4450970880985301E-2</v>
      </c>
      <c r="M1289" s="1">
        <v>5.4770970880985301E-2</v>
      </c>
      <c r="N1289" s="1">
        <f>+M1289-J1289</f>
        <v>2.34509708809853E-2</v>
      </c>
      <c r="O1289">
        <v>2.48</v>
      </c>
      <c r="P1289" t="s">
        <v>15</v>
      </c>
      <c r="Q1289">
        <v>0.02</v>
      </c>
      <c r="R1289">
        <v>4.05493269562721E-2</v>
      </c>
      <c r="S1289">
        <v>2.7395769953727701E-2</v>
      </c>
      <c r="T1289">
        <v>0.02</v>
      </c>
    </row>
    <row r="1290" spans="1:20" x14ac:dyDescent="0.3">
      <c r="A1290" t="s">
        <v>99</v>
      </c>
      <c r="B1290">
        <v>2016</v>
      </c>
      <c r="C1290">
        <v>2123796</v>
      </c>
      <c r="D1290" s="1">
        <v>1.7999999999999999E-2</v>
      </c>
      <c r="E1290" s="1">
        <v>0.93095463514328003</v>
      </c>
      <c r="F1290" s="1">
        <v>0</v>
      </c>
      <c r="G1290" s="1">
        <f t="shared" si="40"/>
        <v>1.9999999999999997E-2</v>
      </c>
      <c r="H1290" s="1" t="str">
        <f t="shared" si="41"/>
        <v/>
      </c>
      <c r="I1290" s="1">
        <v>1E-3</v>
      </c>
      <c r="J1290" s="1">
        <f>+D1290-F1290+I1290*O1290</f>
        <v>2.0479999999999998E-2</v>
      </c>
      <c r="K1290" s="1">
        <v>5.3549326956272097E-2</v>
      </c>
      <c r="L1290" s="1">
        <f>+K1290-J1290</f>
        <v>3.3069326956272099E-2</v>
      </c>
      <c r="M1290" s="1">
        <v>4.05493269562721E-2</v>
      </c>
      <c r="N1290" s="1">
        <f>+M1290-J1290</f>
        <v>2.0069326956272102E-2</v>
      </c>
      <c r="O1290">
        <v>2.48</v>
      </c>
      <c r="P1290" t="s">
        <v>15</v>
      </c>
      <c r="Q1290">
        <v>0.03</v>
      </c>
      <c r="R1290">
        <v>2.8919623881578298E-2</v>
      </c>
      <c r="S1290">
        <v>2.6130050420761001E-2</v>
      </c>
      <c r="T1290">
        <v>0</v>
      </c>
    </row>
    <row r="1291" spans="1:20" x14ac:dyDescent="0.3">
      <c r="A1291" t="s">
        <v>99</v>
      </c>
      <c r="B1291">
        <v>2017</v>
      </c>
      <c r="C1291">
        <v>2163224</v>
      </c>
      <c r="D1291" s="1">
        <v>2.1999999999999999E-2</v>
      </c>
      <c r="E1291" s="1">
        <v>0.92957568168640103</v>
      </c>
      <c r="F1291" s="1">
        <v>2E-3</v>
      </c>
      <c r="G1291" s="1">
        <f t="shared" si="40"/>
        <v>2.1999999999999999E-2</v>
      </c>
      <c r="H1291" s="1" t="str">
        <f t="shared" si="41"/>
        <v/>
      </c>
      <c r="I1291" s="1">
        <v>-1E-3</v>
      </c>
      <c r="J1291" s="1">
        <f>+D1291-F1291+I1291*O1291</f>
        <v>1.7509999999999998E-2</v>
      </c>
      <c r="K1291" s="1">
        <v>4.9919623881578397E-2</v>
      </c>
      <c r="L1291" s="1">
        <f>+K1291-J1291</f>
        <v>3.2409623881578399E-2</v>
      </c>
      <c r="M1291" s="1">
        <v>2.8919623881578298E-2</v>
      </c>
      <c r="N1291" s="1">
        <f>+M1291-J1291</f>
        <v>1.1409623881578301E-2</v>
      </c>
      <c r="O1291">
        <v>2.4900000000000002</v>
      </c>
      <c r="P1291" t="s">
        <v>17</v>
      </c>
      <c r="Q1291">
        <v>0.03</v>
      </c>
      <c r="R1291">
        <v>4.5440633058548001E-2</v>
      </c>
      <c r="S1291">
        <v>3.6305610090494198E-2</v>
      </c>
      <c r="T1291">
        <v>0</v>
      </c>
    </row>
    <row r="1292" spans="1:20" x14ac:dyDescent="0.3">
      <c r="A1292" t="s">
        <v>99</v>
      </c>
      <c r="B1292">
        <v>2018</v>
      </c>
      <c r="C1292">
        <v>2204967</v>
      </c>
      <c r="D1292" s="1">
        <v>1.6E-2</v>
      </c>
      <c r="E1292" s="1">
        <v>0.93485343456268299</v>
      </c>
      <c r="F1292" s="1">
        <v>-4.4999999999999998E-2</v>
      </c>
      <c r="G1292" s="1">
        <f t="shared" si="40"/>
        <v>-2.3E-2</v>
      </c>
      <c r="H1292" s="1" t="str">
        <f t="shared" si="41"/>
        <v/>
      </c>
      <c r="I1292" s="1">
        <v>5.0000000000000001E-3</v>
      </c>
      <c r="J1292" s="1">
        <f>+D1292-F1292+I1292*O1292</f>
        <v>7.2899999999999993E-2</v>
      </c>
      <c r="K1292" s="1">
        <v>6.9440633058548001E-2</v>
      </c>
      <c r="L1292" s="1">
        <f>+K1292-J1292</f>
        <v>-3.4593669414519912E-3</v>
      </c>
      <c r="M1292" s="1">
        <v>4.5440633058548001E-2</v>
      </c>
      <c r="N1292" s="1">
        <f>+M1292-J1292</f>
        <v>-2.7459366941451992E-2</v>
      </c>
      <c r="O1292">
        <v>2.38</v>
      </c>
      <c r="P1292" t="s">
        <v>17</v>
      </c>
      <c r="Q1292">
        <v>0.04</v>
      </c>
      <c r="R1292">
        <v>4.2124959796667097E-2</v>
      </c>
      <c r="S1292">
        <v>2.4323765188455498E-2</v>
      </c>
      <c r="T1292">
        <v>-0.03</v>
      </c>
    </row>
    <row r="1293" spans="1:20" x14ac:dyDescent="0.3">
      <c r="A1293" t="s">
        <v>99</v>
      </c>
      <c r="B1293">
        <v>2019</v>
      </c>
      <c r="C1293">
        <v>2246692</v>
      </c>
      <c r="D1293" s="1">
        <v>1.7000000000000001E-2</v>
      </c>
      <c r="E1293" s="1">
        <v>0.92581278085708596</v>
      </c>
      <c r="F1293" s="1">
        <v>1.0999999999999999E-2</v>
      </c>
      <c r="G1293" s="1">
        <f t="shared" si="40"/>
        <v>-1.2E-2</v>
      </c>
      <c r="H1293" s="1" t="str">
        <f t="shared" si="41"/>
        <v/>
      </c>
      <c r="I1293" s="1">
        <v>-8.9999999999999993E-3</v>
      </c>
      <c r="J1293" s="1">
        <f>+D1293-F1293+I1293*O1293</f>
        <v>-1.5599999999999996E-2</v>
      </c>
      <c r="K1293" s="1">
        <v>6.0124959796667099E-2</v>
      </c>
      <c r="L1293" s="1">
        <f>+K1293-J1293</f>
        <v>7.5724959796667102E-2</v>
      </c>
      <c r="M1293" s="1">
        <v>4.2124959796667097E-2</v>
      </c>
      <c r="N1293" s="1">
        <f>+M1293-J1293</f>
        <v>5.7724959796667093E-2</v>
      </c>
      <c r="O1293">
        <v>2.4</v>
      </c>
      <c r="P1293" t="s">
        <v>17</v>
      </c>
      <c r="Q1293">
        <v>0.02</v>
      </c>
      <c r="R1293">
        <v>3.8351165235042603E-2</v>
      </c>
      <c r="S1293">
        <v>1.9501974806189599E-2</v>
      </c>
      <c r="T1293">
        <v>0.02</v>
      </c>
    </row>
    <row r="1294" spans="1:20" x14ac:dyDescent="0.3">
      <c r="A1294" t="s">
        <v>99</v>
      </c>
      <c r="B1294">
        <v>2020</v>
      </c>
      <c r="C1294">
        <v>2281069</v>
      </c>
      <c r="D1294" s="1">
        <v>2.1999999999999999E-2</v>
      </c>
      <c r="E1294" s="1">
        <v>0.93908560276031505</v>
      </c>
      <c r="F1294" s="1">
        <v>2.5000000000000001E-2</v>
      </c>
      <c r="G1294" s="1">
        <f t="shared" si="40"/>
        <v>1.3000000000000001E-2</v>
      </c>
      <c r="H1294" s="1" t="str">
        <f t="shared" si="41"/>
        <v/>
      </c>
      <c r="I1294" s="1">
        <v>1.2999999999999999E-2</v>
      </c>
      <c r="J1294" s="1">
        <f>+D1294-F1294+I1294*O1294</f>
        <v>2.8979999999999999E-2</v>
      </c>
      <c r="K1294" s="1">
        <v>5.03511652350426E-2</v>
      </c>
      <c r="L1294" s="1">
        <f>+K1294-J1294</f>
        <v>2.1371165235042601E-2</v>
      </c>
      <c r="M1294" s="1">
        <v>3.8351165235042603E-2</v>
      </c>
      <c r="N1294" s="1">
        <f>+M1294-J1294</f>
        <v>9.3711652350426042E-3</v>
      </c>
      <c r="O1294">
        <v>2.46</v>
      </c>
      <c r="P1294" t="s">
        <v>15</v>
      </c>
      <c r="Q1294">
        <v>0.02</v>
      </c>
      <c r="R1294">
        <v>0.152291244149208</v>
      </c>
      <c r="S1294">
        <v>0.108701631426811</v>
      </c>
      <c r="T1294">
        <v>0.06</v>
      </c>
    </row>
    <row r="1295" spans="1:20" x14ac:dyDescent="0.3">
      <c r="A1295" t="s">
        <v>99</v>
      </c>
      <c r="B1295">
        <v>2021</v>
      </c>
      <c r="C1295">
        <v>2302467</v>
      </c>
      <c r="D1295" s="1">
        <v>1.7000000000000001E-2</v>
      </c>
      <c r="E1295" s="1">
        <v>0.94300377368927002</v>
      </c>
      <c r="F1295" s="1">
        <v>-1.4999999999999999E-2</v>
      </c>
      <c r="G1295" s="1">
        <f t="shared" si="40"/>
        <v>-1.9999999999999983E-3</v>
      </c>
      <c r="H1295" s="1" t="str">
        <f t="shared" si="41"/>
        <v/>
      </c>
      <c r="I1295" s="1">
        <v>4.0000000000000001E-3</v>
      </c>
      <c r="J1295" s="1">
        <f>+D1295-F1295+I1295*O1295</f>
        <v>4.1680000000000002E-2</v>
      </c>
      <c r="K1295" s="1">
        <v>0.19929124414920801</v>
      </c>
      <c r="L1295" s="1">
        <f>+K1295-J1295</f>
        <v>0.15761124414920802</v>
      </c>
      <c r="M1295" s="1">
        <v>0.152291244149208</v>
      </c>
      <c r="N1295" s="1">
        <f>+M1295-J1295</f>
        <v>0.110611244149208</v>
      </c>
      <c r="O1295">
        <v>2.42</v>
      </c>
      <c r="P1295" t="s">
        <v>17</v>
      </c>
      <c r="Q1295">
        <v>0.11</v>
      </c>
      <c r="R1295">
        <v>-8.6463308352976997E-2</v>
      </c>
      <c r="S1295">
        <v>-5.4359801579266703E-2</v>
      </c>
      <c r="T1295">
        <v>-0.04</v>
      </c>
    </row>
    <row r="1296" spans="1:20" x14ac:dyDescent="0.3">
      <c r="A1296" t="s">
        <v>99</v>
      </c>
      <c r="B1296">
        <v>2022</v>
      </c>
      <c r="C1296">
        <v>2329620</v>
      </c>
      <c r="D1296" s="1">
        <v>1.4999999999999999E-2</v>
      </c>
      <c r="E1296" s="1">
        <v>0.91366267204284701</v>
      </c>
      <c r="F1296" s="1">
        <v>2.4E-2</v>
      </c>
      <c r="G1296" s="1">
        <f t="shared" si="40"/>
        <v>2.2000000000000002E-2</v>
      </c>
      <c r="H1296" s="1" t="str">
        <f t="shared" si="41"/>
        <v/>
      </c>
      <c r="I1296" s="1">
        <v>-2.9000000000000001E-2</v>
      </c>
      <c r="J1296" s="1">
        <f>+D1296-F1296+I1296*O1296</f>
        <v>-8.0919999999999992E-2</v>
      </c>
      <c r="K1296" s="1">
        <v>-6.46330835297704E-3</v>
      </c>
      <c r="L1296" s="1">
        <f>+K1296-J1296</f>
        <v>7.4456691647022955E-2</v>
      </c>
      <c r="M1296" s="1">
        <v>-8.6463308352976997E-2</v>
      </c>
      <c r="N1296" s="1">
        <f>+M1296-J1296</f>
        <v>-5.5433083529770055E-3</v>
      </c>
      <c r="O1296">
        <v>2.48</v>
      </c>
      <c r="P1296" t="s">
        <v>17</v>
      </c>
      <c r="Q1296">
        <v>-0.05</v>
      </c>
      <c r="R1296">
        <v>-5.0446386247873301E-2</v>
      </c>
      <c r="S1296">
        <v>-3.0887458473443999E-2</v>
      </c>
      <c r="T1296">
        <v>0.04</v>
      </c>
    </row>
    <row r="1297" spans="1:20" x14ac:dyDescent="0.3">
      <c r="A1297" t="s">
        <v>100</v>
      </c>
      <c r="B1297">
        <v>2006</v>
      </c>
      <c r="C1297">
        <v>800788.875</v>
      </c>
      <c r="D1297" s="1">
        <v>0.01</v>
      </c>
      <c r="E1297" s="1">
        <v>0.957100629806519</v>
      </c>
      <c r="F1297" s="1">
        <v>4.8000000000000001E-2</v>
      </c>
      <c r="G1297" s="1">
        <f t="shared" si="40"/>
        <v>4.8000000000000001E-2</v>
      </c>
      <c r="H1297" s="1" t="str">
        <f t="shared" si="41"/>
        <v/>
      </c>
      <c r="I1297" s="1">
        <v>8.0000000000000002E-3</v>
      </c>
      <c r="J1297" s="1">
        <f>+D1297-F1297+I1297*O1297</f>
        <v>-2.0079999999999997E-2</v>
      </c>
      <c r="K1297" s="1">
        <v>3.1940717250108698E-2</v>
      </c>
      <c r="L1297" s="1">
        <f>+K1297-J1297</f>
        <v>5.2020717250108692E-2</v>
      </c>
      <c r="M1297" s="1">
        <v>-5.9282749891302597E-5</v>
      </c>
      <c r="N1297" s="1">
        <f>+M1297-J1297</f>
        <v>2.0020717250108695E-2</v>
      </c>
      <c r="O1297">
        <v>2.2400000000000002</v>
      </c>
      <c r="P1297" t="s">
        <v>15</v>
      </c>
      <c r="Q1297">
        <v>-0.01</v>
      </c>
      <c r="R1297">
        <v>3.1694426238536898E-3</v>
      </c>
      <c r="S1297">
        <v>4.0911985561251901E-3</v>
      </c>
      <c r="T1297">
        <v>0.05</v>
      </c>
    </row>
    <row r="1298" spans="1:20" x14ac:dyDescent="0.3">
      <c r="A1298" t="s">
        <v>100</v>
      </c>
      <c r="B1298">
        <v>2007</v>
      </c>
      <c r="C1298">
        <v>809190.625</v>
      </c>
      <c r="D1298" s="1">
        <v>1E-3</v>
      </c>
      <c r="E1298" s="1">
        <v>0.95619881153106701</v>
      </c>
      <c r="F1298" s="1">
        <v>1.4E-2</v>
      </c>
      <c r="G1298" s="1">
        <f t="shared" si="40"/>
        <v>6.2E-2</v>
      </c>
      <c r="H1298" s="1" t="str">
        <f t="shared" si="41"/>
        <v/>
      </c>
      <c r="I1298" s="1">
        <v>-1E-3</v>
      </c>
      <c r="J1298" s="1">
        <f>+D1298-F1298+I1298*O1298</f>
        <v>-1.5270000000000001E-2</v>
      </c>
      <c r="K1298" s="1">
        <v>3.2169442623853697E-2</v>
      </c>
      <c r="L1298" s="1">
        <f>+K1298-J1298</f>
        <v>4.7439442623853696E-2</v>
      </c>
      <c r="M1298" s="1">
        <v>3.1694426238536898E-3</v>
      </c>
      <c r="N1298" s="1">
        <f>+M1298-J1298</f>
        <v>1.8439442623853691E-2</v>
      </c>
      <c r="O1298">
        <v>2.27</v>
      </c>
      <c r="P1298" t="s">
        <v>17</v>
      </c>
      <c r="Q1298">
        <v>0</v>
      </c>
      <c r="R1298">
        <v>-3.2020135607570402E-2</v>
      </c>
      <c r="S1298">
        <v>-2.5093313306570001E-3</v>
      </c>
      <c r="T1298">
        <v>0.01</v>
      </c>
    </row>
    <row r="1299" spans="1:20" x14ac:dyDescent="0.3">
      <c r="A1299" t="s">
        <v>100</v>
      </c>
      <c r="B1299">
        <v>2008</v>
      </c>
      <c r="C1299">
        <v>815016.8125</v>
      </c>
      <c r="D1299" s="1">
        <v>1.6E-2</v>
      </c>
      <c r="E1299" s="1">
        <v>0.94932675361633301</v>
      </c>
      <c r="F1299" s="1">
        <v>-2.1000000000000001E-2</v>
      </c>
      <c r="G1299" s="1">
        <f t="shared" si="40"/>
        <v>4.0999999999999995E-2</v>
      </c>
      <c r="H1299" s="1" t="str">
        <f t="shared" si="41"/>
        <v/>
      </c>
      <c r="I1299" s="1">
        <v>-7.0000000000000001E-3</v>
      </c>
      <c r="J1299" s="1">
        <f>+D1299-F1299+I1299*O1299</f>
        <v>2.1460000000000003E-2</v>
      </c>
      <c r="K1299" s="1">
        <v>5.9798643924295902E-3</v>
      </c>
      <c r="L1299" s="1">
        <f>+K1299-J1299</f>
        <v>-1.5480135607570413E-2</v>
      </c>
      <c r="M1299" s="1">
        <v>-3.2020135607570402E-2</v>
      </c>
      <c r="N1299" s="1">
        <f>+M1299-J1299</f>
        <v>-5.3480135607570409E-2</v>
      </c>
      <c r="O1299">
        <v>2.2200000000000002</v>
      </c>
      <c r="P1299" t="s">
        <v>16</v>
      </c>
      <c r="Q1299">
        <v>0</v>
      </c>
      <c r="R1299">
        <v>-2.3607340365648301E-2</v>
      </c>
      <c r="S1299">
        <v>2.9593612998723498E-3</v>
      </c>
      <c r="T1299">
        <v>-0.02</v>
      </c>
    </row>
    <row r="1300" spans="1:20" x14ac:dyDescent="0.3">
      <c r="A1300" t="s">
        <v>100</v>
      </c>
      <c r="B1300">
        <v>2009</v>
      </c>
      <c r="C1300">
        <v>818927.4375</v>
      </c>
      <c r="D1300" s="1">
        <v>1.2999999999999999E-2</v>
      </c>
      <c r="E1300" s="1">
        <v>0.945309698581696</v>
      </c>
      <c r="F1300" s="1">
        <v>2E-3</v>
      </c>
      <c r="G1300" s="1">
        <f t="shared" si="40"/>
        <v>4.2999999999999997E-2</v>
      </c>
      <c r="H1300" s="1" t="str">
        <f t="shared" si="41"/>
        <v/>
      </c>
      <c r="I1300" s="1">
        <v>-4.0000000000000001E-3</v>
      </c>
      <c r="J1300" s="1">
        <f>+D1300-F1300+I1300*O1300</f>
        <v>2.0799999999999985E-3</v>
      </c>
      <c r="K1300" s="1">
        <v>-2.7607340365648301E-2</v>
      </c>
      <c r="L1300" s="1">
        <f>+K1300-J1300</f>
        <v>-2.9687340365648299E-2</v>
      </c>
      <c r="M1300" s="1">
        <v>-2.3607340365648301E-2</v>
      </c>
      <c r="N1300" s="1">
        <f>+M1300-J1300</f>
        <v>-2.5687340365648299E-2</v>
      </c>
      <c r="O1300">
        <v>2.23</v>
      </c>
      <c r="P1300" t="s">
        <v>17</v>
      </c>
      <c r="Q1300">
        <v>0</v>
      </c>
      <c r="R1300">
        <v>-1.7635982334614001E-3</v>
      </c>
      <c r="S1300">
        <v>7.6965105254202804E-3</v>
      </c>
      <c r="T1300">
        <v>-0.02</v>
      </c>
    </row>
    <row r="1301" spans="1:20" x14ac:dyDescent="0.3">
      <c r="A1301" t="s">
        <v>100</v>
      </c>
      <c r="B1301">
        <v>2010</v>
      </c>
      <c r="C1301">
        <v>823360.5</v>
      </c>
      <c r="D1301" s="1">
        <v>2.1000000000000001E-2</v>
      </c>
      <c r="E1301" s="1">
        <v>0.94228219985961903</v>
      </c>
      <c r="F1301" s="1">
        <v>1.2999999999999999E-2</v>
      </c>
      <c r="G1301" s="1">
        <f t="shared" si="40"/>
        <v>5.5999999999999994E-2</v>
      </c>
      <c r="H1301" s="1" t="str">
        <f t="shared" si="41"/>
        <v/>
      </c>
      <c r="I1301" s="1">
        <v>-3.0000000000000001E-3</v>
      </c>
      <c r="J1301" s="1">
        <f>+D1301-F1301+I1301*O1301</f>
        <v>1.2200000000000023E-3</v>
      </c>
      <c r="K1301" s="1">
        <v>1.4236401766538599E-2</v>
      </c>
      <c r="L1301" s="1">
        <f>+K1301-J1301</f>
        <v>1.3016401766538597E-2</v>
      </c>
      <c r="M1301" s="1">
        <v>-1.7635982334614001E-3</v>
      </c>
      <c r="N1301" s="1">
        <f>+M1301-J1301</f>
        <v>-2.9835982334614026E-3</v>
      </c>
      <c r="O1301">
        <v>2.2599999999999998</v>
      </c>
      <c r="P1301" t="s">
        <v>17</v>
      </c>
      <c r="Q1301">
        <v>0.01</v>
      </c>
      <c r="R1301">
        <v>-2.1744883961975599E-2</v>
      </c>
      <c r="S1301">
        <v>-4.6110944822430199E-4</v>
      </c>
      <c r="T1301">
        <v>0.01</v>
      </c>
    </row>
    <row r="1302" spans="1:20" x14ac:dyDescent="0.3">
      <c r="A1302" t="s">
        <v>100</v>
      </c>
      <c r="B1302">
        <v>2011</v>
      </c>
      <c r="C1302">
        <v>827474.1875</v>
      </c>
      <c r="D1302" s="1">
        <v>0.01</v>
      </c>
      <c r="E1302" s="1">
        <v>0.94374346733093295</v>
      </c>
      <c r="F1302" s="1">
        <v>3.0000000000000001E-3</v>
      </c>
      <c r="G1302" s="1">
        <f t="shared" si="40"/>
        <v>5.8999999999999997E-2</v>
      </c>
      <c r="H1302" s="1" t="str">
        <f t="shared" si="41"/>
        <v/>
      </c>
      <c r="I1302" s="1">
        <v>1E-3</v>
      </c>
      <c r="J1302" s="1">
        <f>+D1302-F1302+I1302*O1302</f>
        <v>9.2600000000000009E-3</v>
      </c>
      <c r="K1302" s="1">
        <v>1.0255116038024399E-2</v>
      </c>
      <c r="L1302" s="1">
        <f>+K1302-J1302</f>
        <v>9.9511603802439862E-4</v>
      </c>
      <c r="M1302" s="1">
        <v>-2.1744883961975599E-2</v>
      </c>
      <c r="N1302" s="1">
        <f>+M1302-J1302</f>
        <v>-3.10048839619756E-2</v>
      </c>
      <c r="O1302">
        <v>2.2599999999999998</v>
      </c>
      <c r="P1302" t="s">
        <v>15</v>
      </c>
      <c r="Q1302">
        <v>0</v>
      </c>
      <c r="R1302">
        <v>-5.6003931015730004E-3</v>
      </c>
      <c r="S1302">
        <v>-1.6218703240160101E-4</v>
      </c>
      <c r="T1302">
        <v>0</v>
      </c>
    </row>
    <row r="1303" spans="1:20" x14ac:dyDescent="0.3">
      <c r="A1303" t="s">
        <v>100</v>
      </c>
      <c r="B1303">
        <v>2012</v>
      </c>
      <c r="C1303">
        <v>830026.5</v>
      </c>
      <c r="D1303" s="1">
        <v>-2E-3</v>
      </c>
      <c r="E1303" s="1">
        <v>0.94435399770736705</v>
      </c>
      <c r="F1303" s="1">
        <v>-1.0999999999999999E-2</v>
      </c>
      <c r="G1303" s="1">
        <f t="shared" si="40"/>
        <v>4.8000000000000001E-2</v>
      </c>
      <c r="H1303" s="1" t="str">
        <f t="shared" si="41"/>
        <v/>
      </c>
      <c r="I1303" s="1">
        <v>1E-3</v>
      </c>
      <c r="J1303" s="1">
        <f>+D1303-F1303+I1303*O1303</f>
        <v>1.124E-2</v>
      </c>
      <c r="K1303" s="1">
        <v>1.5399606898426999E-2</v>
      </c>
      <c r="L1303" s="1">
        <f>+K1303-J1303</f>
        <v>4.1596068984269992E-3</v>
      </c>
      <c r="M1303" s="1">
        <v>-5.6003931015730004E-3</v>
      </c>
      <c r="N1303" s="1">
        <f>+M1303-J1303</f>
        <v>-1.6840393101573002E-2</v>
      </c>
      <c r="O1303">
        <v>2.2400000000000002</v>
      </c>
      <c r="P1303" t="s">
        <v>17</v>
      </c>
      <c r="Q1303">
        <v>0</v>
      </c>
      <c r="R1303">
        <v>-6.6477994993328904E-3</v>
      </c>
      <c r="S1303">
        <v>-1.2774570845067499E-2</v>
      </c>
      <c r="T1303">
        <v>-0.01</v>
      </c>
    </row>
    <row r="1304" spans="1:20" x14ac:dyDescent="0.3">
      <c r="A1304" t="s">
        <v>100</v>
      </c>
      <c r="B1304">
        <v>2013</v>
      </c>
      <c r="C1304">
        <v>831915.5625</v>
      </c>
      <c r="D1304" s="1">
        <v>7.0000000000000001E-3</v>
      </c>
      <c r="E1304" s="1">
        <v>0.94389456510543801</v>
      </c>
      <c r="F1304" s="1">
        <v>6.5000000000000002E-2</v>
      </c>
      <c r="G1304" s="1">
        <f t="shared" si="40"/>
        <v>0.113</v>
      </c>
      <c r="H1304" s="1" t="str">
        <f t="shared" si="41"/>
        <v/>
      </c>
      <c r="I1304" s="1">
        <v>0</v>
      </c>
      <c r="J1304" s="1">
        <f>+D1304-F1304+I1304*O1304</f>
        <v>-5.8000000000000003E-2</v>
      </c>
      <c r="K1304" s="1">
        <v>8.3522005006671004E-3</v>
      </c>
      <c r="L1304" s="1">
        <f>+K1304-J1304</f>
        <v>6.6352200500667105E-2</v>
      </c>
      <c r="M1304" s="1">
        <v>-6.6477994993328904E-3</v>
      </c>
      <c r="N1304" s="1">
        <f>+M1304-J1304</f>
        <v>5.1352200500667113E-2</v>
      </c>
      <c r="O1304">
        <v>2.38</v>
      </c>
      <c r="P1304" t="s">
        <v>17</v>
      </c>
      <c r="Q1304">
        <v>-0.01</v>
      </c>
      <c r="R1304">
        <v>3.7373274713754902E-3</v>
      </c>
      <c r="S1304">
        <v>1.72930397093299E-3</v>
      </c>
      <c r="T1304">
        <v>0.06</v>
      </c>
    </row>
    <row r="1305" spans="1:20" x14ac:dyDescent="0.3">
      <c r="A1305" t="s">
        <v>100</v>
      </c>
      <c r="B1305">
        <v>2014</v>
      </c>
      <c r="C1305">
        <v>836138</v>
      </c>
      <c r="D1305" s="1">
        <v>0</v>
      </c>
      <c r="E1305" s="1">
        <v>0.94534343481063798</v>
      </c>
      <c r="F1305" s="1">
        <v>-1.0999999999999999E-2</v>
      </c>
      <c r="G1305" s="1">
        <f t="shared" si="40"/>
        <v>0.10200000000000001</v>
      </c>
      <c r="H1305" s="1" t="str">
        <f t="shared" si="41"/>
        <v/>
      </c>
      <c r="I1305" s="1">
        <v>1E-3</v>
      </c>
      <c r="J1305" s="1">
        <f>+D1305-F1305+I1305*O1305</f>
        <v>1.336E-2</v>
      </c>
      <c r="K1305" s="1">
        <v>1.97373274713755E-2</v>
      </c>
      <c r="L1305" s="1">
        <f>+K1305-J1305</f>
        <v>6.3773274713754997E-3</v>
      </c>
      <c r="M1305" s="1">
        <v>3.7373274713754902E-3</v>
      </c>
      <c r="N1305" s="1">
        <f>+M1305-J1305</f>
        <v>-9.622672528624511E-3</v>
      </c>
      <c r="O1305">
        <v>2.36</v>
      </c>
      <c r="P1305" t="s">
        <v>17</v>
      </c>
      <c r="Q1305">
        <v>0</v>
      </c>
      <c r="R1305">
        <v>3.0336411833763101E-2</v>
      </c>
      <c r="S1305">
        <v>7.2959810495404302E-5</v>
      </c>
      <c r="T1305">
        <v>-0.01</v>
      </c>
    </row>
    <row r="1306" spans="1:20" x14ac:dyDescent="0.3">
      <c r="A1306" t="s">
        <v>100</v>
      </c>
      <c r="B1306">
        <v>2015</v>
      </c>
      <c r="C1306">
        <v>839834.4375</v>
      </c>
      <c r="D1306" s="1">
        <v>3.5999999999999997E-2</v>
      </c>
      <c r="E1306" s="1">
        <v>0.94074010848999001</v>
      </c>
      <c r="F1306" s="1">
        <v>0.03</v>
      </c>
      <c r="G1306" s="1">
        <f t="shared" si="40"/>
        <v>0.13200000000000001</v>
      </c>
      <c r="H1306" s="1">
        <f t="shared" si="41"/>
        <v>3.1320274807512753E-2</v>
      </c>
      <c r="I1306" s="1">
        <v>-5.0000000000000001E-3</v>
      </c>
      <c r="J1306" s="1">
        <f>+D1306-F1306+I1306*O1306</f>
        <v>-6.1500000000000027E-3</v>
      </c>
      <c r="K1306" s="1">
        <v>3.1336411833763102E-2</v>
      </c>
      <c r="L1306" s="1">
        <f>+K1306-J1306</f>
        <v>3.7486411833763104E-2</v>
      </c>
      <c r="M1306" s="1">
        <v>3.0336411833763101E-2</v>
      </c>
      <c r="N1306" s="1">
        <f>+M1306-J1306</f>
        <v>3.6486411833763104E-2</v>
      </c>
      <c r="O1306">
        <v>2.4300000000000002</v>
      </c>
      <c r="P1306" t="s">
        <v>17</v>
      </c>
      <c r="Q1306">
        <v>0</v>
      </c>
      <c r="R1306">
        <v>1.5235478326678299E-2</v>
      </c>
      <c r="S1306">
        <v>2.0819213241338999E-3</v>
      </c>
      <c r="T1306">
        <v>0.04</v>
      </c>
    </row>
    <row r="1307" spans="1:20" x14ac:dyDescent="0.3">
      <c r="A1307" t="s">
        <v>100</v>
      </c>
      <c r="B1307">
        <v>2016</v>
      </c>
      <c r="C1307">
        <v>845038.8125</v>
      </c>
      <c r="D1307" s="1">
        <v>2.3E-2</v>
      </c>
      <c r="E1307" s="1">
        <v>0.94565904140472401</v>
      </c>
      <c r="F1307" s="1">
        <v>5.0000000000000001E-3</v>
      </c>
      <c r="G1307" s="1">
        <f t="shared" si="40"/>
        <v>0.13700000000000001</v>
      </c>
      <c r="H1307" s="1">
        <f t="shared" si="41"/>
        <v>3.35500631481409E-2</v>
      </c>
      <c r="I1307" s="1">
        <v>5.0000000000000001E-3</v>
      </c>
      <c r="J1307" s="1">
        <f>+D1307-F1307+I1307*O1307</f>
        <v>3.0199999999999998E-2</v>
      </c>
      <c r="K1307" s="1">
        <v>2.82354783266783E-2</v>
      </c>
      <c r="L1307" s="1">
        <f>+K1307-J1307</f>
        <v>-1.9645216733216973E-3</v>
      </c>
      <c r="M1307" s="1">
        <v>1.5235478326678299E-2</v>
      </c>
      <c r="N1307" s="1">
        <f>+M1307-J1307</f>
        <v>-1.4964521673321698E-2</v>
      </c>
      <c r="O1307">
        <v>2.44</v>
      </c>
      <c r="P1307" t="s">
        <v>15</v>
      </c>
      <c r="Q1307">
        <v>0</v>
      </c>
      <c r="R1307">
        <v>1.34050712883472E-2</v>
      </c>
      <c r="S1307">
        <v>1.06154978275299E-2</v>
      </c>
      <c r="T1307">
        <v>0.01</v>
      </c>
    </row>
    <row r="1308" spans="1:20" x14ac:dyDescent="0.3">
      <c r="A1308" t="s">
        <v>100</v>
      </c>
      <c r="B1308">
        <v>2017</v>
      </c>
      <c r="C1308">
        <v>851444.5625</v>
      </c>
      <c r="D1308" s="1">
        <v>1.9E-2</v>
      </c>
      <c r="E1308" s="1">
        <v>0.95150077342987105</v>
      </c>
      <c r="F1308" s="1">
        <v>-5.6000000000000001E-2</v>
      </c>
      <c r="G1308" s="1">
        <f t="shared" si="40"/>
        <v>8.1000000000000016E-2</v>
      </c>
      <c r="H1308" s="1" t="str">
        <f t="shared" si="41"/>
        <v/>
      </c>
      <c r="I1308" s="1">
        <v>6.0000000000000001E-3</v>
      </c>
      <c r="J1308" s="1">
        <f>+D1308-F1308+I1308*O1308</f>
        <v>8.879999999999999E-2</v>
      </c>
      <c r="K1308" s="1">
        <v>3.4405071288347203E-2</v>
      </c>
      <c r="L1308" s="1">
        <f>+K1308-J1308</f>
        <v>-5.4394928711652787E-2</v>
      </c>
      <c r="M1308" s="1">
        <v>1.34050712883472E-2</v>
      </c>
      <c r="N1308" s="1">
        <f>+M1308-J1308</f>
        <v>-7.5394928711652792E-2</v>
      </c>
      <c r="O1308">
        <v>2.2999999999999998</v>
      </c>
      <c r="P1308" t="s">
        <v>17</v>
      </c>
      <c r="Q1308">
        <v>0.01</v>
      </c>
      <c r="R1308">
        <v>8.6950550079345906E-3</v>
      </c>
      <c r="S1308">
        <v>-4.39967960119198E-4</v>
      </c>
      <c r="T1308">
        <v>-0.05</v>
      </c>
    </row>
    <row r="1309" spans="1:20" x14ac:dyDescent="0.3">
      <c r="A1309" t="s">
        <v>100</v>
      </c>
      <c r="B1309">
        <v>2018</v>
      </c>
      <c r="C1309">
        <v>856768.6875</v>
      </c>
      <c r="D1309" s="1">
        <v>2.4E-2</v>
      </c>
      <c r="E1309" s="1">
        <v>0.95813882350921598</v>
      </c>
      <c r="F1309" s="1">
        <v>3.1E-2</v>
      </c>
      <c r="G1309" s="1">
        <f t="shared" si="40"/>
        <v>0.11200000000000002</v>
      </c>
      <c r="H1309" s="1" t="str">
        <f t="shared" si="41"/>
        <v/>
      </c>
      <c r="I1309" s="1">
        <v>7.0000000000000001E-3</v>
      </c>
      <c r="J1309" s="1">
        <f>+D1309-F1309+I1309*O1309</f>
        <v>9.5900000000000013E-3</v>
      </c>
      <c r="K1309" s="1">
        <v>3.2695055007934598E-2</v>
      </c>
      <c r="L1309" s="1">
        <f>+K1309-J1309</f>
        <v>2.3105055007934597E-2</v>
      </c>
      <c r="M1309" s="1">
        <v>8.6950550079345906E-3</v>
      </c>
      <c r="N1309" s="1">
        <f>+M1309-J1309</f>
        <v>-8.9494499206541067E-4</v>
      </c>
      <c r="O1309">
        <v>2.37</v>
      </c>
      <c r="P1309" t="s">
        <v>15</v>
      </c>
      <c r="Q1309">
        <v>0</v>
      </c>
      <c r="R1309">
        <v>1.83711193203926E-2</v>
      </c>
      <c r="S1309">
        <v>5.6992471218109803E-4</v>
      </c>
      <c r="T1309">
        <v>0.04</v>
      </c>
    </row>
    <row r="1310" spans="1:20" x14ac:dyDescent="0.3">
      <c r="A1310" t="s">
        <v>100</v>
      </c>
      <c r="B1310">
        <v>2019</v>
      </c>
      <c r="C1310">
        <v>859808.75</v>
      </c>
      <c r="D1310" s="1">
        <v>1.7999999999999999E-2</v>
      </c>
      <c r="E1310" s="1">
        <v>0.95860773324966397</v>
      </c>
      <c r="F1310" s="1">
        <v>-2.3E-2</v>
      </c>
      <c r="G1310" s="1">
        <f t="shared" si="40"/>
        <v>8.9000000000000024E-2</v>
      </c>
      <c r="H1310" s="1" t="str">
        <f t="shared" si="41"/>
        <v/>
      </c>
      <c r="I1310" s="1">
        <v>0</v>
      </c>
      <c r="J1310" s="1">
        <f>+D1310-F1310+I1310*O1310</f>
        <v>4.0999999999999995E-2</v>
      </c>
      <c r="K1310" s="1">
        <v>3.6371119320392602E-2</v>
      </c>
      <c r="L1310" s="1">
        <f>+K1310-J1310</f>
        <v>-4.6288806796073931E-3</v>
      </c>
      <c r="M1310" s="1">
        <v>1.83711193203926E-2</v>
      </c>
      <c r="N1310" s="1">
        <f>+M1310-J1310</f>
        <v>-2.2628880679607395E-2</v>
      </c>
      <c r="O1310">
        <v>2.3199999999999998</v>
      </c>
      <c r="P1310" t="s">
        <v>17</v>
      </c>
      <c r="Q1310">
        <v>0</v>
      </c>
      <c r="R1310">
        <v>4.0119828760623803E-2</v>
      </c>
      <c r="S1310">
        <v>2.12706383317708E-2</v>
      </c>
      <c r="T1310">
        <v>-0.01</v>
      </c>
    </row>
    <row r="1311" spans="1:20" x14ac:dyDescent="0.3">
      <c r="A1311" t="s">
        <v>100</v>
      </c>
      <c r="B1311">
        <v>2020</v>
      </c>
      <c r="C1311">
        <v>863685.125</v>
      </c>
      <c r="D1311" s="1">
        <v>1.7000000000000001E-2</v>
      </c>
      <c r="E1311" s="1">
        <v>0.97815066576003995</v>
      </c>
      <c r="F1311" s="1">
        <v>-3.5000000000000003E-2</v>
      </c>
      <c r="G1311" s="1">
        <f t="shared" si="40"/>
        <v>5.400000000000002E-2</v>
      </c>
      <c r="H1311" s="1" t="str">
        <f t="shared" si="41"/>
        <v/>
      </c>
      <c r="I1311" s="1">
        <v>0.02</v>
      </c>
      <c r="J1311" s="1">
        <f>+D1311-F1311+I1311*O1311</f>
        <v>9.6800000000000011E-2</v>
      </c>
      <c r="K1311" s="1">
        <v>5.2119828760623897E-2</v>
      </c>
      <c r="L1311" s="1">
        <f>+K1311-J1311</f>
        <v>-4.4680171239376114E-2</v>
      </c>
      <c r="M1311" s="1">
        <v>4.0119828760623803E-2</v>
      </c>
      <c r="N1311" s="1">
        <f>+M1311-J1311</f>
        <v>-5.6680171239376208E-2</v>
      </c>
      <c r="O1311">
        <v>2.2400000000000002</v>
      </c>
      <c r="P1311" t="s">
        <v>17</v>
      </c>
      <c r="Q1311">
        <v>0.02</v>
      </c>
      <c r="R1311">
        <v>5.3667454302310999E-2</v>
      </c>
      <c r="S1311">
        <v>1.0077841579913999E-2</v>
      </c>
      <c r="T1311">
        <v>0.01</v>
      </c>
    </row>
    <row r="1312" spans="1:20" x14ac:dyDescent="0.3">
      <c r="A1312" t="s">
        <v>100</v>
      </c>
      <c r="B1312">
        <v>2021</v>
      </c>
      <c r="C1312">
        <v>870253.1875</v>
      </c>
      <c r="D1312" s="1">
        <v>1.4E-2</v>
      </c>
      <c r="E1312" s="1">
        <v>0.98158031702041604</v>
      </c>
      <c r="F1312" s="1">
        <v>8.9999999999999993E-3</v>
      </c>
      <c r="G1312" s="1">
        <f t="shared" si="40"/>
        <v>6.3000000000000014E-2</v>
      </c>
      <c r="H1312" s="1" t="str">
        <f t="shared" si="41"/>
        <v/>
      </c>
      <c r="I1312" s="1">
        <v>3.0000000000000001E-3</v>
      </c>
      <c r="J1312" s="1">
        <f>+D1312-F1312+I1312*O1312</f>
        <v>1.1780000000000001E-2</v>
      </c>
      <c r="K1312" s="1">
        <v>0.100667454302311</v>
      </c>
      <c r="L1312" s="1">
        <f>+K1312-J1312</f>
        <v>8.8887454302311E-2</v>
      </c>
      <c r="M1312" s="1">
        <v>5.3667454302310999E-2</v>
      </c>
      <c r="N1312" s="1">
        <f>+M1312-J1312</f>
        <v>4.1887454302311E-2</v>
      </c>
      <c r="O1312">
        <v>2.2599999999999998</v>
      </c>
      <c r="P1312" t="s">
        <v>15</v>
      </c>
      <c r="Q1312">
        <v>0.01</v>
      </c>
      <c r="R1312">
        <v>-2.5418607443571099E-2</v>
      </c>
      <c r="S1312">
        <v>6.6848993301392001E-3</v>
      </c>
      <c r="T1312">
        <v>-0.02</v>
      </c>
    </row>
    <row r="1313" spans="1:20" x14ac:dyDescent="0.3">
      <c r="A1313" t="s">
        <v>100</v>
      </c>
      <c r="B1313">
        <v>2022</v>
      </c>
      <c r="C1313">
        <v>873024.3125</v>
      </c>
      <c r="D1313" s="1">
        <v>5.0999999999999997E-2</v>
      </c>
      <c r="E1313" s="1">
        <v>0.960363149642944</v>
      </c>
      <c r="F1313" s="1">
        <v>-4.5999999999999999E-2</v>
      </c>
      <c r="G1313" s="1">
        <f t="shared" si="40"/>
        <v>1.7000000000000015E-2</v>
      </c>
      <c r="H1313" s="1" t="str">
        <f t="shared" si="41"/>
        <v/>
      </c>
      <c r="I1313" s="1">
        <v>-2.1000000000000001E-2</v>
      </c>
      <c r="J1313" s="1">
        <f>+D1313-F1313+I1313*O1313</f>
        <v>5.1639999999999998E-2</v>
      </c>
      <c r="K1313" s="1">
        <v>5.4581392556428902E-2</v>
      </c>
      <c r="L1313" s="1">
        <f>+K1313-J1313</f>
        <v>2.941392556428904E-3</v>
      </c>
      <c r="M1313" s="1">
        <v>-2.5418607443571099E-2</v>
      </c>
      <c r="N1313" s="1">
        <f>+M1313-J1313</f>
        <v>-7.7058607443571098E-2</v>
      </c>
      <c r="O1313">
        <v>2.16</v>
      </c>
      <c r="P1313" t="s">
        <v>16</v>
      </c>
      <c r="Q1313">
        <v>0.01</v>
      </c>
      <c r="R1313">
        <v>-1.7605422794818901E-2</v>
      </c>
      <c r="S1313">
        <v>1.9535049796104002E-3</v>
      </c>
      <c r="T1313">
        <v>-0.03</v>
      </c>
    </row>
    <row r="1314" spans="1:20" x14ac:dyDescent="0.3">
      <c r="A1314" t="s">
        <v>101</v>
      </c>
      <c r="B1314">
        <v>2006</v>
      </c>
      <c r="C1314">
        <v>289814.21879999997</v>
      </c>
      <c r="D1314" s="1">
        <v>0.03</v>
      </c>
      <c r="E1314" s="1">
        <v>0.92818266153335605</v>
      </c>
      <c r="F1314" s="1">
        <v>2.3E-2</v>
      </c>
      <c r="G1314" s="1">
        <f t="shared" si="40"/>
        <v>2.3E-2</v>
      </c>
      <c r="H1314" s="1" t="str">
        <f t="shared" si="41"/>
        <v/>
      </c>
      <c r="I1314" s="1">
        <v>8.9999999999999993E-3</v>
      </c>
      <c r="J1314" s="1">
        <f>+D1314-F1314+I1314*O1314</f>
        <v>2.5539999999999997E-2</v>
      </c>
      <c r="K1314" s="1">
        <v>1.93932820111513E-2</v>
      </c>
      <c r="L1314" s="1">
        <f>+K1314-J1314</f>
        <v>-6.1467179888486968E-3</v>
      </c>
      <c r="M1314" s="1">
        <v>-1.2606717988848701E-2</v>
      </c>
      <c r="N1314" s="1">
        <f>+M1314-J1314</f>
        <v>-3.8146717988848694E-2</v>
      </c>
      <c r="O1314">
        <v>2.06</v>
      </c>
      <c r="P1314" t="s">
        <v>15</v>
      </c>
      <c r="Q1314">
        <v>-0.02</v>
      </c>
      <c r="R1314">
        <v>-8.0677297860384002E-3</v>
      </c>
      <c r="S1314">
        <v>-7.1459738537668904E-3</v>
      </c>
      <c r="T1314">
        <v>0.02</v>
      </c>
    </row>
    <row r="1315" spans="1:20" x14ac:dyDescent="0.3">
      <c r="A1315" t="s">
        <v>101</v>
      </c>
      <c r="B1315">
        <v>2007</v>
      </c>
      <c r="C1315">
        <v>293439.09379999997</v>
      </c>
      <c r="D1315" s="1">
        <v>3.1E-2</v>
      </c>
      <c r="E1315" s="1">
        <v>0.93214303255081199</v>
      </c>
      <c r="F1315" s="1">
        <v>0.13400000000000001</v>
      </c>
      <c r="G1315" s="1">
        <f t="shared" si="40"/>
        <v>0.157</v>
      </c>
      <c r="H1315" s="1">
        <f t="shared" si="41"/>
        <v>-3.2182298600673502E-3</v>
      </c>
      <c r="I1315" s="1">
        <v>4.0000000000000001E-3</v>
      </c>
      <c r="J1315" s="1">
        <f>+D1315-F1315+I1315*O1315</f>
        <v>-9.3680000000000013E-2</v>
      </c>
      <c r="K1315" s="1">
        <v>2.0932270213961601E-2</v>
      </c>
      <c r="L1315" s="1">
        <f>+K1315-J1315</f>
        <v>0.11461227021396161</v>
      </c>
      <c r="M1315" s="1">
        <v>-8.0677297860384002E-3</v>
      </c>
      <c r="N1315" s="1">
        <f>+M1315-J1315</f>
        <v>8.5612270213961617E-2</v>
      </c>
      <c r="O1315">
        <v>2.33</v>
      </c>
      <c r="P1315" t="s">
        <v>15</v>
      </c>
      <c r="Q1315">
        <v>-0.01</v>
      </c>
      <c r="R1315">
        <v>-2.1254337683319999E-2</v>
      </c>
      <c r="S1315">
        <v>8.2564665935934006E-3</v>
      </c>
      <c r="T1315">
        <v>0.13</v>
      </c>
    </row>
    <row r="1316" spans="1:20" x14ac:dyDescent="0.3">
      <c r="A1316" t="s">
        <v>101</v>
      </c>
      <c r="B1316">
        <v>2008</v>
      </c>
      <c r="C1316">
        <v>297114.40629999997</v>
      </c>
      <c r="D1316" s="1">
        <v>0</v>
      </c>
      <c r="E1316" s="1">
        <v>0.94547468423843395</v>
      </c>
      <c r="F1316" s="1">
        <v>-0.191</v>
      </c>
      <c r="G1316" s="1">
        <f t="shared" si="40"/>
        <v>-3.4000000000000002E-2</v>
      </c>
      <c r="H1316" s="1" t="str">
        <f t="shared" si="41"/>
        <v/>
      </c>
      <c r="I1316" s="1">
        <v>1.2999999999999999E-2</v>
      </c>
      <c r="J1316" s="1">
        <f>+D1316-F1316+I1316*O1316</f>
        <v>0.21557000000000001</v>
      </c>
      <c r="K1316" s="1">
        <v>1.674566231668E-2</v>
      </c>
      <c r="L1316" s="1">
        <f>+K1316-J1316</f>
        <v>-0.19882433768332</v>
      </c>
      <c r="M1316" s="1">
        <v>-2.1254337683319999E-2</v>
      </c>
      <c r="N1316" s="1">
        <f>+M1316-J1316</f>
        <v>-0.23682433768332001</v>
      </c>
      <c r="O1316">
        <v>1.89</v>
      </c>
      <c r="P1316" t="s">
        <v>17</v>
      </c>
      <c r="Q1316">
        <v>0.01</v>
      </c>
      <c r="R1316">
        <v>-1.91821220368147E-2</v>
      </c>
      <c r="S1316">
        <v>7.3845796287059498E-3</v>
      </c>
      <c r="T1316">
        <v>-0.19</v>
      </c>
    </row>
    <row r="1317" spans="1:20" x14ac:dyDescent="0.3">
      <c r="A1317" t="s">
        <v>101</v>
      </c>
      <c r="B1317">
        <v>2009</v>
      </c>
      <c r="C1317">
        <v>300505.8125</v>
      </c>
      <c r="D1317" s="1">
        <v>1E-3</v>
      </c>
      <c r="E1317" s="1">
        <v>0.94198536872863803</v>
      </c>
      <c r="F1317" s="1">
        <v>0.14399999999999999</v>
      </c>
      <c r="G1317" s="1">
        <f t="shared" si="40"/>
        <v>0.10999999999999999</v>
      </c>
      <c r="H1317" s="1" t="str">
        <f t="shared" si="41"/>
        <v/>
      </c>
      <c r="I1317" s="1">
        <v>-3.0000000000000001E-3</v>
      </c>
      <c r="J1317" s="1">
        <f>+D1317-F1317+I1317*O1317</f>
        <v>-0.14948</v>
      </c>
      <c r="K1317" s="1">
        <v>-2.31821220368147E-2</v>
      </c>
      <c r="L1317" s="1">
        <f>+K1317-J1317</f>
        <v>0.12629787796318531</v>
      </c>
      <c r="M1317" s="1">
        <v>-1.91821220368147E-2</v>
      </c>
      <c r="N1317" s="1">
        <f>+M1317-J1317</f>
        <v>0.13029787796318532</v>
      </c>
      <c r="O1317">
        <v>2.16</v>
      </c>
      <c r="P1317" t="s">
        <v>17</v>
      </c>
      <c r="Q1317">
        <v>0.01</v>
      </c>
      <c r="R1317">
        <v>-1.6253441889071799E-2</v>
      </c>
      <c r="S1317">
        <v>-6.7933331301901498E-3</v>
      </c>
      <c r="T1317">
        <v>0.13</v>
      </c>
    </row>
    <row r="1318" spans="1:20" x14ac:dyDescent="0.3">
      <c r="A1318" t="s">
        <v>101</v>
      </c>
      <c r="B1318">
        <v>2010</v>
      </c>
      <c r="C1318">
        <v>304054.40629999997</v>
      </c>
      <c r="D1318" s="1">
        <v>8.0000000000000002E-3</v>
      </c>
      <c r="E1318" s="1">
        <v>0.94158446788787797</v>
      </c>
      <c r="F1318" s="1">
        <v>3.7999999999999999E-2</v>
      </c>
      <c r="G1318" s="1">
        <f t="shared" si="40"/>
        <v>0.14799999999999999</v>
      </c>
      <c r="H1318" s="1">
        <f t="shared" si="41"/>
        <v>1.2168466113507751E-2</v>
      </c>
      <c r="I1318" s="1">
        <v>0</v>
      </c>
      <c r="J1318" s="1">
        <f>+D1318-F1318+I1318*O1318</f>
        <v>-0.03</v>
      </c>
      <c r="K1318" s="1">
        <v>-2.5344188907183701E-4</v>
      </c>
      <c r="L1318" s="1">
        <f>+K1318-J1318</f>
        <v>2.9746558110928162E-2</v>
      </c>
      <c r="M1318" s="1">
        <v>-1.6253441889071799E-2</v>
      </c>
      <c r="N1318" s="1">
        <f>+M1318-J1318</f>
        <v>1.37465581109282E-2</v>
      </c>
      <c r="O1318">
        <v>2.2400000000000002</v>
      </c>
      <c r="P1318" t="s">
        <v>17</v>
      </c>
      <c r="Q1318">
        <v>-0.01</v>
      </c>
      <c r="R1318">
        <v>-2.1426183514296999E-2</v>
      </c>
      <c r="S1318">
        <v>-1.4240900054570099E-4</v>
      </c>
      <c r="T1318">
        <v>0.03</v>
      </c>
    </row>
    <row r="1319" spans="1:20" x14ac:dyDescent="0.3">
      <c r="A1319" t="s">
        <v>101</v>
      </c>
      <c r="B1319">
        <v>2011</v>
      </c>
      <c r="C1319">
        <v>308011.28129999997</v>
      </c>
      <c r="D1319" s="1">
        <v>0</v>
      </c>
      <c r="E1319" s="1">
        <v>0.94888067245483398</v>
      </c>
      <c r="F1319" s="1">
        <v>-2.3E-2</v>
      </c>
      <c r="G1319" s="1">
        <f t="shared" si="40"/>
        <v>0.125</v>
      </c>
      <c r="H1319" s="1">
        <f t="shared" si="41"/>
        <v>1.5698530245572349E-2</v>
      </c>
      <c r="I1319" s="1">
        <v>7.0000000000000001E-3</v>
      </c>
      <c r="J1319" s="1">
        <f>+D1319-F1319+I1319*O1319</f>
        <v>3.8330000000000003E-2</v>
      </c>
      <c r="K1319" s="1">
        <v>1.0573816485703E-2</v>
      </c>
      <c r="L1319" s="1">
        <f>+K1319-J1319</f>
        <v>-2.7756183514297005E-2</v>
      </c>
      <c r="M1319" s="1">
        <v>-2.1426183514296999E-2</v>
      </c>
      <c r="N1319" s="1">
        <f>+M1319-J1319</f>
        <v>-5.9756183514296998E-2</v>
      </c>
      <c r="O1319">
        <v>2.19</v>
      </c>
      <c r="P1319" t="s">
        <v>17</v>
      </c>
      <c r="Q1319">
        <v>0</v>
      </c>
      <c r="R1319">
        <v>-7.2368842586875001E-3</v>
      </c>
      <c r="S1319">
        <v>-1.7986781895161E-3</v>
      </c>
      <c r="T1319">
        <v>-0.02</v>
      </c>
    </row>
    <row r="1320" spans="1:20" x14ac:dyDescent="0.3">
      <c r="A1320" t="s">
        <v>101</v>
      </c>
      <c r="B1320">
        <v>2012</v>
      </c>
      <c r="C1320">
        <v>312094.59379999997</v>
      </c>
      <c r="D1320" s="1">
        <v>1.2999999999999999E-2</v>
      </c>
      <c r="E1320" s="1">
        <v>0.94831693172454801</v>
      </c>
      <c r="F1320" s="1">
        <v>-9.9000000000000005E-2</v>
      </c>
      <c r="G1320" s="1">
        <f t="shared" si="40"/>
        <v>2.5999999999999995E-2</v>
      </c>
      <c r="H1320" s="1" t="str">
        <f t="shared" si="41"/>
        <v/>
      </c>
      <c r="I1320" s="1">
        <v>-1E-3</v>
      </c>
      <c r="J1320" s="1">
        <f>+D1320-F1320+I1320*O1320</f>
        <v>0.11003</v>
      </c>
      <c r="K1320" s="1">
        <v>1.37631157413125E-2</v>
      </c>
      <c r="L1320" s="1">
        <f>+K1320-J1320</f>
        <v>-9.6266884258687499E-2</v>
      </c>
      <c r="M1320" s="1">
        <v>-7.2368842586875001E-3</v>
      </c>
      <c r="N1320" s="1">
        <f>+M1320-J1320</f>
        <v>-0.1172668842586875</v>
      </c>
      <c r="O1320">
        <v>1.97</v>
      </c>
      <c r="P1320" t="s">
        <v>16</v>
      </c>
      <c r="Q1320">
        <v>0</v>
      </c>
      <c r="R1320">
        <v>2.6339447498321899E-3</v>
      </c>
      <c r="S1320">
        <v>-3.4928265959024E-3</v>
      </c>
      <c r="T1320">
        <v>-0.1</v>
      </c>
    </row>
    <row r="1321" spans="1:20" x14ac:dyDescent="0.3">
      <c r="A1321" t="s">
        <v>101</v>
      </c>
      <c r="B1321">
        <v>2013</v>
      </c>
      <c r="C1321">
        <v>316583.59379999997</v>
      </c>
      <c r="D1321" s="1">
        <v>2.1999999999999999E-2</v>
      </c>
      <c r="E1321" s="1">
        <v>0.94839096069335904</v>
      </c>
      <c r="F1321" s="1">
        <v>0.13100000000000001</v>
      </c>
      <c r="G1321" s="1">
        <f t="shared" si="40"/>
        <v>0.157</v>
      </c>
      <c r="H1321" s="1">
        <f t="shared" si="41"/>
        <v>2.2297854535281651E-2</v>
      </c>
      <c r="I1321" s="1">
        <v>0</v>
      </c>
      <c r="J1321" s="1">
        <f>+D1321-F1321+I1321*O1321</f>
        <v>-0.10900000000000001</v>
      </c>
      <c r="K1321" s="1">
        <v>1.7633944749832198E-2</v>
      </c>
      <c r="L1321" s="1">
        <f>+K1321-J1321</f>
        <v>0.12663394474983222</v>
      </c>
      <c r="M1321" s="1">
        <v>2.6339447498321899E-3</v>
      </c>
      <c r="N1321" s="1">
        <f>+M1321-J1321</f>
        <v>0.11163394474983221</v>
      </c>
      <c r="O1321">
        <v>2.23</v>
      </c>
      <c r="P1321" t="s">
        <v>15</v>
      </c>
      <c r="Q1321">
        <v>0</v>
      </c>
      <c r="R1321">
        <v>1.0518904924393E-3</v>
      </c>
      <c r="S1321">
        <v>-9.5613300800319995E-4</v>
      </c>
      <c r="T1321">
        <v>0.12</v>
      </c>
    </row>
    <row r="1322" spans="1:20" x14ac:dyDescent="0.3">
      <c r="A1322" t="s">
        <v>101</v>
      </c>
      <c r="B1322">
        <v>2014</v>
      </c>
      <c r="C1322">
        <v>321948.6875</v>
      </c>
      <c r="D1322" s="1">
        <v>1.2E-2</v>
      </c>
      <c r="E1322" s="1">
        <v>0.95502102375030495</v>
      </c>
      <c r="F1322" s="1">
        <v>-3.6999999999999998E-2</v>
      </c>
      <c r="G1322" s="1">
        <f t="shared" si="40"/>
        <v>0.12</v>
      </c>
      <c r="H1322" s="1" t="str">
        <f t="shared" si="41"/>
        <v/>
      </c>
      <c r="I1322" s="1">
        <v>7.0000000000000001E-3</v>
      </c>
      <c r="J1322" s="1">
        <f>+D1322-F1322+I1322*O1322</f>
        <v>6.3980000000000009E-2</v>
      </c>
      <c r="K1322" s="1">
        <v>1.7051890492439301E-2</v>
      </c>
      <c r="L1322" s="1">
        <f>+K1322-J1322</f>
        <v>-4.6928109507560711E-2</v>
      </c>
      <c r="M1322" s="1">
        <v>1.0518904924393E-3</v>
      </c>
      <c r="N1322" s="1">
        <f>+M1322-J1322</f>
        <v>-6.2928109507560712E-2</v>
      </c>
      <c r="O1322">
        <v>2.14</v>
      </c>
      <c r="P1322" t="s">
        <v>17</v>
      </c>
      <c r="Q1322">
        <v>0</v>
      </c>
      <c r="R1322">
        <v>2.6543818578124E-2</v>
      </c>
      <c r="S1322">
        <v>-3.7196334451436901E-3</v>
      </c>
      <c r="T1322">
        <v>-0.04</v>
      </c>
    </row>
    <row r="1323" spans="1:20" x14ac:dyDescent="0.3">
      <c r="A1323" t="s">
        <v>101</v>
      </c>
      <c r="B1323">
        <v>2015</v>
      </c>
      <c r="C1323">
        <v>325922.5</v>
      </c>
      <c r="D1323" s="1">
        <v>4.2000000000000003E-2</v>
      </c>
      <c r="E1323" s="1">
        <v>0.95189267396926902</v>
      </c>
      <c r="F1323" s="1">
        <v>-2E-3</v>
      </c>
      <c r="G1323" s="1">
        <f t="shared" si="40"/>
        <v>0.11799999999999999</v>
      </c>
      <c r="H1323" s="1" t="str">
        <f t="shared" si="41"/>
        <v/>
      </c>
      <c r="I1323" s="1">
        <v>-3.0000000000000001E-3</v>
      </c>
      <c r="J1323" s="1">
        <f>+D1323-F1323+I1323*O1323</f>
        <v>3.7580000000000002E-2</v>
      </c>
      <c r="K1323" s="1">
        <v>2.7543818578124001E-2</v>
      </c>
      <c r="L1323" s="1">
        <f>+K1323-J1323</f>
        <v>-1.0036181421876001E-2</v>
      </c>
      <c r="M1323" s="1">
        <v>2.6543818578124E-2</v>
      </c>
      <c r="N1323" s="1">
        <f>+M1323-J1323</f>
        <v>-1.1036181421876002E-2</v>
      </c>
      <c r="O1323">
        <v>2.14</v>
      </c>
      <c r="P1323" t="s">
        <v>16</v>
      </c>
      <c r="Q1323">
        <v>0</v>
      </c>
      <c r="R1323">
        <v>1.22470877021551E-2</v>
      </c>
      <c r="S1323">
        <v>-9.0646930038930005E-4</v>
      </c>
      <c r="T1323">
        <v>0.01</v>
      </c>
    </row>
    <row r="1324" spans="1:20" x14ac:dyDescent="0.3">
      <c r="A1324" t="s">
        <v>101</v>
      </c>
      <c r="B1324">
        <v>2016</v>
      </c>
      <c r="C1324">
        <v>330350.71879999997</v>
      </c>
      <c r="D1324" s="1">
        <v>2.8000000000000001E-2</v>
      </c>
      <c r="E1324" s="1">
        <v>0.94492828845977805</v>
      </c>
      <c r="F1324" s="1">
        <v>2.3E-2</v>
      </c>
      <c r="G1324" s="1">
        <f t="shared" si="40"/>
        <v>0.14099999999999999</v>
      </c>
      <c r="H1324" s="1">
        <f t="shared" si="41"/>
        <v>2.27943817153573E-2</v>
      </c>
      <c r="I1324" s="1">
        <v>-7.0000000000000001E-3</v>
      </c>
      <c r="J1324" s="1">
        <f>+D1324-F1324+I1324*O1324</f>
        <v>-1.0329999999999999E-2</v>
      </c>
      <c r="K1324" s="1">
        <v>2.5247087702155099E-2</v>
      </c>
      <c r="L1324" s="1">
        <f>+K1324-J1324</f>
        <v>3.5577087702155098E-2</v>
      </c>
      <c r="M1324" s="1">
        <v>1.22470877021551E-2</v>
      </c>
      <c r="N1324" s="1">
        <f>+M1324-J1324</f>
        <v>2.2577087702155101E-2</v>
      </c>
      <c r="O1324">
        <v>2.19</v>
      </c>
      <c r="P1324" t="s">
        <v>17</v>
      </c>
      <c r="Q1324">
        <v>0</v>
      </c>
      <c r="R1324">
        <v>-8.9439591765399997E-4</v>
      </c>
      <c r="S1324">
        <v>-3.6839693784712899E-3</v>
      </c>
      <c r="T1324">
        <v>0.02</v>
      </c>
    </row>
    <row r="1325" spans="1:20" x14ac:dyDescent="0.3">
      <c r="A1325" t="s">
        <v>101</v>
      </c>
      <c r="B1325">
        <v>2017</v>
      </c>
      <c r="C1325">
        <v>333842.59379999997</v>
      </c>
      <c r="D1325" s="1">
        <v>2.4E-2</v>
      </c>
      <c r="E1325" s="1">
        <v>0.95319885015487704</v>
      </c>
      <c r="F1325" s="1">
        <v>-1E-3</v>
      </c>
      <c r="G1325" s="1">
        <f t="shared" si="40"/>
        <v>0.13999999999999999</v>
      </c>
      <c r="H1325" s="1">
        <f t="shared" si="41"/>
        <v>3.146416787058115E-2</v>
      </c>
      <c r="I1325" s="1">
        <v>8.0000000000000002E-3</v>
      </c>
      <c r="J1325" s="1">
        <f>+D1325-F1325+I1325*O1325</f>
        <v>4.2520000000000002E-2</v>
      </c>
      <c r="K1325" s="1">
        <v>2.0105604082346001E-2</v>
      </c>
      <c r="L1325" s="1">
        <f>+K1325-J1325</f>
        <v>-2.2414395917654002E-2</v>
      </c>
      <c r="M1325" s="1">
        <v>-8.9439591765399997E-4</v>
      </c>
      <c r="N1325" s="1">
        <f>+M1325-J1325</f>
        <v>-4.3414395917654003E-2</v>
      </c>
      <c r="O1325">
        <v>2.19</v>
      </c>
      <c r="P1325" t="s">
        <v>17</v>
      </c>
      <c r="Q1325">
        <v>0</v>
      </c>
      <c r="R1325">
        <v>1.48315934836859E-3</v>
      </c>
      <c r="S1325">
        <v>-7.6518636196851904E-3</v>
      </c>
      <c r="T1325">
        <v>0</v>
      </c>
    </row>
    <row r="1326" spans="1:20" x14ac:dyDescent="0.3">
      <c r="A1326" t="s">
        <v>101</v>
      </c>
      <c r="B1326">
        <v>2018</v>
      </c>
      <c r="C1326">
        <v>336550.6875</v>
      </c>
      <c r="D1326" s="1">
        <v>1.7999999999999999E-2</v>
      </c>
      <c r="E1326" s="1">
        <v>0.94543552398681596</v>
      </c>
      <c r="F1326" s="1">
        <v>-6.3E-2</v>
      </c>
      <c r="G1326" s="1">
        <f t="shared" si="40"/>
        <v>7.6999999999999985E-2</v>
      </c>
      <c r="H1326" s="1" t="str">
        <f t="shared" si="41"/>
        <v/>
      </c>
      <c r="I1326" s="1">
        <v>-8.0000000000000002E-3</v>
      </c>
      <c r="J1326" s="1">
        <f>+D1326-F1326+I1326*O1326</f>
        <v>6.4600000000000005E-2</v>
      </c>
      <c r="K1326" s="1">
        <v>2.54831593483686E-2</v>
      </c>
      <c r="L1326" s="1">
        <f>+K1326-J1326</f>
        <v>-3.9116840651631402E-2</v>
      </c>
      <c r="M1326" s="1">
        <v>1.48315934836859E-3</v>
      </c>
      <c r="N1326" s="1">
        <f>+M1326-J1326</f>
        <v>-6.3116840651631409E-2</v>
      </c>
      <c r="O1326">
        <v>2.0499999999999998</v>
      </c>
      <c r="P1326" t="s">
        <v>16</v>
      </c>
      <c r="Q1326">
        <v>-0.01</v>
      </c>
      <c r="R1326">
        <v>1.9445176392793698E-2</v>
      </c>
      <c r="S1326">
        <v>1.6439817845821901E-3</v>
      </c>
      <c r="T1326">
        <v>-0.05</v>
      </c>
    </row>
    <row r="1327" spans="1:20" x14ac:dyDescent="0.3">
      <c r="A1327" t="s">
        <v>101</v>
      </c>
      <c r="B1327">
        <v>2019</v>
      </c>
      <c r="C1327">
        <v>338946.28129999997</v>
      </c>
      <c r="D1327" s="1">
        <v>1.6E-2</v>
      </c>
      <c r="E1327" s="1">
        <v>0.94628006219863903</v>
      </c>
      <c r="F1327" s="1">
        <v>1.2999999999999999E-2</v>
      </c>
      <c r="G1327" s="1">
        <f t="shared" si="40"/>
        <v>8.9999999999999983E-2</v>
      </c>
      <c r="H1327" s="1" t="str">
        <f t="shared" si="41"/>
        <v/>
      </c>
      <c r="I1327" s="1">
        <v>1E-3</v>
      </c>
      <c r="J1327" s="1">
        <f>+D1327-F1327+I1327*O1327</f>
        <v>5.0800000000000012E-3</v>
      </c>
      <c r="K1327" s="1">
        <v>3.7445176392793697E-2</v>
      </c>
      <c r="L1327" s="1">
        <f>+K1327-J1327</f>
        <v>3.2365176392793696E-2</v>
      </c>
      <c r="M1327" s="1">
        <v>1.9445176392793698E-2</v>
      </c>
      <c r="N1327" s="1">
        <f>+M1327-J1327</f>
        <v>1.4365176392793697E-2</v>
      </c>
      <c r="O1327">
        <v>2.08</v>
      </c>
      <c r="P1327" t="s">
        <v>15</v>
      </c>
      <c r="Q1327">
        <v>0</v>
      </c>
      <c r="R1327">
        <v>1.3627383038402E-3</v>
      </c>
      <c r="S1327">
        <v>-1.7486452125012798E-2</v>
      </c>
      <c r="T1327">
        <v>0.02</v>
      </c>
    </row>
    <row r="1328" spans="1:20" x14ac:dyDescent="0.3">
      <c r="A1328" t="s">
        <v>101</v>
      </c>
      <c r="B1328">
        <v>2020</v>
      </c>
      <c r="C1328">
        <v>340815.5</v>
      </c>
      <c r="D1328" s="1">
        <v>2.5000000000000001E-2</v>
      </c>
      <c r="E1328" s="1">
        <v>0.95045119524002097</v>
      </c>
      <c r="F1328" s="1">
        <v>-7.2999999999999995E-2</v>
      </c>
      <c r="G1328" s="1">
        <f t="shared" si="40"/>
        <v>1.6999999999999987E-2</v>
      </c>
      <c r="H1328" s="1" t="str">
        <f t="shared" si="41"/>
        <v/>
      </c>
      <c r="I1328" s="1">
        <v>4.0000000000000001E-3</v>
      </c>
      <c r="J1328" s="1">
        <f>+D1328-F1328+I1328*O1328</f>
        <v>0.10568000000000001</v>
      </c>
      <c r="K1328" s="1">
        <v>1.33627383038402E-2</v>
      </c>
      <c r="L1328" s="1">
        <f>+K1328-J1328</f>
        <v>-9.2317261696159808E-2</v>
      </c>
      <c r="M1328" s="1">
        <v>1.3627383038402E-3</v>
      </c>
      <c r="N1328" s="1">
        <f>+M1328-J1328</f>
        <v>-0.1043172616961598</v>
      </c>
      <c r="O1328">
        <v>1.92</v>
      </c>
      <c r="P1328" t="s">
        <v>17</v>
      </c>
      <c r="Q1328">
        <v>-0.02</v>
      </c>
      <c r="R1328">
        <v>1.9327854990959101E-2</v>
      </c>
      <c r="S1328">
        <v>-2.42617577314377E-2</v>
      </c>
      <c r="T1328">
        <v>-0.03</v>
      </c>
    </row>
    <row r="1329" spans="1:20" x14ac:dyDescent="0.3">
      <c r="A1329" t="s">
        <v>101</v>
      </c>
      <c r="B1329">
        <v>2021</v>
      </c>
      <c r="C1329">
        <v>341364.40629999997</v>
      </c>
      <c r="D1329" s="1">
        <v>0.01</v>
      </c>
      <c r="E1329" s="1">
        <v>0.96775895357132002</v>
      </c>
      <c r="F1329" s="1">
        <v>8.0000000000000002E-3</v>
      </c>
      <c r="G1329" s="1">
        <f t="shared" si="40"/>
        <v>2.4999999999999988E-2</v>
      </c>
      <c r="H1329" s="1" t="str">
        <f t="shared" si="41"/>
        <v/>
      </c>
      <c r="I1329" s="1">
        <v>1.7000000000000001E-2</v>
      </c>
      <c r="J1329" s="1">
        <f>+D1329-F1329+I1329*O1329</f>
        <v>3.4980000000000004E-2</v>
      </c>
      <c r="K1329" s="1">
        <v>6.6327854990959195E-2</v>
      </c>
      <c r="L1329" s="1">
        <f>+K1329-J1329</f>
        <v>3.1347854990959191E-2</v>
      </c>
      <c r="M1329" s="1">
        <v>1.9327854990959101E-2</v>
      </c>
      <c r="N1329" s="1">
        <f>+M1329-J1329</f>
        <v>-1.5652145009040903E-2</v>
      </c>
      <c r="O1329">
        <v>1.94</v>
      </c>
      <c r="P1329" t="s">
        <v>15</v>
      </c>
      <c r="Q1329">
        <v>-0.02</v>
      </c>
      <c r="R1329">
        <v>-2.2195337265729899E-2</v>
      </c>
      <c r="S1329">
        <v>9.9081695079804005E-3</v>
      </c>
      <c r="T1329">
        <v>-0.02</v>
      </c>
    </row>
    <row r="1330" spans="1:20" x14ac:dyDescent="0.3">
      <c r="A1330" t="s">
        <v>101</v>
      </c>
      <c r="B1330">
        <v>2022</v>
      </c>
      <c r="C1330">
        <v>343704</v>
      </c>
      <c r="D1330" s="1">
        <v>2.3E-2</v>
      </c>
      <c r="E1330" s="1">
        <v>0.95750367641448997</v>
      </c>
      <c r="F1330" s="1">
        <v>-2.3E-2</v>
      </c>
      <c r="G1330" s="1">
        <f t="shared" si="40"/>
        <v>1.9999999999999879E-3</v>
      </c>
      <c r="H1330" s="1" t="str">
        <f t="shared" si="41"/>
        <v/>
      </c>
      <c r="I1330" s="1">
        <v>-0.01</v>
      </c>
      <c r="J1330" s="1">
        <f>+D1330-F1330+I1330*O1330</f>
        <v>2.7E-2</v>
      </c>
      <c r="K1330" s="1">
        <v>5.7804662734270103E-2</v>
      </c>
      <c r="L1330" s="1">
        <f>+K1330-J1330</f>
        <v>3.0804662734270103E-2</v>
      </c>
      <c r="M1330" s="1">
        <v>-2.2195337265729899E-2</v>
      </c>
      <c r="N1330" s="1">
        <f>+M1330-J1330</f>
        <v>-4.9195337265729902E-2</v>
      </c>
      <c r="O1330">
        <v>1.9</v>
      </c>
      <c r="P1330" t="s">
        <v>16</v>
      </c>
      <c r="Q1330">
        <v>0.01</v>
      </c>
      <c r="R1330">
        <v>-4.8612317442889899E-4</v>
      </c>
      <c r="S1330">
        <v>1.9072804600000399E-2</v>
      </c>
      <c r="T1330">
        <v>-0.01</v>
      </c>
    </row>
    <row r="1331" spans="1:20" x14ac:dyDescent="0.3">
      <c r="A1331" t="s">
        <v>102</v>
      </c>
      <c r="B1331">
        <v>2006</v>
      </c>
      <c r="C1331">
        <v>664112.125</v>
      </c>
      <c r="D1331" s="1">
        <v>7.5999999999999998E-2</v>
      </c>
      <c r="E1331" s="1">
        <v>0.91500335931777999</v>
      </c>
      <c r="F1331" s="1">
        <v>0.02</v>
      </c>
      <c r="G1331" s="1">
        <f t="shared" si="40"/>
        <v>0.02</v>
      </c>
      <c r="H1331" s="1" t="str">
        <f t="shared" si="41"/>
        <v/>
      </c>
      <c r="I1331" s="1">
        <v>1E-3</v>
      </c>
      <c r="J1331" s="1">
        <f>+D1331-F1331+I1331*O1331</f>
        <v>5.8239999999999993E-2</v>
      </c>
      <c r="K1331" s="1">
        <v>6.1912659555673599E-2</v>
      </c>
      <c r="L1331" s="1">
        <f>+K1331-J1331</f>
        <v>3.6726595556736061E-3</v>
      </c>
      <c r="M1331" s="1">
        <v>2.9912659555673599E-2</v>
      </c>
      <c r="N1331" s="1">
        <f>+M1331-J1331</f>
        <v>-2.8327340444326395E-2</v>
      </c>
      <c r="O1331">
        <v>2.2400000000000002</v>
      </c>
      <c r="P1331" t="s">
        <v>15</v>
      </c>
      <c r="Q1331">
        <v>0.02</v>
      </c>
      <c r="R1331">
        <v>-2.2829034924509999E-4</v>
      </c>
      <c r="S1331">
        <v>6.9346558302640004E-4</v>
      </c>
      <c r="T1331">
        <v>0.02</v>
      </c>
    </row>
    <row r="1332" spans="1:20" x14ac:dyDescent="0.3">
      <c r="A1332" t="s">
        <v>102</v>
      </c>
      <c r="B1332">
        <v>2007</v>
      </c>
      <c r="C1332">
        <v>674048.25</v>
      </c>
      <c r="D1332" s="1">
        <v>1.2999999999999999E-2</v>
      </c>
      <c r="E1332" s="1">
        <v>0.90628731250762895</v>
      </c>
      <c r="F1332" s="1">
        <v>-2.5999999999999999E-2</v>
      </c>
      <c r="G1332" s="1">
        <f t="shared" si="40"/>
        <v>-5.9999999999999984E-3</v>
      </c>
      <c r="H1332" s="1" t="str">
        <f t="shared" si="41"/>
        <v/>
      </c>
      <c r="I1332" s="1">
        <v>-8.9999999999999993E-3</v>
      </c>
      <c r="J1332" s="1">
        <f>+D1332-F1332+I1332*O1332</f>
        <v>1.9290000000000002E-2</v>
      </c>
      <c r="K1332" s="1">
        <v>2.8771709650754901E-2</v>
      </c>
      <c r="L1332" s="1">
        <f>+K1332-J1332</f>
        <v>9.4817096507548992E-3</v>
      </c>
      <c r="M1332" s="1">
        <v>-2.2829034924509999E-4</v>
      </c>
      <c r="N1332" s="1">
        <f>+M1332-J1332</f>
        <v>-1.9518290349245102E-2</v>
      </c>
      <c r="O1332">
        <v>2.19</v>
      </c>
      <c r="P1332" t="s">
        <v>16</v>
      </c>
      <c r="Q1332">
        <v>0</v>
      </c>
      <c r="R1332">
        <v>-5.5354646697640397E-2</v>
      </c>
      <c r="S1332">
        <v>-2.58438424207269E-2</v>
      </c>
      <c r="T1332">
        <v>-0.03</v>
      </c>
    </row>
    <row r="1333" spans="1:20" x14ac:dyDescent="0.3">
      <c r="A1333" t="s">
        <v>102</v>
      </c>
      <c r="B1333">
        <v>2008</v>
      </c>
      <c r="C1333">
        <v>684420.75</v>
      </c>
      <c r="D1333" s="1">
        <v>4.2999999999999997E-2</v>
      </c>
      <c r="E1333" s="1">
        <v>0.90128409862518299</v>
      </c>
      <c r="F1333" s="1">
        <v>4.4999999999999998E-2</v>
      </c>
      <c r="G1333" s="1">
        <f t="shared" si="40"/>
        <v>3.9E-2</v>
      </c>
      <c r="H1333" s="1" t="str">
        <f t="shared" si="41"/>
        <v/>
      </c>
      <c r="I1333" s="1">
        <v>-5.0000000000000001E-3</v>
      </c>
      <c r="J1333" s="1">
        <f>+D1333-F1333+I1333*O1333</f>
        <v>-1.34E-2</v>
      </c>
      <c r="K1333" s="1">
        <v>-1.7354646697640402E-2</v>
      </c>
      <c r="L1333" s="1">
        <f>+K1333-J1333</f>
        <v>-3.9546466976404012E-3</v>
      </c>
      <c r="M1333" s="1">
        <v>-5.5354646697640397E-2</v>
      </c>
      <c r="N1333" s="1">
        <f>+M1333-J1333</f>
        <v>-4.1954646697640395E-2</v>
      </c>
      <c r="O1333">
        <v>2.2799999999999998</v>
      </c>
      <c r="P1333" t="s">
        <v>17</v>
      </c>
      <c r="Q1333">
        <v>-0.03</v>
      </c>
      <c r="R1333">
        <v>-2.6859587714076E-2</v>
      </c>
      <c r="S1333">
        <v>-2.9288604855534899E-4</v>
      </c>
      <c r="T1333">
        <v>0.04</v>
      </c>
    </row>
    <row r="1334" spans="1:20" x14ac:dyDescent="0.3">
      <c r="A1334" t="s">
        <v>102</v>
      </c>
      <c r="B1334">
        <v>2009</v>
      </c>
      <c r="C1334">
        <v>694567.375</v>
      </c>
      <c r="D1334" s="1">
        <v>2.8000000000000001E-2</v>
      </c>
      <c r="E1334" s="1">
        <v>0.90674054622650102</v>
      </c>
      <c r="F1334" s="1">
        <v>-9.5000000000000001E-2</v>
      </c>
      <c r="G1334" s="1">
        <f t="shared" si="40"/>
        <v>-5.6000000000000001E-2</v>
      </c>
      <c r="H1334" s="1" t="str">
        <f t="shared" si="41"/>
        <v/>
      </c>
      <c r="I1334" s="1">
        <v>5.0000000000000001E-3</v>
      </c>
      <c r="J1334" s="1">
        <f>+D1334-F1334+I1334*O1334</f>
        <v>0.13335</v>
      </c>
      <c r="K1334" s="1">
        <v>-3.0859587714076001E-2</v>
      </c>
      <c r="L1334" s="1">
        <f>+K1334-J1334</f>
        <v>-0.16420958771407601</v>
      </c>
      <c r="M1334" s="1">
        <v>-2.6859587714076E-2</v>
      </c>
      <c r="N1334" s="1">
        <f>+M1334-J1334</f>
        <v>-0.16020958771407601</v>
      </c>
      <c r="O1334">
        <v>2.0699999999999998</v>
      </c>
      <c r="P1334" t="s">
        <v>17</v>
      </c>
      <c r="Q1334">
        <v>0</v>
      </c>
      <c r="R1334">
        <v>-7.9167105108499496E-3</v>
      </c>
      <c r="S1334">
        <v>1.54339824803173E-3</v>
      </c>
      <c r="T1334">
        <v>-0.11</v>
      </c>
    </row>
    <row r="1335" spans="1:20" x14ac:dyDescent="0.3">
      <c r="A1335" t="s">
        <v>102</v>
      </c>
      <c r="B1335">
        <v>2010</v>
      </c>
      <c r="C1335">
        <v>704585.1875</v>
      </c>
      <c r="D1335" s="1">
        <v>2.9000000000000001E-2</v>
      </c>
      <c r="E1335" s="1">
        <v>0.91531109809875499</v>
      </c>
      <c r="F1335" s="1">
        <v>7.4999999999999997E-2</v>
      </c>
      <c r="G1335" s="1">
        <f t="shared" si="40"/>
        <v>1.8999999999999996E-2</v>
      </c>
      <c r="H1335" s="1" t="str">
        <f t="shared" si="41"/>
        <v/>
      </c>
      <c r="I1335" s="1">
        <v>8.9999999999999993E-3</v>
      </c>
      <c r="J1335" s="1">
        <f>+D1335-F1335+I1335*O1335</f>
        <v>-2.6019999999999998E-2</v>
      </c>
      <c r="K1335" s="1">
        <v>8.0832894891500508E-3</v>
      </c>
      <c r="L1335" s="1">
        <f>+K1335-J1335</f>
        <v>3.4103289489150049E-2</v>
      </c>
      <c r="M1335" s="1">
        <v>-7.9167105108499496E-3</v>
      </c>
      <c r="N1335" s="1">
        <f>+M1335-J1335</f>
        <v>1.8103289489150048E-2</v>
      </c>
      <c r="O1335">
        <v>2.2200000000000002</v>
      </c>
      <c r="P1335" t="s">
        <v>15</v>
      </c>
      <c r="Q1335">
        <v>0</v>
      </c>
      <c r="R1335">
        <v>-2.45716314464807E-2</v>
      </c>
      <c r="S1335">
        <v>-3.2878569327294501E-3</v>
      </c>
      <c r="T1335">
        <v>7.0000000000000007E-2</v>
      </c>
    </row>
    <row r="1336" spans="1:20" x14ac:dyDescent="0.3">
      <c r="A1336" t="s">
        <v>102</v>
      </c>
      <c r="B1336">
        <v>2011</v>
      </c>
      <c r="C1336">
        <v>712854.3125</v>
      </c>
      <c r="D1336" s="1">
        <v>0.02</v>
      </c>
      <c r="E1336" s="1">
        <v>0.915496826171875</v>
      </c>
      <c r="F1336" s="1">
        <v>-5.3999999999999999E-2</v>
      </c>
      <c r="G1336" s="1">
        <f t="shared" si="40"/>
        <v>-3.5000000000000003E-2</v>
      </c>
      <c r="H1336" s="1" t="str">
        <f t="shared" si="41"/>
        <v/>
      </c>
      <c r="I1336" s="1">
        <v>0</v>
      </c>
      <c r="J1336" s="1">
        <f>+D1336-F1336+I1336*O1336</f>
        <v>7.3999999999999996E-2</v>
      </c>
      <c r="K1336" s="1">
        <v>7.4283685535192498E-3</v>
      </c>
      <c r="L1336" s="1">
        <f>+K1336-J1336</f>
        <v>-6.6571631446480747E-2</v>
      </c>
      <c r="M1336" s="1">
        <v>-2.45716314464807E-2</v>
      </c>
      <c r="N1336" s="1">
        <f>+M1336-J1336</f>
        <v>-9.8571631446480693E-2</v>
      </c>
      <c r="O1336">
        <v>2.1</v>
      </c>
      <c r="P1336" t="s">
        <v>17</v>
      </c>
      <c r="Q1336">
        <v>0</v>
      </c>
      <c r="R1336">
        <v>-1.06050188690424E-2</v>
      </c>
      <c r="S1336">
        <v>-5.166812799871E-3</v>
      </c>
      <c r="T1336">
        <v>-0.05</v>
      </c>
    </row>
    <row r="1337" spans="1:20" x14ac:dyDescent="0.3">
      <c r="A1337" t="s">
        <v>102</v>
      </c>
      <c r="B1337">
        <v>2012</v>
      </c>
      <c r="C1337">
        <v>719881.3125</v>
      </c>
      <c r="D1337" s="1">
        <v>2.3E-2</v>
      </c>
      <c r="E1337" s="1">
        <v>0.91233843564987205</v>
      </c>
      <c r="F1337" s="1">
        <v>2.1000000000000001E-2</v>
      </c>
      <c r="G1337" s="1">
        <f t="shared" si="40"/>
        <v>-1.4000000000000002E-2</v>
      </c>
      <c r="H1337" s="1" t="str">
        <f t="shared" si="41"/>
        <v/>
      </c>
      <c r="I1337" s="1">
        <v>-3.0000000000000001E-3</v>
      </c>
      <c r="J1337" s="1">
        <f>+D1337-F1337+I1337*O1337</f>
        <v>-4.4200000000000021E-3</v>
      </c>
      <c r="K1337" s="1">
        <v>1.03949811309576E-2</v>
      </c>
      <c r="L1337" s="1">
        <f>+K1337-J1337</f>
        <v>1.4814981130957602E-2</v>
      </c>
      <c r="M1337" s="1">
        <v>-1.06050188690424E-2</v>
      </c>
      <c r="N1337" s="1">
        <f>+M1337-J1337</f>
        <v>-6.1850188690423975E-3</v>
      </c>
      <c r="O1337">
        <v>2.14</v>
      </c>
      <c r="P1337" t="s">
        <v>17</v>
      </c>
      <c r="Q1337">
        <v>-0.01</v>
      </c>
      <c r="R1337">
        <v>-8.6770377680659202E-3</v>
      </c>
      <c r="S1337">
        <v>-1.48038091138005E-2</v>
      </c>
      <c r="T1337">
        <v>0.02</v>
      </c>
    </row>
    <row r="1338" spans="1:20" x14ac:dyDescent="0.3">
      <c r="A1338" t="s">
        <v>102</v>
      </c>
      <c r="B1338">
        <v>2013</v>
      </c>
      <c r="C1338">
        <v>725468.8125</v>
      </c>
      <c r="D1338" s="1">
        <v>3.9E-2</v>
      </c>
      <c r="E1338" s="1">
        <v>0.90151786804199197</v>
      </c>
      <c r="F1338" s="1">
        <v>-0.02</v>
      </c>
      <c r="G1338" s="1">
        <f t="shared" si="40"/>
        <v>-3.4000000000000002E-2</v>
      </c>
      <c r="H1338" s="1" t="str">
        <f t="shared" si="41"/>
        <v/>
      </c>
      <c r="I1338" s="1">
        <v>-1.0999999999999999E-2</v>
      </c>
      <c r="J1338" s="1">
        <f>+D1338-F1338+I1338*O1338</f>
        <v>3.5900000000000001E-2</v>
      </c>
      <c r="K1338" s="1">
        <v>6.3229622319340697E-3</v>
      </c>
      <c r="L1338" s="1">
        <f>+K1338-J1338</f>
        <v>-2.9577037768065931E-2</v>
      </c>
      <c r="M1338" s="1">
        <v>-8.6770377680659202E-3</v>
      </c>
      <c r="N1338" s="1">
        <f>+M1338-J1338</f>
        <v>-4.4577037768065923E-2</v>
      </c>
      <c r="O1338">
        <v>2.1</v>
      </c>
      <c r="P1338" t="s">
        <v>16</v>
      </c>
      <c r="Q1338">
        <v>-0.01</v>
      </c>
      <c r="R1338">
        <v>-6.5649572610855097E-3</v>
      </c>
      <c r="S1338">
        <v>-8.5729807615280099E-3</v>
      </c>
      <c r="T1338">
        <v>-0.03</v>
      </c>
    </row>
    <row r="1339" spans="1:20" x14ac:dyDescent="0.3">
      <c r="A1339" t="s">
        <v>102</v>
      </c>
      <c r="B1339">
        <v>2014</v>
      </c>
      <c r="C1339">
        <v>730249</v>
      </c>
      <c r="D1339" s="1">
        <v>1.6E-2</v>
      </c>
      <c r="E1339" s="1">
        <v>0.90656280517578103</v>
      </c>
      <c r="F1339" s="1">
        <v>3.1E-2</v>
      </c>
      <c r="G1339" s="1">
        <f t="shared" si="40"/>
        <v>-3.0000000000000027E-3</v>
      </c>
      <c r="H1339" s="1" t="str">
        <f t="shared" si="41"/>
        <v/>
      </c>
      <c r="I1339" s="1">
        <v>5.0000000000000001E-3</v>
      </c>
      <c r="J1339" s="1">
        <f>+D1339-F1339+I1339*O1339</f>
        <v>-4.1499999999999992E-3</v>
      </c>
      <c r="K1339" s="1">
        <v>9.4350427389144897E-3</v>
      </c>
      <c r="L1339" s="1">
        <f>+K1339-J1339</f>
        <v>1.3585042738914489E-2</v>
      </c>
      <c r="M1339" s="1">
        <v>-6.5649572610855097E-3</v>
      </c>
      <c r="N1339" s="1">
        <f>+M1339-J1339</f>
        <v>-2.4149572610855105E-3</v>
      </c>
      <c r="O1339">
        <v>2.17</v>
      </c>
      <c r="P1339" t="s">
        <v>15</v>
      </c>
      <c r="Q1339">
        <v>-0.01</v>
      </c>
      <c r="R1339">
        <v>1.7839009106159199E-2</v>
      </c>
      <c r="S1339">
        <v>-1.24244429171084E-2</v>
      </c>
      <c r="T1339">
        <v>0.03</v>
      </c>
    </row>
    <row r="1340" spans="1:20" x14ac:dyDescent="0.3">
      <c r="A1340" t="s">
        <v>102</v>
      </c>
      <c r="B1340">
        <v>2015</v>
      </c>
      <c r="C1340">
        <v>733232.8125</v>
      </c>
      <c r="D1340" s="1">
        <v>8.0000000000000002E-3</v>
      </c>
      <c r="E1340" s="1">
        <v>0.91852736473083496</v>
      </c>
      <c r="F1340" s="1">
        <v>4.5999999999999999E-2</v>
      </c>
      <c r="G1340" s="1">
        <f t="shared" si="40"/>
        <v>4.2999999999999997E-2</v>
      </c>
      <c r="H1340" s="1" t="str">
        <f t="shared" si="41"/>
        <v/>
      </c>
      <c r="I1340" s="1">
        <v>1.2E-2</v>
      </c>
      <c r="J1340" s="1">
        <f>+D1340-F1340+I1340*O1340</f>
        <v>-1.0880000000000001E-2</v>
      </c>
      <c r="K1340" s="1">
        <v>1.88390091061592E-2</v>
      </c>
      <c r="L1340" s="1">
        <f>+K1340-J1340</f>
        <v>2.9719009106159201E-2</v>
      </c>
      <c r="M1340" s="1">
        <v>1.7839009106159199E-2</v>
      </c>
      <c r="N1340" s="1">
        <f>+M1340-J1340</f>
        <v>2.87190091061592E-2</v>
      </c>
      <c r="O1340">
        <v>2.2599999999999998</v>
      </c>
      <c r="P1340" t="s">
        <v>15</v>
      </c>
      <c r="Q1340">
        <v>-0.01</v>
      </c>
      <c r="R1340">
        <v>6.7045672684907997E-3</v>
      </c>
      <c r="S1340">
        <v>-6.4489897340535901E-3</v>
      </c>
      <c r="T1340">
        <v>0.06</v>
      </c>
    </row>
    <row r="1341" spans="1:20" x14ac:dyDescent="0.3">
      <c r="A1341" t="s">
        <v>102</v>
      </c>
      <c r="B1341">
        <v>2016</v>
      </c>
      <c r="C1341">
        <v>736718.8125</v>
      </c>
      <c r="D1341" s="1">
        <v>3.2000000000000001E-2</v>
      </c>
      <c r="E1341" s="1">
        <v>0.90248137712478604</v>
      </c>
      <c r="F1341" s="1">
        <v>-5.0000000000000001E-3</v>
      </c>
      <c r="G1341" s="1">
        <f t="shared" si="40"/>
        <v>3.7999999999999999E-2</v>
      </c>
      <c r="H1341" s="1" t="str">
        <f t="shared" si="41"/>
        <v/>
      </c>
      <c r="I1341" s="1">
        <v>-1.6E-2</v>
      </c>
      <c r="J1341" s="1">
        <f>+D1341-F1341+I1341*O1341</f>
        <v>9.9999999999999395E-4</v>
      </c>
      <c r="K1341" s="1">
        <v>1.9704567268490802E-2</v>
      </c>
      <c r="L1341" s="1">
        <f>+K1341-J1341</f>
        <v>1.8704567268490808E-2</v>
      </c>
      <c r="M1341" s="1">
        <v>6.7045672684907997E-3</v>
      </c>
      <c r="N1341" s="1">
        <f>+M1341-J1341</f>
        <v>5.7045672684908058E-3</v>
      </c>
      <c r="O1341">
        <v>2.25</v>
      </c>
      <c r="P1341" t="s">
        <v>16</v>
      </c>
      <c r="Q1341">
        <v>-0.01</v>
      </c>
      <c r="R1341">
        <v>-9.2401116192341003E-3</v>
      </c>
      <c r="S1341">
        <v>-1.20296850800514E-2</v>
      </c>
      <c r="T1341">
        <v>0</v>
      </c>
    </row>
    <row r="1342" spans="1:20" x14ac:dyDescent="0.3">
      <c r="A1342" t="s">
        <v>102</v>
      </c>
      <c r="B1342">
        <v>2017</v>
      </c>
      <c r="C1342">
        <v>740351.625</v>
      </c>
      <c r="D1342" s="1">
        <v>3.2000000000000001E-2</v>
      </c>
      <c r="E1342" s="1">
        <v>0.901361763477325</v>
      </c>
      <c r="F1342" s="1">
        <v>-7.0000000000000001E-3</v>
      </c>
      <c r="G1342" s="1">
        <f t="shared" si="40"/>
        <v>3.1E-2</v>
      </c>
      <c r="H1342" s="1" t="str">
        <f t="shared" si="41"/>
        <v/>
      </c>
      <c r="I1342" s="1">
        <v>-1E-3</v>
      </c>
      <c r="J1342" s="1">
        <f>+D1342-F1342+I1342*O1342</f>
        <v>3.6760000000000001E-2</v>
      </c>
      <c r="K1342" s="1">
        <v>1.1759888380765899E-2</v>
      </c>
      <c r="L1342" s="1">
        <f>+K1342-J1342</f>
        <v>-2.50001116192341E-2</v>
      </c>
      <c r="M1342" s="1">
        <v>-9.2401116192341003E-3</v>
      </c>
      <c r="N1342" s="1">
        <f>+M1342-J1342</f>
        <v>-4.6000111619234105E-2</v>
      </c>
      <c r="O1342">
        <v>2.2400000000000002</v>
      </c>
      <c r="P1342" t="s">
        <v>16</v>
      </c>
      <c r="Q1342">
        <v>-0.01</v>
      </c>
      <c r="R1342">
        <v>-4.5160742104050002E-4</v>
      </c>
      <c r="S1342">
        <v>-9.5866303890942903E-3</v>
      </c>
      <c r="T1342">
        <v>0</v>
      </c>
    </row>
    <row r="1343" spans="1:20" x14ac:dyDescent="0.3">
      <c r="A1343" t="s">
        <v>102</v>
      </c>
      <c r="B1343">
        <v>2018</v>
      </c>
      <c r="C1343">
        <v>743073.75</v>
      </c>
      <c r="D1343" s="1">
        <v>1.2E-2</v>
      </c>
      <c r="E1343" s="1">
        <v>0.89980745315551802</v>
      </c>
      <c r="F1343" s="1">
        <v>-5.0999999999999997E-2</v>
      </c>
      <c r="G1343" s="1">
        <f t="shared" si="40"/>
        <v>-1.9999999999999997E-2</v>
      </c>
      <c r="H1343" s="1" t="str">
        <f t="shared" si="41"/>
        <v/>
      </c>
      <c r="I1343" s="1">
        <v>-2E-3</v>
      </c>
      <c r="J1343" s="1">
        <f>+D1343-F1343+I1343*O1343</f>
        <v>5.876E-2</v>
      </c>
      <c r="K1343" s="1">
        <v>2.35483925789595E-2</v>
      </c>
      <c r="L1343" s="1">
        <f>+K1343-J1343</f>
        <v>-3.52116074210405E-2</v>
      </c>
      <c r="M1343" s="1">
        <v>-4.5160742104050002E-4</v>
      </c>
      <c r="N1343" s="1">
        <f>+M1343-J1343</f>
        <v>-5.9211607421040501E-2</v>
      </c>
      <c r="O1343">
        <v>2.12</v>
      </c>
      <c r="P1343" t="s">
        <v>16</v>
      </c>
      <c r="Q1343">
        <v>-0.01</v>
      </c>
      <c r="R1343">
        <v>1.26219719350338E-2</v>
      </c>
      <c r="S1343">
        <v>-5.1792226731777E-3</v>
      </c>
      <c r="T1343">
        <v>-0.04</v>
      </c>
    </row>
    <row r="1344" spans="1:20" x14ac:dyDescent="0.3">
      <c r="A1344" t="s">
        <v>102</v>
      </c>
      <c r="B1344">
        <v>2019</v>
      </c>
      <c r="C1344">
        <v>745944.1875</v>
      </c>
      <c r="D1344" s="1">
        <v>5.0000000000000001E-3</v>
      </c>
      <c r="E1344" s="1">
        <v>0.91628587245941195</v>
      </c>
      <c r="F1344" s="1">
        <v>3.5000000000000003E-2</v>
      </c>
      <c r="G1344" s="1">
        <f t="shared" si="40"/>
        <v>1.5000000000000006E-2</v>
      </c>
      <c r="H1344" s="1" t="str">
        <f t="shared" si="41"/>
        <v/>
      </c>
      <c r="I1344" s="1">
        <v>1.6E-2</v>
      </c>
      <c r="J1344" s="1">
        <f>+D1344-F1344+I1344*O1344</f>
        <v>5.1999999999999998E-3</v>
      </c>
      <c r="K1344" s="1">
        <v>3.0621971935033802E-2</v>
      </c>
      <c r="L1344" s="1">
        <f>+K1344-J1344</f>
        <v>2.5421971935033802E-2</v>
      </c>
      <c r="M1344" s="1">
        <v>1.26219719350338E-2</v>
      </c>
      <c r="N1344" s="1">
        <f>+M1344-J1344</f>
        <v>7.4219719350337998E-3</v>
      </c>
      <c r="O1344">
        <v>2.2000000000000002</v>
      </c>
      <c r="P1344" t="s">
        <v>15</v>
      </c>
      <c r="Q1344">
        <v>-0.01</v>
      </c>
      <c r="R1344">
        <v>2.59578955471516E-2</v>
      </c>
      <c r="S1344">
        <v>7.1087051182986E-3</v>
      </c>
      <c r="T1344">
        <v>0.04</v>
      </c>
    </row>
    <row r="1345" spans="1:20" x14ac:dyDescent="0.3">
      <c r="A1345" t="s">
        <v>102</v>
      </c>
      <c r="B1345">
        <v>2020</v>
      </c>
      <c r="C1345">
        <v>749692.0625</v>
      </c>
      <c r="D1345" s="1">
        <v>4.1000000000000002E-2</v>
      </c>
      <c r="E1345" s="1">
        <v>0.93064278364181496</v>
      </c>
      <c r="F1345" s="1">
        <v>-8.5999999999999993E-2</v>
      </c>
      <c r="G1345" s="1">
        <f t="shared" si="40"/>
        <v>-7.099999999999998E-2</v>
      </c>
      <c r="H1345" s="1" t="str">
        <f t="shared" si="41"/>
        <v/>
      </c>
      <c r="I1345" s="1">
        <v>1.4E-2</v>
      </c>
      <c r="J1345" s="1">
        <f>+D1345-F1345+I1345*O1345</f>
        <v>0.15514</v>
      </c>
      <c r="K1345" s="1">
        <v>3.79578955471516E-2</v>
      </c>
      <c r="L1345" s="1">
        <f>+K1345-J1345</f>
        <v>-0.11718210445284841</v>
      </c>
      <c r="M1345" s="1">
        <v>2.59578955471516E-2</v>
      </c>
      <c r="N1345" s="1">
        <f>+M1345-J1345</f>
        <v>-0.12918210445284839</v>
      </c>
      <c r="O1345">
        <v>2.0099999999999998</v>
      </c>
      <c r="P1345" t="s">
        <v>17</v>
      </c>
      <c r="Q1345">
        <v>0.01</v>
      </c>
      <c r="R1345">
        <v>2.7534252285957201E-2</v>
      </c>
      <c r="S1345">
        <v>-1.6055360436439601E-2</v>
      </c>
      <c r="T1345">
        <v>-0.05</v>
      </c>
    </row>
    <row r="1346" spans="1:20" x14ac:dyDescent="0.3">
      <c r="A1346" t="s">
        <v>102</v>
      </c>
      <c r="B1346">
        <v>2021</v>
      </c>
      <c r="C1346">
        <v>753280</v>
      </c>
      <c r="D1346" s="1">
        <v>1.6E-2</v>
      </c>
      <c r="E1346" s="1">
        <v>0.94497048854827903</v>
      </c>
      <c r="F1346" s="1">
        <v>7.3999999999999996E-2</v>
      </c>
      <c r="G1346" s="1">
        <f t="shared" si="40"/>
        <v>3.0000000000000165E-3</v>
      </c>
      <c r="H1346" s="1" t="str">
        <f t="shared" si="41"/>
        <v/>
      </c>
      <c r="I1346" s="1">
        <v>1.4E-2</v>
      </c>
      <c r="J1346" s="1">
        <f>+D1346-F1346+I1346*O1346</f>
        <v>-2.7759999999999993E-2</v>
      </c>
      <c r="K1346" s="1">
        <v>7.4534252285957295E-2</v>
      </c>
      <c r="L1346" s="1">
        <f>+K1346-J1346</f>
        <v>0.10229425228595729</v>
      </c>
      <c r="M1346" s="1">
        <v>2.7534252285957201E-2</v>
      </c>
      <c r="N1346" s="1">
        <f>+M1346-J1346</f>
        <v>5.5294252285957191E-2</v>
      </c>
      <c r="O1346">
        <v>2.16</v>
      </c>
      <c r="P1346" t="s">
        <v>15</v>
      </c>
      <c r="Q1346">
        <v>-0.02</v>
      </c>
      <c r="R1346">
        <v>-1.42636615037917E-2</v>
      </c>
      <c r="S1346">
        <v>1.7839845269918501E-2</v>
      </c>
      <c r="T1346">
        <v>0.05</v>
      </c>
    </row>
    <row r="1347" spans="1:20" x14ac:dyDescent="0.3">
      <c r="A1347" t="s">
        <v>102</v>
      </c>
      <c r="B1347">
        <v>2022</v>
      </c>
      <c r="C1347">
        <v>759818.1875</v>
      </c>
      <c r="D1347" s="1">
        <v>7.0000000000000001E-3</v>
      </c>
      <c r="E1347" s="1">
        <v>0.91828811168670699</v>
      </c>
      <c r="F1347" s="1">
        <v>-9.0999999999999998E-2</v>
      </c>
      <c r="G1347" s="1">
        <f t="shared" si="40"/>
        <v>-8.7999999999999981E-2</v>
      </c>
      <c r="H1347" s="1" t="str">
        <f t="shared" si="41"/>
        <v/>
      </c>
      <c r="I1347" s="1">
        <v>-2.7E-2</v>
      </c>
      <c r="J1347" s="1">
        <f>+D1347-F1347+I1347*O1347</f>
        <v>4.5080000000000002E-2</v>
      </c>
      <c r="K1347" s="1">
        <v>6.5736338496208205E-2</v>
      </c>
      <c r="L1347" s="1">
        <f>+K1347-J1347</f>
        <v>2.0656338496208203E-2</v>
      </c>
      <c r="M1347" s="1">
        <v>-1.42636615037917E-2</v>
      </c>
      <c r="N1347" s="1">
        <f>+M1347-J1347</f>
        <v>-5.9343661503791702E-2</v>
      </c>
      <c r="O1347">
        <v>1.96</v>
      </c>
      <c r="P1347" t="s">
        <v>16</v>
      </c>
      <c r="Q1347">
        <v>0.02</v>
      </c>
      <c r="R1347">
        <v>-1.34937863647938E-2</v>
      </c>
      <c r="S1347">
        <v>6.0651414096354996E-3</v>
      </c>
      <c r="T1347">
        <v>-0.08</v>
      </c>
    </row>
    <row r="1348" spans="1:20" x14ac:dyDescent="0.3">
      <c r="A1348" t="s">
        <v>103</v>
      </c>
      <c r="B1348">
        <v>2006</v>
      </c>
      <c r="C1348">
        <v>9728008</v>
      </c>
      <c r="D1348" s="1">
        <v>4.0000000000000001E-3</v>
      </c>
      <c r="E1348" s="1">
        <v>0.96035355329513505</v>
      </c>
      <c r="F1348" s="1">
        <v>-1.9E-2</v>
      </c>
      <c r="G1348" s="1">
        <f t="shared" si="40"/>
        <v>-1.9E-2</v>
      </c>
      <c r="H1348" s="1" t="str">
        <f t="shared" si="41"/>
        <v/>
      </c>
      <c r="I1348" s="1">
        <v>3.0000000000000001E-3</v>
      </c>
      <c r="J1348" s="1">
        <f>+D1348-F1348+I1348*O1348</f>
        <v>3.0949999999999998E-2</v>
      </c>
      <c r="K1348" s="1">
        <v>5.9799276292324101E-2</v>
      </c>
      <c r="L1348" s="1">
        <f>+K1348-J1348</f>
        <v>2.8849276292324103E-2</v>
      </c>
      <c r="M1348" s="1">
        <v>2.77992762923241E-2</v>
      </c>
      <c r="N1348" s="1">
        <f>+M1348-J1348</f>
        <v>-3.1507237076758982E-3</v>
      </c>
      <c r="O1348">
        <v>2.65</v>
      </c>
      <c r="P1348" t="s">
        <v>17</v>
      </c>
      <c r="Q1348">
        <v>0.02</v>
      </c>
      <c r="R1348">
        <v>1.3129356414079699E-2</v>
      </c>
      <c r="S1348">
        <v>1.40511123463512E-2</v>
      </c>
      <c r="T1348">
        <v>-0.02</v>
      </c>
    </row>
    <row r="1349" spans="1:20" x14ac:dyDescent="0.3">
      <c r="A1349" t="s">
        <v>103</v>
      </c>
      <c r="B1349">
        <v>2007</v>
      </c>
      <c r="C1349">
        <v>9708991</v>
      </c>
      <c r="D1349" s="1">
        <v>5.0000000000000001E-3</v>
      </c>
      <c r="E1349" s="1">
        <v>0.95796382427215598</v>
      </c>
      <c r="F1349" s="1">
        <v>0.01</v>
      </c>
      <c r="G1349" s="1">
        <f t="shared" si="40"/>
        <v>-8.9999999999999993E-3</v>
      </c>
      <c r="H1349" s="1" t="str">
        <f t="shared" si="41"/>
        <v/>
      </c>
      <c r="I1349" s="1">
        <v>-2E-3</v>
      </c>
      <c r="J1349" s="1">
        <f>+D1349-F1349+I1349*O1349</f>
        <v>-1.034E-2</v>
      </c>
      <c r="K1349" s="1">
        <v>4.2129356414079701E-2</v>
      </c>
      <c r="L1349" s="1">
        <f>+K1349-J1349</f>
        <v>5.2469356414079703E-2</v>
      </c>
      <c r="M1349" s="1">
        <v>1.3129356414079699E-2</v>
      </c>
      <c r="N1349" s="1">
        <f>+M1349-J1349</f>
        <v>2.3469356414079698E-2</v>
      </c>
      <c r="O1349">
        <v>2.67</v>
      </c>
      <c r="P1349" t="s">
        <v>17</v>
      </c>
      <c r="Q1349">
        <v>0.01</v>
      </c>
      <c r="R1349">
        <v>-2.5649508751928798E-2</v>
      </c>
      <c r="S1349">
        <v>3.8612955249845999E-3</v>
      </c>
      <c r="T1349">
        <v>0.01</v>
      </c>
    </row>
    <row r="1350" spans="1:20" x14ac:dyDescent="0.3">
      <c r="A1350" t="s">
        <v>103</v>
      </c>
      <c r="B1350">
        <v>2008</v>
      </c>
      <c r="C1350">
        <v>9748624</v>
      </c>
      <c r="D1350" s="1">
        <v>7.0000000000000001E-3</v>
      </c>
      <c r="E1350" s="1">
        <v>0.950139939785004</v>
      </c>
      <c r="F1350" s="1">
        <v>-3.0000000000000001E-3</v>
      </c>
      <c r="G1350" s="1">
        <f t="shared" si="40"/>
        <v>-1.2E-2</v>
      </c>
      <c r="H1350" s="1" t="str">
        <f t="shared" si="41"/>
        <v/>
      </c>
      <c r="I1350" s="1">
        <v>-8.0000000000000002E-3</v>
      </c>
      <c r="J1350" s="1">
        <f>+D1350-F1350+I1350*O1350</f>
        <v>-1.128E-2</v>
      </c>
      <c r="K1350" s="1">
        <v>1.2350491248071201E-2</v>
      </c>
      <c r="L1350" s="1">
        <f>+K1350-J1350</f>
        <v>2.3630491248071199E-2</v>
      </c>
      <c r="M1350" s="1">
        <v>-2.5649508751928798E-2</v>
      </c>
      <c r="N1350" s="1">
        <f>+M1350-J1350</f>
        <v>-1.4369508751928798E-2</v>
      </c>
      <c r="O1350">
        <v>2.66</v>
      </c>
      <c r="P1350" t="s">
        <v>16</v>
      </c>
      <c r="Q1350">
        <v>0</v>
      </c>
      <c r="R1350">
        <v>-6.5898881018161798E-2</v>
      </c>
      <c r="S1350">
        <v>-3.9332179352641099E-2</v>
      </c>
      <c r="T1350">
        <v>-0.01</v>
      </c>
    </row>
    <row r="1351" spans="1:20" x14ac:dyDescent="0.3">
      <c r="A1351" t="s">
        <v>103</v>
      </c>
      <c r="B1351">
        <v>2009</v>
      </c>
      <c r="C1351">
        <v>9796896</v>
      </c>
      <c r="D1351" s="1">
        <v>4.0000000000000001E-3</v>
      </c>
      <c r="E1351" s="1">
        <v>0.947016000747681</v>
      </c>
      <c r="F1351" s="1">
        <v>2.5999999999999999E-2</v>
      </c>
      <c r="G1351" s="1">
        <f t="shared" ref="G1351:G1414" si="42">SUMIFS(F:F,A:A,A1351,B:B,"&lt;="&amp;B1351)</f>
        <v>1.3999999999999999E-2</v>
      </c>
      <c r="H1351" s="1" t="str">
        <f t="shared" ref="H1351:H1414" si="43">IFERROR(IF(ABS(G1351)&gt;0.12,AVERAGEIFS(K:K,A:A,A1351,B:B,"&gt;"&amp;B1351,B:B,"&lt;"&amp;B1351+3),""),"")</f>
        <v/>
      </c>
      <c r="I1351" s="1">
        <v>-3.0000000000000001E-3</v>
      </c>
      <c r="J1351" s="1">
        <f>+D1351-F1351+I1351*O1351</f>
        <v>-3.0189999999999998E-2</v>
      </c>
      <c r="K1351" s="1">
        <v>-6.9898881018161801E-2</v>
      </c>
      <c r="L1351" s="1">
        <f>+K1351-J1351</f>
        <v>-3.9708881018161807E-2</v>
      </c>
      <c r="M1351" s="1">
        <v>-6.5898881018161798E-2</v>
      </c>
      <c r="N1351" s="1">
        <f>+M1351-J1351</f>
        <v>-3.5708881018161803E-2</v>
      </c>
      <c r="O1351">
        <v>2.73</v>
      </c>
      <c r="P1351" t="s">
        <v>17</v>
      </c>
      <c r="Q1351">
        <v>-0.04</v>
      </c>
      <c r="R1351">
        <v>-2.54772074371576E-2</v>
      </c>
      <c r="S1351">
        <v>-1.6017098678275901E-2</v>
      </c>
      <c r="T1351">
        <v>0.01</v>
      </c>
    </row>
    <row r="1352" spans="1:20" x14ac:dyDescent="0.3">
      <c r="A1352" t="s">
        <v>103</v>
      </c>
      <c r="B1352">
        <v>2010</v>
      </c>
      <c r="C1352">
        <v>9837448</v>
      </c>
      <c r="D1352" s="1">
        <v>3.0000000000000001E-3</v>
      </c>
      <c r="E1352" s="1">
        <v>0.949254870414734</v>
      </c>
      <c r="F1352" s="1">
        <v>-2E-3</v>
      </c>
      <c r="G1352" s="1">
        <f t="shared" si="42"/>
        <v>1.1999999999999999E-2</v>
      </c>
      <c r="H1352" s="1" t="str">
        <f t="shared" si="43"/>
        <v/>
      </c>
      <c r="I1352" s="1">
        <v>2E-3</v>
      </c>
      <c r="J1352" s="1">
        <f>+D1352-F1352+I1352*O1352</f>
        <v>1.0460000000000001E-2</v>
      </c>
      <c r="K1352" s="1">
        <v>-9.4772074371576292E-3</v>
      </c>
      <c r="L1352" s="1">
        <f>+K1352-J1352</f>
        <v>-1.9937207437157628E-2</v>
      </c>
      <c r="M1352" s="1">
        <v>-2.54772074371576E-2</v>
      </c>
      <c r="N1352" s="1">
        <f>+M1352-J1352</f>
        <v>-3.5937207437157601E-2</v>
      </c>
      <c r="O1352">
        <v>2.73</v>
      </c>
      <c r="P1352" t="s">
        <v>17</v>
      </c>
      <c r="Q1352">
        <v>-0.02</v>
      </c>
      <c r="R1352">
        <v>-1.9595724873244801E-2</v>
      </c>
      <c r="S1352">
        <v>1.6880496405064899E-3</v>
      </c>
      <c r="T1352">
        <v>-0.01</v>
      </c>
    </row>
    <row r="1353" spans="1:20" x14ac:dyDescent="0.3">
      <c r="A1353" t="s">
        <v>103</v>
      </c>
      <c r="B1353">
        <v>2011</v>
      </c>
      <c r="C1353">
        <v>9894416</v>
      </c>
      <c r="D1353" s="1">
        <v>0</v>
      </c>
      <c r="E1353" s="1">
        <v>0.95190495252609297</v>
      </c>
      <c r="F1353" s="1">
        <v>-3.0000000000000001E-3</v>
      </c>
      <c r="G1353" s="1">
        <f t="shared" si="42"/>
        <v>8.9999999999999976E-3</v>
      </c>
      <c r="H1353" s="1" t="str">
        <f t="shared" si="43"/>
        <v/>
      </c>
      <c r="I1353" s="1">
        <v>3.0000000000000001E-3</v>
      </c>
      <c r="J1353" s="1">
        <f>+D1353-F1353+I1353*O1353</f>
        <v>1.116E-2</v>
      </c>
      <c r="K1353" s="1">
        <v>1.2404275126755199E-2</v>
      </c>
      <c r="L1353" s="1">
        <f>+K1353-J1353</f>
        <v>1.2442751267551996E-3</v>
      </c>
      <c r="M1353" s="1">
        <v>-1.9595724873244801E-2</v>
      </c>
      <c r="N1353" s="1">
        <f>+M1353-J1353</f>
        <v>-3.0755724873244801E-2</v>
      </c>
      <c r="O1353">
        <v>2.72</v>
      </c>
      <c r="P1353" t="s">
        <v>17</v>
      </c>
      <c r="Q1353">
        <v>0</v>
      </c>
      <c r="R1353">
        <v>-2.1652563512325001E-3</v>
      </c>
      <c r="S1353">
        <v>3.27294971793889E-3</v>
      </c>
      <c r="T1353">
        <v>0</v>
      </c>
    </row>
    <row r="1354" spans="1:20" x14ac:dyDescent="0.3">
      <c r="A1354" t="s">
        <v>103</v>
      </c>
      <c r="B1354">
        <v>2012</v>
      </c>
      <c r="C1354">
        <v>9957451</v>
      </c>
      <c r="D1354" s="1">
        <v>1E-3</v>
      </c>
      <c r="E1354" s="1">
        <v>0.95442414283752397</v>
      </c>
      <c r="F1354" s="1">
        <v>-8.0000000000000002E-3</v>
      </c>
      <c r="G1354" s="1">
        <f t="shared" si="42"/>
        <v>9.9999999999999742E-4</v>
      </c>
      <c r="H1354" s="1" t="str">
        <f t="shared" si="43"/>
        <v/>
      </c>
      <c r="I1354" s="1">
        <v>3.0000000000000001E-3</v>
      </c>
      <c r="J1354" s="1">
        <f>+D1354-F1354+I1354*O1354</f>
        <v>1.7100000000000004E-2</v>
      </c>
      <c r="K1354" s="1">
        <v>1.8834743648767499E-2</v>
      </c>
      <c r="L1354" s="1">
        <f>+K1354-J1354</f>
        <v>1.734743648767495E-3</v>
      </c>
      <c r="M1354" s="1">
        <v>-2.1652563512325001E-3</v>
      </c>
      <c r="N1354" s="1">
        <f>+M1354-J1354</f>
        <v>-1.9265256351232503E-2</v>
      </c>
      <c r="O1354">
        <v>2.7</v>
      </c>
      <c r="P1354" t="s">
        <v>17</v>
      </c>
      <c r="Q1354">
        <v>0</v>
      </c>
      <c r="R1354">
        <v>1.09333997964859E-2</v>
      </c>
      <c r="S1354">
        <v>4.8066284507513003E-3</v>
      </c>
      <c r="T1354">
        <v>-0.01</v>
      </c>
    </row>
    <row r="1355" spans="1:20" x14ac:dyDescent="0.3">
      <c r="A1355" t="s">
        <v>103</v>
      </c>
      <c r="B1355">
        <v>2013</v>
      </c>
      <c r="C1355">
        <v>10014050</v>
      </c>
      <c r="D1355" s="1">
        <v>3.0000000000000001E-3</v>
      </c>
      <c r="E1355" s="1">
        <v>0.95671969652175903</v>
      </c>
      <c r="F1355" s="1">
        <v>3.0000000000000001E-3</v>
      </c>
      <c r="G1355" s="1">
        <f t="shared" si="42"/>
        <v>3.9999999999999975E-3</v>
      </c>
      <c r="H1355" s="1" t="str">
        <f t="shared" si="43"/>
        <v/>
      </c>
      <c r="I1355" s="1">
        <v>2E-3</v>
      </c>
      <c r="J1355" s="1">
        <f>+D1355-F1355+I1355*O1355</f>
        <v>5.4200000000000003E-3</v>
      </c>
      <c r="K1355" s="1">
        <v>2.5933399796485901E-2</v>
      </c>
      <c r="L1355" s="1">
        <f>+K1355-J1355</f>
        <v>2.05133997964859E-2</v>
      </c>
      <c r="M1355" s="1">
        <v>1.09333997964859E-2</v>
      </c>
      <c r="N1355" s="1">
        <f>+M1355-J1355</f>
        <v>5.5133997964858994E-3</v>
      </c>
      <c r="O1355">
        <v>2.71</v>
      </c>
      <c r="P1355" t="s">
        <v>15</v>
      </c>
      <c r="Q1355">
        <v>0</v>
      </c>
      <c r="R1355">
        <v>1.3834419488906799E-2</v>
      </c>
      <c r="S1355">
        <v>1.18263959884643E-2</v>
      </c>
      <c r="T1355">
        <v>0</v>
      </c>
    </row>
    <row r="1356" spans="1:20" x14ac:dyDescent="0.3">
      <c r="A1356" t="s">
        <v>103</v>
      </c>
      <c r="B1356">
        <v>2014</v>
      </c>
      <c r="C1356">
        <v>10065330</v>
      </c>
      <c r="D1356" s="1">
        <v>7.0000000000000001E-3</v>
      </c>
      <c r="E1356" s="1">
        <v>0.95723634958267201</v>
      </c>
      <c r="F1356" s="1">
        <v>1E-3</v>
      </c>
      <c r="G1356" s="1">
        <f t="shared" si="42"/>
        <v>4.9999999999999975E-3</v>
      </c>
      <c r="H1356" s="1" t="str">
        <f t="shared" si="43"/>
        <v/>
      </c>
      <c r="I1356" s="1">
        <v>1E-3</v>
      </c>
      <c r="J1356" s="1">
        <f>+D1356-F1356+I1356*O1356</f>
        <v>8.7100000000000007E-3</v>
      </c>
      <c r="K1356" s="1">
        <v>2.9834419488906899E-2</v>
      </c>
      <c r="L1356" s="1">
        <f>+K1356-J1356</f>
        <v>2.11244194889069E-2</v>
      </c>
      <c r="M1356" s="1">
        <v>1.3834419488906799E-2</v>
      </c>
      <c r="N1356" s="1">
        <f>+M1356-J1356</f>
        <v>5.1244194889067986E-3</v>
      </c>
      <c r="O1356">
        <v>2.71</v>
      </c>
      <c r="P1356" t="s">
        <v>15</v>
      </c>
      <c r="Q1356">
        <v>0.01</v>
      </c>
      <c r="R1356">
        <v>5.0613859832286799E-2</v>
      </c>
      <c r="S1356">
        <v>2.0350407809019099E-2</v>
      </c>
      <c r="T1356">
        <v>0</v>
      </c>
    </row>
    <row r="1357" spans="1:20" x14ac:dyDescent="0.3">
      <c r="A1357" t="s">
        <v>103</v>
      </c>
      <c r="B1357">
        <v>2015</v>
      </c>
      <c r="C1357">
        <v>10106460</v>
      </c>
      <c r="D1357" s="1">
        <v>8.0000000000000002E-3</v>
      </c>
      <c r="E1357" s="1">
        <v>0.95834237337112405</v>
      </c>
      <c r="F1357" s="1">
        <v>-8.9999999999999993E-3</v>
      </c>
      <c r="G1357" s="1">
        <f t="shared" si="42"/>
        <v>-4.0000000000000018E-3</v>
      </c>
      <c r="H1357" s="1" t="str">
        <f t="shared" si="43"/>
        <v/>
      </c>
      <c r="I1357" s="1">
        <v>1E-3</v>
      </c>
      <c r="J1357" s="1">
        <f>+D1357-F1357+I1357*O1357</f>
        <v>1.9680000000000003E-2</v>
      </c>
      <c r="K1357" s="1">
        <v>5.16138598322868E-2</v>
      </c>
      <c r="L1357" s="1">
        <f>+K1357-J1357</f>
        <v>3.1933859832286797E-2</v>
      </c>
      <c r="M1357" s="1">
        <v>5.0613859832286799E-2</v>
      </c>
      <c r="N1357" s="1">
        <f>+M1357-J1357</f>
        <v>3.0933859832286796E-2</v>
      </c>
      <c r="O1357">
        <v>2.68</v>
      </c>
      <c r="P1357" t="s">
        <v>17</v>
      </c>
      <c r="Q1357">
        <v>0.02</v>
      </c>
      <c r="R1357">
        <v>2.38984714150429E-2</v>
      </c>
      <c r="S1357">
        <v>1.07449144124985E-2</v>
      </c>
      <c r="T1357">
        <v>0</v>
      </c>
    </row>
    <row r="1358" spans="1:20" x14ac:dyDescent="0.3">
      <c r="A1358" t="s">
        <v>103</v>
      </c>
      <c r="B1358">
        <v>2016</v>
      </c>
      <c r="C1358">
        <v>10124210</v>
      </c>
      <c r="D1358" s="1">
        <v>1.0999999999999999E-2</v>
      </c>
      <c r="E1358" s="1">
        <v>0.95450836420059204</v>
      </c>
      <c r="F1358" s="1">
        <v>-3.0000000000000001E-3</v>
      </c>
      <c r="G1358" s="1">
        <f t="shared" si="42"/>
        <v>-7.0000000000000019E-3</v>
      </c>
      <c r="H1358" s="1" t="str">
        <f t="shared" si="43"/>
        <v/>
      </c>
      <c r="I1358" s="1">
        <v>-4.0000000000000001E-3</v>
      </c>
      <c r="J1358" s="1">
        <f>+D1358-F1358+I1358*O1358</f>
        <v>3.2799999999999982E-3</v>
      </c>
      <c r="K1358" s="1">
        <v>3.6898471415042898E-2</v>
      </c>
      <c r="L1358" s="1">
        <f>+K1358-J1358</f>
        <v>3.36184714150429E-2</v>
      </c>
      <c r="M1358" s="1">
        <v>2.38984714150429E-2</v>
      </c>
      <c r="N1358" s="1">
        <f>+M1358-J1358</f>
        <v>2.0618471415042902E-2</v>
      </c>
      <c r="O1358">
        <v>2.68</v>
      </c>
      <c r="P1358" t="s">
        <v>16</v>
      </c>
      <c r="Q1358">
        <v>0.01</v>
      </c>
      <c r="R1358">
        <v>1.0617771834135E-2</v>
      </c>
      <c r="S1358">
        <v>7.8281983733177896E-3</v>
      </c>
      <c r="T1358">
        <v>0</v>
      </c>
    </row>
    <row r="1359" spans="1:20" x14ac:dyDescent="0.3">
      <c r="A1359" t="s">
        <v>103</v>
      </c>
      <c r="B1359">
        <v>2017</v>
      </c>
      <c r="C1359">
        <v>10118800</v>
      </c>
      <c r="D1359" s="1">
        <v>4.0000000000000001E-3</v>
      </c>
      <c r="E1359" s="1">
        <v>0.95657926797866799</v>
      </c>
      <c r="F1359" s="1">
        <v>-3.0000000000000001E-3</v>
      </c>
      <c r="G1359" s="1">
        <f t="shared" si="42"/>
        <v>-1.0000000000000002E-2</v>
      </c>
      <c r="H1359" s="1" t="str">
        <f t="shared" si="43"/>
        <v/>
      </c>
      <c r="I1359" s="1">
        <v>2E-3</v>
      </c>
      <c r="J1359" s="1">
        <f>+D1359-F1359+I1359*O1359</f>
        <v>1.234E-2</v>
      </c>
      <c r="K1359" s="1">
        <v>3.1617771834135097E-2</v>
      </c>
      <c r="L1359" s="1">
        <f>+K1359-J1359</f>
        <v>1.9277771834135097E-2</v>
      </c>
      <c r="M1359" s="1">
        <v>1.0617771834135E-2</v>
      </c>
      <c r="N1359" s="1">
        <f>+M1359-J1359</f>
        <v>-1.7222281658649998E-3</v>
      </c>
      <c r="O1359">
        <v>2.67</v>
      </c>
      <c r="P1359" t="s">
        <v>17</v>
      </c>
      <c r="Q1359">
        <v>0.01</v>
      </c>
      <c r="R1359">
        <v>8.2121754288672893E-3</v>
      </c>
      <c r="S1359">
        <v>-9.2284753918649804E-4</v>
      </c>
      <c r="T1359">
        <v>0</v>
      </c>
    </row>
    <row r="1360" spans="1:20" x14ac:dyDescent="0.3">
      <c r="A1360" t="s">
        <v>103</v>
      </c>
      <c r="B1360">
        <v>2018</v>
      </c>
      <c r="C1360">
        <v>10087440</v>
      </c>
      <c r="D1360" s="1">
        <v>0.01</v>
      </c>
      <c r="E1360" s="1">
        <v>0.95433163642883301</v>
      </c>
      <c r="F1360" s="1">
        <v>-0.01</v>
      </c>
      <c r="G1360" s="1">
        <f t="shared" si="42"/>
        <v>-2.0000000000000004E-2</v>
      </c>
      <c r="H1360" s="1" t="str">
        <f t="shared" si="43"/>
        <v/>
      </c>
      <c r="I1360" s="1">
        <v>-2E-3</v>
      </c>
      <c r="J1360" s="1">
        <f>+D1360-F1360+I1360*O1360</f>
        <v>1.472E-2</v>
      </c>
      <c r="K1360" s="1">
        <v>3.2212175428867298E-2</v>
      </c>
      <c r="L1360" s="1">
        <f>+K1360-J1360</f>
        <v>1.7492175428867298E-2</v>
      </c>
      <c r="M1360" s="1">
        <v>8.2121754288672893E-3</v>
      </c>
      <c r="N1360" s="1">
        <f>+M1360-J1360</f>
        <v>-6.5078245711327112E-3</v>
      </c>
      <c r="O1360">
        <v>2.64</v>
      </c>
      <c r="P1360" t="s">
        <v>16</v>
      </c>
      <c r="Q1360">
        <v>0</v>
      </c>
      <c r="R1360">
        <v>6.2220237851143001E-3</v>
      </c>
      <c r="S1360">
        <v>-1.15791708230972E-2</v>
      </c>
      <c r="T1360">
        <v>0</v>
      </c>
    </row>
    <row r="1361" spans="1:20" x14ac:dyDescent="0.3">
      <c r="A1361" t="s">
        <v>103</v>
      </c>
      <c r="B1361">
        <v>2019</v>
      </c>
      <c r="C1361">
        <v>10041540</v>
      </c>
      <c r="D1361" s="1">
        <v>1.0999999999999999E-2</v>
      </c>
      <c r="E1361" s="1">
        <v>0.94974148273467995</v>
      </c>
      <c r="F1361" s="1">
        <v>4.0000000000000001E-3</v>
      </c>
      <c r="G1361" s="1">
        <f t="shared" si="42"/>
        <v>-1.6000000000000004E-2</v>
      </c>
      <c r="H1361" s="1" t="str">
        <f t="shared" si="43"/>
        <v/>
      </c>
      <c r="I1361" s="1">
        <v>-5.0000000000000001E-3</v>
      </c>
      <c r="J1361" s="1">
        <f>+D1361-F1361+I1361*O1361</f>
        <v>-6.2500000000000003E-3</v>
      </c>
      <c r="K1361" s="1">
        <v>2.4222023785114299E-2</v>
      </c>
      <c r="L1361" s="1">
        <f>+K1361-J1361</f>
        <v>3.0472023785114301E-2</v>
      </c>
      <c r="M1361" s="1">
        <v>6.2220237851143001E-3</v>
      </c>
      <c r="N1361" s="1">
        <f>+M1361-J1361</f>
        <v>1.24720237851143E-2</v>
      </c>
      <c r="O1361">
        <v>2.65</v>
      </c>
      <c r="P1361" t="s">
        <v>17</v>
      </c>
      <c r="Q1361">
        <v>-0.01</v>
      </c>
      <c r="R1361">
        <v>-2.17293443977832E-2</v>
      </c>
      <c r="S1361">
        <v>-4.0578534826636203E-2</v>
      </c>
      <c r="T1361">
        <v>0.01</v>
      </c>
    </row>
    <row r="1362" spans="1:20" x14ac:dyDescent="0.3">
      <c r="A1362" t="s">
        <v>103</v>
      </c>
      <c r="B1362">
        <v>2020</v>
      </c>
      <c r="C1362">
        <v>9949473</v>
      </c>
      <c r="D1362" s="1">
        <v>1.0999999999999999E-2</v>
      </c>
      <c r="E1362" s="1">
        <v>0.94025248289108299</v>
      </c>
      <c r="F1362" s="1">
        <v>-0.02</v>
      </c>
      <c r="G1362" s="1">
        <f t="shared" si="42"/>
        <v>-3.6000000000000004E-2</v>
      </c>
      <c r="H1362" s="1" t="str">
        <f t="shared" si="43"/>
        <v/>
      </c>
      <c r="I1362" s="1">
        <v>-8.9999999999999993E-3</v>
      </c>
      <c r="J1362" s="1">
        <f>+D1362-F1362+I1362*O1362</f>
        <v>7.5999999999999991E-3</v>
      </c>
      <c r="K1362" s="1">
        <v>-9.7293443977832794E-3</v>
      </c>
      <c r="L1362" s="1">
        <f>+K1362-J1362</f>
        <v>-1.7329344397783279E-2</v>
      </c>
      <c r="M1362" s="1">
        <v>-2.17293443977832E-2</v>
      </c>
      <c r="N1362" s="1">
        <f>+M1362-J1362</f>
        <v>-2.9329344397783199E-2</v>
      </c>
      <c r="O1362">
        <v>2.6</v>
      </c>
      <c r="P1362" t="s">
        <v>16</v>
      </c>
      <c r="Q1362">
        <v>-0.04</v>
      </c>
      <c r="R1362">
        <v>1.5677927315234999E-2</v>
      </c>
      <c r="S1362">
        <v>-2.7911685407161799E-2</v>
      </c>
      <c r="T1362">
        <v>0.02</v>
      </c>
    </row>
    <row r="1363" spans="1:20" x14ac:dyDescent="0.3">
      <c r="A1363" t="s">
        <v>103</v>
      </c>
      <c r="B1363">
        <v>2021</v>
      </c>
      <c r="C1363">
        <v>9791866</v>
      </c>
      <c r="D1363" s="1">
        <v>1.0999999999999999E-2</v>
      </c>
      <c r="E1363" s="1">
        <v>0.95932030677795399</v>
      </c>
      <c r="F1363" s="1">
        <v>5.0000000000000001E-3</v>
      </c>
      <c r="G1363" s="1">
        <f t="shared" si="42"/>
        <v>-3.1000000000000003E-2</v>
      </c>
      <c r="H1363" s="1" t="str">
        <f t="shared" si="43"/>
        <v/>
      </c>
      <c r="I1363" s="1">
        <v>1.9E-2</v>
      </c>
      <c r="J1363" s="1">
        <f>+D1363-F1363+I1363*O1363</f>
        <v>5.5589999999999994E-2</v>
      </c>
      <c r="K1363" s="1">
        <v>6.2677927315235096E-2</v>
      </c>
      <c r="L1363" s="1">
        <f>+K1363-J1363</f>
        <v>7.0879273152351027E-3</v>
      </c>
      <c r="M1363" s="1">
        <v>1.5677927315234999E-2</v>
      </c>
      <c r="N1363" s="1">
        <f>+M1363-J1363</f>
        <v>-3.9912072684764995E-2</v>
      </c>
      <c r="O1363">
        <v>2.61</v>
      </c>
      <c r="P1363" t="s">
        <v>15</v>
      </c>
      <c r="Q1363">
        <v>-0.03</v>
      </c>
      <c r="R1363">
        <v>-4.7551570385694499E-2</v>
      </c>
      <c r="S1363">
        <v>-1.54480636119841E-2</v>
      </c>
      <c r="T1363">
        <v>-0.02</v>
      </c>
    </row>
    <row r="1364" spans="1:20" x14ac:dyDescent="0.3">
      <c r="A1364" t="s">
        <v>103</v>
      </c>
      <c r="B1364">
        <v>2022</v>
      </c>
      <c r="C1364">
        <v>9742531</v>
      </c>
      <c r="D1364" s="1">
        <v>8.9999999999999993E-3</v>
      </c>
      <c r="E1364" s="1">
        <v>0.95459681749343905</v>
      </c>
      <c r="F1364" s="1">
        <v>-2.3E-2</v>
      </c>
      <c r="G1364" s="1">
        <f t="shared" si="42"/>
        <v>-5.4000000000000006E-2</v>
      </c>
      <c r="H1364" s="1" t="str">
        <f t="shared" si="43"/>
        <v/>
      </c>
      <c r="I1364" s="1">
        <v>-5.0000000000000001E-3</v>
      </c>
      <c r="J1364" s="1">
        <f>+D1364-F1364+I1364*O1364</f>
        <v>1.9250000000000003E-2</v>
      </c>
      <c r="K1364" s="1">
        <v>3.2448429614305503E-2</v>
      </c>
      <c r="L1364" s="1">
        <f>+K1364-J1364</f>
        <v>1.31984296143055E-2</v>
      </c>
      <c r="M1364" s="1">
        <v>-4.7551570385694499E-2</v>
      </c>
      <c r="N1364" s="1">
        <f>+M1364-J1364</f>
        <v>-6.6801570385694509E-2</v>
      </c>
      <c r="O1364">
        <v>2.5499999999999998</v>
      </c>
      <c r="P1364" t="s">
        <v>16</v>
      </c>
      <c r="Q1364">
        <v>-0.01</v>
      </c>
      <c r="R1364">
        <v>-3.8165144886821503E-2</v>
      </c>
      <c r="S1364">
        <v>-1.8606217112392201E-2</v>
      </c>
      <c r="T1364">
        <v>-0.01</v>
      </c>
    </row>
    <row r="1365" spans="1:20" x14ac:dyDescent="0.3">
      <c r="A1365" t="s">
        <v>104</v>
      </c>
      <c r="B1365">
        <v>2006</v>
      </c>
      <c r="C1365">
        <v>1191005</v>
      </c>
      <c r="D1365" s="1">
        <v>6.0000000000000001E-3</v>
      </c>
      <c r="E1365" s="1">
        <v>0.92997735738754295</v>
      </c>
      <c r="F1365" s="1">
        <v>-1.4999999999999999E-2</v>
      </c>
      <c r="G1365" s="1">
        <f t="shared" si="42"/>
        <v>-1.4999999999999999E-2</v>
      </c>
      <c r="H1365" s="1" t="str">
        <f t="shared" si="43"/>
        <v/>
      </c>
      <c r="I1365" s="1">
        <v>-6.0000000000000001E-3</v>
      </c>
      <c r="J1365" s="1">
        <f>+D1365-F1365+I1365*O1365</f>
        <v>8.2199999999999981E-3</v>
      </c>
      <c r="K1365" s="1">
        <v>6.3407972455024705E-2</v>
      </c>
      <c r="L1365" s="1">
        <f>+K1365-J1365</f>
        <v>5.5187972455024707E-2</v>
      </c>
      <c r="M1365" s="1">
        <v>3.1407972455024698E-2</v>
      </c>
      <c r="N1365" s="1">
        <f>+M1365-J1365</f>
        <v>2.31879724550247E-2</v>
      </c>
      <c r="O1365">
        <v>2.13</v>
      </c>
      <c r="P1365" t="s">
        <v>16</v>
      </c>
      <c r="Q1365">
        <v>0.03</v>
      </c>
      <c r="R1365">
        <v>-4.4420667886733997E-3</v>
      </c>
      <c r="S1365">
        <v>-3.5203108564018999E-3</v>
      </c>
      <c r="T1365">
        <v>-0.02</v>
      </c>
    </row>
    <row r="1366" spans="1:20" x14ac:dyDescent="0.3">
      <c r="A1366" t="s">
        <v>104</v>
      </c>
      <c r="B1366">
        <v>2007</v>
      </c>
      <c r="C1366">
        <v>1206245</v>
      </c>
      <c r="D1366" s="1">
        <v>1.2E-2</v>
      </c>
      <c r="E1366" s="1">
        <v>0.91400521993637096</v>
      </c>
      <c r="F1366" s="1">
        <v>6.0000000000000001E-3</v>
      </c>
      <c r="G1366" s="1">
        <f t="shared" si="42"/>
        <v>-8.9999999999999993E-3</v>
      </c>
      <c r="H1366" s="1" t="str">
        <f t="shared" si="43"/>
        <v/>
      </c>
      <c r="I1366" s="1">
        <v>-1.6E-2</v>
      </c>
      <c r="J1366" s="1">
        <f>+D1366-F1366+I1366*O1366</f>
        <v>-2.8400000000000002E-2</v>
      </c>
      <c r="K1366" s="1">
        <v>2.4557933211326599E-2</v>
      </c>
      <c r="L1366" s="1">
        <f>+K1366-J1366</f>
        <v>5.2957933211326601E-2</v>
      </c>
      <c r="M1366" s="1">
        <v>-4.4420667886733997E-3</v>
      </c>
      <c r="N1366" s="1">
        <f>+M1366-J1366</f>
        <v>2.3957933211326603E-2</v>
      </c>
      <c r="O1366">
        <v>2.15</v>
      </c>
      <c r="P1366" t="s">
        <v>17</v>
      </c>
      <c r="Q1366">
        <v>0</v>
      </c>
      <c r="R1366">
        <v>-5.08999287262559E-2</v>
      </c>
      <c r="S1366">
        <v>-2.1389124449342399E-2</v>
      </c>
      <c r="T1366">
        <v>0</v>
      </c>
    </row>
    <row r="1367" spans="1:20" x14ac:dyDescent="0.3">
      <c r="A1367" t="s">
        <v>104</v>
      </c>
      <c r="B1367">
        <v>2008</v>
      </c>
      <c r="C1367">
        <v>1219683</v>
      </c>
      <c r="D1367" s="1">
        <v>8.9999999999999993E-3</v>
      </c>
      <c r="E1367" s="1">
        <v>0.91252386569976796</v>
      </c>
      <c r="F1367" s="1">
        <v>-2E-3</v>
      </c>
      <c r="G1367" s="1">
        <f t="shared" si="42"/>
        <v>-1.0999999999999999E-2</v>
      </c>
      <c r="H1367" s="1" t="str">
        <f t="shared" si="43"/>
        <v/>
      </c>
      <c r="I1367" s="1">
        <v>-1E-3</v>
      </c>
      <c r="J1367" s="1">
        <f>+D1367-F1367+I1367*O1367</f>
        <v>8.8599999999999998E-3</v>
      </c>
      <c r="K1367" s="1">
        <v>-1.2899928726255901E-2</v>
      </c>
      <c r="L1367" s="1">
        <f>+K1367-J1367</f>
        <v>-2.17599287262559E-2</v>
      </c>
      <c r="M1367" s="1">
        <v>-5.08999287262559E-2</v>
      </c>
      <c r="N1367" s="1">
        <f>+M1367-J1367</f>
        <v>-5.97599287262559E-2</v>
      </c>
      <c r="O1367">
        <v>2.14</v>
      </c>
      <c r="P1367" t="s">
        <v>16</v>
      </c>
      <c r="Q1367">
        <v>-0.02</v>
      </c>
      <c r="R1367">
        <v>-2.7827855855226499E-2</v>
      </c>
      <c r="S1367">
        <v>-1.26115418970585E-3</v>
      </c>
      <c r="T1367">
        <v>0</v>
      </c>
    </row>
    <row r="1368" spans="1:20" x14ac:dyDescent="0.3">
      <c r="A1368" t="s">
        <v>104</v>
      </c>
      <c r="B1368">
        <v>2009</v>
      </c>
      <c r="C1368">
        <v>1230579</v>
      </c>
      <c r="D1368" s="1">
        <v>1.0999999999999999E-2</v>
      </c>
      <c r="E1368" s="1">
        <v>0.916528820991516</v>
      </c>
      <c r="F1368" s="1">
        <v>5.1999999999999998E-2</v>
      </c>
      <c r="G1368" s="1">
        <f t="shared" si="42"/>
        <v>4.0999999999999995E-2</v>
      </c>
      <c r="H1368" s="1" t="str">
        <f t="shared" si="43"/>
        <v/>
      </c>
      <c r="I1368" s="1">
        <v>4.0000000000000001E-3</v>
      </c>
      <c r="J1368" s="1">
        <f>+D1368-F1368+I1368*O1368</f>
        <v>-3.1999999999999994E-2</v>
      </c>
      <c r="K1368" s="1">
        <v>-3.1827855855226503E-2</v>
      </c>
      <c r="L1368" s="1">
        <f>+K1368-J1368</f>
        <v>1.7214414477349088E-4</v>
      </c>
      <c r="M1368" s="1">
        <v>-2.7827855855226499E-2</v>
      </c>
      <c r="N1368" s="1">
        <f>+M1368-J1368</f>
        <v>4.1721441447734944E-3</v>
      </c>
      <c r="O1368">
        <v>2.25</v>
      </c>
      <c r="P1368" t="s">
        <v>15</v>
      </c>
      <c r="Q1368">
        <v>0</v>
      </c>
      <c r="R1368">
        <v>-6.8212060108780899E-3</v>
      </c>
      <c r="S1368">
        <v>2.6389027480035899E-3</v>
      </c>
      <c r="T1368">
        <v>0.03</v>
      </c>
    </row>
    <row r="1369" spans="1:20" x14ac:dyDescent="0.3">
      <c r="A1369" t="s">
        <v>104</v>
      </c>
      <c r="B1369">
        <v>2010</v>
      </c>
      <c r="C1369">
        <v>1240353</v>
      </c>
      <c r="D1369" s="1">
        <v>0</v>
      </c>
      <c r="E1369" s="1">
        <v>0.92830425500869795</v>
      </c>
      <c r="F1369" s="1">
        <v>-0.02</v>
      </c>
      <c r="G1369" s="1">
        <f t="shared" si="42"/>
        <v>2.0999999999999994E-2</v>
      </c>
      <c r="H1369" s="1" t="str">
        <f t="shared" si="43"/>
        <v/>
      </c>
      <c r="I1369" s="1">
        <v>1.2E-2</v>
      </c>
      <c r="J1369" s="1">
        <f>+D1369-F1369+I1369*O1369</f>
        <v>4.6519999999999999E-2</v>
      </c>
      <c r="K1369" s="1">
        <v>9.1787939891219104E-3</v>
      </c>
      <c r="L1369" s="1">
        <f>+K1369-J1369</f>
        <v>-3.7341206010878092E-2</v>
      </c>
      <c r="M1369" s="1">
        <v>-6.8212060108780899E-3</v>
      </c>
      <c r="N1369" s="1">
        <f>+M1369-J1369</f>
        <v>-5.3341206010878092E-2</v>
      </c>
      <c r="O1369">
        <v>2.21</v>
      </c>
      <c r="P1369" t="s">
        <v>17</v>
      </c>
      <c r="Q1369">
        <v>0</v>
      </c>
      <c r="R1369">
        <v>-2.34531437680125E-2</v>
      </c>
      <c r="S1369">
        <v>-2.1693692542612201E-3</v>
      </c>
      <c r="T1369">
        <v>-0.03</v>
      </c>
    </row>
    <row r="1370" spans="1:20" x14ac:dyDescent="0.3">
      <c r="A1370" t="s">
        <v>104</v>
      </c>
      <c r="B1370">
        <v>2011</v>
      </c>
      <c r="C1370">
        <v>1249306</v>
      </c>
      <c r="D1370" s="1">
        <v>2E-3</v>
      </c>
      <c r="E1370" s="1">
        <v>0.92894726991653398</v>
      </c>
      <c r="F1370" s="1">
        <v>3.9E-2</v>
      </c>
      <c r="G1370" s="1">
        <f t="shared" si="42"/>
        <v>0.06</v>
      </c>
      <c r="H1370" s="1" t="str">
        <f t="shared" si="43"/>
        <v/>
      </c>
      <c r="I1370" s="1">
        <v>1E-3</v>
      </c>
      <c r="J1370" s="1">
        <f>+D1370-F1370+I1370*O1370</f>
        <v>-3.4709999999999998E-2</v>
      </c>
      <c r="K1370" s="1">
        <v>8.5468562319874798E-3</v>
      </c>
      <c r="L1370" s="1">
        <f>+K1370-J1370</f>
        <v>4.3256856231987481E-2</v>
      </c>
      <c r="M1370" s="1">
        <v>-2.34531437680125E-2</v>
      </c>
      <c r="N1370" s="1">
        <f>+M1370-J1370</f>
        <v>1.1256856231987498E-2</v>
      </c>
      <c r="O1370">
        <v>2.29</v>
      </c>
      <c r="P1370" t="s">
        <v>15</v>
      </c>
      <c r="Q1370">
        <v>0</v>
      </c>
      <c r="R1370">
        <v>5.0808430612086898E-3</v>
      </c>
      <c r="S1370">
        <v>1.05190491303801E-2</v>
      </c>
      <c r="T1370">
        <v>0.04</v>
      </c>
    </row>
    <row r="1371" spans="1:20" x14ac:dyDescent="0.3">
      <c r="A1371" t="s">
        <v>104</v>
      </c>
      <c r="B1371">
        <v>2012</v>
      </c>
      <c r="C1371">
        <v>1260417</v>
      </c>
      <c r="D1371" s="1">
        <v>6.0000000000000001E-3</v>
      </c>
      <c r="E1371" s="1">
        <v>0.93494242429733299</v>
      </c>
      <c r="F1371" s="1">
        <v>-1.7000000000000001E-2</v>
      </c>
      <c r="G1371" s="1">
        <f t="shared" si="42"/>
        <v>4.2999999999999997E-2</v>
      </c>
      <c r="H1371" s="1" t="str">
        <f t="shared" si="43"/>
        <v/>
      </c>
      <c r="I1371" s="1">
        <v>6.0000000000000001E-3</v>
      </c>
      <c r="J1371" s="1">
        <f>+D1371-F1371+I1371*O1371</f>
        <v>3.6499999999999998E-2</v>
      </c>
      <c r="K1371" s="1">
        <v>2.6080843061208701E-2</v>
      </c>
      <c r="L1371" s="1">
        <f>+K1371-J1371</f>
        <v>-1.0419156938791297E-2</v>
      </c>
      <c r="M1371" s="1">
        <v>5.0808430612086898E-3</v>
      </c>
      <c r="N1371" s="1">
        <f>+M1371-J1371</f>
        <v>-3.1419156938791305E-2</v>
      </c>
      <c r="O1371">
        <v>2.25</v>
      </c>
      <c r="P1371" t="s">
        <v>17</v>
      </c>
      <c r="Q1371">
        <v>0.01</v>
      </c>
      <c r="R1371">
        <v>8.1683328747749005E-3</v>
      </c>
      <c r="S1371">
        <v>2.0415615290403002E-3</v>
      </c>
      <c r="T1371">
        <v>-0.02</v>
      </c>
    </row>
    <row r="1372" spans="1:20" x14ac:dyDescent="0.3">
      <c r="A1372" t="s">
        <v>104</v>
      </c>
      <c r="B1372">
        <v>2013</v>
      </c>
      <c r="C1372">
        <v>1272802</v>
      </c>
      <c r="D1372" s="1">
        <v>0.01</v>
      </c>
      <c r="E1372" s="1">
        <v>0.92914193868637096</v>
      </c>
      <c r="F1372" s="1">
        <v>-3.1E-2</v>
      </c>
      <c r="G1372" s="1">
        <f t="shared" si="42"/>
        <v>1.1999999999999997E-2</v>
      </c>
      <c r="H1372" s="1" t="str">
        <f t="shared" si="43"/>
        <v/>
      </c>
      <c r="I1372" s="1">
        <v>-6.0000000000000001E-3</v>
      </c>
      <c r="J1372" s="1">
        <f>+D1372-F1372+I1372*O1372</f>
        <v>2.792E-2</v>
      </c>
      <c r="K1372" s="1">
        <v>2.3168332874774902E-2</v>
      </c>
      <c r="L1372" s="1">
        <f>+K1372-J1372</f>
        <v>-4.7516671252250987E-3</v>
      </c>
      <c r="M1372" s="1">
        <v>8.1683328747749005E-3</v>
      </c>
      <c r="N1372" s="1">
        <f>+M1372-J1372</f>
        <v>-1.9751667125225102E-2</v>
      </c>
      <c r="O1372">
        <v>2.1800000000000002</v>
      </c>
      <c r="P1372" t="s">
        <v>16</v>
      </c>
      <c r="Q1372">
        <v>0</v>
      </c>
      <c r="R1372">
        <v>-4.0968062207102996E-3</v>
      </c>
      <c r="S1372">
        <v>-6.1048297211527998E-3</v>
      </c>
      <c r="T1372">
        <v>-0.04</v>
      </c>
    </row>
    <row r="1373" spans="1:20" x14ac:dyDescent="0.3">
      <c r="A1373" t="s">
        <v>104</v>
      </c>
      <c r="B1373">
        <v>2014</v>
      </c>
      <c r="C1373">
        <v>1281726</v>
      </c>
      <c r="D1373" s="1">
        <v>2.3E-2</v>
      </c>
      <c r="E1373" s="1">
        <v>0.92679601907730103</v>
      </c>
      <c r="F1373" s="1">
        <v>3.0000000000000001E-3</v>
      </c>
      <c r="G1373" s="1">
        <f t="shared" si="42"/>
        <v>1.4999999999999996E-2</v>
      </c>
      <c r="H1373" s="1" t="str">
        <f t="shared" si="43"/>
        <v/>
      </c>
      <c r="I1373" s="1">
        <v>-2E-3</v>
      </c>
      <c r="J1373" s="1">
        <f>+D1373-F1373+I1373*O1373</f>
        <v>1.562E-2</v>
      </c>
      <c r="K1373" s="1">
        <v>1.19031937792897E-2</v>
      </c>
      <c r="L1373" s="1">
        <f>+K1373-J1373</f>
        <v>-3.7168062207103003E-3</v>
      </c>
      <c r="M1373" s="1">
        <v>-4.0968062207102996E-3</v>
      </c>
      <c r="N1373" s="1">
        <f>+M1373-J1373</f>
        <v>-1.9716806220710301E-2</v>
      </c>
      <c r="O1373">
        <v>2.19</v>
      </c>
      <c r="P1373" t="s">
        <v>17</v>
      </c>
      <c r="Q1373">
        <v>-0.01</v>
      </c>
      <c r="R1373">
        <v>2.5861472055315901E-2</v>
      </c>
      <c r="S1373">
        <v>-4.4019799679516896E-3</v>
      </c>
      <c r="T1373">
        <v>0</v>
      </c>
    </row>
    <row r="1374" spans="1:20" x14ac:dyDescent="0.3">
      <c r="A1374" t="s">
        <v>104</v>
      </c>
      <c r="B1374">
        <v>2015</v>
      </c>
      <c r="C1374">
        <v>1290165</v>
      </c>
      <c r="D1374" s="1">
        <v>2.9000000000000001E-2</v>
      </c>
      <c r="E1374" s="1">
        <v>0.93215334415435802</v>
      </c>
      <c r="F1374" s="1">
        <v>2.5999999999999999E-2</v>
      </c>
      <c r="G1374" s="1">
        <f t="shared" si="42"/>
        <v>4.0999999999999995E-2</v>
      </c>
      <c r="H1374" s="1" t="str">
        <f t="shared" si="43"/>
        <v/>
      </c>
      <c r="I1374" s="1">
        <v>5.0000000000000001E-3</v>
      </c>
      <c r="J1374" s="1">
        <f>+D1374-F1374+I1374*O1374</f>
        <v>1.4250000000000002E-2</v>
      </c>
      <c r="K1374" s="1">
        <v>2.6861472055315999E-2</v>
      </c>
      <c r="L1374" s="1">
        <f>+K1374-J1374</f>
        <v>1.2611472055315997E-2</v>
      </c>
      <c r="M1374" s="1">
        <v>2.5861472055315901E-2</v>
      </c>
      <c r="N1374" s="1">
        <f>+M1374-J1374</f>
        <v>1.1611472055315899E-2</v>
      </c>
      <c r="O1374">
        <v>2.25</v>
      </c>
      <c r="P1374" t="s">
        <v>15</v>
      </c>
      <c r="Q1374">
        <v>0</v>
      </c>
      <c r="R1374">
        <v>1.56055691540241E-2</v>
      </c>
      <c r="S1374">
        <v>2.4520121514796998E-3</v>
      </c>
      <c r="T1374">
        <v>0.04</v>
      </c>
    </row>
    <row r="1375" spans="1:20" x14ac:dyDescent="0.3">
      <c r="A1375" t="s">
        <v>104</v>
      </c>
      <c r="B1375">
        <v>2016</v>
      </c>
      <c r="C1375">
        <v>1298407</v>
      </c>
      <c r="D1375" s="1">
        <v>2.1000000000000001E-2</v>
      </c>
      <c r="E1375" s="1">
        <v>0.92865264415741</v>
      </c>
      <c r="F1375" s="1">
        <v>-0.04</v>
      </c>
      <c r="G1375" s="1">
        <f t="shared" si="42"/>
        <v>9.9999999999999395E-4</v>
      </c>
      <c r="H1375" s="1" t="str">
        <f t="shared" si="43"/>
        <v/>
      </c>
      <c r="I1375" s="1">
        <v>-4.0000000000000001E-3</v>
      </c>
      <c r="J1375" s="1">
        <f>+D1375-F1375+I1375*O1375</f>
        <v>5.2359999999999997E-2</v>
      </c>
      <c r="K1375" s="1">
        <v>2.86055691540241E-2</v>
      </c>
      <c r="L1375" s="1">
        <f>+K1375-J1375</f>
        <v>-2.3754430845975897E-2</v>
      </c>
      <c r="M1375" s="1">
        <v>1.56055691540241E-2</v>
      </c>
      <c r="N1375" s="1">
        <f>+M1375-J1375</f>
        <v>-3.6754430845975898E-2</v>
      </c>
      <c r="O1375">
        <v>2.16</v>
      </c>
      <c r="P1375" t="s">
        <v>16</v>
      </c>
      <c r="Q1375">
        <v>0</v>
      </c>
      <c r="R1375">
        <v>-3.1738004684447999E-3</v>
      </c>
      <c r="S1375">
        <v>-5.9633739292620901E-3</v>
      </c>
      <c r="T1375">
        <v>-0.04</v>
      </c>
    </row>
    <row r="1376" spans="1:20" x14ac:dyDescent="0.3">
      <c r="A1376" t="s">
        <v>104</v>
      </c>
      <c r="B1376">
        <v>2017</v>
      </c>
      <c r="C1376">
        <v>1306147</v>
      </c>
      <c r="D1376" s="1">
        <v>1.4E-2</v>
      </c>
      <c r="E1376" s="1">
        <v>0.9237419962883</v>
      </c>
      <c r="F1376" s="1">
        <v>6.0000000000000001E-3</v>
      </c>
      <c r="G1376" s="1">
        <f t="shared" si="42"/>
        <v>6.9999999999999941E-3</v>
      </c>
      <c r="H1376" s="1" t="str">
        <f t="shared" si="43"/>
        <v/>
      </c>
      <c r="I1376" s="1">
        <v>-5.0000000000000001E-3</v>
      </c>
      <c r="J1376" s="1">
        <f>+D1376-F1376+I1376*O1376</f>
        <v>-2.8500000000000001E-3</v>
      </c>
      <c r="K1376" s="1">
        <v>1.78261995315552E-2</v>
      </c>
      <c r="L1376" s="1">
        <f>+K1376-J1376</f>
        <v>2.0676199531555202E-2</v>
      </c>
      <c r="M1376" s="1">
        <v>-3.1738004684447999E-3</v>
      </c>
      <c r="N1376" s="1">
        <f>+M1376-J1376</f>
        <v>-3.2380046844479983E-4</v>
      </c>
      <c r="O1376">
        <v>2.17</v>
      </c>
      <c r="P1376" t="s">
        <v>17</v>
      </c>
      <c r="Q1376">
        <v>-0.01</v>
      </c>
      <c r="R1376">
        <v>6.0476904958487003E-3</v>
      </c>
      <c r="S1376">
        <v>-3.0873324722050901E-3</v>
      </c>
      <c r="T1376">
        <v>0.01</v>
      </c>
    </row>
    <row r="1377" spans="1:20" x14ac:dyDescent="0.3">
      <c r="A1377" t="s">
        <v>104</v>
      </c>
      <c r="B1377">
        <v>2018</v>
      </c>
      <c r="C1377">
        <v>1310495</v>
      </c>
      <c r="D1377" s="1">
        <v>3.7999999999999999E-2</v>
      </c>
      <c r="E1377" s="1">
        <v>0.91973793506622303</v>
      </c>
      <c r="F1377" s="1">
        <v>3.0000000000000001E-3</v>
      </c>
      <c r="G1377" s="1">
        <f t="shared" si="42"/>
        <v>9.999999999999995E-3</v>
      </c>
      <c r="H1377" s="1" t="str">
        <f t="shared" si="43"/>
        <v/>
      </c>
      <c r="I1377" s="1">
        <v>-4.0000000000000001E-3</v>
      </c>
      <c r="J1377" s="1">
        <f>+D1377-F1377+I1377*O1377</f>
        <v>2.6279999999999998E-2</v>
      </c>
      <c r="K1377" s="1">
        <v>3.0047690495848701E-2</v>
      </c>
      <c r="L1377" s="1">
        <f>+K1377-J1377</f>
        <v>3.767690495848703E-3</v>
      </c>
      <c r="M1377" s="1">
        <v>6.0476904958487003E-3</v>
      </c>
      <c r="N1377" s="1">
        <f>+M1377-J1377</f>
        <v>-2.0232309504151298E-2</v>
      </c>
      <c r="O1377">
        <v>2.1800000000000002</v>
      </c>
      <c r="P1377" t="s">
        <v>17</v>
      </c>
      <c r="Q1377">
        <v>0</v>
      </c>
      <c r="R1377">
        <v>1.42512239217757E-2</v>
      </c>
      <c r="S1377">
        <v>-3.5499706864356999E-3</v>
      </c>
      <c r="T1377">
        <v>0.01</v>
      </c>
    </row>
    <row r="1378" spans="1:20" x14ac:dyDescent="0.3">
      <c r="A1378" t="s">
        <v>104</v>
      </c>
      <c r="B1378">
        <v>2019</v>
      </c>
      <c r="C1378">
        <v>1315686</v>
      </c>
      <c r="D1378" s="1">
        <v>2.5999999999999999E-2</v>
      </c>
      <c r="E1378" s="1">
        <v>0.91622328758239702</v>
      </c>
      <c r="F1378" s="1">
        <v>1.2999999999999999E-2</v>
      </c>
      <c r="G1378" s="1">
        <f t="shared" si="42"/>
        <v>2.2999999999999993E-2</v>
      </c>
      <c r="H1378" s="1" t="str">
        <f t="shared" si="43"/>
        <v/>
      </c>
      <c r="I1378" s="1">
        <v>-4.0000000000000001E-3</v>
      </c>
      <c r="J1378" s="1">
        <f>+D1378-F1378+I1378*O1378</f>
        <v>4.1599999999999988E-3</v>
      </c>
      <c r="K1378" s="1">
        <v>3.2251223921775797E-2</v>
      </c>
      <c r="L1378" s="1">
        <f>+K1378-J1378</f>
        <v>2.80912239217758E-2</v>
      </c>
      <c r="M1378" s="1">
        <v>1.42512239217757E-2</v>
      </c>
      <c r="N1378" s="1">
        <f>+M1378-J1378</f>
        <v>1.0091223921775701E-2</v>
      </c>
      <c r="O1378">
        <v>2.21</v>
      </c>
      <c r="P1378" t="s">
        <v>17</v>
      </c>
      <c r="Q1378">
        <v>0</v>
      </c>
      <c r="R1378">
        <v>9.5074326843022899E-3</v>
      </c>
      <c r="S1378">
        <v>-9.3417577445506998E-3</v>
      </c>
      <c r="T1378">
        <v>0.02</v>
      </c>
    </row>
    <row r="1379" spans="1:20" x14ac:dyDescent="0.3">
      <c r="A1379" t="s">
        <v>104</v>
      </c>
      <c r="B1379">
        <v>2020</v>
      </c>
      <c r="C1379">
        <v>1318634</v>
      </c>
      <c r="D1379" s="1">
        <v>3.1E-2</v>
      </c>
      <c r="E1379" s="1">
        <v>0.92186337709426902</v>
      </c>
      <c r="F1379" s="1">
        <v>-8.5999999999999993E-2</v>
      </c>
      <c r="G1379" s="1">
        <f t="shared" si="42"/>
        <v>-6.3E-2</v>
      </c>
      <c r="H1379" s="1" t="str">
        <f t="shared" si="43"/>
        <v/>
      </c>
      <c r="I1379" s="1">
        <v>6.0000000000000001E-3</v>
      </c>
      <c r="J1379" s="1">
        <f>+D1379-F1379+I1379*O1379</f>
        <v>0.12905999999999998</v>
      </c>
      <c r="K1379" s="1">
        <v>2.1507432684302299E-2</v>
      </c>
      <c r="L1379" s="1">
        <f>+K1379-J1379</f>
        <v>-0.10755256731569768</v>
      </c>
      <c r="M1379" s="1">
        <v>9.5074326843022899E-3</v>
      </c>
      <c r="N1379" s="1">
        <f>+M1379-J1379</f>
        <v>-0.11955256731569769</v>
      </c>
      <c r="O1379">
        <v>2.0099999999999998</v>
      </c>
      <c r="P1379" t="s">
        <v>17</v>
      </c>
      <c r="Q1379">
        <v>-0.01</v>
      </c>
      <c r="R1379">
        <v>2.4597583591938001E-2</v>
      </c>
      <c r="S1379">
        <v>-1.8992029130458901E-2</v>
      </c>
      <c r="T1379">
        <v>-0.05</v>
      </c>
    </row>
    <row r="1380" spans="1:20" x14ac:dyDescent="0.3">
      <c r="A1380" t="s">
        <v>104</v>
      </c>
      <c r="B1380">
        <v>2021</v>
      </c>
      <c r="C1380">
        <v>1318255</v>
      </c>
      <c r="D1380" s="1">
        <v>2.5999999999999999E-2</v>
      </c>
      <c r="E1380" s="1">
        <v>0.94304621219634999</v>
      </c>
      <c r="F1380" s="1">
        <v>5.1999999999999998E-2</v>
      </c>
      <c r="G1380" s="1">
        <f t="shared" si="42"/>
        <v>-1.1000000000000003E-2</v>
      </c>
      <c r="H1380" s="1" t="str">
        <f t="shared" si="43"/>
        <v/>
      </c>
      <c r="I1380" s="1">
        <v>2.1000000000000001E-2</v>
      </c>
      <c r="J1380" s="1">
        <f>+D1380-F1380+I1380*O1380</f>
        <v>1.8520000000000005E-2</v>
      </c>
      <c r="K1380" s="1">
        <v>7.1597583591938005E-2</v>
      </c>
      <c r="L1380" s="1">
        <f>+K1380-J1380</f>
        <v>5.3077583591937996E-2</v>
      </c>
      <c r="M1380" s="1">
        <v>2.4597583591938001E-2</v>
      </c>
      <c r="N1380" s="1">
        <f>+M1380-J1380</f>
        <v>6.0775835919379961E-3</v>
      </c>
      <c r="O1380">
        <v>2.12</v>
      </c>
      <c r="P1380" t="s">
        <v>15</v>
      </c>
      <c r="Q1380">
        <v>-0.02</v>
      </c>
      <c r="R1380">
        <v>-2.5426333695650099E-2</v>
      </c>
      <c r="S1380">
        <v>6.67717307806019E-3</v>
      </c>
      <c r="T1380">
        <v>0.02</v>
      </c>
    </row>
    <row r="1381" spans="1:20" x14ac:dyDescent="0.3">
      <c r="A1381" t="s">
        <v>104</v>
      </c>
      <c r="B1381">
        <v>2022</v>
      </c>
      <c r="C1381">
        <v>1324078</v>
      </c>
      <c r="D1381" s="1">
        <v>0.03</v>
      </c>
      <c r="E1381" s="1">
        <v>0.92945080995559703</v>
      </c>
      <c r="F1381" s="1">
        <v>-0.06</v>
      </c>
      <c r="G1381" s="1">
        <f t="shared" si="42"/>
        <v>-7.1000000000000008E-2</v>
      </c>
      <c r="H1381" s="1" t="str">
        <f t="shared" si="43"/>
        <v/>
      </c>
      <c r="I1381" s="1">
        <v>-1.4E-2</v>
      </c>
      <c r="J1381" s="1">
        <f>+D1381-F1381+I1381*O1381</f>
        <v>6.2140000000000001E-2</v>
      </c>
      <c r="K1381" s="1">
        <v>5.4573666304349899E-2</v>
      </c>
      <c r="L1381" s="1">
        <f>+K1381-J1381</f>
        <v>-7.5663336956501015E-3</v>
      </c>
      <c r="M1381" s="1">
        <v>-2.5426333695650099E-2</v>
      </c>
      <c r="N1381" s="1">
        <f>+M1381-J1381</f>
        <v>-8.7566333695650103E-2</v>
      </c>
      <c r="O1381">
        <v>1.99</v>
      </c>
      <c r="P1381" t="s">
        <v>16</v>
      </c>
      <c r="Q1381">
        <v>0.01</v>
      </c>
      <c r="R1381">
        <v>-1.8833007514476999E-3</v>
      </c>
      <c r="S1381">
        <v>1.7675627022981599E-2</v>
      </c>
      <c r="T1381">
        <v>-0.04</v>
      </c>
    </row>
    <row r="1382" spans="1:20" x14ac:dyDescent="0.3">
      <c r="A1382" t="s">
        <v>105</v>
      </c>
      <c r="B1382">
        <v>2006</v>
      </c>
      <c r="C1382">
        <v>275165.3125</v>
      </c>
      <c r="D1382" s="1">
        <v>1E-3</v>
      </c>
      <c r="E1382" s="1">
        <v>0.915926873683929</v>
      </c>
      <c r="F1382" s="1">
        <v>1.2999999999999999E-2</v>
      </c>
      <c r="G1382" s="1">
        <f t="shared" si="42"/>
        <v>1.2999999999999999E-2</v>
      </c>
      <c r="H1382" s="1" t="str">
        <f t="shared" si="43"/>
        <v/>
      </c>
      <c r="I1382" s="1">
        <v>1.4999999999999999E-2</v>
      </c>
      <c r="J1382" s="1">
        <f>+D1382-F1382+I1382*O1382</f>
        <v>2.3999999999999997E-2</v>
      </c>
      <c r="K1382" s="1">
        <v>4.15952503681183E-2</v>
      </c>
      <c r="L1382" s="1">
        <f>+K1382-J1382</f>
        <v>1.7595250368118303E-2</v>
      </c>
      <c r="M1382" s="1">
        <v>9.5952503681182993E-3</v>
      </c>
      <c r="N1382" s="1">
        <f>+M1382-J1382</f>
        <v>-1.4404749631881698E-2</v>
      </c>
      <c r="O1382">
        <v>2.4</v>
      </c>
      <c r="P1382" t="s">
        <v>15</v>
      </c>
      <c r="Q1382">
        <v>0</v>
      </c>
      <c r="R1382">
        <v>1.3139276862144399E-2</v>
      </c>
      <c r="S1382">
        <v>1.40610327944159E-2</v>
      </c>
      <c r="T1382">
        <v>0.01</v>
      </c>
    </row>
    <row r="1383" spans="1:20" x14ac:dyDescent="0.3">
      <c r="A1383" t="s">
        <v>105</v>
      </c>
      <c r="B1383">
        <v>2007</v>
      </c>
      <c r="C1383">
        <v>278177.875</v>
      </c>
      <c r="D1383" s="1">
        <v>-5.0000000000000001E-3</v>
      </c>
      <c r="E1383" s="1">
        <v>0.91310048103332497</v>
      </c>
      <c r="F1383" s="1">
        <v>-3.4000000000000002E-2</v>
      </c>
      <c r="G1383" s="1">
        <f t="shared" si="42"/>
        <v>-2.1000000000000005E-2</v>
      </c>
      <c r="H1383" s="1" t="str">
        <f t="shared" si="43"/>
        <v/>
      </c>
      <c r="I1383" s="1">
        <v>-3.0000000000000001E-3</v>
      </c>
      <c r="J1383" s="1">
        <f>+D1383-F1383+I1383*O1383</f>
        <v>2.2040000000000001E-2</v>
      </c>
      <c r="K1383" s="1">
        <v>4.2139276862144498E-2</v>
      </c>
      <c r="L1383" s="1">
        <f>+K1383-J1383</f>
        <v>2.0099276862144497E-2</v>
      </c>
      <c r="M1383" s="1">
        <v>1.3139276862144399E-2</v>
      </c>
      <c r="N1383" s="1">
        <f>+M1383-J1383</f>
        <v>-8.9007231378556012E-3</v>
      </c>
      <c r="O1383">
        <v>2.3199999999999998</v>
      </c>
      <c r="P1383" t="s">
        <v>16</v>
      </c>
      <c r="Q1383">
        <v>0.01</v>
      </c>
      <c r="R1383">
        <v>-2.8377309732139099E-2</v>
      </c>
      <c r="S1383">
        <v>1.13349454477429E-3</v>
      </c>
      <c r="T1383">
        <v>-0.03</v>
      </c>
    </row>
    <row r="1384" spans="1:20" x14ac:dyDescent="0.3">
      <c r="A1384" t="s">
        <v>105</v>
      </c>
      <c r="B1384">
        <v>2008</v>
      </c>
      <c r="C1384">
        <v>281811.71879999997</v>
      </c>
      <c r="D1384" s="1">
        <v>1E-3</v>
      </c>
      <c r="E1384" s="1">
        <v>0.90372580289840698</v>
      </c>
      <c r="F1384" s="1">
        <v>-5.7000000000000002E-2</v>
      </c>
      <c r="G1384" s="1">
        <f t="shared" si="42"/>
        <v>-7.8000000000000014E-2</v>
      </c>
      <c r="H1384" s="1" t="str">
        <f t="shared" si="43"/>
        <v/>
      </c>
      <c r="I1384" s="1">
        <v>-8.9999999999999993E-3</v>
      </c>
      <c r="J1384" s="1">
        <f>+D1384-F1384+I1384*O1384</f>
        <v>3.8290000000000005E-2</v>
      </c>
      <c r="K1384" s="1">
        <v>9.6226902678608894E-3</v>
      </c>
      <c r="L1384" s="1">
        <f>+K1384-J1384</f>
        <v>-2.8667309732139115E-2</v>
      </c>
      <c r="M1384" s="1">
        <v>-2.8377309732139099E-2</v>
      </c>
      <c r="N1384" s="1">
        <f>+M1384-J1384</f>
        <v>-6.6667309732139107E-2</v>
      </c>
      <c r="O1384">
        <v>2.19</v>
      </c>
      <c r="P1384" t="s">
        <v>16</v>
      </c>
      <c r="Q1384">
        <v>0</v>
      </c>
      <c r="R1384">
        <v>-2.7707428395748E-2</v>
      </c>
      <c r="S1384">
        <v>-1.14072673022744E-3</v>
      </c>
      <c r="T1384">
        <v>-0.06</v>
      </c>
    </row>
    <row r="1385" spans="1:20" x14ac:dyDescent="0.3">
      <c r="A1385" t="s">
        <v>105</v>
      </c>
      <c r="B1385">
        <v>2009</v>
      </c>
      <c r="C1385">
        <v>287737</v>
      </c>
      <c r="D1385" s="1">
        <v>0</v>
      </c>
      <c r="E1385" s="1">
        <v>0.89146876335143999</v>
      </c>
      <c r="F1385" s="1">
        <v>0.1</v>
      </c>
      <c r="G1385" s="1">
        <f t="shared" si="42"/>
        <v>2.1999999999999992E-2</v>
      </c>
      <c r="H1385" s="1" t="str">
        <f t="shared" si="43"/>
        <v/>
      </c>
      <c r="I1385" s="1">
        <v>-1.2E-2</v>
      </c>
      <c r="J1385" s="1">
        <f>+D1385-F1385+I1385*O1385</f>
        <v>-0.12892000000000001</v>
      </c>
      <c r="K1385" s="1">
        <v>-3.1707428395748097E-2</v>
      </c>
      <c r="L1385" s="1">
        <f>+K1385-J1385</f>
        <v>9.721257160425191E-2</v>
      </c>
      <c r="M1385" s="1">
        <v>-2.7707428395748E-2</v>
      </c>
      <c r="N1385" s="1">
        <f>+M1385-J1385</f>
        <v>0.10121257160425201</v>
      </c>
      <c r="O1385">
        <v>2.41</v>
      </c>
      <c r="P1385" t="s">
        <v>17</v>
      </c>
      <c r="Q1385">
        <v>0</v>
      </c>
      <c r="R1385">
        <v>-1.54532386190257E-2</v>
      </c>
      <c r="S1385">
        <v>-5.9931298601441103E-3</v>
      </c>
      <c r="T1385">
        <v>0.08</v>
      </c>
    </row>
    <row r="1386" spans="1:20" x14ac:dyDescent="0.3">
      <c r="A1386" t="s">
        <v>105</v>
      </c>
      <c r="B1386">
        <v>2010</v>
      </c>
      <c r="C1386">
        <v>292854.09379999997</v>
      </c>
      <c r="D1386" s="1">
        <v>2.9000000000000001E-2</v>
      </c>
      <c r="E1386" s="1">
        <v>0.89643639326095603</v>
      </c>
      <c r="F1386" s="1">
        <v>-6.0000000000000001E-3</v>
      </c>
      <c r="G1386" s="1">
        <f t="shared" si="42"/>
        <v>1.5999999999999993E-2</v>
      </c>
      <c r="H1386" s="1" t="str">
        <f t="shared" si="43"/>
        <v/>
      </c>
      <c r="I1386" s="1">
        <v>5.0000000000000001E-3</v>
      </c>
      <c r="J1386" s="1">
        <f>+D1386-F1386+I1386*O1386</f>
        <v>4.6950000000000006E-2</v>
      </c>
      <c r="K1386" s="1">
        <v>5.4676138097420302E-4</v>
      </c>
      <c r="L1386" s="1">
        <f>+K1386-J1386</f>
        <v>-4.6403238619025802E-2</v>
      </c>
      <c r="M1386" s="1">
        <v>-1.54532386190257E-2</v>
      </c>
      <c r="N1386" s="1">
        <f>+M1386-J1386</f>
        <v>-6.2403238619025705E-2</v>
      </c>
      <c r="O1386">
        <v>2.39</v>
      </c>
      <c r="P1386" t="s">
        <v>17</v>
      </c>
      <c r="Q1386">
        <v>-0.01</v>
      </c>
      <c r="R1386">
        <v>-2.1844923838973001E-2</v>
      </c>
      <c r="S1386">
        <v>-5.6114932522169998E-4</v>
      </c>
      <c r="T1386">
        <v>-0.01</v>
      </c>
    </row>
    <row r="1387" spans="1:20" x14ac:dyDescent="0.3">
      <c r="A1387" t="s">
        <v>105</v>
      </c>
      <c r="B1387">
        <v>2011</v>
      </c>
      <c r="C1387">
        <v>295364.09379999997</v>
      </c>
      <c r="D1387" s="1">
        <v>0</v>
      </c>
      <c r="E1387" s="1">
        <v>0.89605402946472201</v>
      </c>
      <c r="F1387" s="1">
        <v>-7.0999999999999994E-2</v>
      </c>
      <c r="G1387" s="1">
        <f t="shared" si="42"/>
        <v>-5.5E-2</v>
      </c>
      <c r="H1387" s="1" t="str">
        <f t="shared" si="43"/>
        <v/>
      </c>
      <c r="I1387" s="1">
        <v>0</v>
      </c>
      <c r="J1387" s="1">
        <f>+D1387-F1387+I1387*O1387</f>
        <v>7.0999999999999994E-2</v>
      </c>
      <c r="K1387" s="1">
        <v>1.0155076161027E-2</v>
      </c>
      <c r="L1387" s="1">
        <f>+K1387-J1387</f>
        <v>-6.0844923838972997E-2</v>
      </c>
      <c r="M1387" s="1">
        <v>-2.1844923838973001E-2</v>
      </c>
      <c r="N1387" s="1">
        <f>+M1387-J1387</f>
        <v>-9.2844923838972998E-2</v>
      </c>
      <c r="O1387">
        <v>2.2200000000000002</v>
      </c>
      <c r="P1387" t="s">
        <v>16</v>
      </c>
      <c r="Q1387">
        <v>0</v>
      </c>
      <c r="R1387">
        <v>-3.4110176414250998E-3</v>
      </c>
      <c r="S1387">
        <v>2.0271884277462899E-3</v>
      </c>
      <c r="T1387">
        <v>-7.0000000000000007E-2</v>
      </c>
    </row>
    <row r="1388" spans="1:20" x14ac:dyDescent="0.3">
      <c r="A1388" t="s">
        <v>105</v>
      </c>
      <c r="B1388">
        <v>2012</v>
      </c>
      <c r="C1388">
        <v>297691.40629999997</v>
      </c>
      <c r="D1388" s="1">
        <v>2.8000000000000001E-2</v>
      </c>
      <c r="E1388" s="1">
        <v>0.90645128488540605</v>
      </c>
      <c r="F1388" s="1">
        <v>1.0999999999999999E-2</v>
      </c>
      <c r="G1388" s="1">
        <f t="shared" si="42"/>
        <v>-4.3999999999999997E-2</v>
      </c>
      <c r="H1388" s="1" t="str">
        <f t="shared" si="43"/>
        <v/>
      </c>
      <c r="I1388" s="1">
        <v>0.01</v>
      </c>
      <c r="J1388" s="1">
        <f>+D1388-F1388+I1388*O1388</f>
        <v>3.95E-2</v>
      </c>
      <c r="K1388" s="1">
        <v>1.7588982358574898E-2</v>
      </c>
      <c r="L1388" s="1">
        <f>+K1388-J1388</f>
        <v>-2.1911017641425102E-2</v>
      </c>
      <c r="M1388" s="1">
        <v>-3.4110176414250998E-3</v>
      </c>
      <c r="N1388" s="1">
        <f>+M1388-J1388</f>
        <v>-4.2911017641425103E-2</v>
      </c>
      <c r="O1388">
        <v>2.25</v>
      </c>
      <c r="P1388" t="s">
        <v>15</v>
      </c>
      <c r="Q1388">
        <v>0</v>
      </c>
      <c r="R1388">
        <v>7.7076746523379999E-3</v>
      </c>
      <c r="S1388">
        <v>1.5809033066034E-3</v>
      </c>
      <c r="T1388">
        <v>0.01</v>
      </c>
    </row>
    <row r="1389" spans="1:20" x14ac:dyDescent="0.3">
      <c r="A1389" t="s">
        <v>105</v>
      </c>
      <c r="B1389">
        <v>2013</v>
      </c>
      <c r="C1389">
        <v>301006.59379999997</v>
      </c>
      <c r="D1389" s="1">
        <v>1.4E-2</v>
      </c>
      <c r="E1389" s="1">
        <v>0.91003531217575095</v>
      </c>
      <c r="F1389" s="1">
        <v>4.5999999999999999E-2</v>
      </c>
      <c r="G1389" s="1">
        <f t="shared" si="42"/>
        <v>2.0000000000000018E-3</v>
      </c>
      <c r="H1389" s="1" t="str">
        <f t="shared" si="43"/>
        <v/>
      </c>
      <c r="I1389" s="1">
        <v>4.0000000000000001E-3</v>
      </c>
      <c r="J1389" s="1">
        <f>+D1389-F1389+I1389*O1389</f>
        <v>-2.2600000000000002E-2</v>
      </c>
      <c r="K1389" s="1">
        <v>2.2707674652338E-2</v>
      </c>
      <c r="L1389" s="1">
        <f>+K1389-J1389</f>
        <v>4.5307674652338002E-2</v>
      </c>
      <c r="M1389" s="1">
        <v>7.7076746523379999E-3</v>
      </c>
      <c r="N1389" s="1">
        <f>+M1389-J1389</f>
        <v>3.0307674652338003E-2</v>
      </c>
      <c r="O1389">
        <v>2.35</v>
      </c>
      <c r="P1389" t="s">
        <v>15</v>
      </c>
      <c r="Q1389">
        <v>0</v>
      </c>
      <c r="R1389">
        <v>-7.9417618364100004E-4</v>
      </c>
      <c r="S1389">
        <v>-2.8021996840834999E-3</v>
      </c>
      <c r="T1389">
        <v>0.04</v>
      </c>
    </row>
    <row r="1390" spans="1:20" x14ac:dyDescent="0.3">
      <c r="A1390" t="s">
        <v>105</v>
      </c>
      <c r="B1390">
        <v>2014</v>
      </c>
      <c r="C1390">
        <v>305290.59379999997</v>
      </c>
      <c r="D1390" s="1">
        <v>0.01</v>
      </c>
      <c r="E1390" s="1">
        <v>0.90982747077941895</v>
      </c>
      <c r="F1390" s="1">
        <v>-1.7999999999999999E-2</v>
      </c>
      <c r="G1390" s="1">
        <f t="shared" si="42"/>
        <v>-1.5999999999999997E-2</v>
      </c>
      <c r="H1390" s="1" t="str">
        <f t="shared" si="43"/>
        <v/>
      </c>
      <c r="I1390" s="1">
        <v>0</v>
      </c>
      <c r="J1390" s="1">
        <f>+D1390-F1390+I1390*O1390</f>
        <v>2.7999999999999997E-2</v>
      </c>
      <c r="K1390" s="1">
        <v>1.5205823816359E-2</v>
      </c>
      <c r="L1390" s="1">
        <f>+K1390-J1390</f>
        <v>-1.2794176183640997E-2</v>
      </c>
      <c r="M1390" s="1">
        <v>-7.9417618364100004E-4</v>
      </c>
      <c r="N1390" s="1">
        <f>+M1390-J1390</f>
        <v>-2.8794176183640996E-2</v>
      </c>
      <c r="O1390">
        <v>2.31</v>
      </c>
      <c r="P1390" t="s">
        <v>16</v>
      </c>
      <c r="Q1390">
        <v>0</v>
      </c>
      <c r="R1390">
        <v>1.6527103424072299E-2</v>
      </c>
      <c r="S1390">
        <v>-1.37363485991953E-2</v>
      </c>
      <c r="T1390">
        <v>-0.02</v>
      </c>
    </row>
    <row r="1391" spans="1:20" x14ac:dyDescent="0.3">
      <c r="A1391" t="s">
        <v>105</v>
      </c>
      <c r="B1391">
        <v>2015</v>
      </c>
      <c r="C1391">
        <v>308768.71879999997</v>
      </c>
      <c r="D1391" s="1">
        <v>4.9000000000000002E-2</v>
      </c>
      <c r="E1391" s="1">
        <v>0.91953992843627896</v>
      </c>
      <c r="F1391" s="1">
        <v>3.2000000000000001E-2</v>
      </c>
      <c r="G1391" s="1">
        <f t="shared" si="42"/>
        <v>1.6000000000000004E-2</v>
      </c>
      <c r="H1391" s="1" t="str">
        <f t="shared" si="43"/>
        <v/>
      </c>
      <c r="I1391" s="1">
        <v>0.01</v>
      </c>
      <c r="J1391" s="1">
        <f>+D1391-F1391+I1391*O1391</f>
        <v>4.0800000000000003E-2</v>
      </c>
      <c r="K1391" s="1">
        <v>1.75271034240723E-2</v>
      </c>
      <c r="L1391" s="1">
        <f>+K1391-J1391</f>
        <v>-2.3272896575927703E-2</v>
      </c>
      <c r="M1391" s="1">
        <v>1.6527103424072299E-2</v>
      </c>
      <c r="N1391" s="1">
        <f>+M1391-J1391</f>
        <v>-2.4272896575927703E-2</v>
      </c>
      <c r="O1391">
        <v>2.38</v>
      </c>
      <c r="P1391" t="s">
        <v>15</v>
      </c>
      <c r="Q1391">
        <v>-0.01</v>
      </c>
      <c r="R1391">
        <v>-4.8782114982604896E-3</v>
      </c>
      <c r="S1391">
        <v>-1.8031768500804901E-2</v>
      </c>
      <c r="T1391">
        <v>0.04</v>
      </c>
    </row>
    <row r="1392" spans="1:20" x14ac:dyDescent="0.3">
      <c r="A1392" t="s">
        <v>105</v>
      </c>
      <c r="B1392">
        <v>2016</v>
      </c>
      <c r="C1392">
        <v>312074.40629999997</v>
      </c>
      <c r="D1392" s="1">
        <v>2.5000000000000001E-2</v>
      </c>
      <c r="E1392" s="1">
        <v>0.90616184473037698</v>
      </c>
      <c r="F1392" s="1">
        <v>0.09</v>
      </c>
      <c r="G1392" s="1">
        <f t="shared" si="42"/>
        <v>0.106</v>
      </c>
      <c r="H1392" s="1" t="str">
        <f t="shared" si="43"/>
        <v/>
      </c>
      <c r="I1392" s="1">
        <v>-1.2999999999999999E-2</v>
      </c>
      <c r="J1392" s="1">
        <f>+D1392-F1392+I1392*O1392</f>
        <v>-9.8799999999999999E-2</v>
      </c>
      <c r="K1392" s="1">
        <v>8.1217885017395002E-3</v>
      </c>
      <c r="L1392" s="1">
        <f>+K1392-J1392</f>
        <v>0.1069217885017395</v>
      </c>
      <c r="M1392" s="1">
        <v>-4.8782114982604896E-3</v>
      </c>
      <c r="N1392" s="1">
        <f>+M1392-J1392</f>
        <v>9.3921788501739503E-2</v>
      </c>
      <c r="O1392">
        <v>2.6</v>
      </c>
      <c r="P1392" t="s">
        <v>17</v>
      </c>
      <c r="Q1392">
        <v>-0.02</v>
      </c>
      <c r="R1392">
        <v>-1.9055461677722599E-2</v>
      </c>
      <c r="S1392">
        <v>-2.1845035138539901E-2</v>
      </c>
      <c r="T1392">
        <v>0.09</v>
      </c>
    </row>
    <row r="1393" spans="1:20" x14ac:dyDescent="0.3">
      <c r="A1393" t="s">
        <v>105</v>
      </c>
      <c r="B1393">
        <v>2017</v>
      </c>
      <c r="C1393">
        <v>314732.40629999997</v>
      </c>
      <c r="D1393" s="1">
        <v>3.1E-2</v>
      </c>
      <c r="E1393" s="1">
        <v>0.89960592985153198</v>
      </c>
      <c r="F1393" s="1">
        <v>-0.108</v>
      </c>
      <c r="G1393" s="1">
        <f t="shared" si="42"/>
        <v>-2.0000000000000018E-3</v>
      </c>
      <c r="H1393" s="1" t="str">
        <f t="shared" si="43"/>
        <v/>
      </c>
      <c r="I1393" s="1">
        <v>-7.0000000000000001E-3</v>
      </c>
      <c r="J1393" s="1">
        <f>+D1393-F1393+I1393*O1393</f>
        <v>0.12276000000000001</v>
      </c>
      <c r="K1393" s="1">
        <v>1.9445383222773699E-3</v>
      </c>
      <c r="L1393" s="1">
        <f>+K1393-J1393</f>
        <v>-0.12081546167772264</v>
      </c>
      <c r="M1393" s="1">
        <v>-1.9055461677722599E-2</v>
      </c>
      <c r="N1393" s="1">
        <f>+M1393-J1393</f>
        <v>-0.1418154616777226</v>
      </c>
      <c r="O1393">
        <v>2.3199999999999998</v>
      </c>
      <c r="P1393" t="s">
        <v>16</v>
      </c>
      <c r="Q1393">
        <v>-0.02</v>
      </c>
      <c r="R1393">
        <v>-6.4946653097867997E-3</v>
      </c>
      <c r="S1393">
        <v>-1.56296882778405E-2</v>
      </c>
      <c r="T1393">
        <v>-0.11</v>
      </c>
    </row>
    <row r="1394" spans="1:20" x14ac:dyDescent="0.3">
      <c r="A1394" t="s">
        <v>105</v>
      </c>
      <c r="B1394">
        <v>2018</v>
      </c>
      <c r="C1394">
        <v>316792</v>
      </c>
      <c r="D1394" s="1">
        <v>2.3E-2</v>
      </c>
      <c r="E1394" s="1">
        <v>0.88857543468475297</v>
      </c>
      <c r="F1394" s="1">
        <v>-3.9E-2</v>
      </c>
      <c r="G1394" s="1">
        <f t="shared" si="42"/>
        <v>-4.1000000000000002E-2</v>
      </c>
      <c r="H1394" s="1" t="str">
        <f t="shared" si="43"/>
        <v/>
      </c>
      <c r="I1394" s="1">
        <v>-1.0999999999999999E-2</v>
      </c>
      <c r="J1394" s="1">
        <f>+D1394-F1394+I1394*O1394</f>
        <v>3.7470000000000003E-2</v>
      </c>
      <c r="K1394" s="1">
        <v>1.75053346902132E-2</v>
      </c>
      <c r="L1394" s="1">
        <f>+K1394-J1394</f>
        <v>-1.9964665309786803E-2</v>
      </c>
      <c r="M1394" s="1">
        <v>-6.4946653097867997E-3</v>
      </c>
      <c r="N1394" s="1">
        <f>+M1394-J1394</f>
        <v>-4.39646653097868E-2</v>
      </c>
      <c r="O1394">
        <v>2.23</v>
      </c>
      <c r="P1394" t="s">
        <v>16</v>
      </c>
      <c r="Q1394">
        <v>-0.02</v>
      </c>
      <c r="R1394">
        <v>1.48215770423411E-2</v>
      </c>
      <c r="S1394">
        <v>-2.9796175658703002E-3</v>
      </c>
      <c r="T1394">
        <v>-0.03</v>
      </c>
    </row>
    <row r="1395" spans="1:20" x14ac:dyDescent="0.3">
      <c r="A1395" t="s">
        <v>105</v>
      </c>
      <c r="B1395">
        <v>2019</v>
      </c>
      <c r="C1395">
        <v>319643.40629999997</v>
      </c>
      <c r="D1395" s="1">
        <v>1.4E-2</v>
      </c>
      <c r="E1395" s="1">
        <v>0.89538359642028797</v>
      </c>
      <c r="F1395" s="1">
        <v>0.12</v>
      </c>
      <c r="G1395" s="1">
        <f t="shared" si="42"/>
        <v>7.8999999999999987E-2</v>
      </c>
      <c r="H1395" s="1" t="str">
        <f t="shared" si="43"/>
        <v/>
      </c>
      <c r="I1395" s="1">
        <v>7.0000000000000001E-3</v>
      </c>
      <c r="J1395" s="1">
        <f>+D1395-F1395+I1395*O1395</f>
        <v>-8.8569999999999996E-2</v>
      </c>
      <c r="K1395" s="1">
        <v>3.2821577042341198E-2</v>
      </c>
      <c r="L1395" s="1">
        <f>+K1395-J1395</f>
        <v>0.12139157704234119</v>
      </c>
      <c r="M1395" s="1">
        <v>1.48215770423411E-2</v>
      </c>
      <c r="N1395" s="1">
        <f>+M1395-J1395</f>
        <v>0.1033915770423411</v>
      </c>
      <c r="O1395">
        <v>2.4900000000000002</v>
      </c>
      <c r="P1395" t="s">
        <v>15</v>
      </c>
      <c r="Q1395">
        <v>0</v>
      </c>
      <c r="R1395">
        <v>6.9971290528773903E-3</v>
      </c>
      <c r="S1395">
        <v>-1.18520613759756E-2</v>
      </c>
      <c r="T1395">
        <v>0.13</v>
      </c>
    </row>
    <row r="1396" spans="1:20" x14ac:dyDescent="0.3">
      <c r="A1396" t="s">
        <v>105</v>
      </c>
      <c r="B1396">
        <v>2020</v>
      </c>
      <c r="C1396">
        <v>323058.28129999997</v>
      </c>
      <c r="D1396" s="1">
        <v>1.7999999999999999E-2</v>
      </c>
      <c r="E1396" s="1">
        <v>0.90744966268539395</v>
      </c>
      <c r="F1396" s="1">
        <v>-0.16500000000000001</v>
      </c>
      <c r="G1396" s="1">
        <f t="shared" si="42"/>
        <v>-8.6000000000000021E-2</v>
      </c>
      <c r="H1396" s="1" t="str">
        <f t="shared" si="43"/>
        <v/>
      </c>
      <c r="I1396" s="1">
        <v>1.2E-2</v>
      </c>
      <c r="J1396" s="1">
        <f>+D1396-F1396+I1396*O1396</f>
        <v>0.20796000000000001</v>
      </c>
      <c r="K1396" s="1">
        <v>1.8997129052877398E-2</v>
      </c>
      <c r="L1396" s="1">
        <f>+K1396-J1396</f>
        <v>-0.18896287094712261</v>
      </c>
      <c r="M1396" s="1">
        <v>6.9971290528773903E-3</v>
      </c>
      <c r="N1396" s="1">
        <f>+M1396-J1396</f>
        <v>-0.20096287094712262</v>
      </c>
      <c r="O1396">
        <v>2.08</v>
      </c>
      <c r="P1396" t="s">
        <v>17</v>
      </c>
      <c r="Q1396">
        <v>-0.01</v>
      </c>
      <c r="R1396">
        <v>1.0385571300983399E-2</v>
      </c>
      <c r="S1396">
        <v>-3.3204041421413498E-2</v>
      </c>
      <c r="T1396">
        <v>-0.13</v>
      </c>
    </row>
    <row r="1397" spans="1:20" x14ac:dyDescent="0.3">
      <c r="A1397" t="s">
        <v>105</v>
      </c>
      <c r="B1397">
        <v>2021</v>
      </c>
      <c r="C1397">
        <v>326249.5</v>
      </c>
      <c r="D1397" s="1">
        <v>3.1E-2</v>
      </c>
      <c r="E1397" s="1">
        <v>0.92042058706283603</v>
      </c>
      <c r="F1397" s="1">
        <v>3.1E-2</v>
      </c>
      <c r="G1397" s="1">
        <f t="shared" si="42"/>
        <v>-5.5000000000000021E-2</v>
      </c>
      <c r="H1397" s="1" t="str">
        <f t="shared" si="43"/>
        <v/>
      </c>
      <c r="I1397" s="1">
        <v>1.2999999999999999E-2</v>
      </c>
      <c r="J1397" s="1">
        <f>+D1397-F1397+I1397*O1397</f>
        <v>2.7949999999999999E-2</v>
      </c>
      <c r="K1397" s="1">
        <v>5.7385571300983401E-2</v>
      </c>
      <c r="L1397" s="1">
        <f>+K1397-J1397</f>
        <v>2.9435571300983402E-2</v>
      </c>
      <c r="M1397" s="1">
        <v>1.0385571300983399E-2</v>
      </c>
      <c r="N1397" s="1">
        <f>+M1397-J1397</f>
        <v>-1.7564428699016602E-2</v>
      </c>
      <c r="O1397">
        <v>2.15</v>
      </c>
      <c r="P1397" t="s">
        <v>15</v>
      </c>
      <c r="Q1397">
        <v>-0.03</v>
      </c>
      <c r="R1397">
        <v>-3.5356877297162997E-2</v>
      </c>
      <c r="S1397">
        <v>-3.2533705234526998E-3</v>
      </c>
      <c r="T1397">
        <v>0</v>
      </c>
    </row>
    <row r="1398" spans="1:20" x14ac:dyDescent="0.3">
      <c r="A1398" t="s">
        <v>105</v>
      </c>
      <c r="B1398">
        <v>2022</v>
      </c>
      <c r="C1398">
        <v>330062.8125</v>
      </c>
      <c r="D1398" s="1">
        <v>2.5000000000000001E-2</v>
      </c>
      <c r="E1398" s="1">
        <v>0.904333055019379</v>
      </c>
      <c r="F1398" s="1">
        <v>2.7E-2</v>
      </c>
      <c r="G1398" s="1">
        <f t="shared" si="42"/>
        <v>-2.8000000000000021E-2</v>
      </c>
      <c r="H1398" s="1" t="str">
        <f t="shared" si="43"/>
        <v/>
      </c>
      <c r="I1398" s="1">
        <v>-1.6E-2</v>
      </c>
      <c r="J1398" s="1">
        <f>+D1398-F1398+I1398*O1398</f>
        <v>-3.7360000000000004E-2</v>
      </c>
      <c r="K1398" s="1">
        <v>4.4643122702836997E-2</v>
      </c>
      <c r="L1398" s="1">
        <f>+K1398-J1398</f>
        <v>8.2003122702836995E-2</v>
      </c>
      <c r="M1398" s="1">
        <v>-3.5356877297162997E-2</v>
      </c>
      <c r="N1398" s="1">
        <f>+M1398-J1398</f>
        <v>2.0031227028370069E-3</v>
      </c>
      <c r="O1398">
        <v>2.21</v>
      </c>
      <c r="P1398" t="s">
        <v>17</v>
      </c>
      <c r="Q1398">
        <v>0</v>
      </c>
      <c r="R1398">
        <v>-2.23730027526617E-2</v>
      </c>
      <c r="S1398">
        <v>-2.8140749782324002E-3</v>
      </c>
      <c r="T1398">
        <v>0.04</v>
      </c>
    </row>
    <row r="1399" spans="1:20" x14ac:dyDescent="0.3">
      <c r="A1399" t="s">
        <v>106</v>
      </c>
      <c r="B1399">
        <v>2006</v>
      </c>
      <c r="C1399">
        <v>398315.09379999997</v>
      </c>
      <c r="D1399" s="1">
        <v>1.2E-2</v>
      </c>
      <c r="E1399" s="1">
        <v>0.93423324823379505</v>
      </c>
      <c r="F1399" s="1">
        <v>1.4999999999999999E-2</v>
      </c>
      <c r="G1399" s="1">
        <f t="shared" si="42"/>
        <v>1.4999999999999999E-2</v>
      </c>
      <c r="H1399" s="1" t="str">
        <f t="shared" si="43"/>
        <v/>
      </c>
      <c r="I1399" s="1">
        <v>4.0000000000000001E-3</v>
      </c>
      <c r="J1399" s="1">
        <f>+D1399-F1399+I1399*O1399</f>
        <v>5.5200000000000006E-3</v>
      </c>
      <c r="K1399" s="1">
        <v>2.5416640564799298E-2</v>
      </c>
      <c r="L1399" s="1">
        <f>+K1399-J1399</f>
        <v>1.9896640564799298E-2</v>
      </c>
      <c r="M1399" s="1">
        <v>-6.5833594352006997E-3</v>
      </c>
      <c r="N1399" s="1">
        <f>+M1399-J1399</f>
        <v>-1.2103359435200699E-2</v>
      </c>
      <c r="O1399">
        <v>2.13</v>
      </c>
      <c r="P1399" t="s">
        <v>15</v>
      </c>
      <c r="Q1399">
        <v>-0.01</v>
      </c>
      <c r="R1399">
        <v>4.7654203176497904E-3</v>
      </c>
      <c r="S1399">
        <v>5.6871762499212898E-3</v>
      </c>
      <c r="T1399">
        <v>0.01</v>
      </c>
    </row>
    <row r="1400" spans="1:20" x14ac:dyDescent="0.3">
      <c r="A1400" t="s">
        <v>106</v>
      </c>
      <c r="B1400">
        <v>2007</v>
      </c>
      <c r="C1400">
        <v>399018.59379999997</v>
      </c>
      <c r="D1400" s="1">
        <v>1.7000000000000001E-2</v>
      </c>
      <c r="E1400" s="1">
        <v>0.935843765735626</v>
      </c>
      <c r="F1400" s="1">
        <v>4.4999999999999998E-2</v>
      </c>
      <c r="G1400" s="1">
        <f t="shared" si="42"/>
        <v>0.06</v>
      </c>
      <c r="H1400" s="1" t="str">
        <f t="shared" si="43"/>
        <v/>
      </c>
      <c r="I1400" s="1">
        <v>2E-3</v>
      </c>
      <c r="J1400" s="1">
        <f>+D1400-F1400+I1400*O1400</f>
        <v>-2.3539999999999998E-2</v>
      </c>
      <c r="K1400" s="1">
        <v>3.37654203176498E-2</v>
      </c>
      <c r="L1400" s="1">
        <f>+K1400-J1400</f>
        <v>5.7305420317649798E-2</v>
      </c>
      <c r="M1400" s="1">
        <v>4.7654203176497904E-3</v>
      </c>
      <c r="N1400" s="1">
        <f>+M1400-J1400</f>
        <v>2.830542031764979E-2</v>
      </c>
      <c r="O1400">
        <v>2.23</v>
      </c>
      <c r="P1400" t="s">
        <v>15</v>
      </c>
      <c r="Q1400">
        <v>0.01</v>
      </c>
      <c r="R1400">
        <v>-3.02157982364296E-2</v>
      </c>
      <c r="S1400">
        <v>-7.0499395951628598E-4</v>
      </c>
      <c r="T1400">
        <v>0.04</v>
      </c>
    </row>
    <row r="1401" spans="1:20" x14ac:dyDescent="0.3">
      <c r="A1401" t="s">
        <v>106</v>
      </c>
      <c r="B1401">
        <v>2008</v>
      </c>
      <c r="C1401">
        <v>399721</v>
      </c>
      <c r="D1401" s="1">
        <v>1E-3</v>
      </c>
      <c r="E1401" s="1">
        <v>0.93658238649368297</v>
      </c>
      <c r="F1401" s="1">
        <v>3.0000000000000001E-3</v>
      </c>
      <c r="G1401" s="1">
        <f t="shared" si="42"/>
        <v>6.3E-2</v>
      </c>
      <c r="H1401" s="1" t="str">
        <f t="shared" si="43"/>
        <v/>
      </c>
      <c r="I1401" s="1">
        <v>1E-3</v>
      </c>
      <c r="J1401" s="1">
        <f>+D1401-F1401+I1401*O1401</f>
        <v>2.3000000000000017E-4</v>
      </c>
      <c r="K1401" s="1">
        <v>7.7842017635703104E-3</v>
      </c>
      <c r="L1401" s="1">
        <f>+K1401-J1401</f>
        <v>7.5542017635703103E-3</v>
      </c>
      <c r="M1401" s="1">
        <v>-3.02157982364296E-2</v>
      </c>
      <c r="N1401" s="1">
        <f>+M1401-J1401</f>
        <v>-3.0445798236429601E-2</v>
      </c>
      <c r="O1401">
        <v>2.23</v>
      </c>
      <c r="P1401" t="s">
        <v>15</v>
      </c>
      <c r="Q1401">
        <v>0</v>
      </c>
      <c r="R1401">
        <v>-2.42020550221205E-2</v>
      </c>
      <c r="S1401">
        <v>2.3646466434001502E-3</v>
      </c>
      <c r="T1401">
        <v>0</v>
      </c>
    </row>
    <row r="1402" spans="1:20" x14ac:dyDescent="0.3">
      <c r="A1402" t="s">
        <v>106</v>
      </c>
      <c r="B1402">
        <v>2009</v>
      </c>
      <c r="C1402">
        <v>400429.6875</v>
      </c>
      <c r="D1402" s="1">
        <v>1E-3</v>
      </c>
      <c r="E1402" s="1">
        <v>0.93820542097091697</v>
      </c>
      <c r="F1402" s="1">
        <v>-4.0000000000000001E-3</v>
      </c>
      <c r="G1402" s="1">
        <f t="shared" si="42"/>
        <v>5.8999999999999997E-2</v>
      </c>
      <c r="H1402" s="1" t="str">
        <f t="shared" si="43"/>
        <v/>
      </c>
      <c r="I1402" s="1">
        <v>2E-3</v>
      </c>
      <c r="J1402" s="1">
        <f>+D1402-F1402+I1402*O1402</f>
        <v>9.4599999999999997E-3</v>
      </c>
      <c r="K1402" s="1">
        <v>-2.82020550221205E-2</v>
      </c>
      <c r="L1402" s="1">
        <f>+K1402-J1402</f>
        <v>-3.76620550221205E-2</v>
      </c>
      <c r="M1402" s="1">
        <v>-2.42020550221205E-2</v>
      </c>
      <c r="N1402" s="1">
        <f>+M1402-J1402</f>
        <v>-3.3662055022120496E-2</v>
      </c>
      <c r="O1402">
        <v>2.23</v>
      </c>
      <c r="P1402" t="s">
        <v>17</v>
      </c>
      <c r="Q1402">
        <v>0</v>
      </c>
      <c r="R1402">
        <v>-2.3903289660810998E-3</v>
      </c>
      <c r="S1402">
        <v>7.0697797928005804E-3</v>
      </c>
      <c r="T1402">
        <v>-0.02</v>
      </c>
    </row>
    <row r="1403" spans="1:20" x14ac:dyDescent="0.3">
      <c r="A1403" t="s">
        <v>106</v>
      </c>
      <c r="B1403">
        <v>2010</v>
      </c>
      <c r="C1403">
        <v>401737.3125</v>
      </c>
      <c r="D1403" s="1">
        <v>2.1999999999999999E-2</v>
      </c>
      <c r="E1403" s="1">
        <v>0.92851501703262296</v>
      </c>
      <c r="F1403" s="1">
        <v>2.7E-2</v>
      </c>
      <c r="G1403" s="1">
        <f t="shared" si="42"/>
        <v>8.5999999999999993E-2</v>
      </c>
      <c r="H1403" s="1" t="str">
        <f t="shared" si="43"/>
        <v/>
      </c>
      <c r="I1403" s="1">
        <v>-0.01</v>
      </c>
      <c r="J1403" s="1">
        <f>+D1403-F1403+I1403*O1403</f>
        <v>-2.7799999999999998E-2</v>
      </c>
      <c r="K1403" s="1">
        <v>1.3609671033918899E-2</v>
      </c>
      <c r="L1403" s="1">
        <f>+K1403-J1403</f>
        <v>4.1409671033918898E-2</v>
      </c>
      <c r="M1403" s="1">
        <v>-2.3903289660810998E-3</v>
      </c>
      <c r="N1403" s="1">
        <f>+M1403-J1403</f>
        <v>2.5409671033918897E-2</v>
      </c>
      <c r="O1403">
        <v>2.2799999999999998</v>
      </c>
      <c r="P1403" t="s">
        <v>17</v>
      </c>
      <c r="Q1403">
        <v>0.01</v>
      </c>
      <c r="R1403">
        <v>-1.8688344739377499E-2</v>
      </c>
      <c r="S1403">
        <v>2.5954297743738001E-3</v>
      </c>
      <c r="T1403">
        <v>0.02</v>
      </c>
    </row>
    <row r="1404" spans="1:20" x14ac:dyDescent="0.3">
      <c r="A1404" t="s">
        <v>106</v>
      </c>
      <c r="B1404">
        <v>2011</v>
      </c>
      <c r="C1404">
        <v>403845.09379999997</v>
      </c>
      <c r="D1404" s="1">
        <v>0</v>
      </c>
      <c r="E1404" s="1">
        <v>0.93990856409072898</v>
      </c>
      <c r="F1404" s="1">
        <v>-0.06</v>
      </c>
      <c r="G1404" s="1">
        <f t="shared" si="42"/>
        <v>2.5999999999999995E-2</v>
      </c>
      <c r="H1404" s="1" t="str">
        <f t="shared" si="43"/>
        <v/>
      </c>
      <c r="I1404" s="1">
        <v>1.0999999999999999E-2</v>
      </c>
      <c r="J1404" s="1">
        <f>+D1404-F1404+I1404*O1404</f>
        <v>8.3650000000000002E-2</v>
      </c>
      <c r="K1404" s="1">
        <v>1.33116552606225E-2</v>
      </c>
      <c r="L1404" s="1">
        <f>+K1404-J1404</f>
        <v>-7.0338344739377501E-2</v>
      </c>
      <c r="M1404" s="1">
        <v>-1.8688344739377499E-2</v>
      </c>
      <c r="N1404" s="1">
        <f>+M1404-J1404</f>
        <v>-0.1023383447393775</v>
      </c>
      <c r="O1404">
        <v>2.15</v>
      </c>
      <c r="P1404" t="s">
        <v>17</v>
      </c>
      <c r="Q1404">
        <v>0</v>
      </c>
      <c r="R1404">
        <v>-1.32988256439566E-2</v>
      </c>
      <c r="S1404">
        <v>-7.8606195747852603E-3</v>
      </c>
      <c r="T1404">
        <v>-0.06</v>
      </c>
    </row>
    <row r="1405" spans="1:20" x14ac:dyDescent="0.3">
      <c r="A1405" t="s">
        <v>106</v>
      </c>
      <c r="B1405">
        <v>2012</v>
      </c>
      <c r="C1405">
        <v>405768.09379999997</v>
      </c>
      <c r="D1405" s="1">
        <v>1.4999999999999999E-2</v>
      </c>
      <c r="E1405" s="1">
        <v>0.94126915931701705</v>
      </c>
      <c r="F1405" s="1">
        <v>1.9E-2</v>
      </c>
      <c r="G1405" s="1">
        <f t="shared" si="42"/>
        <v>4.4999999999999998E-2</v>
      </c>
      <c r="H1405" s="1" t="str">
        <f t="shared" si="43"/>
        <v/>
      </c>
      <c r="I1405" s="1">
        <v>1E-3</v>
      </c>
      <c r="J1405" s="1">
        <f>+D1405-F1405+I1405*O1405</f>
        <v>-1.81E-3</v>
      </c>
      <c r="K1405" s="1">
        <v>7.7011743560433396E-3</v>
      </c>
      <c r="L1405" s="1">
        <f>+K1405-J1405</f>
        <v>9.5111743560433396E-3</v>
      </c>
      <c r="M1405" s="1">
        <v>-1.32988256439566E-2</v>
      </c>
      <c r="N1405" s="1">
        <f>+M1405-J1405</f>
        <v>-1.1488825643956601E-2</v>
      </c>
      <c r="O1405">
        <v>2.19</v>
      </c>
      <c r="P1405" t="s">
        <v>15</v>
      </c>
      <c r="Q1405">
        <v>-0.01</v>
      </c>
      <c r="R1405">
        <v>5.9187399595976003E-3</v>
      </c>
      <c r="S1405">
        <v>-2.0803138613699799E-4</v>
      </c>
      <c r="T1405">
        <v>0.02</v>
      </c>
    </row>
    <row r="1406" spans="1:20" x14ac:dyDescent="0.3">
      <c r="A1406" t="s">
        <v>106</v>
      </c>
      <c r="B1406">
        <v>2013</v>
      </c>
      <c r="C1406">
        <v>407377.5</v>
      </c>
      <c r="D1406" s="1">
        <v>3.0000000000000001E-3</v>
      </c>
      <c r="E1406" s="1">
        <v>0.94387346506118797</v>
      </c>
      <c r="F1406" s="1">
        <v>1.0999999999999999E-2</v>
      </c>
      <c r="G1406" s="1">
        <f t="shared" si="42"/>
        <v>5.5999999999999994E-2</v>
      </c>
      <c r="H1406" s="1" t="str">
        <f t="shared" si="43"/>
        <v/>
      </c>
      <c r="I1406" s="1">
        <v>3.0000000000000001E-3</v>
      </c>
      <c r="J1406" s="1">
        <f>+D1406-F1406+I1406*O1406</f>
        <v>-1.3700000000000006E-3</v>
      </c>
      <c r="K1406" s="1">
        <v>2.0918739959597601E-2</v>
      </c>
      <c r="L1406" s="1">
        <f>+K1406-J1406</f>
        <v>2.2288739959597601E-2</v>
      </c>
      <c r="M1406" s="1">
        <v>5.9187399595976003E-3</v>
      </c>
      <c r="N1406" s="1">
        <f>+M1406-J1406</f>
        <v>7.2887399595976008E-3</v>
      </c>
      <c r="O1406">
        <v>2.21</v>
      </c>
      <c r="P1406" t="s">
        <v>15</v>
      </c>
      <c r="Q1406">
        <v>0</v>
      </c>
      <c r="R1406">
        <v>-7.8999268263579999E-4</v>
      </c>
      <c r="S1406">
        <v>-2.7980161830782999E-3</v>
      </c>
      <c r="T1406">
        <v>0</v>
      </c>
    </row>
    <row r="1407" spans="1:20" x14ac:dyDescent="0.3">
      <c r="A1407" t="s">
        <v>106</v>
      </c>
      <c r="B1407">
        <v>2014</v>
      </c>
      <c r="C1407">
        <v>409814.78129999997</v>
      </c>
      <c r="D1407" s="1">
        <v>4.9000000000000002E-2</v>
      </c>
      <c r="E1407" s="1">
        <v>0.94475299119949296</v>
      </c>
      <c r="F1407" s="1">
        <v>2.8000000000000001E-2</v>
      </c>
      <c r="G1407" s="1">
        <f t="shared" si="42"/>
        <v>8.3999999999999991E-2</v>
      </c>
      <c r="H1407" s="1" t="str">
        <f t="shared" si="43"/>
        <v/>
      </c>
      <c r="I1407" s="1">
        <v>1E-3</v>
      </c>
      <c r="J1407" s="1">
        <f>+D1407-F1407+I1407*O1407</f>
        <v>2.3280000000000002E-2</v>
      </c>
      <c r="K1407" s="1">
        <v>1.52100073173642E-2</v>
      </c>
      <c r="L1407" s="1">
        <f>+K1407-J1407</f>
        <v>-8.0699926826358018E-3</v>
      </c>
      <c r="M1407" s="1">
        <v>-7.8999268263579999E-4</v>
      </c>
      <c r="N1407" s="1">
        <f>+M1407-J1407</f>
        <v>-2.40699926826358E-2</v>
      </c>
      <c r="O1407">
        <v>2.2799999999999998</v>
      </c>
      <c r="P1407" t="s">
        <v>15</v>
      </c>
      <c r="Q1407">
        <v>0</v>
      </c>
      <c r="R1407">
        <v>6.1469586730003398E-2</v>
      </c>
      <c r="S1407">
        <v>3.1206134706735701E-2</v>
      </c>
      <c r="T1407">
        <v>0.02</v>
      </c>
    </row>
    <row r="1408" spans="1:20" x14ac:dyDescent="0.3">
      <c r="A1408" t="s">
        <v>106</v>
      </c>
      <c r="B1408">
        <v>2015</v>
      </c>
      <c r="C1408">
        <v>412130</v>
      </c>
      <c r="D1408" s="1">
        <v>1E-3</v>
      </c>
      <c r="E1408" s="1">
        <v>0.95583057403564498</v>
      </c>
      <c r="F1408" s="1">
        <v>1.4999999999999999E-2</v>
      </c>
      <c r="G1408" s="1">
        <f t="shared" si="42"/>
        <v>9.8999999999999991E-2</v>
      </c>
      <c r="H1408" s="1" t="str">
        <f t="shared" si="43"/>
        <v/>
      </c>
      <c r="I1408" s="1">
        <v>1.0999999999999999E-2</v>
      </c>
      <c r="J1408" s="1">
        <f>+D1408-F1408+I1408*O1408</f>
        <v>1.141E-2</v>
      </c>
      <c r="K1408" s="1">
        <v>6.2469586730003399E-2</v>
      </c>
      <c r="L1408" s="1">
        <f>+K1408-J1408</f>
        <v>5.1059586730003395E-2</v>
      </c>
      <c r="M1408" s="1">
        <v>6.1469586730003398E-2</v>
      </c>
      <c r="N1408" s="1">
        <f>+M1408-J1408</f>
        <v>5.0059586730003394E-2</v>
      </c>
      <c r="O1408">
        <v>2.31</v>
      </c>
      <c r="P1408" t="s">
        <v>15</v>
      </c>
      <c r="Q1408">
        <v>0.03</v>
      </c>
      <c r="R1408">
        <v>1.83367061316967E-2</v>
      </c>
      <c r="S1408">
        <v>5.1831491291522997E-3</v>
      </c>
      <c r="T1408">
        <v>0.03</v>
      </c>
    </row>
    <row r="1409" spans="1:20" x14ac:dyDescent="0.3">
      <c r="A1409" t="s">
        <v>106</v>
      </c>
      <c r="B1409">
        <v>2016</v>
      </c>
      <c r="C1409">
        <v>414837.71879999997</v>
      </c>
      <c r="D1409" s="1">
        <v>1.9E-2</v>
      </c>
      <c r="E1409" s="1">
        <v>0.94724386930465698</v>
      </c>
      <c r="F1409" s="1">
        <v>-4.3999999999999997E-2</v>
      </c>
      <c r="G1409" s="1">
        <f t="shared" si="42"/>
        <v>5.4999999999999993E-2</v>
      </c>
      <c r="H1409" s="1" t="str">
        <f t="shared" si="43"/>
        <v/>
      </c>
      <c r="I1409" s="1">
        <v>-8.9999999999999993E-3</v>
      </c>
      <c r="J1409" s="1">
        <f>+D1409-F1409+I1409*O1409</f>
        <v>4.3110000000000002E-2</v>
      </c>
      <c r="K1409" s="1">
        <v>3.1336706131696701E-2</v>
      </c>
      <c r="L1409" s="1">
        <f>+K1409-J1409</f>
        <v>-1.1773293868303301E-2</v>
      </c>
      <c r="M1409" s="1">
        <v>1.83367061316967E-2</v>
      </c>
      <c r="N1409" s="1">
        <f>+M1409-J1409</f>
        <v>-2.4773293868303303E-2</v>
      </c>
      <c r="O1409">
        <v>2.21</v>
      </c>
      <c r="P1409" t="s">
        <v>16</v>
      </c>
      <c r="Q1409">
        <v>0.01</v>
      </c>
      <c r="R1409">
        <v>6.0214136689900897E-3</v>
      </c>
      <c r="S1409">
        <v>3.2318402081727999E-3</v>
      </c>
      <c r="T1409">
        <v>-0.04</v>
      </c>
    </row>
    <row r="1410" spans="1:20" x14ac:dyDescent="0.3">
      <c r="A1410" t="s">
        <v>106</v>
      </c>
      <c r="B1410">
        <v>2017</v>
      </c>
      <c r="C1410">
        <v>417052.40629999997</v>
      </c>
      <c r="D1410" s="1">
        <v>1.0999999999999999E-2</v>
      </c>
      <c r="E1410" s="1">
        <v>0.95145905017852805</v>
      </c>
      <c r="F1410" s="1">
        <v>2.3E-2</v>
      </c>
      <c r="G1410" s="1">
        <f t="shared" si="42"/>
        <v>7.7999999999999986E-2</v>
      </c>
      <c r="H1410" s="1" t="str">
        <f t="shared" si="43"/>
        <v/>
      </c>
      <c r="I1410" s="1">
        <v>4.0000000000000001E-3</v>
      </c>
      <c r="J1410" s="1">
        <f>+D1410-F1410+I1410*O1410</f>
        <v>-2.9600000000000008E-3</v>
      </c>
      <c r="K1410" s="1">
        <v>2.70214136689901E-2</v>
      </c>
      <c r="L1410" s="1">
        <f>+K1410-J1410</f>
        <v>2.9981413668990101E-2</v>
      </c>
      <c r="M1410" s="1">
        <v>6.0214136689900897E-3</v>
      </c>
      <c r="N1410" s="1">
        <f>+M1410-J1410</f>
        <v>8.9814136689900896E-3</v>
      </c>
      <c r="O1410">
        <v>2.2599999999999998</v>
      </c>
      <c r="P1410" t="s">
        <v>15</v>
      </c>
      <c r="Q1410">
        <v>0</v>
      </c>
      <c r="R1410">
        <v>3.4375827968120602E-2</v>
      </c>
      <c r="S1410">
        <v>2.5240805000066799E-2</v>
      </c>
      <c r="T1410">
        <v>0.03</v>
      </c>
    </row>
    <row r="1411" spans="1:20" x14ac:dyDescent="0.3">
      <c r="A1411" t="s">
        <v>106</v>
      </c>
      <c r="B1411">
        <v>2018</v>
      </c>
      <c r="C1411">
        <v>419196.59379999997</v>
      </c>
      <c r="D1411" s="1">
        <v>7.0000000000000001E-3</v>
      </c>
      <c r="E1411" s="1">
        <v>0.96296072006225597</v>
      </c>
      <c r="F1411" s="1">
        <v>-3.5999999999999997E-2</v>
      </c>
      <c r="G1411" s="1">
        <f t="shared" si="42"/>
        <v>4.1999999999999989E-2</v>
      </c>
      <c r="H1411" s="1" t="str">
        <f t="shared" si="43"/>
        <v/>
      </c>
      <c r="I1411" s="1">
        <v>1.2E-2</v>
      </c>
      <c r="J1411" s="1">
        <f>+D1411-F1411+I1411*O1411</f>
        <v>6.9159999999999999E-2</v>
      </c>
      <c r="K1411" s="1">
        <v>5.8375827968120603E-2</v>
      </c>
      <c r="L1411" s="1">
        <f>+K1411-J1411</f>
        <v>-1.0784172031879397E-2</v>
      </c>
      <c r="M1411" s="1">
        <v>3.4375827968120602E-2</v>
      </c>
      <c r="N1411" s="1">
        <f>+M1411-J1411</f>
        <v>-3.4784172031879397E-2</v>
      </c>
      <c r="O1411">
        <v>2.1800000000000002</v>
      </c>
      <c r="P1411" t="s">
        <v>17</v>
      </c>
      <c r="Q1411">
        <v>0.03</v>
      </c>
      <c r="R1411">
        <v>2.05272093117237E-2</v>
      </c>
      <c r="S1411">
        <v>2.72601470351219E-3</v>
      </c>
      <c r="T1411">
        <v>-0.03</v>
      </c>
    </row>
    <row r="1412" spans="1:20" x14ac:dyDescent="0.3">
      <c r="A1412" t="s">
        <v>106</v>
      </c>
      <c r="B1412">
        <v>2019</v>
      </c>
      <c r="C1412">
        <v>422059</v>
      </c>
      <c r="D1412" s="1">
        <v>2.4E-2</v>
      </c>
      <c r="E1412" s="1">
        <v>0.94835680723190297</v>
      </c>
      <c r="F1412" s="1">
        <v>-3.5000000000000003E-2</v>
      </c>
      <c r="G1412" s="1">
        <f t="shared" si="42"/>
        <v>6.9999999999999854E-3</v>
      </c>
      <c r="H1412" s="1" t="str">
        <f t="shared" si="43"/>
        <v/>
      </c>
      <c r="I1412" s="1">
        <v>-1.4999999999999999E-2</v>
      </c>
      <c r="J1412" s="1">
        <f>+D1412-F1412+I1412*O1412</f>
        <v>2.7500000000000004E-2</v>
      </c>
      <c r="K1412" s="1">
        <v>3.8527209311723702E-2</v>
      </c>
      <c r="L1412" s="1">
        <f>+K1412-J1412</f>
        <v>1.1027209311723699E-2</v>
      </c>
      <c r="M1412" s="1">
        <v>2.05272093117237E-2</v>
      </c>
      <c r="N1412" s="1">
        <f>+M1412-J1412</f>
        <v>-6.9727906882763036E-3</v>
      </c>
      <c r="O1412">
        <v>2.1</v>
      </c>
      <c r="P1412" t="s">
        <v>16</v>
      </c>
      <c r="Q1412">
        <v>0</v>
      </c>
      <c r="R1412">
        <v>3.3023381710052403E-2</v>
      </c>
      <c r="S1412">
        <v>1.41741912811994E-2</v>
      </c>
      <c r="T1412">
        <v>-0.03</v>
      </c>
    </row>
    <row r="1413" spans="1:20" x14ac:dyDescent="0.3">
      <c r="A1413" t="s">
        <v>106</v>
      </c>
      <c r="B1413">
        <v>2020</v>
      </c>
      <c r="C1413">
        <v>423302.1875</v>
      </c>
      <c r="D1413" s="1">
        <v>3.0000000000000001E-3</v>
      </c>
      <c r="E1413" s="1">
        <v>0.96812921762466397</v>
      </c>
      <c r="F1413" s="1">
        <v>-3.9E-2</v>
      </c>
      <c r="G1413" s="1">
        <f t="shared" si="42"/>
        <v>-3.2000000000000015E-2</v>
      </c>
      <c r="H1413" s="1" t="str">
        <f t="shared" si="43"/>
        <v/>
      </c>
      <c r="I1413" s="1">
        <v>0.02</v>
      </c>
      <c r="J1413" s="1">
        <f>+D1413-F1413+I1413*O1413</f>
        <v>8.2400000000000001E-2</v>
      </c>
      <c r="K1413" s="1">
        <v>4.5023381710052497E-2</v>
      </c>
      <c r="L1413" s="1">
        <f>+K1413-J1413</f>
        <v>-3.7376618289947504E-2</v>
      </c>
      <c r="M1413" s="1">
        <v>3.3023381710052403E-2</v>
      </c>
      <c r="N1413" s="1">
        <f>+M1413-J1413</f>
        <v>-4.9376618289947598E-2</v>
      </c>
      <c r="O1413">
        <v>2.02</v>
      </c>
      <c r="P1413" t="s">
        <v>17</v>
      </c>
      <c r="Q1413">
        <v>0.01</v>
      </c>
      <c r="R1413">
        <v>5.6797107934951997E-2</v>
      </c>
      <c r="S1413">
        <v>1.3207495212554999E-2</v>
      </c>
      <c r="T1413">
        <v>0</v>
      </c>
    </row>
    <row r="1414" spans="1:20" x14ac:dyDescent="0.3">
      <c r="A1414" t="s">
        <v>107</v>
      </c>
      <c r="B1414">
        <v>2006</v>
      </c>
      <c r="C1414">
        <v>700290.5625</v>
      </c>
      <c r="D1414" s="1">
        <v>6.9000000000000006E-2</v>
      </c>
      <c r="E1414" s="1">
        <v>0.93336218595504805</v>
      </c>
      <c r="F1414" s="1">
        <v>-4.8000000000000001E-2</v>
      </c>
      <c r="G1414" s="1">
        <f t="shared" si="42"/>
        <v>-4.8000000000000001E-2</v>
      </c>
      <c r="H1414" s="1" t="str">
        <f t="shared" si="43"/>
        <v/>
      </c>
      <c r="I1414" s="1">
        <v>2.5000000000000001E-2</v>
      </c>
      <c r="J1414" s="1">
        <f>+D1414-F1414+I1414*O1414</f>
        <v>0.20100000000000001</v>
      </c>
      <c r="K1414" s="1">
        <v>4.3274763971567203E-2</v>
      </c>
      <c r="L1414" s="1">
        <f>+K1414-J1414</f>
        <v>-0.1577252360284328</v>
      </c>
      <c r="M1414" s="1">
        <v>1.12747639715672E-2</v>
      </c>
      <c r="N1414" s="1">
        <f>+M1414-J1414</f>
        <v>-0.1897252360284328</v>
      </c>
      <c r="O1414">
        <v>3.36</v>
      </c>
      <c r="P1414" t="s">
        <v>17</v>
      </c>
      <c r="Q1414">
        <v>0</v>
      </c>
      <c r="R1414">
        <v>1.1771681815385701E-2</v>
      </c>
      <c r="S1414">
        <v>1.26934377476572E-2</v>
      </c>
      <c r="T1414">
        <v>-0.05</v>
      </c>
    </row>
    <row r="1415" spans="1:20" x14ac:dyDescent="0.3">
      <c r="A1415" t="s">
        <v>107</v>
      </c>
      <c r="B1415">
        <v>2007</v>
      </c>
      <c r="C1415">
        <v>720616.6875</v>
      </c>
      <c r="D1415" s="1">
        <v>5.1999999999999998E-2</v>
      </c>
      <c r="E1415" s="1">
        <v>0.93317455053329501</v>
      </c>
      <c r="F1415" s="1">
        <v>-8.0000000000000002E-3</v>
      </c>
      <c r="G1415" s="1">
        <f t="shared" ref="G1415:G1478" si="44">SUMIFS(F:F,A:A,A1415,B:B,"&lt;="&amp;B1415)</f>
        <v>-5.6000000000000001E-2</v>
      </c>
      <c r="H1415" s="1" t="str">
        <f t="shared" ref="H1415:H1478" si="45">IFERROR(IF(ABS(G1415)&gt;0.12,AVERAGEIFS(K:K,A:A,A1415,B:B,"&gt;"&amp;B1415,B:B,"&lt;"&amp;B1415+3),""),"")</f>
        <v/>
      </c>
      <c r="I1415" s="1">
        <v>0</v>
      </c>
      <c r="J1415" s="1">
        <f>+D1415-F1415+I1415*O1415</f>
        <v>0.06</v>
      </c>
      <c r="K1415" s="1">
        <v>4.0771681815385798E-2</v>
      </c>
      <c r="L1415" s="1">
        <f>+K1415-J1415</f>
        <v>-1.92283181846142E-2</v>
      </c>
      <c r="M1415" s="1">
        <v>1.1771681815385701E-2</v>
      </c>
      <c r="N1415" s="1">
        <f>+M1415-J1415</f>
        <v>-4.8228318184614295E-2</v>
      </c>
      <c r="O1415">
        <v>3.34</v>
      </c>
      <c r="P1415" t="s">
        <v>16</v>
      </c>
      <c r="Q1415">
        <v>0.01</v>
      </c>
      <c r="R1415">
        <v>-2.6555738702416301E-2</v>
      </c>
      <c r="S1415">
        <v>2.9550655744970001E-3</v>
      </c>
      <c r="T1415">
        <v>-0.01</v>
      </c>
    </row>
    <row r="1416" spans="1:20" x14ac:dyDescent="0.3">
      <c r="A1416" t="s">
        <v>107</v>
      </c>
      <c r="B1416">
        <v>2008</v>
      </c>
      <c r="C1416">
        <v>741919</v>
      </c>
      <c r="D1416" s="1">
        <v>1.4999999999999999E-2</v>
      </c>
      <c r="E1416" s="1">
        <v>0.93510460853576705</v>
      </c>
      <c r="F1416" s="1">
        <v>-0.105</v>
      </c>
      <c r="G1416" s="1">
        <f t="shared" si="44"/>
        <v>-0.161</v>
      </c>
      <c r="H1416" s="1">
        <f t="shared" si="45"/>
        <v>-1.7189640231663358E-2</v>
      </c>
      <c r="I1416" s="1">
        <v>2E-3</v>
      </c>
      <c r="J1416" s="1">
        <f>+D1416-F1416+I1416*O1416</f>
        <v>0.12598000000000001</v>
      </c>
      <c r="K1416" s="1">
        <v>1.1444261297583601E-2</v>
      </c>
      <c r="L1416" s="1">
        <f>+K1416-J1416</f>
        <v>-0.1145357387024164</v>
      </c>
      <c r="M1416" s="1">
        <v>-2.6555738702416301E-2</v>
      </c>
      <c r="N1416" s="1">
        <f>+M1416-J1416</f>
        <v>-0.15253573870241632</v>
      </c>
      <c r="O1416">
        <v>2.99</v>
      </c>
      <c r="P1416" t="s">
        <v>17</v>
      </c>
      <c r="Q1416">
        <v>0</v>
      </c>
      <c r="R1416">
        <v>-3.10600779056549E-2</v>
      </c>
      <c r="S1416">
        <v>-4.4933762401342496E-3</v>
      </c>
      <c r="T1416">
        <v>-0.11</v>
      </c>
    </row>
    <row r="1417" spans="1:20" x14ac:dyDescent="0.3">
      <c r="A1417" t="s">
        <v>107</v>
      </c>
      <c r="B1417">
        <v>2009</v>
      </c>
      <c r="C1417">
        <v>762905.1875</v>
      </c>
      <c r="D1417" s="1">
        <v>1.2E-2</v>
      </c>
      <c r="E1417" s="1">
        <v>0.93209666013717696</v>
      </c>
      <c r="F1417" s="1">
        <v>4.1000000000000002E-2</v>
      </c>
      <c r="G1417" s="1">
        <f t="shared" si="44"/>
        <v>-0.12</v>
      </c>
      <c r="H1417" s="1" t="str">
        <f t="shared" si="45"/>
        <v/>
      </c>
      <c r="I1417" s="1">
        <v>-3.0000000000000001E-3</v>
      </c>
      <c r="J1417" s="1">
        <f>+D1417-F1417+I1417*O1417</f>
        <v>-3.8330000000000003E-2</v>
      </c>
      <c r="K1417" s="1">
        <v>-3.50600779056549E-2</v>
      </c>
      <c r="L1417" s="1">
        <f>+K1417-J1417</f>
        <v>3.2699220943451027E-3</v>
      </c>
      <c r="M1417" s="1">
        <v>-3.10600779056549E-2</v>
      </c>
      <c r="N1417" s="1">
        <f>+M1417-J1417</f>
        <v>7.2699220943451028E-3</v>
      </c>
      <c r="O1417">
        <v>3.11</v>
      </c>
      <c r="P1417" t="s">
        <v>17</v>
      </c>
      <c r="Q1417">
        <v>0</v>
      </c>
      <c r="R1417">
        <v>-1.53192025576718E-2</v>
      </c>
      <c r="S1417">
        <v>-5.8590937987901296E-3</v>
      </c>
      <c r="T1417">
        <v>0.02</v>
      </c>
    </row>
    <row r="1418" spans="1:20" x14ac:dyDescent="0.3">
      <c r="A1418" t="s">
        <v>107</v>
      </c>
      <c r="B1418">
        <v>2010</v>
      </c>
      <c r="C1418">
        <v>783030.5</v>
      </c>
      <c r="D1418" s="1">
        <v>1.7000000000000001E-2</v>
      </c>
      <c r="E1418" s="1">
        <v>0.93997675180435203</v>
      </c>
      <c r="F1418" s="1">
        <v>-1.7999999999999999E-2</v>
      </c>
      <c r="G1418" s="1">
        <f t="shared" si="44"/>
        <v>-0.13799999999999998</v>
      </c>
      <c r="H1418" s="1">
        <f t="shared" si="45"/>
        <v>1.4936807099729801E-2</v>
      </c>
      <c r="I1418" s="1">
        <v>8.0000000000000002E-3</v>
      </c>
      <c r="J1418" s="1">
        <f>+D1418-F1418+I1418*O1418</f>
        <v>5.9400000000000001E-2</v>
      </c>
      <c r="K1418" s="1">
        <v>6.8079744232818495E-4</v>
      </c>
      <c r="L1418" s="1">
        <f>+K1418-J1418</f>
        <v>-5.8719202557671817E-2</v>
      </c>
      <c r="M1418" s="1">
        <v>-1.53192025576718E-2</v>
      </c>
      <c r="N1418" s="1">
        <f>+M1418-J1418</f>
        <v>-7.4719202557671796E-2</v>
      </c>
      <c r="O1418">
        <v>3.05</v>
      </c>
      <c r="P1418" t="s">
        <v>17</v>
      </c>
      <c r="Q1418">
        <v>-0.01</v>
      </c>
      <c r="R1418">
        <v>-2.3733306087553498E-2</v>
      </c>
      <c r="S1418">
        <v>-2.4495315738022002E-3</v>
      </c>
      <c r="T1418">
        <v>-0.03</v>
      </c>
    </row>
    <row r="1419" spans="1:20" x14ac:dyDescent="0.3">
      <c r="A1419" t="s">
        <v>107</v>
      </c>
      <c r="B1419">
        <v>2011</v>
      </c>
      <c r="C1419">
        <v>797951.4375</v>
      </c>
      <c r="D1419" s="1">
        <v>2.1999999999999999E-2</v>
      </c>
      <c r="E1419" s="1">
        <v>0.92483460903167702</v>
      </c>
      <c r="F1419" s="1">
        <v>5.0999999999999997E-2</v>
      </c>
      <c r="G1419" s="1">
        <f t="shared" si="44"/>
        <v>-8.6999999999999994E-2</v>
      </c>
      <c r="H1419" s="1" t="str">
        <f t="shared" si="45"/>
        <v/>
      </c>
      <c r="I1419" s="1">
        <v>-1.4999999999999999E-2</v>
      </c>
      <c r="J1419" s="1">
        <f>+D1419-F1419+I1419*O1419</f>
        <v>-7.7149999999999996E-2</v>
      </c>
      <c r="K1419" s="1">
        <v>8.2666939124465006E-3</v>
      </c>
      <c r="L1419" s="1">
        <f>+K1419-J1419</f>
        <v>8.5416693912446495E-2</v>
      </c>
      <c r="M1419" s="1">
        <v>-2.3733306087553498E-2</v>
      </c>
      <c r="N1419" s="1">
        <f>+M1419-J1419</f>
        <v>5.3416693912446495E-2</v>
      </c>
      <c r="O1419">
        <v>3.21</v>
      </c>
      <c r="P1419" t="s">
        <v>17</v>
      </c>
      <c r="Q1419">
        <v>0</v>
      </c>
      <c r="R1419">
        <v>6.0692028701309704E-4</v>
      </c>
      <c r="S1419">
        <v>6.0451263561844904E-3</v>
      </c>
      <c r="T1419">
        <v>0.05</v>
      </c>
    </row>
    <row r="1420" spans="1:20" x14ac:dyDescent="0.3">
      <c r="A1420" t="s">
        <v>107</v>
      </c>
      <c r="B1420">
        <v>2012</v>
      </c>
      <c r="C1420">
        <v>809739.3125</v>
      </c>
      <c r="D1420" s="1">
        <v>2.7E-2</v>
      </c>
      <c r="E1420" s="1">
        <v>0.93238919973373402</v>
      </c>
      <c r="F1420" s="1">
        <v>-4.2999999999999997E-2</v>
      </c>
      <c r="G1420" s="1">
        <f t="shared" si="44"/>
        <v>-0.13</v>
      </c>
      <c r="H1420" s="1">
        <f t="shared" si="45"/>
        <v>1.0847940342500785E-2</v>
      </c>
      <c r="I1420" s="1">
        <v>8.0000000000000002E-3</v>
      </c>
      <c r="J1420" s="1">
        <f>+D1420-F1420+I1420*O1420</f>
        <v>9.4559999999999991E-2</v>
      </c>
      <c r="K1420" s="1">
        <v>2.1606920287013099E-2</v>
      </c>
      <c r="L1420" s="1">
        <f>+K1420-J1420</f>
        <v>-7.2953079712986896E-2</v>
      </c>
      <c r="M1420" s="1">
        <v>6.0692028701309704E-4</v>
      </c>
      <c r="N1420" s="1">
        <f>+M1420-J1420</f>
        <v>-9.3953079712986901E-2</v>
      </c>
      <c r="O1420">
        <v>3.07</v>
      </c>
      <c r="P1420" t="s">
        <v>17</v>
      </c>
      <c r="Q1420">
        <v>0.01</v>
      </c>
      <c r="R1420">
        <v>-3.4960485994819902E-4</v>
      </c>
      <c r="S1420">
        <v>-6.4763762056827996E-3</v>
      </c>
      <c r="T1420">
        <v>-0.05</v>
      </c>
    </row>
    <row r="1421" spans="1:20" x14ac:dyDescent="0.3">
      <c r="A1421" t="s">
        <v>107</v>
      </c>
      <c r="B1421">
        <v>2013</v>
      </c>
      <c r="C1421">
        <v>819658.875</v>
      </c>
      <c r="D1421" s="1">
        <v>2.9000000000000001E-2</v>
      </c>
      <c r="E1421" s="1">
        <v>0.93059259653091397</v>
      </c>
      <c r="F1421" s="1">
        <v>3.4000000000000002E-2</v>
      </c>
      <c r="G1421" s="1">
        <f t="shared" si="44"/>
        <v>-9.6000000000000002E-2</v>
      </c>
      <c r="H1421" s="1" t="str">
        <f t="shared" si="45"/>
        <v/>
      </c>
      <c r="I1421" s="1">
        <v>-2E-3</v>
      </c>
      <c r="J1421" s="1">
        <f>+D1421-F1421+I1421*O1421</f>
        <v>-1.1360000000000002E-2</v>
      </c>
      <c r="K1421" s="1">
        <v>1.46503951400518E-2</v>
      </c>
      <c r="L1421" s="1">
        <f>+K1421-J1421</f>
        <v>2.6010395140051802E-2</v>
      </c>
      <c r="M1421" s="1">
        <v>-3.4960485994819902E-4</v>
      </c>
      <c r="N1421" s="1">
        <f>+M1421-J1421</f>
        <v>1.1010395140051803E-2</v>
      </c>
      <c r="O1421">
        <v>3.18</v>
      </c>
      <c r="P1421" t="s">
        <v>17</v>
      </c>
      <c r="Q1421">
        <v>-0.01</v>
      </c>
      <c r="R1421">
        <v>-8.9545144550502304E-3</v>
      </c>
      <c r="S1421">
        <v>-1.09625379554927E-2</v>
      </c>
      <c r="T1421">
        <v>0.03</v>
      </c>
    </row>
    <row r="1422" spans="1:20" x14ac:dyDescent="0.3">
      <c r="A1422" t="s">
        <v>107</v>
      </c>
      <c r="B1422">
        <v>2014</v>
      </c>
      <c r="C1422">
        <v>830119.625</v>
      </c>
      <c r="D1422" s="1">
        <v>0.03</v>
      </c>
      <c r="E1422" s="1">
        <v>0.92089140415191695</v>
      </c>
      <c r="F1422" s="1">
        <v>-2.4E-2</v>
      </c>
      <c r="G1422" s="1">
        <f t="shared" si="44"/>
        <v>-0.12</v>
      </c>
      <c r="H1422" s="1" t="str">
        <f t="shared" si="45"/>
        <v/>
      </c>
      <c r="I1422" s="1">
        <v>-0.01</v>
      </c>
      <c r="J1422" s="1">
        <f>+D1422-F1422+I1422*O1422</f>
        <v>2.2999999999999996E-2</v>
      </c>
      <c r="K1422" s="1">
        <v>7.04548554494977E-3</v>
      </c>
      <c r="L1422" s="1">
        <f>+K1422-J1422</f>
        <v>-1.5954514455050226E-2</v>
      </c>
      <c r="M1422" s="1">
        <v>-8.9545144550502304E-3</v>
      </c>
      <c r="N1422" s="1">
        <f>+M1422-J1422</f>
        <v>-3.1954514455050223E-2</v>
      </c>
      <c r="O1422">
        <v>3.1</v>
      </c>
      <c r="P1422" t="s">
        <v>16</v>
      </c>
      <c r="Q1422">
        <v>-0.01</v>
      </c>
      <c r="R1422">
        <v>8.2171803116798392E-3</v>
      </c>
      <c r="S1422">
        <v>-2.2046271711587798E-2</v>
      </c>
      <c r="T1422">
        <v>-0.03</v>
      </c>
    </row>
    <row r="1423" spans="1:20" x14ac:dyDescent="0.3">
      <c r="A1423" t="s">
        <v>107</v>
      </c>
      <c r="B1423">
        <v>2015</v>
      </c>
      <c r="C1423">
        <v>839263.125</v>
      </c>
      <c r="D1423" s="1">
        <v>1.2999999999999999E-2</v>
      </c>
      <c r="E1423" s="1">
        <v>0.91968953609466597</v>
      </c>
      <c r="F1423" s="1">
        <v>8.9999999999999993E-3</v>
      </c>
      <c r="G1423" s="1">
        <f t="shared" si="44"/>
        <v>-0.111</v>
      </c>
      <c r="H1423" s="1" t="str">
        <f t="shared" si="45"/>
        <v/>
      </c>
      <c r="I1423" s="1">
        <v>-1E-3</v>
      </c>
      <c r="J1423" s="1">
        <f>+D1423-F1423+I1423*O1423</f>
        <v>8.7000000000000011E-4</v>
      </c>
      <c r="K1423" s="1">
        <v>9.2171803116798401E-3</v>
      </c>
      <c r="L1423" s="1">
        <f>+K1423-J1423</f>
        <v>8.3471803116798408E-3</v>
      </c>
      <c r="M1423" s="1">
        <v>8.2171803116798392E-3</v>
      </c>
      <c r="N1423" s="1">
        <f>+M1423-J1423</f>
        <v>7.3471803116798391E-3</v>
      </c>
      <c r="O1423">
        <v>3.13</v>
      </c>
      <c r="P1423" t="s">
        <v>17</v>
      </c>
      <c r="Q1423">
        <v>-0.02</v>
      </c>
      <c r="R1423">
        <v>-6.8761834055185199E-3</v>
      </c>
      <c r="S1423">
        <v>-2.00297404080629E-2</v>
      </c>
      <c r="T1423">
        <v>0.02</v>
      </c>
    </row>
    <row r="1424" spans="1:20" x14ac:dyDescent="0.3">
      <c r="A1424" t="s">
        <v>107</v>
      </c>
      <c r="B1424">
        <v>2016</v>
      </c>
      <c r="C1424">
        <v>847511.25</v>
      </c>
      <c r="D1424" s="1">
        <v>4.2999999999999997E-2</v>
      </c>
      <c r="E1424" s="1">
        <v>0.91820830106735196</v>
      </c>
      <c r="F1424" s="1">
        <v>-4.0000000000000001E-3</v>
      </c>
      <c r="G1424" s="1">
        <f t="shared" si="44"/>
        <v>-0.115</v>
      </c>
      <c r="H1424" s="1" t="str">
        <f t="shared" si="45"/>
        <v/>
      </c>
      <c r="I1424" s="1">
        <v>-1E-3</v>
      </c>
      <c r="J1424" s="1">
        <f>+D1424-F1424+I1424*O1424</f>
        <v>4.3880000000000002E-2</v>
      </c>
      <c r="K1424" s="1">
        <v>6.1238165944814699E-3</v>
      </c>
      <c r="L1424" s="1">
        <f>+K1424-J1424</f>
        <v>-3.7756183405518534E-2</v>
      </c>
      <c r="M1424" s="1">
        <v>-6.8761834055185199E-3</v>
      </c>
      <c r="N1424" s="1">
        <f>+M1424-J1424</f>
        <v>-5.0756183405518525E-2</v>
      </c>
      <c r="O1424">
        <v>3.12</v>
      </c>
      <c r="P1424" t="s">
        <v>16</v>
      </c>
      <c r="Q1424">
        <v>-0.02</v>
      </c>
      <c r="R1424">
        <v>-3.1932237841188899E-2</v>
      </c>
      <c r="S1424">
        <v>-3.4721811302006099E-2</v>
      </c>
      <c r="T1424">
        <v>0</v>
      </c>
    </row>
    <row r="1425" spans="1:20" x14ac:dyDescent="0.3">
      <c r="A1425" t="s">
        <v>107</v>
      </c>
      <c r="B1425">
        <v>2017</v>
      </c>
      <c r="C1425">
        <v>853909.75</v>
      </c>
      <c r="D1425" s="1">
        <v>7.0999999999999994E-2</v>
      </c>
      <c r="E1425" s="1">
        <v>0.904929459095001</v>
      </c>
      <c r="F1425" s="1">
        <v>-0.02</v>
      </c>
      <c r="G1425" s="1">
        <f t="shared" si="44"/>
        <v>-0.13500000000000001</v>
      </c>
      <c r="H1425" s="1">
        <f t="shared" si="45"/>
        <v>2.2747077047824849E-2</v>
      </c>
      <c r="I1425" s="1">
        <v>-1.2999999999999999E-2</v>
      </c>
      <c r="J1425" s="1">
        <f>+D1425-F1425+I1425*O1425</f>
        <v>5.135E-2</v>
      </c>
      <c r="K1425" s="1">
        <v>-1.0932237841188901E-2</v>
      </c>
      <c r="L1425" s="1">
        <f>+K1425-J1425</f>
        <v>-6.22822378411889E-2</v>
      </c>
      <c r="M1425" s="1">
        <v>-3.1932237841188899E-2</v>
      </c>
      <c r="N1425" s="1">
        <f>+M1425-J1425</f>
        <v>-8.3282237841188905E-2</v>
      </c>
      <c r="O1425">
        <v>3.05</v>
      </c>
      <c r="P1425" t="s">
        <v>16</v>
      </c>
      <c r="Q1425">
        <v>-0.03</v>
      </c>
      <c r="R1425">
        <v>9.2094412446019902E-4</v>
      </c>
      <c r="S1425">
        <v>-8.2140788435935905E-3</v>
      </c>
      <c r="T1425">
        <v>-0.02</v>
      </c>
    </row>
    <row r="1426" spans="1:20" x14ac:dyDescent="0.3">
      <c r="A1426" t="s">
        <v>107</v>
      </c>
      <c r="B1426">
        <v>2018</v>
      </c>
      <c r="C1426">
        <v>859706.5</v>
      </c>
      <c r="D1426" s="1">
        <v>3.7999999999999999E-2</v>
      </c>
      <c r="E1426" s="1">
        <v>0.91085189580917403</v>
      </c>
      <c r="F1426" s="1">
        <v>-3.7999999999999999E-2</v>
      </c>
      <c r="G1426" s="1">
        <f t="shared" si="44"/>
        <v>-0.17300000000000001</v>
      </c>
      <c r="H1426" s="1">
        <f t="shared" si="45"/>
        <v>2.0427717827260501E-2</v>
      </c>
      <c r="I1426" s="1">
        <v>6.0000000000000001E-3</v>
      </c>
      <c r="J1426" s="1">
        <f>+D1426-F1426+I1426*O1426</f>
        <v>9.3640000000000001E-2</v>
      </c>
      <c r="K1426" s="1">
        <v>2.49209441244602E-2</v>
      </c>
      <c r="L1426" s="1">
        <f>+K1426-J1426</f>
        <v>-6.8719055875539808E-2</v>
      </c>
      <c r="M1426" s="1">
        <v>9.2094412446019902E-4</v>
      </c>
      <c r="N1426" s="1">
        <f>+M1426-J1426</f>
        <v>-9.2719055875539802E-2</v>
      </c>
      <c r="O1426">
        <v>2.94</v>
      </c>
      <c r="P1426" t="s">
        <v>17</v>
      </c>
      <c r="Q1426">
        <v>-0.01</v>
      </c>
      <c r="R1426">
        <v>2.5732099711894998E-3</v>
      </c>
      <c r="S1426">
        <v>-1.5227984637021999E-2</v>
      </c>
      <c r="T1426">
        <v>-0.03</v>
      </c>
    </row>
    <row r="1427" spans="1:20" x14ac:dyDescent="0.3">
      <c r="A1427" t="s">
        <v>107</v>
      </c>
      <c r="B1427">
        <v>2019</v>
      </c>
      <c r="C1427">
        <v>866495.4375</v>
      </c>
      <c r="D1427" s="1">
        <v>3.2000000000000001E-2</v>
      </c>
      <c r="E1427" s="1">
        <v>0.91738677024841297</v>
      </c>
      <c r="F1427" s="1">
        <v>2.5000000000000001E-2</v>
      </c>
      <c r="G1427" s="1">
        <f t="shared" si="44"/>
        <v>-0.14800000000000002</v>
      </c>
      <c r="H1427" s="1">
        <f t="shared" si="45"/>
        <v>3.1532377935946002E-2</v>
      </c>
      <c r="I1427" s="1">
        <v>7.0000000000000001E-3</v>
      </c>
      <c r="J1427" s="1">
        <f>+D1427-F1427+I1427*O1427</f>
        <v>2.8069999999999998E-2</v>
      </c>
      <c r="K1427" s="1">
        <v>2.0573209971189499E-2</v>
      </c>
      <c r="L1427" s="1">
        <f>+K1427-J1427</f>
        <v>-7.4967900288104988E-3</v>
      </c>
      <c r="M1427" s="1">
        <v>2.5732099711894998E-3</v>
      </c>
      <c r="N1427" s="1">
        <f>+M1427-J1427</f>
        <v>-2.5496790028810497E-2</v>
      </c>
      <c r="O1427">
        <v>3.01</v>
      </c>
      <c r="P1427" t="s">
        <v>15</v>
      </c>
      <c r="Q1427">
        <v>-0.02</v>
      </c>
      <c r="R1427">
        <v>8.2822256833314997E-3</v>
      </c>
      <c r="S1427">
        <v>-1.05669647455215E-2</v>
      </c>
      <c r="T1427">
        <v>0.03</v>
      </c>
    </row>
    <row r="1428" spans="1:20" x14ac:dyDescent="0.3">
      <c r="A1428" t="s">
        <v>107</v>
      </c>
      <c r="B1428">
        <v>2020</v>
      </c>
      <c r="C1428">
        <v>874623.6875</v>
      </c>
      <c r="D1428" s="1">
        <v>2.5000000000000001E-2</v>
      </c>
      <c r="E1428" s="1">
        <v>0.93777304887771595</v>
      </c>
      <c r="F1428" s="1">
        <v>-0.02</v>
      </c>
      <c r="G1428" s="1">
        <f t="shared" si="44"/>
        <v>-0.16800000000000001</v>
      </c>
      <c r="H1428" s="1">
        <f t="shared" si="45"/>
        <v>4.0988035500049605E-2</v>
      </c>
      <c r="I1428" s="1">
        <v>0.02</v>
      </c>
      <c r="J1428" s="1">
        <f>+D1428-F1428+I1428*O1428</f>
        <v>0.10400000000000001</v>
      </c>
      <c r="K1428" s="1">
        <v>2.02822256833315E-2</v>
      </c>
      <c r="L1428" s="1">
        <f>+K1428-J1428</f>
        <v>-8.3717774316668506E-2</v>
      </c>
      <c r="M1428" s="1">
        <v>8.2822256833314997E-3</v>
      </c>
      <c r="N1428" s="1">
        <f>+M1428-J1428</f>
        <v>-9.5717774316668502E-2</v>
      </c>
      <c r="O1428">
        <v>2.95</v>
      </c>
      <c r="P1428" t="s">
        <v>17</v>
      </c>
      <c r="Q1428">
        <v>-0.01</v>
      </c>
      <c r="R1428">
        <v>-4.2174698114395004E-3</v>
      </c>
      <c r="S1428">
        <v>-4.7807082533836399E-2</v>
      </c>
      <c r="T1428">
        <v>0.02</v>
      </c>
    </row>
    <row r="1429" spans="1:20" x14ac:dyDescent="0.3">
      <c r="A1429" t="s">
        <v>107</v>
      </c>
      <c r="B1429">
        <v>2021</v>
      </c>
      <c r="C1429">
        <v>882200.625</v>
      </c>
      <c r="D1429" s="1">
        <v>1.7000000000000001E-2</v>
      </c>
      <c r="E1429" s="1">
        <v>0.95539861917495705</v>
      </c>
      <c r="F1429" s="1">
        <v>-2.1000000000000001E-2</v>
      </c>
      <c r="G1429" s="1">
        <f t="shared" si="44"/>
        <v>-0.189</v>
      </c>
      <c r="H1429" s="1">
        <f t="shared" si="45"/>
        <v>3.9193540811538703E-2</v>
      </c>
      <c r="I1429" s="1">
        <v>1.7999999999999999E-2</v>
      </c>
      <c r="J1429" s="1">
        <f>+D1429-F1429+I1429*O1429</f>
        <v>9.0020000000000003E-2</v>
      </c>
      <c r="K1429" s="1">
        <v>4.27825301885605E-2</v>
      </c>
      <c r="L1429" s="1">
        <f>+K1429-J1429</f>
        <v>-4.7237469811439503E-2</v>
      </c>
      <c r="M1429" s="1">
        <v>-4.2174698114395004E-3</v>
      </c>
      <c r="N1429" s="1">
        <f>+M1429-J1429</f>
        <v>-9.4237469811439503E-2</v>
      </c>
      <c r="O1429">
        <v>2.89</v>
      </c>
      <c r="P1429" t="s">
        <v>17</v>
      </c>
      <c r="Q1429">
        <v>-0.05</v>
      </c>
      <c r="R1429">
        <v>-4.0806459188461298E-2</v>
      </c>
      <c r="S1429">
        <v>-8.7029524147509904E-3</v>
      </c>
      <c r="T1429">
        <v>-0.05</v>
      </c>
    </row>
    <row r="1430" spans="1:20" x14ac:dyDescent="0.3">
      <c r="A1430" t="s">
        <v>107</v>
      </c>
      <c r="B1430">
        <v>2022</v>
      </c>
      <c r="C1430">
        <v>892798.5</v>
      </c>
      <c r="D1430" s="1">
        <v>0.06</v>
      </c>
      <c r="E1430" s="1">
        <v>0.92822396755218495</v>
      </c>
      <c r="F1430" s="1">
        <v>4.0000000000000001E-3</v>
      </c>
      <c r="G1430" s="1">
        <f t="shared" si="44"/>
        <v>-0.185</v>
      </c>
      <c r="H1430" s="1" t="str">
        <f t="shared" si="45"/>
        <v/>
      </c>
      <c r="I1430" s="1">
        <v>-2.7E-2</v>
      </c>
      <c r="J1430" s="1">
        <f>+D1430-F1430+I1430*O1430</f>
        <v>-2.23E-2</v>
      </c>
      <c r="K1430" s="1">
        <v>3.9193540811538703E-2</v>
      </c>
      <c r="L1430" s="1">
        <f>+K1430-J1430</f>
        <v>6.1493540811538704E-2</v>
      </c>
      <c r="M1430" s="1">
        <v>-4.0806459188461298E-2</v>
      </c>
      <c r="N1430" s="1">
        <f>+M1430-J1430</f>
        <v>-1.8506459188461298E-2</v>
      </c>
      <c r="O1430">
        <v>2.9</v>
      </c>
      <c r="P1430" t="s">
        <v>17</v>
      </c>
      <c r="Q1430">
        <v>-0.01</v>
      </c>
      <c r="R1430">
        <v>-3.59266351759433E-2</v>
      </c>
      <c r="S1430">
        <v>-1.6367707401514001E-2</v>
      </c>
      <c r="T1430">
        <v>0.02</v>
      </c>
    </row>
    <row r="1431" spans="1:20" x14ac:dyDescent="0.3">
      <c r="A1431" t="s">
        <v>108</v>
      </c>
      <c r="B1431">
        <v>2006</v>
      </c>
      <c r="C1431">
        <v>536253.125</v>
      </c>
      <c r="D1431" s="1">
        <v>7.0999999999999994E-2</v>
      </c>
      <c r="E1431" s="1">
        <v>0.87858772277831998</v>
      </c>
      <c r="F1431" s="1">
        <v>0.02</v>
      </c>
      <c r="G1431" s="1">
        <f t="shared" si="44"/>
        <v>0.02</v>
      </c>
      <c r="H1431" s="1" t="str">
        <f t="shared" si="45"/>
        <v/>
      </c>
      <c r="I1431" s="1">
        <v>-4.7E-2</v>
      </c>
      <c r="J1431" s="1">
        <f>+D1431-F1431+I1431*O1431</f>
        <v>-4.7230000000000008E-2</v>
      </c>
      <c r="K1431" s="1">
        <v>4.9571648240089403E-2</v>
      </c>
      <c r="L1431" s="1">
        <f>+K1431-J1431</f>
        <v>9.6801648240089411E-2</v>
      </c>
      <c r="M1431" s="1">
        <v>1.7571648240089398E-2</v>
      </c>
      <c r="N1431" s="1">
        <f>+M1431-J1431</f>
        <v>6.480164824008941E-2</v>
      </c>
      <c r="O1431">
        <v>2.09</v>
      </c>
      <c r="P1431" t="s">
        <v>17</v>
      </c>
      <c r="Q1431">
        <v>0.01</v>
      </c>
      <c r="R1431">
        <v>-4.4502866417170002E-3</v>
      </c>
      <c r="S1431">
        <v>-3.52853070944549E-3</v>
      </c>
      <c r="T1431">
        <v>0.02</v>
      </c>
    </row>
    <row r="1432" spans="1:20" x14ac:dyDescent="0.3">
      <c r="A1432" t="s">
        <v>108</v>
      </c>
      <c r="B1432">
        <v>2007</v>
      </c>
      <c r="C1432">
        <v>540380.1875</v>
      </c>
      <c r="D1432" s="1">
        <v>5.0000000000000001E-3</v>
      </c>
      <c r="E1432" s="1">
        <v>0.87024945020675704</v>
      </c>
      <c r="F1432" s="1">
        <v>8.9999999999999993E-3</v>
      </c>
      <c r="G1432" s="1">
        <f t="shared" si="44"/>
        <v>2.8999999999999998E-2</v>
      </c>
      <c r="H1432" s="1" t="str">
        <f t="shared" si="45"/>
        <v/>
      </c>
      <c r="I1432" s="1">
        <v>-8.0000000000000002E-3</v>
      </c>
      <c r="J1432" s="1">
        <f>+D1432-F1432+I1432*O1432</f>
        <v>-2.0879999999999999E-2</v>
      </c>
      <c r="K1432" s="1">
        <v>2.4549713358283001E-2</v>
      </c>
      <c r="L1432" s="1">
        <f>+K1432-J1432</f>
        <v>4.5429713358282997E-2</v>
      </c>
      <c r="M1432" s="1">
        <v>-4.4502866417170002E-3</v>
      </c>
      <c r="N1432" s="1">
        <f>+M1432-J1432</f>
        <v>1.6429713358282999E-2</v>
      </c>
      <c r="O1432">
        <v>2.11</v>
      </c>
      <c r="P1432" t="s">
        <v>17</v>
      </c>
      <c r="Q1432">
        <v>0</v>
      </c>
      <c r="R1432">
        <v>-5.42473022937775E-2</v>
      </c>
      <c r="S1432">
        <v>-2.4736498016863999E-2</v>
      </c>
      <c r="T1432">
        <v>0.01</v>
      </c>
    </row>
    <row r="1433" spans="1:20" x14ac:dyDescent="0.3">
      <c r="A1433" t="s">
        <v>108</v>
      </c>
      <c r="B1433">
        <v>2008</v>
      </c>
      <c r="C1433">
        <v>542333.8125</v>
      </c>
      <c r="D1433" s="1">
        <v>2.3E-2</v>
      </c>
      <c r="E1433" s="1">
        <v>0.86849880218505904</v>
      </c>
      <c r="F1433" s="1">
        <v>7.5999999999999998E-2</v>
      </c>
      <c r="G1433" s="1">
        <f t="shared" si="44"/>
        <v>0.105</v>
      </c>
      <c r="H1433" s="1" t="str">
        <f t="shared" si="45"/>
        <v/>
      </c>
      <c r="I1433" s="1">
        <v>-2E-3</v>
      </c>
      <c r="J1433" s="1">
        <f>+D1433-F1433+I1433*O1433</f>
        <v>-5.7540000000000001E-2</v>
      </c>
      <c r="K1433" s="1">
        <v>-1.6247302293777501E-2</v>
      </c>
      <c r="L1433" s="1">
        <f>+K1433-J1433</f>
        <v>4.12926977062225E-2</v>
      </c>
      <c r="M1433" s="1">
        <v>-5.42473022937775E-2</v>
      </c>
      <c r="N1433" s="1">
        <f>+M1433-J1433</f>
        <v>3.2926977062225013E-3</v>
      </c>
      <c r="O1433">
        <v>2.27</v>
      </c>
      <c r="P1433" t="s">
        <v>17</v>
      </c>
      <c r="Q1433">
        <v>-0.02</v>
      </c>
      <c r="R1433">
        <v>-2.8795313745736999E-2</v>
      </c>
      <c r="S1433">
        <v>-2.2286120802164399E-3</v>
      </c>
      <c r="T1433">
        <v>7.0000000000000007E-2</v>
      </c>
    </row>
    <row r="1434" spans="1:20" x14ac:dyDescent="0.3">
      <c r="A1434" t="s">
        <v>108</v>
      </c>
      <c r="B1434">
        <v>2009</v>
      </c>
      <c r="C1434">
        <v>542615.5</v>
      </c>
      <c r="D1434" s="1">
        <v>0</v>
      </c>
      <c r="E1434" s="1">
        <v>0.88706380128860496</v>
      </c>
      <c r="F1434" s="1">
        <v>-1.2E-2</v>
      </c>
      <c r="G1434" s="1">
        <f t="shared" si="44"/>
        <v>9.2999999999999999E-2</v>
      </c>
      <c r="H1434" s="1" t="str">
        <f t="shared" si="45"/>
        <v/>
      </c>
      <c r="I1434" s="1">
        <v>1.9E-2</v>
      </c>
      <c r="J1434" s="1">
        <f>+D1434-F1434+I1434*O1434</f>
        <v>5.4559999999999997E-2</v>
      </c>
      <c r="K1434" s="1">
        <v>-3.2795313745737097E-2</v>
      </c>
      <c r="L1434" s="1">
        <f>+K1434-J1434</f>
        <v>-8.7355313745737101E-2</v>
      </c>
      <c r="M1434" s="1">
        <v>-2.8795313745736999E-2</v>
      </c>
      <c r="N1434" s="1">
        <f>+M1434-J1434</f>
        <v>-8.3355313745737E-2</v>
      </c>
      <c r="O1434">
        <v>2.2400000000000002</v>
      </c>
      <c r="P1434" t="s">
        <v>17</v>
      </c>
      <c r="Q1434">
        <v>0</v>
      </c>
      <c r="R1434">
        <v>-9.8339521177113094E-3</v>
      </c>
      <c r="S1434">
        <v>-3.7384335882962401E-4</v>
      </c>
      <c r="T1434">
        <v>-0.03</v>
      </c>
    </row>
    <row r="1435" spans="1:20" x14ac:dyDescent="0.3">
      <c r="A1435" t="s">
        <v>108</v>
      </c>
      <c r="B1435">
        <v>2010</v>
      </c>
      <c r="C1435">
        <v>544120.75</v>
      </c>
      <c r="D1435" s="1">
        <v>1.6E-2</v>
      </c>
      <c r="E1435" s="1">
        <v>0.895147144794464</v>
      </c>
      <c r="F1435" s="1">
        <v>4.2000000000000003E-2</v>
      </c>
      <c r="G1435" s="1">
        <f t="shared" si="44"/>
        <v>0.13500000000000001</v>
      </c>
      <c r="H1435" s="1">
        <f t="shared" si="45"/>
        <v>1.5725554432719901E-2</v>
      </c>
      <c r="I1435" s="1">
        <v>8.0000000000000002E-3</v>
      </c>
      <c r="J1435" s="1">
        <f>+D1435-F1435+I1435*O1435</f>
        <v>-7.2800000000000017E-3</v>
      </c>
      <c r="K1435" s="1">
        <v>6.16604788228869E-3</v>
      </c>
      <c r="L1435" s="1">
        <f>+K1435-J1435</f>
        <v>1.3446047882288693E-2</v>
      </c>
      <c r="M1435" s="1">
        <v>-9.8339521177113094E-3</v>
      </c>
      <c r="N1435" s="1">
        <f>+M1435-J1435</f>
        <v>-2.5539521177113077E-3</v>
      </c>
      <c r="O1435">
        <v>2.34</v>
      </c>
      <c r="P1435" t="s">
        <v>15</v>
      </c>
      <c r="Q1435">
        <v>0</v>
      </c>
      <c r="R1435">
        <v>-1.9027653492987101E-2</v>
      </c>
      <c r="S1435">
        <v>2.2561210207640999E-3</v>
      </c>
      <c r="T1435">
        <v>0.03</v>
      </c>
    </row>
    <row r="1436" spans="1:20" x14ac:dyDescent="0.3">
      <c r="A1436" t="s">
        <v>108</v>
      </c>
      <c r="B1436">
        <v>2011</v>
      </c>
      <c r="C1436">
        <v>545026.8125</v>
      </c>
      <c r="D1436" s="1">
        <v>6.0000000000000001E-3</v>
      </c>
      <c r="E1436" s="1">
        <v>0.89890670776367199</v>
      </c>
      <c r="F1436" s="1">
        <v>-0.08</v>
      </c>
      <c r="G1436" s="1">
        <f t="shared" si="44"/>
        <v>5.5000000000000007E-2</v>
      </c>
      <c r="H1436" s="1" t="str">
        <f t="shared" si="45"/>
        <v/>
      </c>
      <c r="I1436" s="1">
        <v>4.0000000000000001E-3</v>
      </c>
      <c r="J1436" s="1">
        <f>+D1436-F1436+I1436*O1436</f>
        <v>9.4600000000000004E-2</v>
      </c>
      <c r="K1436" s="1">
        <v>1.2972346507012801E-2</v>
      </c>
      <c r="L1436" s="1">
        <f>+K1436-J1436</f>
        <v>-8.1627653492987201E-2</v>
      </c>
      <c r="M1436" s="1">
        <v>-1.9027653492987101E-2</v>
      </c>
      <c r="N1436" s="1">
        <f>+M1436-J1436</f>
        <v>-0.1136276534929871</v>
      </c>
      <c r="O1436">
        <v>2.15</v>
      </c>
      <c r="P1436" t="s">
        <v>17</v>
      </c>
      <c r="Q1436">
        <v>0</v>
      </c>
      <c r="R1436">
        <v>-2.521237641573E-3</v>
      </c>
      <c r="S1436">
        <v>2.9169684275983901E-3</v>
      </c>
      <c r="T1436">
        <v>-0.08</v>
      </c>
    </row>
    <row r="1437" spans="1:20" x14ac:dyDescent="0.3">
      <c r="A1437" t="s">
        <v>108</v>
      </c>
      <c r="B1437">
        <v>2012</v>
      </c>
      <c r="C1437">
        <v>547905.6875</v>
      </c>
      <c r="D1437" s="1">
        <v>0</v>
      </c>
      <c r="E1437" s="1">
        <v>0.92217874526977495</v>
      </c>
      <c r="F1437" s="1">
        <v>0.109</v>
      </c>
      <c r="G1437" s="1">
        <f t="shared" si="44"/>
        <v>0.16400000000000001</v>
      </c>
      <c r="H1437" s="1">
        <f t="shared" si="45"/>
        <v>2.3208226077258549E-2</v>
      </c>
      <c r="I1437" s="1">
        <v>2.3E-2</v>
      </c>
      <c r="J1437" s="1">
        <f>+D1437-F1437+I1437*O1437</f>
        <v>-5.4260000000000003E-2</v>
      </c>
      <c r="K1437" s="1">
        <v>1.8478762358426999E-2</v>
      </c>
      <c r="L1437" s="1">
        <f>+K1437-J1437</f>
        <v>7.2738762358426995E-2</v>
      </c>
      <c r="M1437" s="1">
        <v>-2.521237641573E-3</v>
      </c>
      <c r="N1437" s="1">
        <f>+M1437-J1437</f>
        <v>5.1738762358427004E-2</v>
      </c>
      <c r="O1437">
        <v>2.38</v>
      </c>
      <c r="P1437" t="s">
        <v>15</v>
      </c>
      <c r="Q1437">
        <v>0</v>
      </c>
      <c r="R1437">
        <v>5.7099467515944902E-3</v>
      </c>
      <c r="S1437">
        <v>-4.1682459414010099E-4</v>
      </c>
      <c r="T1437">
        <v>0.11</v>
      </c>
    </row>
    <row r="1438" spans="1:20" x14ac:dyDescent="0.3">
      <c r="A1438" t="s">
        <v>108</v>
      </c>
      <c r="B1438">
        <v>2013</v>
      </c>
      <c r="C1438">
        <v>551653.625</v>
      </c>
      <c r="D1438" s="1">
        <v>0</v>
      </c>
      <c r="E1438" s="1">
        <v>0.93141788244247403</v>
      </c>
      <c r="F1438" s="1">
        <v>-3.5000000000000003E-2</v>
      </c>
      <c r="G1438" s="1">
        <f t="shared" si="44"/>
        <v>0.129</v>
      </c>
      <c r="H1438" s="1">
        <f t="shared" si="45"/>
        <v>3.5731366835534552E-2</v>
      </c>
      <c r="I1438" s="1">
        <v>8.9999999999999993E-3</v>
      </c>
      <c r="J1438" s="1">
        <f>+D1438-F1438+I1438*O1438</f>
        <v>5.57E-2</v>
      </c>
      <c r="K1438" s="1">
        <v>2.0709946751594498E-2</v>
      </c>
      <c r="L1438" s="1">
        <f>+K1438-J1438</f>
        <v>-3.4990053248405498E-2</v>
      </c>
      <c r="M1438" s="1">
        <v>5.7099467515944902E-3</v>
      </c>
      <c r="N1438" s="1">
        <f>+M1438-J1438</f>
        <v>-4.9990053248405511E-2</v>
      </c>
      <c r="O1438">
        <v>2.2999999999999998</v>
      </c>
      <c r="P1438" t="s">
        <v>17</v>
      </c>
      <c r="Q1438">
        <v>0</v>
      </c>
      <c r="R1438">
        <v>9.7065054029225901E-3</v>
      </c>
      <c r="S1438">
        <v>7.6984819024800899E-3</v>
      </c>
      <c r="T1438">
        <v>-0.04</v>
      </c>
    </row>
    <row r="1439" spans="1:20" x14ac:dyDescent="0.3">
      <c r="A1439" t="s">
        <v>108</v>
      </c>
      <c r="B1439">
        <v>2014</v>
      </c>
      <c r="C1439">
        <v>558270.3125</v>
      </c>
      <c r="D1439" s="1">
        <v>0</v>
      </c>
      <c r="E1439" s="1">
        <v>0.93977981805801403</v>
      </c>
      <c r="F1439" s="1">
        <v>-1.7000000000000001E-2</v>
      </c>
      <c r="G1439" s="1">
        <f t="shared" si="44"/>
        <v>0.112</v>
      </c>
      <c r="H1439" s="1" t="str">
        <f t="shared" si="45"/>
        <v/>
      </c>
      <c r="I1439" s="1">
        <v>8.0000000000000002E-3</v>
      </c>
      <c r="J1439" s="1">
        <f>+D1439-F1439+I1439*O1439</f>
        <v>3.508E-2</v>
      </c>
      <c r="K1439" s="1">
        <v>2.5706505402922599E-2</v>
      </c>
      <c r="L1439" s="1">
        <f>+K1439-J1439</f>
        <v>-9.373494597077401E-3</v>
      </c>
      <c r="M1439" s="1">
        <v>9.7065054029225901E-3</v>
      </c>
      <c r="N1439" s="1">
        <f>+M1439-J1439</f>
        <v>-2.5373494597077412E-2</v>
      </c>
      <c r="O1439">
        <v>2.2599999999999998</v>
      </c>
      <c r="P1439" t="s">
        <v>17</v>
      </c>
      <c r="Q1439">
        <v>0.01</v>
      </c>
      <c r="R1439">
        <v>4.47562282681465E-2</v>
      </c>
      <c r="S1439">
        <v>1.44927762448788E-2</v>
      </c>
      <c r="T1439">
        <v>-0.02</v>
      </c>
    </row>
    <row r="1440" spans="1:20" x14ac:dyDescent="0.3">
      <c r="A1440" t="s">
        <v>108</v>
      </c>
      <c r="B1440">
        <v>2015</v>
      </c>
      <c r="C1440">
        <v>568728.5</v>
      </c>
      <c r="D1440" s="1">
        <v>0</v>
      </c>
      <c r="E1440" s="1">
        <v>0.95204812288284302</v>
      </c>
      <c r="F1440" s="1">
        <v>0</v>
      </c>
      <c r="G1440" s="1">
        <f t="shared" si="44"/>
        <v>0.112</v>
      </c>
      <c r="H1440" s="1" t="str">
        <f t="shared" si="45"/>
        <v/>
      </c>
      <c r="I1440" s="1">
        <v>1.2E-2</v>
      </c>
      <c r="J1440" s="1">
        <f>+D1440-F1440+I1440*O1440</f>
        <v>2.7119999999999998E-2</v>
      </c>
      <c r="K1440" s="1">
        <v>4.5756228268146501E-2</v>
      </c>
      <c r="L1440" s="1">
        <f>+K1440-J1440</f>
        <v>1.8636228268146503E-2</v>
      </c>
      <c r="M1440" s="1">
        <v>4.47562282681465E-2</v>
      </c>
      <c r="N1440" s="1">
        <f>+M1440-J1440</f>
        <v>1.7636228268146502E-2</v>
      </c>
      <c r="O1440">
        <v>2.2599999999999998</v>
      </c>
      <c r="P1440" t="s">
        <v>17</v>
      </c>
      <c r="Q1440">
        <v>0.01</v>
      </c>
      <c r="R1440">
        <v>4.4518702000379599E-2</v>
      </c>
      <c r="S1440">
        <v>3.1365144997835201E-2</v>
      </c>
      <c r="T1440">
        <v>0.01</v>
      </c>
    </row>
    <row r="1441" spans="1:20" x14ac:dyDescent="0.3">
      <c r="A1441" t="s">
        <v>108</v>
      </c>
      <c r="B1441">
        <v>2016</v>
      </c>
      <c r="C1441">
        <v>579858.0625</v>
      </c>
      <c r="D1441" s="1">
        <v>1.4E-2</v>
      </c>
      <c r="E1441" s="1">
        <v>0.95195472240447998</v>
      </c>
      <c r="F1441" s="1">
        <v>1E-3</v>
      </c>
      <c r="G1441" s="1">
        <f t="shared" si="44"/>
        <v>0.113</v>
      </c>
      <c r="H1441" s="1" t="str">
        <f t="shared" si="45"/>
        <v/>
      </c>
      <c r="I1441" s="1">
        <v>0</v>
      </c>
      <c r="J1441" s="1">
        <f>+D1441-F1441+I1441*O1441</f>
        <v>1.3000000000000001E-2</v>
      </c>
      <c r="K1441" s="1">
        <v>5.7518702000379597E-2</v>
      </c>
      <c r="L1441" s="1">
        <f>+K1441-J1441</f>
        <v>4.4518702000379592E-2</v>
      </c>
      <c r="M1441" s="1">
        <v>4.4518702000379599E-2</v>
      </c>
      <c r="N1441" s="1">
        <f>+M1441-J1441</f>
        <v>3.1518702000379595E-2</v>
      </c>
      <c r="O1441">
        <v>2.2599999999999998</v>
      </c>
      <c r="P1441" t="s">
        <v>17</v>
      </c>
      <c r="Q1441">
        <v>0.03</v>
      </c>
      <c r="R1441">
        <v>2.92900667488574E-2</v>
      </c>
      <c r="S1441">
        <v>2.6500493288040199E-2</v>
      </c>
      <c r="T1441">
        <v>0</v>
      </c>
    </row>
    <row r="1442" spans="1:20" x14ac:dyDescent="0.3">
      <c r="A1442" t="s">
        <v>108</v>
      </c>
      <c r="B1442">
        <v>2017</v>
      </c>
      <c r="C1442">
        <v>589591.9375</v>
      </c>
      <c r="D1442" s="1">
        <v>1.0999999999999999E-2</v>
      </c>
      <c r="E1442" s="1">
        <v>0.952717065811157</v>
      </c>
      <c r="F1442" s="1">
        <v>-6.0999999999999999E-2</v>
      </c>
      <c r="G1442" s="1">
        <f t="shared" si="44"/>
        <v>5.2000000000000005E-2</v>
      </c>
      <c r="H1442" s="1" t="str">
        <f t="shared" si="45"/>
        <v/>
      </c>
      <c r="I1442" s="1">
        <v>1E-3</v>
      </c>
      <c r="J1442" s="1">
        <f>+D1442-F1442+I1442*O1442</f>
        <v>7.4130000000000001E-2</v>
      </c>
      <c r="K1442" s="1">
        <v>5.0290066748857498E-2</v>
      </c>
      <c r="L1442" s="1">
        <f>+K1442-J1442</f>
        <v>-2.3839933251142503E-2</v>
      </c>
      <c r="M1442" s="1">
        <v>2.92900667488574E-2</v>
      </c>
      <c r="N1442" s="1">
        <f>+M1442-J1442</f>
        <v>-4.4839933251142605E-2</v>
      </c>
      <c r="O1442">
        <v>2.13</v>
      </c>
      <c r="P1442" t="s">
        <v>17</v>
      </c>
      <c r="Q1442">
        <v>0.03</v>
      </c>
      <c r="R1442">
        <v>1.6187902748584601E-2</v>
      </c>
      <c r="S1442">
        <v>7.0528797805309001E-3</v>
      </c>
      <c r="T1442">
        <v>-0.06</v>
      </c>
    </row>
    <row r="1443" spans="1:20" x14ac:dyDescent="0.3">
      <c r="A1443" t="s">
        <v>108</v>
      </c>
      <c r="B1443">
        <v>2018</v>
      </c>
      <c r="C1443">
        <v>596159.125</v>
      </c>
      <c r="D1443" s="1">
        <v>2.8000000000000001E-2</v>
      </c>
      <c r="E1443" s="1">
        <v>0.93256026506423995</v>
      </c>
      <c r="F1443" s="1">
        <v>-0.03</v>
      </c>
      <c r="G1443" s="1">
        <f t="shared" si="44"/>
        <v>2.2000000000000006E-2</v>
      </c>
      <c r="H1443" s="1" t="str">
        <f t="shared" si="45"/>
        <v/>
      </c>
      <c r="I1443" s="1">
        <v>-0.02</v>
      </c>
      <c r="J1443" s="1">
        <f>+D1443-F1443+I1443*O1443</f>
        <v>1.6799999999999995E-2</v>
      </c>
      <c r="K1443" s="1">
        <v>4.0187902748584699E-2</v>
      </c>
      <c r="L1443" s="1">
        <f>+K1443-J1443</f>
        <v>2.3387902748584703E-2</v>
      </c>
      <c r="M1443" s="1">
        <v>1.6187902748584601E-2</v>
      </c>
      <c r="N1443" s="1">
        <f>+M1443-J1443</f>
        <v>-6.1209725141539439E-4</v>
      </c>
      <c r="O1443">
        <v>2.06</v>
      </c>
      <c r="P1443" t="s">
        <v>16</v>
      </c>
      <c r="Q1443">
        <v>0.01</v>
      </c>
      <c r="R1443">
        <v>1.42603993117809E-2</v>
      </c>
      <c r="S1443">
        <v>-3.5407952964305999E-3</v>
      </c>
      <c r="T1443">
        <v>-0.02</v>
      </c>
    </row>
    <row r="1444" spans="1:20" x14ac:dyDescent="0.3">
      <c r="A1444" t="s">
        <v>108</v>
      </c>
      <c r="B1444">
        <v>2019</v>
      </c>
      <c r="C1444">
        <v>602639.125</v>
      </c>
      <c r="D1444" s="1">
        <v>0.03</v>
      </c>
      <c r="E1444" s="1">
        <v>0.93408811092376698</v>
      </c>
      <c r="F1444" s="1">
        <v>3.3000000000000002E-2</v>
      </c>
      <c r="G1444" s="1">
        <f t="shared" si="44"/>
        <v>5.5000000000000007E-2</v>
      </c>
      <c r="H1444" s="1" t="str">
        <f t="shared" si="45"/>
        <v/>
      </c>
      <c r="I1444" s="1">
        <v>2E-3</v>
      </c>
      <c r="J1444" s="1">
        <f>+D1444-F1444+I1444*O1444</f>
        <v>1.2599999999999972E-3</v>
      </c>
      <c r="K1444" s="1">
        <v>3.2260399311780902E-2</v>
      </c>
      <c r="L1444" s="1">
        <f>+K1444-J1444</f>
        <v>3.1000399311780905E-2</v>
      </c>
      <c r="M1444" s="1">
        <v>1.42603993117809E-2</v>
      </c>
      <c r="N1444" s="1">
        <f>+M1444-J1444</f>
        <v>1.3000399311780902E-2</v>
      </c>
      <c r="O1444">
        <v>2.13</v>
      </c>
      <c r="P1444" t="s">
        <v>15</v>
      </c>
      <c r="Q1444">
        <v>0</v>
      </c>
      <c r="R1444">
        <v>8.2719960361718903E-3</v>
      </c>
      <c r="S1444">
        <v>-1.0577194392681099E-2</v>
      </c>
      <c r="T1444">
        <v>0.04</v>
      </c>
    </row>
    <row r="1445" spans="1:20" x14ac:dyDescent="0.3">
      <c r="A1445" t="s">
        <v>108</v>
      </c>
      <c r="B1445">
        <v>2020</v>
      </c>
      <c r="C1445">
        <v>611074.8125</v>
      </c>
      <c r="D1445" s="1">
        <v>0.125</v>
      </c>
      <c r="E1445" s="1">
        <v>0.91538727283477805</v>
      </c>
      <c r="F1445" s="1">
        <v>-3.7999999999999999E-2</v>
      </c>
      <c r="G1445" s="1">
        <f t="shared" si="44"/>
        <v>1.7000000000000008E-2</v>
      </c>
      <c r="H1445" s="1" t="str">
        <f t="shared" si="45"/>
        <v/>
      </c>
      <c r="I1445" s="1">
        <v>-1.9E-2</v>
      </c>
      <c r="J1445" s="1">
        <f>+D1445-F1445+I1445*O1445</f>
        <v>0.12405000000000001</v>
      </c>
      <c r="K1445" s="1">
        <v>2.0271996036171899E-2</v>
      </c>
      <c r="L1445" s="1">
        <f>+K1445-J1445</f>
        <v>-0.10377800396382811</v>
      </c>
      <c r="M1445" s="1">
        <v>8.2719960361718903E-3</v>
      </c>
      <c r="N1445" s="1">
        <f>+M1445-J1445</f>
        <v>-0.11577800396382812</v>
      </c>
      <c r="O1445">
        <v>2.0499999999999998</v>
      </c>
      <c r="P1445" t="s">
        <v>16</v>
      </c>
      <c r="Q1445">
        <v>-0.01</v>
      </c>
      <c r="R1445">
        <v>0.116891956210136</v>
      </c>
      <c r="S1445">
        <v>7.3302343487738994E-2</v>
      </c>
      <c r="T1445">
        <v>0</v>
      </c>
    </row>
    <row r="1446" spans="1:20" x14ac:dyDescent="0.3">
      <c r="A1446" t="s">
        <v>108</v>
      </c>
      <c r="B1446">
        <v>2021</v>
      </c>
      <c r="C1446">
        <v>621351</v>
      </c>
      <c r="D1446" s="1">
        <v>4.1000000000000002E-2</v>
      </c>
      <c r="E1446" s="1">
        <v>0.95448637008667003</v>
      </c>
      <c r="F1446" s="1">
        <v>6.2E-2</v>
      </c>
      <c r="G1446" s="1">
        <f t="shared" si="44"/>
        <v>7.9000000000000015E-2</v>
      </c>
      <c r="H1446" s="1" t="str">
        <f t="shared" si="45"/>
        <v/>
      </c>
      <c r="I1446" s="1">
        <v>3.9E-2</v>
      </c>
      <c r="J1446" s="1">
        <f>+D1446-F1446+I1446*O1446</f>
        <v>6.4020000000000021E-2</v>
      </c>
      <c r="K1446" s="1">
        <v>0.163891956210136</v>
      </c>
      <c r="L1446" s="1">
        <f>+K1446-J1446</f>
        <v>9.9871956210135976E-2</v>
      </c>
      <c r="M1446" s="1">
        <v>0.116891956210136</v>
      </c>
      <c r="N1446" s="1">
        <f>+M1446-J1446</f>
        <v>5.2871956210135976E-2</v>
      </c>
      <c r="O1446">
        <v>2.1800000000000002</v>
      </c>
      <c r="P1446" t="s">
        <v>15</v>
      </c>
      <c r="Q1446">
        <v>7.0000000000000007E-2</v>
      </c>
      <c r="R1446">
        <v>-2.21573169529438E-2</v>
      </c>
      <c r="S1446">
        <v>9.9461898207664906E-3</v>
      </c>
      <c r="T1446">
        <v>0.03</v>
      </c>
    </row>
    <row r="1447" spans="1:20" x14ac:dyDescent="0.3">
      <c r="A1447" t="s">
        <v>108</v>
      </c>
      <c r="B1447">
        <v>2022</v>
      </c>
      <c r="C1447">
        <v>635528.3125</v>
      </c>
      <c r="D1447" s="1">
        <v>4.9000000000000002E-2</v>
      </c>
      <c r="E1447" s="1">
        <v>0.92432171106338501</v>
      </c>
      <c r="F1447" s="1">
        <v>3.6999999999999998E-2</v>
      </c>
      <c r="G1447" s="1">
        <f t="shared" si="44"/>
        <v>0.11600000000000002</v>
      </c>
      <c r="H1447" s="1" t="str">
        <f t="shared" si="45"/>
        <v/>
      </c>
      <c r="I1447" s="1">
        <v>-0.03</v>
      </c>
      <c r="J1447" s="1">
        <f>+D1447-F1447+I1447*O1447</f>
        <v>-5.5799999999999982E-2</v>
      </c>
      <c r="K1447" s="1">
        <v>5.7842683047056198E-2</v>
      </c>
      <c r="L1447" s="1">
        <f>+K1447-J1447</f>
        <v>0.11364268304705619</v>
      </c>
      <c r="M1447" s="1">
        <v>-2.21573169529438E-2</v>
      </c>
      <c r="N1447" s="1">
        <f>+M1447-J1447</f>
        <v>3.3642683047056185E-2</v>
      </c>
      <c r="O1447">
        <v>2.2599999999999998</v>
      </c>
      <c r="P1447" t="s">
        <v>17</v>
      </c>
      <c r="Q1447">
        <v>0.01</v>
      </c>
      <c r="R1447">
        <v>-6.4466931656002993E-2</v>
      </c>
      <c r="S1447">
        <v>-4.4908003881573698E-2</v>
      </c>
      <c r="T1447">
        <v>0.05</v>
      </c>
    </row>
    <row r="1448" spans="1:20" x14ac:dyDescent="0.3">
      <c r="A1448" t="s">
        <v>109</v>
      </c>
      <c r="B1448">
        <v>2006</v>
      </c>
      <c r="C1448">
        <v>1294396</v>
      </c>
      <c r="D1448" s="1">
        <v>8.0000000000000002E-3</v>
      </c>
      <c r="E1448" s="1">
        <v>0.87429010868072499</v>
      </c>
      <c r="F1448" s="1">
        <v>-7.0000000000000001E-3</v>
      </c>
      <c r="G1448" s="1">
        <f t="shared" si="44"/>
        <v>-7.0000000000000001E-3</v>
      </c>
      <c r="H1448" s="1" t="str">
        <f t="shared" si="45"/>
        <v/>
      </c>
      <c r="I1448" s="1">
        <v>-8.9999999999999993E-3</v>
      </c>
      <c r="J1448" s="1">
        <f>+D1448-F1448+I1448*O1448</f>
        <v>-6.5999999999999982E-3</v>
      </c>
      <c r="K1448" s="1">
        <v>4.4423867948353299E-3</v>
      </c>
      <c r="L1448" s="1">
        <f>+K1448-J1448</f>
        <v>1.1042386794835327E-2</v>
      </c>
      <c r="M1448" s="1">
        <v>-2.7557613205164599E-2</v>
      </c>
      <c r="N1448" s="1">
        <f>+M1448-J1448</f>
        <v>-2.0957613205164601E-2</v>
      </c>
      <c r="O1448">
        <v>2.4</v>
      </c>
      <c r="P1448" t="s">
        <v>16</v>
      </c>
      <c r="Q1448">
        <v>-0.03</v>
      </c>
      <c r="R1448">
        <v>-1.7797598518431199E-2</v>
      </c>
      <c r="S1448">
        <v>-1.6875842586159699E-2</v>
      </c>
      <c r="T1448">
        <v>-0.01</v>
      </c>
    </row>
    <row r="1449" spans="1:20" x14ac:dyDescent="0.3">
      <c r="A1449" t="s">
        <v>109</v>
      </c>
      <c r="B1449">
        <v>2007</v>
      </c>
      <c r="C1449">
        <v>1304403</v>
      </c>
      <c r="D1449" s="1">
        <v>1.0999999999999999E-2</v>
      </c>
      <c r="E1449" s="1">
        <v>0.862707078456879</v>
      </c>
      <c r="F1449" s="1">
        <v>-1.7999999999999999E-2</v>
      </c>
      <c r="G1449" s="1">
        <f t="shared" si="44"/>
        <v>-2.4999999999999998E-2</v>
      </c>
      <c r="H1449" s="1" t="str">
        <f t="shared" si="45"/>
        <v/>
      </c>
      <c r="I1449" s="1">
        <v>-1.2E-2</v>
      </c>
      <c r="J1449" s="1">
        <f>+D1449-F1449+I1449*O1449</f>
        <v>6.8000000000000005E-4</v>
      </c>
      <c r="K1449" s="1">
        <v>1.1202401481568799E-2</v>
      </c>
      <c r="L1449" s="1">
        <f>+K1449-J1449</f>
        <v>1.0522401481568799E-2</v>
      </c>
      <c r="M1449" s="1">
        <v>-1.7797598518431199E-2</v>
      </c>
      <c r="N1449" s="1">
        <f>+M1449-J1449</f>
        <v>-1.8477598518431199E-2</v>
      </c>
      <c r="O1449">
        <v>2.36</v>
      </c>
      <c r="P1449" t="s">
        <v>16</v>
      </c>
      <c r="Q1449">
        <v>-0.02</v>
      </c>
      <c r="R1449">
        <v>-4.3047071725129997E-2</v>
      </c>
      <c r="S1449">
        <v>-1.35362674482166E-2</v>
      </c>
      <c r="T1449">
        <v>-0.02</v>
      </c>
    </row>
    <row r="1450" spans="1:20" x14ac:dyDescent="0.3">
      <c r="A1450" t="s">
        <v>109</v>
      </c>
      <c r="B1450">
        <v>2008</v>
      </c>
      <c r="C1450">
        <v>1312607</v>
      </c>
      <c r="D1450" s="1">
        <v>2.1000000000000001E-2</v>
      </c>
      <c r="E1450" s="1">
        <v>0.85832327604293801</v>
      </c>
      <c r="F1450" s="1">
        <v>3.9E-2</v>
      </c>
      <c r="G1450" s="1">
        <f t="shared" si="44"/>
        <v>1.4000000000000002E-2</v>
      </c>
      <c r="H1450" s="1" t="str">
        <f t="shared" si="45"/>
        <v/>
      </c>
      <c r="I1450" s="1">
        <v>-4.0000000000000001E-3</v>
      </c>
      <c r="J1450" s="1">
        <f>+D1450-F1450+I1450*O1450</f>
        <v>-2.7799999999999998E-2</v>
      </c>
      <c r="K1450" s="1">
        <v>-5.0470717251300803E-3</v>
      </c>
      <c r="L1450" s="1">
        <f>+K1450-J1450</f>
        <v>2.2752928274869917E-2</v>
      </c>
      <c r="M1450" s="1">
        <v>-4.3047071725129997E-2</v>
      </c>
      <c r="N1450" s="1">
        <f>+M1450-J1450</f>
        <v>-1.5247071725129999E-2</v>
      </c>
      <c r="O1450">
        <v>2.4500000000000002</v>
      </c>
      <c r="P1450" t="s">
        <v>17</v>
      </c>
      <c r="Q1450">
        <v>-0.01</v>
      </c>
      <c r="R1450">
        <v>-3.5216041564941403E-2</v>
      </c>
      <c r="S1450">
        <v>-8.6493398994207504E-3</v>
      </c>
      <c r="T1450">
        <v>0.04</v>
      </c>
    </row>
    <row r="1451" spans="1:20" x14ac:dyDescent="0.3">
      <c r="A1451" t="s">
        <v>109</v>
      </c>
      <c r="B1451">
        <v>2009</v>
      </c>
      <c r="C1451">
        <v>1319861</v>
      </c>
      <c r="D1451" s="1">
        <v>2E-3</v>
      </c>
      <c r="E1451" s="1">
        <v>0.866463303565979</v>
      </c>
      <c r="F1451" s="1">
        <v>0.02</v>
      </c>
      <c r="G1451" s="1">
        <f t="shared" si="44"/>
        <v>3.4000000000000002E-2</v>
      </c>
      <c r="H1451" s="1" t="str">
        <f t="shared" si="45"/>
        <v/>
      </c>
      <c r="I1451" s="1">
        <v>8.0000000000000002E-3</v>
      </c>
      <c r="J1451" s="1">
        <f>+D1451-F1451+I1451*O1451</f>
        <v>1.9999999999999983E-3</v>
      </c>
      <c r="K1451" s="1">
        <v>-3.9216041564941399E-2</v>
      </c>
      <c r="L1451" s="1">
        <f>+K1451-J1451</f>
        <v>-4.1216041564941394E-2</v>
      </c>
      <c r="M1451" s="1">
        <v>-3.5216041564941403E-2</v>
      </c>
      <c r="N1451" s="1">
        <f>+M1451-J1451</f>
        <v>-3.7216041564941404E-2</v>
      </c>
      <c r="O1451">
        <v>2.5</v>
      </c>
      <c r="P1451" t="s">
        <v>15</v>
      </c>
      <c r="Q1451">
        <v>-0.01</v>
      </c>
      <c r="R1451">
        <v>-2.0822008777409699E-2</v>
      </c>
      <c r="S1451">
        <v>-1.13619000185281E-2</v>
      </c>
      <c r="T1451">
        <v>0</v>
      </c>
    </row>
    <row r="1452" spans="1:20" x14ac:dyDescent="0.3">
      <c r="A1452" t="s">
        <v>109</v>
      </c>
      <c r="B1452">
        <v>2010</v>
      </c>
      <c r="C1452">
        <v>1327327</v>
      </c>
      <c r="D1452" s="1">
        <v>-1E-3</v>
      </c>
      <c r="E1452" s="1">
        <v>0.87637245655059803</v>
      </c>
      <c r="F1452" s="1">
        <v>0</v>
      </c>
      <c r="G1452" s="1">
        <f t="shared" si="44"/>
        <v>3.4000000000000002E-2</v>
      </c>
      <c r="H1452" s="1" t="str">
        <f t="shared" si="45"/>
        <v/>
      </c>
      <c r="I1452" s="1">
        <v>0.01</v>
      </c>
      <c r="J1452" s="1">
        <f>+D1452-F1452+I1452*O1452</f>
        <v>2.4E-2</v>
      </c>
      <c r="K1452" s="1">
        <v>-4.8220087774097902E-3</v>
      </c>
      <c r="L1452" s="1">
        <f>+K1452-J1452</f>
        <v>-2.8822008777409792E-2</v>
      </c>
      <c r="M1452" s="1">
        <v>-2.0822008777409699E-2</v>
      </c>
      <c r="N1452" s="1">
        <f>+M1452-J1452</f>
        <v>-4.4822008777409703E-2</v>
      </c>
      <c r="O1452">
        <v>2.5</v>
      </c>
      <c r="P1452" t="s">
        <v>17</v>
      </c>
      <c r="Q1452">
        <v>-0.01</v>
      </c>
      <c r="R1452">
        <v>-2.7955690741538999E-2</v>
      </c>
      <c r="S1452">
        <v>-6.6719162277877001E-3</v>
      </c>
      <c r="T1452">
        <v>-0.01</v>
      </c>
    </row>
    <row r="1453" spans="1:20" x14ac:dyDescent="0.3">
      <c r="A1453" t="s">
        <v>109</v>
      </c>
      <c r="B1453">
        <v>2011</v>
      </c>
      <c r="C1453">
        <v>1332779</v>
      </c>
      <c r="D1453" s="1">
        <v>-4.0000000000000001E-3</v>
      </c>
      <c r="E1453" s="1">
        <v>0.87785142660141002</v>
      </c>
      <c r="F1453" s="1">
        <v>-5.8000000000000003E-2</v>
      </c>
      <c r="G1453" s="1">
        <f t="shared" si="44"/>
        <v>-2.4E-2</v>
      </c>
      <c r="H1453" s="1" t="str">
        <f t="shared" si="45"/>
        <v/>
      </c>
      <c r="I1453" s="1">
        <v>1E-3</v>
      </c>
      <c r="J1453" s="1">
        <f>+D1453-F1453+I1453*O1453</f>
        <v>5.6350000000000004E-2</v>
      </c>
      <c r="K1453" s="1">
        <v>4.0443092584610003E-3</v>
      </c>
      <c r="L1453" s="1">
        <f>+K1453-J1453</f>
        <v>-5.2305690741539006E-2</v>
      </c>
      <c r="M1453" s="1">
        <v>-2.7955690741538999E-2</v>
      </c>
      <c r="N1453" s="1">
        <f>+M1453-J1453</f>
        <v>-8.4305690741538999E-2</v>
      </c>
      <c r="O1453">
        <v>2.35</v>
      </c>
      <c r="P1453" t="s">
        <v>17</v>
      </c>
      <c r="Q1453">
        <v>-0.01</v>
      </c>
      <c r="R1453">
        <v>-7.8192682042717999E-3</v>
      </c>
      <c r="S1453">
        <v>-2.3810621351003998E-3</v>
      </c>
      <c r="T1453">
        <v>-0.06</v>
      </c>
    </row>
    <row r="1454" spans="1:20" x14ac:dyDescent="0.3">
      <c r="A1454" t="s">
        <v>109</v>
      </c>
      <c r="B1454">
        <v>2012</v>
      </c>
      <c r="C1454">
        <v>1337737</v>
      </c>
      <c r="D1454" s="1">
        <v>5.0000000000000001E-3</v>
      </c>
      <c r="E1454" s="1">
        <v>0.88686960935592696</v>
      </c>
      <c r="F1454" s="1">
        <v>4.1000000000000002E-2</v>
      </c>
      <c r="G1454" s="1">
        <f t="shared" si="44"/>
        <v>1.7000000000000001E-2</v>
      </c>
      <c r="H1454" s="1" t="str">
        <f t="shared" si="45"/>
        <v/>
      </c>
      <c r="I1454" s="1">
        <v>8.9999999999999993E-3</v>
      </c>
      <c r="J1454" s="1">
        <f>+D1454-F1454+I1454*O1454</f>
        <v>-1.3950000000000004E-2</v>
      </c>
      <c r="K1454" s="1">
        <v>1.31807317957282E-2</v>
      </c>
      <c r="L1454" s="1">
        <f>+K1454-J1454</f>
        <v>2.7130731795728204E-2</v>
      </c>
      <c r="M1454" s="1">
        <v>-7.8192682042717999E-3</v>
      </c>
      <c r="N1454" s="1">
        <f>+M1454-J1454</f>
        <v>6.1307317957282042E-3</v>
      </c>
      <c r="O1454">
        <v>2.4500000000000002</v>
      </c>
      <c r="P1454" t="s">
        <v>15</v>
      </c>
      <c r="Q1454">
        <v>0</v>
      </c>
      <c r="R1454">
        <v>-2.79439833015199E-3</v>
      </c>
      <c r="S1454">
        <v>-8.9211696758865998E-3</v>
      </c>
      <c r="T1454">
        <v>0.04</v>
      </c>
    </row>
    <row r="1455" spans="1:20" x14ac:dyDescent="0.3">
      <c r="A1455" t="s">
        <v>109</v>
      </c>
      <c r="B1455">
        <v>2013</v>
      </c>
      <c r="C1455">
        <v>1337228</v>
      </c>
      <c r="D1455" s="1">
        <v>6.0000000000000001E-3</v>
      </c>
      <c r="E1455" s="1">
        <v>0.88724535703659102</v>
      </c>
      <c r="F1455" s="1">
        <v>3.5000000000000003E-2</v>
      </c>
      <c r="G1455" s="1">
        <f t="shared" si="44"/>
        <v>5.2000000000000005E-2</v>
      </c>
      <c r="H1455" s="1" t="str">
        <f t="shared" si="45"/>
        <v/>
      </c>
      <c r="I1455" s="1">
        <v>0</v>
      </c>
      <c r="J1455" s="1">
        <f>+D1455-F1455+I1455*O1455</f>
        <v>-2.9000000000000005E-2</v>
      </c>
      <c r="K1455" s="1">
        <v>1.2205601669848E-2</v>
      </c>
      <c r="L1455" s="1">
        <f>+K1455-J1455</f>
        <v>4.1205601669848005E-2</v>
      </c>
      <c r="M1455" s="1">
        <v>-2.79439833015199E-3</v>
      </c>
      <c r="N1455" s="1">
        <f>+M1455-J1455</f>
        <v>2.6205601669848016E-2</v>
      </c>
      <c r="O1455">
        <v>2.5299999999999998</v>
      </c>
      <c r="P1455" t="s">
        <v>15</v>
      </c>
      <c r="Q1455">
        <v>-0.01</v>
      </c>
      <c r="R1455">
        <v>-3.1329516172409E-3</v>
      </c>
      <c r="S1455">
        <v>-5.1409751176834002E-3</v>
      </c>
      <c r="T1455">
        <v>0.03</v>
      </c>
    </row>
    <row r="1456" spans="1:20" x14ac:dyDescent="0.3">
      <c r="A1456" t="s">
        <v>109</v>
      </c>
      <c r="B1456">
        <v>2014</v>
      </c>
      <c r="C1456">
        <v>1337495</v>
      </c>
      <c r="D1456" s="1">
        <v>5.0000000000000001E-3</v>
      </c>
      <c r="E1456" s="1">
        <v>0.89332914352417003</v>
      </c>
      <c r="F1456" s="1">
        <v>-3.6999999999999998E-2</v>
      </c>
      <c r="G1456" s="1">
        <f t="shared" si="44"/>
        <v>1.5000000000000006E-2</v>
      </c>
      <c r="H1456" s="1" t="str">
        <f t="shared" si="45"/>
        <v/>
      </c>
      <c r="I1456" s="1">
        <v>6.0000000000000001E-3</v>
      </c>
      <c r="J1456" s="1">
        <f>+D1456-F1456+I1456*O1456</f>
        <v>5.6639999999999996E-2</v>
      </c>
      <c r="K1456" s="1">
        <v>1.2867048382759099E-2</v>
      </c>
      <c r="L1456" s="1">
        <f>+K1456-J1456</f>
        <v>-4.3772951617240895E-2</v>
      </c>
      <c r="M1456" s="1">
        <v>-3.1329516172409E-3</v>
      </c>
      <c r="N1456" s="1">
        <f>+M1456-J1456</f>
        <v>-5.9772951617240895E-2</v>
      </c>
      <c r="O1456">
        <v>2.44</v>
      </c>
      <c r="P1456" t="s">
        <v>17</v>
      </c>
      <c r="Q1456">
        <v>-0.01</v>
      </c>
      <c r="R1456">
        <v>2.7160296380519901E-2</v>
      </c>
      <c r="S1456">
        <v>-3.1031556427477901E-3</v>
      </c>
      <c r="T1456">
        <v>-0.04</v>
      </c>
    </row>
    <row r="1457" spans="1:20" x14ac:dyDescent="0.3">
      <c r="A1457" t="s">
        <v>109</v>
      </c>
      <c r="B1457">
        <v>2015</v>
      </c>
      <c r="C1457">
        <v>1337680</v>
      </c>
      <c r="D1457" s="1">
        <v>5.0000000000000001E-3</v>
      </c>
      <c r="E1457" s="1">
        <v>0.89676409959793102</v>
      </c>
      <c r="F1457" s="1">
        <v>-3.2000000000000001E-2</v>
      </c>
      <c r="G1457" s="1">
        <f t="shared" si="44"/>
        <v>-1.6999999999999994E-2</v>
      </c>
      <c r="H1457" s="1" t="str">
        <f t="shared" si="45"/>
        <v/>
      </c>
      <c r="I1457" s="1">
        <v>3.0000000000000001E-3</v>
      </c>
      <c r="J1457" s="1">
        <f>+D1457-F1457+I1457*O1457</f>
        <v>4.4079999999999994E-2</v>
      </c>
      <c r="K1457" s="1">
        <v>2.8160296380519902E-2</v>
      </c>
      <c r="L1457" s="1">
        <f>+K1457-J1457</f>
        <v>-1.5919703619480093E-2</v>
      </c>
      <c r="M1457" s="1">
        <v>2.7160296380519901E-2</v>
      </c>
      <c r="N1457" s="1">
        <f>+M1457-J1457</f>
        <v>-1.6919703619480093E-2</v>
      </c>
      <c r="O1457">
        <v>2.36</v>
      </c>
      <c r="P1457" t="s">
        <v>17</v>
      </c>
      <c r="Q1457">
        <v>0</v>
      </c>
      <c r="R1457">
        <v>1.6850015416741401E-2</v>
      </c>
      <c r="S1457">
        <v>3.6964584141970002E-3</v>
      </c>
      <c r="T1457">
        <v>-0.02</v>
      </c>
    </row>
    <row r="1458" spans="1:20" x14ac:dyDescent="0.3">
      <c r="A1458" t="s">
        <v>109</v>
      </c>
      <c r="B1458">
        <v>2016</v>
      </c>
      <c r="C1458">
        <v>1338498</v>
      </c>
      <c r="D1458" s="1">
        <v>5.0000000000000001E-3</v>
      </c>
      <c r="E1458" s="1">
        <v>0.88530886173248302</v>
      </c>
      <c r="F1458" s="1">
        <v>2.1999999999999999E-2</v>
      </c>
      <c r="G1458" s="1">
        <f t="shared" si="44"/>
        <v>5.0000000000000044E-3</v>
      </c>
      <c r="H1458" s="1" t="str">
        <f t="shared" si="45"/>
        <v/>
      </c>
      <c r="I1458" s="1">
        <v>-1.0999999999999999E-2</v>
      </c>
      <c r="J1458" s="1">
        <f>+D1458-F1458+I1458*O1458</f>
        <v>-4.3509999999999993E-2</v>
      </c>
      <c r="K1458" s="1">
        <v>2.9850015416741399E-2</v>
      </c>
      <c r="L1458" s="1">
        <f>+K1458-J1458</f>
        <v>7.3360015416741392E-2</v>
      </c>
      <c r="M1458" s="1">
        <v>1.6850015416741401E-2</v>
      </c>
      <c r="N1458" s="1">
        <f>+M1458-J1458</f>
        <v>6.0360015416741394E-2</v>
      </c>
      <c r="O1458">
        <v>2.41</v>
      </c>
      <c r="P1458" t="s">
        <v>17</v>
      </c>
      <c r="Q1458">
        <v>0</v>
      </c>
      <c r="R1458">
        <v>2.9400751888751901E-3</v>
      </c>
      <c r="S1458">
        <v>1.50501728057899E-4</v>
      </c>
      <c r="T1458">
        <v>0.02</v>
      </c>
    </row>
    <row r="1459" spans="1:20" x14ac:dyDescent="0.3">
      <c r="A1459" t="s">
        <v>109</v>
      </c>
      <c r="B1459">
        <v>2017</v>
      </c>
      <c r="C1459">
        <v>1340230</v>
      </c>
      <c r="D1459" s="1">
        <v>4.0000000000000001E-3</v>
      </c>
      <c r="E1459" s="1">
        <v>0.88534015417098999</v>
      </c>
      <c r="F1459" s="1">
        <v>-3.6999999999999998E-2</v>
      </c>
      <c r="G1459" s="1">
        <f t="shared" si="44"/>
        <v>-3.1999999999999994E-2</v>
      </c>
      <c r="H1459" s="1" t="str">
        <f t="shared" si="45"/>
        <v/>
      </c>
      <c r="I1459" s="1">
        <v>0</v>
      </c>
      <c r="J1459" s="1">
        <f>+D1459-F1459+I1459*O1459</f>
        <v>4.0999999999999995E-2</v>
      </c>
      <c r="K1459" s="1">
        <v>2.3940075188875198E-2</v>
      </c>
      <c r="L1459" s="1">
        <f>+K1459-J1459</f>
        <v>-1.7059924811124796E-2</v>
      </c>
      <c r="M1459" s="1">
        <v>2.9400751888751901E-3</v>
      </c>
      <c r="N1459" s="1">
        <f>+M1459-J1459</f>
        <v>-3.8059924811124801E-2</v>
      </c>
      <c r="O1459">
        <v>2.3199999999999998</v>
      </c>
      <c r="P1459" t="s">
        <v>17</v>
      </c>
      <c r="Q1459">
        <v>0</v>
      </c>
      <c r="R1459">
        <v>3.6333758592605597E-2</v>
      </c>
      <c r="S1459">
        <v>2.7198735624551801E-2</v>
      </c>
      <c r="T1459">
        <v>-0.03</v>
      </c>
    </row>
    <row r="1460" spans="1:20" x14ac:dyDescent="0.3">
      <c r="A1460" t="s">
        <v>109</v>
      </c>
      <c r="B1460">
        <v>2018</v>
      </c>
      <c r="C1460">
        <v>1342783</v>
      </c>
      <c r="D1460" s="1">
        <v>2E-3</v>
      </c>
      <c r="E1460" s="1">
        <v>0.88516211509704601</v>
      </c>
      <c r="F1460" s="1">
        <v>4.0000000000000001E-3</v>
      </c>
      <c r="G1460" s="1">
        <f t="shared" si="44"/>
        <v>-2.7999999999999994E-2</v>
      </c>
      <c r="H1460" s="1" t="str">
        <f t="shared" si="45"/>
        <v/>
      </c>
      <c r="I1460" s="1">
        <v>0</v>
      </c>
      <c r="J1460" s="1">
        <f>+D1460-F1460+I1460*O1460</f>
        <v>-2E-3</v>
      </c>
      <c r="K1460" s="1">
        <v>6.0333758592605598E-2</v>
      </c>
      <c r="L1460" s="1">
        <f>+K1460-J1460</f>
        <v>6.23337585926056E-2</v>
      </c>
      <c r="M1460" s="1">
        <v>3.6333758592605597E-2</v>
      </c>
      <c r="N1460" s="1">
        <f>+M1460-J1460</f>
        <v>3.8333758592605599E-2</v>
      </c>
      <c r="O1460">
        <v>2.33</v>
      </c>
      <c r="P1460" t="s">
        <v>17</v>
      </c>
      <c r="Q1460">
        <v>0.03</v>
      </c>
      <c r="R1460">
        <v>2.5485801666974998E-2</v>
      </c>
      <c r="S1460">
        <v>7.6846070587634902E-3</v>
      </c>
      <c r="T1460">
        <v>0.01</v>
      </c>
    </row>
    <row r="1461" spans="1:20" x14ac:dyDescent="0.3">
      <c r="A1461" t="s">
        <v>109</v>
      </c>
      <c r="B1461">
        <v>2019</v>
      </c>
      <c r="C1461">
        <v>1344383</v>
      </c>
      <c r="D1461" s="1">
        <v>1.2999999999999999E-2</v>
      </c>
      <c r="E1461" s="1">
        <v>0.87781643867492698</v>
      </c>
      <c r="F1461" s="1">
        <v>-3.4000000000000002E-2</v>
      </c>
      <c r="G1461" s="1">
        <f t="shared" si="44"/>
        <v>-6.2E-2</v>
      </c>
      <c r="H1461" s="1" t="str">
        <f t="shared" si="45"/>
        <v/>
      </c>
      <c r="I1461" s="1">
        <v>-7.0000000000000001E-3</v>
      </c>
      <c r="J1461" s="1">
        <f>+D1461-F1461+I1461*O1461</f>
        <v>3.125E-2</v>
      </c>
      <c r="K1461" s="1">
        <v>4.3485801666975001E-2</v>
      </c>
      <c r="L1461" s="1">
        <f>+K1461-J1461</f>
        <v>1.2235801666975001E-2</v>
      </c>
      <c r="M1461" s="1">
        <v>2.5485801666974998E-2</v>
      </c>
      <c r="N1461" s="1">
        <f>+M1461-J1461</f>
        <v>-5.7641983330250016E-3</v>
      </c>
      <c r="O1461">
        <v>2.25</v>
      </c>
      <c r="P1461" t="s">
        <v>16</v>
      </c>
      <c r="Q1461">
        <v>0.01</v>
      </c>
      <c r="R1461">
        <v>4.4462846696376797E-2</v>
      </c>
      <c r="S1461">
        <v>2.56136562675238E-2</v>
      </c>
      <c r="T1461">
        <v>-0.03</v>
      </c>
    </row>
    <row r="1462" spans="1:20" x14ac:dyDescent="0.3">
      <c r="A1462" t="s">
        <v>109</v>
      </c>
      <c r="B1462">
        <v>2020</v>
      </c>
      <c r="C1462">
        <v>1345232</v>
      </c>
      <c r="D1462" s="1">
        <v>3.0000000000000001E-3</v>
      </c>
      <c r="E1462" s="1">
        <v>0.90323096513748202</v>
      </c>
      <c r="F1462" s="1">
        <v>-7.5999999999999998E-2</v>
      </c>
      <c r="G1462" s="1">
        <f t="shared" si="44"/>
        <v>-0.13800000000000001</v>
      </c>
      <c r="H1462" s="1">
        <f t="shared" si="45"/>
        <v>7.3803784325719046E-2</v>
      </c>
      <c r="I1462" s="1">
        <v>2.5000000000000001E-2</v>
      </c>
      <c r="J1462" s="1">
        <f>+D1462-F1462+I1462*O1462</f>
        <v>0.13100000000000001</v>
      </c>
      <c r="K1462" s="1">
        <v>5.6462846696376801E-2</v>
      </c>
      <c r="L1462" s="1">
        <f>+K1462-J1462</f>
        <v>-7.4537153303623205E-2</v>
      </c>
      <c r="M1462" s="1">
        <v>4.4462846696376797E-2</v>
      </c>
      <c r="N1462" s="1">
        <f>+M1462-J1462</f>
        <v>-8.6537153303623215E-2</v>
      </c>
      <c r="O1462">
        <v>2.08</v>
      </c>
      <c r="P1462" t="s">
        <v>17</v>
      </c>
      <c r="Q1462">
        <v>0.03</v>
      </c>
      <c r="R1462">
        <v>5.5403357625007997E-2</v>
      </c>
      <c r="S1462">
        <v>1.1813744902611001E-2</v>
      </c>
      <c r="T1462">
        <v>-0.04</v>
      </c>
    </row>
    <row r="1463" spans="1:20" x14ac:dyDescent="0.3">
      <c r="A1463" t="s">
        <v>109</v>
      </c>
      <c r="B1463">
        <v>2021</v>
      </c>
      <c r="C1463">
        <v>1341815</v>
      </c>
      <c r="D1463" s="1">
        <v>1.4999999999999999E-2</v>
      </c>
      <c r="E1463" s="1">
        <v>0.90918987989425704</v>
      </c>
      <c r="F1463" s="1">
        <v>0.129</v>
      </c>
      <c r="G1463" s="1">
        <f t="shared" si="44"/>
        <v>-9.000000000000008E-3</v>
      </c>
      <c r="H1463" s="1" t="str">
        <f t="shared" si="45"/>
        <v/>
      </c>
      <c r="I1463" s="1">
        <v>6.0000000000000001E-3</v>
      </c>
      <c r="J1463" s="1">
        <f>+D1463-F1463+I1463*O1463</f>
        <v>-9.9900000000000003E-2</v>
      </c>
      <c r="K1463" s="1">
        <v>0.102403357625008</v>
      </c>
      <c r="L1463" s="1">
        <f>+K1463-J1463</f>
        <v>0.20230335762500801</v>
      </c>
      <c r="M1463" s="1">
        <v>5.5403357625007997E-2</v>
      </c>
      <c r="N1463" s="1">
        <f>+M1463-J1463</f>
        <v>0.15530335762500799</v>
      </c>
      <c r="O1463">
        <v>2.35</v>
      </c>
      <c r="P1463" t="s">
        <v>15</v>
      </c>
      <c r="Q1463">
        <v>0.01</v>
      </c>
      <c r="R1463">
        <v>-3.4795788973569899E-2</v>
      </c>
      <c r="S1463">
        <v>-2.6922821998595901E-3</v>
      </c>
      <c r="T1463">
        <v>0.1</v>
      </c>
    </row>
    <row r="1464" spans="1:20" x14ac:dyDescent="0.3">
      <c r="A1464" t="s">
        <v>109</v>
      </c>
      <c r="B1464">
        <v>2022</v>
      </c>
      <c r="C1464">
        <v>1340751</v>
      </c>
      <c r="D1464" s="1">
        <v>1.0999999999999999E-2</v>
      </c>
      <c r="E1464" s="1">
        <v>0.88118523359298695</v>
      </c>
      <c r="F1464" s="1">
        <v>-2.5000000000000001E-2</v>
      </c>
      <c r="G1464" s="1">
        <f t="shared" si="44"/>
        <v>-3.4000000000000009E-2</v>
      </c>
      <c r="H1464" s="1" t="str">
        <f t="shared" si="45"/>
        <v/>
      </c>
      <c r="I1464" s="1">
        <v>-2.8000000000000001E-2</v>
      </c>
      <c r="J1464" s="1">
        <f>+D1464-F1464+I1464*O1464</f>
        <v>-2.8119999999999992E-2</v>
      </c>
      <c r="K1464" s="1">
        <v>4.5204211026430102E-2</v>
      </c>
      <c r="L1464" s="1">
        <f>+K1464-J1464</f>
        <v>7.3324211026430094E-2</v>
      </c>
      <c r="M1464" s="1">
        <v>-3.4795788973569899E-2</v>
      </c>
      <c r="N1464" s="1">
        <f>+M1464-J1464</f>
        <v>-6.6757889735699072E-3</v>
      </c>
      <c r="O1464">
        <v>2.29</v>
      </c>
      <c r="P1464" t="s">
        <v>16</v>
      </c>
      <c r="Q1464">
        <v>0</v>
      </c>
      <c r="R1464">
        <v>-3.2722418926656199E-2</v>
      </c>
      <c r="S1464">
        <v>-1.3163491152226901E-2</v>
      </c>
      <c r="T1464">
        <v>-0.01</v>
      </c>
    </row>
    <row r="1465" spans="1:20" x14ac:dyDescent="0.3">
      <c r="A1465" t="s">
        <v>110</v>
      </c>
      <c r="B1465">
        <v>2006</v>
      </c>
      <c r="C1465">
        <v>246124.60939999999</v>
      </c>
      <c r="D1465" s="1">
        <v>1.2E-2</v>
      </c>
      <c r="E1465" s="1">
        <v>0.94644314050674405</v>
      </c>
      <c r="F1465" s="1">
        <v>-4.9000000000000002E-2</v>
      </c>
      <c r="G1465" s="1">
        <f t="shared" si="44"/>
        <v>-4.9000000000000002E-2</v>
      </c>
      <c r="H1465" s="1" t="str">
        <f t="shared" si="45"/>
        <v/>
      </c>
      <c r="I1465" s="1">
        <v>-2E-3</v>
      </c>
      <c r="J1465" s="1">
        <f>+D1465-F1465+I1465*O1465</f>
        <v>5.4599999999999996E-2</v>
      </c>
      <c r="K1465" s="1">
        <v>4.0975097566842998E-2</v>
      </c>
      <c r="L1465" s="1">
        <f>+K1465-J1465</f>
        <v>-1.3624902433156998E-2</v>
      </c>
      <c r="M1465" s="1">
        <v>8.9750975668429905E-3</v>
      </c>
      <c r="N1465" s="1">
        <f>+M1465-J1465</f>
        <v>-4.5624902433157005E-2</v>
      </c>
      <c r="O1465">
        <v>3.2</v>
      </c>
      <c r="P1465" t="s">
        <v>16</v>
      </c>
      <c r="Q1465">
        <v>0</v>
      </c>
      <c r="R1465">
        <v>3.0282131433486902E-3</v>
      </c>
      <c r="S1465">
        <v>3.9499690756202004E-3</v>
      </c>
      <c r="T1465">
        <v>-0.05</v>
      </c>
    </row>
    <row r="1466" spans="1:20" x14ac:dyDescent="0.3">
      <c r="A1466" t="s">
        <v>110</v>
      </c>
      <c r="B1466">
        <v>2007</v>
      </c>
      <c r="C1466">
        <v>249037.79689999999</v>
      </c>
      <c r="D1466" s="1">
        <v>1E-3</v>
      </c>
      <c r="E1466" s="1">
        <v>0.94658386707305897</v>
      </c>
      <c r="F1466" s="1">
        <v>-8.0000000000000002E-3</v>
      </c>
      <c r="G1466" s="1">
        <f t="shared" si="44"/>
        <v>-5.7000000000000002E-2</v>
      </c>
      <c r="H1466" s="1" t="str">
        <f t="shared" si="45"/>
        <v/>
      </c>
      <c r="I1466" s="1">
        <v>0</v>
      </c>
      <c r="J1466" s="1">
        <f>+D1466-F1466+I1466*O1466</f>
        <v>9.0000000000000011E-3</v>
      </c>
      <c r="K1466" s="1">
        <v>3.2028213143348701E-2</v>
      </c>
      <c r="L1466" s="1">
        <f>+K1466-J1466</f>
        <v>2.30282131433487E-2</v>
      </c>
      <c r="M1466" s="1">
        <v>3.0282131433486902E-3</v>
      </c>
      <c r="N1466" s="1">
        <f>+M1466-J1466</f>
        <v>-5.9717868566513104E-3</v>
      </c>
      <c r="O1466">
        <v>3.18</v>
      </c>
      <c r="P1466" t="s">
        <v>17</v>
      </c>
      <c r="Q1466">
        <v>0</v>
      </c>
      <c r="R1466">
        <v>-2.26703447401524E-2</v>
      </c>
      <c r="S1466">
        <v>6.8404595367610004E-3</v>
      </c>
      <c r="T1466">
        <v>-0.01</v>
      </c>
    </row>
    <row r="1467" spans="1:20" x14ac:dyDescent="0.3">
      <c r="A1467" t="s">
        <v>110</v>
      </c>
      <c r="B1467">
        <v>2008</v>
      </c>
      <c r="C1467">
        <v>250989.70310000001</v>
      </c>
      <c r="D1467" s="1">
        <v>0</v>
      </c>
      <c r="E1467" s="1">
        <v>0.94212573766708396</v>
      </c>
      <c r="F1467" s="1">
        <v>-5.3999999999999999E-2</v>
      </c>
      <c r="G1467" s="1">
        <f t="shared" si="44"/>
        <v>-0.111</v>
      </c>
      <c r="H1467" s="1" t="str">
        <f t="shared" si="45"/>
        <v/>
      </c>
      <c r="I1467" s="1">
        <v>-4.0000000000000001E-3</v>
      </c>
      <c r="J1467" s="1">
        <f>+D1467-F1467+I1467*O1467</f>
        <v>4.1959999999999997E-2</v>
      </c>
      <c r="K1467" s="1">
        <v>1.5329655259847599E-2</v>
      </c>
      <c r="L1467" s="1">
        <f>+K1467-J1467</f>
        <v>-2.6630344740152398E-2</v>
      </c>
      <c r="M1467" s="1">
        <v>-2.26703447401524E-2</v>
      </c>
      <c r="N1467" s="1">
        <f>+M1467-J1467</f>
        <v>-6.463034474015239E-2</v>
      </c>
      <c r="O1467">
        <v>3.01</v>
      </c>
      <c r="P1467" t="s">
        <v>16</v>
      </c>
      <c r="Q1467">
        <v>0.01</v>
      </c>
      <c r="R1467">
        <v>-3.4615055382251597E-2</v>
      </c>
      <c r="S1467">
        <v>-8.0483537167310402E-3</v>
      </c>
      <c r="T1467">
        <v>-0.06</v>
      </c>
    </row>
    <row r="1468" spans="1:20" x14ac:dyDescent="0.3">
      <c r="A1468" t="s">
        <v>110</v>
      </c>
      <c r="B1468">
        <v>2009</v>
      </c>
      <c r="C1468">
        <v>253434.6875</v>
      </c>
      <c r="D1468" s="1">
        <v>0</v>
      </c>
      <c r="E1468" s="1">
        <v>0.93471693992614702</v>
      </c>
      <c r="F1468" s="1">
        <v>0.05</v>
      </c>
      <c r="G1468" s="1">
        <f t="shared" si="44"/>
        <v>-6.0999999999999999E-2</v>
      </c>
      <c r="H1468" s="1" t="str">
        <f t="shared" si="45"/>
        <v/>
      </c>
      <c r="I1468" s="1">
        <v>-7.0000000000000001E-3</v>
      </c>
      <c r="J1468" s="1">
        <f>+D1468-F1468+I1468*O1468</f>
        <v>-7.2120000000000004E-2</v>
      </c>
      <c r="K1468" s="1">
        <v>-3.8615055382251698E-2</v>
      </c>
      <c r="L1468" s="1">
        <f>+K1468-J1468</f>
        <v>3.3504944617748306E-2</v>
      </c>
      <c r="M1468" s="1">
        <v>-3.4615055382251597E-2</v>
      </c>
      <c r="N1468" s="1">
        <f>+M1468-J1468</f>
        <v>3.7504944617748406E-2</v>
      </c>
      <c r="O1468">
        <v>3.16</v>
      </c>
      <c r="P1468" t="s">
        <v>17</v>
      </c>
      <c r="Q1468">
        <v>-0.01</v>
      </c>
      <c r="R1468">
        <v>-7.1251151934266102E-3</v>
      </c>
      <c r="S1468">
        <v>2.33499356545507E-3</v>
      </c>
      <c r="T1468">
        <v>0.03</v>
      </c>
    </row>
    <row r="1469" spans="1:20" x14ac:dyDescent="0.3">
      <c r="A1469" t="s">
        <v>110</v>
      </c>
      <c r="B1469">
        <v>2010</v>
      </c>
      <c r="C1469">
        <v>257470.89060000001</v>
      </c>
      <c r="D1469" s="1">
        <v>4.0000000000000001E-3</v>
      </c>
      <c r="E1469" s="1">
        <v>0.94498288631439198</v>
      </c>
      <c r="F1469" s="1">
        <v>-8.9999999999999993E-3</v>
      </c>
      <c r="G1469" s="1">
        <f t="shared" si="44"/>
        <v>-6.9999999999999993E-2</v>
      </c>
      <c r="H1469" s="1" t="str">
        <f t="shared" si="45"/>
        <v/>
      </c>
      <c r="I1469" s="1">
        <v>0.01</v>
      </c>
      <c r="J1469" s="1">
        <f>+D1469-F1469+I1469*O1469</f>
        <v>4.4299999999999999E-2</v>
      </c>
      <c r="K1469" s="1">
        <v>8.8748848065733892E-3</v>
      </c>
      <c r="L1469" s="1">
        <f>+K1469-J1469</f>
        <v>-3.5425115193426608E-2</v>
      </c>
      <c r="M1469" s="1">
        <v>-7.1251151934266102E-3</v>
      </c>
      <c r="N1469" s="1">
        <f>+M1469-J1469</f>
        <v>-5.1425115193426608E-2</v>
      </c>
      <c r="O1469">
        <v>3.13</v>
      </c>
      <c r="P1469" t="s">
        <v>17</v>
      </c>
      <c r="Q1469">
        <v>0</v>
      </c>
      <c r="R1469">
        <v>-1.5879856765270199E-2</v>
      </c>
      <c r="S1469">
        <v>5.4039177484811003E-3</v>
      </c>
      <c r="T1469">
        <v>-0.02</v>
      </c>
    </row>
    <row r="1470" spans="1:20" x14ac:dyDescent="0.3">
      <c r="A1470" t="s">
        <v>110</v>
      </c>
      <c r="B1470">
        <v>2011</v>
      </c>
      <c r="C1470">
        <v>259958.5</v>
      </c>
      <c r="D1470" s="1">
        <v>0</v>
      </c>
      <c r="E1470" s="1">
        <v>0.940682113170624</v>
      </c>
      <c r="F1470" s="1">
        <v>2.8000000000000001E-2</v>
      </c>
      <c r="G1470" s="1">
        <f t="shared" si="44"/>
        <v>-4.1999999999999996E-2</v>
      </c>
      <c r="H1470" s="1" t="str">
        <f t="shared" si="45"/>
        <v/>
      </c>
      <c r="I1470" s="1">
        <v>-4.0000000000000001E-3</v>
      </c>
      <c r="J1470" s="1">
        <f>+D1470-F1470+I1470*O1470</f>
        <v>-4.0840000000000001E-2</v>
      </c>
      <c r="K1470" s="1">
        <v>1.6120143234729802E-2</v>
      </c>
      <c r="L1470" s="1">
        <f>+K1470-J1470</f>
        <v>5.6960143234729803E-2</v>
      </c>
      <c r="M1470" s="1">
        <v>-1.5879856765270199E-2</v>
      </c>
      <c r="N1470" s="1">
        <f>+M1470-J1470</f>
        <v>2.4960143234729802E-2</v>
      </c>
      <c r="O1470">
        <v>3.21</v>
      </c>
      <c r="P1470" t="s">
        <v>17</v>
      </c>
      <c r="Q1470">
        <v>0.01</v>
      </c>
      <c r="R1470">
        <v>5.1374518871309996E-4</v>
      </c>
      <c r="S1470">
        <v>5.9519512578844998E-3</v>
      </c>
      <c r="T1470">
        <v>0.03</v>
      </c>
    </row>
    <row r="1471" spans="1:20" x14ac:dyDescent="0.3">
      <c r="A1471" t="s">
        <v>110</v>
      </c>
      <c r="B1471">
        <v>2012</v>
      </c>
      <c r="C1471">
        <v>261643</v>
      </c>
      <c r="D1471" s="1">
        <v>-5.0000000000000001E-3</v>
      </c>
      <c r="E1471" s="1">
        <v>0.93912166357040405</v>
      </c>
      <c r="F1471" s="1">
        <v>3.0000000000000001E-3</v>
      </c>
      <c r="G1471" s="1">
        <f t="shared" si="44"/>
        <v>-3.8999999999999993E-2</v>
      </c>
      <c r="H1471" s="1" t="str">
        <f t="shared" si="45"/>
        <v/>
      </c>
      <c r="I1471" s="1">
        <v>-2E-3</v>
      </c>
      <c r="J1471" s="1">
        <f>+D1471-F1471+I1471*O1471</f>
        <v>-1.4440000000000001E-2</v>
      </c>
      <c r="K1471" s="1">
        <v>2.1513745188713101E-2</v>
      </c>
      <c r="L1471" s="1">
        <f>+K1471-J1471</f>
        <v>3.5953745188713103E-2</v>
      </c>
      <c r="M1471" s="1">
        <v>5.1374518871309996E-4</v>
      </c>
      <c r="N1471" s="1">
        <f>+M1471-J1471</f>
        <v>1.4953745188713102E-2</v>
      </c>
      <c r="O1471">
        <v>3.22</v>
      </c>
      <c r="P1471" t="s">
        <v>17</v>
      </c>
      <c r="Q1471">
        <v>0.01</v>
      </c>
      <c r="R1471">
        <v>2.01595841348171E-2</v>
      </c>
      <c r="S1471">
        <v>1.4032812789082499E-2</v>
      </c>
      <c r="T1471">
        <v>0</v>
      </c>
    </row>
    <row r="1472" spans="1:20" x14ac:dyDescent="0.3">
      <c r="A1472" t="s">
        <v>110</v>
      </c>
      <c r="B1472">
        <v>2013</v>
      </c>
      <c r="C1472">
        <v>263257.59379999997</v>
      </c>
      <c r="D1472" s="1">
        <v>6.0000000000000001E-3</v>
      </c>
      <c r="E1472" s="1">
        <v>0.94638353586196899</v>
      </c>
      <c r="F1472" s="1">
        <v>-7.0000000000000001E-3</v>
      </c>
      <c r="G1472" s="1">
        <f t="shared" si="44"/>
        <v>-4.5999999999999992E-2</v>
      </c>
      <c r="H1472" s="1" t="str">
        <f t="shared" si="45"/>
        <v/>
      </c>
      <c r="I1472" s="1">
        <v>7.0000000000000001E-3</v>
      </c>
      <c r="J1472" s="1">
        <f>+D1472-F1472+I1472*O1472</f>
        <v>3.5400000000000001E-2</v>
      </c>
      <c r="K1472" s="1">
        <v>3.5159584134817103E-2</v>
      </c>
      <c r="L1472" s="1">
        <f>+K1472-J1472</f>
        <v>-2.4041586518289831E-4</v>
      </c>
      <c r="M1472" s="1">
        <v>2.01595841348171E-2</v>
      </c>
      <c r="N1472" s="1">
        <f>+M1472-J1472</f>
        <v>-1.5240415865182901E-2</v>
      </c>
      <c r="O1472">
        <v>3.2</v>
      </c>
      <c r="P1472" t="s">
        <v>17</v>
      </c>
      <c r="Q1472">
        <v>0.01</v>
      </c>
      <c r="R1472">
        <v>-3.8834448754786902E-3</v>
      </c>
      <c r="S1472">
        <v>-5.8914683759212E-3</v>
      </c>
      <c r="T1472">
        <v>-0.01</v>
      </c>
    </row>
    <row r="1473" spans="1:20" x14ac:dyDescent="0.3">
      <c r="A1473" t="s">
        <v>110</v>
      </c>
      <c r="B1473">
        <v>2014</v>
      </c>
      <c r="C1473">
        <v>265751.1875</v>
      </c>
      <c r="D1473" s="1">
        <v>0</v>
      </c>
      <c r="E1473" s="1">
        <v>0.94873350858688399</v>
      </c>
      <c r="F1473" s="1">
        <v>4.5999999999999999E-2</v>
      </c>
      <c r="G1473" s="1">
        <f t="shared" si="44"/>
        <v>6.9388939039072284E-18</v>
      </c>
      <c r="H1473" s="1" t="str">
        <f t="shared" si="45"/>
        <v/>
      </c>
      <c r="I1473" s="1">
        <v>2E-3</v>
      </c>
      <c r="J1473" s="1">
        <f>+D1473-F1473+I1473*O1473</f>
        <v>-3.9300000000000002E-2</v>
      </c>
      <c r="K1473" s="1">
        <v>1.2116555124521301E-2</v>
      </c>
      <c r="L1473" s="1">
        <f>+K1473-J1473</f>
        <v>5.1416555124521299E-2</v>
      </c>
      <c r="M1473" s="1">
        <v>-3.8834448754786902E-3</v>
      </c>
      <c r="N1473" s="1">
        <f>+M1473-J1473</f>
        <v>3.5416555124521312E-2</v>
      </c>
      <c r="O1473">
        <v>3.35</v>
      </c>
      <c r="P1473" t="s">
        <v>15</v>
      </c>
      <c r="Q1473">
        <v>-0.01</v>
      </c>
      <c r="R1473">
        <v>5.6940386235713999E-2</v>
      </c>
      <c r="S1473">
        <v>2.66769342124463E-2</v>
      </c>
      <c r="T1473">
        <v>0.04</v>
      </c>
    </row>
    <row r="1474" spans="1:20" x14ac:dyDescent="0.3">
      <c r="A1474" t="s">
        <v>110</v>
      </c>
      <c r="B1474">
        <v>2015</v>
      </c>
      <c r="C1474">
        <v>267688.8125</v>
      </c>
      <c r="D1474" s="1">
        <v>0</v>
      </c>
      <c r="E1474" s="1">
        <v>0.95534032583236705</v>
      </c>
      <c r="F1474" s="1">
        <v>7.0000000000000001E-3</v>
      </c>
      <c r="G1474" s="1">
        <f t="shared" si="44"/>
        <v>7.0000000000000071E-3</v>
      </c>
      <c r="H1474" s="1" t="str">
        <f t="shared" si="45"/>
        <v/>
      </c>
      <c r="I1474" s="1">
        <v>7.0000000000000001E-3</v>
      </c>
      <c r="J1474" s="1">
        <f>+D1474-F1474+I1474*O1474</f>
        <v>1.6590000000000001E-2</v>
      </c>
      <c r="K1474" s="1">
        <v>5.7940386235714E-2</v>
      </c>
      <c r="L1474" s="1">
        <f>+K1474-J1474</f>
        <v>4.1350386235714E-2</v>
      </c>
      <c r="M1474" s="1">
        <v>5.6940386235713999E-2</v>
      </c>
      <c r="N1474" s="1">
        <f>+M1474-J1474</f>
        <v>4.0350386235713999E-2</v>
      </c>
      <c r="O1474">
        <v>3.37</v>
      </c>
      <c r="P1474" t="s">
        <v>15</v>
      </c>
      <c r="Q1474">
        <v>0.03</v>
      </c>
      <c r="R1474">
        <v>5.3049903631210302E-2</v>
      </c>
      <c r="S1474">
        <v>3.9896346628665903E-2</v>
      </c>
      <c r="T1474">
        <v>0.02</v>
      </c>
    </row>
    <row r="1475" spans="1:20" x14ac:dyDescent="0.3">
      <c r="A1475" t="s">
        <v>110</v>
      </c>
      <c r="B1475">
        <v>2016</v>
      </c>
      <c r="C1475">
        <v>269728</v>
      </c>
      <c r="D1475" s="1">
        <v>-2E-3</v>
      </c>
      <c r="E1475" s="1">
        <v>0.96222114562988303</v>
      </c>
      <c r="F1475" s="1">
        <v>-4.2999999999999997E-2</v>
      </c>
      <c r="G1475" s="1">
        <f t="shared" si="44"/>
        <v>-3.599999999999999E-2</v>
      </c>
      <c r="H1475" s="1" t="str">
        <f t="shared" si="45"/>
        <v/>
      </c>
      <c r="I1475" s="1">
        <v>7.0000000000000001E-3</v>
      </c>
      <c r="J1475" s="1">
        <f>+D1475-F1475+I1475*O1475</f>
        <v>6.361E-2</v>
      </c>
      <c r="K1475" s="1">
        <v>6.6049903631210299E-2</v>
      </c>
      <c r="L1475" s="1">
        <f>+K1475-J1475</f>
        <v>2.4399036312102995E-3</v>
      </c>
      <c r="M1475" s="1">
        <v>5.3049903631210302E-2</v>
      </c>
      <c r="N1475" s="1">
        <f>+M1475-J1475</f>
        <v>-1.0560096368789698E-2</v>
      </c>
      <c r="O1475">
        <v>3.23</v>
      </c>
      <c r="P1475" t="s">
        <v>17</v>
      </c>
      <c r="Q1475">
        <v>0.04</v>
      </c>
      <c r="R1475">
        <v>4.0782728880643798E-2</v>
      </c>
      <c r="S1475">
        <v>3.7993155419826501E-2</v>
      </c>
      <c r="T1475">
        <v>-0.04</v>
      </c>
    </row>
    <row r="1476" spans="1:20" x14ac:dyDescent="0.3">
      <c r="A1476" t="s">
        <v>110</v>
      </c>
      <c r="B1476">
        <v>2017</v>
      </c>
      <c r="C1476">
        <v>273270.375</v>
      </c>
      <c r="D1476" s="1">
        <v>0</v>
      </c>
      <c r="E1476" s="1">
        <v>0.96286737918853804</v>
      </c>
      <c r="F1476" s="1">
        <v>7.0000000000000001E-3</v>
      </c>
      <c r="G1476" s="1">
        <f t="shared" si="44"/>
        <v>-2.8999999999999991E-2</v>
      </c>
      <c r="H1476" s="1" t="str">
        <f t="shared" si="45"/>
        <v/>
      </c>
      <c r="I1476" s="1">
        <v>1E-3</v>
      </c>
      <c r="J1476" s="1">
        <f>+D1476-F1476+I1476*O1476</f>
        <v>-3.7499999999999999E-3</v>
      </c>
      <c r="K1476" s="1">
        <v>6.1782728880643803E-2</v>
      </c>
      <c r="L1476" s="1">
        <f>+K1476-J1476</f>
        <v>6.5532728880643806E-2</v>
      </c>
      <c r="M1476" s="1">
        <v>4.0782728880643798E-2</v>
      </c>
      <c r="N1476" s="1">
        <f>+M1476-J1476</f>
        <v>4.4532728880643802E-2</v>
      </c>
      <c r="O1476">
        <v>3.25</v>
      </c>
      <c r="P1476" t="s">
        <v>15</v>
      </c>
      <c r="Q1476">
        <v>0.04</v>
      </c>
      <c r="R1476">
        <v>3.0968297481536899E-2</v>
      </c>
      <c r="S1476">
        <v>2.18332745134831E-2</v>
      </c>
      <c r="T1476">
        <v>0.01</v>
      </c>
    </row>
    <row r="1477" spans="1:20" x14ac:dyDescent="0.3">
      <c r="A1477" t="s">
        <v>110</v>
      </c>
      <c r="B1477">
        <v>2018</v>
      </c>
      <c r="C1477">
        <v>276506.8125</v>
      </c>
      <c r="D1477" s="1">
        <v>0</v>
      </c>
      <c r="E1477" s="1">
        <v>0.95972847938537598</v>
      </c>
      <c r="F1477" s="1">
        <v>8.0000000000000002E-3</v>
      </c>
      <c r="G1477" s="1">
        <f t="shared" si="44"/>
        <v>-2.0999999999999991E-2</v>
      </c>
      <c r="H1477" s="1" t="str">
        <f t="shared" si="45"/>
        <v/>
      </c>
      <c r="I1477" s="1">
        <v>-3.0000000000000001E-3</v>
      </c>
      <c r="J1477" s="1">
        <f>+D1477-F1477+I1477*O1477</f>
        <v>-1.7809999999999999E-2</v>
      </c>
      <c r="K1477" s="1">
        <v>5.49682974815369E-2</v>
      </c>
      <c r="L1477" s="1">
        <f>+K1477-J1477</f>
        <v>7.2778297481536899E-2</v>
      </c>
      <c r="M1477" s="1">
        <v>3.0968297481536899E-2</v>
      </c>
      <c r="N1477" s="1">
        <f>+M1477-J1477</f>
        <v>4.8778297481536899E-2</v>
      </c>
      <c r="O1477">
        <v>3.27</v>
      </c>
      <c r="P1477" t="s">
        <v>17</v>
      </c>
      <c r="Q1477">
        <v>0.02</v>
      </c>
      <c r="R1477">
        <v>3.2155468285083699E-2</v>
      </c>
      <c r="S1477">
        <v>1.43542736768722E-2</v>
      </c>
      <c r="T1477">
        <v>0.02</v>
      </c>
    </row>
    <row r="1478" spans="1:20" x14ac:dyDescent="0.3">
      <c r="A1478" t="s">
        <v>110</v>
      </c>
      <c r="B1478">
        <v>2019</v>
      </c>
      <c r="C1478">
        <v>279912.90629999997</v>
      </c>
      <c r="D1478" s="1">
        <v>2.3E-2</v>
      </c>
      <c r="E1478" s="1">
        <v>0.95477092266082797</v>
      </c>
      <c r="F1478" s="1">
        <v>5.3999999999999999E-2</v>
      </c>
      <c r="G1478" s="1">
        <f t="shared" si="44"/>
        <v>3.3000000000000008E-2</v>
      </c>
      <c r="H1478" s="1" t="str">
        <f t="shared" si="45"/>
        <v/>
      </c>
      <c r="I1478" s="1">
        <v>-5.0000000000000001E-3</v>
      </c>
      <c r="J1478" s="1">
        <f>+D1478-F1478+I1478*O1478</f>
        <v>-4.8250000000000001E-2</v>
      </c>
      <c r="K1478" s="1">
        <v>5.0155468285083799E-2</v>
      </c>
      <c r="L1478" s="1">
        <f>+K1478-J1478</f>
        <v>9.84054682850838E-2</v>
      </c>
      <c r="M1478" s="1">
        <v>3.2155468285083699E-2</v>
      </c>
      <c r="N1478" s="1">
        <f>+M1478-J1478</f>
        <v>8.04054682850837E-2</v>
      </c>
      <c r="O1478">
        <v>3.45</v>
      </c>
      <c r="P1478" t="s">
        <v>17</v>
      </c>
      <c r="Q1478">
        <v>0.01</v>
      </c>
      <c r="R1478">
        <v>3.3025490224361298E-2</v>
      </c>
      <c r="S1478">
        <v>1.41762997955083E-2</v>
      </c>
      <c r="T1478">
        <v>0.06</v>
      </c>
    </row>
    <row r="1479" spans="1:20" x14ac:dyDescent="0.3">
      <c r="A1479" t="s">
        <v>110</v>
      </c>
      <c r="B1479">
        <v>2020</v>
      </c>
      <c r="C1479">
        <v>283421.8125</v>
      </c>
      <c r="D1479" s="1">
        <v>0</v>
      </c>
      <c r="E1479" s="1">
        <v>0.98701369762420699</v>
      </c>
      <c r="F1479" s="1">
        <v>-0.108</v>
      </c>
      <c r="G1479" s="1">
        <f t="shared" ref="G1479:G1542" si="46">SUMIFS(F:F,A:A,A1479,B:B,"&lt;="&amp;B1479)</f>
        <v>-7.4999999999999983E-2</v>
      </c>
      <c r="H1479" s="1" t="str">
        <f t="shared" ref="H1479:H1542" si="47">IFERROR(IF(ABS(G1479)&gt;0.12,AVERAGEIFS(K:K,A:A,A1479,B:B,"&gt;"&amp;B1479,B:B,"&lt;"&amp;B1479+3),""),"")</f>
        <v/>
      </c>
      <c r="I1479" s="1">
        <v>3.2000000000000001E-2</v>
      </c>
      <c r="J1479" s="1">
        <f>+D1479-F1479+I1479*O1479</f>
        <v>0.20656000000000002</v>
      </c>
      <c r="K1479" s="1">
        <v>4.5025490224361399E-2</v>
      </c>
      <c r="L1479" s="1">
        <f>+K1479-J1479</f>
        <v>-0.16153450977563863</v>
      </c>
      <c r="M1479" s="1">
        <v>3.3025490224361298E-2</v>
      </c>
      <c r="N1479" s="1">
        <f>+M1479-J1479</f>
        <v>-0.17353450977563872</v>
      </c>
      <c r="O1479">
        <v>3.08</v>
      </c>
      <c r="P1479" t="s">
        <v>17</v>
      </c>
      <c r="Q1479">
        <v>0.01</v>
      </c>
      <c r="R1479">
        <v>3.11112536787987E-2</v>
      </c>
      <c r="S1479">
        <v>-1.2478359043598199E-2</v>
      </c>
      <c r="T1479">
        <v>-7.0000000000000007E-2</v>
      </c>
    </row>
    <row r="1480" spans="1:20" x14ac:dyDescent="0.3">
      <c r="A1480" t="s">
        <v>110</v>
      </c>
      <c r="B1480">
        <v>2021</v>
      </c>
      <c r="C1480">
        <v>286570.40629999997</v>
      </c>
      <c r="D1480" s="1">
        <v>0</v>
      </c>
      <c r="E1480" s="1">
        <v>0.986977219581604</v>
      </c>
      <c r="F1480" s="1">
        <v>2.5999999999999999E-2</v>
      </c>
      <c r="G1480" s="1">
        <f t="shared" si="46"/>
        <v>-4.8999999999999988E-2</v>
      </c>
      <c r="H1480" s="1" t="str">
        <f t="shared" si="47"/>
        <v/>
      </c>
      <c r="I1480" s="1">
        <v>0</v>
      </c>
      <c r="J1480" s="1">
        <f>+D1480-F1480+I1480*O1480</f>
        <v>-2.5999999999999999E-2</v>
      </c>
      <c r="K1480" s="1">
        <v>7.8111253678798703E-2</v>
      </c>
      <c r="L1480" s="1">
        <f>+K1480-J1480</f>
        <v>0.1041112536787987</v>
      </c>
      <c r="M1480" s="1">
        <v>3.11112536787987E-2</v>
      </c>
      <c r="N1480" s="1">
        <f>+M1480-J1480</f>
        <v>5.7111253678798699E-2</v>
      </c>
      <c r="O1480">
        <v>3.16</v>
      </c>
      <c r="P1480" t="s">
        <v>17</v>
      </c>
      <c r="Q1480">
        <v>-0.01</v>
      </c>
      <c r="R1480">
        <v>-3.88050469756126E-2</v>
      </c>
      <c r="S1480">
        <v>-6.7015402019022898E-3</v>
      </c>
      <c r="T1480">
        <v>0</v>
      </c>
    </row>
    <row r="1481" spans="1:20" x14ac:dyDescent="0.3">
      <c r="A1481" t="s">
        <v>110</v>
      </c>
      <c r="B1481">
        <v>2022</v>
      </c>
      <c r="C1481">
        <v>292573.09379999997</v>
      </c>
      <c r="D1481" s="1">
        <v>5.0000000000000001E-3</v>
      </c>
      <c r="E1481" s="1">
        <v>0.97584867477417003</v>
      </c>
      <c r="F1481" s="1">
        <v>0.01</v>
      </c>
      <c r="G1481" s="1">
        <f t="shared" si="46"/>
        <v>-3.8999999999999986E-2</v>
      </c>
      <c r="H1481" s="1" t="str">
        <f t="shared" si="47"/>
        <v/>
      </c>
      <c r="I1481" s="1">
        <v>-1.0999999999999999E-2</v>
      </c>
      <c r="J1481" s="1">
        <f>+D1481-F1481+I1481*O1481</f>
        <v>-4.0089999999999994E-2</v>
      </c>
      <c r="K1481" s="1">
        <v>4.1194953024387401E-2</v>
      </c>
      <c r="L1481" s="1">
        <f>+K1481-J1481</f>
        <v>8.1284953024387402E-2</v>
      </c>
      <c r="M1481" s="1">
        <v>-3.88050469756126E-2</v>
      </c>
      <c r="N1481" s="1">
        <f>+M1481-J1481</f>
        <v>1.2849530243873933E-3</v>
      </c>
      <c r="O1481">
        <v>3.19</v>
      </c>
      <c r="P1481" t="s">
        <v>17</v>
      </c>
      <c r="Q1481">
        <v>-0.01</v>
      </c>
      <c r="R1481">
        <v>-8.2222733497619993E-3</v>
      </c>
      <c r="S1481">
        <v>1.1336654424667299E-2</v>
      </c>
      <c r="T1481">
        <v>0.03</v>
      </c>
    </row>
    <row r="1482" spans="1:20" x14ac:dyDescent="0.3">
      <c r="A1482" t="s">
        <v>111</v>
      </c>
      <c r="B1482">
        <v>2006</v>
      </c>
      <c r="C1482">
        <v>2408192</v>
      </c>
      <c r="D1482" s="1">
        <v>0</v>
      </c>
      <c r="E1482" s="1">
        <v>0.96494942903518699</v>
      </c>
      <c r="F1482" s="1">
        <v>1E-3</v>
      </c>
      <c r="G1482" s="1">
        <f t="shared" si="46"/>
        <v>1E-3</v>
      </c>
      <c r="H1482" s="1" t="str">
        <f t="shared" si="47"/>
        <v/>
      </c>
      <c r="I1482" s="1">
        <v>-1E-3</v>
      </c>
      <c r="J1482" s="1">
        <f>+D1482-F1482+I1482*O1482</f>
        <v>-3.3700000000000002E-3</v>
      </c>
      <c r="K1482" s="1">
        <v>7.0549532771110507E-2</v>
      </c>
      <c r="L1482" s="1">
        <f>+K1482-J1482</f>
        <v>7.3919532771110505E-2</v>
      </c>
      <c r="M1482" s="1">
        <v>3.8549532771110499E-2</v>
      </c>
      <c r="N1482" s="1">
        <f>+M1482-J1482</f>
        <v>4.1919532771110497E-2</v>
      </c>
      <c r="O1482">
        <v>2.37</v>
      </c>
      <c r="P1482" t="s">
        <v>17</v>
      </c>
      <c r="Q1482">
        <v>0.03</v>
      </c>
      <c r="R1482">
        <v>-5.8847171217202999E-3</v>
      </c>
      <c r="S1482">
        <v>-4.9629611894487996E-3</v>
      </c>
      <c r="T1482">
        <v>0</v>
      </c>
    </row>
    <row r="1483" spans="1:20" x14ac:dyDescent="0.3">
      <c r="A1483" t="s">
        <v>111</v>
      </c>
      <c r="B1483">
        <v>2007</v>
      </c>
      <c r="C1483">
        <v>2420681</v>
      </c>
      <c r="D1483" s="1">
        <v>8.9999999999999993E-3</v>
      </c>
      <c r="E1483" s="1">
        <v>0.94883966445922896</v>
      </c>
      <c r="F1483" s="1">
        <v>2.1000000000000001E-2</v>
      </c>
      <c r="G1483" s="1">
        <f t="shared" si="46"/>
        <v>2.2000000000000002E-2</v>
      </c>
      <c r="H1483" s="1" t="str">
        <f t="shared" si="47"/>
        <v/>
      </c>
      <c r="I1483" s="1">
        <v>-1.6E-2</v>
      </c>
      <c r="J1483" s="1">
        <f>+D1483-F1483+I1483*O1483</f>
        <v>-5.0720000000000001E-2</v>
      </c>
      <c r="K1483" s="1">
        <v>2.31152828782797E-2</v>
      </c>
      <c r="L1483" s="1">
        <f>+K1483-J1483</f>
        <v>7.3835282878279701E-2</v>
      </c>
      <c r="M1483" s="1">
        <v>-5.8847171217202999E-3</v>
      </c>
      <c r="N1483" s="1">
        <f>+M1483-J1483</f>
        <v>4.4835282878279703E-2</v>
      </c>
      <c r="O1483">
        <v>2.42</v>
      </c>
      <c r="P1483" t="s">
        <v>17</v>
      </c>
      <c r="Q1483">
        <v>0</v>
      </c>
      <c r="R1483">
        <v>-7.9127577424049397E-2</v>
      </c>
      <c r="S1483">
        <v>-4.9616773147135897E-2</v>
      </c>
      <c r="T1483">
        <v>0.02</v>
      </c>
    </row>
    <row r="1484" spans="1:20" x14ac:dyDescent="0.3">
      <c r="A1484" t="s">
        <v>111</v>
      </c>
      <c r="B1484">
        <v>2008</v>
      </c>
      <c r="C1484">
        <v>2443136</v>
      </c>
      <c r="D1484" s="1">
        <v>1.2999999999999999E-2</v>
      </c>
      <c r="E1484" s="1">
        <v>0.93510562181472801</v>
      </c>
      <c r="F1484" s="1">
        <v>-2.8000000000000001E-2</v>
      </c>
      <c r="G1484" s="1">
        <f t="shared" si="46"/>
        <v>-5.9999999999999984E-3</v>
      </c>
      <c r="H1484" s="1" t="str">
        <f t="shared" si="47"/>
        <v/>
      </c>
      <c r="I1484" s="1">
        <v>-1.4E-2</v>
      </c>
      <c r="J1484" s="1">
        <f>+D1484-F1484+I1484*O1484</f>
        <v>8.100000000000003E-3</v>
      </c>
      <c r="K1484" s="1">
        <v>-4.1127577424049398E-2</v>
      </c>
      <c r="L1484" s="1">
        <f>+K1484-J1484</f>
        <v>-4.9227577424049401E-2</v>
      </c>
      <c r="M1484" s="1">
        <v>-7.9127577424049397E-2</v>
      </c>
      <c r="N1484" s="1">
        <f>+M1484-J1484</f>
        <v>-8.7227577424049407E-2</v>
      </c>
      <c r="O1484">
        <v>2.35</v>
      </c>
      <c r="P1484" t="s">
        <v>16</v>
      </c>
      <c r="Q1484">
        <v>-0.05</v>
      </c>
      <c r="R1484">
        <v>-3.4366187363863002E-2</v>
      </c>
      <c r="S1484">
        <v>-7.7994856983423502E-3</v>
      </c>
      <c r="T1484">
        <v>-0.03</v>
      </c>
    </row>
    <row r="1485" spans="1:20" x14ac:dyDescent="0.3">
      <c r="A1485" t="s">
        <v>111</v>
      </c>
      <c r="B1485">
        <v>2009</v>
      </c>
      <c r="C1485">
        <v>2474814</v>
      </c>
      <c r="D1485" s="1">
        <v>0.01</v>
      </c>
      <c r="E1485" s="1">
        <v>0.939231097698212</v>
      </c>
      <c r="F1485" s="1">
        <v>2.8000000000000001E-2</v>
      </c>
      <c r="G1485" s="1">
        <f t="shared" si="46"/>
        <v>2.2000000000000002E-2</v>
      </c>
      <c r="H1485" s="1" t="str">
        <f t="shared" si="47"/>
        <v/>
      </c>
      <c r="I1485" s="1">
        <v>4.0000000000000001E-3</v>
      </c>
      <c r="J1485" s="1">
        <f>+D1485-F1485+I1485*O1485</f>
        <v>-8.3200000000000027E-3</v>
      </c>
      <c r="K1485" s="1">
        <v>-3.8366187363862998E-2</v>
      </c>
      <c r="L1485" s="1">
        <f>+K1485-J1485</f>
        <v>-3.0046187363862997E-2</v>
      </c>
      <c r="M1485" s="1">
        <v>-3.4366187363863002E-2</v>
      </c>
      <c r="N1485" s="1">
        <f>+M1485-J1485</f>
        <v>-2.6046187363863001E-2</v>
      </c>
      <c r="O1485">
        <v>2.42</v>
      </c>
      <c r="P1485" t="s">
        <v>15</v>
      </c>
      <c r="Q1485">
        <v>-0.01</v>
      </c>
      <c r="R1485">
        <v>-3.3573565855622E-3</v>
      </c>
      <c r="S1485">
        <v>6.1027521733194798E-3</v>
      </c>
      <c r="T1485">
        <v>0.01</v>
      </c>
    </row>
    <row r="1486" spans="1:20" x14ac:dyDescent="0.3">
      <c r="A1486" t="s">
        <v>111</v>
      </c>
      <c r="B1486">
        <v>2010</v>
      </c>
      <c r="C1486">
        <v>2516069</v>
      </c>
      <c r="D1486" s="1">
        <v>4.0000000000000001E-3</v>
      </c>
      <c r="E1486" s="1">
        <v>0.94796591997146595</v>
      </c>
      <c r="F1486" s="1">
        <v>1.7999999999999999E-2</v>
      </c>
      <c r="G1486" s="1">
        <f t="shared" si="46"/>
        <v>0.04</v>
      </c>
      <c r="H1486" s="1" t="str">
        <f t="shared" si="47"/>
        <v/>
      </c>
      <c r="I1486" s="1">
        <v>8.9999999999999993E-3</v>
      </c>
      <c r="J1486" s="1">
        <f>+D1486-F1486+I1486*O1486</f>
        <v>8.1399999999999979E-3</v>
      </c>
      <c r="K1486" s="1">
        <v>1.26426434144378E-2</v>
      </c>
      <c r="L1486" s="1">
        <f>+K1486-J1486</f>
        <v>4.5026434144378024E-3</v>
      </c>
      <c r="M1486" s="1">
        <v>-3.3573565855622E-3</v>
      </c>
      <c r="N1486" s="1">
        <f>+M1486-J1486</f>
        <v>-1.1497356585562198E-2</v>
      </c>
      <c r="O1486">
        <v>2.46</v>
      </c>
      <c r="P1486" t="s">
        <v>15</v>
      </c>
      <c r="Q1486">
        <v>0.01</v>
      </c>
      <c r="R1486">
        <v>-2.2687541663646699E-2</v>
      </c>
      <c r="S1486">
        <v>-1.4037671498953899E-3</v>
      </c>
      <c r="T1486">
        <v>0.01</v>
      </c>
    </row>
    <row r="1487" spans="1:20" x14ac:dyDescent="0.3">
      <c r="A1487" t="s">
        <v>111</v>
      </c>
      <c r="B1487">
        <v>2011</v>
      </c>
      <c r="C1487">
        <v>2551070</v>
      </c>
      <c r="D1487" s="1">
        <v>1E-3</v>
      </c>
      <c r="E1487" s="1">
        <v>0.94878286123275801</v>
      </c>
      <c r="F1487" s="1">
        <v>-3.1E-2</v>
      </c>
      <c r="G1487" s="1">
        <f t="shared" si="46"/>
        <v>9.0000000000000011E-3</v>
      </c>
      <c r="H1487" s="1" t="str">
        <f t="shared" si="47"/>
        <v/>
      </c>
      <c r="I1487" s="1">
        <v>1E-3</v>
      </c>
      <c r="J1487" s="1">
        <f>+D1487-F1487+I1487*O1487</f>
        <v>3.4390000000000004E-2</v>
      </c>
      <c r="K1487" s="1">
        <v>9.3124583363533003E-3</v>
      </c>
      <c r="L1487" s="1">
        <f>+K1487-J1487</f>
        <v>-2.5077541663646702E-2</v>
      </c>
      <c r="M1487" s="1">
        <v>-2.2687541663646699E-2</v>
      </c>
      <c r="N1487" s="1">
        <f>+M1487-J1487</f>
        <v>-5.7077541663646703E-2</v>
      </c>
      <c r="O1487">
        <v>2.39</v>
      </c>
      <c r="P1487" t="s">
        <v>17</v>
      </c>
      <c r="Q1487">
        <v>0</v>
      </c>
      <c r="R1487">
        <v>7.3940602093935E-3</v>
      </c>
      <c r="S1487">
        <v>1.28322662785649E-2</v>
      </c>
      <c r="T1487">
        <v>-0.03</v>
      </c>
    </row>
    <row r="1488" spans="1:20" x14ac:dyDescent="0.3">
      <c r="A1488" t="s">
        <v>111</v>
      </c>
      <c r="B1488">
        <v>2012</v>
      </c>
      <c r="C1488">
        <v>2582776</v>
      </c>
      <c r="D1488" s="1">
        <v>1E-3</v>
      </c>
      <c r="E1488" s="1">
        <v>0.94810962677001998</v>
      </c>
      <c r="F1488" s="1">
        <v>1.0999999999999999E-2</v>
      </c>
      <c r="G1488" s="1">
        <f t="shared" si="46"/>
        <v>0.02</v>
      </c>
      <c r="H1488" s="1" t="str">
        <f t="shared" si="47"/>
        <v/>
      </c>
      <c r="I1488" s="1">
        <v>-1E-3</v>
      </c>
      <c r="J1488" s="1">
        <f>+D1488-F1488+I1488*O1488</f>
        <v>-1.2409999999999999E-2</v>
      </c>
      <c r="K1488" s="1">
        <v>2.8394060209393501E-2</v>
      </c>
      <c r="L1488" s="1">
        <f>+K1488-J1488</f>
        <v>4.0804060209393499E-2</v>
      </c>
      <c r="M1488" s="1">
        <v>7.3940602093935E-3</v>
      </c>
      <c r="N1488" s="1">
        <f>+M1488-J1488</f>
        <v>1.9804060209393501E-2</v>
      </c>
      <c r="O1488">
        <v>2.41</v>
      </c>
      <c r="P1488" t="s">
        <v>17</v>
      </c>
      <c r="Q1488">
        <v>0.01</v>
      </c>
      <c r="R1488">
        <v>1.5759597197174999E-2</v>
      </c>
      <c r="S1488">
        <v>9.6328258514404002E-3</v>
      </c>
      <c r="T1488">
        <v>0.01</v>
      </c>
    </row>
    <row r="1489" spans="1:20" x14ac:dyDescent="0.3">
      <c r="A1489" t="s">
        <v>111</v>
      </c>
      <c r="B1489">
        <v>2013</v>
      </c>
      <c r="C1489">
        <v>2612504</v>
      </c>
      <c r="D1489" s="1">
        <v>1.4999999999999999E-2</v>
      </c>
      <c r="E1489" s="1">
        <v>0.95102012157440197</v>
      </c>
      <c r="F1489" s="1">
        <v>1.7000000000000001E-2</v>
      </c>
      <c r="G1489" s="1">
        <f t="shared" si="46"/>
        <v>3.7000000000000005E-2</v>
      </c>
      <c r="H1489" s="1" t="str">
        <f t="shared" si="47"/>
        <v/>
      </c>
      <c r="I1489" s="1">
        <v>3.0000000000000001E-3</v>
      </c>
      <c r="J1489" s="1">
        <f>+D1489-F1489+I1489*O1489</f>
        <v>5.3499999999999989E-3</v>
      </c>
      <c r="K1489" s="1">
        <v>3.0759597197175002E-2</v>
      </c>
      <c r="L1489" s="1">
        <f>+K1489-J1489</f>
        <v>2.5409597197175005E-2</v>
      </c>
      <c r="M1489" s="1">
        <v>1.5759597197174999E-2</v>
      </c>
      <c r="N1489" s="1">
        <f>+M1489-J1489</f>
        <v>1.0409597197175E-2</v>
      </c>
      <c r="O1489">
        <v>2.4500000000000002</v>
      </c>
      <c r="P1489" t="s">
        <v>15</v>
      </c>
      <c r="Q1489">
        <v>0.01</v>
      </c>
      <c r="R1489">
        <v>8.1907630115746997E-3</v>
      </c>
      <c r="S1489">
        <v>6.18273951113219E-3</v>
      </c>
      <c r="T1489">
        <v>0.01</v>
      </c>
    </row>
    <row r="1490" spans="1:20" x14ac:dyDescent="0.3">
      <c r="A1490" t="s">
        <v>111</v>
      </c>
      <c r="B1490">
        <v>2014</v>
      </c>
      <c r="C1490">
        <v>2636661</v>
      </c>
      <c r="D1490" s="1">
        <v>0.02</v>
      </c>
      <c r="E1490" s="1">
        <v>0.94566899538040206</v>
      </c>
      <c r="F1490" s="1">
        <v>-2E-3</v>
      </c>
      <c r="G1490" s="1">
        <f t="shared" si="46"/>
        <v>3.5000000000000003E-2</v>
      </c>
      <c r="H1490" s="1" t="str">
        <f t="shared" si="47"/>
        <v/>
      </c>
      <c r="I1490" s="1">
        <v>-5.0000000000000001E-3</v>
      </c>
      <c r="J1490" s="1">
        <f>+D1490-F1490+I1490*O1490</f>
        <v>9.7499999999999983E-3</v>
      </c>
      <c r="K1490" s="1">
        <v>2.41907630115747E-2</v>
      </c>
      <c r="L1490" s="1">
        <f>+K1490-J1490</f>
        <v>1.4440763011574702E-2</v>
      </c>
      <c r="M1490" s="1">
        <v>8.1907630115746997E-3</v>
      </c>
      <c r="N1490" s="1">
        <f>+M1490-J1490</f>
        <v>-1.5592369884252985E-3</v>
      </c>
      <c r="O1490">
        <v>2.4500000000000002</v>
      </c>
      <c r="P1490" t="s">
        <v>16</v>
      </c>
      <c r="Q1490">
        <v>0.01</v>
      </c>
      <c r="R1490">
        <v>3.06529124975203E-2</v>
      </c>
      <c r="S1490">
        <v>3.8946047425269999E-4</v>
      </c>
      <c r="T1490">
        <v>-0.01</v>
      </c>
    </row>
    <row r="1491" spans="1:20" x14ac:dyDescent="0.3">
      <c r="A1491" t="s">
        <v>111</v>
      </c>
      <c r="B1491">
        <v>2015</v>
      </c>
      <c r="C1491">
        <v>2662323</v>
      </c>
      <c r="D1491" s="1">
        <v>2.5999999999999999E-2</v>
      </c>
      <c r="E1491" s="1">
        <v>0.94779974222183205</v>
      </c>
      <c r="F1491" s="1">
        <v>-2E-3</v>
      </c>
      <c r="G1491" s="1">
        <f t="shared" si="46"/>
        <v>3.3000000000000002E-2</v>
      </c>
      <c r="H1491" s="1" t="str">
        <f t="shared" si="47"/>
        <v/>
      </c>
      <c r="I1491" s="1">
        <v>2E-3</v>
      </c>
      <c r="J1491" s="1">
        <f>+D1491-F1491+I1491*O1491</f>
        <v>3.288E-2</v>
      </c>
      <c r="K1491" s="1">
        <v>3.1652912497520398E-2</v>
      </c>
      <c r="L1491" s="1">
        <f>+K1491-J1491</f>
        <v>-1.2270875024796013E-3</v>
      </c>
      <c r="M1491" s="1">
        <v>3.06529124975203E-2</v>
      </c>
      <c r="N1491" s="1">
        <f>+M1491-J1491</f>
        <v>-2.2270875024796993E-3</v>
      </c>
      <c r="O1491">
        <v>2.44</v>
      </c>
      <c r="P1491" t="s">
        <v>17</v>
      </c>
      <c r="Q1491">
        <v>0</v>
      </c>
      <c r="R1491">
        <v>3.3418836891650999E-3</v>
      </c>
      <c r="S1491">
        <v>-9.8116733133792895E-3</v>
      </c>
      <c r="T1491">
        <v>0.01</v>
      </c>
    </row>
    <row r="1492" spans="1:20" x14ac:dyDescent="0.3">
      <c r="A1492" t="s">
        <v>111</v>
      </c>
      <c r="B1492">
        <v>2016</v>
      </c>
      <c r="C1492">
        <v>2689186</v>
      </c>
      <c r="D1492" s="1">
        <v>4.5999999999999999E-2</v>
      </c>
      <c r="E1492" s="1">
        <v>0.94176459312438998</v>
      </c>
      <c r="F1492" s="1">
        <v>8.0000000000000002E-3</v>
      </c>
      <c r="G1492" s="1">
        <f t="shared" si="46"/>
        <v>4.1000000000000002E-2</v>
      </c>
      <c r="H1492" s="1" t="str">
        <f t="shared" si="47"/>
        <v/>
      </c>
      <c r="I1492" s="1">
        <v>-6.0000000000000001E-3</v>
      </c>
      <c r="J1492" s="1">
        <f>+D1492-F1492+I1492*O1492</f>
        <v>2.3239999999999997E-2</v>
      </c>
      <c r="K1492" s="1">
        <v>1.6341883689165101E-2</v>
      </c>
      <c r="L1492" s="1">
        <f>+K1492-J1492</f>
        <v>-6.8981163108348953E-3</v>
      </c>
      <c r="M1492" s="1">
        <v>3.3418836891650999E-3</v>
      </c>
      <c r="N1492" s="1">
        <f>+M1492-J1492</f>
        <v>-1.9898116310834896E-2</v>
      </c>
      <c r="O1492">
        <v>2.46</v>
      </c>
      <c r="P1492" t="s">
        <v>17</v>
      </c>
      <c r="Q1492">
        <v>-0.01</v>
      </c>
      <c r="R1492">
        <v>5.7950215041639697E-4</v>
      </c>
      <c r="S1492">
        <v>-2.2100713104008999E-3</v>
      </c>
      <c r="T1492">
        <v>0.01</v>
      </c>
    </row>
    <row r="1493" spans="1:20" x14ac:dyDescent="0.3">
      <c r="A1493" t="s">
        <v>111</v>
      </c>
      <c r="B1493">
        <v>2017</v>
      </c>
      <c r="C1493">
        <v>2702797</v>
      </c>
      <c r="D1493" s="1">
        <v>2.5000000000000001E-2</v>
      </c>
      <c r="E1493" s="1">
        <v>0.93675673007965099</v>
      </c>
      <c r="F1493" s="1">
        <v>-0.02</v>
      </c>
      <c r="G1493" s="1">
        <f t="shared" si="46"/>
        <v>2.1000000000000001E-2</v>
      </c>
      <c r="H1493" s="1" t="str">
        <f t="shared" si="47"/>
        <v/>
      </c>
      <c r="I1493" s="1">
        <v>-5.0000000000000001E-3</v>
      </c>
      <c r="J1493" s="1">
        <f>+D1493-F1493+I1493*O1493</f>
        <v>3.2949999999999993E-2</v>
      </c>
      <c r="K1493" s="1">
        <v>2.1579502150416398E-2</v>
      </c>
      <c r="L1493" s="1">
        <f>+K1493-J1493</f>
        <v>-1.1370497849583595E-2</v>
      </c>
      <c r="M1493" s="1">
        <v>5.7950215041639697E-4</v>
      </c>
      <c r="N1493" s="1">
        <f>+M1493-J1493</f>
        <v>-3.2370497849583596E-2</v>
      </c>
      <c r="O1493">
        <v>2.41</v>
      </c>
      <c r="P1493" t="s">
        <v>16</v>
      </c>
      <c r="Q1493">
        <v>0</v>
      </c>
      <c r="R1493">
        <v>-2.8520615398879999E-4</v>
      </c>
      <c r="S1493">
        <v>-9.42022912204259E-3</v>
      </c>
      <c r="T1493">
        <v>-0.02</v>
      </c>
    </row>
    <row r="1494" spans="1:20" x14ac:dyDescent="0.3">
      <c r="A1494" t="s">
        <v>111</v>
      </c>
      <c r="B1494">
        <v>2018</v>
      </c>
      <c r="C1494">
        <v>2702767</v>
      </c>
      <c r="D1494" s="1">
        <v>0.03</v>
      </c>
      <c r="E1494" s="1">
        <v>0.94610184431076005</v>
      </c>
      <c r="F1494" s="1">
        <v>-1E-3</v>
      </c>
      <c r="G1494" s="1">
        <f t="shared" si="46"/>
        <v>0.02</v>
      </c>
      <c r="H1494" s="1" t="str">
        <f t="shared" si="47"/>
        <v/>
      </c>
      <c r="I1494" s="1">
        <v>8.9999999999999993E-3</v>
      </c>
      <c r="J1494" s="1">
        <f>+D1494-F1494+I1494*O1494</f>
        <v>5.2690000000000001E-2</v>
      </c>
      <c r="K1494" s="1">
        <v>2.37147938460112E-2</v>
      </c>
      <c r="L1494" s="1">
        <f>+K1494-J1494</f>
        <v>-2.8975206153988801E-2</v>
      </c>
      <c r="M1494" s="1">
        <v>-2.8520615398879999E-4</v>
      </c>
      <c r="N1494" s="1">
        <f>+M1494-J1494</f>
        <v>-5.2975206153988798E-2</v>
      </c>
      <c r="O1494">
        <v>2.41</v>
      </c>
      <c r="P1494" t="s">
        <v>17</v>
      </c>
      <c r="Q1494">
        <v>-0.01</v>
      </c>
      <c r="R1494">
        <v>1.0760692104697199E-2</v>
      </c>
      <c r="S1494">
        <v>-7.0405025035143003E-3</v>
      </c>
      <c r="T1494">
        <v>0.01</v>
      </c>
    </row>
    <row r="1495" spans="1:20" x14ac:dyDescent="0.3">
      <c r="A1495" t="s">
        <v>111</v>
      </c>
      <c r="B1495">
        <v>2019</v>
      </c>
      <c r="C1495">
        <v>2702903</v>
      </c>
      <c r="D1495" s="1">
        <v>5.0999999999999997E-2</v>
      </c>
      <c r="E1495" s="1">
        <v>0.93474543094634999</v>
      </c>
      <c r="F1495" s="1">
        <v>7.0000000000000001E-3</v>
      </c>
      <c r="G1495" s="1">
        <f t="shared" si="46"/>
        <v>2.7E-2</v>
      </c>
      <c r="H1495" s="1" t="str">
        <f t="shared" si="47"/>
        <v/>
      </c>
      <c r="I1495" s="1">
        <v>-1.0999999999999999E-2</v>
      </c>
      <c r="J1495" s="1">
        <f>+D1495-F1495+I1495*O1495</f>
        <v>1.7269999999999997E-2</v>
      </c>
      <c r="K1495" s="1">
        <v>2.87606921046972E-2</v>
      </c>
      <c r="L1495" s="1">
        <f>+K1495-J1495</f>
        <v>1.1490692104697203E-2</v>
      </c>
      <c r="M1495" s="1">
        <v>1.0760692104697199E-2</v>
      </c>
      <c r="N1495" s="1">
        <f>+M1495-J1495</f>
        <v>-6.5093078953027978E-3</v>
      </c>
      <c r="O1495">
        <v>2.4300000000000002</v>
      </c>
      <c r="P1495" t="s">
        <v>17</v>
      </c>
      <c r="Q1495">
        <v>-0.01</v>
      </c>
      <c r="R1495">
        <v>-9.9095978196710299E-3</v>
      </c>
      <c r="S1495">
        <v>-2.8758788248524E-2</v>
      </c>
      <c r="T1495">
        <v>0.02</v>
      </c>
    </row>
    <row r="1496" spans="1:20" x14ac:dyDescent="0.3">
      <c r="A1496" t="s">
        <v>111</v>
      </c>
      <c r="B1496">
        <v>2020</v>
      </c>
      <c r="C1496">
        <v>2689193</v>
      </c>
      <c r="D1496" s="1">
        <v>4.9000000000000002E-2</v>
      </c>
      <c r="E1496" s="1">
        <v>0.92441964149475098</v>
      </c>
      <c r="F1496" s="1">
        <v>-5.8000000000000003E-2</v>
      </c>
      <c r="G1496" s="1">
        <f t="shared" si="46"/>
        <v>-3.1000000000000003E-2</v>
      </c>
      <c r="H1496" s="1" t="str">
        <f t="shared" si="47"/>
        <v/>
      </c>
      <c r="I1496" s="1">
        <v>-0.01</v>
      </c>
      <c r="J1496" s="1">
        <f>+D1496-F1496+I1496*O1496</f>
        <v>8.4100000000000008E-2</v>
      </c>
      <c r="K1496" s="1">
        <v>2.09040218032897E-3</v>
      </c>
      <c r="L1496" s="1">
        <f>+K1496-J1496</f>
        <v>-8.2009597819671043E-2</v>
      </c>
      <c r="M1496" s="1">
        <v>-9.9095978196710299E-3</v>
      </c>
      <c r="N1496" s="1">
        <f>+M1496-J1496</f>
        <v>-9.400959781967104E-2</v>
      </c>
      <c r="O1496">
        <v>2.29</v>
      </c>
      <c r="P1496" t="s">
        <v>16</v>
      </c>
      <c r="Q1496">
        <v>-0.03</v>
      </c>
      <c r="R1496">
        <v>0.10444541859626801</v>
      </c>
      <c r="S1496">
        <v>6.0855805873871099E-2</v>
      </c>
      <c r="T1496">
        <v>-0.02</v>
      </c>
    </row>
    <row r="1497" spans="1:20" x14ac:dyDescent="0.3">
      <c r="A1497" t="s">
        <v>111</v>
      </c>
      <c r="B1497">
        <v>2021</v>
      </c>
      <c r="C1497">
        <v>2680202</v>
      </c>
      <c r="D1497" s="1">
        <v>3.6999999999999998E-2</v>
      </c>
      <c r="E1497" s="1">
        <v>0.96570277214050304</v>
      </c>
      <c r="F1497" s="1">
        <v>4.4999999999999998E-2</v>
      </c>
      <c r="G1497" s="1">
        <f t="shared" si="46"/>
        <v>1.3999999999999995E-2</v>
      </c>
      <c r="H1497" s="1" t="str">
        <f t="shared" si="47"/>
        <v/>
      </c>
      <c r="I1497" s="1">
        <v>4.1000000000000002E-2</v>
      </c>
      <c r="J1497" s="1">
        <f>+D1497-F1497+I1497*O1497</f>
        <v>8.9990000000000014E-2</v>
      </c>
      <c r="K1497" s="1">
        <v>0.15144541859626801</v>
      </c>
      <c r="L1497" s="1">
        <f>+K1497-J1497</f>
        <v>6.1455418596267991E-2</v>
      </c>
      <c r="M1497" s="1">
        <v>0.10444541859626801</v>
      </c>
      <c r="N1497" s="1">
        <f>+M1497-J1497</f>
        <v>1.4455418596267991E-2</v>
      </c>
      <c r="O1497">
        <v>2.39</v>
      </c>
      <c r="P1497" t="s">
        <v>15</v>
      </c>
      <c r="Q1497">
        <v>0.06</v>
      </c>
      <c r="R1497">
        <v>-1.4041447937488599E-2</v>
      </c>
      <c r="S1497">
        <v>1.8062058836221698E-2</v>
      </c>
      <c r="T1497">
        <v>0.02</v>
      </c>
    </row>
    <row r="1498" spans="1:20" x14ac:dyDescent="0.3">
      <c r="A1498" t="s">
        <v>111</v>
      </c>
      <c r="B1498">
        <v>2022</v>
      </c>
      <c r="C1498">
        <v>2728130</v>
      </c>
      <c r="D1498" s="1">
        <v>3.4000000000000002E-2</v>
      </c>
      <c r="E1498" s="1">
        <v>0.94959282875061002</v>
      </c>
      <c r="F1498" s="1">
        <v>5.0000000000000001E-3</v>
      </c>
      <c r="G1498" s="1">
        <f t="shared" si="46"/>
        <v>1.8999999999999996E-2</v>
      </c>
      <c r="H1498" s="1" t="str">
        <f t="shared" si="47"/>
        <v/>
      </c>
      <c r="I1498" s="1">
        <v>-1.6E-2</v>
      </c>
      <c r="J1498" s="1">
        <f>+D1498-F1498+I1498*O1498</f>
        <v>-9.3999999999999952E-3</v>
      </c>
      <c r="K1498" s="1">
        <v>6.5958552062511402E-2</v>
      </c>
      <c r="L1498" s="1">
        <f>+K1498-J1498</f>
        <v>7.5358552062511394E-2</v>
      </c>
      <c r="M1498" s="1">
        <v>-1.4041447937488599E-2</v>
      </c>
      <c r="N1498" s="1">
        <f>+M1498-J1498</f>
        <v>-4.641447937488604E-3</v>
      </c>
      <c r="O1498">
        <v>2.4</v>
      </c>
      <c r="P1498" t="s">
        <v>17</v>
      </c>
      <c r="Q1498">
        <v>0.02</v>
      </c>
      <c r="R1498">
        <v>-2.53820985406637E-2</v>
      </c>
      <c r="S1498">
        <v>-5.8231707662343901E-3</v>
      </c>
      <c r="T1498">
        <v>0.02</v>
      </c>
    </row>
    <row r="1499" spans="1:20" x14ac:dyDescent="0.3">
      <c r="A1499" t="s">
        <v>112</v>
      </c>
      <c r="B1499">
        <v>2006</v>
      </c>
      <c r="C1499">
        <v>131069.89840000001</v>
      </c>
      <c r="D1499" s="1">
        <v>0</v>
      </c>
      <c r="E1499" s="1">
        <v>0.94766706228256203</v>
      </c>
      <c r="F1499" s="1">
        <v>-3.7999999999999999E-2</v>
      </c>
      <c r="G1499" s="1">
        <f t="shared" si="46"/>
        <v>-3.7999999999999999E-2</v>
      </c>
      <c r="H1499" s="1" t="str">
        <f t="shared" si="47"/>
        <v/>
      </c>
      <c r="I1499" s="1">
        <v>1.0999999999999999E-2</v>
      </c>
      <c r="J1499" s="1">
        <f>+D1499-F1499+I1499*O1499</f>
        <v>6.2420000000000003E-2</v>
      </c>
      <c r="K1499" s="1">
        <v>4.0182195603847497E-2</v>
      </c>
      <c r="L1499" s="1">
        <f>+K1499-J1499</f>
        <v>-2.2237804396152507E-2</v>
      </c>
      <c r="M1499" s="1">
        <v>8.1821956038474909E-3</v>
      </c>
      <c r="N1499" s="1">
        <f>+M1499-J1499</f>
        <v>-5.4237804396152514E-2</v>
      </c>
      <c r="O1499">
        <v>2.2200000000000002</v>
      </c>
      <c r="P1499" t="s">
        <v>17</v>
      </c>
      <c r="Q1499">
        <v>0</v>
      </c>
      <c r="R1499">
        <v>1.14422432184219E-2</v>
      </c>
      <c r="S1499">
        <v>1.2363999150693399E-2</v>
      </c>
      <c r="T1499">
        <v>-0.04</v>
      </c>
    </row>
    <row r="1500" spans="1:20" x14ac:dyDescent="0.3">
      <c r="A1500" t="s">
        <v>112</v>
      </c>
      <c r="B1500">
        <v>2007</v>
      </c>
      <c r="C1500">
        <v>134350.0938</v>
      </c>
      <c r="D1500" s="1">
        <v>3.5000000000000003E-2</v>
      </c>
      <c r="E1500" s="1">
        <v>0.94638067483902</v>
      </c>
      <c r="F1500" s="1">
        <v>-2.5999999999999999E-2</v>
      </c>
      <c r="G1500" s="1">
        <f t="shared" si="46"/>
        <v>-6.4000000000000001E-2</v>
      </c>
      <c r="H1500" s="1" t="str">
        <f t="shared" si="47"/>
        <v/>
      </c>
      <c r="I1500" s="1">
        <v>-1E-3</v>
      </c>
      <c r="J1500" s="1">
        <f>+D1500-F1500+I1500*O1500</f>
        <v>5.8839999999999996E-2</v>
      </c>
      <c r="K1500" s="1">
        <v>4.0442243218421901E-2</v>
      </c>
      <c r="L1500" s="1">
        <f>+K1500-J1500</f>
        <v>-1.8397756781578095E-2</v>
      </c>
      <c r="M1500" s="1">
        <v>1.14422432184219E-2</v>
      </c>
      <c r="N1500" s="1">
        <f>+M1500-J1500</f>
        <v>-4.7397756781578093E-2</v>
      </c>
      <c r="O1500">
        <v>2.16</v>
      </c>
      <c r="P1500" t="s">
        <v>16</v>
      </c>
      <c r="Q1500">
        <v>0.01</v>
      </c>
      <c r="R1500">
        <v>-2.92056112661957E-2</v>
      </c>
      <c r="S1500">
        <v>3.0519301071763299E-4</v>
      </c>
      <c r="T1500">
        <v>-0.03</v>
      </c>
    </row>
    <row r="1501" spans="1:20" x14ac:dyDescent="0.3">
      <c r="A1501" t="s">
        <v>112</v>
      </c>
      <c r="B1501">
        <v>2008</v>
      </c>
      <c r="C1501">
        <v>138037.9063</v>
      </c>
      <c r="D1501" s="1">
        <v>5.8999999999999997E-2</v>
      </c>
      <c r="E1501" s="1">
        <v>0.91916674375534102</v>
      </c>
      <c r="F1501" s="1">
        <v>-1.6E-2</v>
      </c>
      <c r="G1501" s="1">
        <f t="shared" si="46"/>
        <v>-0.08</v>
      </c>
      <c r="H1501" s="1" t="str">
        <f t="shared" si="47"/>
        <v/>
      </c>
      <c r="I1501" s="1">
        <v>-2.7E-2</v>
      </c>
      <c r="J1501" s="1">
        <f>+D1501-F1501+I1501*O1501</f>
        <v>1.7759999999999998E-2</v>
      </c>
      <c r="K1501" s="1">
        <v>8.7943887338042294E-3</v>
      </c>
      <c r="L1501" s="1">
        <f>+K1501-J1501</f>
        <v>-8.9656112661957686E-3</v>
      </c>
      <c r="M1501" s="1">
        <v>-2.92056112661957E-2</v>
      </c>
      <c r="N1501" s="1">
        <f>+M1501-J1501</f>
        <v>-4.6965611266195695E-2</v>
      </c>
      <c r="O1501">
        <v>2.12</v>
      </c>
      <c r="P1501" t="s">
        <v>16</v>
      </c>
      <c r="Q1501">
        <v>0</v>
      </c>
      <c r="R1501">
        <v>-2.4323672711849199E-2</v>
      </c>
      <c r="S1501">
        <v>2.2430289536714502E-3</v>
      </c>
      <c r="T1501">
        <v>-0.02</v>
      </c>
    </row>
    <row r="1502" spans="1:20" x14ac:dyDescent="0.3">
      <c r="A1502" t="s">
        <v>112</v>
      </c>
      <c r="B1502">
        <v>2009</v>
      </c>
      <c r="C1502">
        <v>141118.39060000001</v>
      </c>
      <c r="D1502" s="1">
        <v>1.0999999999999999E-2</v>
      </c>
      <c r="E1502" s="1">
        <v>0.92240583896636996</v>
      </c>
      <c r="F1502" s="1">
        <v>0.16300000000000001</v>
      </c>
      <c r="G1502" s="1">
        <f t="shared" si="46"/>
        <v>8.3000000000000004E-2</v>
      </c>
      <c r="H1502" s="1" t="str">
        <f t="shared" si="47"/>
        <v/>
      </c>
      <c r="I1502" s="1">
        <v>3.0000000000000001E-3</v>
      </c>
      <c r="J1502" s="1">
        <f>+D1502-F1502+I1502*O1502</f>
        <v>-0.14459</v>
      </c>
      <c r="K1502" s="1">
        <v>-2.8323672711849199E-2</v>
      </c>
      <c r="L1502" s="1">
        <f>+K1502-J1502</f>
        <v>0.1162663272881508</v>
      </c>
      <c r="M1502" s="1">
        <v>-2.4323672711849199E-2</v>
      </c>
      <c r="N1502" s="1">
        <f>+M1502-J1502</f>
        <v>0.1202663272881508</v>
      </c>
      <c r="O1502">
        <v>2.4700000000000002</v>
      </c>
      <c r="P1502" t="s">
        <v>15</v>
      </c>
      <c r="Q1502">
        <v>0</v>
      </c>
      <c r="R1502">
        <v>-1.6763854826800501E-2</v>
      </c>
      <c r="S1502">
        <v>-7.3037460679188397E-3</v>
      </c>
      <c r="T1502">
        <v>0.14000000000000001</v>
      </c>
    </row>
    <row r="1503" spans="1:20" x14ac:dyDescent="0.3">
      <c r="A1503" t="s">
        <v>112</v>
      </c>
      <c r="B1503">
        <v>2010</v>
      </c>
      <c r="C1503">
        <v>142230.10939999999</v>
      </c>
      <c r="D1503" s="1">
        <v>0.03</v>
      </c>
      <c r="E1503" s="1">
        <v>0.92834526300430298</v>
      </c>
      <c r="F1503" s="1">
        <v>-0.10299999999999999</v>
      </c>
      <c r="G1503" s="1">
        <f t="shared" si="46"/>
        <v>-1.999999999999999E-2</v>
      </c>
      <c r="H1503" s="1" t="str">
        <f t="shared" si="47"/>
        <v/>
      </c>
      <c r="I1503" s="1">
        <v>6.0000000000000001E-3</v>
      </c>
      <c r="J1503" s="1">
        <f>+D1503-F1503+I1503*O1503</f>
        <v>0.14626</v>
      </c>
      <c r="K1503" s="1">
        <v>-7.6385482680052497E-4</v>
      </c>
      <c r="L1503" s="1">
        <f>+K1503-J1503</f>
        <v>-0.14702385482680053</v>
      </c>
      <c r="M1503" s="1">
        <v>-1.6763854826800501E-2</v>
      </c>
      <c r="N1503" s="1">
        <f>+M1503-J1503</f>
        <v>-0.16302385482680051</v>
      </c>
      <c r="O1503">
        <v>2.21</v>
      </c>
      <c r="P1503" t="s">
        <v>17</v>
      </c>
      <c r="Q1503">
        <v>-0.01</v>
      </c>
      <c r="R1503">
        <v>-1.8557150259613998E-2</v>
      </c>
      <c r="S1503">
        <v>2.7266242541373002E-3</v>
      </c>
      <c r="T1503">
        <v>-0.11</v>
      </c>
    </row>
    <row r="1504" spans="1:20" x14ac:dyDescent="0.3">
      <c r="A1504" t="s">
        <v>112</v>
      </c>
      <c r="B1504">
        <v>2011</v>
      </c>
      <c r="C1504">
        <v>145703.79689999999</v>
      </c>
      <c r="D1504" s="1">
        <v>2E-3</v>
      </c>
      <c r="E1504" s="1">
        <v>0.93219405412673995</v>
      </c>
      <c r="F1504" s="1">
        <v>-1.2E-2</v>
      </c>
      <c r="G1504" s="1">
        <f t="shared" si="46"/>
        <v>-3.1999999999999987E-2</v>
      </c>
      <c r="H1504" s="1" t="str">
        <f t="shared" si="47"/>
        <v/>
      </c>
      <c r="I1504" s="1">
        <v>4.0000000000000001E-3</v>
      </c>
      <c r="J1504" s="1">
        <f>+D1504-F1504+I1504*O1504</f>
        <v>2.2760000000000002E-2</v>
      </c>
      <c r="K1504" s="1">
        <v>1.3442849740386001E-2</v>
      </c>
      <c r="L1504" s="1">
        <f>+K1504-J1504</f>
        <v>-9.3171502596140019E-3</v>
      </c>
      <c r="M1504" s="1">
        <v>-1.8557150259613998E-2</v>
      </c>
      <c r="N1504" s="1">
        <f>+M1504-J1504</f>
        <v>-4.1317150259614001E-2</v>
      </c>
      <c r="O1504">
        <v>2.19</v>
      </c>
      <c r="P1504" t="s">
        <v>17</v>
      </c>
      <c r="Q1504">
        <v>0</v>
      </c>
      <c r="R1504">
        <v>1.14068628251552E-2</v>
      </c>
      <c r="S1504">
        <v>1.6845068894326701E-2</v>
      </c>
      <c r="T1504">
        <v>-0.01</v>
      </c>
    </row>
    <row r="1505" spans="1:20" x14ac:dyDescent="0.3">
      <c r="A1505" t="s">
        <v>112</v>
      </c>
      <c r="B1505">
        <v>2012</v>
      </c>
      <c r="C1505">
        <v>151640.39060000001</v>
      </c>
      <c r="D1505" s="1">
        <v>1E-3</v>
      </c>
      <c r="E1505" s="1">
        <v>0.93288445472717296</v>
      </c>
      <c r="F1505" s="1">
        <v>2.8000000000000001E-2</v>
      </c>
      <c r="G1505" s="1">
        <f t="shared" si="46"/>
        <v>-3.9999999999999862E-3</v>
      </c>
      <c r="H1505" s="1" t="str">
        <f t="shared" si="47"/>
        <v/>
      </c>
      <c r="I1505" s="1">
        <v>1E-3</v>
      </c>
      <c r="J1505" s="1">
        <f>+D1505-F1505+I1505*O1505</f>
        <v>-2.4750000000000001E-2</v>
      </c>
      <c r="K1505" s="1">
        <v>3.24068628251553E-2</v>
      </c>
      <c r="L1505" s="1">
        <f>+K1505-J1505</f>
        <v>5.7156862825155301E-2</v>
      </c>
      <c r="M1505" s="1">
        <v>1.14068628251552E-2</v>
      </c>
      <c r="N1505" s="1">
        <f>+M1505-J1505</f>
        <v>3.6156862825155199E-2</v>
      </c>
      <c r="O1505">
        <v>2.25</v>
      </c>
      <c r="P1505" t="s">
        <v>15</v>
      </c>
      <c r="Q1505">
        <v>0.02</v>
      </c>
      <c r="R1505">
        <v>1.33091347664595E-2</v>
      </c>
      <c r="S1505">
        <v>7.1823634207249E-3</v>
      </c>
      <c r="T1505">
        <v>0.02</v>
      </c>
    </row>
    <row r="1506" spans="1:20" x14ac:dyDescent="0.3">
      <c r="A1506" t="s">
        <v>112</v>
      </c>
      <c r="B1506">
        <v>2013</v>
      </c>
      <c r="C1506">
        <v>155932.0938</v>
      </c>
      <c r="D1506" s="1">
        <v>2.7E-2</v>
      </c>
      <c r="E1506" s="1">
        <v>0.92048758268356301</v>
      </c>
      <c r="F1506" s="1">
        <v>0.10299999999999999</v>
      </c>
      <c r="G1506" s="1">
        <f t="shared" si="46"/>
        <v>9.9000000000000005E-2</v>
      </c>
      <c r="H1506" s="1" t="str">
        <f t="shared" si="47"/>
        <v/>
      </c>
      <c r="I1506" s="1">
        <v>-1.2E-2</v>
      </c>
      <c r="J1506" s="1">
        <f>+D1506-F1506+I1506*O1506</f>
        <v>-0.10575999999999999</v>
      </c>
      <c r="K1506" s="1">
        <v>2.83091347664595E-2</v>
      </c>
      <c r="L1506" s="1">
        <f>+K1506-J1506</f>
        <v>0.13406913476645949</v>
      </c>
      <c r="M1506" s="1">
        <v>1.33091347664595E-2</v>
      </c>
      <c r="N1506" s="1">
        <f>+M1506-J1506</f>
        <v>0.1190691347664595</v>
      </c>
      <c r="O1506">
        <v>2.48</v>
      </c>
      <c r="P1506" t="s">
        <v>17</v>
      </c>
      <c r="Q1506">
        <v>0.01</v>
      </c>
      <c r="R1506">
        <v>2.0019239574670701E-2</v>
      </c>
      <c r="S1506">
        <v>1.80112160742282E-2</v>
      </c>
      <c r="T1506">
        <v>0.09</v>
      </c>
    </row>
    <row r="1507" spans="1:20" x14ac:dyDescent="0.3">
      <c r="A1507" t="s">
        <v>112</v>
      </c>
      <c r="B1507">
        <v>2014</v>
      </c>
      <c r="C1507">
        <v>160009.70310000001</v>
      </c>
      <c r="D1507" s="1">
        <v>0.18</v>
      </c>
      <c r="E1507" s="1">
        <v>0.89648699760437001</v>
      </c>
      <c r="F1507" s="1">
        <v>0</v>
      </c>
      <c r="G1507" s="1">
        <f t="shared" si="46"/>
        <v>9.9000000000000005E-2</v>
      </c>
      <c r="H1507" s="1" t="str">
        <f t="shared" si="47"/>
        <v/>
      </c>
      <c r="I1507" s="1">
        <v>-2.4E-2</v>
      </c>
      <c r="J1507" s="1">
        <f>+D1507-F1507+I1507*O1507</f>
        <v>0.12047999999999999</v>
      </c>
      <c r="K1507" s="1">
        <v>3.6019239574670799E-2</v>
      </c>
      <c r="L1507" s="1">
        <f>+K1507-J1507</f>
        <v>-8.4460760425329184E-2</v>
      </c>
      <c r="M1507" s="1">
        <v>2.0019239574670701E-2</v>
      </c>
      <c r="N1507" s="1">
        <f>+M1507-J1507</f>
        <v>-0.10046076042532928</v>
      </c>
      <c r="O1507">
        <v>2.48</v>
      </c>
      <c r="P1507" t="s">
        <v>17</v>
      </c>
      <c r="Q1507">
        <v>0.02</v>
      </c>
      <c r="R1507">
        <v>-0.116148648619652</v>
      </c>
      <c r="S1507">
        <v>-0.14641210064291901</v>
      </c>
      <c r="T1507">
        <v>0</v>
      </c>
    </row>
    <row r="1508" spans="1:20" x14ac:dyDescent="0.3">
      <c r="A1508" t="s">
        <v>112</v>
      </c>
      <c r="B1508">
        <v>2015</v>
      </c>
      <c r="C1508">
        <v>163914</v>
      </c>
      <c r="D1508" s="1">
        <v>8.1000000000000003E-2</v>
      </c>
      <c r="E1508" s="1">
        <v>0.85973072052001998</v>
      </c>
      <c r="F1508" s="1">
        <v>-0.154</v>
      </c>
      <c r="G1508" s="1">
        <f t="shared" si="46"/>
        <v>-5.4999999999999993E-2</v>
      </c>
      <c r="H1508" s="1" t="str">
        <f t="shared" si="47"/>
        <v/>
      </c>
      <c r="I1508" s="1">
        <v>-3.6999999999999998E-2</v>
      </c>
      <c r="J1508" s="1">
        <f>+D1508-F1508+I1508*O1508</f>
        <v>0.1573</v>
      </c>
      <c r="K1508" s="1">
        <v>-0.115148648619652</v>
      </c>
      <c r="L1508" s="1">
        <f>+K1508-J1508</f>
        <v>-0.27244864861965201</v>
      </c>
      <c r="M1508" s="1">
        <v>-0.116148648619652</v>
      </c>
      <c r="N1508" s="1">
        <f>+M1508-J1508</f>
        <v>-0.27344864861965201</v>
      </c>
      <c r="O1508">
        <v>2.1</v>
      </c>
      <c r="P1508" t="s">
        <v>16</v>
      </c>
      <c r="Q1508">
        <v>-0.15</v>
      </c>
      <c r="R1508">
        <v>-3.0314009368419499E-2</v>
      </c>
      <c r="S1508">
        <v>-4.3467566370963898E-2</v>
      </c>
      <c r="T1508">
        <v>-0.14000000000000001</v>
      </c>
    </row>
    <row r="1509" spans="1:20" x14ac:dyDescent="0.3">
      <c r="A1509" t="s">
        <v>112</v>
      </c>
      <c r="B1509">
        <v>2016</v>
      </c>
      <c r="C1509">
        <v>164606</v>
      </c>
      <c r="D1509" s="1">
        <v>4.7E-2</v>
      </c>
      <c r="E1509" s="1">
        <v>0.87454009056091297</v>
      </c>
      <c r="F1509" s="1">
        <v>0.112</v>
      </c>
      <c r="G1509" s="1">
        <f t="shared" si="46"/>
        <v>5.7000000000000009E-2</v>
      </c>
      <c r="H1509" s="1" t="str">
        <f t="shared" si="47"/>
        <v/>
      </c>
      <c r="I1509" s="1">
        <v>1.4999999999999999E-2</v>
      </c>
      <c r="J1509" s="1">
        <f>+D1509-F1509+I1509*O1509</f>
        <v>-3.005E-2</v>
      </c>
      <c r="K1509" s="1">
        <v>-1.7314009368419599E-2</v>
      </c>
      <c r="L1509" s="1">
        <f>+K1509-J1509</f>
        <v>1.2735990631580402E-2</v>
      </c>
      <c r="M1509" s="1">
        <v>-3.0314009368419499E-2</v>
      </c>
      <c r="N1509" s="1">
        <f>+M1509-J1509</f>
        <v>-2.6400936841949885E-4</v>
      </c>
      <c r="O1509">
        <v>2.33</v>
      </c>
      <c r="P1509" t="s">
        <v>15</v>
      </c>
      <c r="Q1509">
        <v>-0.04</v>
      </c>
      <c r="R1509">
        <v>0.210086209416389</v>
      </c>
      <c r="S1509">
        <v>0.20729663595557099</v>
      </c>
      <c r="T1509">
        <v>0.11</v>
      </c>
    </row>
    <row r="1510" spans="1:20" x14ac:dyDescent="0.3">
      <c r="A1510" t="s">
        <v>112</v>
      </c>
      <c r="B1510">
        <v>2017</v>
      </c>
      <c r="C1510">
        <v>166640.5</v>
      </c>
      <c r="D1510" s="1">
        <v>2E-3</v>
      </c>
      <c r="E1510" s="1">
        <v>0.941639184951782</v>
      </c>
      <c r="F1510" s="1">
        <v>0.10199999999999999</v>
      </c>
      <c r="G1510" s="1">
        <f t="shared" si="46"/>
        <v>0.159</v>
      </c>
      <c r="H1510" s="1">
        <f t="shared" si="47"/>
        <v>3.0175812542438354E-2</v>
      </c>
      <c r="I1510" s="1">
        <v>6.7000000000000004E-2</v>
      </c>
      <c r="J1510" s="1">
        <f>+D1510-F1510+I1510*O1510</f>
        <v>7.2190000000000018E-2</v>
      </c>
      <c r="K1510" s="1">
        <v>0.23108620941638899</v>
      </c>
      <c r="L1510" s="1">
        <f>+K1510-J1510</f>
        <v>0.15889620941638899</v>
      </c>
      <c r="M1510" s="1">
        <v>0.210086209416389</v>
      </c>
      <c r="N1510" s="1">
        <f>+M1510-J1510</f>
        <v>0.13789620941638897</v>
      </c>
      <c r="O1510">
        <v>2.57</v>
      </c>
      <c r="P1510" t="s">
        <v>15</v>
      </c>
      <c r="Q1510">
        <v>0.21</v>
      </c>
      <c r="R1510">
        <v>9.0648491144179999E-2</v>
      </c>
      <c r="S1510">
        <v>8.1513468176126203E-2</v>
      </c>
      <c r="T1510">
        <v>0.1</v>
      </c>
    </row>
    <row r="1511" spans="1:20" x14ac:dyDescent="0.3">
      <c r="A1511" t="s">
        <v>112</v>
      </c>
      <c r="B1511">
        <v>2018</v>
      </c>
      <c r="C1511">
        <v>172262.0938</v>
      </c>
      <c r="D1511" s="1">
        <v>0</v>
      </c>
      <c r="E1511" s="1">
        <v>0.94172054529190097</v>
      </c>
      <c r="F1511" s="1">
        <v>-0.13700000000000001</v>
      </c>
      <c r="G1511" s="1">
        <f t="shared" si="46"/>
        <v>2.1999999999999992E-2</v>
      </c>
      <c r="H1511" s="1" t="str">
        <f t="shared" si="47"/>
        <v/>
      </c>
      <c r="I1511" s="1">
        <v>0</v>
      </c>
      <c r="J1511" s="1">
        <f>+D1511-F1511+I1511*O1511</f>
        <v>0.13700000000000001</v>
      </c>
      <c r="K1511" s="1">
        <v>0.11464849114418001</v>
      </c>
      <c r="L1511" s="1">
        <f>+K1511-J1511</f>
        <v>-2.2351508855820004E-2</v>
      </c>
      <c r="M1511" s="1">
        <v>9.0648491144179999E-2</v>
      </c>
      <c r="N1511" s="1">
        <f>+M1511-J1511</f>
        <v>-4.6351508855820012E-2</v>
      </c>
      <c r="O1511">
        <v>2.2200000000000002</v>
      </c>
      <c r="P1511" t="s">
        <v>17</v>
      </c>
      <c r="Q1511">
        <v>0.08</v>
      </c>
      <c r="R1511">
        <v>-7.22968660593033E-2</v>
      </c>
      <c r="S1511">
        <v>-9.0098060667514801E-2</v>
      </c>
      <c r="T1511">
        <v>-0.13</v>
      </c>
    </row>
    <row r="1512" spans="1:20" x14ac:dyDescent="0.3">
      <c r="A1512" t="s">
        <v>112</v>
      </c>
      <c r="B1512">
        <v>2019</v>
      </c>
      <c r="C1512">
        <v>174837.0938</v>
      </c>
      <c r="D1512" s="1">
        <v>3.5000000000000003E-2</v>
      </c>
      <c r="E1512" s="1">
        <v>0.87827080488205</v>
      </c>
      <c r="F1512" s="1">
        <v>5.0000000000000001E-3</v>
      </c>
      <c r="G1512" s="1">
        <f t="shared" si="46"/>
        <v>2.6999999999999993E-2</v>
      </c>
      <c r="H1512" s="1" t="str">
        <f t="shared" si="47"/>
        <v/>
      </c>
      <c r="I1512" s="1">
        <v>-6.3E-2</v>
      </c>
      <c r="J1512" s="1">
        <f>+D1512-F1512+I1512*O1512</f>
        <v>-0.11049</v>
      </c>
      <c r="K1512" s="1">
        <v>-5.4296866059303298E-2</v>
      </c>
      <c r="L1512" s="1">
        <f>+K1512-J1512</f>
        <v>5.6193133940696707E-2</v>
      </c>
      <c r="M1512" s="1">
        <v>-7.22968660593033E-2</v>
      </c>
      <c r="N1512" s="1">
        <f>+M1512-J1512</f>
        <v>3.8193133940696705E-2</v>
      </c>
      <c r="O1512">
        <v>2.23</v>
      </c>
      <c r="P1512" t="s">
        <v>17</v>
      </c>
      <c r="Q1512">
        <v>-0.09</v>
      </c>
      <c r="R1512">
        <v>-0.24208115589618701</v>
      </c>
      <c r="S1512">
        <v>-0.26093034632503997</v>
      </c>
      <c r="T1512">
        <v>0.01</v>
      </c>
    </row>
    <row r="1513" spans="1:20" x14ac:dyDescent="0.3">
      <c r="A1513" t="s">
        <v>112</v>
      </c>
      <c r="B1513">
        <v>2020</v>
      </c>
      <c r="C1513">
        <v>175447.20310000001</v>
      </c>
      <c r="D1513" s="1">
        <v>0.13400000000000001</v>
      </c>
      <c r="E1513" s="1">
        <v>0.72981554269790605</v>
      </c>
      <c r="F1513" s="1">
        <v>0.16600000000000001</v>
      </c>
      <c r="G1513" s="1">
        <f t="shared" si="46"/>
        <v>0.193</v>
      </c>
      <c r="H1513" s="1">
        <f t="shared" si="47"/>
        <v>9.802011121064419E-2</v>
      </c>
      <c r="I1513" s="1">
        <v>-0.14799999999999999</v>
      </c>
      <c r="J1513" s="1">
        <f>+D1513-F1513+I1513*O1513</f>
        <v>-0.41679999999999995</v>
      </c>
      <c r="K1513" s="1">
        <v>-0.230081155896187</v>
      </c>
      <c r="L1513" s="1">
        <f>+K1513-J1513</f>
        <v>0.18671884410381295</v>
      </c>
      <c r="M1513" s="1">
        <v>-0.24208115589618701</v>
      </c>
      <c r="N1513" s="1">
        <f>+M1513-J1513</f>
        <v>0.17471884410381294</v>
      </c>
      <c r="O1513">
        <v>2.6</v>
      </c>
      <c r="P1513" t="s">
        <v>17</v>
      </c>
      <c r="Q1513">
        <v>-0.26</v>
      </c>
      <c r="R1513">
        <v>-2.9166683301329599E-2</v>
      </c>
      <c r="S1513">
        <v>-7.2756296023726505E-2</v>
      </c>
      <c r="T1513">
        <v>0.21</v>
      </c>
    </row>
    <row r="1514" spans="1:20" x14ac:dyDescent="0.3">
      <c r="A1514" t="s">
        <v>112</v>
      </c>
      <c r="B1514">
        <v>2021</v>
      </c>
      <c r="C1514">
        <v>174833.6875</v>
      </c>
      <c r="D1514" s="1">
        <v>3.5999999999999997E-2</v>
      </c>
      <c r="E1514" s="1">
        <v>0.83951544761657704</v>
      </c>
      <c r="F1514" s="1">
        <v>-0.26700000000000002</v>
      </c>
      <c r="G1514" s="1">
        <f t="shared" si="46"/>
        <v>-7.400000000000001E-2</v>
      </c>
      <c r="H1514" s="1" t="str">
        <f t="shared" si="47"/>
        <v/>
      </c>
      <c r="I1514" s="1">
        <v>0.11</v>
      </c>
      <c r="J1514" s="1">
        <f>+D1514-F1514+I1514*O1514</f>
        <v>0.51200000000000001</v>
      </c>
      <c r="K1514" s="1">
        <v>1.7833316698670401E-2</v>
      </c>
      <c r="L1514" s="1">
        <f>+K1514-J1514</f>
        <v>-0.49416668330132962</v>
      </c>
      <c r="M1514" s="1">
        <v>-2.9166683301329599E-2</v>
      </c>
      <c r="N1514" s="1">
        <f>+M1514-J1514</f>
        <v>-0.54116668330132955</v>
      </c>
      <c r="O1514">
        <v>1.9</v>
      </c>
      <c r="P1514" t="s">
        <v>17</v>
      </c>
      <c r="Q1514">
        <v>-7.0000000000000007E-2</v>
      </c>
      <c r="R1514">
        <v>9.8206905722617893E-2</v>
      </c>
      <c r="S1514">
        <v>0.13031041249632799</v>
      </c>
      <c r="T1514">
        <v>-0.3</v>
      </c>
    </row>
    <row r="1515" spans="1:20" x14ac:dyDescent="0.3">
      <c r="A1515" t="s">
        <v>112</v>
      </c>
      <c r="B1515">
        <v>2022</v>
      </c>
      <c r="C1515">
        <v>179305.0938</v>
      </c>
      <c r="D1515" s="1">
        <v>3.5000000000000003E-2</v>
      </c>
      <c r="E1515" s="1">
        <v>0.89400905370712302</v>
      </c>
      <c r="F1515" s="1">
        <v>0.22800000000000001</v>
      </c>
      <c r="G1515" s="1">
        <f t="shared" si="46"/>
        <v>0.154</v>
      </c>
      <c r="H1515" s="1" t="str">
        <f t="shared" si="47"/>
        <v/>
      </c>
      <c r="I1515" s="1">
        <v>5.3999999999999999E-2</v>
      </c>
      <c r="J1515" s="1">
        <f>+D1515-F1515+I1515*O1515</f>
        <v>-6.6640000000000005E-2</v>
      </c>
      <c r="K1515" s="1">
        <v>0.17820690572261799</v>
      </c>
      <c r="L1515" s="1">
        <f>+K1515-J1515</f>
        <v>0.244846905722618</v>
      </c>
      <c r="M1515" s="1">
        <v>9.8206905722617893E-2</v>
      </c>
      <c r="N1515" s="1">
        <f>+M1515-J1515</f>
        <v>0.1648469057226179</v>
      </c>
      <c r="O1515">
        <v>2.34</v>
      </c>
      <c r="P1515" t="s">
        <v>15</v>
      </c>
      <c r="Q1515">
        <v>0.13</v>
      </c>
      <c r="R1515">
        <v>4.6832719087600602E-2</v>
      </c>
      <c r="S1515">
        <v>6.6391646862030002E-2</v>
      </c>
      <c r="T1515">
        <v>0.24</v>
      </c>
    </row>
    <row r="1516" spans="1:20" x14ac:dyDescent="0.3">
      <c r="A1516" t="s">
        <v>113</v>
      </c>
      <c r="B1516">
        <v>2006</v>
      </c>
      <c r="C1516">
        <v>1525467</v>
      </c>
      <c r="D1516" s="1">
        <v>2E-3</v>
      </c>
      <c r="E1516" s="1">
        <v>0.94408583641052202</v>
      </c>
      <c r="F1516" s="1">
        <v>-1.2999999999999999E-2</v>
      </c>
      <c r="G1516" s="1">
        <f t="shared" si="46"/>
        <v>-1.2999999999999999E-2</v>
      </c>
      <c r="H1516" s="1" t="str">
        <f t="shared" si="47"/>
        <v/>
      </c>
      <c r="I1516" s="1">
        <v>7.0000000000000001E-3</v>
      </c>
      <c r="J1516" s="1">
        <f>+D1516-F1516+I1516*O1516</f>
        <v>2.9489999999999999E-2</v>
      </c>
      <c r="K1516" s="1">
        <v>1.5103334560990301E-2</v>
      </c>
      <c r="L1516" s="1">
        <f>+K1516-J1516</f>
        <v>-1.4386665439009698E-2</v>
      </c>
      <c r="M1516" s="1">
        <v>-1.6896665439009698E-2</v>
      </c>
      <c r="N1516" s="1">
        <f>+M1516-J1516</f>
        <v>-4.6386665439009697E-2</v>
      </c>
      <c r="O1516">
        <v>2.0699999999999998</v>
      </c>
      <c r="P1516" t="s">
        <v>17</v>
      </c>
      <c r="Q1516">
        <v>-0.02</v>
      </c>
      <c r="R1516">
        <v>-1.4401541925966699E-2</v>
      </c>
      <c r="S1516">
        <v>-1.34797859936952E-2</v>
      </c>
      <c r="T1516">
        <v>-0.02</v>
      </c>
    </row>
    <row r="1517" spans="1:20" x14ac:dyDescent="0.3">
      <c r="A1517" t="s">
        <v>113</v>
      </c>
      <c r="B1517">
        <v>2007</v>
      </c>
      <c r="C1517">
        <v>1532417</v>
      </c>
      <c r="D1517" s="1">
        <v>3.0000000000000001E-3</v>
      </c>
      <c r="E1517" s="1">
        <v>0.94820529222488403</v>
      </c>
      <c r="F1517" s="1">
        <v>3.3000000000000002E-2</v>
      </c>
      <c r="G1517" s="1">
        <f t="shared" si="46"/>
        <v>2.0000000000000004E-2</v>
      </c>
      <c r="H1517" s="1" t="str">
        <f t="shared" si="47"/>
        <v/>
      </c>
      <c r="I1517" s="1">
        <v>4.0000000000000001E-3</v>
      </c>
      <c r="J1517" s="1">
        <f>+D1517-F1517+I1517*O1517</f>
        <v>-2.1440000000000001E-2</v>
      </c>
      <c r="K1517" s="1">
        <v>1.45984580740333E-2</v>
      </c>
      <c r="L1517" s="1">
        <f>+K1517-J1517</f>
        <v>3.6038458074033303E-2</v>
      </c>
      <c r="M1517" s="1">
        <v>-1.4401541925966699E-2</v>
      </c>
      <c r="N1517" s="1">
        <f>+M1517-J1517</f>
        <v>7.0384580740333012E-3</v>
      </c>
      <c r="O1517">
        <v>2.14</v>
      </c>
      <c r="P1517" t="s">
        <v>15</v>
      </c>
      <c r="Q1517">
        <v>-0.01</v>
      </c>
      <c r="R1517">
        <v>-2.6192217424511902E-2</v>
      </c>
      <c r="S1517">
        <v>3.3185868524015002E-3</v>
      </c>
      <c r="T1517">
        <v>0.03</v>
      </c>
    </row>
    <row r="1518" spans="1:20" x14ac:dyDescent="0.3">
      <c r="A1518" t="s">
        <v>113</v>
      </c>
      <c r="B1518">
        <v>2008</v>
      </c>
      <c r="C1518">
        <v>1541143</v>
      </c>
      <c r="D1518" s="1">
        <v>7.0000000000000001E-3</v>
      </c>
      <c r="E1518" s="1">
        <v>0.94877237081527699</v>
      </c>
      <c r="F1518" s="1">
        <v>-8.0000000000000002E-3</v>
      </c>
      <c r="G1518" s="1">
        <f t="shared" si="46"/>
        <v>1.2000000000000004E-2</v>
      </c>
      <c r="H1518" s="1" t="str">
        <f t="shared" si="47"/>
        <v/>
      </c>
      <c r="I1518" s="1">
        <v>1E-3</v>
      </c>
      <c r="J1518" s="1">
        <f>+D1518-F1518+I1518*O1518</f>
        <v>1.712E-2</v>
      </c>
      <c r="K1518" s="1">
        <v>1.1807782575488099E-2</v>
      </c>
      <c r="L1518" s="1">
        <f>+K1518-J1518</f>
        <v>-5.3122174245119006E-3</v>
      </c>
      <c r="M1518" s="1">
        <v>-2.6192217424511902E-2</v>
      </c>
      <c r="N1518" s="1">
        <f>+M1518-J1518</f>
        <v>-4.3312217424511898E-2</v>
      </c>
      <c r="O1518">
        <v>2.12</v>
      </c>
      <c r="P1518" t="s">
        <v>17</v>
      </c>
      <c r="Q1518">
        <v>0</v>
      </c>
      <c r="R1518">
        <v>-2.7922128051519401E-2</v>
      </c>
      <c r="S1518">
        <v>-1.35542638599875E-3</v>
      </c>
      <c r="T1518">
        <v>-0.01</v>
      </c>
    </row>
    <row r="1519" spans="1:20" x14ac:dyDescent="0.3">
      <c r="A1519" t="s">
        <v>113</v>
      </c>
      <c r="B1519">
        <v>2009</v>
      </c>
      <c r="C1519">
        <v>1551467</v>
      </c>
      <c r="D1519" s="1">
        <v>8.0000000000000002E-3</v>
      </c>
      <c r="E1519" s="1">
        <v>0.94191324710845903</v>
      </c>
      <c r="F1519" s="1">
        <v>1.9E-2</v>
      </c>
      <c r="G1519" s="1">
        <f t="shared" si="46"/>
        <v>3.1000000000000003E-2</v>
      </c>
      <c r="H1519" s="1" t="str">
        <f t="shared" si="47"/>
        <v/>
      </c>
      <c r="I1519" s="1">
        <v>-7.0000000000000001E-3</v>
      </c>
      <c r="J1519" s="1">
        <f>+D1519-F1519+I1519*O1519</f>
        <v>-2.6120000000000001E-2</v>
      </c>
      <c r="K1519" s="1">
        <v>-3.1922128051519401E-2</v>
      </c>
      <c r="L1519" s="1">
        <f>+K1519-J1519</f>
        <v>-5.8021280515194E-3</v>
      </c>
      <c r="M1519" s="1">
        <v>-2.7922128051519401E-2</v>
      </c>
      <c r="N1519" s="1">
        <f>+M1519-J1519</f>
        <v>-1.8021280515193999E-3</v>
      </c>
      <c r="O1519">
        <v>2.16</v>
      </c>
      <c r="P1519" t="s">
        <v>17</v>
      </c>
      <c r="Q1519">
        <v>0</v>
      </c>
      <c r="R1519">
        <v>-3.0600866474211199E-2</v>
      </c>
      <c r="S1519">
        <v>-2.11407577153295E-2</v>
      </c>
      <c r="T1519">
        <v>0</v>
      </c>
    </row>
    <row r="1520" spans="1:20" x14ac:dyDescent="0.3">
      <c r="A1520" t="s">
        <v>113</v>
      </c>
      <c r="B1520">
        <v>2010</v>
      </c>
      <c r="C1520">
        <v>1557787</v>
      </c>
      <c r="D1520" s="1">
        <v>1E-3</v>
      </c>
      <c r="E1520" s="1">
        <v>0.94549483060836803</v>
      </c>
      <c r="F1520" s="1">
        <v>-2.5999999999999999E-2</v>
      </c>
      <c r="G1520" s="1">
        <f t="shared" si="46"/>
        <v>5.0000000000000044E-3</v>
      </c>
      <c r="H1520" s="1" t="str">
        <f t="shared" si="47"/>
        <v/>
      </c>
      <c r="I1520" s="1">
        <v>4.0000000000000001E-3</v>
      </c>
      <c r="J1520" s="1">
        <f>+D1520-F1520+I1520*O1520</f>
        <v>3.5400000000000001E-2</v>
      </c>
      <c r="K1520" s="1">
        <v>-1.46008664742112E-2</v>
      </c>
      <c r="L1520" s="1">
        <f>+K1520-J1520</f>
        <v>-5.0000866474211203E-2</v>
      </c>
      <c r="M1520" s="1">
        <v>-3.0600866474211199E-2</v>
      </c>
      <c r="N1520" s="1">
        <f>+M1520-J1520</f>
        <v>-6.6000866474211203E-2</v>
      </c>
      <c r="O1520">
        <v>2.1</v>
      </c>
      <c r="P1520" t="s">
        <v>17</v>
      </c>
      <c r="Q1520">
        <v>-0.02</v>
      </c>
      <c r="R1520">
        <v>-2.5437794037163199E-2</v>
      </c>
      <c r="S1520">
        <v>-4.1540195234119597E-3</v>
      </c>
      <c r="T1520">
        <v>-0.03</v>
      </c>
    </row>
    <row r="1521" spans="1:20" x14ac:dyDescent="0.3">
      <c r="A1521" t="s">
        <v>113</v>
      </c>
      <c r="B1521">
        <v>2011</v>
      </c>
      <c r="C1521">
        <v>1562300</v>
      </c>
      <c r="D1521" s="1">
        <v>7.0000000000000001E-3</v>
      </c>
      <c r="E1521" s="1">
        <v>0.94907402992248502</v>
      </c>
      <c r="F1521" s="1">
        <v>0</v>
      </c>
      <c r="G1521" s="1">
        <f t="shared" si="46"/>
        <v>5.0000000000000044E-3</v>
      </c>
      <c r="H1521" s="1" t="str">
        <f t="shared" si="47"/>
        <v/>
      </c>
      <c r="I1521" s="1">
        <v>4.0000000000000001E-3</v>
      </c>
      <c r="J1521" s="1">
        <f>+D1521-F1521+I1521*O1521</f>
        <v>1.54E-2</v>
      </c>
      <c r="K1521" s="1">
        <v>6.5622059628367398E-3</v>
      </c>
      <c r="L1521" s="1">
        <f>+K1521-J1521</f>
        <v>-8.8377940371632616E-3</v>
      </c>
      <c r="M1521" s="1">
        <v>-2.5437794037163199E-2</v>
      </c>
      <c r="N1521" s="1">
        <f>+M1521-J1521</f>
        <v>-4.08377940371632E-2</v>
      </c>
      <c r="O1521">
        <v>2.1</v>
      </c>
      <c r="P1521" t="s">
        <v>17</v>
      </c>
      <c r="Q1521">
        <v>0</v>
      </c>
      <c r="R1521">
        <v>-8.9094576463102995E-3</v>
      </c>
      <c r="S1521">
        <v>-3.4712515771388999E-3</v>
      </c>
      <c r="T1521">
        <v>0</v>
      </c>
    </row>
    <row r="1522" spans="1:20" x14ac:dyDescent="0.3">
      <c r="A1522" t="s">
        <v>113</v>
      </c>
      <c r="B1522">
        <v>2012</v>
      </c>
      <c r="C1522">
        <v>1567789</v>
      </c>
      <c r="D1522" s="1">
        <v>1.0999999999999999E-2</v>
      </c>
      <c r="E1522" s="1">
        <v>0.94992554187774703</v>
      </c>
      <c r="F1522" s="1">
        <v>2.9000000000000001E-2</v>
      </c>
      <c r="G1522" s="1">
        <f t="shared" si="46"/>
        <v>3.4000000000000002E-2</v>
      </c>
      <c r="H1522" s="1" t="str">
        <f t="shared" si="47"/>
        <v/>
      </c>
      <c r="I1522" s="1">
        <v>1E-3</v>
      </c>
      <c r="J1522" s="1">
        <f>+D1522-F1522+I1522*O1522</f>
        <v>-1.5830000000000004E-2</v>
      </c>
      <c r="K1522" s="1">
        <v>1.20905423536897E-2</v>
      </c>
      <c r="L1522" s="1">
        <f>+K1522-J1522</f>
        <v>2.7920542353689702E-2</v>
      </c>
      <c r="M1522" s="1">
        <v>-8.9094576463102995E-3</v>
      </c>
      <c r="N1522" s="1">
        <f>+M1522-J1522</f>
        <v>6.9205423536897043E-3</v>
      </c>
      <c r="O1522">
        <v>2.17</v>
      </c>
      <c r="P1522" t="s">
        <v>15</v>
      </c>
      <c r="Q1522">
        <v>0</v>
      </c>
      <c r="R1522">
        <v>1.0025395452975901E-3</v>
      </c>
      <c r="S1522">
        <v>-5.1242318004369996E-3</v>
      </c>
      <c r="T1522">
        <v>0.03</v>
      </c>
    </row>
    <row r="1523" spans="1:20" x14ac:dyDescent="0.3">
      <c r="A1523" t="s">
        <v>113</v>
      </c>
      <c r="B1523">
        <v>2013</v>
      </c>
      <c r="C1523">
        <v>1571478</v>
      </c>
      <c r="D1523" s="1">
        <v>3.0000000000000001E-3</v>
      </c>
      <c r="E1523" s="1">
        <v>0.94738411903381303</v>
      </c>
      <c r="F1523" s="1">
        <v>-1E-3</v>
      </c>
      <c r="G1523" s="1">
        <f t="shared" si="46"/>
        <v>3.3000000000000002E-2</v>
      </c>
      <c r="H1523" s="1" t="str">
        <f t="shared" si="47"/>
        <v/>
      </c>
      <c r="I1523" s="1">
        <v>-3.0000000000000001E-3</v>
      </c>
      <c r="J1523" s="1">
        <f>+D1523-F1523+I1523*O1523</f>
        <v>-2.4800000000000004E-3</v>
      </c>
      <c r="K1523" s="1">
        <v>1.6002539545297598E-2</v>
      </c>
      <c r="L1523" s="1">
        <f>+K1523-J1523</f>
        <v>1.8482539545297598E-2</v>
      </c>
      <c r="M1523" s="1">
        <v>1.0025395452975901E-3</v>
      </c>
      <c r="N1523" s="1">
        <f>+M1523-J1523</f>
        <v>3.4825395452975907E-3</v>
      </c>
      <c r="O1523">
        <v>2.16</v>
      </c>
      <c r="P1523" t="s">
        <v>16</v>
      </c>
      <c r="Q1523">
        <v>-0.01</v>
      </c>
      <c r="R1523">
        <v>-9.972147494555E-4</v>
      </c>
      <c r="S1523">
        <v>-3.0052382498980002E-3</v>
      </c>
      <c r="T1523">
        <v>-0.01</v>
      </c>
    </row>
    <row r="1524" spans="1:20" x14ac:dyDescent="0.3">
      <c r="A1524" t="s">
        <v>113</v>
      </c>
      <c r="B1524">
        <v>2014</v>
      </c>
      <c r="C1524">
        <v>1574201</v>
      </c>
      <c r="D1524" s="1">
        <v>1.2E-2</v>
      </c>
      <c r="E1524" s="1">
        <v>0.94715201854705799</v>
      </c>
      <c r="F1524" s="1">
        <v>-1.6E-2</v>
      </c>
      <c r="G1524" s="1">
        <f t="shared" si="46"/>
        <v>1.7000000000000001E-2</v>
      </c>
      <c r="H1524" s="1" t="str">
        <f t="shared" si="47"/>
        <v/>
      </c>
      <c r="I1524" s="1">
        <v>0</v>
      </c>
      <c r="J1524" s="1">
        <f>+D1524-F1524+I1524*O1524</f>
        <v>2.8000000000000001E-2</v>
      </c>
      <c r="K1524" s="1">
        <v>1.5002785250544499E-2</v>
      </c>
      <c r="L1524" s="1">
        <f>+K1524-J1524</f>
        <v>-1.2997214749455501E-2</v>
      </c>
      <c r="M1524" s="1">
        <v>-9.972147494555E-4</v>
      </c>
      <c r="N1524" s="1">
        <f>+M1524-J1524</f>
        <v>-2.8997214749455501E-2</v>
      </c>
      <c r="O1524">
        <v>2.13</v>
      </c>
      <c r="P1524" t="s">
        <v>16</v>
      </c>
      <c r="Q1524">
        <v>0</v>
      </c>
      <c r="R1524">
        <v>2.06751843690871E-2</v>
      </c>
      <c r="S1524">
        <v>-9.5882676541804903E-3</v>
      </c>
      <c r="T1524">
        <v>-0.02</v>
      </c>
    </row>
    <row r="1525" spans="1:20" x14ac:dyDescent="0.3">
      <c r="A1525" t="s">
        <v>113</v>
      </c>
      <c r="B1525">
        <v>2015</v>
      </c>
      <c r="C1525">
        <v>1574763</v>
      </c>
      <c r="D1525" s="1">
        <v>1.7000000000000001E-2</v>
      </c>
      <c r="E1525" s="1">
        <v>0.94751662015914895</v>
      </c>
      <c r="F1525" s="1">
        <v>0.02</v>
      </c>
      <c r="G1525" s="1">
        <f t="shared" si="46"/>
        <v>3.7000000000000005E-2</v>
      </c>
      <c r="H1525" s="1" t="str">
        <f t="shared" si="47"/>
        <v/>
      </c>
      <c r="I1525" s="1">
        <v>0</v>
      </c>
      <c r="J1525" s="1">
        <f>+D1525-F1525+I1525*O1525</f>
        <v>-2.9999999999999992E-3</v>
      </c>
      <c r="K1525" s="1">
        <v>2.1675184369087198E-2</v>
      </c>
      <c r="L1525" s="1">
        <f>+K1525-J1525</f>
        <v>2.4675184369087198E-2</v>
      </c>
      <c r="M1525" s="1">
        <v>2.06751843690871E-2</v>
      </c>
      <c r="N1525" s="1">
        <f>+M1525-J1525</f>
        <v>2.36751843690871E-2</v>
      </c>
      <c r="O1525">
        <v>2.17</v>
      </c>
      <c r="P1525" t="s">
        <v>15</v>
      </c>
      <c r="Q1525">
        <v>-0.01</v>
      </c>
      <c r="R1525">
        <v>2.5821023508906002E-3</v>
      </c>
      <c r="S1525">
        <v>-1.05714546516538E-2</v>
      </c>
      <c r="T1525">
        <v>0.03</v>
      </c>
    </row>
    <row r="1526" spans="1:20" x14ac:dyDescent="0.3">
      <c r="A1526" t="s">
        <v>113</v>
      </c>
      <c r="B1526">
        <v>2016</v>
      </c>
      <c r="C1526">
        <v>1573946</v>
      </c>
      <c r="D1526" s="1">
        <v>2.7E-2</v>
      </c>
      <c r="E1526" s="1">
        <v>0.94557940959930398</v>
      </c>
      <c r="F1526" s="1">
        <v>-2.8000000000000001E-2</v>
      </c>
      <c r="G1526" s="1">
        <f t="shared" si="46"/>
        <v>9.0000000000000045E-3</v>
      </c>
      <c r="H1526" s="1" t="str">
        <f t="shared" si="47"/>
        <v/>
      </c>
      <c r="I1526" s="1">
        <v>-2E-3</v>
      </c>
      <c r="J1526" s="1">
        <f>+D1526-F1526+I1526*O1526</f>
        <v>5.0779999999999999E-2</v>
      </c>
      <c r="K1526" s="1">
        <v>1.55821023508906E-2</v>
      </c>
      <c r="L1526" s="1">
        <f>+K1526-J1526</f>
        <v>-3.5197897649109397E-2</v>
      </c>
      <c r="M1526" s="1">
        <v>2.5821023508906002E-3</v>
      </c>
      <c r="N1526" s="1">
        <f>+M1526-J1526</f>
        <v>-4.8197897649109402E-2</v>
      </c>
      <c r="O1526">
        <v>2.11</v>
      </c>
      <c r="P1526" t="s">
        <v>16</v>
      </c>
      <c r="Q1526">
        <v>-0.01</v>
      </c>
      <c r="R1526">
        <v>-1.25742753073573E-2</v>
      </c>
      <c r="S1526">
        <v>-1.53638487681746E-2</v>
      </c>
      <c r="T1526">
        <v>-0.03</v>
      </c>
    </row>
    <row r="1527" spans="1:20" x14ac:dyDescent="0.3">
      <c r="A1527" t="s">
        <v>113</v>
      </c>
      <c r="B1527">
        <v>2017</v>
      </c>
      <c r="C1527">
        <v>1572737</v>
      </c>
      <c r="D1527" s="1">
        <v>3.3000000000000002E-2</v>
      </c>
      <c r="E1527" s="1">
        <v>0.93892562389373802</v>
      </c>
      <c r="F1527" s="1">
        <v>-2.5999999999999999E-2</v>
      </c>
      <c r="G1527" s="1">
        <f t="shared" si="46"/>
        <v>-1.6999999999999994E-2</v>
      </c>
      <c r="H1527" s="1" t="str">
        <f t="shared" si="47"/>
        <v/>
      </c>
      <c r="I1527" s="1">
        <v>-7.0000000000000001E-3</v>
      </c>
      <c r="J1527" s="1">
        <f>+D1527-F1527+I1527*O1527</f>
        <v>4.4649999999999995E-2</v>
      </c>
      <c r="K1527" s="1">
        <v>8.4257246926426905E-3</v>
      </c>
      <c r="L1527" s="1">
        <f>+K1527-J1527</f>
        <v>-3.6224275307357306E-2</v>
      </c>
      <c r="M1527" s="1">
        <v>-1.25742753073573E-2</v>
      </c>
      <c r="N1527" s="1">
        <f>+M1527-J1527</f>
        <v>-5.7224275307357297E-2</v>
      </c>
      <c r="O1527">
        <v>2.0499999999999998</v>
      </c>
      <c r="P1527" t="s">
        <v>16</v>
      </c>
      <c r="Q1527">
        <v>-0.02</v>
      </c>
      <c r="R1527">
        <v>3.0115341991185998E-3</v>
      </c>
      <c r="S1527">
        <v>-6.1234887689351897E-3</v>
      </c>
      <c r="T1527">
        <v>-0.02</v>
      </c>
    </row>
    <row r="1528" spans="1:20" x14ac:dyDescent="0.3">
      <c r="A1528" t="s">
        <v>113</v>
      </c>
      <c r="B1528">
        <v>2018</v>
      </c>
      <c r="C1528">
        <v>1572873</v>
      </c>
      <c r="D1528" s="1">
        <v>2.5999999999999999E-2</v>
      </c>
      <c r="E1528" s="1">
        <v>0.94498825073242199</v>
      </c>
      <c r="F1528" s="1">
        <v>3.5999999999999997E-2</v>
      </c>
      <c r="G1528" s="1">
        <f t="shared" si="46"/>
        <v>1.9000000000000003E-2</v>
      </c>
      <c r="H1528" s="1" t="str">
        <f t="shared" si="47"/>
        <v/>
      </c>
      <c r="I1528" s="1">
        <v>6.0000000000000001E-3</v>
      </c>
      <c r="J1528" s="1">
        <f>+D1528-F1528+I1528*O1528</f>
        <v>2.7800000000000012E-3</v>
      </c>
      <c r="K1528" s="1">
        <v>2.70115341991186E-2</v>
      </c>
      <c r="L1528" s="1">
        <f>+K1528-J1528</f>
        <v>2.4231534199118599E-2</v>
      </c>
      <c r="M1528" s="1">
        <v>3.0115341991185998E-3</v>
      </c>
      <c r="N1528" s="1">
        <f>+M1528-J1528</f>
        <v>2.315341991185986E-4</v>
      </c>
      <c r="O1528">
        <v>2.13</v>
      </c>
      <c r="P1528" t="s">
        <v>15</v>
      </c>
      <c r="Q1528">
        <v>-0.01</v>
      </c>
      <c r="R1528">
        <v>9.1325726062059E-3</v>
      </c>
      <c r="S1528">
        <v>-8.6686220020055996E-3</v>
      </c>
      <c r="T1528">
        <v>0.05</v>
      </c>
    </row>
    <row r="1529" spans="1:20" x14ac:dyDescent="0.3">
      <c r="A1529" t="s">
        <v>113</v>
      </c>
      <c r="B1529">
        <v>2019</v>
      </c>
      <c r="C1529">
        <v>1574277</v>
      </c>
      <c r="D1529" s="1">
        <v>2.4E-2</v>
      </c>
      <c r="E1529" s="1">
        <v>0.94816190004348799</v>
      </c>
      <c r="F1529" s="1">
        <v>-3.4000000000000002E-2</v>
      </c>
      <c r="G1529" s="1">
        <f t="shared" si="46"/>
        <v>-1.4999999999999999E-2</v>
      </c>
      <c r="H1529" s="1" t="str">
        <f t="shared" si="47"/>
        <v/>
      </c>
      <c r="I1529" s="1">
        <v>3.0000000000000001E-3</v>
      </c>
      <c r="J1529" s="1">
        <f>+D1529-F1529+I1529*O1529</f>
        <v>6.4180000000000001E-2</v>
      </c>
      <c r="K1529" s="1">
        <v>2.7132572606205899E-2</v>
      </c>
      <c r="L1529" s="1">
        <f>+K1529-J1529</f>
        <v>-3.7047427393794102E-2</v>
      </c>
      <c r="M1529" s="1">
        <v>9.1325726062059E-3</v>
      </c>
      <c r="N1529" s="1">
        <f>+M1529-J1529</f>
        <v>-5.5047427393794104E-2</v>
      </c>
      <c r="O1529">
        <v>2.06</v>
      </c>
      <c r="P1529" t="s">
        <v>17</v>
      </c>
      <c r="Q1529">
        <v>-0.01</v>
      </c>
      <c r="R1529">
        <v>3.0348152965306899E-3</v>
      </c>
      <c r="S1529">
        <v>-1.5814375132322301E-2</v>
      </c>
      <c r="T1529">
        <v>-0.03</v>
      </c>
    </row>
    <row r="1530" spans="1:20" x14ac:dyDescent="0.3">
      <c r="A1530" t="s">
        <v>113</v>
      </c>
      <c r="B1530">
        <v>2020</v>
      </c>
      <c r="C1530">
        <v>1571782</v>
      </c>
      <c r="D1530" s="1">
        <v>2.1999999999999999E-2</v>
      </c>
      <c r="E1530" s="1">
        <v>0.95407372713089</v>
      </c>
      <c r="F1530" s="1">
        <v>-4.9000000000000002E-2</v>
      </c>
      <c r="G1530" s="1">
        <f t="shared" si="46"/>
        <v>-6.4000000000000001E-2</v>
      </c>
      <c r="H1530" s="1" t="str">
        <f t="shared" si="47"/>
        <v/>
      </c>
      <c r="I1530" s="1">
        <v>6.0000000000000001E-3</v>
      </c>
      <c r="J1530" s="1">
        <f>+D1530-F1530+I1530*O1530</f>
        <v>8.276E-2</v>
      </c>
      <c r="K1530" s="1">
        <v>1.5034815296530699E-2</v>
      </c>
      <c r="L1530" s="1">
        <f>+K1530-J1530</f>
        <v>-6.7725184703469304E-2</v>
      </c>
      <c r="M1530" s="1">
        <v>3.0348152965306899E-3</v>
      </c>
      <c r="N1530" s="1">
        <f>+M1530-J1530</f>
        <v>-7.9725184703469315E-2</v>
      </c>
      <c r="O1530">
        <v>1.96</v>
      </c>
      <c r="P1530" t="s">
        <v>17</v>
      </c>
      <c r="Q1530">
        <v>-0.02</v>
      </c>
      <c r="R1530">
        <v>1.00445433259009E-2</v>
      </c>
      <c r="S1530">
        <v>-3.3545069396495902E-2</v>
      </c>
      <c r="T1530">
        <v>-0.01</v>
      </c>
    </row>
    <row r="1531" spans="1:20" x14ac:dyDescent="0.3">
      <c r="A1531" t="s">
        <v>113</v>
      </c>
      <c r="B1531">
        <v>2021</v>
      </c>
      <c r="C1531">
        <v>1563414</v>
      </c>
      <c r="D1531" s="1">
        <v>1.7999999999999999E-2</v>
      </c>
      <c r="E1531" s="1">
        <v>0.96543294191360496</v>
      </c>
      <c r="F1531" s="1">
        <v>6.0999999999999999E-2</v>
      </c>
      <c r="G1531" s="1">
        <f t="shared" si="46"/>
        <v>-3.0000000000000027E-3</v>
      </c>
      <c r="H1531" s="1" t="str">
        <f t="shared" si="47"/>
        <v/>
      </c>
      <c r="I1531" s="1">
        <v>1.0999999999999999E-2</v>
      </c>
      <c r="J1531" s="1">
        <f>+D1531-F1531+I1531*O1531</f>
        <v>-2.0229999999999998E-2</v>
      </c>
      <c r="K1531" s="1">
        <v>5.7044543325900997E-2</v>
      </c>
      <c r="L1531" s="1">
        <f>+K1531-J1531</f>
        <v>7.7274543325901002E-2</v>
      </c>
      <c r="M1531" s="1">
        <v>1.00445433259009E-2</v>
      </c>
      <c r="N1531" s="1">
        <f>+M1531-J1531</f>
        <v>3.0274543325900898E-2</v>
      </c>
      <c r="O1531">
        <v>2.0699999999999998</v>
      </c>
      <c r="P1531" t="s">
        <v>15</v>
      </c>
      <c r="Q1531">
        <v>-0.03</v>
      </c>
      <c r="R1531">
        <v>-3.67234814167023E-2</v>
      </c>
      <c r="S1531">
        <v>-4.6199746429919902E-3</v>
      </c>
      <c r="T1531">
        <v>0.03</v>
      </c>
    </row>
    <row r="1532" spans="1:20" x14ac:dyDescent="0.3">
      <c r="A1532" t="s">
        <v>113</v>
      </c>
      <c r="B1532">
        <v>2022</v>
      </c>
      <c r="C1532">
        <v>1564803</v>
      </c>
      <c r="D1532" s="1">
        <v>2.1999999999999999E-2</v>
      </c>
      <c r="E1532" s="1">
        <v>0.95859551429748502</v>
      </c>
      <c r="F1532" s="1">
        <v>-4.5999999999999999E-2</v>
      </c>
      <c r="G1532" s="1">
        <f t="shared" si="46"/>
        <v>-4.9000000000000002E-2</v>
      </c>
      <c r="H1532" s="1" t="str">
        <f t="shared" si="47"/>
        <v/>
      </c>
      <c r="I1532" s="1">
        <v>-7.0000000000000001E-3</v>
      </c>
      <c r="J1532" s="1">
        <f>+D1532-F1532+I1532*O1532</f>
        <v>5.4140000000000008E-2</v>
      </c>
      <c r="K1532" s="1">
        <v>4.3276518583297702E-2</v>
      </c>
      <c r="L1532" s="1">
        <f>+K1532-J1532</f>
        <v>-1.0863481416702306E-2</v>
      </c>
      <c r="M1532" s="1">
        <v>-3.67234814167023E-2</v>
      </c>
      <c r="N1532" s="1">
        <f>+M1532-J1532</f>
        <v>-9.0863481416702307E-2</v>
      </c>
      <c r="O1532">
        <v>1.98</v>
      </c>
      <c r="P1532" t="s">
        <v>16</v>
      </c>
      <c r="Q1532">
        <v>0</v>
      </c>
      <c r="R1532">
        <v>-1.96808658391237E-2</v>
      </c>
      <c r="S1532">
        <v>-1.21938064694401E-4</v>
      </c>
      <c r="T1532">
        <v>-0.03</v>
      </c>
    </row>
    <row r="1533" spans="1:20" x14ac:dyDescent="0.3">
      <c r="A1533" t="s">
        <v>114</v>
      </c>
      <c r="B1533">
        <v>2006</v>
      </c>
      <c r="C1533">
        <v>3242996</v>
      </c>
      <c r="D1533" s="1">
        <v>2E-3</v>
      </c>
      <c r="E1533" s="1">
        <v>0.93312543630599998</v>
      </c>
      <c r="F1533" s="1">
        <v>-3.5999999999999997E-2</v>
      </c>
      <c r="G1533" s="1">
        <f t="shared" si="46"/>
        <v>-3.5999999999999997E-2</v>
      </c>
      <c r="H1533" s="1" t="str">
        <f t="shared" si="47"/>
        <v/>
      </c>
      <c r="I1533" s="1">
        <v>6.0000000000000001E-3</v>
      </c>
      <c r="J1533" s="1">
        <f>+D1533-F1533+I1533*O1533</f>
        <v>5.024E-2</v>
      </c>
      <c r="K1533" s="1">
        <v>2.88665890693665E-2</v>
      </c>
      <c r="L1533" s="1">
        <f>+K1533-J1533</f>
        <v>-2.13734109306335E-2</v>
      </c>
      <c r="M1533" s="1">
        <v>-3.1334109306335001E-3</v>
      </c>
      <c r="N1533" s="1">
        <f>+M1533-J1533</f>
        <v>-5.3373410930633497E-2</v>
      </c>
      <c r="O1533">
        <v>2.04</v>
      </c>
      <c r="P1533" t="s">
        <v>17</v>
      </c>
      <c r="Q1533">
        <v>-0.01</v>
      </c>
      <c r="R1533">
        <v>-4.1366283744573998E-3</v>
      </c>
      <c r="S1533">
        <v>-3.2148724421859E-3</v>
      </c>
      <c r="T1533">
        <v>-0.04</v>
      </c>
    </row>
    <row r="1534" spans="1:20" x14ac:dyDescent="0.3">
      <c r="A1534" t="s">
        <v>114</v>
      </c>
      <c r="B1534">
        <v>2007</v>
      </c>
      <c r="C1534">
        <v>3277501</v>
      </c>
      <c r="D1534" s="1">
        <v>5.0000000000000001E-3</v>
      </c>
      <c r="E1534" s="1">
        <v>0.936734318733215</v>
      </c>
      <c r="F1534" s="1">
        <v>2.1000000000000001E-2</v>
      </c>
      <c r="G1534" s="1">
        <f t="shared" si="46"/>
        <v>-1.4999999999999996E-2</v>
      </c>
      <c r="H1534" s="1" t="str">
        <f t="shared" si="47"/>
        <v/>
      </c>
      <c r="I1534" s="1">
        <v>4.0000000000000001E-3</v>
      </c>
      <c r="J1534" s="1">
        <f>+D1534-F1534+I1534*O1534</f>
        <v>-7.640000000000001E-3</v>
      </c>
      <c r="K1534" s="1">
        <v>2.4863371625542599E-2</v>
      </c>
      <c r="L1534" s="1">
        <f>+K1534-J1534</f>
        <v>3.25033716255426E-2</v>
      </c>
      <c r="M1534" s="1">
        <v>-4.1366283744573998E-3</v>
      </c>
      <c r="N1534" s="1">
        <f>+M1534-J1534</f>
        <v>3.5033716255426011E-3</v>
      </c>
      <c r="O1534">
        <v>2.09</v>
      </c>
      <c r="P1534" t="s">
        <v>15</v>
      </c>
      <c r="Q1534">
        <v>0</v>
      </c>
      <c r="R1534">
        <v>-2.3556448809802399E-2</v>
      </c>
      <c r="S1534">
        <v>5.9543554671109E-3</v>
      </c>
      <c r="T1534">
        <v>0.02</v>
      </c>
    </row>
    <row r="1535" spans="1:20" x14ac:dyDescent="0.3">
      <c r="A1535" t="s">
        <v>114</v>
      </c>
      <c r="B1535">
        <v>2008</v>
      </c>
      <c r="C1535">
        <v>3308707</v>
      </c>
      <c r="D1535" s="1">
        <v>7.0000000000000001E-3</v>
      </c>
      <c r="E1535" s="1">
        <v>0.94062703847885099</v>
      </c>
      <c r="F1535" s="1">
        <v>-1.7000000000000001E-2</v>
      </c>
      <c r="G1535" s="1">
        <f t="shared" si="46"/>
        <v>-3.2000000000000001E-2</v>
      </c>
      <c r="H1535" s="1" t="str">
        <f t="shared" si="47"/>
        <v/>
      </c>
      <c r="I1535" s="1">
        <v>4.0000000000000001E-3</v>
      </c>
      <c r="J1535" s="1">
        <f>+D1535-F1535+I1535*O1535</f>
        <v>3.2199999999999999E-2</v>
      </c>
      <c r="K1535" s="1">
        <v>1.4443551190197501E-2</v>
      </c>
      <c r="L1535" s="1">
        <f>+K1535-J1535</f>
        <v>-1.7756448809802497E-2</v>
      </c>
      <c r="M1535" s="1">
        <v>-2.3556448809802399E-2</v>
      </c>
      <c r="N1535" s="1">
        <f>+M1535-J1535</f>
        <v>-5.5756448809802399E-2</v>
      </c>
      <c r="O1535">
        <v>2.0499999999999998</v>
      </c>
      <c r="P1535" t="s">
        <v>17</v>
      </c>
      <c r="Q1535">
        <v>0.01</v>
      </c>
      <c r="R1535">
        <v>-2.3814410626888299E-2</v>
      </c>
      <c r="S1535">
        <v>2.7522910386323499E-3</v>
      </c>
      <c r="T1535">
        <v>-0.02</v>
      </c>
    </row>
    <row r="1536" spans="1:20" x14ac:dyDescent="0.3">
      <c r="A1536" t="s">
        <v>114</v>
      </c>
      <c r="B1536">
        <v>2009</v>
      </c>
      <c r="C1536">
        <v>3337156</v>
      </c>
      <c r="D1536" s="1">
        <v>3.0000000000000001E-3</v>
      </c>
      <c r="E1536" s="1">
        <v>0.93684822320938099</v>
      </c>
      <c r="F1536" s="1">
        <v>2.8000000000000001E-2</v>
      </c>
      <c r="G1536" s="1">
        <f t="shared" si="46"/>
        <v>-4.0000000000000001E-3</v>
      </c>
      <c r="H1536" s="1" t="str">
        <f t="shared" si="47"/>
        <v/>
      </c>
      <c r="I1536" s="1">
        <v>-4.0000000000000001E-3</v>
      </c>
      <c r="J1536" s="1">
        <f>+D1536-F1536+I1536*O1536</f>
        <v>-3.3439999999999998E-2</v>
      </c>
      <c r="K1536" s="1">
        <v>-2.7814410626888299E-2</v>
      </c>
      <c r="L1536" s="1">
        <f>+K1536-J1536</f>
        <v>5.6255893731116981E-3</v>
      </c>
      <c r="M1536" s="1">
        <v>-2.3814410626888299E-2</v>
      </c>
      <c r="N1536" s="1">
        <f>+M1536-J1536</f>
        <v>9.6255893731116982E-3</v>
      </c>
      <c r="O1536">
        <v>2.11</v>
      </c>
      <c r="P1536" t="s">
        <v>17</v>
      </c>
      <c r="Q1536">
        <v>0</v>
      </c>
      <c r="R1536">
        <v>-2.7021255195140998E-3</v>
      </c>
      <c r="S1536">
        <v>6.75798323936758E-3</v>
      </c>
      <c r="T1536">
        <v>0.01</v>
      </c>
    </row>
    <row r="1537" spans="1:20" x14ac:dyDescent="0.3">
      <c r="A1537" t="s">
        <v>114</v>
      </c>
      <c r="B1537">
        <v>2010</v>
      </c>
      <c r="C1537">
        <v>3365686</v>
      </c>
      <c r="D1537" s="1">
        <v>0</v>
      </c>
      <c r="E1537" s="1">
        <v>0.94344407320022605</v>
      </c>
      <c r="F1537" s="1">
        <v>3.3000000000000002E-2</v>
      </c>
      <c r="G1537" s="1">
        <f t="shared" si="46"/>
        <v>2.9000000000000001E-2</v>
      </c>
      <c r="H1537" s="1" t="str">
        <f t="shared" si="47"/>
        <v/>
      </c>
      <c r="I1537" s="1">
        <v>7.0000000000000001E-3</v>
      </c>
      <c r="J1537" s="1">
        <f>+D1537-F1537+I1537*O1537</f>
        <v>-1.7739999999999999E-2</v>
      </c>
      <c r="K1537" s="1">
        <v>1.3297874480485901E-2</v>
      </c>
      <c r="L1537" s="1">
        <f>+K1537-J1537</f>
        <v>3.1037874480485901E-2</v>
      </c>
      <c r="M1537" s="1">
        <v>-2.7021255195140998E-3</v>
      </c>
      <c r="N1537" s="1">
        <f>+M1537-J1537</f>
        <v>1.5037874480485899E-2</v>
      </c>
      <c r="O1537">
        <v>2.1800000000000002</v>
      </c>
      <c r="P1537" t="s">
        <v>15</v>
      </c>
      <c r="Q1537">
        <v>0.01</v>
      </c>
      <c r="R1537">
        <v>-2.3996791213750798E-2</v>
      </c>
      <c r="S1537">
        <v>-2.7130166999995301E-3</v>
      </c>
      <c r="T1537">
        <v>0.03</v>
      </c>
    </row>
    <row r="1538" spans="1:20" x14ac:dyDescent="0.3">
      <c r="A1538" t="s">
        <v>114</v>
      </c>
      <c r="B1538">
        <v>2011</v>
      </c>
      <c r="C1538">
        <v>3402280</v>
      </c>
      <c r="D1538" s="1">
        <v>5.0000000000000001E-3</v>
      </c>
      <c r="E1538" s="1">
        <v>0.94645088911056496</v>
      </c>
      <c r="F1538" s="1">
        <v>4.0000000000000001E-3</v>
      </c>
      <c r="G1538" s="1">
        <f t="shared" si="46"/>
        <v>3.3000000000000002E-2</v>
      </c>
      <c r="H1538" s="1" t="str">
        <f t="shared" si="47"/>
        <v/>
      </c>
      <c r="I1538" s="1">
        <v>3.0000000000000001E-3</v>
      </c>
      <c r="J1538" s="1">
        <f>+D1538-F1538+I1538*O1538</f>
        <v>7.5700000000000003E-3</v>
      </c>
      <c r="K1538" s="1">
        <v>8.0032087862491608E-3</v>
      </c>
      <c r="L1538" s="1">
        <f>+K1538-J1538</f>
        <v>4.3320878624916043E-4</v>
      </c>
      <c r="M1538" s="1">
        <v>-2.3996791213750798E-2</v>
      </c>
      <c r="N1538" s="1">
        <f>+M1538-J1538</f>
        <v>-3.1566791213750799E-2</v>
      </c>
      <c r="O1538">
        <v>2.19</v>
      </c>
      <c r="P1538" t="s">
        <v>15</v>
      </c>
      <c r="Q1538">
        <v>0</v>
      </c>
      <c r="R1538">
        <v>-7.5514300763607003E-3</v>
      </c>
      <c r="S1538">
        <v>-2.1132240071892999E-3</v>
      </c>
      <c r="T1538">
        <v>0.01</v>
      </c>
    </row>
    <row r="1539" spans="1:20" x14ac:dyDescent="0.3">
      <c r="A1539" t="s">
        <v>114</v>
      </c>
      <c r="B1539">
        <v>2012</v>
      </c>
      <c r="C1539">
        <v>3439590</v>
      </c>
      <c r="D1539" s="1">
        <v>6.0000000000000001E-3</v>
      </c>
      <c r="E1539" s="1">
        <v>0.95019388198852495</v>
      </c>
      <c r="F1539" s="1">
        <v>1.2999999999999999E-2</v>
      </c>
      <c r="G1539" s="1">
        <f t="shared" si="46"/>
        <v>4.5999999999999999E-2</v>
      </c>
      <c r="H1539" s="1" t="str">
        <f t="shared" si="47"/>
        <v/>
      </c>
      <c r="I1539" s="1">
        <v>4.0000000000000001E-3</v>
      </c>
      <c r="J1539" s="1">
        <f>+D1539-F1539+I1539*O1539</f>
        <v>1.8800000000000015E-3</v>
      </c>
      <c r="K1539" s="1">
        <v>1.3448569923639299E-2</v>
      </c>
      <c r="L1539" s="1">
        <f>+K1539-J1539</f>
        <v>1.1568569923639298E-2</v>
      </c>
      <c r="M1539" s="1">
        <v>-7.5514300763607003E-3</v>
      </c>
      <c r="N1539" s="1">
        <f>+M1539-J1539</f>
        <v>-9.4314300763607018E-3</v>
      </c>
      <c r="O1539">
        <v>2.2200000000000002</v>
      </c>
      <c r="P1539" t="s">
        <v>15</v>
      </c>
      <c r="Q1539">
        <v>0</v>
      </c>
      <c r="R1539">
        <v>-7.6161101460499593E-5</v>
      </c>
      <c r="S1539">
        <v>-6.2029324471950999E-3</v>
      </c>
      <c r="T1539">
        <v>0.01</v>
      </c>
    </row>
    <row r="1540" spans="1:20" x14ac:dyDescent="0.3">
      <c r="A1540" t="s">
        <v>114</v>
      </c>
      <c r="B1540">
        <v>2013</v>
      </c>
      <c r="C1540">
        <v>3477883</v>
      </c>
      <c r="D1540" s="1">
        <v>1.7000000000000001E-2</v>
      </c>
      <c r="E1540" s="1">
        <v>0.94854950904846203</v>
      </c>
      <c r="F1540" s="1">
        <v>-2.3E-2</v>
      </c>
      <c r="G1540" s="1">
        <f t="shared" si="46"/>
        <v>2.3E-2</v>
      </c>
      <c r="H1540" s="1" t="str">
        <f t="shared" si="47"/>
        <v/>
      </c>
      <c r="I1540" s="1">
        <v>-2E-3</v>
      </c>
      <c r="J1540" s="1">
        <f>+D1540-F1540+I1540*O1540</f>
        <v>3.5680000000000003E-2</v>
      </c>
      <c r="K1540" s="1">
        <v>1.49238388985395E-2</v>
      </c>
      <c r="L1540" s="1">
        <f>+K1540-J1540</f>
        <v>-2.0756161101460502E-2</v>
      </c>
      <c r="M1540" s="1">
        <v>-7.6161101460499593E-5</v>
      </c>
      <c r="N1540" s="1">
        <f>+M1540-J1540</f>
        <v>-3.5756161101460501E-2</v>
      </c>
      <c r="O1540">
        <v>2.16</v>
      </c>
      <c r="P1540" t="s">
        <v>16</v>
      </c>
      <c r="Q1540">
        <v>-0.01</v>
      </c>
      <c r="R1540">
        <v>-3.3571312054991999E-3</v>
      </c>
      <c r="S1540">
        <v>-5.3651547059416996E-3</v>
      </c>
      <c r="T1540">
        <v>-0.03</v>
      </c>
    </row>
    <row r="1541" spans="1:20" x14ac:dyDescent="0.3">
      <c r="A1541" t="s">
        <v>114</v>
      </c>
      <c r="B1541">
        <v>2014</v>
      </c>
      <c r="C1541">
        <v>3515398</v>
      </c>
      <c r="D1541" s="1">
        <v>1.4999999999999999E-2</v>
      </c>
      <c r="E1541" s="1">
        <v>0.94940078258514404</v>
      </c>
      <c r="F1541" s="1">
        <v>8.0000000000000002E-3</v>
      </c>
      <c r="G1541" s="1">
        <f t="shared" si="46"/>
        <v>3.1E-2</v>
      </c>
      <c r="H1541" s="1" t="str">
        <f t="shared" si="47"/>
        <v/>
      </c>
      <c r="I1541" s="1">
        <v>1E-3</v>
      </c>
      <c r="J1541" s="1">
        <f>+D1541-F1541+I1541*O1541</f>
        <v>9.1799999999999989E-3</v>
      </c>
      <c r="K1541" s="1">
        <v>1.26428687945008E-2</v>
      </c>
      <c r="L1541" s="1">
        <f>+K1541-J1541</f>
        <v>3.4628687945008011E-3</v>
      </c>
      <c r="M1541" s="1">
        <v>-3.3571312054991999E-3</v>
      </c>
      <c r="N1541" s="1">
        <f>+M1541-J1541</f>
        <v>-1.2537131205499199E-2</v>
      </c>
      <c r="O1541">
        <v>2.1800000000000002</v>
      </c>
      <c r="P1541" t="s">
        <v>15</v>
      </c>
      <c r="Q1541">
        <v>-0.01</v>
      </c>
      <c r="R1541">
        <v>3.0145326793193799E-2</v>
      </c>
      <c r="S1541">
        <v>-1.18125230073897E-4</v>
      </c>
      <c r="T1541">
        <v>0</v>
      </c>
    </row>
    <row r="1542" spans="1:20" x14ac:dyDescent="0.3">
      <c r="A1542" t="s">
        <v>114</v>
      </c>
      <c r="B1542">
        <v>2015</v>
      </c>
      <c r="C1542">
        <v>3548349</v>
      </c>
      <c r="D1542" s="1">
        <v>1.7999999999999999E-2</v>
      </c>
      <c r="E1542" s="1">
        <v>0.94921070337295499</v>
      </c>
      <c r="F1542" s="1">
        <v>1.2999999999999999E-2</v>
      </c>
      <c r="G1542" s="1">
        <f t="shared" si="46"/>
        <v>4.3999999999999997E-2</v>
      </c>
      <c r="H1542" s="1" t="str">
        <f t="shared" si="47"/>
        <v/>
      </c>
      <c r="I1542" s="1">
        <v>0</v>
      </c>
      <c r="J1542" s="1">
        <f>+D1542-F1542+I1542*O1542</f>
        <v>4.9999999999999992E-3</v>
      </c>
      <c r="K1542" s="1">
        <v>3.11453267931938E-2</v>
      </c>
      <c r="L1542" s="1">
        <f>+K1542-J1542</f>
        <v>2.6145326793193799E-2</v>
      </c>
      <c r="M1542" s="1">
        <v>3.0145326793193799E-2</v>
      </c>
      <c r="N1542" s="1">
        <f>+M1542-J1542</f>
        <v>2.5145326793193798E-2</v>
      </c>
      <c r="O1542">
        <v>2.21</v>
      </c>
      <c r="P1542" t="s">
        <v>17</v>
      </c>
      <c r="Q1542">
        <v>0</v>
      </c>
      <c r="R1542">
        <v>1.76202638894319E-2</v>
      </c>
      <c r="S1542">
        <v>4.4667068868875903E-3</v>
      </c>
      <c r="T1542">
        <v>0.02</v>
      </c>
    </row>
    <row r="1543" spans="1:20" x14ac:dyDescent="0.3">
      <c r="A1543" t="s">
        <v>114</v>
      </c>
      <c r="B1543">
        <v>2016</v>
      </c>
      <c r="C1543">
        <v>3587930</v>
      </c>
      <c r="D1543" s="1">
        <v>0.02</v>
      </c>
      <c r="E1543" s="1">
        <v>0.95112669467926003</v>
      </c>
      <c r="F1543" s="1">
        <v>-3.1E-2</v>
      </c>
      <c r="G1543" s="1">
        <f t="shared" ref="G1543:G1606" si="48">SUMIFS(F:F,A:A,A1543,B:B,"&lt;="&amp;B1543)</f>
        <v>1.2999999999999998E-2</v>
      </c>
      <c r="H1543" s="1" t="str">
        <f t="shared" ref="H1543:H1606" si="49">IFERROR(IF(ABS(G1543)&gt;0.12,AVERAGEIFS(K:K,A:A,A1543,B:B,"&gt;"&amp;B1543,B:B,"&lt;"&amp;B1543+3),""),"")</f>
        <v/>
      </c>
      <c r="I1543" s="1">
        <v>2E-3</v>
      </c>
      <c r="J1543" s="1">
        <f>+D1543-F1543+I1543*O1543</f>
        <v>5.5280000000000003E-2</v>
      </c>
      <c r="K1543" s="1">
        <v>3.0620263889431999E-2</v>
      </c>
      <c r="L1543" s="1">
        <f>+K1543-J1543</f>
        <v>-2.4659736110568004E-2</v>
      </c>
      <c r="M1543" s="1">
        <v>1.76202638894319E-2</v>
      </c>
      <c r="N1543" s="1">
        <f>+M1543-J1543</f>
        <v>-3.7659736110568102E-2</v>
      </c>
      <c r="O1543">
        <v>2.14</v>
      </c>
      <c r="P1543" t="s">
        <v>17</v>
      </c>
      <c r="Q1543">
        <v>0</v>
      </c>
      <c r="R1543">
        <v>1.2159866929054301E-2</v>
      </c>
      <c r="S1543">
        <v>9.3702934682369995E-3</v>
      </c>
      <c r="T1543">
        <v>-0.03</v>
      </c>
    </row>
    <row r="1544" spans="1:20" x14ac:dyDescent="0.3">
      <c r="A1544" t="s">
        <v>114</v>
      </c>
      <c r="B1544">
        <v>2017</v>
      </c>
      <c r="C1544">
        <v>3627962</v>
      </c>
      <c r="D1544" s="1">
        <v>1.6E-2</v>
      </c>
      <c r="E1544" s="1">
        <v>0.95341134071350098</v>
      </c>
      <c r="F1544" s="1">
        <v>1.2999999999999999E-2</v>
      </c>
      <c r="G1544" s="1">
        <f t="shared" si="48"/>
        <v>2.5999999999999995E-2</v>
      </c>
      <c r="H1544" s="1" t="str">
        <f t="shared" si="49"/>
        <v/>
      </c>
      <c r="I1544" s="1">
        <v>2E-3</v>
      </c>
      <c r="J1544" s="1">
        <f>+D1544-F1544+I1544*O1544</f>
        <v>7.340000000000001E-3</v>
      </c>
      <c r="K1544" s="1">
        <v>3.3159866929054302E-2</v>
      </c>
      <c r="L1544" s="1">
        <f>+K1544-J1544</f>
        <v>2.5819866929054303E-2</v>
      </c>
      <c r="M1544" s="1">
        <v>1.2159866929054301E-2</v>
      </c>
      <c r="N1544" s="1">
        <f>+M1544-J1544</f>
        <v>4.8198669290542995E-3</v>
      </c>
      <c r="O1544">
        <v>2.17</v>
      </c>
      <c r="P1544" t="s">
        <v>15</v>
      </c>
      <c r="Q1544">
        <v>0.01</v>
      </c>
      <c r="R1544">
        <v>4.3866338431834996E-3</v>
      </c>
      <c r="S1544">
        <v>-4.7483891248702899E-3</v>
      </c>
      <c r="T1544">
        <v>0.02</v>
      </c>
    </row>
    <row r="1545" spans="1:20" x14ac:dyDescent="0.3">
      <c r="A1545" t="s">
        <v>114</v>
      </c>
      <c r="B1545">
        <v>2018</v>
      </c>
      <c r="C1545">
        <v>3663897</v>
      </c>
      <c r="D1545" s="1">
        <v>2.7E-2</v>
      </c>
      <c r="E1545" s="1">
        <v>0.950372815132141</v>
      </c>
      <c r="F1545" s="1">
        <v>-1.0999999999999999E-2</v>
      </c>
      <c r="G1545" s="1">
        <f t="shared" si="48"/>
        <v>1.4999999999999996E-2</v>
      </c>
      <c r="H1545" s="1" t="str">
        <f t="shared" si="49"/>
        <v/>
      </c>
      <c r="I1545" s="1">
        <v>-3.0000000000000001E-3</v>
      </c>
      <c r="J1545" s="1">
        <f>+D1545-F1545+I1545*O1545</f>
        <v>3.1550000000000002E-2</v>
      </c>
      <c r="K1545" s="1">
        <v>2.83866338431835E-2</v>
      </c>
      <c r="L1545" s="1">
        <f>+K1545-J1545</f>
        <v>-3.1633661568165015E-3</v>
      </c>
      <c r="M1545" s="1">
        <v>4.3866338431834996E-3</v>
      </c>
      <c r="N1545" s="1">
        <f>+M1545-J1545</f>
        <v>-2.7163366156816502E-2</v>
      </c>
      <c r="O1545">
        <v>2.15</v>
      </c>
      <c r="P1545" t="s">
        <v>16</v>
      </c>
      <c r="Q1545">
        <v>0</v>
      </c>
      <c r="R1545">
        <v>1.3593669205904E-2</v>
      </c>
      <c r="S1545">
        <v>-4.2075254023075E-3</v>
      </c>
      <c r="T1545">
        <v>0</v>
      </c>
    </row>
    <row r="1546" spans="1:20" x14ac:dyDescent="0.3">
      <c r="A1546" t="s">
        <v>114</v>
      </c>
      <c r="B1546">
        <v>2019</v>
      </c>
      <c r="C1546">
        <v>3693365</v>
      </c>
      <c r="D1546" s="1">
        <v>2.5000000000000001E-2</v>
      </c>
      <c r="E1546" s="1">
        <v>0.94899547100067105</v>
      </c>
      <c r="F1546" s="1">
        <v>-3.6999999999999998E-2</v>
      </c>
      <c r="G1546" s="1">
        <f t="shared" si="48"/>
        <v>-2.2000000000000002E-2</v>
      </c>
      <c r="H1546" s="1" t="str">
        <f t="shared" si="49"/>
        <v/>
      </c>
      <c r="I1546" s="1">
        <v>-1E-3</v>
      </c>
      <c r="J1546" s="1">
        <f>+D1546-F1546+I1546*O1546</f>
        <v>5.9929999999999997E-2</v>
      </c>
      <c r="K1546" s="1">
        <v>3.1593669205904E-2</v>
      </c>
      <c r="L1546" s="1">
        <f>+K1546-J1546</f>
        <v>-2.8336330794095997E-2</v>
      </c>
      <c r="M1546" s="1">
        <v>1.3593669205904E-2</v>
      </c>
      <c r="N1546" s="1">
        <f>+M1546-J1546</f>
        <v>-4.6336330794095999E-2</v>
      </c>
      <c r="O1546">
        <v>2.0699999999999998</v>
      </c>
      <c r="P1546" t="s">
        <v>16</v>
      </c>
      <c r="Q1546">
        <v>0</v>
      </c>
      <c r="R1546">
        <v>-1.52416153699159E-2</v>
      </c>
      <c r="S1546">
        <v>-3.40908057987689E-2</v>
      </c>
      <c r="T1546">
        <v>-0.03</v>
      </c>
    </row>
    <row r="1547" spans="1:20" x14ac:dyDescent="0.3">
      <c r="A1547" t="s">
        <v>114</v>
      </c>
      <c r="B1547">
        <v>2020</v>
      </c>
      <c r="C1547">
        <v>3709596</v>
      </c>
      <c r="D1547" s="1">
        <v>4.2000000000000003E-2</v>
      </c>
      <c r="E1547" s="1">
        <v>0.92833119630813599</v>
      </c>
      <c r="F1547" s="1">
        <v>-3.3000000000000002E-2</v>
      </c>
      <c r="G1547" s="1">
        <f t="shared" si="48"/>
        <v>-5.5000000000000007E-2</v>
      </c>
      <c r="H1547" s="1" t="str">
        <f t="shared" si="49"/>
        <v/>
      </c>
      <c r="I1547" s="1">
        <v>-2.1000000000000001E-2</v>
      </c>
      <c r="J1547" s="1">
        <f>+D1547-F1547+I1547*O1547</f>
        <v>3.3000000000000008E-2</v>
      </c>
      <c r="K1547" s="1">
        <v>-3.2416153699159601E-3</v>
      </c>
      <c r="L1547" s="1">
        <f>+K1547-J1547</f>
        <v>-3.6241615369915971E-2</v>
      </c>
      <c r="M1547" s="1">
        <v>-1.52416153699159E-2</v>
      </c>
      <c r="N1547" s="1">
        <f>+M1547-J1547</f>
        <v>-4.8241615369915905E-2</v>
      </c>
      <c r="O1547">
        <v>2</v>
      </c>
      <c r="P1547" t="s">
        <v>16</v>
      </c>
      <c r="Q1547">
        <v>-0.03</v>
      </c>
      <c r="R1547">
        <v>-1.03329920470714E-2</v>
      </c>
      <c r="S1547">
        <v>-5.3922604769468398E-2</v>
      </c>
      <c r="T1547">
        <v>0.01</v>
      </c>
    </row>
    <row r="1548" spans="1:20" x14ac:dyDescent="0.3">
      <c r="A1548" t="s">
        <v>114</v>
      </c>
      <c r="B1548">
        <v>2021</v>
      </c>
      <c r="C1548">
        <v>3710896</v>
      </c>
      <c r="D1548" s="1">
        <v>4.4999999999999998E-2</v>
      </c>
      <c r="E1548" s="1">
        <v>0.93860721588134799</v>
      </c>
      <c r="F1548" s="1">
        <v>2.5999999999999999E-2</v>
      </c>
      <c r="G1548" s="1">
        <f t="shared" si="48"/>
        <v>-2.9000000000000008E-2</v>
      </c>
      <c r="H1548" s="1" t="str">
        <f t="shared" si="49"/>
        <v/>
      </c>
      <c r="I1548" s="1">
        <v>0.01</v>
      </c>
      <c r="J1548" s="1">
        <f>+D1548-F1548+I1548*O1548</f>
        <v>3.9499999999999993E-2</v>
      </c>
      <c r="K1548" s="1">
        <v>3.6667007952928501E-2</v>
      </c>
      <c r="L1548" s="1">
        <f>+K1548-J1548</f>
        <v>-2.832992047071492E-3</v>
      </c>
      <c r="M1548" s="1">
        <v>-1.03329920470714E-2</v>
      </c>
      <c r="N1548" s="1">
        <f>+M1548-J1548</f>
        <v>-4.9832992047071395E-2</v>
      </c>
      <c r="O1548">
        <v>2.0499999999999998</v>
      </c>
      <c r="P1548" t="s">
        <v>15</v>
      </c>
      <c r="Q1548">
        <v>-0.05</v>
      </c>
      <c r="R1548">
        <v>-5.3594440147280702E-2</v>
      </c>
      <c r="S1548">
        <v>-2.1490933373570401E-2</v>
      </c>
      <c r="T1548">
        <v>0</v>
      </c>
    </row>
    <row r="1549" spans="1:20" x14ac:dyDescent="0.3">
      <c r="A1549" t="s">
        <v>114</v>
      </c>
      <c r="B1549">
        <v>2022</v>
      </c>
      <c r="C1549">
        <v>3717635</v>
      </c>
      <c r="D1549" s="1">
        <v>4.2999999999999997E-2</v>
      </c>
      <c r="E1549" s="1">
        <v>0.92753314971923795</v>
      </c>
      <c r="F1549" s="1">
        <v>-1.9E-2</v>
      </c>
      <c r="G1549" s="1">
        <f t="shared" si="48"/>
        <v>-4.8000000000000008E-2</v>
      </c>
      <c r="H1549" s="1" t="str">
        <f t="shared" si="49"/>
        <v/>
      </c>
      <c r="I1549" s="1">
        <v>-1.0999999999999999E-2</v>
      </c>
      <c r="J1549" s="1">
        <f>+D1549-F1549+I1549*O1549</f>
        <v>3.9890000000000002E-2</v>
      </c>
      <c r="K1549" s="1">
        <v>2.64055598527193E-2</v>
      </c>
      <c r="L1549" s="1">
        <f>+K1549-J1549</f>
        <v>-1.3484440147280702E-2</v>
      </c>
      <c r="M1549" s="1">
        <v>-5.3594440147280702E-2</v>
      </c>
      <c r="N1549" s="1">
        <f>+M1549-J1549</f>
        <v>-9.3484440147280704E-2</v>
      </c>
      <c r="O1549">
        <v>2.0099999999999998</v>
      </c>
      <c r="P1549" t="s">
        <v>16</v>
      </c>
      <c r="Q1549">
        <v>-0.02</v>
      </c>
      <c r="R1549">
        <v>-3.30149268582463E-2</v>
      </c>
      <c r="S1549">
        <v>-1.3455999083817E-2</v>
      </c>
      <c r="T1549">
        <v>0</v>
      </c>
    </row>
    <row r="1550" spans="1:20" x14ac:dyDescent="0.3">
      <c r="A1550" t="s">
        <v>115</v>
      </c>
      <c r="B1550">
        <v>2006</v>
      </c>
      <c r="C1550">
        <v>403593</v>
      </c>
      <c r="D1550" s="1">
        <v>0</v>
      </c>
      <c r="E1550" s="1">
        <v>0.90403759479522705</v>
      </c>
      <c r="F1550" s="1">
        <v>8.3000000000000004E-2</v>
      </c>
      <c r="G1550" s="1">
        <f t="shared" si="48"/>
        <v>8.3000000000000004E-2</v>
      </c>
      <c r="H1550" s="1" t="str">
        <f t="shared" si="49"/>
        <v/>
      </c>
      <c r="I1550" s="1">
        <v>-8.9999999999999993E-3</v>
      </c>
      <c r="J1550" s="1">
        <f>+D1550-F1550+I1550*O1550</f>
        <v>-0.10523</v>
      </c>
      <c r="K1550" s="1">
        <v>6.2203895300626803E-2</v>
      </c>
      <c r="L1550" s="1">
        <f>+K1550-J1550</f>
        <v>0.1674338953006268</v>
      </c>
      <c r="M1550" s="1">
        <v>3.0203895300626799E-2</v>
      </c>
      <c r="N1550" s="1">
        <f>+M1550-J1550</f>
        <v>0.1354338953006268</v>
      </c>
      <c r="O1550">
        <v>2.4700000000000002</v>
      </c>
      <c r="P1550" t="s">
        <v>17</v>
      </c>
      <c r="Q1550">
        <v>0.02</v>
      </c>
      <c r="R1550">
        <v>-6.1853946149349002E-3</v>
      </c>
      <c r="S1550">
        <v>-5.2636386826633999E-3</v>
      </c>
      <c r="T1550">
        <v>0.08</v>
      </c>
    </row>
    <row r="1551" spans="1:20" x14ac:dyDescent="0.3">
      <c r="A1551" t="s">
        <v>115</v>
      </c>
      <c r="B1551">
        <v>2007</v>
      </c>
      <c r="C1551">
        <v>406582.625</v>
      </c>
      <c r="D1551" s="1">
        <v>0.01</v>
      </c>
      <c r="E1551" s="1">
        <v>0.876131951808929</v>
      </c>
      <c r="F1551" s="1">
        <v>-1.2E-2</v>
      </c>
      <c r="G1551" s="1">
        <f t="shared" si="48"/>
        <v>7.1000000000000008E-2</v>
      </c>
      <c r="H1551" s="1" t="str">
        <f t="shared" si="49"/>
        <v/>
      </c>
      <c r="I1551" s="1">
        <v>-2.8000000000000001E-2</v>
      </c>
      <c r="J1551" s="1">
        <f>+D1551-F1551+I1551*O1551</f>
        <v>-4.6320000000000007E-2</v>
      </c>
      <c r="K1551" s="1">
        <v>2.28146053850651E-2</v>
      </c>
      <c r="L1551" s="1">
        <f>+K1551-J1551</f>
        <v>6.9134605385065107E-2</v>
      </c>
      <c r="M1551" s="1">
        <v>-6.1853946149349002E-3</v>
      </c>
      <c r="N1551" s="1">
        <f>+M1551-J1551</f>
        <v>4.0134605385065109E-2</v>
      </c>
      <c r="O1551">
        <v>2.44</v>
      </c>
      <c r="P1551" t="s">
        <v>16</v>
      </c>
      <c r="Q1551">
        <v>-0.01</v>
      </c>
      <c r="R1551">
        <v>-5.19530608430505E-2</v>
      </c>
      <c r="S1551">
        <v>-2.2442256566136999E-2</v>
      </c>
      <c r="T1551">
        <v>-0.01</v>
      </c>
    </row>
    <row r="1552" spans="1:20" x14ac:dyDescent="0.3">
      <c r="A1552" t="s">
        <v>115</v>
      </c>
      <c r="B1552">
        <v>2008</v>
      </c>
      <c r="C1552">
        <v>409912.90629999997</v>
      </c>
      <c r="D1552" s="1">
        <v>1.7999999999999999E-2</v>
      </c>
      <c r="E1552" s="1">
        <v>0.86982709169387795</v>
      </c>
      <c r="F1552" s="1">
        <v>-4.9000000000000002E-2</v>
      </c>
      <c r="G1552" s="1">
        <f t="shared" si="48"/>
        <v>2.2000000000000006E-2</v>
      </c>
      <c r="H1552" s="1" t="str">
        <f t="shared" si="49"/>
        <v/>
      </c>
      <c r="I1552" s="1">
        <v>-6.0000000000000001E-3</v>
      </c>
      <c r="J1552" s="1">
        <f>+D1552-F1552+I1552*O1552</f>
        <v>5.3080000000000002E-2</v>
      </c>
      <c r="K1552" s="1">
        <v>-1.3953060843050501E-2</v>
      </c>
      <c r="L1552" s="1">
        <f>+K1552-J1552</f>
        <v>-6.7033060843050496E-2</v>
      </c>
      <c r="M1552" s="1">
        <v>-5.19530608430505E-2</v>
      </c>
      <c r="N1552" s="1">
        <f>+M1552-J1552</f>
        <v>-0.1050330608430505</v>
      </c>
      <c r="O1552">
        <v>2.3199999999999998</v>
      </c>
      <c r="P1552" t="s">
        <v>16</v>
      </c>
      <c r="Q1552">
        <v>-0.02</v>
      </c>
      <c r="R1552">
        <v>-2.63182452917099E-2</v>
      </c>
      <c r="S1552">
        <v>2.4845637381075002E-4</v>
      </c>
      <c r="T1552">
        <v>-0.05</v>
      </c>
    </row>
    <row r="1553" spans="1:20" x14ac:dyDescent="0.3">
      <c r="A1553" t="s">
        <v>115</v>
      </c>
      <c r="B1553">
        <v>2009</v>
      </c>
      <c r="C1553">
        <v>412365.5</v>
      </c>
      <c r="D1553" s="1">
        <v>4.2000000000000003E-2</v>
      </c>
      <c r="E1553" s="1">
        <v>0.87720870971679699</v>
      </c>
      <c r="F1553" s="1">
        <v>1.7000000000000001E-2</v>
      </c>
      <c r="G1553" s="1">
        <f t="shared" si="48"/>
        <v>3.9000000000000007E-2</v>
      </c>
      <c r="H1553" s="1" t="str">
        <f t="shared" si="49"/>
        <v/>
      </c>
      <c r="I1553" s="1">
        <v>7.0000000000000001E-3</v>
      </c>
      <c r="J1553" s="1">
        <f>+D1553-F1553+I1553*O1553</f>
        <v>4.1520000000000001E-2</v>
      </c>
      <c r="K1553" s="1">
        <v>-3.03182452917099E-2</v>
      </c>
      <c r="L1553" s="1">
        <f>+K1553-J1553</f>
        <v>-7.1838245291709901E-2</v>
      </c>
      <c r="M1553" s="1">
        <v>-2.63182452917099E-2</v>
      </c>
      <c r="N1553" s="1">
        <f>+M1553-J1553</f>
        <v>-6.7838245291709898E-2</v>
      </c>
      <c r="O1553">
        <v>2.36</v>
      </c>
      <c r="P1553" t="s">
        <v>15</v>
      </c>
      <c r="Q1553">
        <v>0</v>
      </c>
      <c r="R1553">
        <v>-1.02737976089119E-2</v>
      </c>
      <c r="S1553">
        <v>-8.1368885003030604E-4</v>
      </c>
      <c r="T1553">
        <v>0</v>
      </c>
    </row>
    <row r="1554" spans="1:20" x14ac:dyDescent="0.3">
      <c r="A1554" t="s">
        <v>115</v>
      </c>
      <c r="B1554">
        <v>2010</v>
      </c>
      <c r="C1554">
        <v>413384.5</v>
      </c>
      <c r="D1554" s="1">
        <v>2.5999999999999999E-2</v>
      </c>
      <c r="E1554" s="1">
        <v>0.88809978961944602</v>
      </c>
      <c r="F1554" s="1">
        <v>-2.7E-2</v>
      </c>
      <c r="G1554" s="1">
        <f t="shared" si="48"/>
        <v>1.2000000000000007E-2</v>
      </c>
      <c r="H1554" s="1" t="str">
        <f t="shared" si="49"/>
        <v/>
      </c>
      <c r="I1554" s="1">
        <v>1.0999999999999999E-2</v>
      </c>
      <c r="J1554" s="1">
        <f>+D1554-F1554+I1554*O1554</f>
        <v>7.8299999999999995E-2</v>
      </c>
      <c r="K1554" s="1">
        <v>5.7262023910880097E-3</v>
      </c>
      <c r="L1554" s="1">
        <f>+K1554-J1554</f>
        <v>-7.2573797608911986E-2</v>
      </c>
      <c r="M1554" s="1">
        <v>-1.02737976089119E-2</v>
      </c>
      <c r="N1554" s="1">
        <f>+M1554-J1554</f>
        <v>-8.8573797608911889E-2</v>
      </c>
      <c r="O1554">
        <v>2.2999999999999998</v>
      </c>
      <c r="P1554" t="s">
        <v>17</v>
      </c>
      <c r="Q1554">
        <v>0</v>
      </c>
      <c r="R1554">
        <v>-2.13888952210546E-2</v>
      </c>
      <c r="S1554">
        <v>-1.05120707303302E-4</v>
      </c>
      <c r="T1554">
        <v>-0.04</v>
      </c>
    </row>
    <row r="1555" spans="1:20" x14ac:dyDescent="0.3">
      <c r="A1555" t="s">
        <v>115</v>
      </c>
      <c r="B1555">
        <v>2011</v>
      </c>
      <c r="C1555">
        <v>413551.59379999997</v>
      </c>
      <c r="D1555" s="1">
        <v>2.7E-2</v>
      </c>
      <c r="E1555" s="1">
        <v>0.88521033525466897</v>
      </c>
      <c r="F1555" s="1">
        <v>4.1000000000000002E-2</v>
      </c>
      <c r="G1555" s="1">
        <f t="shared" si="48"/>
        <v>5.3000000000000005E-2</v>
      </c>
      <c r="H1555" s="1" t="str">
        <f t="shared" si="49"/>
        <v/>
      </c>
      <c r="I1555" s="1">
        <v>-3.0000000000000001E-3</v>
      </c>
      <c r="J1555" s="1">
        <f>+D1555-F1555+I1555*O1555</f>
        <v>-2.1170000000000001E-2</v>
      </c>
      <c r="K1555" s="1">
        <v>1.0611104778945399E-2</v>
      </c>
      <c r="L1555" s="1">
        <f>+K1555-J1555</f>
        <v>3.1781104778945399E-2</v>
      </c>
      <c r="M1555" s="1">
        <v>-2.13888952210546E-2</v>
      </c>
      <c r="N1555" s="1">
        <f>+M1555-J1555</f>
        <v>-2.1889522105459844E-4</v>
      </c>
      <c r="O1555">
        <v>2.39</v>
      </c>
      <c r="P1555" t="s">
        <v>17</v>
      </c>
      <c r="Q1555">
        <v>0</v>
      </c>
      <c r="R1555">
        <v>-9.8210389763117006E-3</v>
      </c>
      <c r="S1555">
        <v>-4.3828329071403001E-3</v>
      </c>
      <c r="T1555">
        <v>0.04</v>
      </c>
    </row>
    <row r="1556" spans="1:20" x14ac:dyDescent="0.3">
      <c r="A1556" t="s">
        <v>115</v>
      </c>
      <c r="B1556">
        <v>2012</v>
      </c>
      <c r="C1556">
        <v>414382.59379999997</v>
      </c>
      <c r="D1556" s="1">
        <v>2.9000000000000001E-2</v>
      </c>
      <c r="E1556" s="1">
        <v>0.88495135307312001</v>
      </c>
      <c r="F1556" s="1">
        <v>-3.0000000000000001E-3</v>
      </c>
      <c r="G1556" s="1">
        <f t="shared" si="48"/>
        <v>0.05</v>
      </c>
      <c r="H1556" s="1" t="str">
        <f t="shared" si="49"/>
        <v/>
      </c>
      <c r="I1556" s="1">
        <v>0</v>
      </c>
      <c r="J1556" s="1">
        <f>+D1556-F1556+I1556*O1556</f>
        <v>3.2000000000000001E-2</v>
      </c>
      <c r="K1556" s="1">
        <v>1.1178961023688301E-2</v>
      </c>
      <c r="L1556" s="1">
        <f>+K1556-J1556</f>
        <v>-2.0821038976311698E-2</v>
      </c>
      <c r="M1556" s="1">
        <v>-9.8210389763117006E-3</v>
      </c>
      <c r="N1556" s="1">
        <f>+M1556-J1556</f>
        <v>-4.1821038976311703E-2</v>
      </c>
      <c r="O1556">
        <v>2.38</v>
      </c>
      <c r="P1556" t="s">
        <v>16</v>
      </c>
      <c r="Q1556">
        <v>0</v>
      </c>
      <c r="R1556">
        <v>-2.4222204089164902E-3</v>
      </c>
      <c r="S1556">
        <v>-8.5489917546510905E-3</v>
      </c>
      <c r="T1556">
        <v>-0.01</v>
      </c>
    </row>
    <row r="1557" spans="1:20" x14ac:dyDescent="0.3">
      <c r="A1557" t="s">
        <v>115</v>
      </c>
      <c r="B1557">
        <v>2013</v>
      </c>
      <c r="C1557">
        <v>414664.09379999997</v>
      </c>
      <c r="D1557" s="1">
        <v>3.0000000000000001E-3</v>
      </c>
      <c r="E1557" s="1">
        <v>0.90881830453872703</v>
      </c>
      <c r="F1557" s="1">
        <v>-2.1000000000000001E-2</v>
      </c>
      <c r="G1557" s="1">
        <f t="shared" si="48"/>
        <v>2.9000000000000001E-2</v>
      </c>
      <c r="H1557" s="1" t="str">
        <f t="shared" si="49"/>
        <v/>
      </c>
      <c r="I1557" s="1">
        <v>2.4E-2</v>
      </c>
      <c r="J1557" s="1">
        <f>+D1557-F1557+I1557*O1557</f>
        <v>7.9920000000000005E-2</v>
      </c>
      <c r="K1557" s="1">
        <v>1.2577779591083501E-2</v>
      </c>
      <c r="L1557" s="1">
        <f>+K1557-J1557</f>
        <v>-6.7342220408916506E-2</v>
      </c>
      <c r="M1557" s="1">
        <v>-2.4222204089164902E-3</v>
      </c>
      <c r="N1557" s="1">
        <f>+M1557-J1557</f>
        <v>-8.2342220408916492E-2</v>
      </c>
      <c r="O1557">
        <v>2.33</v>
      </c>
      <c r="P1557" t="s">
        <v>17</v>
      </c>
      <c r="Q1557">
        <v>-0.01</v>
      </c>
      <c r="R1557">
        <v>8.2927335202694005E-3</v>
      </c>
      <c r="S1557">
        <v>6.2847100198268899E-3</v>
      </c>
      <c r="T1557">
        <v>-0.03</v>
      </c>
    </row>
    <row r="1558" spans="1:20" x14ac:dyDescent="0.3">
      <c r="A1558" t="s">
        <v>115</v>
      </c>
      <c r="B1558">
        <v>2014</v>
      </c>
      <c r="C1558">
        <v>415172.90629999997</v>
      </c>
      <c r="D1558" s="1">
        <v>8.9999999999999993E-3</v>
      </c>
      <c r="E1558" s="1">
        <v>0.90852689743042003</v>
      </c>
      <c r="F1558" s="1">
        <v>3.5999999999999997E-2</v>
      </c>
      <c r="G1558" s="1">
        <f t="shared" si="48"/>
        <v>6.5000000000000002E-2</v>
      </c>
      <c r="H1558" s="1" t="str">
        <f t="shared" si="49"/>
        <v/>
      </c>
      <c r="I1558" s="1">
        <v>0</v>
      </c>
      <c r="J1558" s="1">
        <f>+D1558-F1558+I1558*O1558</f>
        <v>-2.6999999999999996E-2</v>
      </c>
      <c r="K1558" s="1">
        <v>2.4292733520269401E-2</v>
      </c>
      <c r="L1558" s="1">
        <f>+K1558-J1558</f>
        <v>5.1292733520269397E-2</v>
      </c>
      <c r="M1558" s="1">
        <v>8.2927335202694005E-3</v>
      </c>
      <c r="N1558" s="1">
        <f>+M1558-J1558</f>
        <v>3.5292733520269397E-2</v>
      </c>
      <c r="O1558">
        <v>2.41</v>
      </c>
      <c r="P1558" t="s">
        <v>17</v>
      </c>
      <c r="Q1558">
        <v>0.01</v>
      </c>
      <c r="R1558">
        <v>3.99304685890675E-2</v>
      </c>
      <c r="S1558">
        <v>9.6670165657997999E-3</v>
      </c>
      <c r="T1558">
        <v>0.03</v>
      </c>
    </row>
    <row r="1559" spans="1:20" x14ac:dyDescent="0.3">
      <c r="A1559" t="s">
        <v>115</v>
      </c>
      <c r="B1559">
        <v>2015</v>
      </c>
      <c r="C1559">
        <v>415711.5</v>
      </c>
      <c r="D1559" s="1">
        <v>2E-3</v>
      </c>
      <c r="E1559" s="1">
        <v>0.91028964519500699</v>
      </c>
      <c r="F1559" s="1">
        <v>-7.0000000000000007E-2</v>
      </c>
      <c r="G1559" s="1">
        <f t="shared" si="48"/>
        <v>-5.0000000000000044E-3</v>
      </c>
      <c r="H1559" s="1" t="str">
        <f t="shared" si="49"/>
        <v/>
      </c>
      <c r="I1559" s="1">
        <v>2E-3</v>
      </c>
      <c r="J1559" s="1">
        <f>+D1559-F1559+I1559*O1559</f>
        <v>7.6500000000000012E-2</v>
      </c>
      <c r="K1559" s="1">
        <v>4.0930468589067501E-2</v>
      </c>
      <c r="L1559" s="1">
        <f>+K1559-J1559</f>
        <v>-3.5569531410932512E-2</v>
      </c>
      <c r="M1559" s="1">
        <v>3.99304685890675E-2</v>
      </c>
      <c r="N1559" s="1">
        <f>+M1559-J1559</f>
        <v>-3.6569531410932513E-2</v>
      </c>
      <c r="O1559">
        <v>2.25</v>
      </c>
      <c r="P1559" t="s">
        <v>17</v>
      </c>
      <c r="Q1559">
        <v>0.01</v>
      </c>
      <c r="R1559">
        <v>3.3302607834339E-3</v>
      </c>
      <c r="S1559">
        <v>-9.8232962191104993E-3</v>
      </c>
      <c r="T1559">
        <v>-0.06</v>
      </c>
    </row>
    <row r="1560" spans="1:20" x14ac:dyDescent="0.3">
      <c r="A1560" t="s">
        <v>115</v>
      </c>
      <c r="B1560">
        <v>2016</v>
      </c>
      <c r="C1560">
        <v>416054.59379999997</v>
      </c>
      <c r="D1560" s="1">
        <v>0</v>
      </c>
      <c r="E1560" s="1">
        <v>0.912730693817139</v>
      </c>
      <c r="F1560" s="1">
        <v>1E-3</v>
      </c>
      <c r="G1560" s="1">
        <f t="shared" si="48"/>
        <v>-4.0000000000000044E-3</v>
      </c>
      <c r="H1560" s="1" t="str">
        <f t="shared" si="49"/>
        <v/>
      </c>
      <c r="I1560" s="1">
        <v>2E-3</v>
      </c>
      <c r="J1560" s="1">
        <f>+D1560-F1560+I1560*O1560</f>
        <v>3.5000000000000005E-3</v>
      </c>
      <c r="K1560" s="1">
        <v>1.63302607834339E-2</v>
      </c>
      <c r="L1560" s="1">
        <f>+K1560-J1560</f>
        <v>1.2830260783433901E-2</v>
      </c>
      <c r="M1560" s="1">
        <v>3.3302607834339E-3</v>
      </c>
      <c r="N1560" s="1">
        <f>+M1560-J1560</f>
        <v>-1.6973921656610047E-4</v>
      </c>
      <c r="O1560">
        <v>2.25</v>
      </c>
      <c r="P1560" t="s">
        <v>15</v>
      </c>
      <c r="Q1560">
        <v>-0.01</v>
      </c>
      <c r="R1560">
        <v>-3.4912846088408999E-3</v>
      </c>
      <c r="S1560">
        <v>-6.2808580696581996E-3</v>
      </c>
      <c r="T1560">
        <v>0</v>
      </c>
    </row>
    <row r="1561" spans="1:20" x14ac:dyDescent="0.3">
      <c r="A1561" t="s">
        <v>115</v>
      </c>
      <c r="B1561">
        <v>2017</v>
      </c>
      <c r="C1561">
        <v>415505.8125</v>
      </c>
      <c r="D1561" s="1">
        <v>0.01</v>
      </c>
      <c r="E1561" s="1">
        <v>0.90175729990005504</v>
      </c>
      <c r="F1561" s="1">
        <v>-2.1999999999999999E-2</v>
      </c>
      <c r="G1561" s="1">
        <f t="shared" si="48"/>
        <v>-2.6000000000000002E-2</v>
      </c>
      <c r="H1561" s="1" t="str">
        <f t="shared" si="49"/>
        <v/>
      </c>
      <c r="I1561" s="1">
        <v>-1.0999999999999999E-2</v>
      </c>
      <c r="J1561" s="1">
        <f>+D1561-F1561+I1561*O1561</f>
        <v>7.8000000000000014E-3</v>
      </c>
      <c r="K1561" s="1">
        <v>1.7508715391159099E-2</v>
      </c>
      <c r="L1561" s="1">
        <f>+K1561-J1561</f>
        <v>9.7087153911590979E-3</v>
      </c>
      <c r="M1561" s="1">
        <v>-3.4912846088408999E-3</v>
      </c>
      <c r="N1561" s="1">
        <f>+M1561-J1561</f>
        <v>-1.1291284608840902E-2</v>
      </c>
      <c r="O1561">
        <v>2.2000000000000002</v>
      </c>
      <c r="P1561" t="s">
        <v>16</v>
      </c>
      <c r="Q1561">
        <v>-0.01</v>
      </c>
      <c r="R1561">
        <v>1.4838785141706499E-2</v>
      </c>
      <c r="S1561">
        <v>5.7037621736527001E-3</v>
      </c>
      <c r="T1561">
        <v>-0.02</v>
      </c>
    </row>
    <row r="1562" spans="1:20" x14ac:dyDescent="0.3">
      <c r="A1562" t="s">
        <v>115</v>
      </c>
      <c r="B1562">
        <v>2018</v>
      </c>
      <c r="C1562">
        <v>415523.8125</v>
      </c>
      <c r="D1562" s="1">
        <v>1.2999999999999999E-2</v>
      </c>
      <c r="E1562" s="1">
        <v>0.89151799678802501</v>
      </c>
      <c r="F1562" s="1">
        <v>1E-3</v>
      </c>
      <c r="G1562" s="1">
        <f t="shared" si="48"/>
        <v>-2.5000000000000001E-2</v>
      </c>
      <c r="H1562" s="1" t="str">
        <f t="shared" si="49"/>
        <v/>
      </c>
      <c r="I1562" s="1">
        <v>-0.01</v>
      </c>
      <c r="J1562" s="1">
        <f>+D1562-F1562+I1562*O1562</f>
        <v>-1.0000000000000002E-2</v>
      </c>
      <c r="K1562" s="1">
        <v>3.8838785141706501E-2</v>
      </c>
      <c r="L1562" s="1">
        <f>+K1562-J1562</f>
        <v>4.8838785141706503E-2</v>
      </c>
      <c r="M1562" s="1">
        <v>1.4838785141706499E-2</v>
      </c>
      <c r="N1562" s="1">
        <f>+M1562-J1562</f>
        <v>2.4838785141706503E-2</v>
      </c>
      <c r="O1562">
        <v>2.2000000000000002</v>
      </c>
      <c r="P1562" t="s">
        <v>17</v>
      </c>
      <c r="Q1562">
        <v>0.01</v>
      </c>
      <c r="R1562">
        <v>1.8798033863305998E-2</v>
      </c>
      <c r="S1562">
        <v>9.9683925509449307E-4</v>
      </c>
      <c r="T1562">
        <v>0.01</v>
      </c>
    </row>
    <row r="1563" spans="1:20" x14ac:dyDescent="0.3">
      <c r="A1563" t="s">
        <v>115</v>
      </c>
      <c r="B1563">
        <v>2019</v>
      </c>
      <c r="C1563">
        <v>415012.78129999997</v>
      </c>
      <c r="D1563" s="1">
        <v>1.4999999999999999E-2</v>
      </c>
      <c r="E1563" s="1">
        <v>0.89643812179565396</v>
      </c>
      <c r="F1563" s="1">
        <v>-5.5E-2</v>
      </c>
      <c r="G1563" s="1">
        <f t="shared" si="48"/>
        <v>-0.08</v>
      </c>
      <c r="H1563" s="1" t="str">
        <f t="shared" si="49"/>
        <v/>
      </c>
      <c r="I1563" s="1">
        <v>5.0000000000000001E-3</v>
      </c>
      <c r="J1563" s="1">
        <f>+D1563-F1563+I1563*O1563</f>
        <v>8.0400000000000013E-2</v>
      </c>
      <c r="K1563" s="1">
        <v>3.6798033863305997E-2</v>
      </c>
      <c r="L1563" s="1">
        <f>+K1563-J1563</f>
        <v>-4.3601966136694016E-2</v>
      </c>
      <c r="M1563" s="1">
        <v>1.8798033863305998E-2</v>
      </c>
      <c r="N1563" s="1">
        <f>+M1563-J1563</f>
        <v>-6.1601966136694011E-2</v>
      </c>
      <c r="O1563">
        <v>2.08</v>
      </c>
      <c r="P1563" t="s">
        <v>17</v>
      </c>
      <c r="Q1563">
        <v>0</v>
      </c>
      <c r="R1563">
        <v>4.1286194801330597E-2</v>
      </c>
      <c r="S1563">
        <v>2.24370043724775E-2</v>
      </c>
      <c r="T1563">
        <v>-0.05</v>
      </c>
    </row>
    <row r="1564" spans="1:20" x14ac:dyDescent="0.3">
      <c r="A1564" t="s">
        <v>115</v>
      </c>
      <c r="B1564">
        <v>2020</v>
      </c>
      <c r="C1564">
        <v>414084.6875</v>
      </c>
      <c r="D1564" s="1">
        <v>1.2E-2</v>
      </c>
      <c r="E1564" s="1">
        <v>0.91924959421157804</v>
      </c>
      <c r="F1564" s="1">
        <v>8.8999999999999996E-2</v>
      </c>
      <c r="G1564" s="1">
        <f t="shared" si="48"/>
        <v>8.9999999999999941E-3</v>
      </c>
      <c r="H1564" s="1" t="str">
        <f t="shared" si="49"/>
        <v/>
      </c>
      <c r="I1564" s="1">
        <v>2.3E-2</v>
      </c>
      <c r="J1564" s="1">
        <f>+D1564-F1564+I1564*O1564</f>
        <v>-2.479E-2</v>
      </c>
      <c r="K1564" s="1">
        <v>5.3286194801330601E-2</v>
      </c>
      <c r="L1564" s="1">
        <f>+K1564-J1564</f>
        <v>7.8076194801330601E-2</v>
      </c>
      <c r="M1564" s="1">
        <v>4.1286194801330597E-2</v>
      </c>
      <c r="N1564" s="1">
        <f>+M1564-J1564</f>
        <v>6.607619480133059E-2</v>
      </c>
      <c r="O1564">
        <v>2.27</v>
      </c>
      <c r="P1564" t="s">
        <v>15</v>
      </c>
      <c r="Q1564">
        <v>0.02</v>
      </c>
      <c r="R1564">
        <v>7.5780270874499997E-2</v>
      </c>
      <c r="S1564">
        <v>3.2190658152103001E-2</v>
      </c>
      <c r="T1564">
        <v>0.13</v>
      </c>
    </row>
    <row r="1565" spans="1:20" x14ac:dyDescent="0.3">
      <c r="A1565" t="s">
        <v>115</v>
      </c>
      <c r="B1565">
        <v>2021</v>
      </c>
      <c r="C1565">
        <v>412604.09379999997</v>
      </c>
      <c r="D1565" s="1">
        <v>4.0000000000000001E-3</v>
      </c>
      <c r="E1565" s="1">
        <v>0.94117110967636097</v>
      </c>
      <c r="F1565" s="1">
        <v>-3.2000000000000001E-2</v>
      </c>
      <c r="G1565" s="1">
        <f t="shared" si="48"/>
        <v>-2.3000000000000007E-2</v>
      </c>
      <c r="H1565" s="1" t="str">
        <f t="shared" si="49"/>
        <v/>
      </c>
      <c r="I1565" s="1">
        <v>2.1999999999999999E-2</v>
      </c>
      <c r="J1565" s="1">
        <f>+D1565-F1565+I1565*O1565</f>
        <v>8.4180000000000005E-2</v>
      </c>
      <c r="K1565" s="1">
        <v>0.1227802708745</v>
      </c>
      <c r="L1565" s="1">
        <f>+K1565-J1565</f>
        <v>3.8600270874499992E-2</v>
      </c>
      <c r="M1565" s="1">
        <v>7.5780270874499997E-2</v>
      </c>
      <c r="N1565" s="1">
        <f>+M1565-J1565</f>
        <v>-8.3997291255000078E-3</v>
      </c>
      <c r="O1565">
        <v>2.19</v>
      </c>
      <c r="P1565" t="s">
        <v>17</v>
      </c>
      <c r="Q1565">
        <v>0.03</v>
      </c>
      <c r="R1565">
        <v>-1.80773231387138E-2</v>
      </c>
      <c r="S1565">
        <v>1.40261836349964E-2</v>
      </c>
      <c r="T1565">
        <v>-0.06</v>
      </c>
    </row>
    <row r="1566" spans="1:20" x14ac:dyDescent="0.3">
      <c r="A1566" t="s">
        <v>115</v>
      </c>
      <c r="B1566">
        <v>2022</v>
      </c>
      <c r="C1566">
        <v>411330.09379999997</v>
      </c>
      <c r="D1566" s="1">
        <v>3.0000000000000001E-3</v>
      </c>
      <c r="E1566" s="1">
        <v>0.92743343114852905</v>
      </c>
      <c r="F1566" s="1">
        <v>-4.9000000000000002E-2</v>
      </c>
      <c r="G1566" s="1">
        <f t="shared" si="48"/>
        <v>-7.2000000000000008E-2</v>
      </c>
      <c r="H1566" s="1" t="str">
        <f t="shared" si="49"/>
        <v/>
      </c>
      <c r="I1566" s="1">
        <v>-1.4E-2</v>
      </c>
      <c r="J1566" s="1">
        <f>+D1566-F1566+I1566*O1566</f>
        <v>2.2740000000000007E-2</v>
      </c>
      <c r="K1566" s="1">
        <v>6.1922676861286198E-2</v>
      </c>
      <c r="L1566" s="1">
        <f>+K1566-J1566</f>
        <v>3.9182676861286195E-2</v>
      </c>
      <c r="M1566" s="1">
        <v>-1.80773231387138E-2</v>
      </c>
      <c r="N1566" s="1">
        <f>+M1566-J1566</f>
        <v>-4.0817323138713807E-2</v>
      </c>
      <c r="O1566">
        <v>2.09</v>
      </c>
      <c r="P1566" t="s">
        <v>16</v>
      </c>
      <c r="Q1566">
        <v>0.01</v>
      </c>
      <c r="R1566">
        <v>-5.3630571663379999E-3</v>
      </c>
      <c r="S1566">
        <v>1.41958706080912E-2</v>
      </c>
      <c r="T1566">
        <v>-0.03</v>
      </c>
    </row>
    <row r="1567" spans="1:20" x14ac:dyDescent="0.3">
      <c r="A1567" t="s">
        <v>116</v>
      </c>
      <c r="B1567">
        <v>2006</v>
      </c>
      <c r="C1567">
        <v>505418.3125</v>
      </c>
      <c r="D1567" s="1">
        <v>2E-3</v>
      </c>
      <c r="E1567" s="1">
        <v>0.94640433788299605</v>
      </c>
      <c r="F1567" s="1">
        <v>-6.5000000000000002E-2</v>
      </c>
      <c r="G1567" s="1">
        <f t="shared" si="48"/>
        <v>-6.5000000000000002E-2</v>
      </c>
      <c r="H1567" s="1" t="str">
        <f t="shared" si="49"/>
        <v/>
      </c>
      <c r="I1567" s="1">
        <v>0.01</v>
      </c>
      <c r="J1567" s="1">
        <f>+D1567-F1567+I1567*O1567</f>
        <v>9.3700000000000006E-2</v>
      </c>
      <c r="K1567" s="1">
        <v>3.6262303590774501E-2</v>
      </c>
      <c r="L1567" s="1">
        <f>+K1567-J1567</f>
        <v>-5.7437696409225504E-2</v>
      </c>
      <c r="M1567" s="1">
        <v>4.2623035907744999E-3</v>
      </c>
      <c r="N1567" s="1">
        <f>+M1567-J1567</f>
        <v>-8.9437696409225512E-2</v>
      </c>
      <c r="O1567">
        <v>2.67</v>
      </c>
      <c r="P1567" t="s">
        <v>17</v>
      </c>
      <c r="Q1567">
        <v>0</v>
      </c>
      <c r="R1567">
        <v>3.03619271516799E-3</v>
      </c>
      <c r="S1567">
        <v>3.9579486474394902E-3</v>
      </c>
      <c r="T1567">
        <v>-7.0000000000000007E-2</v>
      </c>
    </row>
    <row r="1568" spans="1:20" x14ac:dyDescent="0.3">
      <c r="A1568" t="s">
        <v>116</v>
      </c>
      <c r="B1568">
        <v>2007</v>
      </c>
      <c r="C1568">
        <v>508130.09379999997</v>
      </c>
      <c r="D1568" s="1">
        <v>5.0000000000000001E-3</v>
      </c>
      <c r="E1568" s="1">
        <v>0.94272726774215698</v>
      </c>
      <c r="F1568" s="1">
        <v>4.9000000000000002E-2</v>
      </c>
      <c r="G1568" s="1">
        <f t="shared" si="48"/>
        <v>-1.6E-2</v>
      </c>
      <c r="H1568" s="1" t="str">
        <f t="shared" si="49"/>
        <v/>
      </c>
      <c r="I1568" s="1">
        <v>-4.0000000000000001E-3</v>
      </c>
      <c r="J1568" s="1">
        <f>+D1568-F1568+I1568*O1568</f>
        <v>-5.5240000000000004E-2</v>
      </c>
      <c r="K1568" s="1">
        <v>3.2036192715167999E-2</v>
      </c>
      <c r="L1568" s="1">
        <f>+K1568-J1568</f>
        <v>8.7276192715168011E-2</v>
      </c>
      <c r="M1568" s="1">
        <v>3.03619271516799E-3</v>
      </c>
      <c r="N1568" s="1">
        <f>+M1568-J1568</f>
        <v>5.8276192715167992E-2</v>
      </c>
      <c r="O1568">
        <v>2.81</v>
      </c>
      <c r="P1568" t="s">
        <v>17</v>
      </c>
      <c r="Q1568">
        <v>0</v>
      </c>
      <c r="R1568">
        <v>-3.3838624890893697E-2</v>
      </c>
      <c r="S1568">
        <v>-4.3278206139802898E-3</v>
      </c>
      <c r="T1568">
        <v>0.05</v>
      </c>
    </row>
    <row r="1569" spans="1:20" x14ac:dyDescent="0.3">
      <c r="A1569" t="s">
        <v>116</v>
      </c>
      <c r="B1569">
        <v>2008</v>
      </c>
      <c r="C1569">
        <v>509679.6875</v>
      </c>
      <c r="D1569" s="1">
        <v>2E-3</v>
      </c>
      <c r="E1569" s="1">
        <v>0.92901271581649802</v>
      </c>
      <c r="F1569" s="1">
        <v>-0.01</v>
      </c>
      <c r="G1569" s="1">
        <f t="shared" si="48"/>
        <v>-2.6000000000000002E-2</v>
      </c>
      <c r="H1569" s="1" t="str">
        <f t="shared" si="49"/>
        <v/>
      </c>
      <c r="I1569" s="1">
        <v>-1.4E-2</v>
      </c>
      <c r="J1569" s="1">
        <f>+D1569-F1569+I1569*O1569</f>
        <v>-2.6919999999999996E-2</v>
      </c>
      <c r="K1569" s="1">
        <v>4.1613751091062997E-3</v>
      </c>
      <c r="L1569" s="1">
        <f>+K1569-J1569</f>
        <v>3.1081375109106295E-2</v>
      </c>
      <c r="M1569" s="1">
        <v>-3.3838624890893697E-2</v>
      </c>
      <c r="N1569" s="1">
        <f>+M1569-J1569</f>
        <v>-6.9186248908937008E-3</v>
      </c>
      <c r="O1569">
        <v>2.78</v>
      </c>
      <c r="P1569" t="s">
        <v>16</v>
      </c>
      <c r="Q1569">
        <v>0</v>
      </c>
      <c r="R1569">
        <v>-4.8778005599975499E-2</v>
      </c>
      <c r="S1569">
        <v>-2.2211303934454901E-2</v>
      </c>
      <c r="T1569">
        <v>-0.01</v>
      </c>
    </row>
    <row r="1570" spans="1:20" x14ac:dyDescent="0.3">
      <c r="A1570" t="s">
        <v>116</v>
      </c>
      <c r="B1570">
        <v>2009</v>
      </c>
      <c r="C1570">
        <v>512486.03129999997</v>
      </c>
      <c r="D1570" s="1">
        <v>0.03</v>
      </c>
      <c r="E1570" s="1">
        <v>0.91207206249237105</v>
      </c>
      <c r="F1570" s="1">
        <v>0.111</v>
      </c>
      <c r="G1570" s="1">
        <f t="shared" si="48"/>
        <v>8.4999999999999992E-2</v>
      </c>
      <c r="H1570" s="1" t="str">
        <f t="shared" si="49"/>
        <v/>
      </c>
      <c r="I1570" s="1">
        <v>-1.7000000000000001E-2</v>
      </c>
      <c r="J1570" s="1">
        <f>+D1570-F1570+I1570*O1570</f>
        <v>-0.13353000000000001</v>
      </c>
      <c r="K1570" s="1">
        <v>-5.27780055999756E-2</v>
      </c>
      <c r="L1570" s="1">
        <f>+K1570-J1570</f>
        <v>8.075199440002441E-2</v>
      </c>
      <c r="M1570" s="1">
        <v>-4.8778005599975499E-2</v>
      </c>
      <c r="N1570" s="1">
        <f>+M1570-J1570</f>
        <v>8.4751994400024511E-2</v>
      </c>
      <c r="O1570">
        <v>3.09</v>
      </c>
      <c r="P1570" t="s">
        <v>17</v>
      </c>
      <c r="Q1570">
        <v>-0.02</v>
      </c>
      <c r="R1570">
        <v>-9.7233952805399898E-3</v>
      </c>
      <c r="S1570">
        <v>-2.6328652165830401E-4</v>
      </c>
      <c r="T1570">
        <v>0.09</v>
      </c>
    </row>
    <row r="1571" spans="1:20" x14ac:dyDescent="0.3">
      <c r="A1571" t="s">
        <v>116</v>
      </c>
      <c r="B1571">
        <v>2010</v>
      </c>
      <c r="C1571">
        <v>515883.90629999997</v>
      </c>
      <c r="D1571" s="1">
        <v>0</v>
      </c>
      <c r="E1571" s="1">
        <v>0.927381932735443</v>
      </c>
      <c r="F1571" s="1">
        <v>7.0000000000000001E-3</v>
      </c>
      <c r="G1571" s="1">
        <f t="shared" si="48"/>
        <v>9.1999999999999998E-2</v>
      </c>
      <c r="H1571" s="1" t="str">
        <f t="shared" si="49"/>
        <v/>
      </c>
      <c r="I1571" s="1">
        <v>1.4999999999999999E-2</v>
      </c>
      <c r="J1571" s="1">
        <f>+D1571-F1571+I1571*O1571</f>
        <v>3.9649999999999998E-2</v>
      </c>
      <c r="K1571" s="1">
        <v>6.2766047194600097E-3</v>
      </c>
      <c r="L1571" s="1">
        <f>+K1571-J1571</f>
        <v>-3.3373395280539987E-2</v>
      </c>
      <c r="M1571" s="1">
        <v>-9.7233952805399898E-3</v>
      </c>
      <c r="N1571" s="1">
        <f>+M1571-J1571</f>
        <v>-4.9373395280539988E-2</v>
      </c>
      <c r="O1571">
        <v>3.11</v>
      </c>
      <c r="P1571" t="s">
        <v>15</v>
      </c>
      <c r="Q1571">
        <v>0</v>
      </c>
      <c r="R1571">
        <v>-1.9894528545439199E-2</v>
      </c>
      <c r="S1571">
        <v>1.3892459683120899E-3</v>
      </c>
      <c r="T1571">
        <v>0</v>
      </c>
    </row>
    <row r="1572" spans="1:20" x14ac:dyDescent="0.3">
      <c r="A1572" t="s">
        <v>116</v>
      </c>
      <c r="B1572">
        <v>2011</v>
      </c>
      <c r="C1572">
        <v>518568.46879999997</v>
      </c>
      <c r="D1572" s="1">
        <v>0</v>
      </c>
      <c r="E1572" s="1">
        <v>0.92849832773208596</v>
      </c>
      <c r="F1572" s="1">
        <v>-6.0999999999999999E-2</v>
      </c>
      <c r="G1572" s="1">
        <f t="shared" si="48"/>
        <v>3.1E-2</v>
      </c>
      <c r="H1572" s="1" t="str">
        <f t="shared" si="49"/>
        <v/>
      </c>
      <c r="I1572" s="1">
        <v>1E-3</v>
      </c>
      <c r="J1572" s="1">
        <f>+D1572-F1572+I1572*O1572</f>
        <v>6.3920000000000005E-2</v>
      </c>
      <c r="K1572" s="1">
        <v>1.21054714545608E-2</v>
      </c>
      <c r="L1572" s="1">
        <f>+K1572-J1572</f>
        <v>-5.1814528545439206E-2</v>
      </c>
      <c r="M1572" s="1">
        <v>-1.9894528545439199E-2</v>
      </c>
      <c r="N1572" s="1">
        <f>+M1572-J1572</f>
        <v>-8.3814528545439207E-2</v>
      </c>
      <c r="O1572">
        <v>2.92</v>
      </c>
      <c r="P1572" t="s">
        <v>17</v>
      </c>
      <c r="Q1572">
        <v>0</v>
      </c>
      <c r="R1572">
        <v>-5.7270660102366998E-3</v>
      </c>
      <c r="S1572">
        <v>-2.8885994106530102E-4</v>
      </c>
      <c r="T1572">
        <v>-0.06</v>
      </c>
    </row>
    <row r="1573" spans="1:20" x14ac:dyDescent="0.3">
      <c r="A1573" t="s">
        <v>116</v>
      </c>
      <c r="B1573">
        <v>2012</v>
      </c>
      <c r="C1573">
        <v>521745.96879999997</v>
      </c>
      <c r="D1573" s="1">
        <v>0</v>
      </c>
      <c r="E1573" s="1">
        <v>0.93743050098419201</v>
      </c>
      <c r="F1573" s="1">
        <v>6.0999999999999999E-2</v>
      </c>
      <c r="G1573" s="1">
        <f t="shared" si="48"/>
        <v>9.1999999999999998E-2</v>
      </c>
      <c r="H1573" s="1" t="str">
        <f t="shared" si="49"/>
        <v/>
      </c>
      <c r="I1573" s="1">
        <v>8.9999999999999993E-3</v>
      </c>
      <c r="J1573" s="1">
        <f>+D1573-F1573+I1573*O1573</f>
        <v>-3.3100000000000004E-2</v>
      </c>
      <c r="K1573" s="1">
        <v>1.52729339897633E-2</v>
      </c>
      <c r="L1573" s="1">
        <f>+K1573-J1573</f>
        <v>4.8372933989763306E-2</v>
      </c>
      <c r="M1573" s="1">
        <v>-5.7270660102366998E-3</v>
      </c>
      <c r="N1573" s="1">
        <f>+M1573-J1573</f>
        <v>2.7372933989763305E-2</v>
      </c>
      <c r="O1573">
        <v>3.1</v>
      </c>
      <c r="P1573" t="s">
        <v>15</v>
      </c>
      <c r="Q1573">
        <v>0</v>
      </c>
      <c r="R1573">
        <v>1.19032213836908E-2</v>
      </c>
      <c r="S1573">
        <v>5.7764500379561996E-3</v>
      </c>
      <c r="T1573">
        <v>0.06</v>
      </c>
    </row>
    <row r="1574" spans="1:20" x14ac:dyDescent="0.3">
      <c r="A1574" t="s">
        <v>116</v>
      </c>
      <c r="B1574">
        <v>2013</v>
      </c>
      <c r="C1574">
        <v>525284</v>
      </c>
      <c r="D1574" s="1">
        <v>0</v>
      </c>
      <c r="E1574" s="1">
        <v>0.94107359647750899</v>
      </c>
      <c r="F1574" s="1">
        <v>-4.3999999999999997E-2</v>
      </c>
      <c r="G1574" s="1">
        <f t="shared" si="48"/>
        <v>4.8000000000000001E-2</v>
      </c>
      <c r="H1574" s="1" t="str">
        <f t="shared" si="49"/>
        <v/>
      </c>
      <c r="I1574" s="1">
        <v>4.0000000000000001E-3</v>
      </c>
      <c r="J1574" s="1">
        <f>+D1574-F1574+I1574*O1574</f>
        <v>5.5840000000000001E-2</v>
      </c>
      <c r="K1574" s="1">
        <v>2.6903221383690799E-2</v>
      </c>
      <c r="L1574" s="1">
        <f>+K1574-J1574</f>
        <v>-2.8936778616309201E-2</v>
      </c>
      <c r="M1574" s="1">
        <v>1.19032213836908E-2</v>
      </c>
      <c r="N1574" s="1">
        <f>+M1574-J1574</f>
        <v>-4.3936778616309201E-2</v>
      </c>
      <c r="O1574">
        <v>2.96</v>
      </c>
      <c r="P1574" t="s">
        <v>17</v>
      </c>
      <c r="Q1574">
        <v>0.01</v>
      </c>
      <c r="R1574">
        <v>2.3227508008480099E-2</v>
      </c>
      <c r="S1574">
        <v>2.1219484508037598E-2</v>
      </c>
      <c r="T1574">
        <v>-0.05</v>
      </c>
    </row>
    <row r="1575" spans="1:20" x14ac:dyDescent="0.3">
      <c r="A1575" t="s">
        <v>116</v>
      </c>
      <c r="B1575">
        <v>2014</v>
      </c>
      <c r="C1575">
        <v>530252.375</v>
      </c>
      <c r="D1575" s="1">
        <v>0</v>
      </c>
      <c r="E1575" s="1">
        <v>0.94967859983444203</v>
      </c>
      <c r="F1575" s="1">
        <v>0.02</v>
      </c>
      <c r="G1575" s="1">
        <f t="shared" si="48"/>
        <v>6.8000000000000005E-2</v>
      </c>
      <c r="H1575" s="1" t="str">
        <f t="shared" si="49"/>
        <v/>
      </c>
      <c r="I1575" s="1">
        <v>8.9999999999999993E-3</v>
      </c>
      <c r="J1575" s="1">
        <f>+D1575-F1575+I1575*O1575</f>
        <v>7.1799999999999989E-3</v>
      </c>
      <c r="K1575" s="1">
        <v>3.92275080084801E-2</v>
      </c>
      <c r="L1575" s="1">
        <f>+K1575-J1575</f>
        <v>3.2047508008480101E-2</v>
      </c>
      <c r="M1575" s="1">
        <v>2.3227508008480099E-2</v>
      </c>
      <c r="N1575" s="1">
        <f>+M1575-J1575</f>
        <v>1.6047508008480101E-2</v>
      </c>
      <c r="O1575">
        <v>3.02</v>
      </c>
      <c r="P1575" t="s">
        <v>15</v>
      </c>
      <c r="Q1575">
        <v>0.02</v>
      </c>
      <c r="R1575">
        <v>9.5473082900047301E-2</v>
      </c>
      <c r="S1575">
        <v>6.5209630876779598E-2</v>
      </c>
      <c r="T1575">
        <v>0.02</v>
      </c>
    </row>
    <row r="1576" spans="1:20" x14ac:dyDescent="0.3">
      <c r="A1576" t="s">
        <v>116</v>
      </c>
      <c r="B1576">
        <v>2015</v>
      </c>
      <c r="C1576">
        <v>535830</v>
      </c>
      <c r="D1576" s="1">
        <v>0</v>
      </c>
      <c r="E1576" s="1">
        <v>0.96082073450088501</v>
      </c>
      <c r="F1576" s="1">
        <v>-1.4999999999999999E-2</v>
      </c>
      <c r="G1576" s="1">
        <f t="shared" si="48"/>
        <v>5.3000000000000005E-2</v>
      </c>
      <c r="H1576" s="1" t="str">
        <f t="shared" si="49"/>
        <v/>
      </c>
      <c r="I1576" s="1">
        <v>1.0999999999999999E-2</v>
      </c>
      <c r="J1576" s="1">
        <f>+D1576-F1576+I1576*O1576</f>
        <v>4.7669999999999997E-2</v>
      </c>
      <c r="K1576" s="1">
        <v>9.6473082900047302E-2</v>
      </c>
      <c r="L1576" s="1">
        <f>+K1576-J1576</f>
        <v>4.8803082900047305E-2</v>
      </c>
      <c r="M1576" s="1">
        <v>9.5473082900047301E-2</v>
      </c>
      <c r="N1576" s="1">
        <f>+M1576-J1576</f>
        <v>4.7803082900047304E-2</v>
      </c>
      <c r="O1576">
        <v>2.97</v>
      </c>
      <c r="P1576" t="s">
        <v>17</v>
      </c>
      <c r="Q1576">
        <v>7.0000000000000007E-2</v>
      </c>
      <c r="R1576">
        <v>7.8031432151794394E-2</v>
      </c>
      <c r="S1576">
        <v>6.4877875149250003E-2</v>
      </c>
      <c r="T1576">
        <v>0</v>
      </c>
    </row>
    <row r="1577" spans="1:20" x14ac:dyDescent="0.3">
      <c r="A1577" t="s">
        <v>116</v>
      </c>
      <c r="B1577">
        <v>2016</v>
      </c>
      <c r="C1577">
        <v>542015.1875</v>
      </c>
      <c r="D1577" s="1">
        <v>0</v>
      </c>
      <c r="E1577" s="1">
        <v>0.96730679273605302</v>
      </c>
      <c r="F1577" s="1">
        <v>2E-3</v>
      </c>
      <c r="G1577" s="1">
        <f t="shared" si="48"/>
        <v>5.5000000000000007E-2</v>
      </c>
      <c r="H1577" s="1" t="str">
        <f t="shared" si="49"/>
        <v/>
      </c>
      <c r="I1577" s="1">
        <v>6.0000000000000001E-3</v>
      </c>
      <c r="J1577" s="1">
        <f>+D1577-F1577+I1577*O1577</f>
        <v>1.5879999999999998E-2</v>
      </c>
      <c r="K1577" s="1">
        <v>9.1031432151794406E-2</v>
      </c>
      <c r="L1577" s="1">
        <f>+K1577-J1577</f>
        <v>7.5151432151794401E-2</v>
      </c>
      <c r="M1577" s="1">
        <v>7.8031432151794394E-2</v>
      </c>
      <c r="N1577" s="1">
        <f>+M1577-J1577</f>
        <v>6.2151432151794396E-2</v>
      </c>
      <c r="O1577">
        <v>2.98</v>
      </c>
      <c r="P1577" t="s">
        <v>15</v>
      </c>
      <c r="Q1577">
        <v>0.06</v>
      </c>
      <c r="R1577">
        <v>4.2746400177478799E-2</v>
      </c>
      <c r="S1577">
        <v>3.9956826716661502E-2</v>
      </c>
      <c r="T1577">
        <v>0</v>
      </c>
    </row>
    <row r="1578" spans="1:20" x14ac:dyDescent="0.3">
      <c r="A1578" t="s">
        <v>116</v>
      </c>
      <c r="B1578">
        <v>2017</v>
      </c>
      <c r="C1578">
        <v>547217.3125</v>
      </c>
      <c r="D1578" s="1">
        <v>0</v>
      </c>
      <c r="E1578" s="1">
        <v>0.96480917930603005</v>
      </c>
      <c r="F1578" s="1">
        <v>1.7999999999999999E-2</v>
      </c>
      <c r="G1578" s="1">
        <f t="shared" si="48"/>
        <v>7.3000000000000009E-2</v>
      </c>
      <c r="H1578" s="1" t="str">
        <f t="shared" si="49"/>
        <v/>
      </c>
      <c r="I1578" s="1">
        <v>-2E-3</v>
      </c>
      <c r="J1578" s="1">
        <f>+D1578-F1578+I1578*O1578</f>
        <v>-2.4059999999999998E-2</v>
      </c>
      <c r="K1578" s="1">
        <v>6.3746400177478804E-2</v>
      </c>
      <c r="L1578" s="1">
        <f>+K1578-J1578</f>
        <v>8.7806400177478802E-2</v>
      </c>
      <c r="M1578" s="1">
        <v>4.2746400177478799E-2</v>
      </c>
      <c r="N1578" s="1">
        <f>+M1578-J1578</f>
        <v>6.6806400177478797E-2</v>
      </c>
      <c r="O1578">
        <v>3.03</v>
      </c>
      <c r="P1578" t="s">
        <v>17</v>
      </c>
      <c r="Q1578">
        <v>0.04</v>
      </c>
      <c r="R1578">
        <v>2.2710036695003499E-2</v>
      </c>
      <c r="S1578">
        <v>1.35750137269497E-2</v>
      </c>
      <c r="T1578">
        <v>0.02</v>
      </c>
    </row>
    <row r="1579" spans="1:20" x14ac:dyDescent="0.3">
      <c r="A1579" t="s">
        <v>116</v>
      </c>
      <c r="B1579">
        <v>2018</v>
      </c>
      <c r="C1579">
        <v>550449.5625</v>
      </c>
      <c r="D1579" s="1">
        <v>0</v>
      </c>
      <c r="E1579" s="1">
        <v>0.96689236164092995</v>
      </c>
      <c r="F1579" s="1">
        <v>-5.2999999999999999E-2</v>
      </c>
      <c r="G1579" s="1">
        <f t="shared" si="48"/>
        <v>2.0000000000000011E-2</v>
      </c>
      <c r="H1579" s="1" t="str">
        <f t="shared" si="49"/>
        <v/>
      </c>
      <c r="I1579" s="1">
        <v>2E-3</v>
      </c>
      <c r="J1579" s="1">
        <f>+D1579-F1579+I1579*O1579</f>
        <v>5.8740000000000001E-2</v>
      </c>
      <c r="K1579" s="1">
        <v>4.6710036695003503E-2</v>
      </c>
      <c r="L1579" s="1">
        <f>+K1579-J1579</f>
        <v>-1.2029963304996498E-2</v>
      </c>
      <c r="M1579" s="1">
        <v>2.2710036695003499E-2</v>
      </c>
      <c r="N1579" s="1">
        <f>+M1579-J1579</f>
        <v>-3.6029963304996498E-2</v>
      </c>
      <c r="O1579">
        <v>2.87</v>
      </c>
      <c r="P1579" t="s">
        <v>17</v>
      </c>
      <c r="Q1579">
        <v>0.01</v>
      </c>
      <c r="R1579">
        <v>4.4157191336154901E-2</v>
      </c>
      <c r="S1579">
        <v>2.63559967279434E-2</v>
      </c>
      <c r="T1579">
        <v>-0.04</v>
      </c>
    </row>
    <row r="1580" spans="1:20" x14ac:dyDescent="0.3">
      <c r="A1580" t="s">
        <v>116</v>
      </c>
      <c r="B1580">
        <v>2019</v>
      </c>
      <c r="C1580">
        <v>552409.5</v>
      </c>
      <c r="D1580" s="1">
        <v>0</v>
      </c>
      <c r="E1580" s="1">
        <v>0.96282881498336803</v>
      </c>
      <c r="F1580" s="1">
        <v>2.5000000000000001E-2</v>
      </c>
      <c r="G1580" s="1">
        <f t="shared" si="48"/>
        <v>4.5000000000000012E-2</v>
      </c>
      <c r="H1580" s="1" t="str">
        <f t="shared" si="49"/>
        <v/>
      </c>
      <c r="I1580" s="1">
        <v>-4.0000000000000001E-3</v>
      </c>
      <c r="J1580" s="1">
        <f>+D1580-F1580+I1580*O1580</f>
        <v>-3.6760000000000001E-2</v>
      </c>
      <c r="K1580" s="1">
        <v>6.2157191336154903E-2</v>
      </c>
      <c r="L1580" s="1">
        <f>+K1580-J1580</f>
        <v>9.8917191336154897E-2</v>
      </c>
      <c r="M1580" s="1">
        <v>4.4157191336154901E-2</v>
      </c>
      <c r="N1580" s="1">
        <f>+M1580-J1580</f>
        <v>8.0917191336154909E-2</v>
      </c>
      <c r="O1580">
        <v>2.94</v>
      </c>
      <c r="P1580" t="s">
        <v>17</v>
      </c>
      <c r="Q1580">
        <v>0.03</v>
      </c>
      <c r="R1580">
        <v>5.6131864070892303E-2</v>
      </c>
      <c r="S1580">
        <v>3.7282673642039299E-2</v>
      </c>
      <c r="T1580">
        <v>0.03</v>
      </c>
    </row>
    <row r="1581" spans="1:20" x14ac:dyDescent="0.3">
      <c r="A1581" t="s">
        <v>116</v>
      </c>
      <c r="B1581">
        <v>2020</v>
      </c>
      <c r="C1581">
        <v>553499.8125</v>
      </c>
      <c r="D1581" s="1">
        <v>6.0000000000000001E-3</v>
      </c>
      <c r="E1581" s="1">
        <v>0.97589099407196001</v>
      </c>
      <c r="F1581" s="1">
        <v>-3.7999999999999999E-2</v>
      </c>
      <c r="G1581" s="1">
        <f t="shared" si="48"/>
        <v>7.0000000000000132E-3</v>
      </c>
      <c r="H1581" s="1" t="str">
        <f t="shared" si="49"/>
        <v/>
      </c>
      <c r="I1581" s="1">
        <v>1.2999999999999999E-2</v>
      </c>
      <c r="J1581" s="1">
        <f>+D1581-F1581+I1581*O1581</f>
        <v>8.0790000000000001E-2</v>
      </c>
      <c r="K1581" s="1">
        <v>6.8131864070892306E-2</v>
      </c>
      <c r="L1581" s="1">
        <f>+K1581-J1581</f>
        <v>-1.2658135929107694E-2</v>
      </c>
      <c r="M1581" s="1">
        <v>5.6131864070892303E-2</v>
      </c>
      <c r="N1581" s="1">
        <f>+M1581-J1581</f>
        <v>-2.4658135929107698E-2</v>
      </c>
      <c r="O1581">
        <v>2.83</v>
      </c>
      <c r="P1581" t="s">
        <v>17</v>
      </c>
      <c r="Q1581">
        <v>0.04</v>
      </c>
      <c r="R1581">
        <v>5.6162504732609003E-2</v>
      </c>
      <c r="S1581">
        <v>1.2572892010212E-2</v>
      </c>
      <c r="T1581">
        <v>0</v>
      </c>
    </row>
    <row r="1582" spans="1:20" x14ac:dyDescent="0.3">
      <c r="A1582" t="s">
        <v>116</v>
      </c>
      <c r="B1582">
        <v>2021</v>
      </c>
      <c r="C1582">
        <v>552684</v>
      </c>
      <c r="D1582" s="1">
        <v>0</v>
      </c>
      <c r="E1582" s="1">
        <v>0.97165435552597001</v>
      </c>
      <c r="F1582" s="1">
        <v>2.3E-2</v>
      </c>
      <c r="G1582" s="1">
        <f t="shared" si="48"/>
        <v>3.0000000000000013E-2</v>
      </c>
      <c r="H1582" s="1" t="str">
        <f t="shared" si="49"/>
        <v/>
      </c>
      <c r="I1582" s="1">
        <v>-4.0000000000000001E-3</v>
      </c>
      <c r="J1582" s="1">
        <f>+D1582-F1582+I1582*O1582</f>
        <v>-3.456E-2</v>
      </c>
      <c r="K1582" s="1">
        <v>0.103162504732609</v>
      </c>
      <c r="L1582" s="1">
        <f>+K1582-J1582</f>
        <v>0.137722504732609</v>
      </c>
      <c r="M1582" s="1">
        <v>5.6162504732609003E-2</v>
      </c>
      <c r="N1582" s="1">
        <f>+M1582-J1582</f>
        <v>9.0722504732609011E-2</v>
      </c>
      <c r="O1582">
        <v>2.89</v>
      </c>
      <c r="P1582" t="s">
        <v>17</v>
      </c>
      <c r="Q1582">
        <v>0.01</v>
      </c>
      <c r="R1582">
        <v>-5.01622929424047E-2</v>
      </c>
      <c r="S1582">
        <v>-1.8058786168694399E-2</v>
      </c>
      <c r="T1582">
        <v>-0.01</v>
      </c>
    </row>
    <row r="1583" spans="1:20" x14ac:dyDescent="0.3">
      <c r="A1583" t="s">
        <v>116</v>
      </c>
      <c r="B1583">
        <v>2022</v>
      </c>
      <c r="C1583">
        <v>552687.6875</v>
      </c>
      <c r="D1583" s="1">
        <v>2E-3</v>
      </c>
      <c r="E1583" s="1">
        <v>0.95753943920135498</v>
      </c>
      <c r="F1583" s="1">
        <v>4.0000000000000001E-3</v>
      </c>
      <c r="G1583" s="1">
        <f t="shared" si="48"/>
        <v>3.4000000000000016E-2</v>
      </c>
      <c r="H1583" s="1" t="str">
        <f t="shared" si="49"/>
        <v/>
      </c>
      <c r="I1583" s="1">
        <v>-1.4E-2</v>
      </c>
      <c r="J1583" s="1">
        <f>+D1583-F1583+I1583*O1583</f>
        <v>-4.2740000000000007E-2</v>
      </c>
      <c r="K1583" s="1">
        <v>2.9837707057595302E-2</v>
      </c>
      <c r="L1583" s="1">
        <f>+K1583-J1583</f>
        <v>7.2577707057595309E-2</v>
      </c>
      <c r="M1583" s="1">
        <v>-5.01622929424047E-2</v>
      </c>
      <c r="N1583" s="1">
        <f>+M1583-J1583</f>
        <v>-7.422292942404693E-3</v>
      </c>
      <c r="O1583">
        <v>2.91</v>
      </c>
      <c r="P1583" t="s">
        <v>17</v>
      </c>
      <c r="Q1583">
        <v>-0.02</v>
      </c>
      <c r="R1583">
        <v>-2.24928211271763E-2</v>
      </c>
      <c r="S1583">
        <v>-2.93389335274699E-3</v>
      </c>
      <c r="T1583">
        <v>0.02</v>
      </c>
    </row>
    <row r="1584" spans="1:20" x14ac:dyDescent="0.3">
      <c r="A1584" t="s">
        <v>117</v>
      </c>
      <c r="B1584">
        <v>2006</v>
      </c>
      <c r="C1584">
        <v>366818.59379999997</v>
      </c>
      <c r="D1584" s="1">
        <v>8.0000000000000002E-3</v>
      </c>
      <c r="E1584" s="1">
        <v>0.89290577173232999</v>
      </c>
      <c r="F1584" s="1">
        <v>-2E-3</v>
      </c>
      <c r="G1584" s="1">
        <f t="shared" si="48"/>
        <v>-2E-3</v>
      </c>
      <c r="H1584" s="1" t="str">
        <f t="shared" si="49"/>
        <v/>
      </c>
      <c r="I1584" s="1">
        <v>-7.0000000000000001E-3</v>
      </c>
      <c r="J1584" s="1">
        <f>+D1584-F1584+I1584*O1584</f>
        <v>-6.1700000000000001E-3</v>
      </c>
      <c r="K1584" s="1">
        <v>6.1886120587587398E-2</v>
      </c>
      <c r="L1584" s="1">
        <f>+K1584-J1584</f>
        <v>6.8056120587587393E-2</v>
      </c>
      <c r="M1584" s="1">
        <v>2.98861205875873E-2</v>
      </c>
      <c r="N1584" s="1">
        <f>+M1584-J1584</f>
        <v>3.6056120587587302E-2</v>
      </c>
      <c r="O1584">
        <v>2.31</v>
      </c>
      <c r="P1584" t="s">
        <v>16</v>
      </c>
      <c r="Q1584">
        <v>0.02</v>
      </c>
      <c r="R1584">
        <v>-6.260909974575E-3</v>
      </c>
      <c r="S1584">
        <v>-5.3391540423034997E-3</v>
      </c>
      <c r="T1584">
        <v>0</v>
      </c>
    </row>
    <row r="1585" spans="1:20" x14ac:dyDescent="0.3">
      <c r="A1585" t="s">
        <v>117</v>
      </c>
      <c r="B1585">
        <v>2007</v>
      </c>
      <c r="C1585">
        <v>369602.28129999997</v>
      </c>
      <c r="D1585" s="1">
        <v>2.1000000000000001E-2</v>
      </c>
      <c r="E1585" s="1">
        <v>0.86696600914001498</v>
      </c>
      <c r="F1585" s="1">
        <v>2E-3</v>
      </c>
      <c r="G1585" s="1">
        <f t="shared" si="48"/>
        <v>0</v>
      </c>
      <c r="H1585" s="1" t="str">
        <f t="shared" si="49"/>
        <v/>
      </c>
      <c r="I1585" s="1">
        <v>-2.5999999999999999E-2</v>
      </c>
      <c r="J1585" s="1">
        <f>+D1585-F1585+I1585*O1585</f>
        <v>-4.1319999999999989E-2</v>
      </c>
      <c r="K1585" s="1">
        <v>2.2739090025424999E-2</v>
      </c>
      <c r="L1585" s="1">
        <f>+K1585-J1585</f>
        <v>6.4059090025424981E-2</v>
      </c>
      <c r="M1585" s="1">
        <v>-6.260909974575E-3</v>
      </c>
      <c r="N1585" s="1">
        <f>+M1585-J1585</f>
        <v>3.505909002542499E-2</v>
      </c>
      <c r="O1585">
        <v>2.3199999999999998</v>
      </c>
      <c r="P1585" t="s">
        <v>17</v>
      </c>
      <c r="Q1585">
        <v>-0.01</v>
      </c>
      <c r="R1585">
        <v>-5.3518020838499103E-2</v>
      </c>
      <c r="S1585">
        <v>-2.4007216561585699E-2</v>
      </c>
      <c r="T1585">
        <v>0</v>
      </c>
    </row>
    <row r="1586" spans="1:20" x14ac:dyDescent="0.3">
      <c r="A1586" t="s">
        <v>117</v>
      </c>
      <c r="B1586">
        <v>2008</v>
      </c>
      <c r="C1586">
        <v>370667.5</v>
      </c>
      <c r="D1586" s="1">
        <v>5.3999999999999999E-2</v>
      </c>
      <c r="E1586" s="1">
        <v>0.85133826732635498</v>
      </c>
      <c r="F1586" s="1">
        <v>1.6E-2</v>
      </c>
      <c r="G1586" s="1">
        <f t="shared" si="48"/>
        <v>1.6E-2</v>
      </c>
      <c r="H1586" s="1" t="str">
        <f t="shared" si="49"/>
        <v/>
      </c>
      <c r="I1586" s="1">
        <v>-1.6E-2</v>
      </c>
      <c r="J1586" s="1">
        <f>+D1586-F1586+I1586*O1586</f>
        <v>3.9999999999999758E-4</v>
      </c>
      <c r="K1586" s="1">
        <v>-1.55180208384991E-2</v>
      </c>
      <c r="L1586" s="1">
        <f>+K1586-J1586</f>
        <v>-1.5918020838499098E-2</v>
      </c>
      <c r="M1586" s="1">
        <v>-5.3518020838499103E-2</v>
      </c>
      <c r="N1586" s="1">
        <f>+M1586-J1586</f>
        <v>-5.3918020838499101E-2</v>
      </c>
      <c r="O1586">
        <v>2.35</v>
      </c>
      <c r="P1586" t="s">
        <v>17</v>
      </c>
      <c r="Q1586">
        <v>-0.02</v>
      </c>
      <c r="R1586">
        <v>-2.3293749153613999E-2</v>
      </c>
      <c r="S1586">
        <v>3.2729525119066499E-3</v>
      </c>
      <c r="T1586">
        <v>0.01</v>
      </c>
    </row>
    <row r="1587" spans="1:20" x14ac:dyDescent="0.3">
      <c r="A1587" t="s">
        <v>117</v>
      </c>
      <c r="B1587">
        <v>2009</v>
      </c>
      <c r="C1587">
        <v>372779.125</v>
      </c>
      <c r="D1587" s="1">
        <v>2.5999999999999999E-2</v>
      </c>
      <c r="E1587" s="1">
        <v>0.87245357036590598</v>
      </c>
      <c r="F1587" s="1">
        <v>1.4E-2</v>
      </c>
      <c r="G1587" s="1">
        <f t="shared" si="48"/>
        <v>0.03</v>
      </c>
      <c r="H1587" s="1" t="str">
        <f t="shared" si="49"/>
        <v/>
      </c>
      <c r="I1587" s="1">
        <v>2.1000000000000001E-2</v>
      </c>
      <c r="J1587" s="1">
        <f>+D1587-F1587+I1587*O1587</f>
        <v>6.2190000000000002E-2</v>
      </c>
      <c r="K1587" s="1">
        <v>-2.7293749153613999E-2</v>
      </c>
      <c r="L1587" s="1">
        <f>+K1587-J1587</f>
        <v>-8.9483749153613998E-2</v>
      </c>
      <c r="M1587" s="1">
        <v>-2.3293749153613999E-2</v>
      </c>
      <c r="N1587" s="1">
        <f>+M1587-J1587</f>
        <v>-8.5483749153614008E-2</v>
      </c>
      <c r="O1587">
        <v>2.39</v>
      </c>
      <c r="P1587" t="s">
        <v>15</v>
      </c>
      <c r="Q1587">
        <v>0</v>
      </c>
      <c r="R1587">
        <v>-1.0817013852298199E-2</v>
      </c>
      <c r="S1587">
        <v>-1.3569050934165701E-3</v>
      </c>
      <c r="T1587">
        <v>0</v>
      </c>
    </row>
    <row r="1588" spans="1:20" x14ac:dyDescent="0.3">
      <c r="A1588" t="s">
        <v>117</v>
      </c>
      <c r="B1588">
        <v>2010</v>
      </c>
      <c r="C1588">
        <v>375905.90629999997</v>
      </c>
      <c r="D1588" s="1">
        <v>1.7000000000000001E-2</v>
      </c>
      <c r="E1588" s="1">
        <v>0.88288021087646495</v>
      </c>
      <c r="F1588" s="1">
        <v>6.6000000000000003E-2</v>
      </c>
      <c r="G1588" s="1">
        <f t="shared" si="48"/>
        <v>9.6000000000000002E-2</v>
      </c>
      <c r="H1588" s="1" t="str">
        <f t="shared" si="49"/>
        <v/>
      </c>
      <c r="I1588" s="1">
        <v>0.01</v>
      </c>
      <c r="J1588" s="1">
        <f>+D1588-F1588+I1588*O1588</f>
        <v>-2.3599999999999999E-2</v>
      </c>
      <c r="K1588" s="1">
        <v>5.1829861477017403E-3</v>
      </c>
      <c r="L1588" s="1">
        <f>+K1588-J1588</f>
        <v>2.878298614770174E-2</v>
      </c>
      <c r="M1588" s="1">
        <v>-1.0817013852298199E-2</v>
      </c>
      <c r="N1588" s="1">
        <f>+M1588-J1588</f>
        <v>1.27829861477018E-2</v>
      </c>
      <c r="O1588">
        <v>2.54</v>
      </c>
      <c r="P1588" t="s">
        <v>15</v>
      </c>
      <c r="Q1588">
        <v>0</v>
      </c>
      <c r="R1588">
        <v>-2.19942278862E-2</v>
      </c>
      <c r="S1588">
        <v>-7.1045337244870002E-4</v>
      </c>
      <c r="T1588">
        <v>0.06</v>
      </c>
    </row>
    <row r="1589" spans="1:20" x14ac:dyDescent="0.3">
      <c r="A1589" t="s">
        <v>117</v>
      </c>
      <c r="B1589">
        <v>2011</v>
      </c>
      <c r="C1589">
        <v>377381.8125</v>
      </c>
      <c r="D1589" s="1">
        <v>3.0000000000000001E-3</v>
      </c>
      <c r="E1589" s="1">
        <v>0.88615983724594105</v>
      </c>
      <c r="F1589" s="1">
        <v>-7.1999999999999995E-2</v>
      </c>
      <c r="G1589" s="1">
        <f t="shared" si="48"/>
        <v>2.4000000000000007E-2</v>
      </c>
      <c r="H1589" s="1" t="str">
        <f t="shared" si="49"/>
        <v/>
      </c>
      <c r="I1589" s="1">
        <v>3.0000000000000001E-3</v>
      </c>
      <c r="J1589" s="1">
        <f>+D1589-F1589+I1589*O1589</f>
        <v>8.208E-2</v>
      </c>
      <c r="K1589" s="1">
        <v>1.00057721138E-2</v>
      </c>
      <c r="L1589" s="1">
        <f>+K1589-J1589</f>
        <v>-7.2074227886199993E-2</v>
      </c>
      <c r="M1589" s="1">
        <v>-2.19942278862E-2</v>
      </c>
      <c r="N1589" s="1">
        <f>+M1589-J1589</f>
        <v>-0.10407422788619999</v>
      </c>
      <c r="O1589">
        <v>2.36</v>
      </c>
      <c r="P1589" t="s">
        <v>17</v>
      </c>
      <c r="Q1589">
        <v>0</v>
      </c>
      <c r="R1589">
        <v>-3.5896769762038998E-3</v>
      </c>
      <c r="S1589">
        <v>1.8485290929674901E-3</v>
      </c>
      <c r="T1589">
        <v>-7.0000000000000007E-2</v>
      </c>
    </row>
    <row r="1590" spans="1:20" x14ac:dyDescent="0.3">
      <c r="A1590" t="s">
        <v>117</v>
      </c>
      <c r="B1590">
        <v>2012</v>
      </c>
      <c r="C1590">
        <v>378083.71879999997</v>
      </c>
      <c r="D1590" s="1">
        <v>-4.0000000000000001E-3</v>
      </c>
      <c r="E1590" s="1">
        <v>0.89056706428527799</v>
      </c>
      <c r="F1590" s="1">
        <v>-2.5999999999999999E-2</v>
      </c>
      <c r="G1590" s="1">
        <f t="shared" si="48"/>
        <v>-1.9999999999999914E-3</v>
      </c>
      <c r="H1590" s="1" t="str">
        <f t="shared" si="49"/>
        <v/>
      </c>
      <c r="I1590" s="1">
        <v>4.0000000000000001E-3</v>
      </c>
      <c r="J1590" s="1">
        <f>+D1590-F1590+I1590*O1590</f>
        <v>3.1199999999999999E-2</v>
      </c>
      <c r="K1590" s="1">
        <v>1.7410323023796099E-2</v>
      </c>
      <c r="L1590" s="1">
        <f>+K1590-J1590</f>
        <v>-1.37896769762039E-2</v>
      </c>
      <c r="M1590" s="1">
        <v>-3.5896769762038998E-3</v>
      </c>
      <c r="N1590" s="1">
        <f>+M1590-J1590</f>
        <v>-3.4789676976203901E-2</v>
      </c>
      <c r="O1590">
        <v>2.2999999999999998</v>
      </c>
      <c r="P1590" t="s">
        <v>17</v>
      </c>
      <c r="Q1590">
        <v>0</v>
      </c>
      <c r="R1590">
        <v>1.1181336492299999E-2</v>
      </c>
      <c r="S1590">
        <v>5.0545651465653896E-3</v>
      </c>
      <c r="T1590">
        <v>-0.03</v>
      </c>
    </row>
    <row r="1591" spans="1:20" x14ac:dyDescent="0.3">
      <c r="A1591" t="s">
        <v>117</v>
      </c>
      <c r="B1591">
        <v>2013</v>
      </c>
      <c r="C1591">
        <v>378644</v>
      </c>
      <c r="D1591" s="1">
        <v>-1E-3</v>
      </c>
      <c r="E1591" s="1">
        <v>0.88624626398086503</v>
      </c>
      <c r="F1591" s="1">
        <v>6.6000000000000003E-2</v>
      </c>
      <c r="G1591" s="1">
        <f t="shared" si="48"/>
        <v>6.4000000000000015E-2</v>
      </c>
      <c r="H1591" s="1" t="str">
        <f t="shared" si="49"/>
        <v/>
      </c>
      <c r="I1591" s="1">
        <v>-4.0000000000000001E-3</v>
      </c>
      <c r="J1591" s="1">
        <f>+D1591-F1591+I1591*O1591</f>
        <v>-7.6800000000000007E-2</v>
      </c>
      <c r="K1591" s="1">
        <v>2.6181336492299999E-2</v>
      </c>
      <c r="L1591" s="1">
        <f>+K1591-J1591</f>
        <v>0.10298133649230001</v>
      </c>
      <c r="M1591" s="1">
        <v>1.1181336492299999E-2</v>
      </c>
      <c r="N1591" s="1">
        <f>+M1591-J1591</f>
        <v>8.79813364923E-2</v>
      </c>
      <c r="O1591">
        <v>2.4500000000000002</v>
      </c>
      <c r="P1591" t="s">
        <v>17</v>
      </c>
      <c r="Q1591">
        <v>0.01</v>
      </c>
      <c r="R1591">
        <v>-1.0489802513271499E-2</v>
      </c>
      <c r="S1591">
        <v>-1.2497826013714E-2</v>
      </c>
      <c r="T1591">
        <v>0.06</v>
      </c>
    </row>
    <row r="1592" spans="1:20" x14ac:dyDescent="0.3">
      <c r="A1592" t="s">
        <v>117</v>
      </c>
      <c r="B1592">
        <v>2014</v>
      </c>
      <c r="C1592">
        <v>379530.3125</v>
      </c>
      <c r="D1592" s="1">
        <v>4.0000000000000001E-3</v>
      </c>
      <c r="E1592" s="1">
        <v>0.88307219743728604</v>
      </c>
      <c r="F1592" s="1">
        <v>2E-3</v>
      </c>
      <c r="G1592" s="1">
        <f t="shared" si="48"/>
        <v>6.6000000000000017E-2</v>
      </c>
      <c r="H1592" s="1" t="str">
        <f t="shared" si="49"/>
        <v/>
      </c>
      <c r="I1592" s="1">
        <v>-3.0000000000000001E-3</v>
      </c>
      <c r="J1592" s="1">
        <f>+D1592-F1592+I1592*O1592</f>
        <v>-5.3500000000000006E-3</v>
      </c>
      <c r="K1592" s="1">
        <v>5.5101974867284298E-3</v>
      </c>
      <c r="L1592" s="1">
        <f>+K1592-J1592</f>
        <v>1.086019748672843E-2</v>
      </c>
      <c r="M1592" s="1">
        <v>-1.0489802513271499E-2</v>
      </c>
      <c r="N1592" s="1">
        <f>+M1592-J1592</f>
        <v>-5.1398025132714988E-3</v>
      </c>
      <c r="O1592">
        <v>2.4500000000000002</v>
      </c>
      <c r="P1592" t="s">
        <v>17</v>
      </c>
      <c r="Q1592">
        <v>-0.01</v>
      </c>
      <c r="R1592">
        <v>1.5279444098472501E-2</v>
      </c>
      <c r="S1592">
        <v>-1.4984007924795E-2</v>
      </c>
      <c r="T1592">
        <v>0</v>
      </c>
    </row>
    <row r="1593" spans="1:20" x14ac:dyDescent="0.3">
      <c r="A1593" t="s">
        <v>117</v>
      </c>
      <c r="B1593">
        <v>2015</v>
      </c>
      <c r="C1593">
        <v>380932.1875</v>
      </c>
      <c r="D1593" s="1">
        <v>0.01</v>
      </c>
      <c r="E1593" s="1">
        <v>0.88724523782730103</v>
      </c>
      <c r="F1593" s="1">
        <v>-2.1000000000000001E-2</v>
      </c>
      <c r="G1593" s="1">
        <f t="shared" si="48"/>
        <v>4.5000000000000012E-2</v>
      </c>
      <c r="H1593" s="1" t="str">
        <f t="shared" si="49"/>
        <v/>
      </c>
      <c r="I1593" s="1">
        <v>4.0000000000000001E-3</v>
      </c>
      <c r="J1593" s="1">
        <f>+D1593-F1593+I1593*O1593</f>
        <v>4.0599999999999997E-2</v>
      </c>
      <c r="K1593" s="1">
        <v>1.6279444098472599E-2</v>
      </c>
      <c r="L1593" s="1">
        <f>+K1593-J1593</f>
        <v>-2.4320555901527399E-2</v>
      </c>
      <c r="M1593" s="1">
        <v>1.5279444098472501E-2</v>
      </c>
      <c r="N1593" s="1">
        <f>+M1593-J1593</f>
        <v>-2.5320555901527497E-2</v>
      </c>
      <c r="O1593">
        <v>2.4</v>
      </c>
      <c r="P1593" t="s">
        <v>17</v>
      </c>
      <c r="Q1593">
        <v>-0.01</v>
      </c>
      <c r="R1593">
        <v>1.1014893919229499E-2</v>
      </c>
      <c r="S1593">
        <v>-2.13866308331489E-3</v>
      </c>
      <c r="T1593">
        <v>-0.01</v>
      </c>
    </row>
    <row r="1594" spans="1:20" x14ac:dyDescent="0.3">
      <c r="A1594" t="s">
        <v>117</v>
      </c>
      <c r="B1594">
        <v>2016</v>
      </c>
      <c r="C1594">
        <v>382814.3125</v>
      </c>
      <c r="D1594" s="1">
        <v>1.9E-2</v>
      </c>
      <c r="E1594" s="1">
        <v>0.87878310680389404</v>
      </c>
      <c r="F1594" s="1">
        <v>-4.5999999999999999E-2</v>
      </c>
      <c r="G1594" s="1">
        <f t="shared" si="48"/>
        <v>-9.9999999999998701E-4</v>
      </c>
      <c r="H1594" s="1" t="str">
        <f t="shared" si="49"/>
        <v/>
      </c>
      <c r="I1594" s="1">
        <v>-8.0000000000000002E-3</v>
      </c>
      <c r="J1594" s="1">
        <f>+D1594-F1594+I1594*O1594</f>
        <v>4.6679999999999999E-2</v>
      </c>
      <c r="K1594" s="1">
        <v>2.4014893919229501E-2</v>
      </c>
      <c r="L1594" s="1">
        <f>+K1594-J1594</f>
        <v>-2.2665106080770499E-2</v>
      </c>
      <c r="M1594" s="1">
        <v>1.1014893919229499E-2</v>
      </c>
      <c r="N1594" s="1">
        <f>+M1594-J1594</f>
        <v>-3.5665106080770503E-2</v>
      </c>
      <c r="O1594">
        <v>2.29</v>
      </c>
      <c r="P1594" t="s">
        <v>16</v>
      </c>
      <c r="Q1594">
        <v>0</v>
      </c>
      <c r="R1594">
        <v>-8.2313505038619002E-3</v>
      </c>
      <c r="S1594">
        <v>-1.10209239646792E-2</v>
      </c>
      <c r="T1594">
        <v>-0.04</v>
      </c>
    </row>
    <row r="1595" spans="1:20" x14ac:dyDescent="0.3">
      <c r="A1595" t="s">
        <v>117</v>
      </c>
      <c r="B1595">
        <v>2017</v>
      </c>
      <c r="C1595">
        <v>384045.90629999997</v>
      </c>
      <c r="D1595" s="1">
        <v>1E-3</v>
      </c>
      <c r="E1595" s="1">
        <v>0.87301307916641202</v>
      </c>
      <c r="F1595" s="1">
        <v>-8.9999999999999993E-3</v>
      </c>
      <c r="G1595" s="1">
        <f t="shared" si="48"/>
        <v>-9.9999999999999863E-3</v>
      </c>
      <c r="H1595" s="1" t="str">
        <f t="shared" si="49"/>
        <v/>
      </c>
      <c r="I1595" s="1">
        <v>-6.0000000000000001E-3</v>
      </c>
      <c r="J1595" s="1">
        <f>+D1595-F1595+I1595*O1595</f>
        <v>-3.6200000000000017E-3</v>
      </c>
      <c r="K1595" s="1">
        <v>1.2768649496138099E-2</v>
      </c>
      <c r="L1595" s="1">
        <f>+K1595-J1595</f>
        <v>1.6388649496138101E-2</v>
      </c>
      <c r="M1595" s="1">
        <v>-8.2313505038619002E-3</v>
      </c>
      <c r="N1595" s="1">
        <f>+M1595-J1595</f>
        <v>-4.6113505038618986E-3</v>
      </c>
      <c r="O1595">
        <v>2.27</v>
      </c>
      <c r="P1595" t="s">
        <v>16</v>
      </c>
      <c r="Q1595">
        <v>-0.01</v>
      </c>
      <c r="R1595">
        <v>-3.3787300586699898E-3</v>
      </c>
      <c r="S1595">
        <v>-1.25137530267237E-2</v>
      </c>
      <c r="T1595">
        <v>-0.01</v>
      </c>
    </row>
    <row r="1596" spans="1:20" x14ac:dyDescent="0.3">
      <c r="A1596" t="s">
        <v>117</v>
      </c>
      <c r="B1596">
        <v>2018</v>
      </c>
      <c r="C1596">
        <v>384405.6875</v>
      </c>
      <c r="D1596" s="1">
        <v>1E-3</v>
      </c>
      <c r="E1596" s="1">
        <v>0.87938779592514005</v>
      </c>
      <c r="F1596" s="1">
        <v>3.3000000000000002E-2</v>
      </c>
      <c r="G1596" s="1">
        <f t="shared" si="48"/>
        <v>2.3000000000000013E-2</v>
      </c>
      <c r="H1596" s="1" t="str">
        <f t="shared" si="49"/>
        <v/>
      </c>
      <c r="I1596" s="1">
        <v>6.0000000000000001E-3</v>
      </c>
      <c r="J1596" s="1">
        <f>+D1596-F1596+I1596*O1596</f>
        <v>-1.7960000000000004E-2</v>
      </c>
      <c r="K1596" s="1">
        <v>2.0621269941330001E-2</v>
      </c>
      <c r="L1596" s="1">
        <f>+K1596-J1596</f>
        <v>3.8581269941330001E-2</v>
      </c>
      <c r="M1596" s="1">
        <v>-3.3787300586699898E-3</v>
      </c>
      <c r="N1596" s="1">
        <f>+M1596-J1596</f>
        <v>1.4581269941330015E-2</v>
      </c>
      <c r="O1596">
        <v>2.34</v>
      </c>
      <c r="P1596" t="s">
        <v>15</v>
      </c>
      <c r="Q1596">
        <v>-0.01</v>
      </c>
      <c r="R1596">
        <v>2.6799845665693298E-2</v>
      </c>
      <c r="S1596">
        <v>8.99865105748179E-3</v>
      </c>
      <c r="T1596">
        <v>0.04</v>
      </c>
    </row>
    <row r="1597" spans="1:20" x14ac:dyDescent="0.3">
      <c r="A1597" t="s">
        <v>117</v>
      </c>
      <c r="B1597">
        <v>2019</v>
      </c>
      <c r="C1597">
        <v>385543.90629999997</v>
      </c>
      <c r="D1597" s="1">
        <v>0</v>
      </c>
      <c r="E1597" s="1">
        <v>0.88805359601974498</v>
      </c>
      <c r="F1597" s="1">
        <v>-5.7000000000000002E-2</v>
      </c>
      <c r="G1597" s="1">
        <f t="shared" si="48"/>
        <v>-3.3999999999999989E-2</v>
      </c>
      <c r="H1597" s="1" t="str">
        <f t="shared" si="49"/>
        <v/>
      </c>
      <c r="I1597" s="1">
        <v>8.9999999999999993E-3</v>
      </c>
      <c r="J1597" s="1">
        <f>+D1597-F1597+I1597*O1597</f>
        <v>7.689E-2</v>
      </c>
      <c r="K1597" s="1">
        <v>4.4799845665693297E-2</v>
      </c>
      <c r="L1597" s="1">
        <f>+K1597-J1597</f>
        <v>-3.2090154334306703E-2</v>
      </c>
      <c r="M1597" s="1">
        <v>2.6799845665693298E-2</v>
      </c>
      <c r="N1597" s="1">
        <f>+M1597-J1597</f>
        <v>-5.0090154334306705E-2</v>
      </c>
      <c r="O1597">
        <v>2.21</v>
      </c>
      <c r="P1597" t="s">
        <v>17</v>
      </c>
      <c r="Q1597">
        <v>0.01</v>
      </c>
      <c r="R1597">
        <v>4.1394790738820998E-2</v>
      </c>
      <c r="S1597">
        <v>2.2545600309968002E-2</v>
      </c>
      <c r="T1597">
        <v>-0.05</v>
      </c>
    </row>
    <row r="1598" spans="1:20" x14ac:dyDescent="0.3">
      <c r="A1598" t="s">
        <v>117</v>
      </c>
      <c r="B1598">
        <v>2020</v>
      </c>
      <c r="C1598">
        <v>385226.09379999997</v>
      </c>
      <c r="D1598" s="1">
        <v>5.0000000000000001E-3</v>
      </c>
      <c r="E1598" s="1">
        <v>0.91213846206664995</v>
      </c>
      <c r="F1598" s="1">
        <v>-7.5999999999999998E-2</v>
      </c>
      <c r="G1598" s="1">
        <f t="shared" si="48"/>
        <v>-0.10999999999999999</v>
      </c>
      <c r="H1598" s="1" t="str">
        <f t="shared" si="49"/>
        <v/>
      </c>
      <c r="I1598" s="1">
        <v>2.4E-2</v>
      </c>
      <c r="J1598" s="1">
        <f>+D1598-F1598+I1598*O1598</f>
        <v>0.12996000000000002</v>
      </c>
      <c r="K1598" s="1">
        <v>5.3394790738821002E-2</v>
      </c>
      <c r="L1598" s="1">
        <f>+K1598-J1598</f>
        <v>-7.6565209261179018E-2</v>
      </c>
      <c r="M1598" s="1">
        <v>4.1394790738820998E-2</v>
      </c>
      <c r="N1598" s="1">
        <f>+M1598-J1598</f>
        <v>-8.8565209261179029E-2</v>
      </c>
      <c r="O1598">
        <v>2.04</v>
      </c>
      <c r="P1598" t="s">
        <v>17</v>
      </c>
      <c r="Q1598">
        <v>0.02</v>
      </c>
      <c r="R1598">
        <v>5.3119873881339999E-2</v>
      </c>
      <c r="S1598">
        <v>9.5302611589430895E-3</v>
      </c>
      <c r="T1598">
        <v>-0.04</v>
      </c>
    </row>
    <row r="1599" spans="1:20" x14ac:dyDescent="0.3">
      <c r="A1599" t="s">
        <v>117</v>
      </c>
      <c r="B1599">
        <v>2021</v>
      </c>
      <c r="C1599">
        <v>384827.09379999997</v>
      </c>
      <c r="D1599" s="1">
        <v>0</v>
      </c>
      <c r="E1599" s="1">
        <v>0.91473996639251698</v>
      </c>
      <c r="F1599" s="1">
        <v>0.109</v>
      </c>
      <c r="G1599" s="1">
        <f t="shared" si="48"/>
        <v>-9.9999999999998701E-4</v>
      </c>
      <c r="H1599" s="1" t="str">
        <f t="shared" si="49"/>
        <v/>
      </c>
      <c r="I1599" s="1">
        <v>3.0000000000000001E-3</v>
      </c>
      <c r="J1599" s="1">
        <f>+D1599-F1599+I1599*O1599</f>
        <v>-0.10219</v>
      </c>
      <c r="K1599" s="1">
        <v>0.10011987388134</v>
      </c>
      <c r="L1599" s="1">
        <f>+K1599-J1599</f>
        <v>0.20230987388134</v>
      </c>
      <c r="M1599" s="1">
        <v>5.3119873881339999E-2</v>
      </c>
      <c r="N1599" s="1">
        <f>+M1599-J1599</f>
        <v>0.15530987388133999</v>
      </c>
      <c r="O1599">
        <v>2.27</v>
      </c>
      <c r="P1599" t="s">
        <v>15</v>
      </c>
      <c r="Q1599">
        <v>0.01</v>
      </c>
      <c r="R1599">
        <v>-4.8147646635770799E-2</v>
      </c>
      <c r="S1599">
        <v>-1.6044139862060498E-2</v>
      </c>
      <c r="T1599">
        <v>0.08</v>
      </c>
    </row>
    <row r="1600" spans="1:20" x14ac:dyDescent="0.3">
      <c r="A1600" t="s">
        <v>117</v>
      </c>
      <c r="B1600">
        <v>2022</v>
      </c>
      <c r="C1600">
        <v>385780.6875</v>
      </c>
      <c r="D1600" s="1">
        <v>0</v>
      </c>
      <c r="E1600" s="1">
        <v>0.88976633548736594</v>
      </c>
      <c r="F1600" s="1">
        <v>-1.4999999999999999E-2</v>
      </c>
      <c r="G1600" s="1">
        <f t="shared" si="48"/>
        <v>-1.5999999999999986E-2</v>
      </c>
      <c r="H1600" s="1" t="str">
        <f t="shared" si="49"/>
        <v/>
      </c>
      <c r="I1600" s="1">
        <v>-2.5000000000000001E-2</v>
      </c>
      <c r="J1600" s="1">
        <f>+D1600-F1600+I1600*O1600</f>
        <v>-4.0750000000000001E-2</v>
      </c>
      <c r="K1600" s="1">
        <v>3.1852353364229202E-2</v>
      </c>
      <c r="L1600" s="1">
        <f>+K1600-J1600</f>
        <v>7.2602353364229211E-2</v>
      </c>
      <c r="M1600" s="1">
        <v>-4.8147646635770799E-2</v>
      </c>
      <c r="N1600" s="1">
        <f>+M1600-J1600</f>
        <v>-7.3976466357707979E-3</v>
      </c>
      <c r="O1600">
        <v>2.23</v>
      </c>
      <c r="P1600" t="s">
        <v>16</v>
      </c>
      <c r="Q1600">
        <v>-0.02</v>
      </c>
      <c r="R1600">
        <v>-1.7717516779899599E-2</v>
      </c>
      <c r="S1600">
        <v>1.8414109945296901E-3</v>
      </c>
      <c r="T1600">
        <v>0</v>
      </c>
    </row>
    <row r="1601" spans="1:20" x14ac:dyDescent="0.3">
      <c r="A1601" t="s">
        <v>118</v>
      </c>
      <c r="B1601">
        <v>2006</v>
      </c>
      <c r="C1601">
        <v>313057.40629999997</v>
      </c>
      <c r="D1601" s="1">
        <v>0</v>
      </c>
      <c r="E1601" s="1">
        <v>0.94002360105514504</v>
      </c>
      <c r="F1601" s="1">
        <v>-5.8000000000000003E-2</v>
      </c>
      <c r="G1601" s="1">
        <f t="shared" si="48"/>
        <v>-5.8000000000000003E-2</v>
      </c>
      <c r="H1601" s="1" t="str">
        <f t="shared" si="49"/>
        <v/>
      </c>
      <c r="I1601" s="1">
        <v>-8.9999999999999993E-3</v>
      </c>
      <c r="J1601" s="1">
        <f>+D1601-F1601+I1601*O1601</f>
        <v>3.6490000000000009E-2</v>
      </c>
      <c r="K1601" s="1">
        <v>5.89160546660423E-2</v>
      </c>
      <c r="L1601" s="1">
        <f>+K1601-J1601</f>
        <v>2.2426054666042292E-2</v>
      </c>
      <c r="M1601" s="1">
        <v>2.6916054666042299E-2</v>
      </c>
      <c r="N1601" s="1">
        <f>+M1601-J1601</f>
        <v>-9.5739453339577091E-3</v>
      </c>
      <c r="O1601">
        <v>2.39</v>
      </c>
      <c r="P1601" t="s">
        <v>16</v>
      </c>
      <c r="Q1601">
        <v>0.02</v>
      </c>
      <c r="R1601">
        <v>-6.3273784667252997E-3</v>
      </c>
      <c r="S1601">
        <v>-5.4056225344538003E-3</v>
      </c>
      <c r="T1601">
        <v>-0.06</v>
      </c>
    </row>
    <row r="1602" spans="1:20" x14ac:dyDescent="0.3">
      <c r="A1602" t="s">
        <v>118</v>
      </c>
      <c r="B1602">
        <v>2007</v>
      </c>
      <c r="C1602">
        <v>314985.90629999997</v>
      </c>
      <c r="D1602" s="1">
        <v>3.7999999999999999E-2</v>
      </c>
      <c r="E1602" s="1">
        <v>0.90183192491531405</v>
      </c>
      <c r="F1602" s="1">
        <v>0.03</v>
      </c>
      <c r="G1602" s="1">
        <f t="shared" si="48"/>
        <v>-2.8000000000000004E-2</v>
      </c>
      <c r="H1602" s="1" t="str">
        <f t="shared" si="49"/>
        <v/>
      </c>
      <c r="I1602" s="1">
        <v>-3.7999999999999999E-2</v>
      </c>
      <c r="J1602" s="1">
        <f>+D1602-F1602+I1602*O1602</f>
        <v>-8.548E-2</v>
      </c>
      <c r="K1602" s="1">
        <v>2.2672621533274699E-2</v>
      </c>
      <c r="L1602" s="1">
        <f>+K1602-J1602</f>
        <v>0.10815262153327471</v>
      </c>
      <c r="M1602" s="1">
        <v>-6.3273784667252997E-3</v>
      </c>
      <c r="N1602" s="1">
        <f>+M1602-J1602</f>
        <v>7.9152621533274695E-2</v>
      </c>
      <c r="O1602">
        <v>2.46</v>
      </c>
      <c r="P1602" t="s">
        <v>17</v>
      </c>
      <c r="Q1602">
        <v>-0.01</v>
      </c>
      <c r="R1602">
        <v>-5.9134346723556497E-2</v>
      </c>
      <c r="S1602">
        <v>-2.9623542446643E-2</v>
      </c>
      <c r="T1602">
        <v>0.03</v>
      </c>
    </row>
    <row r="1603" spans="1:20" x14ac:dyDescent="0.3">
      <c r="A1603" t="s">
        <v>118</v>
      </c>
      <c r="B1603">
        <v>2008</v>
      </c>
      <c r="C1603">
        <v>317115.5</v>
      </c>
      <c r="D1603" s="1">
        <v>0.01</v>
      </c>
      <c r="E1603" s="1">
        <v>0.90968579053878795</v>
      </c>
      <c r="F1603" s="1">
        <v>-1.0999999999999999E-2</v>
      </c>
      <c r="G1603" s="1">
        <f t="shared" si="48"/>
        <v>-3.9000000000000007E-2</v>
      </c>
      <c r="H1603" s="1" t="str">
        <f t="shared" si="49"/>
        <v/>
      </c>
      <c r="I1603" s="1">
        <v>8.0000000000000002E-3</v>
      </c>
      <c r="J1603" s="1">
        <f>+D1603-F1603+I1603*O1603</f>
        <v>4.052E-2</v>
      </c>
      <c r="K1603" s="1">
        <v>-2.1134346723556501E-2</v>
      </c>
      <c r="L1603" s="1">
        <f>+K1603-J1603</f>
        <v>-6.1654346723556505E-2</v>
      </c>
      <c r="M1603" s="1">
        <v>-5.9134346723556497E-2</v>
      </c>
      <c r="N1603" s="1">
        <f>+M1603-J1603</f>
        <v>-9.9654346723556497E-2</v>
      </c>
      <c r="O1603">
        <v>2.44</v>
      </c>
      <c r="P1603" t="s">
        <v>17</v>
      </c>
      <c r="Q1603">
        <v>-0.03</v>
      </c>
      <c r="R1603">
        <v>-2.89905040562153E-2</v>
      </c>
      <c r="S1603">
        <v>-2.4238023906946399E-3</v>
      </c>
      <c r="T1603">
        <v>-0.01</v>
      </c>
    </row>
    <row r="1604" spans="1:20" x14ac:dyDescent="0.3">
      <c r="A1604" t="s">
        <v>118</v>
      </c>
      <c r="B1604">
        <v>2009</v>
      </c>
      <c r="C1604">
        <v>319430.3125</v>
      </c>
      <c r="D1604" s="1">
        <v>0</v>
      </c>
      <c r="E1604" s="1">
        <v>0.91963481903076205</v>
      </c>
      <c r="F1604" s="1">
        <v>-1.4E-2</v>
      </c>
      <c r="G1604" s="1">
        <f t="shared" si="48"/>
        <v>-5.3000000000000005E-2</v>
      </c>
      <c r="H1604" s="1" t="str">
        <f t="shared" si="49"/>
        <v/>
      </c>
      <c r="I1604" s="1">
        <v>0.01</v>
      </c>
      <c r="J1604" s="1">
        <f>+D1604-F1604+I1604*O1604</f>
        <v>3.7999999999999999E-2</v>
      </c>
      <c r="K1604" s="1">
        <v>-3.29905040562153E-2</v>
      </c>
      <c r="L1604" s="1">
        <f>+K1604-J1604</f>
        <v>-7.0990504056215292E-2</v>
      </c>
      <c r="M1604" s="1">
        <v>-2.89905040562153E-2</v>
      </c>
      <c r="N1604" s="1">
        <f>+M1604-J1604</f>
        <v>-6.6990504056215303E-2</v>
      </c>
      <c r="O1604">
        <v>2.4</v>
      </c>
      <c r="P1604" t="s">
        <v>17</v>
      </c>
      <c r="Q1604">
        <v>0</v>
      </c>
      <c r="R1604">
        <v>-1.2138720773160401E-2</v>
      </c>
      <c r="S1604">
        <v>-2.6786120142787699E-3</v>
      </c>
      <c r="T1604">
        <v>-0.03</v>
      </c>
    </row>
    <row r="1605" spans="1:20" x14ac:dyDescent="0.3">
      <c r="A1605" t="s">
        <v>118</v>
      </c>
      <c r="B1605">
        <v>2010</v>
      </c>
      <c r="C1605">
        <v>323076.8125</v>
      </c>
      <c r="D1605" s="1">
        <v>0</v>
      </c>
      <c r="E1605" s="1">
        <v>0.93715173006057695</v>
      </c>
      <c r="F1605" s="1">
        <v>3.4000000000000002E-2</v>
      </c>
      <c r="G1605" s="1">
        <f t="shared" si="48"/>
        <v>-1.9000000000000003E-2</v>
      </c>
      <c r="H1605" s="1" t="str">
        <f t="shared" si="49"/>
        <v/>
      </c>
      <c r="I1605" s="1">
        <v>1.7999999999999999E-2</v>
      </c>
      <c r="J1605" s="1">
        <f>+D1605-F1605+I1605*O1605</f>
        <v>1.0639999999999997E-2</v>
      </c>
      <c r="K1605" s="1">
        <v>3.8612792268395398E-3</v>
      </c>
      <c r="L1605" s="1">
        <f>+K1605-J1605</f>
        <v>-6.7787207731604569E-3</v>
      </c>
      <c r="M1605" s="1">
        <v>-1.2138720773160401E-2</v>
      </c>
      <c r="N1605" s="1">
        <f>+M1605-J1605</f>
        <v>-2.2778720773160399E-2</v>
      </c>
      <c r="O1605">
        <v>2.48</v>
      </c>
      <c r="P1605" t="s">
        <v>15</v>
      </c>
      <c r="Q1605">
        <v>0</v>
      </c>
      <c r="R1605">
        <v>-2.3634405218064699E-2</v>
      </c>
      <c r="S1605">
        <v>-2.3506307043134902E-3</v>
      </c>
      <c r="T1605">
        <v>0.03</v>
      </c>
    </row>
    <row r="1606" spans="1:20" x14ac:dyDescent="0.3">
      <c r="A1606" t="s">
        <v>118</v>
      </c>
      <c r="B1606">
        <v>2011</v>
      </c>
      <c r="C1606">
        <v>326446.40629999997</v>
      </c>
      <c r="D1606" s="1">
        <v>0</v>
      </c>
      <c r="E1606" s="1">
        <v>0.94464713335037198</v>
      </c>
      <c r="F1606" s="1">
        <v>1.6E-2</v>
      </c>
      <c r="G1606" s="1">
        <f t="shared" si="48"/>
        <v>-3.0000000000000027E-3</v>
      </c>
      <c r="H1606" s="1" t="str">
        <f t="shared" si="49"/>
        <v/>
      </c>
      <c r="I1606" s="1">
        <v>7.0000000000000001E-3</v>
      </c>
      <c r="J1606" s="1">
        <f>+D1606-F1606+I1606*O1606</f>
        <v>1.6399999999999991E-3</v>
      </c>
      <c r="K1606" s="1">
        <v>8.3655947819352098E-3</v>
      </c>
      <c r="L1606" s="1">
        <f>+K1606-J1606</f>
        <v>6.7255947819352107E-3</v>
      </c>
      <c r="M1606" s="1">
        <v>-2.3634405218064699E-2</v>
      </c>
      <c r="N1606" s="1">
        <f>+M1606-J1606</f>
        <v>-2.5274405218064698E-2</v>
      </c>
      <c r="O1606">
        <v>2.52</v>
      </c>
      <c r="P1606" t="s">
        <v>15</v>
      </c>
      <c r="Q1606">
        <v>0</v>
      </c>
      <c r="R1606">
        <v>3.0218397229909901E-3</v>
      </c>
      <c r="S1606">
        <v>8.4600457921623993E-3</v>
      </c>
      <c r="T1606">
        <v>0.02</v>
      </c>
    </row>
    <row r="1607" spans="1:20" x14ac:dyDescent="0.3">
      <c r="A1607" t="s">
        <v>118</v>
      </c>
      <c r="B1607">
        <v>2012</v>
      </c>
      <c r="C1607">
        <v>330099.90629999997</v>
      </c>
      <c r="D1607" s="1">
        <v>0</v>
      </c>
      <c r="E1607" s="1">
        <v>0.95325469970703103</v>
      </c>
      <c r="F1607" s="1">
        <v>2.5000000000000001E-2</v>
      </c>
      <c r="G1607" s="1">
        <f t="shared" ref="G1607:G1670" si="50">SUMIFS(F:F,A:A,A1607,B:B,"&lt;="&amp;B1607)</f>
        <v>2.1999999999999999E-2</v>
      </c>
      <c r="H1607" s="1" t="str">
        <f t="shared" ref="H1607:H1670" si="51">IFERROR(IF(ABS(G1607)&gt;0.12,AVERAGEIFS(K:K,A:A,A1607,B:B,"&gt;"&amp;B1607,B:B,"&lt;"&amp;B1607+3),""),"")</f>
        <v/>
      </c>
      <c r="I1607" s="1">
        <v>8.9999999999999993E-3</v>
      </c>
      <c r="J1607" s="1">
        <f>+D1607-F1607+I1607*O1607</f>
        <v>-1.690000000000004E-3</v>
      </c>
      <c r="K1607" s="1">
        <v>2.4021839722991E-2</v>
      </c>
      <c r="L1607" s="1">
        <f>+K1607-J1607</f>
        <v>2.5711839722991004E-2</v>
      </c>
      <c r="M1607" s="1">
        <v>3.0218397229909901E-3</v>
      </c>
      <c r="N1607" s="1">
        <f>+M1607-J1607</f>
        <v>4.7118397229909941E-3</v>
      </c>
      <c r="O1607">
        <v>2.59</v>
      </c>
      <c r="P1607" t="s">
        <v>15</v>
      </c>
      <c r="Q1607">
        <v>0.01</v>
      </c>
      <c r="R1607">
        <v>1.8273827284574499E-2</v>
      </c>
      <c r="S1607">
        <v>1.21470559388399E-2</v>
      </c>
      <c r="T1607">
        <v>0.02</v>
      </c>
    </row>
    <row r="1608" spans="1:20" x14ac:dyDescent="0.3">
      <c r="A1608" t="s">
        <v>118</v>
      </c>
      <c r="B1608">
        <v>2013</v>
      </c>
      <c r="C1608">
        <v>335642</v>
      </c>
      <c r="D1608" s="1">
        <v>3.5000000000000003E-2</v>
      </c>
      <c r="E1608" s="1">
        <v>0.94411510229110696</v>
      </c>
      <c r="F1608" s="1">
        <v>-0.11600000000000001</v>
      </c>
      <c r="G1608" s="1">
        <f t="shared" si="50"/>
        <v>-9.4E-2</v>
      </c>
      <c r="H1608" s="1" t="str">
        <f t="shared" si="51"/>
        <v/>
      </c>
      <c r="I1608" s="1">
        <v>-8.9999999999999993E-3</v>
      </c>
      <c r="J1608" s="1">
        <f>+D1608-F1608+I1608*O1608</f>
        <v>0.13039000000000003</v>
      </c>
      <c r="K1608" s="1">
        <v>3.3273827284574502E-2</v>
      </c>
      <c r="L1608" s="1">
        <f>+K1608-J1608</f>
        <v>-9.7116172715425525E-2</v>
      </c>
      <c r="M1608" s="1">
        <v>1.8273827284574499E-2</v>
      </c>
      <c r="N1608" s="1">
        <f>+M1608-J1608</f>
        <v>-0.11211617271542554</v>
      </c>
      <c r="O1608">
        <v>2.29</v>
      </c>
      <c r="P1608" t="s">
        <v>16</v>
      </c>
      <c r="Q1608">
        <v>0.01</v>
      </c>
      <c r="R1608">
        <v>1.7386390656232799E-2</v>
      </c>
      <c r="S1608">
        <v>1.5378367155790201E-2</v>
      </c>
      <c r="T1608">
        <v>-0.12</v>
      </c>
    </row>
    <row r="1609" spans="1:20" x14ac:dyDescent="0.3">
      <c r="A1609" t="s">
        <v>118</v>
      </c>
      <c r="B1609">
        <v>2014</v>
      </c>
      <c r="C1609">
        <v>342521.09379999997</v>
      </c>
      <c r="D1609" s="1">
        <v>0</v>
      </c>
      <c r="E1609" s="1">
        <v>0.96272480487823497</v>
      </c>
      <c r="F1609" s="1">
        <v>0.19700000000000001</v>
      </c>
      <c r="G1609" s="1">
        <f t="shared" si="50"/>
        <v>0.10300000000000001</v>
      </c>
      <c r="H1609" s="1" t="str">
        <f t="shared" si="51"/>
        <v/>
      </c>
      <c r="I1609" s="1">
        <v>1.9E-2</v>
      </c>
      <c r="J1609" s="1">
        <f>+D1609-F1609+I1609*O1609</f>
        <v>-0.14494000000000001</v>
      </c>
      <c r="K1609" s="1">
        <v>3.3386390656232799E-2</v>
      </c>
      <c r="L1609" s="1">
        <f>+K1609-J1609</f>
        <v>0.17832639065623282</v>
      </c>
      <c r="M1609" s="1">
        <v>1.7386390656232799E-2</v>
      </c>
      <c r="N1609" s="1">
        <f>+M1609-J1609</f>
        <v>0.16232639065623281</v>
      </c>
      <c r="O1609">
        <v>2.74</v>
      </c>
      <c r="P1609" t="s">
        <v>15</v>
      </c>
      <c r="Q1609">
        <v>0.02</v>
      </c>
      <c r="R1609">
        <v>6.4372608602046993E-2</v>
      </c>
      <c r="S1609">
        <v>3.4109156578779297E-2</v>
      </c>
      <c r="T1609">
        <v>0.19</v>
      </c>
    </row>
    <row r="1610" spans="1:20" x14ac:dyDescent="0.3">
      <c r="A1610" t="s">
        <v>118</v>
      </c>
      <c r="B1610">
        <v>2015</v>
      </c>
      <c r="C1610">
        <v>349982.59379999997</v>
      </c>
      <c r="D1610" s="1">
        <v>6.7000000000000004E-2</v>
      </c>
      <c r="E1610" s="1">
        <v>0.95340907573699996</v>
      </c>
      <c r="F1610" s="1">
        <v>8.9999999999999993E-3</v>
      </c>
      <c r="G1610" s="1">
        <f t="shared" si="50"/>
        <v>0.112</v>
      </c>
      <c r="H1610" s="1" t="str">
        <f t="shared" si="51"/>
        <v/>
      </c>
      <c r="I1610" s="1">
        <v>-8.9999999999999993E-3</v>
      </c>
      <c r="J1610" s="1">
        <f>+D1610-F1610+I1610*O1610</f>
        <v>3.3160000000000009E-2</v>
      </c>
      <c r="K1610" s="1">
        <v>6.5372608602046994E-2</v>
      </c>
      <c r="L1610" s="1">
        <f>+K1610-J1610</f>
        <v>3.2212608602046985E-2</v>
      </c>
      <c r="M1610" s="1">
        <v>6.4372608602046993E-2</v>
      </c>
      <c r="N1610" s="1">
        <f>+M1610-J1610</f>
        <v>3.1212608602046985E-2</v>
      </c>
      <c r="O1610">
        <v>2.76</v>
      </c>
      <c r="P1610" t="s">
        <v>17</v>
      </c>
      <c r="Q1610">
        <v>0.03</v>
      </c>
      <c r="R1610">
        <v>1.8350109726190601E-2</v>
      </c>
      <c r="S1610">
        <v>5.1965527236462004E-3</v>
      </c>
      <c r="T1610">
        <v>0.02</v>
      </c>
    </row>
    <row r="1611" spans="1:20" x14ac:dyDescent="0.3">
      <c r="A1611" t="s">
        <v>118</v>
      </c>
      <c r="B1611">
        <v>2016</v>
      </c>
      <c r="C1611">
        <v>357472</v>
      </c>
      <c r="D1611" s="1">
        <v>1E-3</v>
      </c>
      <c r="E1611" s="1">
        <v>0.95556962490081798</v>
      </c>
      <c r="F1611" s="1">
        <v>-0.114</v>
      </c>
      <c r="G1611" s="1">
        <f t="shared" si="50"/>
        <v>-2.0000000000000018E-3</v>
      </c>
      <c r="H1611" s="1" t="str">
        <f t="shared" si="51"/>
        <v/>
      </c>
      <c r="I1611" s="1">
        <v>2E-3</v>
      </c>
      <c r="J1611" s="1">
        <f>+D1611-F1611+I1611*O1611</f>
        <v>0.11990000000000001</v>
      </c>
      <c r="K1611" s="1">
        <v>3.1350109726190602E-2</v>
      </c>
      <c r="L1611" s="1">
        <f>+K1611-J1611</f>
        <v>-8.8549890273809412E-2</v>
      </c>
      <c r="M1611" s="1">
        <v>1.8350109726190601E-2</v>
      </c>
      <c r="N1611" s="1">
        <f>+M1611-J1611</f>
        <v>-0.10154989027380941</v>
      </c>
      <c r="O1611">
        <v>2.4500000000000002</v>
      </c>
      <c r="P1611" t="s">
        <v>17</v>
      </c>
      <c r="Q1611">
        <v>0.01</v>
      </c>
      <c r="R1611">
        <v>6.2019356489181896E-3</v>
      </c>
      <c r="S1611">
        <v>3.4123621881008998E-3</v>
      </c>
      <c r="T1611">
        <v>-0.11</v>
      </c>
    </row>
    <row r="1612" spans="1:20" x14ac:dyDescent="0.3">
      <c r="A1612" t="s">
        <v>118</v>
      </c>
      <c r="B1612">
        <v>2017</v>
      </c>
      <c r="C1612">
        <v>362765.40629999997</v>
      </c>
      <c r="D1612" s="1">
        <v>0</v>
      </c>
      <c r="E1612" s="1">
        <v>0.94744086265563998</v>
      </c>
      <c r="F1612" s="1">
        <v>4.9000000000000002E-2</v>
      </c>
      <c r="G1612" s="1">
        <f t="shared" si="50"/>
        <v>4.7E-2</v>
      </c>
      <c r="H1612" s="1" t="str">
        <f t="shared" si="51"/>
        <v/>
      </c>
      <c r="I1612" s="1">
        <v>-8.0000000000000002E-3</v>
      </c>
      <c r="J1612" s="1">
        <f>+D1612-F1612+I1612*O1612</f>
        <v>-6.9559999999999997E-2</v>
      </c>
      <c r="K1612" s="1">
        <v>2.72019356489182E-2</v>
      </c>
      <c r="L1612" s="1">
        <f>+K1612-J1612</f>
        <v>9.676193564891819E-2</v>
      </c>
      <c r="M1612" s="1">
        <v>6.2019356489181896E-3</v>
      </c>
      <c r="N1612" s="1">
        <f>+M1612-J1612</f>
        <v>7.5761935648918186E-2</v>
      </c>
      <c r="O1612">
        <v>2.57</v>
      </c>
      <c r="P1612" t="s">
        <v>17</v>
      </c>
      <c r="Q1612">
        <v>0</v>
      </c>
      <c r="R1612">
        <v>-1.01550955101848E-2</v>
      </c>
      <c r="S1612">
        <v>-1.9290118478238499E-2</v>
      </c>
      <c r="T1612">
        <v>0.05</v>
      </c>
    </row>
    <row r="1613" spans="1:20" x14ac:dyDescent="0.3">
      <c r="A1613" t="s">
        <v>118</v>
      </c>
      <c r="B1613">
        <v>2018</v>
      </c>
      <c r="C1613">
        <v>367017.3125</v>
      </c>
      <c r="D1613" s="1">
        <v>9.5000000000000001E-2</v>
      </c>
      <c r="E1613" s="1">
        <v>0.88993507623672496</v>
      </c>
      <c r="F1613" s="1">
        <v>-7.5999999999999998E-2</v>
      </c>
      <c r="G1613" s="1">
        <f t="shared" si="50"/>
        <v>-2.8999999999999998E-2</v>
      </c>
      <c r="H1613" s="1" t="str">
        <f t="shared" si="51"/>
        <v/>
      </c>
      <c r="I1613" s="1">
        <v>-5.8000000000000003E-2</v>
      </c>
      <c r="J1613" s="1">
        <f>+D1613-F1613+I1613*O1613</f>
        <v>3.3539999999999959E-2</v>
      </c>
      <c r="K1613" s="1">
        <v>1.38449044898152E-2</v>
      </c>
      <c r="L1613" s="1">
        <f>+K1613-J1613</f>
        <v>-1.9695095510184758E-2</v>
      </c>
      <c r="M1613" s="1">
        <v>-1.01550955101848E-2</v>
      </c>
      <c r="N1613" s="1">
        <f>+M1613-J1613</f>
        <v>-4.3695095510184759E-2</v>
      </c>
      <c r="O1613">
        <v>2.37</v>
      </c>
      <c r="P1613" t="s">
        <v>16</v>
      </c>
      <c r="Q1613">
        <v>-0.02</v>
      </c>
      <c r="R1613">
        <v>-1.9288816449232301E-2</v>
      </c>
      <c r="S1613">
        <v>-3.7090011057443903E-2</v>
      </c>
      <c r="T1613">
        <v>-7.0000000000000007E-2</v>
      </c>
    </row>
    <row r="1614" spans="1:20" x14ac:dyDescent="0.3">
      <c r="A1614" t="s">
        <v>118</v>
      </c>
      <c r="B1614">
        <v>2019</v>
      </c>
      <c r="C1614">
        <v>372763.6875</v>
      </c>
      <c r="D1614" s="1">
        <v>6.2E-2</v>
      </c>
      <c r="E1614" s="1">
        <v>0.88532000780105602</v>
      </c>
      <c r="F1614" s="1">
        <v>-3.5999999999999997E-2</v>
      </c>
      <c r="G1614" s="1">
        <f t="shared" si="50"/>
        <v>-6.5000000000000002E-2</v>
      </c>
      <c r="H1614" s="1" t="str">
        <f t="shared" si="51"/>
        <v/>
      </c>
      <c r="I1614" s="1">
        <v>-5.0000000000000001E-3</v>
      </c>
      <c r="J1614" s="1">
        <f>+D1614-F1614+I1614*O1614</f>
        <v>8.6550000000000002E-2</v>
      </c>
      <c r="K1614" s="1">
        <v>-1.2888164492323999E-3</v>
      </c>
      <c r="L1614" s="1">
        <f>+K1614-J1614</f>
        <v>-8.7838816449232401E-2</v>
      </c>
      <c r="M1614" s="1">
        <v>-1.9288816449232301E-2</v>
      </c>
      <c r="N1614" s="1">
        <f>+M1614-J1614</f>
        <v>-0.10583881644923231</v>
      </c>
      <c r="O1614">
        <v>2.29</v>
      </c>
      <c r="P1614" t="s">
        <v>16</v>
      </c>
      <c r="Q1614">
        <v>-0.04</v>
      </c>
      <c r="R1614">
        <v>2.1502146601676899E-2</v>
      </c>
      <c r="S1614">
        <v>2.6529561728238899E-3</v>
      </c>
      <c r="T1614">
        <v>-0.03</v>
      </c>
    </row>
    <row r="1615" spans="1:20" x14ac:dyDescent="0.3">
      <c r="A1615" t="s">
        <v>118</v>
      </c>
      <c r="B1615">
        <v>2020</v>
      </c>
      <c r="C1615">
        <v>379815.3125</v>
      </c>
      <c r="D1615" s="1">
        <v>2.9000000000000001E-2</v>
      </c>
      <c r="E1615" s="1">
        <v>0.918101966381073</v>
      </c>
      <c r="F1615" s="1">
        <v>0.186</v>
      </c>
      <c r="G1615" s="1">
        <f t="shared" si="50"/>
        <v>0.121</v>
      </c>
      <c r="H1615" s="1">
        <f t="shared" si="51"/>
        <v>0.19413727521896354</v>
      </c>
      <c r="I1615" s="1">
        <v>3.3000000000000002E-2</v>
      </c>
      <c r="J1615" s="1">
        <f>+D1615-F1615+I1615*O1615</f>
        <v>-6.7569999999999991E-2</v>
      </c>
      <c r="K1615" s="1">
        <v>3.3502146601676899E-2</v>
      </c>
      <c r="L1615" s="1">
        <f>+K1615-J1615</f>
        <v>0.10107214660167689</v>
      </c>
      <c r="M1615" s="1">
        <v>2.1502146601676899E-2</v>
      </c>
      <c r="N1615" s="1">
        <f>+M1615-J1615</f>
        <v>8.9072146601676894E-2</v>
      </c>
      <c r="O1615">
        <v>2.71</v>
      </c>
      <c r="P1615" t="s">
        <v>15</v>
      </c>
      <c r="Q1615">
        <v>0</v>
      </c>
      <c r="R1615">
        <v>0.27379172134399399</v>
      </c>
      <c r="S1615">
        <v>0.23020210862159701</v>
      </c>
      <c r="T1615">
        <v>0.23</v>
      </c>
    </row>
    <row r="1616" spans="1:20" x14ac:dyDescent="0.3">
      <c r="A1616" t="s">
        <v>118</v>
      </c>
      <c r="B1616">
        <v>2021</v>
      </c>
      <c r="C1616">
        <v>390527.8125</v>
      </c>
      <c r="D1616" s="1">
        <v>7.1999999999999995E-2</v>
      </c>
      <c r="E1616" s="1">
        <v>0.96154367923736594</v>
      </c>
      <c r="F1616" s="1">
        <v>-2.7E-2</v>
      </c>
      <c r="G1616" s="1">
        <f t="shared" si="50"/>
        <v>9.4E-2</v>
      </c>
      <c r="H1616" s="1" t="str">
        <f t="shared" si="51"/>
        <v/>
      </c>
      <c r="I1616" s="1">
        <v>4.2999999999999997E-2</v>
      </c>
      <c r="J1616" s="1">
        <f>+D1616-F1616+I1616*O1616</f>
        <v>0.21251999999999999</v>
      </c>
      <c r="K1616" s="1">
        <v>0.32079172134399397</v>
      </c>
      <c r="L1616" s="1">
        <f>+K1616-J1616</f>
        <v>0.10827172134399399</v>
      </c>
      <c r="M1616" s="1">
        <v>0.27379172134399399</v>
      </c>
      <c r="N1616" s="1">
        <f>+M1616-J1616</f>
        <v>6.1271721343994001E-2</v>
      </c>
      <c r="O1616">
        <v>2.64</v>
      </c>
      <c r="P1616" t="s">
        <v>17</v>
      </c>
      <c r="Q1616">
        <v>0.23</v>
      </c>
      <c r="R1616">
        <v>-1.2517170906066801E-2</v>
      </c>
      <c r="S1616">
        <v>1.9586335867643401E-2</v>
      </c>
      <c r="T1616">
        <v>-0.06</v>
      </c>
    </row>
    <row r="1617" spans="1:20" x14ac:dyDescent="0.3">
      <c r="A1617" t="s">
        <v>118</v>
      </c>
      <c r="B1617">
        <v>2022</v>
      </c>
      <c r="C1617">
        <v>402825.90629999997</v>
      </c>
      <c r="D1617" s="1">
        <v>9.4E-2</v>
      </c>
      <c r="E1617" s="1">
        <v>0.92272299528121904</v>
      </c>
      <c r="F1617" s="1">
        <v>-0.124</v>
      </c>
      <c r="G1617" s="1">
        <f t="shared" si="50"/>
        <v>-0.03</v>
      </c>
      <c r="H1617" s="1" t="str">
        <f t="shared" si="51"/>
        <v/>
      </c>
      <c r="I1617" s="1">
        <v>-3.9E-2</v>
      </c>
      <c r="J1617" s="1">
        <f>+D1617-F1617+I1617*O1617</f>
        <v>0.12791</v>
      </c>
      <c r="K1617" s="1">
        <v>6.7482829093933105E-2</v>
      </c>
      <c r="L1617" s="1">
        <f>+K1617-J1617</f>
        <v>-6.042717090606689E-2</v>
      </c>
      <c r="M1617" s="1">
        <v>-1.2517170906066801E-2</v>
      </c>
      <c r="N1617" s="1">
        <f>+M1617-J1617</f>
        <v>-0.14042717090606679</v>
      </c>
      <c r="O1617">
        <v>2.31</v>
      </c>
      <c r="P1617" t="s">
        <v>16</v>
      </c>
      <c r="Q1617">
        <v>0.02</v>
      </c>
      <c r="R1617">
        <v>-7.9371354341506994E-2</v>
      </c>
      <c r="S1617">
        <v>-5.9812426567077602E-2</v>
      </c>
      <c r="T1617">
        <v>-0.11</v>
      </c>
    </row>
    <row r="1618" spans="1:20" x14ac:dyDescent="0.3">
      <c r="A1618" t="s">
        <v>119</v>
      </c>
      <c r="B1618">
        <v>2006</v>
      </c>
      <c r="C1618">
        <v>1563051</v>
      </c>
      <c r="D1618" s="1">
        <v>0.02</v>
      </c>
      <c r="E1618" s="1">
        <v>0.93744754791259799</v>
      </c>
      <c r="F1618" s="1">
        <v>-6.0000000000000001E-3</v>
      </c>
      <c r="G1618" s="1">
        <f t="shared" si="50"/>
        <v>-6.0000000000000001E-3</v>
      </c>
      <c r="H1618" s="1" t="str">
        <f t="shared" si="51"/>
        <v/>
      </c>
      <c r="I1618" s="1">
        <v>-6.0000000000000001E-3</v>
      </c>
      <c r="J1618" s="1">
        <f>+D1618-F1618+I1618*O1618</f>
        <v>1.2740000000000003E-2</v>
      </c>
      <c r="K1618" s="1">
        <v>2.3545356467366201E-2</v>
      </c>
      <c r="L1618" s="1">
        <f>+K1618-J1618</f>
        <v>1.0805356467366198E-2</v>
      </c>
      <c r="M1618" s="1">
        <v>-8.4546435326337994E-3</v>
      </c>
      <c r="N1618" s="1">
        <f>+M1618-J1618</f>
        <v>-2.1194643532633804E-2</v>
      </c>
      <c r="O1618">
        <v>2.21</v>
      </c>
      <c r="P1618" t="s">
        <v>16</v>
      </c>
      <c r="Q1618">
        <v>-0.01</v>
      </c>
      <c r="R1618">
        <v>-8.3013340830800906E-5</v>
      </c>
      <c r="S1618">
        <v>8.3874259144069998E-4</v>
      </c>
      <c r="T1618">
        <v>-0.01</v>
      </c>
    </row>
    <row r="1619" spans="1:20" x14ac:dyDescent="0.3">
      <c r="A1619" t="s">
        <v>119</v>
      </c>
      <c r="B1619">
        <v>2007</v>
      </c>
      <c r="C1619">
        <v>1600994</v>
      </c>
      <c r="D1619" s="1">
        <v>2.1000000000000001E-2</v>
      </c>
      <c r="E1619" s="1">
        <v>0.92670947313308705</v>
      </c>
      <c r="F1619" s="1">
        <v>-8.0000000000000002E-3</v>
      </c>
      <c r="G1619" s="1">
        <f t="shared" si="50"/>
        <v>-1.4E-2</v>
      </c>
      <c r="H1619" s="1" t="str">
        <f t="shared" si="51"/>
        <v/>
      </c>
      <c r="I1619" s="1">
        <v>-1.0999999999999999E-2</v>
      </c>
      <c r="J1619" s="1">
        <f>+D1619-F1619+I1619*O1619</f>
        <v>4.9100000000000046E-3</v>
      </c>
      <c r="K1619" s="1">
        <v>2.8916986659169201E-2</v>
      </c>
      <c r="L1619" s="1">
        <f>+K1619-J1619</f>
        <v>2.4006986659169196E-2</v>
      </c>
      <c r="M1619" s="1">
        <v>-8.3013340830800906E-5</v>
      </c>
      <c r="N1619" s="1">
        <f>+M1619-J1619</f>
        <v>-4.9930133408308056E-3</v>
      </c>
      <c r="O1619">
        <v>2.19</v>
      </c>
      <c r="P1619" t="s">
        <v>16</v>
      </c>
      <c r="Q1619">
        <v>0</v>
      </c>
      <c r="R1619">
        <v>-2.7613945595920099E-2</v>
      </c>
      <c r="S1619">
        <v>1.8968586809932999E-3</v>
      </c>
      <c r="T1619">
        <v>-0.01</v>
      </c>
    </row>
    <row r="1620" spans="1:20" x14ac:dyDescent="0.3">
      <c r="A1620" t="s">
        <v>119</v>
      </c>
      <c r="B1620">
        <v>2008</v>
      </c>
      <c r="C1620">
        <v>1633824</v>
      </c>
      <c r="D1620" s="1">
        <v>1.9E-2</v>
      </c>
      <c r="E1620" s="1">
        <v>0.92493313550949097</v>
      </c>
      <c r="F1620" s="1">
        <v>3.3000000000000002E-2</v>
      </c>
      <c r="G1620" s="1">
        <f t="shared" si="50"/>
        <v>1.9000000000000003E-2</v>
      </c>
      <c r="H1620" s="1" t="str">
        <f t="shared" si="51"/>
        <v/>
      </c>
      <c r="I1620" s="1">
        <v>-2E-3</v>
      </c>
      <c r="J1620" s="1">
        <f>+D1620-F1620+I1620*O1620</f>
        <v>-1.8520000000000002E-2</v>
      </c>
      <c r="K1620" s="1">
        <v>1.03860544040799E-2</v>
      </c>
      <c r="L1620" s="1">
        <f>+K1620-J1620</f>
        <v>2.8906054404079902E-2</v>
      </c>
      <c r="M1620" s="1">
        <v>-2.7613945595920099E-2</v>
      </c>
      <c r="N1620" s="1">
        <f>+M1620-J1620</f>
        <v>-9.0939455959200971E-3</v>
      </c>
      <c r="O1620">
        <v>2.2599999999999998</v>
      </c>
      <c r="P1620" t="s">
        <v>17</v>
      </c>
      <c r="Q1620">
        <v>0</v>
      </c>
      <c r="R1620">
        <v>-2.1742392987012901E-2</v>
      </c>
      <c r="S1620">
        <v>4.8243086785077398E-3</v>
      </c>
      <c r="T1620">
        <v>0.03</v>
      </c>
    </row>
    <row r="1621" spans="1:20" x14ac:dyDescent="0.3">
      <c r="A1621" t="s">
        <v>119</v>
      </c>
      <c r="B1621">
        <v>2009</v>
      </c>
      <c r="C1621">
        <v>1659890</v>
      </c>
      <c r="D1621" s="1">
        <v>1.0999999999999999E-2</v>
      </c>
      <c r="E1621" s="1">
        <v>0.92794346809387196</v>
      </c>
      <c r="F1621" s="1">
        <v>-1.2E-2</v>
      </c>
      <c r="G1621" s="1">
        <f t="shared" si="50"/>
        <v>7.0000000000000027E-3</v>
      </c>
      <c r="H1621" s="1" t="str">
        <f t="shared" si="51"/>
        <v/>
      </c>
      <c r="I1621" s="1">
        <v>3.0000000000000001E-3</v>
      </c>
      <c r="J1621" s="1">
        <f>+D1621-F1621+I1621*O1621</f>
        <v>2.9690000000000001E-2</v>
      </c>
      <c r="K1621" s="1">
        <v>-2.5742392987012901E-2</v>
      </c>
      <c r="L1621" s="1">
        <f>+K1621-J1621</f>
        <v>-5.5432392987012899E-2</v>
      </c>
      <c r="M1621" s="1">
        <v>-2.1742392987012901E-2</v>
      </c>
      <c r="N1621" s="1">
        <f>+M1621-J1621</f>
        <v>-5.1432392987012902E-2</v>
      </c>
      <c r="O1621">
        <v>2.23</v>
      </c>
      <c r="P1621" t="s">
        <v>17</v>
      </c>
      <c r="Q1621">
        <v>0</v>
      </c>
      <c r="R1621">
        <v>3.3638354539871E-3</v>
      </c>
      <c r="S1621">
        <v>1.28239442128687E-2</v>
      </c>
      <c r="T1621">
        <v>-0.03</v>
      </c>
    </row>
    <row r="1622" spans="1:20" x14ac:dyDescent="0.3">
      <c r="A1622" t="s">
        <v>119</v>
      </c>
      <c r="B1622">
        <v>2010</v>
      </c>
      <c r="C1622">
        <v>1683245</v>
      </c>
      <c r="D1622" s="1">
        <v>1.4999999999999999E-2</v>
      </c>
      <c r="E1622" s="1">
        <v>0.93683582544326804</v>
      </c>
      <c r="F1622" s="1">
        <v>2.8000000000000001E-2</v>
      </c>
      <c r="G1622" s="1">
        <f t="shared" si="50"/>
        <v>3.5000000000000003E-2</v>
      </c>
      <c r="H1622" s="1" t="str">
        <f t="shared" si="51"/>
        <v/>
      </c>
      <c r="I1622" s="1">
        <v>8.9999999999999993E-3</v>
      </c>
      <c r="J1622" s="1">
        <f>+D1622-F1622+I1622*O1622</f>
        <v>7.699999999999995E-3</v>
      </c>
      <c r="K1622" s="1">
        <v>1.9363835453987101E-2</v>
      </c>
      <c r="L1622" s="1">
        <f>+K1622-J1622</f>
        <v>1.1663835453987106E-2</v>
      </c>
      <c r="M1622" s="1">
        <v>3.3638354539871E-3</v>
      </c>
      <c r="N1622" s="1">
        <f>+M1622-J1622</f>
        <v>-4.3361645460128946E-3</v>
      </c>
      <c r="O1622">
        <v>2.2999999999999998</v>
      </c>
      <c r="P1622" t="s">
        <v>15</v>
      </c>
      <c r="Q1622">
        <v>0.01</v>
      </c>
      <c r="R1622">
        <v>-2.2764036774635302E-2</v>
      </c>
      <c r="S1622">
        <v>-1.4802622608839999E-3</v>
      </c>
      <c r="T1622">
        <v>0.02</v>
      </c>
    </row>
    <row r="1623" spans="1:20" x14ac:dyDescent="0.3">
      <c r="A1623" t="s">
        <v>119</v>
      </c>
      <c r="B1623">
        <v>2011</v>
      </c>
      <c r="C1623">
        <v>1711519</v>
      </c>
      <c r="D1623" s="1">
        <v>1.2999999999999999E-2</v>
      </c>
      <c r="E1623" s="1">
        <v>0.93908488750457797</v>
      </c>
      <c r="F1623" s="1">
        <v>-1.4999999999999999E-2</v>
      </c>
      <c r="G1623" s="1">
        <f t="shared" si="50"/>
        <v>2.0000000000000004E-2</v>
      </c>
      <c r="H1623" s="1" t="str">
        <f t="shared" si="51"/>
        <v/>
      </c>
      <c r="I1623" s="1">
        <v>2E-3</v>
      </c>
      <c r="J1623" s="1">
        <f>+D1623-F1623+I1623*O1623</f>
        <v>3.2519999999999993E-2</v>
      </c>
      <c r="K1623" s="1">
        <v>9.2359632253646903E-3</v>
      </c>
      <c r="L1623" s="1">
        <f>+K1623-J1623</f>
        <v>-2.3284036774635301E-2</v>
      </c>
      <c r="M1623" s="1">
        <v>-2.2764036774635302E-2</v>
      </c>
      <c r="N1623" s="1">
        <f>+M1623-J1623</f>
        <v>-5.5284036774635295E-2</v>
      </c>
      <c r="O1623">
        <v>2.2599999999999998</v>
      </c>
      <c r="P1623" t="s">
        <v>17</v>
      </c>
      <c r="Q1623">
        <v>0</v>
      </c>
      <c r="R1623">
        <v>9.4749005138869695E-4</v>
      </c>
      <c r="S1623">
        <v>6.3856961205600903E-3</v>
      </c>
      <c r="T1623">
        <v>-0.01</v>
      </c>
    </row>
    <row r="1624" spans="1:20" x14ac:dyDescent="0.3">
      <c r="A1624" t="s">
        <v>119</v>
      </c>
      <c r="B1624">
        <v>2012</v>
      </c>
      <c r="C1624">
        <v>1744957</v>
      </c>
      <c r="D1624" s="1">
        <v>1.4E-2</v>
      </c>
      <c r="E1624" s="1">
        <v>0.94565945863723799</v>
      </c>
      <c r="F1624" s="1">
        <v>-1.2E-2</v>
      </c>
      <c r="G1624" s="1">
        <f t="shared" si="50"/>
        <v>8.0000000000000036E-3</v>
      </c>
      <c r="H1624" s="1" t="str">
        <f t="shared" si="51"/>
        <v/>
      </c>
      <c r="I1624" s="1">
        <v>7.0000000000000001E-3</v>
      </c>
      <c r="J1624" s="1">
        <f>+D1624-F1624+I1624*O1624</f>
        <v>4.1610000000000001E-2</v>
      </c>
      <c r="K1624" s="1">
        <v>2.1947490051388699E-2</v>
      </c>
      <c r="L1624" s="1">
        <f>+K1624-J1624</f>
        <v>-1.9662509948611302E-2</v>
      </c>
      <c r="M1624" s="1">
        <v>9.4749005138869695E-4</v>
      </c>
      <c r="N1624" s="1">
        <f>+M1624-J1624</f>
        <v>-4.0662509948611307E-2</v>
      </c>
      <c r="O1624">
        <v>2.23</v>
      </c>
      <c r="P1624" t="s">
        <v>17</v>
      </c>
      <c r="Q1624">
        <v>0.01</v>
      </c>
      <c r="R1624">
        <v>1.0372287258505799E-2</v>
      </c>
      <c r="S1624">
        <v>4.2455159127711998E-3</v>
      </c>
      <c r="T1624">
        <v>-0.02</v>
      </c>
    </row>
    <row r="1625" spans="1:20" x14ac:dyDescent="0.3">
      <c r="A1625" t="s">
        <v>119</v>
      </c>
      <c r="B1625">
        <v>2013</v>
      </c>
      <c r="C1625">
        <v>1780340</v>
      </c>
      <c r="D1625" s="1">
        <v>3.3000000000000002E-2</v>
      </c>
      <c r="E1625" s="1">
        <v>0.93913364410400402</v>
      </c>
      <c r="F1625" s="1">
        <v>3.1E-2</v>
      </c>
      <c r="G1625" s="1">
        <f t="shared" si="50"/>
        <v>3.9000000000000007E-2</v>
      </c>
      <c r="H1625" s="1" t="str">
        <f t="shared" si="51"/>
        <v/>
      </c>
      <c r="I1625" s="1">
        <v>-7.0000000000000001E-3</v>
      </c>
      <c r="J1625" s="1">
        <f>+D1625-F1625+I1625*O1625</f>
        <v>-1.4099999999999998E-2</v>
      </c>
      <c r="K1625" s="1">
        <v>2.53722872585058E-2</v>
      </c>
      <c r="L1625" s="1">
        <f>+K1625-J1625</f>
        <v>3.9472287258505795E-2</v>
      </c>
      <c r="M1625" s="1">
        <v>1.0372287258505799E-2</v>
      </c>
      <c r="N1625" s="1">
        <f>+M1625-J1625</f>
        <v>2.4472287258505795E-2</v>
      </c>
      <c r="O1625">
        <v>2.2999999999999998</v>
      </c>
      <c r="P1625" t="s">
        <v>17</v>
      </c>
      <c r="Q1625">
        <v>0</v>
      </c>
      <c r="R1625">
        <v>8.0055210888385995E-3</v>
      </c>
      <c r="S1625">
        <v>5.9974975883961001E-3</v>
      </c>
      <c r="T1625">
        <v>0.02</v>
      </c>
    </row>
    <row r="1626" spans="1:20" x14ac:dyDescent="0.3">
      <c r="A1626" t="s">
        <v>119</v>
      </c>
      <c r="B1626">
        <v>2014</v>
      </c>
      <c r="C1626">
        <v>1818453</v>
      </c>
      <c r="D1626" s="1">
        <v>5.0999999999999997E-2</v>
      </c>
      <c r="E1626" s="1">
        <v>0.93472129106521595</v>
      </c>
      <c r="F1626" s="1">
        <v>4.5999999999999999E-2</v>
      </c>
      <c r="G1626" s="1">
        <f t="shared" si="50"/>
        <v>8.5000000000000006E-2</v>
      </c>
      <c r="H1626" s="1" t="str">
        <f t="shared" si="51"/>
        <v/>
      </c>
      <c r="I1626" s="1">
        <v>-4.0000000000000001E-3</v>
      </c>
      <c r="J1626" s="1">
        <f>+D1626-F1626+I1626*O1626</f>
        <v>-4.6400000000000035E-3</v>
      </c>
      <c r="K1626" s="1">
        <v>2.4005521088838602E-2</v>
      </c>
      <c r="L1626" s="1">
        <f>+K1626-J1626</f>
        <v>2.8645521088838603E-2</v>
      </c>
      <c r="M1626" s="1">
        <v>8.0055210888385995E-3</v>
      </c>
      <c r="N1626" s="1">
        <f>+M1626-J1626</f>
        <v>1.2645521088838603E-2</v>
      </c>
      <c r="O1626">
        <v>2.41</v>
      </c>
      <c r="P1626" t="s">
        <v>17</v>
      </c>
      <c r="Q1626">
        <v>0.01</v>
      </c>
      <c r="R1626">
        <v>4.6565028071403503E-2</v>
      </c>
      <c r="S1626">
        <v>1.6301576048135799E-2</v>
      </c>
      <c r="T1626">
        <v>0.04</v>
      </c>
    </row>
    <row r="1627" spans="1:20" x14ac:dyDescent="0.3">
      <c r="A1627" t="s">
        <v>119</v>
      </c>
      <c r="B1627">
        <v>2015</v>
      </c>
      <c r="C1627">
        <v>1858437</v>
      </c>
      <c r="D1627" s="1">
        <v>4.8000000000000001E-2</v>
      </c>
      <c r="E1627" s="1">
        <v>0.93041509389877297</v>
      </c>
      <c r="F1627" s="1">
        <v>-1.7999999999999999E-2</v>
      </c>
      <c r="G1627" s="1">
        <f t="shared" si="50"/>
        <v>6.7000000000000004E-2</v>
      </c>
      <c r="H1627" s="1" t="str">
        <f t="shared" si="51"/>
        <v/>
      </c>
      <c r="I1627" s="1">
        <v>-4.0000000000000001E-3</v>
      </c>
      <c r="J1627" s="1">
        <f>+D1627-F1627+I1627*O1627</f>
        <v>5.6559999999999999E-2</v>
      </c>
      <c r="K1627" s="1">
        <v>4.7565028071403503E-2</v>
      </c>
      <c r="L1627" s="1">
        <f>+K1627-J1627</f>
        <v>-8.9949719285964957E-3</v>
      </c>
      <c r="M1627" s="1">
        <v>4.6565028071403503E-2</v>
      </c>
      <c r="N1627" s="1">
        <f>+M1627-J1627</f>
        <v>-9.9949719285964966E-3</v>
      </c>
      <c r="O1627">
        <v>2.36</v>
      </c>
      <c r="P1627" t="s">
        <v>16</v>
      </c>
      <c r="Q1627">
        <v>0.02</v>
      </c>
      <c r="R1627">
        <v>7.9247097373008994E-3</v>
      </c>
      <c r="S1627">
        <v>-5.2288472652434904E-3</v>
      </c>
      <c r="T1627">
        <v>-0.01</v>
      </c>
    </row>
    <row r="1628" spans="1:20" x14ac:dyDescent="0.3">
      <c r="A1628" t="s">
        <v>119</v>
      </c>
      <c r="B1628">
        <v>2016</v>
      </c>
      <c r="C1628">
        <v>1898341</v>
      </c>
      <c r="D1628" s="1">
        <v>5.6000000000000001E-2</v>
      </c>
      <c r="E1628" s="1">
        <v>0.91317772865295399</v>
      </c>
      <c r="F1628" s="1">
        <v>-6.0000000000000001E-3</v>
      </c>
      <c r="G1628" s="1">
        <f t="shared" si="50"/>
        <v>6.1000000000000006E-2</v>
      </c>
      <c r="H1628" s="1" t="str">
        <f t="shared" si="51"/>
        <v/>
      </c>
      <c r="I1628" s="1">
        <v>-1.7000000000000001E-2</v>
      </c>
      <c r="J1628" s="1">
        <f>+D1628-F1628+I1628*O1628</f>
        <v>2.2049999999999993E-2</v>
      </c>
      <c r="K1628" s="1">
        <v>2.0924709737300901E-2</v>
      </c>
      <c r="L1628" s="1">
        <f>+K1628-J1628</f>
        <v>-1.1252902626990927E-3</v>
      </c>
      <c r="M1628" s="1">
        <v>7.9247097373008994E-3</v>
      </c>
      <c r="N1628" s="1">
        <f>+M1628-J1628</f>
        <v>-1.4125290262699094E-2</v>
      </c>
      <c r="O1628">
        <v>2.35</v>
      </c>
      <c r="P1628" t="s">
        <v>16</v>
      </c>
      <c r="Q1628">
        <v>-0.01</v>
      </c>
      <c r="R1628">
        <v>-1.35853461027145E-2</v>
      </c>
      <c r="S1628">
        <v>-1.6374919563531799E-2</v>
      </c>
      <c r="T1628">
        <v>0</v>
      </c>
    </row>
    <row r="1629" spans="1:20" x14ac:dyDescent="0.3">
      <c r="A1629" t="s">
        <v>119</v>
      </c>
      <c r="B1629">
        <v>2017</v>
      </c>
      <c r="C1629">
        <v>1934555</v>
      </c>
      <c r="D1629" s="1">
        <v>7.1999999999999995E-2</v>
      </c>
      <c r="E1629" s="1">
        <v>0.90682959556579601</v>
      </c>
      <c r="F1629" s="1">
        <v>-2.5000000000000001E-2</v>
      </c>
      <c r="G1629" s="1">
        <f t="shared" si="50"/>
        <v>3.6000000000000004E-2</v>
      </c>
      <c r="H1629" s="1" t="str">
        <f t="shared" si="51"/>
        <v/>
      </c>
      <c r="I1629" s="1">
        <v>-6.0000000000000001E-3</v>
      </c>
      <c r="J1629" s="1">
        <f>+D1629-F1629+I1629*O1629</f>
        <v>8.3260000000000001E-2</v>
      </c>
      <c r="K1629" s="1">
        <v>7.4146538972854597E-3</v>
      </c>
      <c r="L1629" s="1">
        <f>+K1629-J1629</f>
        <v>-7.5845346102714539E-2</v>
      </c>
      <c r="M1629" s="1">
        <v>-1.35853461027145E-2</v>
      </c>
      <c r="N1629" s="1">
        <f>+M1629-J1629</f>
        <v>-9.6845346102714502E-2</v>
      </c>
      <c r="O1629">
        <v>2.29</v>
      </c>
      <c r="P1629" t="s">
        <v>16</v>
      </c>
      <c r="Q1629">
        <v>-0.02</v>
      </c>
      <c r="R1629">
        <v>9.7659865617752001E-3</v>
      </c>
      <c r="S1629">
        <v>6.30963593721403E-4</v>
      </c>
      <c r="T1629">
        <v>-0.02</v>
      </c>
    </row>
    <row r="1630" spans="1:20" x14ac:dyDescent="0.3">
      <c r="A1630" t="s">
        <v>119</v>
      </c>
      <c r="B1630">
        <v>2018</v>
      </c>
      <c r="C1630">
        <v>1967478</v>
      </c>
      <c r="D1630" s="1">
        <v>4.9000000000000002E-2</v>
      </c>
      <c r="E1630" s="1">
        <v>0.91525375843048096</v>
      </c>
      <c r="F1630" s="1">
        <v>2.5000000000000001E-2</v>
      </c>
      <c r="G1630" s="1">
        <f t="shared" si="50"/>
        <v>6.1000000000000006E-2</v>
      </c>
      <c r="H1630" s="1" t="str">
        <f t="shared" si="51"/>
        <v/>
      </c>
      <c r="I1630" s="1">
        <v>8.0000000000000002E-3</v>
      </c>
      <c r="J1630" s="1">
        <f>+D1630-F1630+I1630*O1630</f>
        <v>4.2800000000000005E-2</v>
      </c>
      <c r="K1630" s="1">
        <v>3.3765986561775201E-2</v>
      </c>
      <c r="L1630" s="1">
        <f>+K1630-J1630</f>
        <v>-9.0340134382248041E-3</v>
      </c>
      <c r="M1630" s="1">
        <v>9.7659865617752001E-3</v>
      </c>
      <c r="N1630" s="1">
        <f>+M1630-J1630</f>
        <v>-3.3034013438224805E-2</v>
      </c>
      <c r="O1630">
        <v>2.35</v>
      </c>
      <c r="P1630" t="s">
        <v>15</v>
      </c>
      <c r="Q1630">
        <v>0</v>
      </c>
      <c r="R1630">
        <v>3.25088679492474E-2</v>
      </c>
      <c r="S1630">
        <v>1.47076733410358E-2</v>
      </c>
      <c r="T1630">
        <v>0.04</v>
      </c>
    </row>
    <row r="1631" spans="1:20" x14ac:dyDescent="0.3">
      <c r="A1631" t="s">
        <v>119</v>
      </c>
      <c r="B1631">
        <v>2019</v>
      </c>
      <c r="C1631">
        <v>1998345</v>
      </c>
      <c r="D1631" s="1">
        <v>3.2000000000000001E-2</v>
      </c>
      <c r="E1631" s="1">
        <v>0.926033616065979</v>
      </c>
      <c r="F1631" s="1">
        <v>-3.4000000000000002E-2</v>
      </c>
      <c r="G1631" s="1">
        <f t="shared" si="50"/>
        <v>2.7000000000000003E-2</v>
      </c>
      <c r="H1631" s="1" t="str">
        <f t="shared" si="51"/>
        <v/>
      </c>
      <c r="I1631" s="1">
        <v>1.0999999999999999E-2</v>
      </c>
      <c r="J1631" s="1">
        <f>+D1631-F1631+I1631*O1631</f>
        <v>9.0969999999999995E-2</v>
      </c>
      <c r="K1631" s="1">
        <v>5.0508867949247402E-2</v>
      </c>
      <c r="L1631" s="1">
        <f>+K1631-J1631</f>
        <v>-4.0461132050752593E-2</v>
      </c>
      <c r="M1631" s="1">
        <v>3.25088679492474E-2</v>
      </c>
      <c r="N1631" s="1">
        <f>+M1631-J1631</f>
        <v>-5.8461132050752596E-2</v>
      </c>
      <c r="O1631">
        <v>2.27</v>
      </c>
      <c r="P1631" t="s">
        <v>17</v>
      </c>
      <c r="Q1631">
        <v>0.01</v>
      </c>
      <c r="R1631">
        <v>-1.42088638506829E-2</v>
      </c>
      <c r="S1631">
        <v>-3.3058054279535898E-2</v>
      </c>
      <c r="T1631">
        <v>-0.03</v>
      </c>
    </row>
    <row r="1632" spans="1:20" x14ac:dyDescent="0.3">
      <c r="A1632" t="s">
        <v>119</v>
      </c>
      <c r="B1632">
        <v>2020</v>
      </c>
      <c r="C1632">
        <v>2024726</v>
      </c>
      <c r="D1632" s="1">
        <v>5.3999999999999999E-2</v>
      </c>
      <c r="E1632" s="1">
        <v>0.90793305635452304</v>
      </c>
      <c r="F1632" s="1">
        <v>-6.6000000000000003E-2</v>
      </c>
      <c r="G1632" s="1">
        <f t="shared" si="50"/>
        <v>-3.9E-2</v>
      </c>
      <c r="H1632" s="1" t="str">
        <f t="shared" si="51"/>
        <v/>
      </c>
      <c r="I1632" s="1">
        <v>-1.7999999999999999E-2</v>
      </c>
      <c r="J1632" s="1">
        <f>+D1632-F1632+I1632*O1632</f>
        <v>8.1839999999999996E-2</v>
      </c>
      <c r="K1632" s="1">
        <v>-2.20886385068297E-3</v>
      </c>
      <c r="L1632" s="1">
        <f>+K1632-J1632</f>
        <v>-8.404886385068297E-2</v>
      </c>
      <c r="M1632" s="1">
        <v>-1.42088638506829E-2</v>
      </c>
      <c r="N1632" s="1">
        <f>+M1632-J1632</f>
        <v>-9.6048863850682897E-2</v>
      </c>
      <c r="O1632">
        <v>2.12</v>
      </c>
      <c r="P1632" t="s">
        <v>16</v>
      </c>
      <c r="Q1632">
        <v>-0.03</v>
      </c>
      <c r="R1632">
        <v>9.1616070151328999E-2</v>
      </c>
      <c r="S1632">
        <v>4.80264574289321E-2</v>
      </c>
      <c r="T1632">
        <v>-0.03</v>
      </c>
    </row>
    <row r="1633" spans="1:20" x14ac:dyDescent="0.3">
      <c r="A1633" t="s">
        <v>119</v>
      </c>
      <c r="B1633">
        <v>2021</v>
      </c>
      <c r="C1633">
        <v>2044290</v>
      </c>
      <c r="D1633" s="1">
        <v>4.5999999999999999E-2</v>
      </c>
      <c r="E1633" s="1">
        <v>0.94021201133728005</v>
      </c>
      <c r="F1633" s="1">
        <v>6.8000000000000005E-2</v>
      </c>
      <c r="G1633" s="1">
        <f t="shared" si="50"/>
        <v>2.9000000000000005E-2</v>
      </c>
      <c r="H1633" s="1" t="str">
        <f t="shared" si="51"/>
        <v/>
      </c>
      <c r="I1633" s="1">
        <v>3.2000000000000001E-2</v>
      </c>
      <c r="J1633" s="1">
        <f>+D1633-F1633+I1633*O1633</f>
        <v>5.031999999999999E-2</v>
      </c>
      <c r="K1633" s="1">
        <v>0.13861607015132901</v>
      </c>
      <c r="L1633" s="1">
        <f>+K1633-J1633</f>
        <v>8.8296070151329023E-2</v>
      </c>
      <c r="M1633" s="1">
        <v>9.1616070151328999E-2</v>
      </c>
      <c r="N1633" s="1">
        <f>+M1633-J1633</f>
        <v>4.1296070151329009E-2</v>
      </c>
      <c r="O1633">
        <v>2.2599999999999998</v>
      </c>
      <c r="P1633" t="s">
        <v>15</v>
      </c>
      <c r="Q1633">
        <v>0.05</v>
      </c>
      <c r="R1633">
        <v>-4.0513167083263399E-2</v>
      </c>
      <c r="S1633">
        <v>-8.4096603095530909E-3</v>
      </c>
      <c r="T1633">
        <v>0.04</v>
      </c>
    </row>
    <row r="1634" spans="1:20" x14ac:dyDescent="0.3">
      <c r="A1634" t="s">
        <v>119</v>
      </c>
      <c r="B1634">
        <v>2022</v>
      </c>
      <c r="C1634">
        <v>2086560</v>
      </c>
      <c r="D1634" s="1">
        <v>6.2E-2</v>
      </c>
      <c r="E1634" s="1">
        <v>0.90995782613754295</v>
      </c>
      <c r="F1634" s="1">
        <v>-1.4E-2</v>
      </c>
      <c r="G1634" s="1">
        <f t="shared" si="50"/>
        <v>1.5000000000000005E-2</v>
      </c>
      <c r="H1634" s="1" t="str">
        <f t="shared" si="51"/>
        <v/>
      </c>
      <c r="I1634" s="1">
        <v>-0.03</v>
      </c>
      <c r="J1634" s="1">
        <f>+D1634-F1634+I1634*O1634</f>
        <v>9.099999999999997E-3</v>
      </c>
      <c r="K1634" s="1">
        <v>3.9486832916736603E-2</v>
      </c>
      <c r="L1634" s="1">
        <f>+K1634-J1634</f>
        <v>3.0386832916736606E-2</v>
      </c>
      <c r="M1634" s="1">
        <v>-4.0513167083263399E-2</v>
      </c>
      <c r="N1634" s="1">
        <f>+M1634-J1634</f>
        <v>-4.9613167083263396E-2</v>
      </c>
      <c r="O1634">
        <v>2.23</v>
      </c>
      <c r="P1634" t="s">
        <v>16</v>
      </c>
      <c r="Q1634">
        <v>-0.01</v>
      </c>
      <c r="R1634">
        <v>-6.6027656927704806E-2</v>
      </c>
      <c r="S1634">
        <v>-4.6468729153275497E-2</v>
      </c>
      <c r="T1634">
        <v>0</v>
      </c>
    </row>
    <row r="1635" spans="1:20" x14ac:dyDescent="0.3">
      <c r="A1635" t="s">
        <v>120</v>
      </c>
      <c r="B1635">
        <v>2006</v>
      </c>
      <c r="C1635">
        <v>851006.75</v>
      </c>
      <c r="D1635" s="1">
        <v>0</v>
      </c>
      <c r="E1635" s="1">
        <v>0.95372015237808205</v>
      </c>
      <c r="F1635" s="1">
        <v>3.7999999999999999E-2</v>
      </c>
      <c r="G1635" s="1">
        <f t="shared" si="50"/>
        <v>3.7999999999999999E-2</v>
      </c>
      <c r="H1635" s="1" t="str">
        <f t="shared" si="51"/>
        <v/>
      </c>
      <c r="I1635" s="1">
        <v>2E-3</v>
      </c>
      <c r="J1635" s="1">
        <f>+D1635-F1635+I1635*O1635</f>
        <v>-3.3639999999999996E-2</v>
      </c>
      <c r="K1635" s="1">
        <v>3.2543342560529702E-2</v>
      </c>
      <c r="L1635" s="1">
        <f>+K1635-J1635</f>
        <v>6.6183342560529698E-2</v>
      </c>
      <c r="M1635" s="1">
        <v>5.4334256052970104E-4</v>
      </c>
      <c r="N1635" s="1">
        <f>+M1635-J1635</f>
        <v>3.4183342560529698E-2</v>
      </c>
      <c r="O1635">
        <v>2.1800000000000002</v>
      </c>
      <c r="P1635" t="s">
        <v>15</v>
      </c>
      <c r="Q1635">
        <v>-0.01</v>
      </c>
      <c r="R1635">
        <v>8.5290624201299597E-4</v>
      </c>
      <c r="S1635">
        <v>1.77466217428449E-3</v>
      </c>
      <c r="T1635">
        <v>0.04</v>
      </c>
    </row>
    <row r="1636" spans="1:20" x14ac:dyDescent="0.3">
      <c r="A1636" t="s">
        <v>120</v>
      </c>
      <c r="B1636">
        <v>2007</v>
      </c>
      <c r="C1636">
        <v>854348.3125</v>
      </c>
      <c r="D1636" s="1">
        <v>1.7000000000000001E-2</v>
      </c>
      <c r="E1636" s="1">
        <v>0.95236390829086304</v>
      </c>
      <c r="F1636" s="1">
        <v>4.0000000000000001E-3</v>
      </c>
      <c r="G1636" s="1">
        <f t="shared" si="50"/>
        <v>4.1999999999999996E-2</v>
      </c>
      <c r="H1636" s="1" t="str">
        <f t="shared" si="51"/>
        <v/>
      </c>
      <c r="I1636" s="1">
        <v>-1E-3</v>
      </c>
      <c r="J1636" s="1">
        <f>+D1636-F1636+I1636*O1636</f>
        <v>1.0820000000000001E-2</v>
      </c>
      <c r="K1636" s="1">
        <v>2.9852906242012998E-2</v>
      </c>
      <c r="L1636" s="1">
        <f>+K1636-J1636</f>
        <v>1.9032906242012995E-2</v>
      </c>
      <c r="M1636" s="1">
        <v>8.5290624201299597E-4</v>
      </c>
      <c r="N1636" s="1">
        <f>+M1636-J1636</f>
        <v>-9.9670937579870063E-3</v>
      </c>
      <c r="O1636">
        <v>2.1800000000000002</v>
      </c>
      <c r="P1636" t="s">
        <v>17</v>
      </c>
      <c r="Q1636">
        <v>0</v>
      </c>
      <c r="R1636">
        <v>-3.0523837834596598E-2</v>
      </c>
      <c r="S1636">
        <v>-1.0130335576832199E-3</v>
      </c>
      <c r="T1636">
        <v>0</v>
      </c>
    </row>
    <row r="1637" spans="1:20" x14ac:dyDescent="0.3">
      <c r="A1637" t="s">
        <v>120</v>
      </c>
      <c r="B1637">
        <v>2008</v>
      </c>
      <c r="C1637">
        <v>857509.1875</v>
      </c>
      <c r="D1637" s="1">
        <v>0</v>
      </c>
      <c r="E1637" s="1">
        <v>0.94745039939880404</v>
      </c>
      <c r="F1637" s="1">
        <v>-8.0000000000000002E-3</v>
      </c>
      <c r="G1637" s="1">
        <f t="shared" si="50"/>
        <v>3.3999999999999996E-2</v>
      </c>
      <c r="H1637" s="1" t="str">
        <f t="shared" si="51"/>
        <v/>
      </c>
      <c r="I1637" s="1">
        <v>-5.0000000000000001E-3</v>
      </c>
      <c r="J1637" s="1">
        <f>+D1637-F1637+I1637*O1637</f>
        <v>-2.8500000000000001E-3</v>
      </c>
      <c r="K1637" s="1">
        <v>7.4761621654033704E-3</v>
      </c>
      <c r="L1637" s="1">
        <f>+K1637-J1637</f>
        <v>1.0326162165403371E-2</v>
      </c>
      <c r="M1637" s="1">
        <v>-3.0523837834596598E-2</v>
      </c>
      <c r="N1637" s="1">
        <f>+M1637-J1637</f>
        <v>-2.76738378345966E-2</v>
      </c>
      <c r="O1637">
        <v>2.17</v>
      </c>
      <c r="P1637" t="s">
        <v>16</v>
      </c>
      <c r="Q1637">
        <v>0</v>
      </c>
      <c r="R1637">
        <v>-2.42682273536921E-2</v>
      </c>
      <c r="S1637">
        <v>2.29847431182855E-3</v>
      </c>
      <c r="T1637">
        <v>-0.01</v>
      </c>
    </row>
    <row r="1638" spans="1:20" x14ac:dyDescent="0.3">
      <c r="A1638" t="s">
        <v>120</v>
      </c>
      <c r="B1638">
        <v>2009</v>
      </c>
      <c r="C1638">
        <v>860999.8125</v>
      </c>
      <c r="D1638" s="1">
        <v>0</v>
      </c>
      <c r="E1638" s="1">
        <v>0.94382625818252597</v>
      </c>
      <c r="F1638" s="1">
        <v>2.9000000000000001E-2</v>
      </c>
      <c r="G1638" s="1">
        <f t="shared" si="50"/>
        <v>6.3E-2</v>
      </c>
      <c r="H1638" s="1" t="str">
        <f t="shared" si="51"/>
        <v/>
      </c>
      <c r="I1638" s="1">
        <v>-4.0000000000000001E-3</v>
      </c>
      <c r="J1638" s="1">
        <f>+D1638-F1638+I1638*O1638</f>
        <v>-3.7920000000000002E-2</v>
      </c>
      <c r="K1638" s="1">
        <v>-2.82682273536921E-2</v>
      </c>
      <c r="L1638" s="1">
        <f>+K1638-J1638</f>
        <v>9.6517726463079025E-3</v>
      </c>
      <c r="M1638" s="1">
        <v>-2.42682273536921E-2</v>
      </c>
      <c r="N1638" s="1">
        <f>+M1638-J1638</f>
        <v>1.3651772646307903E-2</v>
      </c>
      <c r="O1638">
        <v>2.23</v>
      </c>
      <c r="P1638" t="s">
        <v>17</v>
      </c>
      <c r="Q1638">
        <v>0</v>
      </c>
      <c r="R1638">
        <v>-1.4585845023393901E-3</v>
      </c>
      <c r="S1638">
        <v>8.0015242565422799E-3</v>
      </c>
      <c r="T1638">
        <v>0.01</v>
      </c>
    </row>
    <row r="1639" spans="1:20" x14ac:dyDescent="0.3">
      <c r="A1639" t="s">
        <v>120</v>
      </c>
      <c r="B1639">
        <v>2010</v>
      </c>
      <c r="C1639">
        <v>864182.6875</v>
      </c>
      <c r="D1639" s="1">
        <v>1.6E-2</v>
      </c>
      <c r="E1639" s="1">
        <v>0.94118899106979403</v>
      </c>
      <c r="F1639" s="1">
        <v>-3.3000000000000002E-2</v>
      </c>
      <c r="G1639" s="1">
        <f t="shared" si="50"/>
        <v>0.03</v>
      </c>
      <c r="H1639" s="1" t="str">
        <f t="shared" si="51"/>
        <v/>
      </c>
      <c r="I1639" s="1">
        <v>-3.0000000000000001E-3</v>
      </c>
      <c r="J1639" s="1">
        <f>+D1639-F1639+I1639*O1639</f>
        <v>4.2520000000000002E-2</v>
      </c>
      <c r="K1639" s="1">
        <v>1.45414154976606E-2</v>
      </c>
      <c r="L1639" s="1">
        <f>+K1639-J1639</f>
        <v>-2.79785845023394E-2</v>
      </c>
      <c r="M1639" s="1">
        <v>-1.4585845023393901E-3</v>
      </c>
      <c r="N1639" s="1">
        <f>+M1639-J1639</f>
        <v>-4.3978584502339393E-2</v>
      </c>
      <c r="O1639">
        <v>2.16</v>
      </c>
      <c r="P1639" t="s">
        <v>16</v>
      </c>
      <c r="Q1639">
        <v>0.01</v>
      </c>
      <c r="R1639">
        <v>-1.7688087530434101E-2</v>
      </c>
      <c r="S1639">
        <v>3.5956869833171901E-3</v>
      </c>
      <c r="T1639">
        <v>-0.04</v>
      </c>
    </row>
    <row r="1640" spans="1:20" x14ac:dyDescent="0.3">
      <c r="A1640" t="s">
        <v>120</v>
      </c>
      <c r="B1640">
        <v>2011</v>
      </c>
      <c r="C1640">
        <v>865906.5</v>
      </c>
      <c r="D1640" s="1">
        <v>3.0000000000000001E-3</v>
      </c>
      <c r="E1640" s="1">
        <v>0.94145673513412498</v>
      </c>
      <c r="F1640" s="1">
        <v>3.7999999999999999E-2</v>
      </c>
      <c r="G1640" s="1">
        <f t="shared" si="50"/>
        <v>6.8000000000000005E-2</v>
      </c>
      <c r="H1640" s="1" t="str">
        <f t="shared" si="51"/>
        <v/>
      </c>
      <c r="I1640" s="1">
        <v>0</v>
      </c>
      <c r="J1640" s="1">
        <f>+D1640-F1640+I1640*O1640</f>
        <v>-3.4999999999999996E-2</v>
      </c>
      <c r="K1640" s="1">
        <v>1.43119124695659E-2</v>
      </c>
      <c r="L1640" s="1">
        <f>+K1640-J1640</f>
        <v>4.9311912469565899E-2</v>
      </c>
      <c r="M1640" s="1">
        <v>-1.7688087530434101E-2</v>
      </c>
      <c r="N1640" s="1">
        <f>+M1640-J1640</f>
        <v>1.7311912469565895E-2</v>
      </c>
      <c r="O1640">
        <v>2.2400000000000002</v>
      </c>
      <c r="P1640" t="s">
        <v>15</v>
      </c>
      <c r="Q1640">
        <v>0</v>
      </c>
      <c r="R1640">
        <v>-1.4818079587072101E-2</v>
      </c>
      <c r="S1640">
        <v>-9.3798735179007296E-3</v>
      </c>
      <c r="T1640">
        <v>0.04</v>
      </c>
    </row>
    <row r="1641" spans="1:20" x14ac:dyDescent="0.3">
      <c r="A1641" t="s">
        <v>120</v>
      </c>
      <c r="B1641">
        <v>2012</v>
      </c>
      <c r="C1641">
        <v>867355.875</v>
      </c>
      <c r="D1641" s="1">
        <v>4.0000000000000001E-3</v>
      </c>
      <c r="E1641" s="1">
        <v>0.94131004810333296</v>
      </c>
      <c r="F1641" s="1">
        <v>1.0999999999999999E-2</v>
      </c>
      <c r="G1641" s="1">
        <f t="shared" si="50"/>
        <v>7.9000000000000001E-2</v>
      </c>
      <c r="H1641" s="1" t="str">
        <f t="shared" si="51"/>
        <v/>
      </c>
      <c r="I1641" s="1">
        <v>0</v>
      </c>
      <c r="J1641" s="1">
        <f>+D1641-F1641+I1641*O1641</f>
        <v>-6.9999999999999993E-3</v>
      </c>
      <c r="K1641" s="1">
        <v>6.1819204129278703E-3</v>
      </c>
      <c r="L1641" s="1">
        <f>+K1641-J1641</f>
        <v>1.3181920412927869E-2</v>
      </c>
      <c r="M1641" s="1">
        <v>-1.4818079587072101E-2</v>
      </c>
      <c r="N1641" s="1">
        <f>+M1641-J1641</f>
        <v>-7.8180795870721013E-3</v>
      </c>
      <c r="O1641">
        <v>2.27</v>
      </c>
      <c r="P1641" t="s">
        <v>17</v>
      </c>
      <c r="Q1641">
        <v>-0.01</v>
      </c>
      <c r="R1641">
        <v>4.5204298943280997E-3</v>
      </c>
      <c r="S1641">
        <v>-1.6063414514064899E-3</v>
      </c>
      <c r="T1641">
        <v>0.01</v>
      </c>
    </row>
    <row r="1642" spans="1:20" x14ac:dyDescent="0.3">
      <c r="A1642" t="s">
        <v>120</v>
      </c>
      <c r="B1642">
        <v>2013</v>
      </c>
      <c r="C1642">
        <v>867186.8125</v>
      </c>
      <c r="D1642" s="1">
        <v>0</v>
      </c>
      <c r="E1642" s="1">
        <v>0.94124877452850297</v>
      </c>
      <c r="F1642" s="1">
        <v>-0.05</v>
      </c>
      <c r="G1642" s="1">
        <f t="shared" si="50"/>
        <v>2.8999999999999998E-2</v>
      </c>
      <c r="H1642" s="1" t="str">
        <f t="shared" si="51"/>
        <v/>
      </c>
      <c r="I1642" s="1">
        <v>0</v>
      </c>
      <c r="J1642" s="1">
        <f>+D1642-F1642+I1642*O1642</f>
        <v>0.05</v>
      </c>
      <c r="K1642" s="1">
        <v>1.95204298943281E-2</v>
      </c>
      <c r="L1642" s="1">
        <f>+K1642-J1642</f>
        <v>-3.0479570105671903E-2</v>
      </c>
      <c r="M1642" s="1">
        <v>4.5204298943280997E-3</v>
      </c>
      <c r="N1642" s="1">
        <f>+M1642-J1642</f>
        <v>-4.5479570105671906E-2</v>
      </c>
      <c r="O1642">
        <v>2.15</v>
      </c>
      <c r="P1642" t="s">
        <v>16</v>
      </c>
      <c r="Q1642">
        <v>0</v>
      </c>
      <c r="R1642">
        <v>-1.41743165990337E-2</v>
      </c>
      <c r="S1642">
        <v>-1.6182340099476202E-2</v>
      </c>
      <c r="T1642">
        <v>-0.06</v>
      </c>
    </row>
    <row r="1643" spans="1:20" x14ac:dyDescent="0.3">
      <c r="A1643" t="s">
        <v>120</v>
      </c>
      <c r="B1643">
        <v>2014</v>
      </c>
      <c r="C1643">
        <v>867898.375</v>
      </c>
      <c r="D1643" s="1">
        <v>5.0000000000000001E-3</v>
      </c>
      <c r="E1643" s="1">
        <v>0.94122499227523804</v>
      </c>
      <c r="F1643" s="1">
        <v>-5.5E-2</v>
      </c>
      <c r="G1643" s="1">
        <f t="shared" si="50"/>
        <v>-2.6000000000000002E-2</v>
      </c>
      <c r="H1643" s="1" t="str">
        <f t="shared" si="51"/>
        <v/>
      </c>
      <c r="I1643" s="1">
        <v>0</v>
      </c>
      <c r="J1643" s="1">
        <f>+D1643-F1643+I1643*O1643</f>
        <v>0.06</v>
      </c>
      <c r="K1643" s="1">
        <v>1.8256834009662301E-3</v>
      </c>
      <c r="L1643" s="1">
        <f>+K1643-J1643</f>
        <v>-5.8174316599033771E-2</v>
      </c>
      <c r="M1643" s="1">
        <v>-1.41743165990337E-2</v>
      </c>
      <c r="N1643" s="1">
        <f>+M1643-J1643</f>
        <v>-7.4174316599033702E-2</v>
      </c>
      <c r="O1643">
        <v>2.04</v>
      </c>
      <c r="P1643" t="s">
        <v>16</v>
      </c>
      <c r="Q1643">
        <v>-0.02</v>
      </c>
      <c r="R1643">
        <v>1.6669826745986899E-2</v>
      </c>
      <c r="S1643">
        <v>-1.35936252772807E-2</v>
      </c>
      <c r="T1643">
        <v>-0.06</v>
      </c>
    </row>
    <row r="1644" spans="1:20" x14ac:dyDescent="0.3">
      <c r="A1644" t="s">
        <v>120</v>
      </c>
      <c r="B1644">
        <v>2015</v>
      </c>
      <c r="C1644">
        <v>866464</v>
      </c>
      <c r="D1644" s="1">
        <v>1.9E-2</v>
      </c>
      <c r="E1644" s="1">
        <v>0.93566751480102495</v>
      </c>
      <c r="F1644" s="1">
        <v>1.7000000000000001E-2</v>
      </c>
      <c r="G1644" s="1">
        <f t="shared" si="50"/>
        <v>-9.0000000000000011E-3</v>
      </c>
      <c r="H1644" s="1" t="str">
        <f t="shared" si="51"/>
        <v/>
      </c>
      <c r="I1644" s="1">
        <v>-6.0000000000000001E-3</v>
      </c>
      <c r="J1644" s="1">
        <f>+D1644-F1644+I1644*O1644</f>
        <v>-1.042E-2</v>
      </c>
      <c r="K1644" s="1">
        <v>1.76698267459869E-2</v>
      </c>
      <c r="L1644" s="1">
        <f>+K1644-J1644</f>
        <v>2.8089826745986902E-2</v>
      </c>
      <c r="M1644" s="1">
        <v>1.6669826745986899E-2</v>
      </c>
      <c r="N1644" s="1">
        <f>+M1644-J1644</f>
        <v>2.7089826745986902E-2</v>
      </c>
      <c r="O1644">
        <v>2.0699999999999998</v>
      </c>
      <c r="P1644" t="s">
        <v>17</v>
      </c>
      <c r="Q1644">
        <v>-0.01</v>
      </c>
      <c r="R1644">
        <v>8.3402435183525005E-3</v>
      </c>
      <c r="S1644">
        <v>-4.8133134841918902E-3</v>
      </c>
      <c r="T1644">
        <v>0.03</v>
      </c>
    </row>
    <row r="1645" spans="1:20" x14ac:dyDescent="0.3">
      <c r="A1645" t="s">
        <v>120</v>
      </c>
      <c r="B1645">
        <v>2016</v>
      </c>
      <c r="C1645">
        <v>865872.6875</v>
      </c>
      <c r="D1645" s="1">
        <v>1.2999999999999999E-2</v>
      </c>
      <c r="E1645" s="1">
        <v>0.93953043222427401</v>
      </c>
      <c r="F1645" s="1">
        <v>3.1E-2</v>
      </c>
      <c r="G1645" s="1">
        <f t="shared" si="50"/>
        <v>2.1999999999999999E-2</v>
      </c>
      <c r="H1645" s="1" t="str">
        <f t="shared" si="51"/>
        <v/>
      </c>
      <c r="I1645" s="1">
        <v>4.0000000000000001E-3</v>
      </c>
      <c r="J1645" s="1">
        <f>+D1645-F1645+I1645*O1645</f>
        <v>-9.4800000000000023E-3</v>
      </c>
      <c r="K1645" s="1">
        <v>2.1340243518352502E-2</v>
      </c>
      <c r="L1645" s="1">
        <f>+K1645-J1645</f>
        <v>3.0820243518352504E-2</v>
      </c>
      <c r="M1645" s="1">
        <v>8.3402435183525005E-3</v>
      </c>
      <c r="N1645" s="1">
        <f>+M1645-J1645</f>
        <v>1.7820243518352503E-2</v>
      </c>
      <c r="O1645">
        <v>2.13</v>
      </c>
      <c r="P1645" t="s">
        <v>15</v>
      </c>
      <c r="Q1645">
        <v>0</v>
      </c>
      <c r="R1645">
        <v>-1.2954085171222999E-3</v>
      </c>
      <c r="S1645">
        <v>-4.0849819779395901E-3</v>
      </c>
      <c r="T1645">
        <v>0.03</v>
      </c>
    </row>
    <row r="1646" spans="1:20" x14ac:dyDescent="0.3">
      <c r="A1646" t="s">
        <v>120</v>
      </c>
      <c r="B1646">
        <v>2017</v>
      </c>
      <c r="C1646">
        <v>866559.1875</v>
      </c>
      <c r="D1646" s="1">
        <v>1.2E-2</v>
      </c>
      <c r="E1646" s="1">
        <v>0.94766080379486095</v>
      </c>
      <c r="F1646" s="1">
        <v>-4.5999999999999999E-2</v>
      </c>
      <c r="G1646" s="1">
        <f t="shared" si="50"/>
        <v>-2.4E-2</v>
      </c>
      <c r="H1646" s="1" t="str">
        <f t="shared" si="51"/>
        <v/>
      </c>
      <c r="I1646" s="1">
        <v>8.0000000000000002E-3</v>
      </c>
      <c r="J1646" s="1">
        <f>+D1646-F1646+I1646*O1646</f>
        <v>7.4319999999999997E-2</v>
      </c>
      <c r="K1646" s="1">
        <v>1.97045914828777E-2</v>
      </c>
      <c r="L1646" s="1">
        <f>+K1646-J1646</f>
        <v>-5.4615408517122294E-2</v>
      </c>
      <c r="M1646" s="1">
        <v>-1.2954085171222999E-3</v>
      </c>
      <c r="N1646" s="1">
        <f>+M1646-J1646</f>
        <v>-7.5615408517122298E-2</v>
      </c>
      <c r="O1646">
        <v>2.04</v>
      </c>
      <c r="P1646" t="s">
        <v>17</v>
      </c>
      <c r="Q1646">
        <v>0</v>
      </c>
      <c r="R1646">
        <v>1.6765764206648E-3</v>
      </c>
      <c r="S1646">
        <v>-7.4584465473889897E-3</v>
      </c>
      <c r="T1646">
        <v>-0.04</v>
      </c>
    </row>
    <row r="1647" spans="1:20" x14ac:dyDescent="0.3">
      <c r="A1647" t="s">
        <v>120</v>
      </c>
      <c r="B1647">
        <v>2018</v>
      </c>
      <c r="C1647">
        <v>866244.5</v>
      </c>
      <c r="D1647" s="1">
        <v>7.0000000000000001E-3</v>
      </c>
      <c r="E1647" s="1">
        <v>0.94934660196304299</v>
      </c>
      <c r="F1647" s="1">
        <v>3.3000000000000002E-2</v>
      </c>
      <c r="G1647" s="1">
        <f t="shared" si="50"/>
        <v>9.0000000000000011E-3</v>
      </c>
      <c r="H1647" s="1" t="str">
        <f t="shared" si="51"/>
        <v/>
      </c>
      <c r="I1647" s="1">
        <v>2E-3</v>
      </c>
      <c r="J1647" s="1">
        <f>+D1647-F1647+I1647*O1647</f>
        <v>-2.18E-2</v>
      </c>
      <c r="K1647" s="1">
        <v>2.5676576420664801E-2</v>
      </c>
      <c r="L1647" s="1">
        <f>+K1647-J1647</f>
        <v>4.7476576420664801E-2</v>
      </c>
      <c r="M1647" s="1">
        <v>1.6765764206648E-3</v>
      </c>
      <c r="N1647" s="1">
        <f>+M1647-J1647</f>
        <v>2.3476576420664801E-2</v>
      </c>
      <c r="O1647">
        <v>2.1</v>
      </c>
      <c r="P1647" t="s">
        <v>15</v>
      </c>
      <c r="Q1647">
        <v>-0.01</v>
      </c>
      <c r="R1647">
        <v>4.0118332654238004E-3</v>
      </c>
      <c r="S1647">
        <v>-1.3789361342787699E-2</v>
      </c>
      <c r="T1647">
        <v>0.04</v>
      </c>
    </row>
    <row r="1648" spans="1:20" x14ac:dyDescent="0.3">
      <c r="A1648" t="s">
        <v>120</v>
      </c>
      <c r="B1648">
        <v>2019</v>
      </c>
      <c r="C1648">
        <v>865045.25</v>
      </c>
      <c r="D1648" s="1">
        <v>2.5999999999999999E-2</v>
      </c>
      <c r="E1648" s="1">
        <v>0.94670760631561302</v>
      </c>
      <c r="F1648" s="1">
        <v>-6.0000000000000001E-3</v>
      </c>
      <c r="G1648" s="1">
        <f t="shared" si="50"/>
        <v>3.0000000000000009E-3</v>
      </c>
      <c r="H1648" s="1" t="str">
        <f t="shared" si="51"/>
        <v/>
      </c>
      <c r="I1648" s="1">
        <v>-3.0000000000000001E-3</v>
      </c>
      <c r="J1648" s="1">
        <f>+D1648-F1648+I1648*O1648</f>
        <v>2.5730000000000003E-2</v>
      </c>
      <c r="K1648" s="1">
        <v>2.2011833265423799E-2</v>
      </c>
      <c r="L1648" s="1">
        <f>+K1648-J1648</f>
        <v>-3.7181667345762039E-3</v>
      </c>
      <c r="M1648" s="1">
        <v>4.0118332654238004E-3</v>
      </c>
      <c r="N1648" s="1">
        <f>+M1648-J1648</f>
        <v>-2.1718166734576203E-2</v>
      </c>
      <c r="O1648">
        <v>2.09</v>
      </c>
      <c r="P1648" t="s">
        <v>16</v>
      </c>
      <c r="Q1648">
        <v>-0.01</v>
      </c>
      <c r="R1648">
        <v>1.67975519895554E-2</v>
      </c>
      <c r="S1648">
        <v>-2.0516384392975898E-3</v>
      </c>
      <c r="T1648">
        <v>0</v>
      </c>
    </row>
    <row r="1649" spans="1:20" x14ac:dyDescent="0.3">
      <c r="A1649" t="s">
        <v>120</v>
      </c>
      <c r="B1649">
        <v>2020</v>
      </c>
      <c r="C1649">
        <v>860539.125</v>
      </c>
      <c r="D1649" s="1">
        <v>1.2E-2</v>
      </c>
      <c r="E1649" s="1">
        <v>0.96349096298217796</v>
      </c>
      <c r="F1649" s="1">
        <v>1.0999999999999999E-2</v>
      </c>
      <c r="G1649" s="1">
        <f t="shared" si="50"/>
        <v>1.4E-2</v>
      </c>
      <c r="H1649" s="1" t="str">
        <f t="shared" si="51"/>
        <v/>
      </c>
      <c r="I1649" s="1">
        <v>1.7000000000000001E-2</v>
      </c>
      <c r="J1649" s="1">
        <f>+D1649-F1649+I1649*O1649</f>
        <v>3.687E-2</v>
      </c>
      <c r="K1649" s="1">
        <v>2.8797551989555401E-2</v>
      </c>
      <c r="L1649" s="1">
        <f>+K1649-J1649</f>
        <v>-8.0724480104445995E-3</v>
      </c>
      <c r="M1649" s="1">
        <v>1.67975519895554E-2</v>
      </c>
      <c r="N1649" s="1">
        <f>+M1649-J1649</f>
        <v>-2.00724480104446E-2</v>
      </c>
      <c r="O1649">
        <v>2.11</v>
      </c>
      <c r="P1649" t="s">
        <v>15</v>
      </c>
      <c r="Q1649">
        <v>0</v>
      </c>
      <c r="R1649">
        <v>1.2043310582637801E-2</v>
      </c>
      <c r="S1649">
        <v>-3.1546302139759098E-2</v>
      </c>
      <c r="T1649">
        <v>0.05</v>
      </c>
    </row>
    <row r="1650" spans="1:20" x14ac:dyDescent="0.3">
      <c r="A1650" t="s">
        <v>120</v>
      </c>
      <c r="B1650">
        <v>2021</v>
      </c>
      <c r="C1650">
        <v>865533.6875</v>
      </c>
      <c r="D1650" s="1">
        <v>1.6E-2</v>
      </c>
      <c r="E1650" s="1">
        <v>0.97072458267211903</v>
      </c>
      <c r="F1650" s="1">
        <v>-1.9E-2</v>
      </c>
      <c r="G1650" s="1">
        <f t="shared" si="50"/>
        <v>-4.9999999999999992E-3</v>
      </c>
      <c r="H1650" s="1" t="str">
        <f t="shared" si="51"/>
        <v/>
      </c>
      <c r="I1650" s="1">
        <v>7.0000000000000001E-3</v>
      </c>
      <c r="J1650" s="1">
        <f>+D1650-F1650+I1650*O1650</f>
        <v>4.9490000000000006E-2</v>
      </c>
      <c r="K1650" s="1">
        <v>5.9043310582637801E-2</v>
      </c>
      <c r="L1650" s="1">
        <f>+K1650-J1650</f>
        <v>9.5533105826377945E-3</v>
      </c>
      <c r="M1650" s="1">
        <v>1.2043310582637801E-2</v>
      </c>
      <c r="N1650" s="1">
        <f>+M1650-J1650</f>
        <v>-3.7446689417362206E-2</v>
      </c>
      <c r="O1650">
        <v>2.0699999999999998</v>
      </c>
      <c r="P1650" t="s">
        <v>17</v>
      </c>
      <c r="Q1650">
        <v>-0.03</v>
      </c>
      <c r="R1650">
        <v>-4.1399566382169697E-2</v>
      </c>
      <c r="S1650">
        <v>-9.2960596084593998E-3</v>
      </c>
      <c r="T1650">
        <v>-0.05</v>
      </c>
    </row>
    <row r="1651" spans="1:20" x14ac:dyDescent="0.3">
      <c r="A1651" t="s">
        <v>120</v>
      </c>
      <c r="B1651">
        <v>2022</v>
      </c>
      <c r="C1651">
        <v>868888.9375</v>
      </c>
      <c r="D1651" s="1">
        <v>3.3000000000000002E-2</v>
      </c>
      <c r="E1651" s="1">
        <v>0.95317387580871604</v>
      </c>
      <c r="F1651" s="1">
        <v>8.0000000000000002E-3</v>
      </c>
      <c r="G1651" s="1">
        <f t="shared" si="50"/>
        <v>3.0000000000000009E-3</v>
      </c>
      <c r="H1651" s="1" t="str">
        <f t="shared" si="51"/>
        <v/>
      </c>
      <c r="I1651" s="1">
        <v>-1.7999999999999999E-2</v>
      </c>
      <c r="J1651" s="1">
        <f>+D1651-F1651+I1651*O1651</f>
        <v>-1.2619999999999992E-2</v>
      </c>
      <c r="K1651" s="1">
        <v>3.8600433617830297E-2</v>
      </c>
      <c r="L1651" s="1">
        <f>+K1651-J1651</f>
        <v>5.122043361783029E-2</v>
      </c>
      <c r="M1651" s="1">
        <v>-4.1399566382169697E-2</v>
      </c>
      <c r="N1651" s="1">
        <f>+M1651-J1651</f>
        <v>-2.8779566382169705E-2</v>
      </c>
      <c r="O1651">
        <v>2.09</v>
      </c>
      <c r="P1651" t="s">
        <v>17</v>
      </c>
      <c r="Q1651">
        <v>-0.01</v>
      </c>
      <c r="R1651">
        <v>-9.8486009836197003E-3</v>
      </c>
      <c r="S1651">
        <v>9.7103267908096001E-3</v>
      </c>
      <c r="T1651">
        <v>0.02</v>
      </c>
    </row>
    <row r="1652" spans="1:20" x14ac:dyDescent="0.3">
      <c r="A1652" t="s">
        <v>121</v>
      </c>
      <c r="B1652">
        <v>2006</v>
      </c>
      <c r="C1652">
        <v>13570790</v>
      </c>
      <c r="D1652" s="1">
        <v>7.0000000000000001E-3</v>
      </c>
      <c r="E1652" s="1">
        <v>0.96498364210128795</v>
      </c>
      <c r="F1652" s="1">
        <v>3.0000000000000001E-3</v>
      </c>
      <c r="G1652" s="1">
        <f t="shared" si="50"/>
        <v>3.0000000000000001E-3</v>
      </c>
      <c r="H1652" s="1" t="str">
        <f t="shared" si="51"/>
        <v/>
      </c>
      <c r="I1652" s="1">
        <v>1E-3</v>
      </c>
      <c r="J1652" s="1">
        <f>+D1652-F1652+I1652*O1652</f>
        <v>6.3499999999999997E-3</v>
      </c>
      <c r="K1652" s="1">
        <v>6.89573064446449E-2</v>
      </c>
      <c r="L1652" s="1">
        <f>+K1652-J1652</f>
        <v>6.2607306444644906E-2</v>
      </c>
      <c r="M1652" s="1">
        <v>3.69573064446449E-2</v>
      </c>
      <c r="N1652" s="1">
        <f>+M1652-J1652</f>
        <v>3.0607306444644898E-2</v>
      </c>
      <c r="O1652">
        <v>2.35</v>
      </c>
      <c r="P1652" t="s">
        <v>15</v>
      </c>
      <c r="Q1652">
        <v>0.03</v>
      </c>
      <c r="R1652">
        <v>5.0660274088382598E-2</v>
      </c>
      <c r="S1652">
        <v>5.1582030020654097E-2</v>
      </c>
      <c r="T1652">
        <v>0</v>
      </c>
    </row>
    <row r="1653" spans="1:20" x14ac:dyDescent="0.3">
      <c r="A1653" t="s">
        <v>121</v>
      </c>
      <c r="B1653">
        <v>2007</v>
      </c>
      <c r="C1653">
        <v>13620770</v>
      </c>
      <c r="D1653" s="1">
        <v>8.0000000000000002E-3</v>
      </c>
      <c r="E1653" s="1">
        <v>0.96450549364089999</v>
      </c>
      <c r="F1653" s="1">
        <v>-7.0000000000000001E-3</v>
      </c>
      <c r="G1653" s="1">
        <f t="shared" si="50"/>
        <v>-4.0000000000000001E-3</v>
      </c>
      <c r="H1653" s="1" t="str">
        <f t="shared" si="51"/>
        <v/>
      </c>
      <c r="I1653" s="1">
        <v>0</v>
      </c>
      <c r="J1653" s="1">
        <f>+D1653-F1653+I1653*O1653</f>
        <v>1.4999999999999999E-2</v>
      </c>
      <c r="K1653" s="1">
        <v>7.9660274088382693E-2</v>
      </c>
      <c r="L1653" s="1">
        <f>+K1653-J1653</f>
        <v>6.4660274088382694E-2</v>
      </c>
      <c r="M1653" s="1">
        <v>5.0660274088382598E-2</v>
      </c>
      <c r="N1653" s="1">
        <f>+M1653-J1653</f>
        <v>3.5660274088382599E-2</v>
      </c>
      <c r="O1653">
        <v>2.33</v>
      </c>
      <c r="P1653" t="s">
        <v>16</v>
      </c>
      <c r="Q1653">
        <v>0.05</v>
      </c>
      <c r="R1653">
        <v>-5.0342218309640897E-2</v>
      </c>
      <c r="S1653">
        <v>-2.08314140327274E-2</v>
      </c>
      <c r="T1653">
        <v>-0.01</v>
      </c>
    </row>
    <row r="1654" spans="1:20" x14ac:dyDescent="0.3">
      <c r="A1654" t="s">
        <v>121</v>
      </c>
      <c r="B1654">
        <v>2008</v>
      </c>
      <c r="C1654">
        <v>13713630</v>
      </c>
      <c r="D1654" s="1">
        <v>5.0000000000000001E-3</v>
      </c>
      <c r="E1654" s="1">
        <v>0.96135348081588701</v>
      </c>
      <c r="F1654" s="1">
        <v>0</v>
      </c>
      <c r="G1654" s="1">
        <f t="shared" si="50"/>
        <v>-4.0000000000000001E-3</v>
      </c>
      <c r="H1654" s="1" t="str">
        <f t="shared" si="51"/>
        <v/>
      </c>
      <c r="I1654" s="1">
        <v>-3.0000000000000001E-3</v>
      </c>
      <c r="J1654" s="1">
        <f>+D1654-F1654+I1654*O1654</f>
        <v>-1.9900000000000004E-3</v>
      </c>
      <c r="K1654" s="1">
        <v>-1.23422183096409E-2</v>
      </c>
      <c r="L1654" s="1">
        <f>+K1654-J1654</f>
        <v>-1.03522183096409E-2</v>
      </c>
      <c r="M1654" s="1">
        <v>-5.0342218309640897E-2</v>
      </c>
      <c r="N1654" s="1">
        <f>+M1654-J1654</f>
        <v>-4.8352218309640899E-2</v>
      </c>
      <c r="O1654">
        <v>2.33</v>
      </c>
      <c r="P1654" t="s">
        <v>16</v>
      </c>
      <c r="Q1654">
        <v>-0.02</v>
      </c>
      <c r="R1654">
        <v>-8.0859706461429495E-2</v>
      </c>
      <c r="S1654">
        <v>-5.42930047959089E-2</v>
      </c>
      <c r="T1654">
        <v>0</v>
      </c>
    </row>
    <row r="1655" spans="1:20" x14ac:dyDescent="0.3">
      <c r="A1655" t="s">
        <v>121</v>
      </c>
      <c r="B1655">
        <v>2009</v>
      </c>
      <c r="C1655">
        <v>13821420</v>
      </c>
      <c r="D1655" s="1">
        <v>8.0000000000000002E-3</v>
      </c>
      <c r="E1655" s="1">
        <v>0.96126794815063499</v>
      </c>
      <c r="F1655" s="1">
        <v>1.4999999999999999E-2</v>
      </c>
      <c r="G1655" s="1">
        <f t="shared" si="50"/>
        <v>1.0999999999999999E-2</v>
      </c>
      <c r="H1655" s="1" t="str">
        <f t="shared" si="51"/>
        <v/>
      </c>
      <c r="I1655" s="1">
        <v>0</v>
      </c>
      <c r="J1655" s="1">
        <f>+D1655-F1655+I1655*O1655</f>
        <v>-6.9999999999999993E-3</v>
      </c>
      <c r="K1655" s="1">
        <v>-8.4859706461429596E-2</v>
      </c>
      <c r="L1655" s="1">
        <f>+K1655-J1655</f>
        <v>-7.785970646142959E-2</v>
      </c>
      <c r="M1655" s="1">
        <v>-8.0859706461429495E-2</v>
      </c>
      <c r="N1655" s="1">
        <f>+M1655-J1655</f>
        <v>-7.3859706461429503E-2</v>
      </c>
      <c r="O1655">
        <v>2.37</v>
      </c>
      <c r="P1655" t="s">
        <v>17</v>
      </c>
      <c r="Q1655">
        <v>-0.05</v>
      </c>
      <c r="R1655">
        <v>1.6720223069190999E-2</v>
      </c>
      <c r="S1655">
        <v>2.6180331828072601E-2</v>
      </c>
      <c r="T1655">
        <v>0</v>
      </c>
    </row>
    <row r="1656" spans="1:20" x14ac:dyDescent="0.3">
      <c r="A1656" t="s">
        <v>121</v>
      </c>
      <c r="B1656">
        <v>2010</v>
      </c>
      <c r="C1656">
        <v>13957350</v>
      </c>
      <c r="D1656" s="1">
        <v>6.0000000000000001E-3</v>
      </c>
      <c r="E1656" s="1">
        <v>0.96276098489761397</v>
      </c>
      <c r="F1656" s="1">
        <v>2.8000000000000001E-2</v>
      </c>
      <c r="G1656" s="1">
        <f t="shared" si="50"/>
        <v>3.9E-2</v>
      </c>
      <c r="H1656" s="1" t="str">
        <f t="shared" si="51"/>
        <v/>
      </c>
      <c r="I1656" s="1">
        <v>1E-3</v>
      </c>
      <c r="J1656" s="1">
        <f>+D1656-F1656+I1656*O1656</f>
        <v>-1.9569999999999997E-2</v>
      </c>
      <c r="K1656" s="1">
        <v>3.2720223069191E-2</v>
      </c>
      <c r="L1656" s="1">
        <f>+K1656-J1656</f>
        <v>5.2290223069190997E-2</v>
      </c>
      <c r="M1656" s="1">
        <v>1.6720223069190999E-2</v>
      </c>
      <c r="N1656" s="1">
        <f>+M1656-J1656</f>
        <v>3.6290223069190997E-2</v>
      </c>
      <c r="O1656">
        <v>2.4300000000000002</v>
      </c>
      <c r="P1656" t="s">
        <v>15</v>
      </c>
      <c r="Q1656">
        <v>0.03</v>
      </c>
      <c r="R1656">
        <v>-2.0944734446704399E-2</v>
      </c>
      <c r="S1656">
        <v>3.3904006704689802E-4</v>
      </c>
      <c r="T1656">
        <v>0.02</v>
      </c>
    </row>
    <row r="1657" spans="1:20" x14ac:dyDescent="0.3">
      <c r="A1657" t="s">
        <v>121</v>
      </c>
      <c r="B1657">
        <v>2011</v>
      </c>
      <c r="C1657">
        <v>14141820</v>
      </c>
      <c r="D1657" s="1">
        <v>6.0000000000000001E-3</v>
      </c>
      <c r="E1657" s="1">
        <v>0.96300733089446999</v>
      </c>
      <c r="F1657" s="1">
        <v>-4.0000000000000001E-3</v>
      </c>
      <c r="G1657" s="1">
        <f t="shared" si="50"/>
        <v>3.5000000000000003E-2</v>
      </c>
      <c r="H1657" s="1" t="str">
        <f t="shared" si="51"/>
        <v/>
      </c>
      <c r="I1657" s="1">
        <v>0</v>
      </c>
      <c r="J1657" s="1">
        <f>+D1657-F1657+I1657*O1657</f>
        <v>0.01</v>
      </c>
      <c r="K1657" s="1">
        <v>1.10552655532956E-2</v>
      </c>
      <c r="L1657" s="1">
        <f>+K1657-J1657</f>
        <v>1.0552655532956E-3</v>
      </c>
      <c r="M1657" s="1">
        <v>-2.0944734446704399E-2</v>
      </c>
      <c r="N1657" s="1">
        <f>+M1657-J1657</f>
        <v>-3.0944734446704397E-2</v>
      </c>
      <c r="O1657">
        <v>2.42</v>
      </c>
      <c r="P1657" t="s">
        <v>17</v>
      </c>
      <c r="Q1657">
        <v>0</v>
      </c>
      <c r="R1657">
        <v>-6.1394006982445999E-3</v>
      </c>
      <c r="S1657">
        <v>-7.0119462907320003E-4</v>
      </c>
      <c r="T1657">
        <v>0</v>
      </c>
    </row>
    <row r="1658" spans="1:20" x14ac:dyDescent="0.3">
      <c r="A1658" t="s">
        <v>121</v>
      </c>
      <c r="B1658">
        <v>2012</v>
      </c>
      <c r="C1658">
        <v>14308750</v>
      </c>
      <c r="D1658" s="1">
        <v>5.0000000000000001E-3</v>
      </c>
      <c r="E1658" s="1">
        <v>0.96528148651123002</v>
      </c>
      <c r="F1658" s="1">
        <v>-4.0000000000000001E-3</v>
      </c>
      <c r="G1658" s="1">
        <f t="shared" si="50"/>
        <v>3.1000000000000003E-2</v>
      </c>
      <c r="H1658" s="1" t="str">
        <f t="shared" si="51"/>
        <v/>
      </c>
      <c r="I1658" s="1">
        <v>2E-3</v>
      </c>
      <c r="J1658" s="1">
        <f>+D1658-F1658+I1658*O1658</f>
        <v>1.3820000000000002E-2</v>
      </c>
      <c r="K1658" s="1">
        <v>1.4860599301755401E-2</v>
      </c>
      <c r="L1658" s="1">
        <f>+K1658-J1658</f>
        <v>1.0405993017553981E-3</v>
      </c>
      <c r="M1658" s="1">
        <v>-6.1394006982445999E-3</v>
      </c>
      <c r="N1658" s="1">
        <f>+M1658-J1658</f>
        <v>-1.9959400698244603E-2</v>
      </c>
      <c r="O1658">
        <v>2.41</v>
      </c>
      <c r="P1658" t="s">
        <v>17</v>
      </c>
      <c r="Q1658">
        <v>0</v>
      </c>
      <c r="R1658">
        <v>3.5046624392271E-3</v>
      </c>
      <c r="S1658">
        <v>-2.6221089065074899E-3</v>
      </c>
      <c r="T1658">
        <v>-0.01</v>
      </c>
    </row>
    <row r="1659" spans="1:20" x14ac:dyDescent="0.3">
      <c r="A1659" t="s">
        <v>121</v>
      </c>
      <c r="B1659">
        <v>2013</v>
      </c>
      <c r="C1659">
        <v>14449810</v>
      </c>
      <c r="D1659" s="1">
        <v>6.0000000000000001E-3</v>
      </c>
      <c r="E1659" s="1">
        <v>0.96741575002670299</v>
      </c>
      <c r="F1659" s="1">
        <v>0</v>
      </c>
      <c r="G1659" s="1">
        <f t="shared" si="50"/>
        <v>3.1000000000000003E-2</v>
      </c>
      <c r="H1659" s="1" t="str">
        <f t="shared" si="51"/>
        <v/>
      </c>
      <c r="I1659" s="1">
        <v>2E-3</v>
      </c>
      <c r="J1659" s="1">
        <f>+D1659-F1659+I1659*O1659</f>
        <v>1.082E-2</v>
      </c>
      <c r="K1659" s="1">
        <v>1.8504662439227101E-2</v>
      </c>
      <c r="L1659" s="1">
        <f>+K1659-J1659</f>
        <v>7.684662439227101E-3</v>
      </c>
      <c r="M1659" s="1">
        <v>3.5046624392271E-3</v>
      </c>
      <c r="N1659" s="1">
        <f>+M1659-J1659</f>
        <v>-7.3153375607729002E-3</v>
      </c>
      <c r="O1659">
        <v>2.41</v>
      </c>
      <c r="P1659" t="s">
        <v>15</v>
      </c>
      <c r="Q1659">
        <v>0</v>
      </c>
      <c r="R1659">
        <v>9.8270911872386998E-3</v>
      </c>
      <c r="S1659">
        <v>7.8190676867961901E-3</v>
      </c>
      <c r="T1659">
        <v>-0.01</v>
      </c>
    </row>
    <row r="1660" spans="1:20" x14ac:dyDescent="0.3">
      <c r="A1660" t="s">
        <v>121</v>
      </c>
      <c r="B1660">
        <v>2014</v>
      </c>
      <c r="C1660">
        <v>14579630</v>
      </c>
      <c r="D1660" s="1">
        <v>8.0000000000000002E-3</v>
      </c>
      <c r="E1660" s="1">
        <v>0.96779066324233998</v>
      </c>
      <c r="F1660" s="1">
        <v>0</v>
      </c>
      <c r="G1660" s="1">
        <f t="shared" si="50"/>
        <v>3.1000000000000003E-2</v>
      </c>
      <c r="H1660" s="1" t="str">
        <f t="shared" si="51"/>
        <v/>
      </c>
      <c r="I1660" s="1">
        <v>0</v>
      </c>
      <c r="J1660" s="1">
        <f>+D1660-F1660+I1660*O1660</f>
        <v>8.0000000000000002E-3</v>
      </c>
      <c r="K1660" s="1">
        <v>2.58270911872387E-2</v>
      </c>
      <c r="L1660" s="1">
        <f>+K1660-J1660</f>
        <v>1.78270911872387E-2</v>
      </c>
      <c r="M1660" s="1">
        <v>9.8270911872386998E-3</v>
      </c>
      <c r="N1660" s="1">
        <f>+M1660-J1660</f>
        <v>1.8270911872386997E-3</v>
      </c>
      <c r="O1660">
        <v>2.41</v>
      </c>
      <c r="P1660" t="s">
        <v>17</v>
      </c>
      <c r="Q1660">
        <v>0.01</v>
      </c>
      <c r="R1660">
        <v>2.87552384436131E-2</v>
      </c>
      <c r="S1660">
        <v>-1.50821357965459E-3</v>
      </c>
      <c r="T1660">
        <v>0</v>
      </c>
    </row>
    <row r="1661" spans="1:20" x14ac:dyDescent="0.3">
      <c r="A1661" t="s">
        <v>121</v>
      </c>
      <c r="B1661">
        <v>2015</v>
      </c>
      <c r="C1661">
        <v>14693130</v>
      </c>
      <c r="D1661" s="1">
        <v>1.0999999999999999E-2</v>
      </c>
      <c r="E1661" s="1">
        <v>0.96586233377456698</v>
      </c>
      <c r="F1661" s="1">
        <v>-2E-3</v>
      </c>
      <c r="G1661" s="1">
        <f t="shared" si="50"/>
        <v>2.9000000000000005E-2</v>
      </c>
      <c r="H1661" s="1" t="str">
        <f t="shared" si="51"/>
        <v/>
      </c>
      <c r="I1661" s="1">
        <v>-2E-3</v>
      </c>
      <c r="J1661" s="1">
        <f>+D1661-F1661+I1661*O1661</f>
        <v>8.1799999999999998E-3</v>
      </c>
      <c r="K1661" s="1">
        <v>2.9755238443613101E-2</v>
      </c>
      <c r="L1661" s="1">
        <f>+K1661-J1661</f>
        <v>2.1575238443613101E-2</v>
      </c>
      <c r="M1661" s="1">
        <v>2.87552384436131E-2</v>
      </c>
      <c r="N1661" s="1">
        <f>+M1661-J1661</f>
        <v>2.05752384436131E-2</v>
      </c>
      <c r="O1661">
        <v>2.41</v>
      </c>
      <c r="P1661" t="s">
        <v>16</v>
      </c>
      <c r="Q1661">
        <v>0</v>
      </c>
      <c r="R1661">
        <v>4.2127895057201001E-3</v>
      </c>
      <c r="S1661">
        <v>-8.9407674968242992E-3</v>
      </c>
      <c r="T1661">
        <v>0.01</v>
      </c>
    </row>
    <row r="1662" spans="1:20" x14ac:dyDescent="0.3">
      <c r="A1662" t="s">
        <v>121</v>
      </c>
      <c r="B1662">
        <v>2016</v>
      </c>
      <c r="C1662">
        <v>14781160</v>
      </c>
      <c r="D1662" s="1">
        <v>1.2E-2</v>
      </c>
      <c r="E1662" s="1">
        <v>0.96937310695648204</v>
      </c>
      <c r="F1662" s="1">
        <v>8.9999999999999993E-3</v>
      </c>
      <c r="G1662" s="1">
        <f t="shared" si="50"/>
        <v>3.8000000000000006E-2</v>
      </c>
      <c r="H1662" s="1" t="str">
        <f t="shared" si="51"/>
        <v/>
      </c>
      <c r="I1662" s="1">
        <v>4.0000000000000001E-3</v>
      </c>
      <c r="J1662" s="1">
        <f>+D1662-F1662+I1662*O1662</f>
        <v>1.2720000000000002E-2</v>
      </c>
      <c r="K1662" s="1">
        <v>1.72127895057201E-2</v>
      </c>
      <c r="L1662" s="1">
        <f>+K1662-J1662</f>
        <v>4.4927895057200982E-3</v>
      </c>
      <c r="M1662" s="1">
        <v>4.2127895057201001E-3</v>
      </c>
      <c r="N1662" s="1">
        <f>+M1662-J1662</f>
        <v>-8.5072104942799029E-3</v>
      </c>
      <c r="O1662">
        <v>2.4300000000000002</v>
      </c>
      <c r="P1662" t="s">
        <v>15</v>
      </c>
      <c r="Q1662">
        <v>-0.01</v>
      </c>
      <c r="R1662">
        <v>-9.6763161048293005E-3</v>
      </c>
      <c r="S1662">
        <v>-1.2465889565646499E-2</v>
      </c>
      <c r="T1662">
        <v>0.01</v>
      </c>
    </row>
    <row r="1663" spans="1:20" x14ac:dyDescent="0.3">
      <c r="A1663" t="s">
        <v>121</v>
      </c>
      <c r="B1663">
        <v>2017</v>
      </c>
      <c r="C1663">
        <v>14838010</v>
      </c>
      <c r="D1663" s="1">
        <v>2.1000000000000001E-2</v>
      </c>
      <c r="E1663" s="1">
        <v>0.96770882606506303</v>
      </c>
      <c r="F1663" s="1">
        <v>-8.0000000000000002E-3</v>
      </c>
      <c r="G1663" s="1">
        <f t="shared" si="50"/>
        <v>3.0000000000000006E-2</v>
      </c>
      <c r="H1663" s="1" t="str">
        <f t="shared" si="51"/>
        <v/>
      </c>
      <c r="I1663" s="1">
        <v>-2E-3</v>
      </c>
      <c r="J1663" s="1">
        <f>+D1663-F1663+I1663*O1663</f>
        <v>2.418E-2</v>
      </c>
      <c r="K1663" s="1">
        <v>1.1323683895170701E-2</v>
      </c>
      <c r="L1663" s="1">
        <f>+K1663-J1663</f>
        <v>-1.2856316104829299E-2</v>
      </c>
      <c r="M1663" s="1">
        <v>-9.6763161048293005E-3</v>
      </c>
      <c r="N1663" s="1">
        <f>+M1663-J1663</f>
        <v>-3.3856316104829302E-2</v>
      </c>
      <c r="O1663">
        <v>2.41</v>
      </c>
      <c r="P1663" t="s">
        <v>16</v>
      </c>
      <c r="Q1663">
        <v>-0.01</v>
      </c>
      <c r="R1663">
        <v>-1.7963515222070201E-4</v>
      </c>
      <c r="S1663">
        <v>-9.31465812027449E-3</v>
      </c>
      <c r="T1663">
        <v>-0.01</v>
      </c>
    </row>
    <row r="1664" spans="1:20" x14ac:dyDescent="0.3">
      <c r="A1664" t="s">
        <v>121</v>
      </c>
      <c r="B1664">
        <v>2018</v>
      </c>
      <c r="C1664">
        <v>14875710</v>
      </c>
      <c r="D1664" s="1">
        <v>1.7000000000000001E-2</v>
      </c>
      <c r="E1664" s="1">
        <v>0.97210711240768399</v>
      </c>
      <c r="F1664" s="1">
        <v>-1.2E-2</v>
      </c>
      <c r="G1664" s="1">
        <f t="shared" si="50"/>
        <v>1.8000000000000006E-2</v>
      </c>
      <c r="H1664" s="1" t="str">
        <f t="shared" si="51"/>
        <v/>
      </c>
      <c r="I1664" s="1">
        <v>4.0000000000000001E-3</v>
      </c>
      <c r="J1664" s="1">
        <f>+D1664-F1664+I1664*O1664</f>
        <v>3.8519999999999999E-2</v>
      </c>
      <c r="K1664" s="1">
        <v>2.3820364847779298E-2</v>
      </c>
      <c r="L1664" s="1">
        <f>+K1664-J1664</f>
        <v>-1.46996351522207E-2</v>
      </c>
      <c r="M1664" s="1">
        <v>-1.7963515222070201E-4</v>
      </c>
      <c r="N1664" s="1">
        <f>+M1664-J1664</f>
        <v>-3.8699635152220697E-2</v>
      </c>
      <c r="O1664">
        <v>2.38</v>
      </c>
      <c r="P1664" t="s">
        <v>17</v>
      </c>
      <c r="Q1664">
        <v>-0.01</v>
      </c>
      <c r="R1664">
        <v>3.0703145712613999E-3</v>
      </c>
      <c r="S1664">
        <v>-1.4730880036950099E-2</v>
      </c>
      <c r="T1664">
        <v>0</v>
      </c>
    </row>
    <row r="1665" spans="1:20" x14ac:dyDescent="0.3">
      <c r="A1665" t="s">
        <v>121</v>
      </c>
      <c r="B1665">
        <v>2019</v>
      </c>
      <c r="C1665">
        <v>14897850</v>
      </c>
      <c r="D1665" s="1">
        <v>1.4999999999999999E-2</v>
      </c>
      <c r="E1665" s="1">
        <v>0.97183603048324596</v>
      </c>
      <c r="F1665" s="1">
        <v>-7.0000000000000001E-3</v>
      </c>
      <c r="G1665" s="1">
        <f t="shared" si="50"/>
        <v>1.1000000000000006E-2</v>
      </c>
      <c r="H1665" s="1" t="str">
        <f t="shared" si="51"/>
        <v/>
      </c>
      <c r="I1665" s="1">
        <v>0</v>
      </c>
      <c r="J1665" s="1">
        <f>+D1665-F1665+I1665*O1665</f>
        <v>2.1999999999999999E-2</v>
      </c>
      <c r="K1665" s="1">
        <v>2.1070314571261399E-2</v>
      </c>
      <c r="L1665" s="1">
        <f>+K1665-J1665</f>
        <v>-9.2968542873859972E-4</v>
      </c>
      <c r="M1665" s="1">
        <v>3.0703145712613999E-3</v>
      </c>
      <c r="N1665" s="1">
        <f>+M1665-J1665</f>
        <v>-1.8929685428738598E-2</v>
      </c>
      <c r="O1665">
        <v>2.36</v>
      </c>
      <c r="P1665" t="s">
        <v>16</v>
      </c>
      <c r="Q1665">
        <v>-0.01</v>
      </c>
      <c r="R1665">
        <v>-2.8864387318491901E-2</v>
      </c>
      <c r="S1665">
        <v>-4.7713577747344901E-2</v>
      </c>
      <c r="T1665">
        <v>0</v>
      </c>
    </row>
    <row r="1666" spans="1:20" x14ac:dyDescent="0.3">
      <c r="A1666" t="s">
        <v>121</v>
      </c>
      <c r="B1666">
        <v>2020</v>
      </c>
      <c r="C1666">
        <v>14749930</v>
      </c>
      <c r="D1666" s="1">
        <v>1.2E-2</v>
      </c>
      <c r="E1666" s="1">
        <v>0.96398824453353904</v>
      </c>
      <c r="F1666" s="1">
        <v>3.2000000000000001E-2</v>
      </c>
      <c r="G1666" s="1">
        <f t="shared" si="50"/>
        <v>4.300000000000001E-2</v>
      </c>
      <c r="H1666" s="1" t="str">
        <f t="shared" si="51"/>
        <v/>
      </c>
      <c r="I1666" s="1">
        <v>-8.0000000000000002E-3</v>
      </c>
      <c r="J1666" s="1">
        <f>+D1666-F1666+I1666*O1666</f>
        <v>-3.952E-2</v>
      </c>
      <c r="K1666" s="1">
        <v>-1.6864387318491901E-2</v>
      </c>
      <c r="L1666" s="1">
        <f>+K1666-J1666</f>
        <v>2.2655612681508099E-2</v>
      </c>
      <c r="M1666" s="1">
        <v>-2.8864387318491901E-2</v>
      </c>
      <c r="N1666" s="1">
        <f>+M1666-J1666</f>
        <v>1.0655612681508098E-2</v>
      </c>
      <c r="O1666">
        <v>2.44</v>
      </c>
      <c r="P1666" t="s">
        <v>17</v>
      </c>
      <c r="Q1666">
        <v>-0.05</v>
      </c>
      <c r="R1666">
        <v>1.37658438384533E-2</v>
      </c>
      <c r="S1666">
        <v>-2.9823768883943599E-2</v>
      </c>
      <c r="T1666">
        <v>7.0000000000000007E-2</v>
      </c>
    </row>
    <row r="1667" spans="1:20" x14ac:dyDescent="0.3">
      <c r="A1667" t="s">
        <v>121</v>
      </c>
      <c r="B1667">
        <v>2021</v>
      </c>
      <c r="C1667">
        <v>14510080</v>
      </c>
      <c r="D1667" s="1">
        <v>1.4E-2</v>
      </c>
      <c r="E1667" s="1">
        <v>0.97492724657058705</v>
      </c>
      <c r="F1667" s="1">
        <v>-0.04</v>
      </c>
      <c r="G1667" s="1">
        <f t="shared" si="50"/>
        <v>3.0000000000000096E-3</v>
      </c>
      <c r="H1667" s="1" t="str">
        <f t="shared" si="51"/>
        <v/>
      </c>
      <c r="I1667" s="1">
        <v>1.0999999999999999E-2</v>
      </c>
      <c r="J1667" s="1">
        <f>+D1667-F1667+I1667*O1667</f>
        <v>7.9739999999999991E-2</v>
      </c>
      <c r="K1667" s="1">
        <v>6.07658438384533E-2</v>
      </c>
      <c r="L1667" s="1">
        <f>+K1667-J1667</f>
        <v>-1.8974156161546692E-2</v>
      </c>
      <c r="M1667" s="1">
        <v>1.37658438384533E-2</v>
      </c>
      <c r="N1667" s="1">
        <f>+M1667-J1667</f>
        <v>-6.5974156161546699E-2</v>
      </c>
      <c r="O1667">
        <v>2.34</v>
      </c>
      <c r="P1667" t="s">
        <v>17</v>
      </c>
      <c r="Q1667">
        <v>-0.03</v>
      </c>
      <c r="R1667">
        <v>-4.3217765092849698E-2</v>
      </c>
      <c r="S1667">
        <v>-1.11142583191393E-2</v>
      </c>
      <c r="T1667">
        <v>-7.0000000000000007E-2</v>
      </c>
    </row>
    <row r="1668" spans="1:20" x14ac:dyDescent="0.3">
      <c r="A1668" t="s">
        <v>121</v>
      </c>
      <c r="B1668">
        <v>2022</v>
      </c>
      <c r="C1668">
        <v>14464830</v>
      </c>
      <c r="D1668" s="1">
        <v>0.02</v>
      </c>
      <c r="E1668" s="1">
        <v>0.97359549999237105</v>
      </c>
      <c r="F1668" s="1">
        <v>-7.0000000000000001E-3</v>
      </c>
      <c r="G1668" s="1">
        <f t="shared" si="50"/>
        <v>-3.9999999999999905E-3</v>
      </c>
      <c r="H1668" s="1" t="str">
        <f t="shared" si="51"/>
        <v/>
      </c>
      <c r="I1668" s="1">
        <v>-1E-3</v>
      </c>
      <c r="J1668" s="1">
        <f>+D1668-F1668+I1668*O1668</f>
        <v>2.4680000000000001E-2</v>
      </c>
      <c r="K1668" s="1">
        <v>3.6782234907150303E-2</v>
      </c>
      <c r="L1668" s="1">
        <f>+K1668-J1668</f>
        <v>1.2102234907150303E-2</v>
      </c>
      <c r="M1668" s="1">
        <v>-4.3217765092849698E-2</v>
      </c>
      <c r="N1668" s="1">
        <f>+M1668-J1668</f>
        <v>-6.7897765092849699E-2</v>
      </c>
      <c r="O1668">
        <v>2.3199999999999998</v>
      </c>
      <c r="P1668" t="s">
        <v>16</v>
      </c>
      <c r="Q1668">
        <v>-0.01</v>
      </c>
      <c r="R1668">
        <v>-1.8732462808489801E-2</v>
      </c>
      <c r="S1668">
        <v>8.2646496593950097E-4</v>
      </c>
      <c r="T1668">
        <v>0.01</v>
      </c>
    </row>
    <row r="1669" spans="1:20" x14ac:dyDescent="0.3">
      <c r="A1669" t="s">
        <v>122</v>
      </c>
      <c r="B1669">
        <v>2006</v>
      </c>
      <c r="C1669">
        <v>1665115</v>
      </c>
      <c r="D1669" s="1">
        <v>2.7E-2</v>
      </c>
      <c r="E1669" s="1">
        <v>0.93273597955703702</v>
      </c>
      <c r="F1669" s="1">
        <v>1.4999999999999999E-2</v>
      </c>
      <c r="G1669" s="1">
        <f t="shared" si="50"/>
        <v>1.4999999999999999E-2</v>
      </c>
      <c r="H1669" s="1" t="str">
        <f t="shared" si="51"/>
        <v/>
      </c>
      <c r="I1669" s="1">
        <v>3.0000000000000001E-3</v>
      </c>
      <c r="J1669" s="1">
        <f>+D1669-F1669+I1669*O1669</f>
        <v>1.9050000000000001E-2</v>
      </c>
      <c r="K1669" s="1">
        <v>4.2846940457820899E-2</v>
      </c>
      <c r="L1669" s="1">
        <f>+K1669-J1669</f>
        <v>2.3796940457820898E-2</v>
      </c>
      <c r="M1669" s="1">
        <v>1.08469404578208E-2</v>
      </c>
      <c r="N1669" s="1">
        <f>+M1669-J1669</f>
        <v>-8.2030595421792012E-3</v>
      </c>
      <c r="O1669">
        <v>2.35</v>
      </c>
      <c r="P1669" t="s">
        <v>15</v>
      </c>
      <c r="Q1669">
        <v>0</v>
      </c>
      <c r="R1669">
        <v>2.54939413070679E-3</v>
      </c>
      <c r="S1669">
        <v>3.4711500629783002E-3</v>
      </c>
      <c r="T1669">
        <v>0.01</v>
      </c>
    </row>
    <row r="1670" spans="1:20" x14ac:dyDescent="0.3">
      <c r="A1670" t="s">
        <v>122</v>
      </c>
      <c r="B1670">
        <v>2007</v>
      </c>
      <c r="C1670">
        <v>1663293</v>
      </c>
      <c r="D1670" s="1">
        <v>8.0000000000000002E-3</v>
      </c>
      <c r="E1670" s="1">
        <v>0.93364971876144398</v>
      </c>
      <c r="F1670" s="1">
        <v>0.01</v>
      </c>
      <c r="G1670" s="1">
        <f t="shared" si="50"/>
        <v>2.5000000000000001E-2</v>
      </c>
      <c r="H1670" s="1" t="str">
        <f t="shared" si="51"/>
        <v/>
      </c>
      <c r="I1670" s="1">
        <v>1E-3</v>
      </c>
      <c r="J1670" s="1">
        <f>+D1670-F1670+I1670*O1670</f>
        <v>3.799999999999997E-4</v>
      </c>
      <c r="K1670" s="1">
        <v>3.1549394130706801E-2</v>
      </c>
      <c r="L1670" s="1">
        <f>+K1670-J1670</f>
        <v>3.1169394130706803E-2</v>
      </c>
      <c r="M1670" s="1">
        <v>2.54939413070679E-3</v>
      </c>
      <c r="N1670" s="1">
        <f>+M1670-J1670</f>
        <v>2.1693941307067903E-3</v>
      </c>
      <c r="O1670">
        <v>2.38</v>
      </c>
      <c r="P1670" t="s">
        <v>15</v>
      </c>
      <c r="Q1670">
        <v>0</v>
      </c>
      <c r="R1670">
        <v>-2.47221219465137E-2</v>
      </c>
      <c r="S1670">
        <v>4.7886823303996996E-3</v>
      </c>
      <c r="T1670">
        <v>0.01</v>
      </c>
    </row>
    <row r="1671" spans="1:20" x14ac:dyDescent="0.3">
      <c r="A1671" t="s">
        <v>122</v>
      </c>
      <c r="B1671">
        <v>2008</v>
      </c>
      <c r="C1671">
        <v>1664077</v>
      </c>
      <c r="D1671" s="1">
        <v>1.4E-2</v>
      </c>
      <c r="E1671" s="1">
        <v>0.92923361063003496</v>
      </c>
      <c r="F1671" s="1">
        <v>1.6E-2</v>
      </c>
      <c r="G1671" s="1">
        <f t="shared" ref="G1671:G1734" si="52">SUMIFS(F:F,A:A,A1671,B:B,"&lt;="&amp;B1671)</f>
        <v>4.1000000000000002E-2</v>
      </c>
      <c r="H1671" s="1" t="str">
        <f t="shared" ref="H1671:H1734" si="53">IFERROR(IF(ABS(G1671)&gt;0.12,AVERAGEIFS(K:K,A:A,A1671,B:B,"&gt;"&amp;B1671,B:B,"&lt;"&amp;B1671+3),""),"")</f>
        <v/>
      </c>
      <c r="I1671" s="1">
        <v>-4.0000000000000001E-3</v>
      </c>
      <c r="J1671" s="1">
        <f>+D1671-F1671+I1671*O1671</f>
        <v>-1.1640000000000001E-2</v>
      </c>
      <c r="K1671" s="1">
        <v>1.32778780534863E-2</v>
      </c>
      <c r="L1671" s="1">
        <f>+K1671-J1671</f>
        <v>2.4917878053486303E-2</v>
      </c>
      <c r="M1671" s="1">
        <v>-2.47221219465137E-2</v>
      </c>
      <c r="N1671" s="1">
        <f>+M1671-J1671</f>
        <v>-1.3082121946513699E-2</v>
      </c>
      <c r="O1671">
        <v>2.41</v>
      </c>
      <c r="P1671" t="s">
        <v>17</v>
      </c>
      <c r="Q1671">
        <v>0</v>
      </c>
      <c r="R1671">
        <v>1.0831685546785499E-2</v>
      </c>
      <c r="S1671">
        <v>3.7398387212306199E-2</v>
      </c>
      <c r="T1671">
        <v>0.01</v>
      </c>
    </row>
    <row r="1672" spans="1:20" x14ac:dyDescent="0.3">
      <c r="A1672" t="s">
        <v>122</v>
      </c>
      <c r="B1672">
        <v>2009</v>
      </c>
      <c r="C1672">
        <v>1671540</v>
      </c>
      <c r="D1672" s="1">
        <v>1.2999999999999999E-2</v>
      </c>
      <c r="E1672" s="1">
        <v>0.92822659015655495</v>
      </c>
      <c r="F1672" s="1">
        <v>-0.04</v>
      </c>
      <c r="G1672" s="1">
        <f t="shared" si="52"/>
        <v>1.0000000000000009E-3</v>
      </c>
      <c r="H1672" s="1" t="str">
        <f t="shared" si="53"/>
        <v/>
      </c>
      <c r="I1672" s="1">
        <v>-1E-3</v>
      </c>
      <c r="J1672" s="1">
        <f>+D1672-F1672+I1672*O1672</f>
        <v>5.0679999999999996E-2</v>
      </c>
      <c r="K1672" s="1">
        <v>6.8316855467855904E-3</v>
      </c>
      <c r="L1672" s="1">
        <f>+K1672-J1672</f>
        <v>-4.3848314453214403E-2</v>
      </c>
      <c r="M1672" s="1">
        <v>1.0831685546785499E-2</v>
      </c>
      <c r="N1672" s="1">
        <f>+M1672-J1672</f>
        <v>-3.9848314453214496E-2</v>
      </c>
      <c r="O1672">
        <v>2.3199999999999998</v>
      </c>
      <c r="P1672" t="s">
        <v>16</v>
      </c>
      <c r="Q1672">
        <v>0.04</v>
      </c>
      <c r="R1672">
        <v>-1.22028660811483E-2</v>
      </c>
      <c r="S1672">
        <v>-2.7427573222667001E-3</v>
      </c>
      <c r="T1672">
        <v>-0.06</v>
      </c>
    </row>
    <row r="1673" spans="1:20" x14ac:dyDescent="0.3">
      <c r="A1673" t="s">
        <v>122</v>
      </c>
      <c r="B1673">
        <v>2010</v>
      </c>
      <c r="C1673">
        <v>1682631</v>
      </c>
      <c r="D1673" s="1">
        <v>0.01</v>
      </c>
      <c r="E1673" s="1">
        <v>0.92700779438018799</v>
      </c>
      <c r="F1673" s="1">
        <v>2.1999999999999999E-2</v>
      </c>
      <c r="G1673" s="1">
        <f t="shared" si="52"/>
        <v>2.3E-2</v>
      </c>
      <c r="H1673" s="1" t="str">
        <f t="shared" si="53"/>
        <v/>
      </c>
      <c r="I1673" s="1">
        <v>-1E-3</v>
      </c>
      <c r="J1673" s="1">
        <f>+D1673-F1673+I1673*O1673</f>
        <v>-1.4369999999999999E-2</v>
      </c>
      <c r="K1673" s="1">
        <v>3.7971339188516101E-3</v>
      </c>
      <c r="L1673" s="1">
        <f>+K1673-J1673</f>
        <v>1.8167133918851608E-2</v>
      </c>
      <c r="M1673" s="1">
        <v>-1.22028660811483E-2</v>
      </c>
      <c r="N1673" s="1">
        <f>+M1673-J1673</f>
        <v>2.1671339188516995E-3</v>
      </c>
      <c r="O1673">
        <v>2.37</v>
      </c>
      <c r="P1673" t="s">
        <v>17</v>
      </c>
      <c r="Q1673">
        <v>0</v>
      </c>
      <c r="R1673">
        <v>-2.8075808070599999E-2</v>
      </c>
      <c r="S1673">
        <v>-6.7920335568487297E-3</v>
      </c>
      <c r="T1673">
        <v>0.01</v>
      </c>
    </row>
    <row r="1674" spans="1:20" x14ac:dyDescent="0.3">
      <c r="A1674" t="s">
        <v>122</v>
      </c>
      <c r="B1674">
        <v>2011</v>
      </c>
      <c r="C1674">
        <v>1692270</v>
      </c>
      <c r="D1674" s="1">
        <v>1.2999999999999999E-2</v>
      </c>
      <c r="E1674" s="1">
        <v>0.92332381010055498</v>
      </c>
      <c r="F1674" s="1">
        <v>4.0000000000000001E-3</v>
      </c>
      <c r="G1674" s="1">
        <f t="shared" si="52"/>
        <v>2.7E-2</v>
      </c>
      <c r="H1674" s="1" t="str">
        <f t="shared" si="53"/>
        <v/>
      </c>
      <c r="I1674" s="1">
        <v>-4.0000000000000001E-3</v>
      </c>
      <c r="J1674" s="1">
        <f>+D1674-F1674+I1674*O1674</f>
        <v>-5.1999999999999963E-4</v>
      </c>
      <c r="K1674" s="1">
        <v>3.9241919293999698E-3</v>
      </c>
      <c r="L1674" s="1">
        <f>+K1674-J1674</f>
        <v>4.4441919293999694E-3</v>
      </c>
      <c r="M1674" s="1">
        <v>-2.8075808070599999E-2</v>
      </c>
      <c r="N1674" s="1">
        <f>+M1674-J1674</f>
        <v>-2.7555808070599999E-2</v>
      </c>
      <c r="O1674">
        <v>2.38</v>
      </c>
      <c r="P1674" t="s">
        <v>17</v>
      </c>
      <c r="Q1674">
        <v>-0.01</v>
      </c>
      <c r="R1674">
        <v>-1.8122065629809999E-2</v>
      </c>
      <c r="S1674">
        <v>-1.26838595606386E-2</v>
      </c>
      <c r="T1674">
        <v>0.01</v>
      </c>
    </row>
    <row r="1675" spans="1:20" x14ac:dyDescent="0.3">
      <c r="A1675" t="s">
        <v>122</v>
      </c>
      <c r="B1675">
        <v>2012</v>
      </c>
      <c r="C1675">
        <v>1704917</v>
      </c>
      <c r="D1675" s="1">
        <v>1.4E-2</v>
      </c>
      <c r="E1675" s="1">
        <v>0.92688482999801602</v>
      </c>
      <c r="F1675" s="1">
        <v>6.0000000000000001E-3</v>
      </c>
      <c r="G1675" s="1">
        <f t="shared" si="52"/>
        <v>3.3000000000000002E-2</v>
      </c>
      <c r="H1675" s="1" t="str">
        <f t="shared" si="53"/>
        <v/>
      </c>
      <c r="I1675" s="1">
        <v>4.0000000000000001E-3</v>
      </c>
      <c r="J1675" s="1">
        <f>+D1675-F1675+I1675*O1675</f>
        <v>1.7559999999999999E-2</v>
      </c>
      <c r="K1675" s="1">
        <v>2.8779343701899099E-3</v>
      </c>
      <c r="L1675" s="1">
        <f>+K1675-J1675</f>
        <v>-1.4682065629810089E-2</v>
      </c>
      <c r="M1675" s="1">
        <v>-1.8122065629809999E-2</v>
      </c>
      <c r="N1675" s="1">
        <f>+M1675-J1675</f>
        <v>-3.5682065629809995E-2</v>
      </c>
      <c r="O1675">
        <v>2.39</v>
      </c>
      <c r="P1675" t="s">
        <v>15</v>
      </c>
      <c r="Q1675">
        <v>-0.01</v>
      </c>
      <c r="R1675">
        <v>-5.7180890440940799E-3</v>
      </c>
      <c r="S1675">
        <v>-1.18448603898286E-2</v>
      </c>
      <c r="T1675">
        <v>0</v>
      </c>
    </row>
    <row r="1676" spans="1:20" x14ac:dyDescent="0.3">
      <c r="A1676" t="s">
        <v>122</v>
      </c>
      <c r="B1676">
        <v>2013</v>
      </c>
      <c r="C1676">
        <v>1714862</v>
      </c>
      <c r="D1676" s="1">
        <v>1.7999999999999999E-2</v>
      </c>
      <c r="E1676" s="1">
        <v>0.92228907346725497</v>
      </c>
      <c r="F1676" s="1">
        <v>-2.1999999999999999E-2</v>
      </c>
      <c r="G1676" s="1">
        <f t="shared" si="52"/>
        <v>1.1000000000000003E-2</v>
      </c>
      <c r="H1676" s="1" t="str">
        <f t="shared" si="53"/>
        <v/>
      </c>
      <c r="I1676" s="1">
        <v>-5.0000000000000001E-3</v>
      </c>
      <c r="J1676" s="1">
        <f>+D1676-F1676+I1676*O1676</f>
        <v>2.8299999999999992E-2</v>
      </c>
      <c r="K1676" s="1">
        <v>9.2819109559059108E-3</v>
      </c>
      <c r="L1676" s="1">
        <f>+K1676-J1676</f>
        <v>-1.9018089044094081E-2</v>
      </c>
      <c r="M1676" s="1">
        <v>-5.7180890440940799E-3</v>
      </c>
      <c r="N1676" s="1">
        <f>+M1676-J1676</f>
        <v>-3.401808904409407E-2</v>
      </c>
      <c r="O1676">
        <v>2.34</v>
      </c>
      <c r="P1676" t="s">
        <v>16</v>
      </c>
      <c r="Q1676">
        <v>-0.01</v>
      </c>
      <c r="R1676">
        <v>-1.27655655927956E-2</v>
      </c>
      <c r="S1676">
        <v>-1.47735890932381E-2</v>
      </c>
      <c r="T1676">
        <v>-0.03</v>
      </c>
    </row>
    <row r="1677" spans="1:20" x14ac:dyDescent="0.3">
      <c r="A1677" t="s">
        <v>122</v>
      </c>
      <c r="B1677">
        <v>2014</v>
      </c>
      <c r="C1677">
        <v>1725993</v>
      </c>
      <c r="D1677" s="1">
        <v>0.03</v>
      </c>
      <c r="E1677" s="1">
        <v>0.91280108690261796</v>
      </c>
      <c r="F1677" s="1">
        <v>2.3E-2</v>
      </c>
      <c r="G1677" s="1">
        <f t="shared" si="52"/>
        <v>3.4000000000000002E-2</v>
      </c>
      <c r="H1677" s="1" t="str">
        <f t="shared" si="53"/>
        <v/>
      </c>
      <c r="I1677" s="1">
        <v>-8.9999999999999993E-3</v>
      </c>
      <c r="J1677" s="1">
        <f>+D1677-F1677+I1677*O1677</f>
        <v>-1.4509999999999999E-2</v>
      </c>
      <c r="K1677" s="1">
        <v>3.23443440720439E-3</v>
      </c>
      <c r="L1677" s="1">
        <f>+K1677-J1677</f>
        <v>1.7744434407204388E-2</v>
      </c>
      <c r="M1677" s="1">
        <v>-1.27655655927956E-2</v>
      </c>
      <c r="N1677" s="1">
        <f>+M1677-J1677</f>
        <v>1.7444344072043982E-3</v>
      </c>
      <c r="O1677">
        <v>2.39</v>
      </c>
      <c r="P1677" t="s">
        <v>17</v>
      </c>
      <c r="Q1677">
        <v>-0.01</v>
      </c>
      <c r="R1677">
        <v>1.86311660110949E-2</v>
      </c>
      <c r="S1677">
        <v>-1.16322860121726E-2</v>
      </c>
      <c r="T1677">
        <v>0.02</v>
      </c>
    </row>
    <row r="1678" spans="1:20" x14ac:dyDescent="0.3">
      <c r="A1678" t="s">
        <v>122</v>
      </c>
      <c r="B1678">
        <v>2015</v>
      </c>
      <c r="C1678">
        <v>1733087</v>
      </c>
      <c r="D1678" s="1">
        <v>1.2E-2</v>
      </c>
      <c r="E1678" s="1">
        <v>0.92115533351898204</v>
      </c>
      <c r="F1678" s="1">
        <v>-1.6E-2</v>
      </c>
      <c r="G1678" s="1">
        <f t="shared" si="52"/>
        <v>1.8000000000000002E-2</v>
      </c>
      <c r="H1678" s="1" t="str">
        <f t="shared" si="53"/>
        <v/>
      </c>
      <c r="I1678" s="1">
        <v>8.0000000000000002E-3</v>
      </c>
      <c r="J1678" s="1">
        <f>+D1678-F1678+I1678*O1678</f>
        <v>4.6880000000000005E-2</v>
      </c>
      <c r="K1678" s="1">
        <v>1.9631166011094998E-2</v>
      </c>
      <c r="L1678" s="1">
        <f>+K1678-J1678</f>
        <v>-2.7248833988905007E-2</v>
      </c>
      <c r="M1678" s="1">
        <v>1.86311660110949E-2</v>
      </c>
      <c r="N1678" s="1">
        <f>+M1678-J1678</f>
        <v>-2.8248833988905105E-2</v>
      </c>
      <c r="O1678">
        <v>2.36</v>
      </c>
      <c r="P1678" t="s">
        <v>17</v>
      </c>
      <c r="Q1678">
        <v>-0.01</v>
      </c>
      <c r="R1678">
        <v>7.7327771931886896E-3</v>
      </c>
      <c r="S1678">
        <v>-5.4207798093557002E-3</v>
      </c>
      <c r="T1678">
        <v>-0.01</v>
      </c>
    </row>
    <row r="1679" spans="1:20" x14ac:dyDescent="0.3">
      <c r="A1679" t="s">
        <v>122</v>
      </c>
      <c r="B1679">
        <v>2016</v>
      </c>
      <c r="C1679">
        <v>1738343</v>
      </c>
      <c r="D1679" s="1">
        <v>0.02</v>
      </c>
      <c r="E1679" s="1">
        <v>0.91917675733566295</v>
      </c>
      <c r="F1679" s="1">
        <v>1E-3</v>
      </c>
      <c r="G1679" s="1">
        <f t="shared" si="52"/>
        <v>1.9000000000000003E-2</v>
      </c>
      <c r="H1679" s="1" t="str">
        <f t="shared" si="53"/>
        <v/>
      </c>
      <c r="I1679" s="1">
        <v>-2E-3</v>
      </c>
      <c r="J1679" s="1">
        <f>+D1679-F1679+I1679*O1679</f>
        <v>1.4279999999999999E-2</v>
      </c>
      <c r="K1679" s="1">
        <v>2.0732777193188699E-2</v>
      </c>
      <c r="L1679" s="1">
        <f>+K1679-J1679</f>
        <v>6.4527771931886992E-3</v>
      </c>
      <c r="M1679" s="1">
        <v>7.7327771931886896E-3</v>
      </c>
      <c r="N1679" s="1">
        <f>+M1679-J1679</f>
        <v>-6.5472228068113097E-3</v>
      </c>
      <c r="O1679">
        <v>2.36</v>
      </c>
      <c r="P1679" t="s">
        <v>17</v>
      </c>
      <c r="Q1679">
        <v>-0.01</v>
      </c>
      <c r="R1679">
        <v>-2.0364041477442E-3</v>
      </c>
      <c r="S1679">
        <v>-4.8259776085614898E-3</v>
      </c>
      <c r="T1679">
        <v>0</v>
      </c>
    </row>
    <row r="1680" spans="1:20" x14ac:dyDescent="0.3">
      <c r="A1680" t="s">
        <v>122</v>
      </c>
      <c r="B1680">
        <v>2017</v>
      </c>
      <c r="C1680">
        <v>1743217</v>
      </c>
      <c r="D1680" s="1">
        <v>1.2E-2</v>
      </c>
      <c r="E1680" s="1">
        <v>0.92569750547409102</v>
      </c>
      <c r="F1680" s="1">
        <v>-6.0000000000000001E-3</v>
      </c>
      <c r="G1680" s="1">
        <f t="shared" si="52"/>
        <v>1.3000000000000003E-2</v>
      </c>
      <c r="H1680" s="1" t="str">
        <f t="shared" si="53"/>
        <v/>
      </c>
      <c r="I1680" s="1">
        <v>7.0000000000000001E-3</v>
      </c>
      <c r="J1680" s="1">
        <f>+D1680-F1680+I1680*O1680</f>
        <v>3.4380000000000001E-2</v>
      </c>
      <c r="K1680" s="1">
        <v>1.89635958522558E-2</v>
      </c>
      <c r="L1680" s="1">
        <f>+K1680-J1680</f>
        <v>-1.54164041477442E-2</v>
      </c>
      <c r="M1680" s="1">
        <v>-2.0364041477442E-3</v>
      </c>
      <c r="N1680" s="1">
        <f>+M1680-J1680</f>
        <v>-3.6416404147744198E-2</v>
      </c>
      <c r="O1680">
        <v>2.34</v>
      </c>
      <c r="P1680" t="s">
        <v>17</v>
      </c>
      <c r="Q1680">
        <v>0</v>
      </c>
      <c r="R1680">
        <v>8.3666408658027904E-3</v>
      </c>
      <c r="S1680">
        <v>-7.6838210225099702E-4</v>
      </c>
      <c r="T1680">
        <v>0</v>
      </c>
    </row>
    <row r="1681" spans="1:20" x14ac:dyDescent="0.3">
      <c r="A1681" t="s">
        <v>122</v>
      </c>
      <c r="B1681">
        <v>2018</v>
      </c>
      <c r="C1681">
        <v>1749649</v>
      </c>
      <c r="D1681" s="1">
        <v>1.7999999999999999E-2</v>
      </c>
      <c r="E1681" s="1">
        <v>0.93438547849655196</v>
      </c>
      <c r="F1681" s="1">
        <v>-0.05</v>
      </c>
      <c r="G1681" s="1">
        <f t="shared" si="52"/>
        <v>-3.6999999999999998E-2</v>
      </c>
      <c r="H1681" s="1" t="str">
        <f t="shared" si="53"/>
        <v/>
      </c>
      <c r="I1681" s="1">
        <v>8.9999999999999993E-3</v>
      </c>
      <c r="J1681" s="1">
        <f>+D1681-F1681+I1681*O1681</f>
        <v>8.8070000000000009E-2</v>
      </c>
      <c r="K1681" s="1">
        <v>3.23666408658028E-2</v>
      </c>
      <c r="L1681" s="1">
        <f>+K1681-J1681</f>
        <v>-5.570335913419721E-2</v>
      </c>
      <c r="M1681" s="1">
        <v>8.3666408658027904E-3</v>
      </c>
      <c r="N1681" s="1">
        <f>+M1681-J1681</f>
        <v>-7.9703359134197224E-2</v>
      </c>
      <c r="O1681">
        <v>2.23</v>
      </c>
      <c r="P1681" t="s">
        <v>17</v>
      </c>
      <c r="Q1681">
        <v>0</v>
      </c>
      <c r="R1681">
        <v>2.5881688266992501E-2</v>
      </c>
      <c r="S1681">
        <v>8.0804936587810898E-3</v>
      </c>
      <c r="T1681">
        <v>-0.04</v>
      </c>
    </row>
    <row r="1682" spans="1:20" x14ac:dyDescent="0.3">
      <c r="A1682" t="s">
        <v>122</v>
      </c>
      <c r="B1682">
        <v>2019</v>
      </c>
      <c r="C1682">
        <v>1758447</v>
      </c>
      <c r="D1682" s="1">
        <v>1.6E-2</v>
      </c>
      <c r="E1682" s="1">
        <v>0.93720352649688698</v>
      </c>
      <c r="F1682" s="1">
        <v>3.2000000000000001E-2</v>
      </c>
      <c r="G1682" s="1">
        <f t="shared" si="52"/>
        <v>-4.9999999999999975E-3</v>
      </c>
      <c r="H1682" s="1" t="str">
        <f t="shared" si="53"/>
        <v/>
      </c>
      <c r="I1682" s="1">
        <v>3.0000000000000001E-3</v>
      </c>
      <c r="J1682" s="1">
        <f>+D1682-F1682+I1682*O1682</f>
        <v>-9.1000000000000004E-3</v>
      </c>
      <c r="K1682" s="1">
        <v>4.3881688266992597E-2</v>
      </c>
      <c r="L1682" s="1">
        <f>+K1682-J1682</f>
        <v>5.2981688266992594E-2</v>
      </c>
      <c r="M1682" s="1">
        <v>2.5881688266992501E-2</v>
      </c>
      <c r="N1682" s="1">
        <f>+M1682-J1682</f>
        <v>3.4981688266992501E-2</v>
      </c>
      <c r="O1682">
        <v>2.2999999999999998</v>
      </c>
      <c r="P1682" t="s">
        <v>15</v>
      </c>
      <c r="Q1682">
        <v>0.01</v>
      </c>
      <c r="R1682">
        <v>4.1948290646076199E-2</v>
      </c>
      <c r="S1682">
        <v>2.3099100217223199E-2</v>
      </c>
      <c r="T1682">
        <v>0.04</v>
      </c>
    </row>
    <row r="1683" spans="1:20" x14ac:dyDescent="0.3">
      <c r="A1683" t="s">
        <v>122</v>
      </c>
      <c r="B1683">
        <v>2020</v>
      </c>
      <c r="C1683">
        <v>1765671</v>
      </c>
      <c r="D1683" s="1">
        <v>0.02</v>
      </c>
      <c r="E1683" s="1">
        <v>0.95994818210601796</v>
      </c>
      <c r="F1683" s="1">
        <v>-0.10100000000000001</v>
      </c>
      <c r="G1683" s="1">
        <f t="shared" si="52"/>
        <v>-0.10600000000000001</v>
      </c>
      <c r="H1683" s="1" t="str">
        <f t="shared" si="53"/>
        <v/>
      </c>
      <c r="I1683" s="1">
        <v>2.3E-2</v>
      </c>
      <c r="J1683" s="1">
        <f>+D1683-F1683+I1683*O1683</f>
        <v>0.16861000000000001</v>
      </c>
      <c r="K1683" s="1">
        <v>5.3948290646076202E-2</v>
      </c>
      <c r="L1683" s="1">
        <f>+K1683-J1683</f>
        <v>-0.11466170935392381</v>
      </c>
      <c r="M1683" s="1">
        <v>4.1948290646076199E-2</v>
      </c>
      <c r="N1683" s="1">
        <f>+M1683-J1683</f>
        <v>-0.12666170935392382</v>
      </c>
      <c r="O1683">
        <v>2.0699999999999998</v>
      </c>
      <c r="P1683" t="s">
        <v>17</v>
      </c>
      <c r="Q1683">
        <v>0.02</v>
      </c>
      <c r="R1683">
        <v>6.1978085219859903E-2</v>
      </c>
      <c r="S1683">
        <v>1.8388472497463001E-2</v>
      </c>
      <c r="T1683">
        <v>-0.06</v>
      </c>
    </row>
    <row r="1684" spans="1:20" x14ac:dyDescent="0.3">
      <c r="A1684" t="s">
        <v>122</v>
      </c>
      <c r="B1684">
        <v>2021</v>
      </c>
      <c r="C1684">
        <v>1768028</v>
      </c>
      <c r="D1684" s="1">
        <v>1.2999999999999999E-2</v>
      </c>
      <c r="E1684" s="1">
        <v>0.96354705095291104</v>
      </c>
      <c r="F1684" s="1">
        <v>9.2999999999999999E-2</v>
      </c>
      <c r="G1684" s="1">
        <f t="shared" si="52"/>
        <v>-1.3000000000000012E-2</v>
      </c>
      <c r="H1684" s="1" t="str">
        <f t="shared" si="53"/>
        <v/>
      </c>
      <c r="I1684" s="1">
        <v>4.0000000000000001E-3</v>
      </c>
      <c r="J1684" s="1">
        <f>+D1684-F1684+I1684*O1684</f>
        <v>-7.0959999999999995E-2</v>
      </c>
      <c r="K1684" s="1">
        <v>0.10897808521985999</v>
      </c>
      <c r="L1684" s="1">
        <f>+K1684-J1684</f>
        <v>0.17993808521985999</v>
      </c>
      <c r="M1684" s="1">
        <v>6.1978085219859903E-2</v>
      </c>
      <c r="N1684" s="1">
        <f>+M1684-J1684</f>
        <v>0.13293808521985989</v>
      </c>
      <c r="O1684">
        <v>2.2599999999999998</v>
      </c>
      <c r="P1684" t="s">
        <v>15</v>
      </c>
      <c r="Q1684">
        <v>0.02</v>
      </c>
      <c r="R1684">
        <v>-2.7528038173913999E-2</v>
      </c>
      <c r="S1684">
        <v>4.5754685997963004E-3</v>
      </c>
      <c r="T1684">
        <v>0.06</v>
      </c>
    </row>
    <row r="1685" spans="1:20" x14ac:dyDescent="0.3">
      <c r="A1685" t="s">
        <v>122</v>
      </c>
      <c r="B1685">
        <v>2022</v>
      </c>
      <c r="C1685">
        <v>1768581</v>
      </c>
      <c r="D1685" s="1">
        <v>1.6E-2</v>
      </c>
      <c r="E1685" s="1">
        <v>0.934953272342682</v>
      </c>
      <c r="F1685" s="1">
        <v>-2.8000000000000001E-2</v>
      </c>
      <c r="G1685" s="1">
        <f t="shared" si="52"/>
        <v>-4.1000000000000009E-2</v>
      </c>
      <c r="H1685" s="1" t="str">
        <f t="shared" si="53"/>
        <v/>
      </c>
      <c r="I1685" s="1">
        <v>-2.9000000000000001E-2</v>
      </c>
      <c r="J1685" s="1">
        <f>+D1685-F1685+I1685*O1685</f>
        <v>-1.951E-2</v>
      </c>
      <c r="K1685" s="1">
        <v>5.2471961826086003E-2</v>
      </c>
      <c r="L1685" s="1">
        <f>+K1685-J1685</f>
        <v>7.1981961826086002E-2</v>
      </c>
      <c r="M1685" s="1">
        <v>-2.7528038173913999E-2</v>
      </c>
      <c r="N1685" s="1">
        <f>+M1685-J1685</f>
        <v>-8.0180381739139994E-3</v>
      </c>
      <c r="O1685">
        <v>2.19</v>
      </c>
      <c r="P1685" t="s">
        <v>16</v>
      </c>
      <c r="Q1685">
        <v>0.01</v>
      </c>
      <c r="R1685">
        <v>-1.22476171553135E-2</v>
      </c>
      <c r="S1685">
        <v>7.3113106191158E-3</v>
      </c>
      <c r="T1685">
        <v>-0.01</v>
      </c>
    </row>
    <row r="1686" spans="1:20" x14ac:dyDescent="0.3">
      <c r="A1686" t="s">
        <v>123</v>
      </c>
      <c r="B1686">
        <v>2006</v>
      </c>
      <c r="C1686">
        <v>427122.71879999997</v>
      </c>
      <c r="D1686" s="1">
        <v>8.2000000000000003E-2</v>
      </c>
      <c r="E1686" s="1">
        <v>0.94951975345611594</v>
      </c>
      <c r="F1686" s="1">
        <v>-8.9999999999999993E-3</v>
      </c>
      <c r="G1686" s="1">
        <f t="shared" si="52"/>
        <v>-8.9999999999999993E-3</v>
      </c>
      <c r="H1686" s="1" t="str">
        <f t="shared" si="53"/>
        <v/>
      </c>
      <c r="I1686" s="1">
        <v>3.0000000000000001E-3</v>
      </c>
      <c r="J1686" s="1">
        <f>+D1686-F1686+I1686*O1686</f>
        <v>9.8199999999999996E-2</v>
      </c>
      <c r="K1686" s="1">
        <v>6.6762506961822496E-2</v>
      </c>
      <c r="L1686" s="1">
        <f>+K1686-J1686</f>
        <v>-3.14374930381775E-2</v>
      </c>
      <c r="M1686" s="1">
        <v>3.4762506961822398E-2</v>
      </c>
      <c r="N1686" s="1">
        <f>+M1686-J1686</f>
        <v>-6.3437493038177598E-2</v>
      </c>
      <c r="O1686">
        <v>2.4</v>
      </c>
      <c r="P1686" t="s">
        <v>17</v>
      </c>
      <c r="Q1686">
        <v>0.03</v>
      </c>
      <c r="R1686">
        <v>-2.7011753022670999E-3</v>
      </c>
      <c r="S1686">
        <v>-1.7794193699955899E-3</v>
      </c>
      <c r="T1686">
        <v>-0.01</v>
      </c>
    </row>
    <row r="1687" spans="1:20" x14ac:dyDescent="0.3">
      <c r="A1687" t="s">
        <v>123</v>
      </c>
      <c r="B1687">
        <v>2007</v>
      </c>
      <c r="C1687">
        <v>439049.28129999997</v>
      </c>
      <c r="D1687" s="1">
        <v>5.8999999999999997E-2</v>
      </c>
      <c r="E1687" s="1">
        <v>0.92233377695083596</v>
      </c>
      <c r="F1687" s="1">
        <v>1.7000000000000001E-2</v>
      </c>
      <c r="G1687" s="1">
        <f t="shared" si="52"/>
        <v>8.0000000000000019E-3</v>
      </c>
      <c r="H1687" s="1" t="str">
        <f t="shared" si="53"/>
        <v/>
      </c>
      <c r="I1687" s="1">
        <v>-2.7E-2</v>
      </c>
      <c r="J1687" s="1">
        <f>+D1687-F1687+I1687*O1687</f>
        <v>-2.3879999999999998E-2</v>
      </c>
      <c r="K1687" s="1">
        <v>2.6298824697732901E-2</v>
      </c>
      <c r="L1687" s="1">
        <f>+K1687-J1687</f>
        <v>5.0178824697732896E-2</v>
      </c>
      <c r="M1687" s="1">
        <v>-2.7011753022670999E-3</v>
      </c>
      <c r="N1687" s="1">
        <f>+M1687-J1687</f>
        <v>2.1178824697732898E-2</v>
      </c>
      <c r="O1687">
        <v>2.44</v>
      </c>
      <c r="P1687" t="s">
        <v>17</v>
      </c>
      <c r="Q1687">
        <v>0</v>
      </c>
      <c r="R1687">
        <v>-5.2294666238129103E-2</v>
      </c>
      <c r="S1687">
        <v>-2.27838619612157E-2</v>
      </c>
      <c r="T1687">
        <v>0.02</v>
      </c>
    </row>
    <row r="1688" spans="1:20" x14ac:dyDescent="0.3">
      <c r="A1688" t="s">
        <v>123</v>
      </c>
      <c r="B1688">
        <v>2008</v>
      </c>
      <c r="C1688">
        <v>448748.8125</v>
      </c>
      <c r="D1688" s="1">
        <v>4.9000000000000002E-2</v>
      </c>
      <c r="E1688" s="1">
        <v>0.90915453433990501</v>
      </c>
      <c r="F1688" s="1">
        <v>-0.10299999999999999</v>
      </c>
      <c r="G1688" s="1">
        <f t="shared" si="52"/>
        <v>-9.4999999999999987E-2</v>
      </c>
      <c r="H1688" s="1" t="str">
        <f t="shared" si="53"/>
        <v/>
      </c>
      <c r="I1688" s="1">
        <v>-1.2999999999999999E-2</v>
      </c>
      <c r="J1688" s="1">
        <f>+D1688-F1688+I1688*O1688</f>
        <v>0.12365999999999999</v>
      </c>
      <c r="K1688" s="1">
        <v>-1.4294666238129101E-2</v>
      </c>
      <c r="L1688" s="1">
        <f>+K1688-J1688</f>
        <v>-0.1379546662381291</v>
      </c>
      <c r="M1688" s="1">
        <v>-5.2294666238129103E-2</v>
      </c>
      <c r="N1688" s="1">
        <f>+M1688-J1688</f>
        <v>-0.17595466623812911</v>
      </c>
      <c r="O1688">
        <v>2.1800000000000002</v>
      </c>
      <c r="P1688" t="s">
        <v>16</v>
      </c>
      <c r="Q1688">
        <v>-0.02</v>
      </c>
      <c r="R1688">
        <v>-2.9875577151775402E-2</v>
      </c>
      <c r="S1688">
        <v>-3.3088754862547502E-3</v>
      </c>
      <c r="T1688">
        <v>-0.11</v>
      </c>
    </row>
    <row r="1689" spans="1:20" x14ac:dyDescent="0.3">
      <c r="A1689" t="s">
        <v>123</v>
      </c>
      <c r="B1689">
        <v>2009</v>
      </c>
      <c r="C1689">
        <v>457742.09379999997</v>
      </c>
      <c r="D1689" s="1">
        <v>4.1000000000000002E-2</v>
      </c>
      <c r="E1689" s="1">
        <v>0.92068749666214</v>
      </c>
      <c r="F1689" s="1">
        <v>9.9000000000000005E-2</v>
      </c>
      <c r="G1689" s="1">
        <f t="shared" si="52"/>
        <v>4.0000000000000174E-3</v>
      </c>
      <c r="H1689" s="1" t="str">
        <f t="shared" si="53"/>
        <v/>
      </c>
      <c r="I1689" s="1">
        <v>1.2E-2</v>
      </c>
      <c r="J1689" s="1">
        <f>+D1689-F1689+I1689*O1689</f>
        <v>-2.9200000000000004E-2</v>
      </c>
      <c r="K1689" s="1">
        <v>-3.3875577151775402E-2</v>
      </c>
      <c r="L1689" s="1">
        <f>+K1689-J1689</f>
        <v>-4.675577151775398E-3</v>
      </c>
      <c r="M1689" s="1">
        <v>-2.9875577151775402E-2</v>
      </c>
      <c r="N1689" s="1">
        <f>+M1689-J1689</f>
        <v>-6.7557715177539793E-4</v>
      </c>
      <c r="O1689">
        <v>2.4</v>
      </c>
      <c r="P1689" t="s">
        <v>15</v>
      </c>
      <c r="Q1689">
        <v>0</v>
      </c>
      <c r="R1689">
        <v>-7.4867430925369301E-3</v>
      </c>
      <c r="S1689">
        <v>1.9733656663447501E-3</v>
      </c>
      <c r="T1689">
        <v>0.08</v>
      </c>
    </row>
    <row r="1690" spans="1:20" x14ac:dyDescent="0.3">
      <c r="A1690" t="s">
        <v>123</v>
      </c>
      <c r="B1690">
        <v>2010</v>
      </c>
      <c r="C1690">
        <v>468099</v>
      </c>
      <c r="D1690" s="1">
        <v>6.0000000000000001E-3</v>
      </c>
      <c r="E1690" s="1">
        <v>0.93087750673294101</v>
      </c>
      <c r="F1690" s="1">
        <v>-6.0000000000000001E-3</v>
      </c>
      <c r="G1690" s="1">
        <f t="shared" si="52"/>
        <v>-1.9999999999999827E-3</v>
      </c>
      <c r="H1690" s="1" t="str">
        <f t="shared" si="53"/>
        <v/>
      </c>
      <c r="I1690" s="1">
        <v>0.01</v>
      </c>
      <c r="J1690" s="1">
        <f>+D1690-F1690+I1690*O1690</f>
        <v>3.5900000000000001E-2</v>
      </c>
      <c r="K1690" s="1">
        <v>8.5132569074630703E-3</v>
      </c>
      <c r="L1690" s="1">
        <f>+K1690-J1690</f>
        <v>-2.7386743092536931E-2</v>
      </c>
      <c r="M1690" s="1">
        <v>-7.4867430925369301E-3</v>
      </c>
      <c r="N1690" s="1">
        <f>+M1690-J1690</f>
        <v>-4.3386743092536928E-2</v>
      </c>
      <c r="O1690">
        <v>2.39</v>
      </c>
      <c r="P1690" t="s">
        <v>17</v>
      </c>
      <c r="Q1690">
        <v>0</v>
      </c>
      <c r="R1690">
        <v>-1.94918926507235E-2</v>
      </c>
      <c r="S1690">
        <v>1.7918818630278E-3</v>
      </c>
      <c r="T1690">
        <v>-0.01</v>
      </c>
    </row>
    <row r="1691" spans="1:20" x14ac:dyDescent="0.3">
      <c r="A1691" t="s">
        <v>123</v>
      </c>
      <c r="B1691">
        <v>2011</v>
      </c>
      <c r="C1691">
        <v>478446.40629999997</v>
      </c>
      <c r="D1691" s="1">
        <v>4.0000000000000001E-3</v>
      </c>
      <c r="E1691" s="1">
        <v>0.93890494108200095</v>
      </c>
      <c r="F1691" s="1">
        <v>2.1999999999999999E-2</v>
      </c>
      <c r="G1691" s="1">
        <f t="shared" si="52"/>
        <v>2.0000000000000018E-2</v>
      </c>
      <c r="H1691" s="1" t="str">
        <f t="shared" si="53"/>
        <v/>
      </c>
      <c r="I1691" s="1">
        <v>8.0000000000000002E-3</v>
      </c>
      <c r="J1691" s="1">
        <f>+D1691-F1691+I1691*O1691</f>
        <v>1.5200000000000005E-3</v>
      </c>
      <c r="K1691" s="1">
        <v>1.2508107349276499E-2</v>
      </c>
      <c r="L1691" s="1">
        <f>+K1691-J1691</f>
        <v>1.0988107349276499E-2</v>
      </c>
      <c r="M1691" s="1">
        <v>-1.94918926507235E-2</v>
      </c>
      <c r="N1691" s="1">
        <f>+M1691-J1691</f>
        <v>-2.10118926507235E-2</v>
      </c>
      <c r="O1691">
        <v>2.44</v>
      </c>
      <c r="P1691" t="s">
        <v>15</v>
      </c>
      <c r="Q1691">
        <v>0</v>
      </c>
      <c r="R1691">
        <v>-1.0608400255442E-3</v>
      </c>
      <c r="S1691">
        <v>4.3773660436271901E-3</v>
      </c>
      <c r="T1691">
        <v>0.02</v>
      </c>
    </row>
    <row r="1692" spans="1:20" x14ac:dyDescent="0.3">
      <c r="A1692" t="s">
        <v>123</v>
      </c>
      <c r="B1692">
        <v>2012</v>
      </c>
      <c r="C1692">
        <v>487974.3125</v>
      </c>
      <c r="D1692" s="1">
        <v>1E-3</v>
      </c>
      <c r="E1692" s="1">
        <v>0.95174449682235696</v>
      </c>
      <c r="F1692" s="1">
        <v>-4.1000000000000002E-2</v>
      </c>
      <c r="G1692" s="1">
        <f t="shared" si="52"/>
        <v>-2.0999999999999984E-2</v>
      </c>
      <c r="H1692" s="1" t="str">
        <f t="shared" si="53"/>
        <v/>
      </c>
      <c r="I1692" s="1">
        <v>1.2999999999999999E-2</v>
      </c>
      <c r="J1692" s="1">
        <f>+D1692-F1692+I1692*O1692</f>
        <v>7.2419999999999998E-2</v>
      </c>
      <c r="K1692" s="1">
        <v>1.9939159974455799E-2</v>
      </c>
      <c r="L1692" s="1">
        <f>+K1692-J1692</f>
        <v>-5.24808400255442E-2</v>
      </c>
      <c r="M1692" s="1">
        <v>-1.0608400255442E-3</v>
      </c>
      <c r="N1692" s="1">
        <f>+M1692-J1692</f>
        <v>-7.3480840025544197E-2</v>
      </c>
      <c r="O1692">
        <v>2.34</v>
      </c>
      <c r="P1692" t="s">
        <v>17</v>
      </c>
      <c r="Q1692">
        <v>0</v>
      </c>
      <c r="R1692">
        <v>-1.53382342308759E-3</v>
      </c>
      <c r="S1692">
        <v>-7.6605947688222001E-3</v>
      </c>
      <c r="T1692">
        <v>-0.04</v>
      </c>
    </row>
    <row r="1693" spans="1:20" x14ac:dyDescent="0.3">
      <c r="A1693" t="s">
        <v>123</v>
      </c>
      <c r="B1693">
        <v>2013</v>
      </c>
      <c r="C1693">
        <v>496906.8125</v>
      </c>
      <c r="D1693" s="1">
        <v>3.0000000000000001E-3</v>
      </c>
      <c r="E1693" s="1">
        <v>0.95358300209045399</v>
      </c>
      <c r="F1693" s="1">
        <v>0.13400000000000001</v>
      </c>
      <c r="G1693" s="1">
        <f t="shared" si="52"/>
        <v>0.11300000000000002</v>
      </c>
      <c r="H1693" s="1" t="str">
        <f t="shared" si="53"/>
        <v/>
      </c>
      <c r="I1693" s="1">
        <v>2E-3</v>
      </c>
      <c r="J1693" s="1">
        <f>+D1693-F1693+I1693*O1693</f>
        <v>-0.12570000000000001</v>
      </c>
      <c r="K1693" s="1">
        <v>1.34661765769124E-2</v>
      </c>
      <c r="L1693" s="1">
        <f>+K1693-J1693</f>
        <v>0.13916617657691241</v>
      </c>
      <c r="M1693" s="1">
        <v>-1.53382342308759E-3</v>
      </c>
      <c r="N1693" s="1">
        <f>+M1693-J1693</f>
        <v>0.12416617657691241</v>
      </c>
      <c r="O1693">
        <v>2.65</v>
      </c>
      <c r="P1693" t="s">
        <v>15</v>
      </c>
      <c r="Q1693">
        <v>-0.01</v>
      </c>
      <c r="R1693">
        <v>3.4125324487685898E-3</v>
      </c>
      <c r="S1693">
        <v>1.40450894832609E-3</v>
      </c>
      <c r="T1693">
        <v>0.13</v>
      </c>
    </row>
    <row r="1694" spans="1:20" x14ac:dyDescent="0.3">
      <c r="A1694" t="s">
        <v>123</v>
      </c>
      <c r="B1694">
        <v>2014</v>
      </c>
      <c r="C1694">
        <v>507121.3125</v>
      </c>
      <c r="D1694" s="1">
        <v>1E-3</v>
      </c>
      <c r="E1694" s="1">
        <v>0.95367634296417203</v>
      </c>
      <c r="F1694" s="1">
        <v>-5.7000000000000002E-2</v>
      </c>
      <c r="G1694" s="1">
        <f t="shared" si="52"/>
        <v>5.6000000000000015E-2</v>
      </c>
      <c r="H1694" s="1" t="str">
        <f t="shared" si="53"/>
        <v/>
      </c>
      <c r="I1694" s="1">
        <v>0</v>
      </c>
      <c r="J1694" s="1">
        <f>+D1694-F1694+I1694*O1694</f>
        <v>5.8000000000000003E-2</v>
      </c>
      <c r="K1694" s="1">
        <v>1.9412532448768598E-2</v>
      </c>
      <c r="L1694" s="1">
        <f>+K1694-J1694</f>
        <v>-3.8587467551231408E-2</v>
      </c>
      <c r="M1694" s="1">
        <v>3.4125324487685898E-3</v>
      </c>
      <c r="N1694" s="1">
        <f>+M1694-J1694</f>
        <v>-5.4587467551231415E-2</v>
      </c>
      <c r="O1694">
        <v>2.5</v>
      </c>
      <c r="P1694" t="s">
        <v>17</v>
      </c>
      <c r="Q1694">
        <v>0</v>
      </c>
      <c r="R1694">
        <v>2.45645327270031E-2</v>
      </c>
      <c r="S1694">
        <v>-5.6989192962645903E-3</v>
      </c>
      <c r="T1694">
        <v>-0.06</v>
      </c>
    </row>
    <row r="1695" spans="1:20" x14ac:dyDescent="0.3">
      <c r="A1695" t="s">
        <v>123</v>
      </c>
      <c r="B1695">
        <v>2015</v>
      </c>
      <c r="C1695">
        <v>518669.375</v>
      </c>
      <c r="D1695" s="1">
        <v>2.5000000000000001E-2</v>
      </c>
      <c r="E1695" s="1">
        <v>0.96497595310211204</v>
      </c>
      <c r="F1695" s="1">
        <v>-1.4E-2</v>
      </c>
      <c r="G1695" s="1">
        <f t="shared" si="52"/>
        <v>4.2000000000000016E-2</v>
      </c>
      <c r="H1695" s="1" t="str">
        <f t="shared" si="53"/>
        <v/>
      </c>
      <c r="I1695" s="1">
        <v>1.0999999999999999E-2</v>
      </c>
      <c r="J1695" s="1">
        <f>+D1695-F1695+I1695*O1695</f>
        <v>6.6170000000000007E-2</v>
      </c>
      <c r="K1695" s="1">
        <v>2.5564532727003101E-2</v>
      </c>
      <c r="L1695" s="1">
        <f>+K1695-J1695</f>
        <v>-4.0605467272996909E-2</v>
      </c>
      <c r="M1695" s="1">
        <v>2.45645327270031E-2</v>
      </c>
      <c r="N1695" s="1">
        <f>+M1695-J1695</f>
        <v>-4.160546727299691E-2</v>
      </c>
      <c r="O1695">
        <v>2.4700000000000002</v>
      </c>
      <c r="P1695" t="s">
        <v>17</v>
      </c>
      <c r="Q1695">
        <v>-0.01</v>
      </c>
      <c r="R1695">
        <v>1.1660903960466399E-2</v>
      </c>
      <c r="S1695">
        <v>-1.492653042078E-3</v>
      </c>
      <c r="T1695">
        <v>0</v>
      </c>
    </row>
    <row r="1696" spans="1:20" x14ac:dyDescent="0.3">
      <c r="A1696" t="s">
        <v>123</v>
      </c>
      <c r="B1696">
        <v>2016</v>
      </c>
      <c r="C1696">
        <v>530986.875</v>
      </c>
      <c r="D1696" s="1">
        <v>3.9E-2</v>
      </c>
      <c r="E1696" s="1">
        <v>0.95263880491256703</v>
      </c>
      <c r="F1696" s="1">
        <v>-5.3999999999999999E-2</v>
      </c>
      <c r="G1696" s="1">
        <f t="shared" si="52"/>
        <v>-1.1999999999999983E-2</v>
      </c>
      <c r="H1696" s="1" t="str">
        <f t="shared" si="53"/>
        <v/>
      </c>
      <c r="I1696" s="1">
        <v>-1.2E-2</v>
      </c>
      <c r="J1696" s="1">
        <f>+D1696-F1696+I1696*O1696</f>
        <v>6.5040000000000001E-2</v>
      </c>
      <c r="K1696" s="1">
        <v>2.4660903960466399E-2</v>
      </c>
      <c r="L1696" s="1">
        <f>+K1696-J1696</f>
        <v>-4.0379096039533602E-2</v>
      </c>
      <c r="M1696" s="1">
        <v>1.1660903960466399E-2</v>
      </c>
      <c r="N1696" s="1">
        <f>+M1696-J1696</f>
        <v>-5.3379096039533599E-2</v>
      </c>
      <c r="O1696">
        <v>2.33</v>
      </c>
      <c r="P1696" t="s">
        <v>16</v>
      </c>
      <c r="Q1696">
        <v>0</v>
      </c>
      <c r="R1696">
        <v>-1.43194853365421E-2</v>
      </c>
      <c r="S1696">
        <v>-1.7109058797359401E-2</v>
      </c>
      <c r="T1696">
        <v>-0.05</v>
      </c>
    </row>
    <row r="1697" spans="1:20" x14ac:dyDescent="0.3">
      <c r="A1697" t="s">
        <v>123</v>
      </c>
      <c r="B1697">
        <v>2017</v>
      </c>
      <c r="C1697">
        <v>542506.25</v>
      </c>
      <c r="D1697" s="1">
        <v>6.3E-2</v>
      </c>
      <c r="E1697" s="1">
        <v>0.93064785003662098</v>
      </c>
      <c r="F1697" s="1">
        <v>7.0000000000000007E-2</v>
      </c>
      <c r="G1697" s="1">
        <f t="shared" si="52"/>
        <v>5.8000000000000024E-2</v>
      </c>
      <c r="H1697" s="1" t="str">
        <f t="shared" si="53"/>
        <v/>
      </c>
      <c r="I1697" s="1">
        <v>-2.1999999999999999E-2</v>
      </c>
      <c r="J1697" s="1">
        <f>+D1697-F1697+I1697*O1697</f>
        <v>-6.2E-2</v>
      </c>
      <c r="K1697" s="1">
        <v>6.6805146634578696E-3</v>
      </c>
      <c r="L1697" s="1">
        <f>+K1697-J1697</f>
        <v>6.868051466345787E-2</v>
      </c>
      <c r="M1697" s="1">
        <v>-1.43194853365421E-2</v>
      </c>
      <c r="N1697" s="1">
        <f>+M1697-J1697</f>
        <v>4.76805146634579E-2</v>
      </c>
      <c r="O1697">
        <v>2.5</v>
      </c>
      <c r="P1697" t="s">
        <v>17</v>
      </c>
      <c r="Q1697">
        <v>-0.02</v>
      </c>
      <c r="R1697">
        <v>1.10966453552246E-2</v>
      </c>
      <c r="S1697">
        <v>1.9616223871707999E-3</v>
      </c>
      <c r="T1697">
        <v>7.0000000000000007E-2</v>
      </c>
    </row>
    <row r="1698" spans="1:20" x14ac:dyDescent="0.3">
      <c r="A1698" t="s">
        <v>123</v>
      </c>
      <c r="B1698">
        <v>2018</v>
      </c>
      <c r="C1698">
        <v>552533.3125</v>
      </c>
      <c r="D1698" s="1">
        <v>3.7999999999999999E-2</v>
      </c>
      <c r="E1698" s="1">
        <v>0.94018501043319702</v>
      </c>
      <c r="F1698" s="1">
        <v>-1.7000000000000001E-2</v>
      </c>
      <c r="G1698" s="1">
        <f t="shared" si="52"/>
        <v>4.1000000000000023E-2</v>
      </c>
      <c r="H1698" s="1" t="str">
        <f t="shared" si="53"/>
        <v/>
      </c>
      <c r="I1698" s="1">
        <v>0.01</v>
      </c>
      <c r="J1698" s="1">
        <f>+D1698-F1698+I1698*O1698</f>
        <v>7.9500000000000001E-2</v>
      </c>
      <c r="K1698" s="1">
        <v>3.5096645355224602E-2</v>
      </c>
      <c r="L1698" s="1">
        <f>+K1698-J1698</f>
        <v>-4.4403354644775399E-2</v>
      </c>
      <c r="M1698" s="1">
        <v>1.10966453552246E-2</v>
      </c>
      <c r="N1698" s="1">
        <f>+M1698-J1698</f>
        <v>-6.8403354644775399E-2</v>
      </c>
      <c r="O1698">
        <v>2.4500000000000002</v>
      </c>
      <c r="P1698" t="s">
        <v>17</v>
      </c>
      <c r="Q1698">
        <v>0</v>
      </c>
      <c r="R1698">
        <v>-3.23282352834939E-3</v>
      </c>
      <c r="S1698">
        <v>-2.10340181365609E-2</v>
      </c>
      <c r="T1698">
        <v>-0.01</v>
      </c>
    </row>
    <row r="1699" spans="1:20" x14ac:dyDescent="0.3">
      <c r="A1699" t="s">
        <v>123</v>
      </c>
      <c r="B1699">
        <v>2019</v>
      </c>
      <c r="C1699">
        <v>563359.0625</v>
      </c>
      <c r="D1699" s="1">
        <v>6.8000000000000005E-2</v>
      </c>
      <c r="E1699" s="1">
        <v>0.93957328796386697</v>
      </c>
      <c r="F1699" s="1">
        <v>-3.4000000000000002E-2</v>
      </c>
      <c r="G1699" s="1">
        <f t="shared" si="52"/>
        <v>7.0000000000000201E-3</v>
      </c>
      <c r="H1699" s="1" t="str">
        <f t="shared" si="53"/>
        <v/>
      </c>
      <c r="I1699" s="1">
        <v>-1E-3</v>
      </c>
      <c r="J1699" s="1">
        <f>+D1699-F1699+I1699*O1699</f>
        <v>9.963000000000001E-2</v>
      </c>
      <c r="K1699" s="1">
        <v>1.47671764716506E-2</v>
      </c>
      <c r="L1699" s="1">
        <f>+K1699-J1699</f>
        <v>-8.486282352834941E-2</v>
      </c>
      <c r="M1699" s="1">
        <v>-3.23282352834939E-3</v>
      </c>
      <c r="N1699" s="1">
        <f>+M1699-J1699</f>
        <v>-0.1028628235283494</v>
      </c>
      <c r="O1699">
        <v>2.37</v>
      </c>
      <c r="P1699" t="s">
        <v>16</v>
      </c>
      <c r="Q1699">
        <v>-0.02</v>
      </c>
      <c r="R1699">
        <v>8.6619873642920994E-3</v>
      </c>
      <c r="S1699">
        <v>-1.0187203064560901E-2</v>
      </c>
      <c r="T1699">
        <v>-0.03</v>
      </c>
    </row>
    <row r="1700" spans="1:20" x14ac:dyDescent="0.3">
      <c r="A1700" t="s">
        <v>123</v>
      </c>
      <c r="B1700">
        <v>2020</v>
      </c>
      <c r="C1700">
        <v>576466.625</v>
      </c>
      <c r="D1700" s="1">
        <v>4.2999999999999997E-2</v>
      </c>
      <c r="E1700" s="1">
        <v>0.93569195270538297</v>
      </c>
      <c r="F1700" s="1">
        <v>1.7000000000000001E-2</v>
      </c>
      <c r="G1700" s="1">
        <f t="shared" si="52"/>
        <v>2.4000000000000021E-2</v>
      </c>
      <c r="H1700" s="1" t="str">
        <f t="shared" si="53"/>
        <v/>
      </c>
      <c r="I1700" s="1">
        <v>-4.0000000000000001E-3</v>
      </c>
      <c r="J1700" s="1">
        <f>+D1700-F1700+I1700*O1700</f>
        <v>1.6359999999999993E-2</v>
      </c>
      <c r="K1700" s="1">
        <v>2.06619873642921E-2</v>
      </c>
      <c r="L1700" s="1">
        <f>+K1700-J1700</f>
        <v>4.3019873642921071E-3</v>
      </c>
      <c r="M1700" s="1">
        <v>8.6619873642920994E-3</v>
      </c>
      <c r="N1700" s="1">
        <f>+M1700-J1700</f>
        <v>-7.6980126357078932E-3</v>
      </c>
      <c r="O1700">
        <v>2.41</v>
      </c>
      <c r="P1700" t="s">
        <v>17</v>
      </c>
      <c r="Q1700">
        <v>-0.01</v>
      </c>
      <c r="R1700">
        <v>1.80076940655708E-2</v>
      </c>
      <c r="S1700">
        <v>-2.5581918656826099E-2</v>
      </c>
      <c r="T1700">
        <v>0.06</v>
      </c>
    </row>
    <row r="1701" spans="1:20" x14ac:dyDescent="0.3">
      <c r="A1701" t="s">
        <v>123</v>
      </c>
      <c r="B1701">
        <v>2021</v>
      </c>
      <c r="C1701">
        <v>590035.1875</v>
      </c>
      <c r="D1701" s="1">
        <v>6.5000000000000002E-2</v>
      </c>
      <c r="E1701" s="1">
        <v>0.95481592416763295</v>
      </c>
      <c r="F1701" s="1">
        <v>-7.0000000000000001E-3</v>
      </c>
      <c r="G1701" s="1">
        <f t="shared" si="52"/>
        <v>1.7000000000000022E-2</v>
      </c>
      <c r="H1701" s="1" t="str">
        <f t="shared" si="53"/>
        <v/>
      </c>
      <c r="I1701" s="1">
        <v>1.9E-2</v>
      </c>
      <c r="J1701" s="1">
        <f>+D1701-F1701+I1701*O1701</f>
        <v>0.11741000000000001</v>
      </c>
      <c r="K1701" s="1">
        <v>6.5007694065570804E-2</v>
      </c>
      <c r="L1701" s="1">
        <f>+K1701-J1701</f>
        <v>-5.2402305934429211E-2</v>
      </c>
      <c r="M1701" s="1">
        <v>1.80076940655708E-2</v>
      </c>
      <c r="N1701" s="1">
        <f>+M1701-J1701</f>
        <v>-9.9402305934429211E-2</v>
      </c>
      <c r="O1701">
        <v>2.39</v>
      </c>
      <c r="P1701" t="s">
        <v>17</v>
      </c>
      <c r="Q1701">
        <v>-0.03</v>
      </c>
      <c r="R1701">
        <v>1.5956228673458001E-2</v>
      </c>
      <c r="S1701">
        <v>4.8059735447168399E-2</v>
      </c>
      <c r="T1701">
        <v>-0.04</v>
      </c>
    </row>
    <row r="1702" spans="1:20" x14ac:dyDescent="0.3">
      <c r="A1702" t="s">
        <v>123</v>
      </c>
      <c r="B1702">
        <v>2022</v>
      </c>
      <c r="C1702">
        <v>605385.9375</v>
      </c>
      <c r="D1702" s="1">
        <v>4.9000000000000002E-2</v>
      </c>
      <c r="E1702" s="1">
        <v>0.94483309984207198</v>
      </c>
      <c r="F1702" s="1">
        <v>-2.9000000000000001E-2</v>
      </c>
      <c r="G1702" s="1">
        <f t="shared" si="52"/>
        <v>-1.1999999999999979E-2</v>
      </c>
      <c r="H1702" s="1" t="str">
        <f t="shared" si="53"/>
        <v/>
      </c>
      <c r="I1702" s="1">
        <v>-0.01</v>
      </c>
      <c r="J1702" s="1">
        <f>+D1702-F1702+I1702*O1702</f>
        <v>5.4800000000000001E-2</v>
      </c>
      <c r="K1702" s="1">
        <v>9.5956228673458099E-2</v>
      </c>
      <c r="L1702" s="1">
        <f>+K1702-J1702</f>
        <v>4.1156228673458098E-2</v>
      </c>
      <c r="M1702" s="1">
        <v>1.5956228673458001E-2</v>
      </c>
      <c r="N1702" s="1">
        <f>+M1702-J1702</f>
        <v>-3.8843771326542001E-2</v>
      </c>
      <c r="O1702">
        <v>2.3199999999999998</v>
      </c>
      <c r="P1702" t="s">
        <v>16</v>
      </c>
      <c r="Q1702">
        <v>0.05</v>
      </c>
      <c r="R1702">
        <v>-1.69524408727884E-2</v>
      </c>
      <c r="S1702">
        <v>2.6064869016408899E-3</v>
      </c>
      <c r="T1702">
        <v>-0.01</v>
      </c>
    </row>
    <row r="1703" spans="1:20" x14ac:dyDescent="0.3">
      <c r="A1703" t="s">
        <v>124</v>
      </c>
      <c r="B1703">
        <v>2006</v>
      </c>
      <c r="C1703">
        <v>270762.5</v>
      </c>
      <c r="D1703" s="1">
        <v>1.0999999999999999E-2</v>
      </c>
      <c r="E1703" s="1">
        <v>0.94968146085739102</v>
      </c>
      <c r="F1703" s="1">
        <v>-6.0000000000000001E-3</v>
      </c>
      <c r="G1703" s="1">
        <f t="shared" si="52"/>
        <v>-6.0000000000000001E-3</v>
      </c>
      <c r="H1703" s="1" t="str">
        <f t="shared" si="53"/>
        <v/>
      </c>
      <c r="I1703" s="1">
        <v>7.0000000000000001E-3</v>
      </c>
      <c r="J1703" s="1">
        <f>+D1703-F1703+I1703*O1703</f>
        <v>3.177E-2</v>
      </c>
      <c r="K1703" s="1">
        <v>3.1943053007125903E-2</v>
      </c>
      <c r="L1703" s="1">
        <f>+K1703-J1703</f>
        <v>1.7305300712590344E-4</v>
      </c>
      <c r="M1703" s="1">
        <v>-5.6946992874097602E-5</v>
      </c>
      <c r="N1703" s="1">
        <f>+M1703-J1703</f>
        <v>-3.1826946992874097E-2</v>
      </c>
      <c r="O1703">
        <v>2.11</v>
      </c>
      <c r="P1703" t="s">
        <v>17</v>
      </c>
      <c r="Q1703">
        <v>-0.01</v>
      </c>
      <c r="R1703">
        <v>2.1100818216800901E-3</v>
      </c>
      <c r="S1703">
        <v>3.0318377539515998E-3</v>
      </c>
      <c r="T1703">
        <v>-0.01</v>
      </c>
    </row>
    <row r="1704" spans="1:20" x14ac:dyDescent="0.3">
      <c r="A1704" t="s">
        <v>124</v>
      </c>
      <c r="B1704">
        <v>2007</v>
      </c>
      <c r="C1704">
        <v>271158.375</v>
      </c>
      <c r="D1704" s="1">
        <v>0</v>
      </c>
      <c r="E1704" s="1">
        <v>0.94822686910629295</v>
      </c>
      <c r="F1704" s="1">
        <v>4.2999999999999997E-2</v>
      </c>
      <c r="G1704" s="1">
        <f t="shared" si="52"/>
        <v>3.6999999999999998E-2</v>
      </c>
      <c r="H1704" s="1" t="str">
        <f t="shared" si="53"/>
        <v/>
      </c>
      <c r="I1704" s="1">
        <v>-1E-3</v>
      </c>
      <c r="J1704" s="1">
        <f>+D1704-F1704+I1704*O1704</f>
        <v>-4.5199999999999997E-2</v>
      </c>
      <c r="K1704" s="1">
        <v>3.11100818216801E-2</v>
      </c>
      <c r="L1704" s="1">
        <f>+K1704-J1704</f>
        <v>7.6310081821680101E-2</v>
      </c>
      <c r="M1704" s="1">
        <v>2.1100818216800901E-3</v>
      </c>
      <c r="N1704" s="1">
        <f>+M1704-J1704</f>
        <v>4.7310081821680089E-2</v>
      </c>
      <c r="O1704">
        <v>2.2000000000000002</v>
      </c>
      <c r="P1704" t="s">
        <v>17</v>
      </c>
      <c r="Q1704">
        <v>0</v>
      </c>
      <c r="R1704">
        <v>-3.05548359751701E-2</v>
      </c>
      <c r="S1704">
        <v>-1.0440316982567299E-3</v>
      </c>
      <c r="T1704">
        <v>0.04</v>
      </c>
    </row>
    <row r="1705" spans="1:20" x14ac:dyDescent="0.3">
      <c r="A1705" t="s">
        <v>124</v>
      </c>
      <c r="B1705">
        <v>2008</v>
      </c>
      <c r="C1705">
        <v>272894.59379999997</v>
      </c>
      <c r="D1705" s="1">
        <v>0</v>
      </c>
      <c r="E1705" s="1">
        <v>0.94653892517089799</v>
      </c>
      <c r="F1705" s="1">
        <v>0.01</v>
      </c>
      <c r="G1705" s="1">
        <f t="shared" si="52"/>
        <v>4.7E-2</v>
      </c>
      <c r="H1705" s="1" t="str">
        <f t="shared" si="53"/>
        <v/>
      </c>
      <c r="I1705" s="1">
        <v>-2E-3</v>
      </c>
      <c r="J1705" s="1">
        <f>+D1705-F1705+I1705*O1705</f>
        <v>-1.4440000000000001E-2</v>
      </c>
      <c r="K1705" s="1">
        <v>7.4451640248298602E-3</v>
      </c>
      <c r="L1705" s="1">
        <f>+K1705-J1705</f>
        <v>2.1885164024829862E-2</v>
      </c>
      <c r="M1705" s="1">
        <v>-3.05548359751701E-2</v>
      </c>
      <c r="N1705" s="1">
        <f>+M1705-J1705</f>
        <v>-1.6114835975170098E-2</v>
      </c>
      <c r="O1705">
        <v>2.2200000000000002</v>
      </c>
      <c r="P1705" t="s">
        <v>17</v>
      </c>
      <c r="Q1705">
        <v>0</v>
      </c>
      <c r="R1705">
        <v>-2.2751304045319599E-2</v>
      </c>
      <c r="S1705">
        <v>3.8153976202010501E-3</v>
      </c>
      <c r="T1705">
        <v>0.01</v>
      </c>
    </row>
    <row r="1706" spans="1:20" x14ac:dyDescent="0.3">
      <c r="A1706" t="s">
        <v>124</v>
      </c>
      <c r="B1706">
        <v>2009</v>
      </c>
      <c r="C1706">
        <v>273765.5</v>
      </c>
      <c r="D1706" s="1">
        <v>0</v>
      </c>
      <c r="E1706" s="1">
        <v>0.94701212644577004</v>
      </c>
      <c r="F1706" s="1">
        <v>4.7E-2</v>
      </c>
      <c r="G1706" s="1">
        <f t="shared" si="52"/>
        <v>9.4E-2</v>
      </c>
      <c r="H1706" s="1" t="str">
        <f t="shared" si="53"/>
        <v/>
      </c>
      <c r="I1706" s="1">
        <v>0</v>
      </c>
      <c r="J1706" s="1">
        <f>+D1706-F1706+I1706*O1706</f>
        <v>-4.7E-2</v>
      </c>
      <c r="K1706" s="1">
        <v>-2.6751304045319599E-2</v>
      </c>
      <c r="L1706" s="1">
        <f>+K1706-J1706</f>
        <v>2.0248695954680401E-2</v>
      </c>
      <c r="M1706" s="1">
        <v>-2.2751304045319599E-2</v>
      </c>
      <c r="N1706" s="1">
        <f>+M1706-J1706</f>
        <v>2.4248695954680401E-2</v>
      </c>
      <c r="O1706">
        <v>2.33</v>
      </c>
      <c r="P1706" t="s">
        <v>15</v>
      </c>
      <c r="Q1706">
        <v>0</v>
      </c>
      <c r="R1706">
        <v>-3.33075582981099E-4</v>
      </c>
      <c r="S1706">
        <v>9.1270331759005802E-3</v>
      </c>
      <c r="T1706">
        <v>0.03</v>
      </c>
    </row>
    <row r="1707" spans="1:20" x14ac:dyDescent="0.3">
      <c r="A1707" t="s">
        <v>124</v>
      </c>
      <c r="B1707">
        <v>2010</v>
      </c>
      <c r="C1707">
        <v>273961.3125</v>
      </c>
      <c r="D1707" s="1">
        <v>4.0000000000000001E-3</v>
      </c>
      <c r="E1707" s="1">
        <v>0.94690316915512096</v>
      </c>
      <c r="F1707" s="1">
        <v>-0.113</v>
      </c>
      <c r="G1707" s="1">
        <f t="shared" si="52"/>
        <v>-1.9000000000000003E-2</v>
      </c>
      <c r="H1707" s="1" t="str">
        <f t="shared" si="53"/>
        <v/>
      </c>
      <c r="I1707" s="1">
        <v>0</v>
      </c>
      <c r="J1707" s="1">
        <f>+D1707-F1707+I1707*O1707</f>
        <v>0.11700000000000001</v>
      </c>
      <c r="K1707" s="1">
        <v>1.5666924417018901E-2</v>
      </c>
      <c r="L1707" s="1">
        <f>+K1707-J1707</f>
        <v>-0.1013330755829811</v>
      </c>
      <c r="M1707" s="1">
        <v>-3.33075582981099E-4</v>
      </c>
      <c r="N1707" s="1">
        <f>+M1707-J1707</f>
        <v>-0.1173330755829811</v>
      </c>
      <c r="O1707">
        <v>2.0699999999999998</v>
      </c>
      <c r="P1707" t="s">
        <v>16</v>
      </c>
      <c r="Q1707">
        <v>0.01</v>
      </c>
      <c r="R1707">
        <v>-2.2908566862344701E-2</v>
      </c>
      <c r="S1707">
        <v>-1.62479234859344E-3</v>
      </c>
      <c r="T1707">
        <v>-0.12</v>
      </c>
    </row>
    <row r="1708" spans="1:20" x14ac:dyDescent="0.3">
      <c r="A1708" t="s">
        <v>124</v>
      </c>
      <c r="B1708">
        <v>2011</v>
      </c>
      <c r="C1708">
        <v>273827.59379999997</v>
      </c>
      <c r="D1708" s="1">
        <v>1E-3</v>
      </c>
      <c r="E1708" s="1">
        <v>0.949751317501068</v>
      </c>
      <c r="F1708" s="1">
        <v>5.0999999999999997E-2</v>
      </c>
      <c r="G1708" s="1">
        <f t="shared" si="52"/>
        <v>3.1999999999999994E-2</v>
      </c>
      <c r="H1708" s="1" t="str">
        <f t="shared" si="53"/>
        <v/>
      </c>
      <c r="I1708" s="1">
        <v>3.0000000000000001E-3</v>
      </c>
      <c r="J1708" s="1">
        <f>+D1708-F1708+I1708*O1708</f>
        <v>-4.3489999999999994E-2</v>
      </c>
      <c r="K1708" s="1">
        <v>9.0914331376552599E-3</v>
      </c>
      <c r="L1708" s="1">
        <f>+K1708-J1708</f>
        <v>5.2581433137655252E-2</v>
      </c>
      <c r="M1708" s="1">
        <v>-2.2908566862344701E-2</v>
      </c>
      <c r="N1708" s="1">
        <f>+M1708-J1708</f>
        <v>2.0581433137655293E-2</v>
      </c>
      <c r="O1708">
        <v>2.17</v>
      </c>
      <c r="P1708" t="s">
        <v>15</v>
      </c>
      <c r="Q1708">
        <v>0</v>
      </c>
      <c r="R1708">
        <v>-3.9607754945755001E-3</v>
      </c>
      <c r="S1708">
        <v>1.47743057459589E-3</v>
      </c>
      <c r="T1708">
        <v>0.05</v>
      </c>
    </row>
    <row r="1709" spans="1:20" x14ac:dyDescent="0.3">
      <c r="A1709" t="s">
        <v>124</v>
      </c>
      <c r="B1709">
        <v>2012</v>
      </c>
      <c r="C1709">
        <v>274730.90629999997</v>
      </c>
      <c r="D1709" s="1">
        <v>0</v>
      </c>
      <c r="E1709" s="1">
        <v>0.94770222902297996</v>
      </c>
      <c r="F1709" s="1">
        <v>-2.9000000000000001E-2</v>
      </c>
      <c r="G1709" s="1">
        <f t="shared" si="52"/>
        <v>2.9999999999999923E-3</v>
      </c>
      <c r="H1709" s="1" t="str">
        <f t="shared" si="53"/>
        <v/>
      </c>
      <c r="I1709" s="1">
        <v>-2E-3</v>
      </c>
      <c r="J1709" s="1">
        <f>+D1709-F1709+I1709*O1709</f>
        <v>2.4780000000000003E-2</v>
      </c>
      <c r="K1709" s="1">
        <v>1.70392245054245E-2</v>
      </c>
      <c r="L1709" s="1">
        <f>+K1709-J1709</f>
        <v>-7.7407754945755039E-3</v>
      </c>
      <c r="M1709" s="1">
        <v>-3.9607754945755001E-3</v>
      </c>
      <c r="N1709" s="1">
        <f>+M1709-J1709</f>
        <v>-2.8740775494575502E-2</v>
      </c>
      <c r="O1709">
        <v>2.11</v>
      </c>
      <c r="P1709" t="s">
        <v>16</v>
      </c>
      <c r="Q1709">
        <v>0</v>
      </c>
      <c r="R1709">
        <v>-1.0087153278291201E-2</v>
      </c>
      <c r="S1709">
        <v>-1.6213924624025801E-2</v>
      </c>
      <c r="T1709">
        <v>-0.03</v>
      </c>
    </row>
    <row r="1710" spans="1:20" x14ac:dyDescent="0.3">
      <c r="A1710" t="s">
        <v>124</v>
      </c>
      <c r="B1710">
        <v>2013</v>
      </c>
      <c r="C1710">
        <v>273831.59379999997</v>
      </c>
      <c r="D1710" s="1">
        <v>0</v>
      </c>
      <c r="E1710" s="1">
        <v>0.94143587350845304</v>
      </c>
      <c r="F1710" s="1">
        <v>0.152</v>
      </c>
      <c r="G1710" s="1">
        <f t="shared" si="52"/>
        <v>0.155</v>
      </c>
      <c r="H1710" s="1">
        <f t="shared" si="53"/>
        <v>1.6732564195990549E-2</v>
      </c>
      <c r="I1710" s="1">
        <v>-6.0000000000000001E-3</v>
      </c>
      <c r="J1710" s="1">
        <f>+D1710-F1710+I1710*O1710</f>
        <v>-0.16658000000000001</v>
      </c>
      <c r="K1710" s="1">
        <v>4.9128467217087702E-3</v>
      </c>
      <c r="L1710" s="1">
        <f>+K1710-J1710</f>
        <v>0.17149284672170878</v>
      </c>
      <c r="M1710" s="1">
        <v>-1.0087153278291201E-2</v>
      </c>
      <c r="N1710" s="1">
        <f>+M1710-J1710</f>
        <v>0.15649284672170879</v>
      </c>
      <c r="O1710">
        <v>2.4300000000000002</v>
      </c>
      <c r="P1710" t="s">
        <v>17</v>
      </c>
      <c r="Q1710">
        <v>-0.02</v>
      </c>
      <c r="R1710">
        <v>4.1968755573033997E-3</v>
      </c>
      <c r="S1710">
        <v>2.1888520568608899E-3</v>
      </c>
      <c r="T1710">
        <v>0.14000000000000001</v>
      </c>
    </row>
    <row r="1711" spans="1:20" x14ac:dyDescent="0.3">
      <c r="A1711" t="s">
        <v>124</v>
      </c>
      <c r="B1711">
        <v>2014</v>
      </c>
      <c r="C1711">
        <v>272614.90629999997</v>
      </c>
      <c r="D1711" s="1">
        <v>0.01</v>
      </c>
      <c r="E1711" s="1">
        <v>0.94347345829009999</v>
      </c>
      <c r="F1711" s="1">
        <v>-0.113</v>
      </c>
      <c r="G1711" s="1">
        <f t="shared" si="52"/>
        <v>4.1999999999999996E-2</v>
      </c>
      <c r="H1711" s="1" t="str">
        <f t="shared" si="53"/>
        <v/>
      </c>
      <c r="I1711" s="1">
        <v>2E-3</v>
      </c>
      <c r="J1711" s="1">
        <f>+D1711-F1711+I1711*O1711</f>
        <v>0.1273</v>
      </c>
      <c r="K1711" s="1">
        <v>2.0196875557303401E-2</v>
      </c>
      <c r="L1711" s="1">
        <f>+K1711-J1711</f>
        <v>-0.1071031244426966</v>
      </c>
      <c r="M1711" s="1">
        <v>4.1968755573033997E-3</v>
      </c>
      <c r="N1711" s="1">
        <f>+M1711-J1711</f>
        <v>-0.1231031244426966</v>
      </c>
      <c r="O1711">
        <v>2.15</v>
      </c>
      <c r="P1711" t="s">
        <v>17</v>
      </c>
      <c r="Q1711">
        <v>0</v>
      </c>
      <c r="R1711">
        <v>1.22682528346776E-2</v>
      </c>
      <c r="S1711">
        <v>-1.7995199188589901E-2</v>
      </c>
      <c r="T1711">
        <v>-0.12</v>
      </c>
    </row>
    <row r="1712" spans="1:20" x14ac:dyDescent="0.3">
      <c r="A1712" t="s">
        <v>124</v>
      </c>
      <c r="B1712">
        <v>2015</v>
      </c>
      <c r="C1712">
        <v>271293.625</v>
      </c>
      <c r="D1712" s="1">
        <v>3.5000000000000003E-2</v>
      </c>
      <c r="E1712" s="1">
        <v>0.92783612012863204</v>
      </c>
      <c r="F1712" s="1">
        <v>1E-3</v>
      </c>
      <c r="G1712" s="1">
        <f t="shared" si="52"/>
        <v>4.2999999999999997E-2</v>
      </c>
      <c r="H1712" s="1" t="str">
        <f t="shared" si="53"/>
        <v/>
      </c>
      <c r="I1712" s="1">
        <v>-1.6E-2</v>
      </c>
      <c r="J1712" s="1">
        <f>+D1712-F1712+I1712*O1712</f>
        <v>-5.59999999999998E-4</v>
      </c>
      <c r="K1712" s="1">
        <v>1.32682528346777E-2</v>
      </c>
      <c r="L1712" s="1">
        <f>+K1712-J1712</f>
        <v>1.3828252834677698E-2</v>
      </c>
      <c r="M1712" s="1">
        <v>1.22682528346776E-2</v>
      </c>
      <c r="N1712" s="1">
        <f>+M1712-J1712</f>
        <v>1.2828252834677598E-2</v>
      </c>
      <c r="O1712">
        <v>2.16</v>
      </c>
      <c r="P1712" t="s">
        <v>17</v>
      </c>
      <c r="Q1712">
        <v>-0.02</v>
      </c>
      <c r="R1712">
        <v>1.79276059269904E-2</v>
      </c>
      <c r="S1712">
        <v>4.7740489244460903E-3</v>
      </c>
      <c r="T1712">
        <v>0.01</v>
      </c>
    </row>
    <row r="1713" spans="1:20" x14ac:dyDescent="0.3">
      <c r="A1713" t="s">
        <v>124</v>
      </c>
      <c r="B1713">
        <v>2016</v>
      </c>
      <c r="C1713">
        <v>270546.59379999997</v>
      </c>
      <c r="D1713" s="1">
        <v>6.0000000000000001E-3</v>
      </c>
      <c r="E1713" s="1">
        <v>0.94439607858657804</v>
      </c>
      <c r="F1713" s="1">
        <v>-7.1999999999999995E-2</v>
      </c>
      <c r="G1713" s="1">
        <f t="shared" si="52"/>
        <v>-2.8999999999999998E-2</v>
      </c>
      <c r="H1713" s="1" t="str">
        <f t="shared" si="53"/>
        <v/>
      </c>
      <c r="I1713" s="1">
        <v>1.7000000000000001E-2</v>
      </c>
      <c r="J1713" s="1">
        <f>+D1713-F1713+I1713*O1713</f>
        <v>0.112</v>
      </c>
      <c r="K1713" s="1">
        <v>3.0927605926990499E-2</v>
      </c>
      <c r="L1713" s="1">
        <f>+K1713-J1713</f>
        <v>-8.1072394073009507E-2</v>
      </c>
      <c r="M1713" s="1">
        <v>1.79276059269904E-2</v>
      </c>
      <c r="N1713" s="1">
        <f>+M1713-J1713</f>
        <v>-9.4072394073009602E-2</v>
      </c>
      <c r="O1713">
        <v>2</v>
      </c>
      <c r="P1713" t="s">
        <v>17</v>
      </c>
      <c r="Q1713">
        <v>0</v>
      </c>
      <c r="R1713">
        <v>-6.4174014180899E-3</v>
      </c>
      <c r="S1713">
        <v>-9.2069748789071898E-3</v>
      </c>
      <c r="T1713">
        <v>-7.0000000000000007E-2</v>
      </c>
    </row>
    <row r="1714" spans="1:20" x14ac:dyDescent="0.3">
      <c r="A1714" t="s">
        <v>124</v>
      </c>
      <c r="B1714">
        <v>2017</v>
      </c>
      <c r="C1714">
        <v>270067.28129999997</v>
      </c>
      <c r="D1714" s="1">
        <v>3.2000000000000001E-2</v>
      </c>
      <c r="E1714" s="1">
        <v>0.91671788692474399</v>
      </c>
      <c r="F1714" s="1">
        <v>7.0000000000000007E-2</v>
      </c>
      <c r="G1714" s="1">
        <f t="shared" si="52"/>
        <v>4.1000000000000009E-2</v>
      </c>
      <c r="H1714" s="1" t="str">
        <f t="shared" si="53"/>
        <v/>
      </c>
      <c r="I1714" s="1">
        <v>-2.8000000000000001E-2</v>
      </c>
      <c r="J1714" s="1">
        <f>+D1714-F1714+I1714*O1714</f>
        <v>-9.7920000000000007E-2</v>
      </c>
      <c r="K1714" s="1">
        <v>1.45825985819101E-2</v>
      </c>
      <c r="L1714" s="1">
        <f>+K1714-J1714</f>
        <v>0.11250259858191011</v>
      </c>
      <c r="M1714" s="1">
        <v>-6.4174014180899E-3</v>
      </c>
      <c r="N1714" s="1">
        <f>+M1714-J1714</f>
        <v>9.1502598581910108E-2</v>
      </c>
      <c r="O1714">
        <v>2.14</v>
      </c>
      <c r="P1714" t="s">
        <v>17</v>
      </c>
      <c r="Q1714">
        <v>-0.01</v>
      </c>
      <c r="R1714">
        <v>1.90436804890632E-2</v>
      </c>
      <c r="S1714">
        <v>9.9086575210095007E-3</v>
      </c>
      <c r="T1714">
        <v>7.0000000000000007E-2</v>
      </c>
    </row>
    <row r="1715" spans="1:20" x14ac:dyDescent="0.3">
      <c r="A1715" t="s">
        <v>124</v>
      </c>
      <c r="B1715">
        <v>2018</v>
      </c>
      <c r="C1715">
        <v>269501.1875</v>
      </c>
      <c r="D1715" s="1">
        <v>1.2E-2</v>
      </c>
      <c r="E1715" s="1">
        <v>0.93911689519882202</v>
      </c>
      <c r="F1715" s="1">
        <v>6.0000000000000001E-3</v>
      </c>
      <c r="G1715" s="1">
        <f t="shared" si="52"/>
        <v>4.7000000000000007E-2</v>
      </c>
      <c r="H1715" s="1" t="str">
        <f t="shared" si="53"/>
        <v/>
      </c>
      <c r="I1715" s="1">
        <v>2.1999999999999999E-2</v>
      </c>
      <c r="J1715" s="1">
        <f>+D1715-F1715+I1715*O1715</f>
        <v>5.3299999999999993E-2</v>
      </c>
      <c r="K1715" s="1">
        <v>4.3043680489063298E-2</v>
      </c>
      <c r="L1715" s="1">
        <f>+K1715-J1715</f>
        <v>-1.0256319510936696E-2</v>
      </c>
      <c r="M1715" s="1">
        <v>1.90436804890632E-2</v>
      </c>
      <c r="N1715" s="1">
        <f>+M1715-J1715</f>
        <v>-3.4256319510936793E-2</v>
      </c>
      <c r="O1715">
        <v>2.15</v>
      </c>
      <c r="P1715" t="s">
        <v>15</v>
      </c>
      <c r="Q1715">
        <v>0.01</v>
      </c>
      <c r="R1715">
        <v>2.2211975574493399E-2</v>
      </c>
      <c r="S1715">
        <v>4.41078096628189E-3</v>
      </c>
      <c r="T1715">
        <v>0.02</v>
      </c>
    </row>
    <row r="1716" spans="1:20" x14ac:dyDescent="0.3">
      <c r="A1716" t="s">
        <v>124</v>
      </c>
      <c r="B1716">
        <v>2019</v>
      </c>
      <c r="C1716">
        <v>268684.59379999997</v>
      </c>
      <c r="D1716" s="1">
        <v>-1E-3</v>
      </c>
      <c r="E1716" s="1">
        <v>0.93430763483047496</v>
      </c>
      <c r="F1716" s="1">
        <v>8.9999999999999993E-3</v>
      </c>
      <c r="G1716" s="1">
        <f t="shared" si="52"/>
        <v>5.6000000000000008E-2</v>
      </c>
      <c r="H1716" s="1" t="str">
        <f t="shared" si="53"/>
        <v/>
      </c>
      <c r="I1716" s="1">
        <v>-5.0000000000000001E-3</v>
      </c>
      <c r="J1716" s="1">
        <f>+D1716-F1716+I1716*O1716</f>
        <v>-2.085E-2</v>
      </c>
      <c r="K1716" s="1">
        <v>4.0211975574493401E-2</v>
      </c>
      <c r="L1716" s="1">
        <f>+K1716-J1716</f>
        <v>6.1061975574493402E-2</v>
      </c>
      <c r="M1716" s="1">
        <v>2.2211975574493399E-2</v>
      </c>
      <c r="N1716" s="1">
        <f>+M1716-J1716</f>
        <v>4.30619755744934E-2</v>
      </c>
      <c r="O1716">
        <v>2.17</v>
      </c>
      <c r="P1716" t="s">
        <v>17</v>
      </c>
      <c r="Q1716">
        <v>0</v>
      </c>
      <c r="R1716">
        <v>2.39754972159863E-2</v>
      </c>
      <c r="S1716">
        <v>5.1263067871333001E-3</v>
      </c>
      <c r="T1716">
        <v>0.02</v>
      </c>
    </row>
    <row r="1717" spans="1:20" x14ac:dyDescent="0.3">
      <c r="A1717" t="s">
        <v>124</v>
      </c>
      <c r="B1717">
        <v>2020</v>
      </c>
      <c r="C1717">
        <v>266543.09379999997</v>
      </c>
      <c r="D1717" s="1">
        <v>7.2999999999999995E-2</v>
      </c>
      <c r="E1717" s="1">
        <v>0.95806473493576005</v>
      </c>
      <c r="F1717" s="1">
        <v>-0.16700000000000001</v>
      </c>
      <c r="G1717" s="1">
        <f t="shared" si="52"/>
        <v>-0.111</v>
      </c>
      <c r="H1717" s="1" t="str">
        <f t="shared" si="53"/>
        <v/>
      </c>
      <c r="I1717" s="1">
        <v>2.4E-2</v>
      </c>
      <c r="J1717" s="1">
        <f>+D1717-F1717+I1717*O1717</f>
        <v>0.28343999999999997</v>
      </c>
      <c r="K1717" s="1">
        <v>3.59754972159863E-2</v>
      </c>
      <c r="L1717" s="1">
        <f>+K1717-J1717</f>
        <v>-0.24746450278401366</v>
      </c>
      <c r="M1717" s="1">
        <v>2.39754972159863E-2</v>
      </c>
      <c r="N1717" s="1">
        <f>+M1717-J1717</f>
        <v>-0.25946450278401367</v>
      </c>
      <c r="O1717">
        <v>1.81</v>
      </c>
      <c r="P1717" t="s">
        <v>17</v>
      </c>
      <c r="Q1717">
        <v>0.01</v>
      </c>
      <c r="R1717">
        <v>3.9507230997085599E-2</v>
      </c>
      <c r="S1717">
        <v>-4.0823817253113001E-3</v>
      </c>
      <c r="T1717">
        <v>-0.13</v>
      </c>
    </row>
    <row r="1718" spans="1:20" x14ac:dyDescent="0.3">
      <c r="A1718" t="s">
        <v>124</v>
      </c>
      <c r="B1718">
        <v>2021</v>
      </c>
      <c r="C1718">
        <v>267252.40629999997</v>
      </c>
      <c r="D1718" s="1">
        <v>2.4E-2</v>
      </c>
      <c r="E1718" s="1">
        <v>0.97047317028045699</v>
      </c>
      <c r="F1718" s="1">
        <v>0.183</v>
      </c>
      <c r="G1718" s="1">
        <f t="shared" si="52"/>
        <v>7.1999999999999995E-2</v>
      </c>
      <c r="H1718" s="1" t="str">
        <f t="shared" si="53"/>
        <v/>
      </c>
      <c r="I1718" s="1">
        <v>1.2E-2</v>
      </c>
      <c r="J1718" s="1">
        <f>+D1718-F1718+I1718*O1718</f>
        <v>-0.13331999999999999</v>
      </c>
      <c r="K1718" s="1">
        <v>8.6507230997085599E-2</v>
      </c>
      <c r="L1718" s="1">
        <f>+K1718-J1718</f>
        <v>0.21982723099708559</v>
      </c>
      <c r="M1718" s="1">
        <v>3.9507230997085599E-2</v>
      </c>
      <c r="N1718" s="1">
        <f>+M1718-J1718</f>
        <v>0.17282723099708558</v>
      </c>
      <c r="O1718">
        <v>2.14</v>
      </c>
      <c r="P1718" t="s">
        <v>15</v>
      </c>
      <c r="Q1718">
        <v>0</v>
      </c>
      <c r="R1718">
        <v>-1.04738864302635E-2</v>
      </c>
      <c r="S1718">
        <v>2.16296203434467E-2</v>
      </c>
      <c r="T1718">
        <v>0.15</v>
      </c>
    </row>
    <row r="1719" spans="1:20" x14ac:dyDescent="0.3">
      <c r="A1719" t="s">
        <v>124</v>
      </c>
      <c r="B1719">
        <v>2022</v>
      </c>
      <c r="C1719">
        <v>268483.78129999997</v>
      </c>
      <c r="D1719" s="1">
        <v>0</v>
      </c>
      <c r="E1719" s="1">
        <v>0.96116393804550204</v>
      </c>
      <c r="F1719" s="1">
        <v>-0.08</v>
      </c>
      <c r="G1719" s="1">
        <f t="shared" si="52"/>
        <v>-8.0000000000000071E-3</v>
      </c>
      <c r="H1719" s="1" t="str">
        <f t="shared" si="53"/>
        <v/>
      </c>
      <c r="I1719" s="1">
        <v>-8.9999999999999993E-3</v>
      </c>
      <c r="J1719" s="1">
        <f>+D1719-F1719+I1719*O1719</f>
        <v>6.2270000000000006E-2</v>
      </c>
      <c r="K1719" s="1">
        <v>6.9526113569736495E-2</v>
      </c>
      <c r="L1719" s="1">
        <f>+K1719-J1719</f>
        <v>7.2561135697364887E-3</v>
      </c>
      <c r="M1719" s="1">
        <v>-1.04738864302635E-2</v>
      </c>
      <c r="N1719" s="1">
        <f>+M1719-J1719</f>
        <v>-7.2743886430263499E-2</v>
      </c>
      <c r="O1719">
        <v>1.97</v>
      </c>
      <c r="P1719" t="s">
        <v>16</v>
      </c>
      <c r="Q1719">
        <v>0.02</v>
      </c>
      <c r="R1719">
        <v>2.9124268531799301E-2</v>
      </c>
      <c r="S1719">
        <v>4.8683196306228603E-2</v>
      </c>
      <c r="T1719">
        <v>-0.06</v>
      </c>
    </row>
    <row r="1720" spans="1:20" x14ac:dyDescent="0.3">
      <c r="A1720" t="s">
        <v>125</v>
      </c>
      <c r="B1720">
        <v>2006</v>
      </c>
      <c r="C1720">
        <v>128214.49219999999</v>
      </c>
      <c r="D1720" s="1">
        <v>0</v>
      </c>
      <c r="E1720" s="1">
        <v>0.95253503322601296</v>
      </c>
      <c r="F1720" s="1">
        <v>8.9999999999999993E-3</v>
      </c>
      <c r="G1720" s="1">
        <f t="shared" si="52"/>
        <v>8.9999999999999993E-3</v>
      </c>
      <c r="H1720" s="1" t="str">
        <f t="shared" si="53"/>
        <v/>
      </c>
      <c r="I1720" s="1">
        <v>1.4E-2</v>
      </c>
      <c r="J1720" s="1">
        <f>+D1720-F1720+I1720*O1720</f>
        <v>2.3620000000000002E-2</v>
      </c>
      <c r="K1720" s="1">
        <v>4.2790159583091701E-2</v>
      </c>
      <c r="L1720" s="1">
        <f>+K1720-J1720</f>
        <v>1.9170159583091699E-2</v>
      </c>
      <c r="M1720" s="1">
        <v>1.07901595830917E-2</v>
      </c>
      <c r="N1720" s="1">
        <f>+M1720-J1720</f>
        <v>-1.2829840416908302E-2</v>
      </c>
      <c r="O1720">
        <v>2.33</v>
      </c>
      <c r="P1720" t="s">
        <v>15</v>
      </c>
      <c r="Q1720">
        <v>0</v>
      </c>
      <c r="R1720">
        <v>1.29933982193469E-2</v>
      </c>
      <c r="S1720">
        <v>1.39151541516185E-2</v>
      </c>
      <c r="T1720">
        <v>0.01</v>
      </c>
    </row>
    <row r="1721" spans="1:20" x14ac:dyDescent="0.3">
      <c r="A1721" t="s">
        <v>125</v>
      </c>
      <c r="B1721">
        <v>2007</v>
      </c>
      <c r="C1721">
        <v>131109.4063</v>
      </c>
      <c r="D1721" s="1">
        <v>0</v>
      </c>
      <c r="E1721" s="1">
        <v>0.95200949907302901</v>
      </c>
      <c r="F1721" s="1">
        <v>-5.0000000000000001E-3</v>
      </c>
      <c r="G1721" s="1">
        <f t="shared" si="52"/>
        <v>3.9999999999999992E-3</v>
      </c>
      <c r="H1721" s="1" t="str">
        <f t="shared" si="53"/>
        <v/>
      </c>
      <c r="I1721" s="1">
        <v>-1E-3</v>
      </c>
      <c r="J1721" s="1">
        <f>+D1721-F1721+I1721*O1721</f>
        <v>2.6800000000000001E-3</v>
      </c>
      <c r="K1721" s="1">
        <v>4.1993398219347E-2</v>
      </c>
      <c r="L1721" s="1">
        <f>+K1721-J1721</f>
        <v>3.9313398219346998E-2</v>
      </c>
      <c r="M1721" s="1">
        <v>1.29933982193469E-2</v>
      </c>
      <c r="N1721" s="1">
        <f>+M1721-J1721</f>
        <v>1.03133982193469E-2</v>
      </c>
      <c r="O1721">
        <v>2.3199999999999998</v>
      </c>
      <c r="P1721" t="s">
        <v>16</v>
      </c>
      <c r="Q1721">
        <v>0.01</v>
      </c>
      <c r="R1721">
        <v>-2.7532139152288401E-2</v>
      </c>
      <c r="S1721">
        <v>1.9786651246250001E-3</v>
      </c>
      <c r="T1721">
        <v>-0.01</v>
      </c>
    </row>
    <row r="1722" spans="1:20" x14ac:dyDescent="0.3">
      <c r="A1722" t="s">
        <v>125</v>
      </c>
      <c r="B1722">
        <v>2008</v>
      </c>
      <c r="C1722">
        <v>134036.1875</v>
      </c>
      <c r="D1722" s="1">
        <v>0</v>
      </c>
      <c r="E1722" s="1">
        <v>0.94504553079605103</v>
      </c>
      <c r="F1722" s="1">
        <v>0.09</v>
      </c>
      <c r="G1722" s="1">
        <f t="shared" si="52"/>
        <v>9.4E-2</v>
      </c>
      <c r="H1722" s="1" t="str">
        <f t="shared" si="53"/>
        <v/>
      </c>
      <c r="I1722" s="1">
        <v>-7.0000000000000001E-3</v>
      </c>
      <c r="J1722" s="1">
        <f>+D1722-F1722+I1722*O1722</f>
        <v>-0.10771</v>
      </c>
      <c r="K1722" s="1">
        <v>1.04678608477116E-2</v>
      </c>
      <c r="L1722" s="1">
        <f>+K1722-J1722</f>
        <v>0.1181778608477116</v>
      </c>
      <c r="M1722" s="1">
        <v>-2.7532139152288401E-2</v>
      </c>
      <c r="N1722" s="1">
        <f>+M1722-J1722</f>
        <v>8.0177860847711599E-2</v>
      </c>
      <c r="O1722">
        <v>2.5299999999999998</v>
      </c>
      <c r="P1722" t="s">
        <v>17</v>
      </c>
      <c r="Q1722">
        <v>0</v>
      </c>
      <c r="R1722">
        <v>-2.9270951360464099E-2</v>
      </c>
      <c r="S1722">
        <v>-2.7042496949434502E-3</v>
      </c>
      <c r="T1722">
        <v>0.09</v>
      </c>
    </row>
    <row r="1723" spans="1:20" x14ac:dyDescent="0.3">
      <c r="A1723" t="s">
        <v>125</v>
      </c>
      <c r="B1723">
        <v>2009</v>
      </c>
      <c r="C1723">
        <v>136957.5938</v>
      </c>
      <c r="D1723" s="1">
        <v>0</v>
      </c>
      <c r="E1723" s="1">
        <v>0.93322867155075095</v>
      </c>
      <c r="F1723" s="1">
        <v>1.6E-2</v>
      </c>
      <c r="G1723" s="1">
        <f t="shared" si="52"/>
        <v>0.11</v>
      </c>
      <c r="H1723" s="1" t="str">
        <f t="shared" si="53"/>
        <v/>
      </c>
      <c r="I1723" s="1">
        <v>-1.2E-2</v>
      </c>
      <c r="J1723" s="1">
        <f>+D1723-F1723+I1723*O1723</f>
        <v>-4.684E-2</v>
      </c>
      <c r="K1723" s="1">
        <v>-3.3270951360464103E-2</v>
      </c>
      <c r="L1723" s="1">
        <f>+K1723-J1723</f>
        <v>1.3569048639535897E-2</v>
      </c>
      <c r="M1723" s="1">
        <v>-2.9270951360464099E-2</v>
      </c>
      <c r="N1723" s="1">
        <f>+M1723-J1723</f>
        <v>1.75690486395359E-2</v>
      </c>
      <c r="O1723">
        <v>2.57</v>
      </c>
      <c r="P1723" t="s">
        <v>17</v>
      </c>
      <c r="Q1723">
        <v>0</v>
      </c>
      <c r="R1723">
        <v>-1.53926134193316E-2</v>
      </c>
      <c r="S1723">
        <v>-5.9325046604499204E-3</v>
      </c>
      <c r="T1723">
        <v>0</v>
      </c>
    </row>
    <row r="1724" spans="1:20" x14ac:dyDescent="0.3">
      <c r="A1724" t="s">
        <v>125</v>
      </c>
      <c r="B1724">
        <v>2010</v>
      </c>
      <c r="C1724">
        <v>137597.5938</v>
      </c>
      <c r="D1724" s="1">
        <v>0</v>
      </c>
      <c r="E1724" s="1">
        <v>0.93726330995559703</v>
      </c>
      <c r="F1724" s="1">
        <v>-0.151</v>
      </c>
      <c r="G1724" s="1">
        <f t="shared" si="52"/>
        <v>-4.0999999999999995E-2</v>
      </c>
      <c r="H1724" s="1" t="str">
        <f t="shared" si="53"/>
        <v/>
      </c>
      <c r="I1724" s="1">
        <v>4.0000000000000001E-3</v>
      </c>
      <c r="J1724" s="1">
        <f>+D1724-F1724+I1724*O1724</f>
        <v>0.15972</v>
      </c>
      <c r="K1724" s="1">
        <v>6.0738658066839001E-4</v>
      </c>
      <c r="L1724" s="1">
        <f>+K1724-J1724</f>
        <v>-0.15911261341933161</v>
      </c>
      <c r="M1724" s="1">
        <v>-1.53926134193316E-2</v>
      </c>
      <c r="N1724" s="1">
        <f>+M1724-J1724</f>
        <v>-0.1751126134193316</v>
      </c>
      <c r="O1724">
        <v>2.1800000000000002</v>
      </c>
      <c r="P1724" t="s">
        <v>17</v>
      </c>
      <c r="Q1724">
        <v>-0.01</v>
      </c>
      <c r="R1724">
        <v>-2.51796407327055E-2</v>
      </c>
      <c r="S1724">
        <v>-3.89586621895429E-3</v>
      </c>
      <c r="T1724">
        <v>-0.16</v>
      </c>
    </row>
    <row r="1725" spans="1:20" x14ac:dyDescent="0.3">
      <c r="A1725" t="s">
        <v>125</v>
      </c>
      <c r="B1725">
        <v>2011</v>
      </c>
      <c r="C1725">
        <v>140495.29689999999</v>
      </c>
      <c r="D1725" s="1">
        <v>4.3999999999999997E-2</v>
      </c>
      <c r="E1725" s="1">
        <v>0.93745034933090199</v>
      </c>
      <c r="F1725" s="1">
        <v>6.8000000000000005E-2</v>
      </c>
      <c r="G1725" s="1">
        <f t="shared" si="52"/>
        <v>2.700000000000001E-2</v>
      </c>
      <c r="H1725" s="1" t="str">
        <f t="shared" si="53"/>
        <v/>
      </c>
      <c r="I1725" s="1">
        <v>0</v>
      </c>
      <c r="J1725" s="1">
        <f>+D1725-F1725+I1725*O1725</f>
        <v>-2.4000000000000007E-2</v>
      </c>
      <c r="K1725" s="1">
        <v>6.8203592672944104E-3</v>
      </c>
      <c r="L1725" s="1">
        <f>+K1725-J1725</f>
        <v>3.0820359267294418E-2</v>
      </c>
      <c r="M1725" s="1">
        <v>-2.51796407327055E-2</v>
      </c>
      <c r="N1725" s="1">
        <f>+M1725-J1725</f>
        <v>-1.1796407327054927E-3</v>
      </c>
      <c r="O1725">
        <v>2.33</v>
      </c>
      <c r="P1725" t="s">
        <v>15</v>
      </c>
      <c r="Q1725">
        <v>0</v>
      </c>
      <c r="R1725">
        <v>1.66789085566998E-2</v>
      </c>
      <c r="S1725">
        <v>2.2117114625871199E-2</v>
      </c>
      <c r="T1725">
        <v>7.0000000000000007E-2</v>
      </c>
    </row>
    <row r="1726" spans="1:20" x14ac:dyDescent="0.3">
      <c r="A1726" t="s">
        <v>125</v>
      </c>
      <c r="B1726">
        <v>2012</v>
      </c>
      <c r="C1726">
        <v>145208.0938</v>
      </c>
      <c r="D1726" s="1">
        <v>0</v>
      </c>
      <c r="E1726" s="1">
        <v>0.937475144863129</v>
      </c>
      <c r="F1726" s="1">
        <v>-7.5999999999999998E-2</v>
      </c>
      <c r="G1726" s="1">
        <f t="shared" si="52"/>
        <v>-4.8999999999999988E-2</v>
      </c>
      <c r="H1726" s="1" t="str">
        <f t="shared" si="53"/>
        <v/>
      </c>
      <c r="I1726" s="1">
        <v>0</v>
      </c>
      <c r="J1726" s="1">
        <f>+D1726-F1726+I1726*O1726</f>
        <v>7.5999999999999998E-2</v>
      </c>
      <c r="K1726" s="1">
        <v>3.7678908556699801E-2</v>
      </c>
      <c r="L1726" s="1">
        <f>+K1726-J1726</f>
        <v>-3.8321091443300197E-2</v>
      </c>
      <c r="M1726" s="1">
        <v>1.66789085566998E-2</v>
      </c>
      <c r="N1726" s="1">
        <f>+M1726-J1726</f>
        <v>-5.9321091443300195E-2</v>
      </c>
      <c r="O1726">
        <v>2.16</v>
      </c>
      <c r="P1726" t="s">
        <v>17</v>
      </c>
      <c r="Q1726">
        <v>0.02</v>
      </c>
      <c r="R1726">
        <v>6.9359397888183998E-3</v>
      </c>
      <c r="S1726">
        <v>8.0916844308380096E-4</v>
      </c>
      <c r="T1726">
        <v>-0.08</v>
      </c>
    </row>
    <row r="1727" spans="1:20" x14ac:dyDescent="0.3">
      <c r="A1727" t="s">
        <v>125</v>
      </c>
      <c r="B1727">
        <v>2013</v>
      </c>
      <c r="C1727">
        <v>150061.5938</v>
      </c>
      <c r="D1727" s="1">
        <v>5.0999999999999997E-2</v>
      </c>
      <c r="E1727" s="1">
        <v>0.92028987407684304</v>
      </c>
      <c r="F1727" s="1">
        <v>0.26300000000000001</v>
      </c>
      <c r="G1727" s="1">
        <f t="shared" si="52"/>
        <v>0.21400000000000002</v>
      </c>
      <c r="H1727" s="1">
        <f t="shared" si="53"/>
        <v>-2.5473561137914703E-2</v>
      </c>
      <c r="I1727" s="1">
        <v>-1.7000000000000001E-2</v>
      </c>
      <c r="J1727" s="1">
        <f>+D1727-F1727+I1727*O1727</f>
        <v>-0.25824000000000003</v>
      </c>
      <c r="K1727" s="1">
        <v>2.1935939788818401E-2</v>
      </c>
      <c r="L1727" s="1">
        <f>+K1727-J1727</f>
        <v>0.28017593978881844</v>
      </c>
      <c r="M1727" s="1">
        <v>6.9359397888183998E-3</v>
      </c>
      <c r="N1727" s="1">
        <f>+M1727-J1727</f>
        <v>0.26517593978881843</v>
      </c>
      <c r="O1727">
        <v>2.72</v>
      </c>
      <c r="P1727" t="s">
        <v>17</v>
      </c>
      <c r="Q1727">
        <v>0</v>
      </c>
      <c r="R1727">
        <v>2.0455310881137799E-2</v>
      </c>
      <c r="S1727">
        <v>1.8447287380695201E-2</v>
      </c>
      <c r="T1727">
        <v>0.26</v>
      </c>
    </row>
    <row r="1728" spans="1:20" x14ac:dyDescent="0.3">
      <c r="A1728" t="s">
        <v>125</v>
      </c>
      <c r="B1728">
        <v>2014</v>
      </c>
      <c r="C1728">
        <v>154872.29689999999</v>
      </c>
      <c r="D1728" s="1">
        <v>5.0999999999999997E-2</v>
      </c>
      <c r="E1728" s="1">
        <v>0.92479956150054898</v>
      </c>
      <c r="F1728" s="1">
        <v>-0.04</v>
      </c>
      <c r="G1728" s="1">
        <f t="shared" si="52"/>
        <v>0.17400000000000002</v>
      </c>
      <c r="H1728" s="1">
        <f t="shared" si="53"/>
        <v>-6.9261766970157651E-2</v>
      </c>
      <c r="I1728" s="1">
        <v>5.0000000000000001E-3</v>
      </c>
      <c r="J1728" s="1">
        <f>+D1728-F1728+I1728*O1728</f>
        <v>0.10405</v>
      </c>
      <c r="K1728" s="1">
        <v>3.6455310881137799E-2</v>
      </c>
      <c r="L1728" s="1">
        <f>+K1728-J1728</f>
        <v>-6.7594689118862211E-2</v>
      </c>
      <c r="M1728" s="1">
        <v>2.0455310881137799E-2</v>
      </c>
      <c r="N1728" s="1">
        <f>+M1728-J1728</f>
        <v>-8.3594689118862198E-2</v>
      </c>
      <c r="O1728">
        <v>2.61</v>
      </c>
      <c r="P1728" t="s">
        <v>17</v>
      </c>
      <c r="Q1728">
        <v>0.02</v>
      </c>
      <c r="R1728">
        <v>-8.8402433156967206E-2</v>
      </c>
      <c r="S1728">
        <v>-0.11866588518023399</v>
      </c>
      <c r="T1728">
        <v>-0.04</v>
      </c>
    </row>
    <row r="1729" spans="1:20" x14ac:dyDescent="0.3">
      <c r="A1729" t="s">
        <v>125</v>
      </c>
      <c r="B1729">
        <v>2015</v>
      </c>
      <c r="C1729">
        <v>158088</v>
      </c>
      <c r="D1729" s="1">
        <v>0</v>
      </c>
      <c r="E1729" s="1">
        <v>0.87304908037185702</v>
      </c>
      <c r="F1729" s="1">
        <v>-0.1</v>
      </c>
      <c r="G1729" s="1">
        <f t="shared" si="52"/>
        <v>7.400000000000001E-2</v>
      </c>
      <c r="H1729" s="1" t="str">
        <f t="shared" si="53"/>
        <v/>
      </c>
      <c r="I1729" s="1">
        <v>-5.1999999999999998E-2</v>
      </c>
      <c r="J1729" s="1">
        <f>+D1729-F1729+I1729*O1729</f>
        <v>-2.2199999999999998E-2</v>
      </c>
      <c r="K1729" s="1">
        <v>-8.7402433156967205E-2</v>
      </c>
      <c r="L1729" s="1">
        <f>+K1729-J1729</f>
        <v>-6.5202433156967207E-2</v>
      </c>
      <c r="M1729" s="1">
        <v>-8.8402433156967206E-2</v>
      </c>
      <c r="N1729" s="1">
        <f>+M1729-J1729</f>
        <v>-6.6202433156967208E-2</v>
      </c>
      <c r="O1729">
        <v>2.35</v>
      </c>
      <c r="P1729" t="s">
        <v>16</v>
      </c>
      <c r="Q1729">
        <v>-0.12</v>
      </c>
      <c r="R1729">
        <v>-6.4121100783348095E-2</v>
      </c>
      <c r="S1729">
        <v>-7.72746577858925E-2</v>
      </c>
      <c r="T1729">
        <v>-0.09</v>
      </c>
    </row>
    <row r="1730" spans="1:20" x14ac:dyDescent="0.3">
      <c r="A1730" t="s">
        <v>125</v>
      </c>
      <c r="B1730">
        <v>2016</v>
      </c>
      <c r="C1730">
        <v>156057</v>
      </c>
      <c r="D1730" s="1">
        <v>8.0000000000000002E-3</v>
      </c>
      <c r="E1730" s="1">
        <v>0.88803714513778698</v>
      </c>
      <c r="F1730" s="1">
        <v>-9.7000000000000003E-2</v>
      </c>
      <c r="G1730" s="1">
        <f t="shared" si="52"/>
        <v>-2.2999999999999993E-2</v>
      </c>
      <c r="H1730" s="1" t="str">
        <f t="shared" si="53"/>
        <v/>
      </c>
      <c r="I1730" s="1">
        <v>1.4999999999999999E-2</v>
      </c>
      <c r="J1730" s="1">
        <f>+D1730-F1730+I1730*O1730</f>
        <v>0.13695000000000002</v>
      </c>
      <c r="K1730" s="1">
        <v>-5.1121100783348097E-2</v>
      </c>
      <c r="L1730" s="1">
        <f>+K1730-J1730</f>
        <v>-0.1880711007833481</v>
      </c>
      <c r="M1730" s="1">
        <v>-6.4121100783348095E-2</v>
      </c>
      <c r="N1730" s="1">
        <f>+M1730-J1730</f>
        <v>-0.20107110078334811</v>
      </c>
      <c r="O1730">
        <v>2.13</v>
      </c>
      <c r="P1730" t="s">
        <v>17</v>
      </c>
      <c r="Q1730">
        <v>-0.08</v>
      </c>
      <c r="R1730">
        <v>0.262844947814941</v>
      </c>
      <c r="S1730">
        <v>0.26005537435412301</v>
      </c>
      <c r="T1730">
        <v>-0.1</v>
      </c>
    </row>
    <row r="1731" spans="1:20" x14ac:dyDescent="0.3">
      <c r="A1731" t="s">
        <v>125</v>
      </c>
      <c r="B1731">
        <v>2017</v>
      </c>
      <c r="C1731">
        <v>156391.4063</v>
      </c>
      <c r="D1731" s="1">
        <v>4.1000000000000002E-2</v>
      </c>
      <c r="E1731" s="1">
        <v>0.94915926456451405</v>
      </c>
      <c r="F1731" s="1">
        <v>0.08</v>
      </c>
      <c r="G1731" s="1">
        <f t="shared" si="52"/>
        <v>5.7000000000000009E-2</v>
      </c>
      <c r="H1731" s="1" t="str">
        <f t="shared" si="53"/>
        <v/>
      </c>
      <c r="I1731" s="1">
        <v>6.0999999999999999E-2</v>
      </c>
      <c r="J1731" s="1">
        <f>+D1731-F1731+I1731*O1731</f>
        <v>0.10129999999999997</v>
      </c>
      <c r="K1731" s="1">
        <v>0.28384494781494102</v>
      </c>
      <c r="L1731" s="1">
        <f>+K1731-J1731</f>
        <v>0.18254494781494104</v>
      </c>
      <c r="M1731" s="1">
        <v>0.262844947814941</v>
      </c>
      <c r="N1731" s="1">
        <f>+M1731-J1731</f>
        <v>0.16154494781494103</v>
      </c>
      <c r="O1731">
        <v>2.2999999999999998</v>
      </c>
      <c r="P1731" t="s">
        <v>15</v>
      </c>
      <c r="Q1731">
        <v>0.26</v>
      </c>
      <c r="R1731">
        <v>0.101203981995583</v>
      </c>
      <c r="S1731">
        <v>9.2068959027529207E-2</v>
      </c>
      <c r="T1731">
        <v>0.08</v>
      </c>
    </row>
    <row r="1732" spans="1:20" x14ac:dyDescent="0.3">
      <c r="A1732" t="s">
        <v>125</v>
      </c>
      <c r="B1732">
        <v>2018</v>
      </c>
      <c r="C1732">
        <v>161025.29689999999</v>
      </c>
      <c r="D1732" s="1">
        <v>0</v>
      </c>
      <c r="E1732" s="1">
        <v>0.93813306093215898</v>
      </c>
      <c r="F1732" s="1">
        <v>0.14299999999999999</v>
      </c>
      <c r="G1732" s="1">
        <f t="shared" si="52"/>
        <v>0.2</v>
      </c>
      <c r="H1732" s="1">
        <f t="shared" si="53"/>
        <v>-0.14409389160573505</v>
      </c>
      <c r="I1732" s="1">
        <v>-1.0999999999999999E-2</v>
      </c>
      <c r="J1732" s="1">
        <f>+D1732-F1732+I1732*O1732</f>
        <v>-0.17181999999999997</v>
      </c>
      <c r="K1732" s="1">
        <v>0.125203981995583</v>
      </c>
      <c r="L1732" s="1">
        <f>+K1732-J1732</f>
        <v>0.297023981995583</v>
      </c>
      <c r="M1732" s="1">
        <v>0.101203981995583</v>
      </c>
      <c r="N1732" s="1">
        <f>+M1732-J1732</f>
        <v>0.27302398199558298</v>
      </c>
      <c r="O1732">
        <v>2.62</v>
      </c>
      <c r="P1732" t="s">
        <v>17</v>
      </c>
      <c r="Q1732">
        <v>0.09</v>
      </c>
      <c r="R1732">
        <v>-4.3832038372754997E-2</v>
      </c>
      <c r="S1732">
        <v>-6.1633232980966499E-2</v>
      </c>
      <c r="T1732">
        <v>0.15</v>
      </c>
    </row>
    <row r="1733" spans="1:20" x14ac:dyDescent="0.3">
      <c r="A1733" t="s">
        <v>125</v>
      </c>
      <c r="B1733">
        <v>2019</v>
      </c>
      <c r="C1733">
        <v>164470.70310000001</v>
      </c>
      <c r="D1733" s="1">
        <v>0</v>
      </c>
      <c r="E1733" s="1">
        <v>0.90124005079269398</v>
      </c>
      <c r="F1733" s="1">
        <v>-0.04</v>
      </c>
      <c r="G1733" s="1">
        <f t="shared" si="52"/>
        <v>0.16</v>
      </c>
      <c r="H1733" s="1">
        <f t="shared" si="53"/>
        <v>-0.12940971425268818</v>
      </c>
      <c r="I1733" s="1">
        <v>-3.6999999999999998E-2</v>
      </c>
      <c r="J1733" s="1">
        <f>+D1733-F1733+I1733*O1733</f>
        <v>-5.3239999999999989E-2</v>
      </c>
      <c r="K1733" s="1">
        <v>-2.5832038372755099E-2</v>
      </c>
      <c r="L1733" s="1">
        <f>+K1733-J1733</f>
        <v>2.7407961627244889E-2</v>
      </c>
      <c r="M1733" s="1">
        <v>-4.3832038372754997E-2</v>
      </c>
      <c r="N1733" s="1">
        <f>+M1733-J1733</f>
        <v>9.4079616272449915E-3</v>
      </c>
      <c r="O1733">
        <v>2.52</v>
      </c>
      <c r="P1733" t="s">
        <v>16</v>
      </c>
      <c r="Q1733">
        <v>-0.06</v>
      </c>
      <c r="R1733">
        <v>-0.274355744838715</v>
      </c>
      <c r="S1733">
        <v>-0.29320493526756802</v>
      </c>
      <c r="T1733">
        <v>-0.03</v>
      </c>
    </row>
    <row r="1734" spans="1:20" x14ac:dyDescent="0.3">
      <c r="A1734" t="s">
        <v>125</v>
      </c>
      <c r="B1734">
        <v>2020</v>
      </c>
      <c r="C1734">
        <v>164330.3125</v>
      </c>
      <c r="D1734" s="1">
        <v>3.5999999999999997E-2</v>
      </c>
      <c r="E1734" s="1">
        <v>0.77393198013305697</v>
      </c>
      <c r="F1734" s="1">
        <v>5.6000000000000001E-2</v>
      </c>
      <c r="G1734" s="1">
        <f t="shared" si="52"/>
        <v>0.216</v>
      </c>
      <c r="H1734" s="1">
        <f t="shared" si="53"/>
        <v>8.6653144448064309E-2</v>
      </c>
      <c r="I1734" s="1">
        <v>-0.127</v>
      </c>
      <c r="J1734" s="1">
        <f>+D1734-F1734+I1734*O1734</f>
        <v>-0.35782000000000003</v>
      </c>
      <c r="K1734" s="1">
        <v>-0.26235574483871499</v>
      </c>
      <c r="L1734" s="1">
        <f>+K1734-J1734</f>
        <v>9.5464255161285039E-2</v>
      </c>
      <c r="M1734" s="1">
        <v>-0.274355744838715</v>
      </c>
      <c r="N1734" s="1">
        <f>+M1734-J1734</f>
        <v>8.3464255161285028E-2</v>
      </c>
      <c r="O1734">
        <v>2.66</v>
      </c>
      <c r="P1734" t="s">
        <v>17</v>
      </c>
      <c r="Q1734">
        <v>-0.28999999999999998</v>
      </c>
      <c r="R1734">
        <v>-4.3463683666661299E-2</v>
      </c>
      <c r="S1734">
        <v>-8.7053296389058205E-2</v>
      </c>
      <c r="T1734">
        <v>0.1</v>
      </c>
    </row>
    <row r="1735" spans="1:20" x14ac:dyDescent="0.3">
      <c r="A1735" t="s">
        <v>125</v>
      </c>
      <c r="B1735">
        <v>2021</v>
      </c>
      <c r="C1735">
        <v>160941</v>
      </c>
      <c r="D1735" s="1">
        <v>0</v>
      </c>
      <c r="E1735" s="1">
        <v>0.84494227170944203</v>
      </c>
      <c r="F1735" s="1">
        <v>-1.4999999999999999E-2</v>
      </c>
      <c r="G1735" s="1">
        <f t="shared" ref="G1735:G1798" si="54">SUMIFS(F:F,A:A,A1735,B:B,"&lt;="&amp;B1735)</f>
        <v>0.20100000000000001</v>
      </c>
      <c r="H1735" s="1">
        <f t="shared" ref="H1735:H1798" si="55">IFERROR(IF(ABS(G1735)&gt;0.12,AVERAGEIFS(K:K,A:A,A1735,B:B,"&gt;"&amp;B1735,B:B,"&lt;"&amp;B1735+3),""),"")</f>
        <v>0.16976997256279</v>
      </c>
      <c r="I1735" s="1">
        <v>7.0999999999999994E-2</v>
      </c>
      <c r="J1735" s="1">
        <f>+D1735-F1735+I1735*O1735</f>
        <v>0.20101999999999998</v>
      </c>
      <c r="K1735" s="1">
        <v>3.53631633333862E-3</v>
      </c>
      <c r="L1735" s="1">
        <f>+K1735-J1735</f>
        <v>-0.19748368366666136</v>
      </c>
      <c r="M1735" s="1">
        <v>-4.3463683666661299E-2</v>
      </c>
      <c r="N1735" s="1">
        <f>+M1735-J1735</f>
        <v>-0.24448368366666129</v>
      </c>
      <c r="O1735">
        <v>2.62</v>
      </c>
      <c r="P1735" t="s">
        <v>17</v>
      </c>
      <c r="Q1735">
        <v>-0.09</v>
      </c>
      <c r="R1735">
        <v>8.9769972562789999E-2</v>
      </c>
      <c r="S1735">
        <v>0.1218734793365</v>
      </c>
      <c r="T1735">
        <v>-0.04</v>
      </c>
    </row>
    <row r="1736" spans="1:20" x14ac:dyDescent="0.3">
      <c r="A1736" t="s">
        <v>125</v>
      </c>
      <c r="B1736">
        <v>2022</v>
      </c>
      <c r="C1736">
        <v>162443.0938</v>
      </c>
      <c r="D1736" s="1">
        <v>6.0000000000000001E-3</v>
      </c>
      <c r="E1736" s="1">
        <v>0.90787202119827304</v>
      </c>
      <c r="F1736" s="1">
        <v>-9.2999999999999999E-2</v>
      </c>
      <c r="G1736" s="1">
        <f t="shared" si="54"/>
        <v>0.10800000000000001</v>
      </c>
      <c r="H1736" s="1" t="str">
        <f t="shared" si="55"/>
        <v/>
      </c>
      <c r="I1736" s="1">
        <v>6.3E-2</v>
      </c>
      <c r="J1736" s="1">
        <f>+D1736-F1736+I1736*O1736</f>
        <v>0.24893999999999999</v>
      </c>
      <c r="K1736" s="1">
        <v>0.16976997256279</v>
      </c>
      <c r="L1736" s="1">
        <f>+K1736-J1736</f>
        <v>-7.9170027437209994E-2</v>
      </c>
      <c r="M1736" s="1">
        <v>8.9769972562789999E-2</v>
      </c>
      <c r="N1736" s="1">
        <f>+M1736-J1736</f>
        <v>-0.15917002743720998</v>
      </c>
      <c r="O1736">
        <v>2.38</v>
      </c>
      <c r="P1736" t="s">
        <v>17</v>
      </c>
      <c r="Q1736">
        <v>0.12</v>
      </c>
      <c r="R1736">
        <v>7.4115329623221995E-2</v>
      </c>
      <c r="S1736">
        <v>9.3674257397651298E-2</v>
      </c>
      <c r="T1736">
        <v>-0.08</v>
      </c>
    </row>
    <row r="1737" spans="1:20" x14ac:dyDescent="0.3">
      <c r="A1737" t="s">
        <v>126</v>
      </c>
      <c r="B1737">
        <v>2006</v>
      </c>
      <c r="C1737">
        <v>549720.25</v>
      </c>
      <c r="D1737" s="1">
        <v>5.0000000000000001E-3</v>
      </c>
      <c r="E1737" s="1">
        <v>0.94475144147872903</v>
      </c>
      <c r="F1737" s="1">
        <v>-4.5999999999999999E-2</v>
      </c>
      <c r="G1737" s="1">
        <f t="shared" si="54"/>
        <v>-4.5999999999999999E-2</v>
      </c>
      <c r="H1737" s="1" t="str">
        <f t="shared" si="55"/>
        <v/>
      </c>
      <c r="I1737" s="1">
        <v>1.4E-2</v>
      </c>
      <c r="J1737" s="1">
        <f>+D1737-F1737+I1737*O1737</f>
        <v>8.6139999999999994E-2</v>
      </c>
      <c r="K1737" s="1">
        <v>4.1372481733560597E-2</v>
      </c>
      <c r="L1737" s="1">
        <f>+K1737-J1737</f>
        <v>-4.4767518266439398E-2</v>
      </c>
      <c r="M1737" s="1">
        <v>9.3724817335605892E-3</v>
      </c>
      <c r="N1737" s="1">
        <f>+M1737-J1737</f>
        <v>-7.6767518266439405E-2</v>
      </c>
      <c r="O1737">
        <v>2.5099999999999998</v>
      </c>
      <c r="P1737" t="s">
        <v>17</v>
      </c>
      <c r="Q1737">
        <v>0</v>
      </c>
      <c r="R1737">
        <v>1.52782975733279E-2</v>
      </c>
      <c r="S1737">
        <v>1.6200053505599499E-2</v>
      </c>
      <c r="T1737">
        <v>-0.05</v>
      </c>
    </row>
    <row r="1738" spans="1:20" x14ac:dyDescent="0.3">
      <c r="A1738" t="s">
        <v>126</v>
      </c>
      <c r="B1738">
        <v>2007</v>
      </c>
      <c r="C1738">
        <v>565581.5</v>
      </c>
      <c r="D1738" s="1">
        <v>4.0000000000000001E-3</v>
      </c>
      <c r="E1738" s="1">
        <v>0.94675087928771995</v>
      </c>
      <c r="F1738" s="1">
        <v>3.7999999999999999E-2</v>
      </c>
      <c r="G1738" s="1">
        <f t="shared" si="54"/>
        <v>-8.0000000000000002E-3</v>
      </c>
      <c r="H1738" s="1" t="str">
        <f t="shared" si="55"/>
        <v/>
      </c>
      <c r="I1738" s="1">
        <v>2E-3</v>
      </c>
      <c r="J1738" s="1">
        <f>+D1738-F1738+I1738*O1738</f>
        <v>-2.8780000000000003E-2</v>
      </c>
      <c r="K1738" s="1">
        <v>4.4278297573327997E-2</v>
      </c>
      <c r="L1738" s="1">
        <f>+K1738-J1738</f>
        <v>7.3058297573328004E-2</v>
      </c>
      <c r="M1738" s="1">
        <v>1.52782975733279E-2</v>
      </c>
      <c r="N1738" s="1">
        <f>+M1738-J1738</f>
        <v>4.4058297573327902E-2</v>
      </c>
      <c r="O1738">
        <v>2.61</v>
      </c>
      <c r="P1738" t="s">
        <v>15</v>
      </c>
      <c r="Q1738">
        <v>0.02</v>
      </c>
      <c r="R1738">
        <v>-2.7275594241917001E-2</v>
      </c>
      <c r="S1738">
        <v>2.2352100349963002E-3</v>
      </c>
      <c r="T1738">
        <v>0.04</v>
      </c>
    </row>
    <row r="1739" spans="1:20" x14ac:dyDescent="0.3">
      <c r="A1739" t="s">
        <v>126</v>
      </c>
      <c r="B1739">
        <v>2008</v>
      </c>
      <c r="C1739">
        <v>579997.9375</v>
      </c>
      <c r="D1739" s="1">
        <v>3.9E-2</v>
      </c>
      <c r="E1739" s="1">
        <v>0.92624282836914096</v>
      </c>
      <c r="F1739" s="1">
        <v>-3.7999999999999999E-2</v>
      </c>
      <c r="G1739" s="1">
        <f t="shared" si="54"/>
        <v>-4.5999999999999999E-2</v>
      </c>
      <c r="H1739" s="1" t="str">
        <f t="shared" si="55"/>
        <v/>
      </c>
      <c r="I1739" s="1">
        <v>-2.1000000000000001E-2</v>
      </c>
      <c r="J1739" s="1">
        <f>+D1739-F1739+I1739*O1739</f>
        <v>2.4289999999999999E-2</v>
      </c>
      <c r="K1739" s="1">
        <v>1.07244057580829E-2</v>
      </c>
      <c r="L1739" s="1">
        <f>+K1739-J1739</f>
        <v>-1.3565594241917099E-2</v>
      </c>
      <c r="M1739" s="1">
        <v>-2.7275594241917001E-2</v>
      </c>
      <c r="N1739" s="1">
        <f>+M1739-J1739</f>
        <v>-5.1565594241917E-2</v>
      </c>
      <c r="O1739">
        <v>2.5099999999999998</v>
      </c>
      <c r="P1739" t="s">
        <v>16</v>
      </c>
      <c r="Q1739">
        <v>0</v>
      </c>
      <c r="R1739">
        <v>-3.33406708240509E-2</v>
      </c>
      <c r="S1739">
        <v>-6.7739691585302396E-3</v>
      </c>
      <c r="T1739">
        <v>-0.04</v>
      </c>
    </row>
    <row r="1740" spans="1:20" x14ac:dyDescent="0.3">
      <c r="A1740" t="s">
        <v>126</v>
      </c>
      <c r="B1740">
        <v>2009</v>
      </c>
      <c r="C1740">
        <v>591591.1875</v>
      </c>
      <c r="D1740" s="1">
        <v>3.3000000000000002E-2</v>
      </c>
      <c r="E1740" s="1">
        <v>0.92282897233963002</v>
      </c>
      <c r="F1740" s="1">
        <v>5.3999999999999999E-2</v>
      </c>
      <c r="G1740" s="1">
        <f t="shared" si="54"/>
        <v>8.0000000000000002E-3</v>
      </c>
      <c r="H1740" s="1" t="str">
        <f t="shared" si="55"/>
        <v/>
      </c>
      <c r="I1740" s="1">
        <v>-3.0000000000000001E-3</v>
      </c>
      <c r="J1740" s="1">
        <f>+D1740-F1740+I1740*O1740</f>
        <v>-2.8919999999999998E-2</v>
      </c>
      <c r="K1740" s="1">
        <v>-3.7340670824050903E-2</v>
      </c>
      <c r="L1740" s="1">
        <f>+K1740-J1740</f>
        <v>-8.4206708240509055E-3</v>
      </c>
      <c r="M1740" s="1">
        <v>-3.33406708240509E-2</v>
      </c>
      <c r="N1740" s="1">
        <f>+M1740-J1740</f>
        <v>-4.420670824050902E-3</v>
      </c>
      <c r="O1740">
        <v>2.64</v>
      </c>
      <c r="P1740" t="s">
        <v>17</v>
      </c>
      <c r="Q1740">
        <v>-0.01</v>
      </c>
      <c r="R1740">
        <v>-1.3150400653481401E-2</v>
      </c>
      <c r="S1740">
        <v>-3.6902918945997901E-3</v>
      </c>
      <c r="T1740">
        <v>0.04</v>
      </c>
    </row>
    <row r="1741" spans="1:20" x14ac:dyDescent="0.3">
      <c r="A1741" t="s">
        <v>126</v>
      </c>
      <c r="B1741">
        <v>2010</v>
      </c>
      <c r="C1741">
        <v>601528.0625</v>
      </c>
      <c r="D1741" s="1">
        <v>0</v>
      </c>
      <c r="E1741" s="1">
        <v>0.93018043041229204</v>
      </c>
      <c r="F1741" s="1">
        <v>5.7000000000000002E-2</v>
      </c>
      <c r="G1741" s="1">
        <f t="shared" si="54"/>
        <v>6.5000000000000002E-2</v>
      </c>
      <c r="H1741" s="1" t="str">
        <f t="shared" si="55"/>
        <v/>
      </c>
      <c r="I1741" s="1">
        <v>7.0000000000000001E-3</v>
      </c>
      <c r="J1741" s="1">
        <f>+D1741-F1741+I1741*O1741</f>
        <v>-3.7470000000000003E-2</v>
      </c>
      <c r="K1741" s="1">
        <v>2.84959934651852E-3</v>
      </c>
      <c r="L1741" s="1">
        <f>+K1741-J1741</f>
        <v>4.031959934651852E-2</v>
      </c>
      <c r="M1741" s="1">
        <v>-1.3150400653481401E-2</v>
      </c>
      <c r="N1741" s="1">
        <f>+M1741-J1741</f>
        <v>2.4319599346518603E-2</v>
      </c>
      <c r="O1741">
        <v>2.79</v>
      </c>
      <c r="P1741" t="s">
        <v>15</v>
      </c>
      <c r="Q1741">
        <v>0</v>
      </c>
      <c r="R1741">
        <v>-2.3037604399025399E-2</v>
      </c>
      <c r="S1741">
        <v>-1.75382988527414E-3</v>
      </c>
      <c r="T1741">
        <v>0.05</v>
      </c>
    </row>
    <row r="1742" spans="1:20" x14ac:dyDescent="0.3">
      <c r="A1742" t="s">
        <v>126</v>
      </c>
      <c r="B1742">
        <v>2011</v>
      </c>
      <c r="C1742">
        <v>608084.875</v>
      </c>
      <c r="D1742" s="1">
        <v>7.0000000000000001E-3</v>
      </c>
      <c r="E1742" s="1">
        <v>0.93063837289810203</v>
      </c>
      <c r="F1742" s="1">
        <v>-7.5999999999999998E-2</v>
      </c>
      <c r="G1742" s="1">
        <f t="shared" si="54"/>
        <v>-1.0999999999999996E-2</v>
      </c>
      <c r="H1742" s="1" t="str">
        <f t="shared" si="55"/>
        <v/>
      </c>
      <c r="I1742" s="1">
        <v>0</v>
      </c>
      <c r="J1742" s="1">
        <f>+D1742-F1742+I1742*O1742</f>
        <v>8.3000000000000004E-2</v>
      </c>
      <c r="K1742" s="1">
        <v>8.9623956009745598E-3</v>
      </c>
      <c r="L1742" s="1">
        <f>+K1742-J1742</f>
        <v>-7.4037604399025445E-2</v>
      </c>
      <c r="M1742" s="1">
        <v>-2.3037604399025399E-2</v>
      </c>
      <c r="N1742" s="1">
        <f>+M1742-J1742</f>
        <v>-0.1060376043990254</v>
      </c>
      <c r="O1742">
        <v>2.58</v>
      </c>
      <c r="P1742" t="s">
        <v>17</v>
      </c>
      <c r="Q1742">
        <v>0</v>
      </c>
      <c r="R1742">
        <v>-8.9562649875879006E-3</v>
      </c>
      <c r="S1742">
        <v>-3.5180589184165001E-3</v>
      </c>
      <c r="T1742">
        <v>-7.0000000000000007E-2</v>
      </c>
    </row>
    <row r="1743" spans="1:20" x14ac:dyDescent="0.3">
      <c r="A1743" t="s">
        <v>126</v>
      </c>
      <c r="B1743">
        <v>2012</v>
      </c>
      <c r="C1743">
        <v>615961.1875</v>
      </c>
      <c r="D1743" s="1">
        <v>5.5E-2</v>
      </c>
      <c r="E1743" s="1">
        <v>0.92819708585739102</v>
      </c>
      <c r="F1743" s="1">
        <v>4.3999999999999997E-2</v>
      </c>
      <c r="G1743" s="1">
        <f t="shared" si="54"/>
        <v>3.3000000000000002E-2</v>
      </c>
      <c r="H1743" s="1" t="str">
        <f t="shared" si="55"/>
        <v/>
      </c>
      <c r="I1743" s="1">
        <v>-2E-3</v>
      </c>
      <c r="J1743" s="1">
        <f>+D1743-F1743+I1743*O1743</f>
        <v>5.6200000000000026E-3</v>
      </c>
      <c r="K1743" s="1">
        <v>1.2043735012412101E-2</v>
      </c>
      <c r="L1743" s="1">
        <f>+K1743-J1743</f>
        <v>6.4237350124120981E-3</v>
      </c>
      <c r="M1743" s="1">
        <v>-8.9562649875879006E-3</v>
      </c>
      <c r="N1743" s="1">
        <f>+M1743-J1743</f>
        <v>-1.4576264987587902E-2</v>
      </c>
      <c r="O1743">
        <v>2.69</v>
      </c>
      <c r="P1743" t="s">
        <v>17</v>
      </c>
      <c r="Q1743">
        <v>0</v>
      </c>
      <c r="R1743">
        <v>-3.8099459931254E-3</v>
      </c>
      <c r="S1743">
        <v>-9.9367173388600002E-3</v>
      </c>
      <c r="T1743">
        <v>0.04</v>
      </c>
    </row>
    <row r="1744" spans="1:20" x14ac:dyDescent="0.3">
      <c r="A1744" t="s">
        <v>126</v>
      </c>
      <c r="B1744">
        <v>2013</v>
      </c>
      <c r="C1744">
        <v>625626.5625</v>
      </c>
      <c r="D1744" s="1">
        <v>8.1000000000000003E-2</v>
      </c>
      <c r="E1744" s="1">
        <v>0.93213129043579102</v>
      </c>
      <c r="F1744" s="1">
        <v>4.1000000000000002E-2</v>
      </c>
      <c r="G1744" s="1">
        <f t="shared" si="54"/>
        <v>7.400000000000001E-2</v>
      </c>
      <c r="H1744" s="1" t="str">
        <f t="shared" si="55"/>
        <v/>
      </c>
      <c r="I1744" s="1">
        <v>4.0000000000000001E-3</v>
      </c>
      <c r="J1744" s="1">
        <f>+D1744-F1744+I1744*O1744</f>
        <v>5.1240000000000001E-2</v>
      </c>
      <c r="K1744" s="1">
        <v>1.1190054006874599E-2</v>
      </c>
      <c r="L1744" s="1">
        <f>+K1744-J1744</f>
        <v>-4.0049945993125405E-2</v>
      </c>
      <c r="M1744" s="1">
        <v>-3.8099459931254E-3</v>
      </c>
      <c r="N1744" s="1">
        <f>+M1744-J1744</f>
        <v>-5.5049945993125404E-2</v>
      </c>
      <c r="O1744">
        <v>2.81</v>
      </c>
      <c r="P1744" t="s">
        <v>15</v>
      </c>
      <c r="Q1744">
        <v>-0.01</v>
      </c>
      <c r="R1744">
        <v>1.95787116885198E-4</v>
      </c>
      <c r="S1744">
        <v>-1.8122363835572999E-3</v>
      </c>
      <c r="T1744">
        <v>0.03</v>
      </c>
    </row>
    <row r="1745" spans="1:20" x14ac:dyDescent="0.3">
      <c r="A1745" t="s">
        <v>126</v>
      </c>
      <c r="B1745">
        <v>2014</v>
      </c>
      <c r="C1745">
        <v>635833.9375</v>
      </c>
      <c r="D1745" s="1">
        <v>3.6999999999999998E-2</v>
      </c>
      <c r="E1745" s="1">
        <v>0.93912613391876198</v>
      </c>
      <c r="F1745" s="1">
        <v>-2.9000000000000001E-2</v>
      </c>
      <c r="G1745" s="1">
        <f t="shared" si="54"/>
        <v>4.5000000000000012E-2</v>
      </c>
      <c r="H1745" s="1" t="str">
        <f t="shared" si="55"/>
        <v/>
      </c>
      <c r="I1745" s="1">
        <v>7.0000000000000001E-3</v>
      </c>
      <c r="J1745" s="1">
        <f>+D1745-F1745+I1745*O1745</f>
        <v>8.5040000000000004E-2</v>
      </c>
      <c r="K1745" s="1">
        <v>1.6195787116885199E-2</v>
      </c>
      <c r="L1745" s="1">
        <f>+K1745-J1745</f>
        <v>-6.8844212883114805E-2</v>
      </c>
      <c r="M1745" s="1">
        <v>1.95787116885198E-4</v>
      </c>
      <c r="N1745" s="1">
        <f>+M1745-J1745</f>
        <v>-8.4844212883114806E-2</v>
      </c>
      <c r="O1745">
        <v>2.72</v>
      </c>
      <c r="P1745" t="s">
        <v>17</v>
      </c>
      <c r="Q1745">
        <v>0</v>
      </c>
      <c r="R1745">
        <v>3.6085987627506297E-2</v>
      </c>
      <c r="S1745">
        <v>5.8225356042386003E-3</v>
      </c>
      <c r="T1745">
        <v>-0.03</v>
      </c>
    </row>
    <row r="1746" spans="1:20" x14ac:dyDescent="0.3">
      <c r="A1746" t="s">
        <v>126</v>
      </c>
      <c r="B1746">
        <v>2015</v>
      </c>
      <c r="C1746">
        <v>646580.6875</v>
      </c>
      <c r="D1746" s="1">
        <v>3.3000000000000002E-2</v>
      </c>
      <c r="E1746" s="1">
        <v>0.93662637472152699</v>
      </c>
      <c r="F1746" s="1">
        <v>-4.5999999999999999E-2</v>
      </c>
      <c r="G1746" s="1">
        <f t="shared" si="54"/>
        <v>-9.9999999999998701E-4</v>
      </c>
      <c r="H1746" s="1" t="str">
        <f t="shared" si="55"/>
        <v/>
      </c>
      <c r="I1746" s="1">
        <v>-2E-3</v>
      </c>
      <c r="J1746" s="1">
        <f>+D1746-F1746+I1746*O1746</f>
        <v>7.3800000000000004E-2</v>
      </c>
      <c r="K1746" s="1">
        <v>3.7085987627506298E-2</v>
      </c>
      <c r="L1746" s="1">
        <f>+K1746-J1746</f>
        <v>-3.6714012372493707E-2</v>
      </c>
      <c r="M1746" s="1">
        <v>3.6085987627506297E-2</v>
      </c>
      <c r="N1746" s="1">
        <f>+M1746-J1746</f>
        <v>-3.7714012372493708E-2</v>
      </c>
      <c r="O1746">
        <v>2.6</v>
      </c>
      <c r="P1746" t="s">
        <v>16</v>
      </c>
      <c r="Q1746">
        <v>0.01</v>
      </c>
      <c r="R1746">
        <v>9.9218676686287002E-3</v>
      </c>
      <c r="S1746">
        <v>-3.2316893339157E-3</v>
      </c>
      <c r="T1746">
        <v>-0.04</v>
      </c>
    </row>
    <row r="1747" spans="1:20" x14ac:dyDescent="0.3">
      <c r="A1747" t="s">
        <v>126</v>
      </c>
      <c r="B1747">
        <v>2016</v>
      </c>
      <c r="C1747">
        <v>659121</v>
      </c>
      <c r="D1747" s="1">
        <v>4.2999999999999997E-2</v>
      </c>
      <c r="E1747" s="1">
        <v>0.93474406003952004</v>
      </c>
      <c r="F1747" s="1">
        <v>1.7999999999999999E-2</v>
      </c>
      <c r="G1747" s="1">
        <f t="shared" si="54"/>
        <v>1.7000000000000012E-2</v>
      </c>
      <c r="H1747" s="1" t="str">
        <f t="shared" si="55"/>
        <v/>
      </c>
      <c r="I1747" s="1">
        <v>-2E-3</v>
      </c>
      <c r="J1747" s="1">
        <f>+D1747-F1747+I1747*O1747</f>
        <v>1.9719999999999998E-2</v>
      </c>
      <c r="K1747" s="1">
        <v>2.29218676686287E-2</v>
      </c>
      <c r="L1747" s="1">
        <f>+K1747-J1747</f>
        <v>3.2018676686287016E-3</v>
      </c>
      <c r="M1747" s="1">
        <v>9.9218676686287002E-3</v>
      </c>
      <c r="N1747" s="1">
        <f>+M1747-J1747</f>
        <v>-9.7981323313712978E-3</v>
      </c>
      <c r="O1747">
        <v>2.64</v>
      </c>
      <c r="P1747" t="s">
        <v>17</v>
      </c>
      <c r="Q1747">
        <v>0</v>
      </c>
      <c r="R1747">
        <v>2.1980991303920599E-2</v>
      </c>
      <c r="S1747">
        <v>1.9191417843103398E-2</v>
      </c>
      <c r="T1747">
        <v>0.02</v>
      </c>
    </row>
    <row r="1748" spans="1:20" x14ac:dyDescent="0.3">
      <c r="A1748" t="s">
        <v>126</v>
      </c>
      <c r="B1748">
        <v>2017</v>
      </c>
      <c r="C1748">
        <v>670482.8125</v>
      </c>
      <c r="D1748" s="1">
        <v>4.4999999999999998E-2</v>
      </c>
      <c r="E1748" s="1">
        <v>0.94237637519836404</v>
      </c>
      <c r="F1748" s="1">
        <v>6.0000000000000001E-3</v>
      </c>
      <c r="G1748" s="1">
        <f t="shared" si="54"/>
        <v>2.3000000000000013E-2</v>
      </c>
      <c r="H1748" s="1" t="str">
        <f t="shared" si="55"/>
        <v/>
      </c>
      <c r="I1748" s="1">
        <v>8.0000000000000002E-3</v>
      </c>
      <c r="J1748" s="1">
        <f>+D1748-F1748+I1748*O1748</f>
        <v>6.028E-2</v>
      </c>
      <c r="K1748" s="1">
        <v>4.2980991303920697E-2</v>
      </c>
      <c r="L1748" s="1">
        <f>+K1748-J1748</f>
        <v>-1.7299008696079303E-2</v>
      </c>
      <c r="M1748" s="1">
        <v>2.1980991303920599E-2</v>
      </c>
      <c r="N1748" s="1">
        <f>+M1748-J1748</f>
        <v>-3.8299008696079398E-2</v>
      </c>
      <c r="O1748">
        <v>2.66</v>
      </c>
      <c r="P1748" t="s">
        <v>15</v>
      </c>
      <c r="Q1748">
        <v>0.02</v>
      </c>
      <c r="R1748">
        <v>3.0139126092195399E-2</v>
      </c>
      <c r="S1748">
        <v>2.10041031241417E-2</v>
      </c>
      <c r="T1748">
        <v>0.01</v>
      </c>
    </row>
    <row r="1749" spans="1:20" x14ac:dyDescent="0.3">
      <c r="A1749" t="s">
        <v>126</v>
      </c>
      <c r="B1749">
        <v>2018</v>
      </c>
      <c r="C1749">
        <v>680328.5</v>
      </c>
      <c r="D1749" s="1">
        <v>0.05</v>
      </c>
      <c r="E1749" s="1">
        <v>0.93536186218261697</v>
      </c>
      <c r="F1749" s="1">
        <v>-1.7999999999999999E-2</v>
      </c>
      <c r="G1749" s="1">
        <f t="shared" si="54"/>
        <v>5.0000000000000148E-3</v>
      </c>
      <c r="H1749" s="1" t="str">
        <f t="shared" si="55"/>
        <v/>
      </c>
      <c r="I1749" s="1">
        <v>-7.0000000000000001E-3</v>
      </c>
      <c r="J1749" s="1">
        <f>+D1749-F1749+I1749*O1749</f>
        <v>4.973000000000001E-2</v>
      </c>
      <c r="K1749" s="1">
        <v>5.4139126092195497E-2</v>
      </c>
      <c r="L1749" s="1">
        <f>+K1749-J1749</f>
        <v>4.4091260921954867E-3</v>
      </c>
      <c r="M1749" s="1">
        <v>3.0139126092195399E-2</v>
      </c>
      <c r="N1749" s="1">
        <f>+M1749-J1749</f>
        <v>-1.9590873907804611E-2</v>
      </c>
      <c r="O1749">
        <v>2.61</v>
      </c>
      <c r="P1749" t="s">
        <v>16</v>
      </c>
      <c r="Q1749">
        <v>0.02</v>
      </c>
      <c r="R1749">
        <v>2.5951775878667701E-2</v>
      </c>
      <c r="S1749">
        <v>8.1505812704562898E-3</v>
      </c>
      <c r="T1749">
        <v>-0.01</v>
      </c>
    </row>
    <row r="1750" spans="1:20" x14ac:dyDescent="0.3">
      <c r="A1750" t="s">
        <v>126</v>
      </c>
      <c r="B1750">
        <v>2019</v>
      </c>
      <c r="C1750">
        <v>690264.125</v>
      </c>
      <c r="D1750" s="1">
        <v>3.6999999999999998E-2</v>
      </c>
      <c r="E1750" s="1">
        <v>0.93734747171402</v>
      </c>
      <c r="F1750" s="1">
        <v>-5.8000000000000003E-2</v>
      </c>
      <c r="G1750" s="1">
        <f t="shared" si="54"/>
        <v>-5.2999999999999992E-2</v>
      </c>
      <c r="H1750" s="1" t="str">
        <f t="shared" si="55"/>
        <v/>
      </c>
      <c r="I1750" s="1">
        <v>2E-3</v>
      </c>
      <c r="J1750" s="1">
        <f>+D1750-F1750+I1750*O1750</f>
        <v>9.9919999999999995E-2</v>
      </c>
      <c r="K1750" s="1">
        <v>4.3951775878667797E-2</v>
      </c>
      <c r="L1750" s="1">
        <f>+K1750-J1750</f>
        <v>-5.5968224121332198E-2</v>
      </c>
      <c r="M1750" s="1">
        <v>2.5951775878667701E-2</v>
      </c>
      <c r="N1750" s="1">
        <f>+M1750-J1750</f>
        <v>-7.3968224121332291E-2</v>
      </c>
      <c r="O1750">
        <v>2.46</v>
      </c>
      <c r="P1750" t="s">
        <v>17</v>
      </c>
      <c r="Q1750">
        <v>0.01</v>
      </c>
      <c r="R1750">
        <v>3.1419696390628797E-2</v>
      </c>
      <c r="S1750">
        <v>1.2570505961775801E-2</v>
      </c>
      <c r="T1750">
        <v>-0.05</v>
      </c>
    </row>
    <row r="1751" spans="1:20" x14ac:dyDescent="0.3">
      <c r="A1751" t="s">
        <v>126</v>
      </c>
      <c r="B1751">
        <v>2020</v>
      </c>
      <c r="C1751">
        <v>699431.25</v>
      </c>
      <c r="D1751" s="1">
        <v>6.4000000000000001E-2</v>
      </c>
      <c r="E1751" s="1">
        <v>0.94701981544494596</v>
      </c>
      <c r="F1751" s="1">
        <v>0.14499999999999999</v>
      </c>
      <c r="G1751" s="1">
        <f t="shared" si="54"/>
        <v>9.1999999999999998E-2</v>
      </c>
      <c r="H1751" s="1" t="str">
        <f t="shared" si="55"/>
        <v/>
      </c>
      <c r="I1751" s="1">
        <v>0.01</v>
      </c>
      <c r="J1751" s="1">
        <f>+D1751-F1751+I1751*O1751</f>
        <v>-5.2799999999999986E-2</v>
      </c>
      <c r="K1751" s="1">
        <v>4.3419696390628801E-2</v>
      </c>
      <c r="L1751" s="1">
        <f>+K1751-J1751</f>
        <v>9.6219696390628787E-2</v>
      </c>
      <c r="M1751" s="1">
        <v>3.1419696390628797E-2</v>
      </c>
      <c r="N1751" s="1">
        <f>+M1751-J1751</f>
        <v>8.421969639062879E-2</v>
      </c>
      <c r="O1751">
        <v>2.82</v>
      </c>
      <c r="P1751" t="s">
        <v>15</v>
      </c>
      <c r="Q1751">
        <v>0.01</v>
      </c>
      <c r="R1751">
        <v>6.0932388782500999E-2</v>
      </c>
      <c r="S1751">
        <v>1.7342776060103999E-2</v>
      </c>
      <c r="T1751">
        <v>0.18</v>
      </c>
    </row>
    <row r="1752" spans="1:20" x14ac:dyDescent="0.3">
      <c r="A1752" t="s">
        <v>126</v>
      </c>
      <c r="B1752">
        <v>2021</v>
      </c>
      <c r="C1752">
        <v>708395</v>
      </c>
      <c r="D1752" s="1">
        <v>8.4000000000000005E-2</v>
      </c>
      <c r="E1752" s="1">
        <v>0.93698137998580899</v>
      </c>
      <c r="F1752" s="1">
        <v>-9.1999999999999998E-2</v>
      </c>
      <c r="G1752" s="1">
        <f t="shared" si="54"/>
        <v>0</v>
      </c>
      <c r="H1752" s="1" t="str">
        <f t="shared" si="55"/>
        <v/>
      </c>
      <c r="I1752" s="1">
        <v>-0.01</v>
      </c>
      <c r="J1752" s="1">
        <f>+D1752-F1752+I1752*O1752</f>
        <v>0.15039999999999998</v>
      </c>
      <c r="K1752" s="1">
        <v>0.107932388782501</v>
      </c>
      <c r="L1752" s="1">
        <f>+K1752-J1752</f>
        <v>-4.2467611217498979E-2</v>
      </c>
      <c r="M1752" s="1">
        <v>6.0932388782500999E-2</v>
      </c>
      <c r="N1752" s="1">
        <f>+M1752-J1752</f>
        <v>-8.946761121749898E-2</v>
      </c>
      <c r="O1752">
        <v>2.56</v>
      </c>
      <c r="P1752" t="s">
        <v>16</v>
      </c>
      <c r="Q1752">
        <v>0.02</v>
      </c>
      <c r="R1752">
        <v>-4.41748070716858E-2</v>
      </c>
      <c r="S1752">
        <v>-1.20713002979754E-2</v>
      </c>
      <c r="T1752">
        <v>-0.12</v>
      </c>
    </row>
    <row r="1753" spans="1:20" x14ac:dyDescent="0.3">
      <c r="A1753" t="s">
        <v>126</v>
      </c>
      <c r="B1753">
        <v>2022</v>
      </c>
      <c r="C1753">
        <v>716642.5625</v>
      </c>
      <c r="D1753" s="1">
        <v>0.115</v>
      </c>
      <c r="E1753" s="1">
        <v>0.89197909832000699</v>
      </c>
      <c r="F1753" s="1">
        <v>2.5000000000000001E-2</v>
      </c>
      <c r="G1753" s="1">
        <f t="shared" si="54"/>
        <v>2.5000000000000001E-2</v>
      </c>
      <c r="H1753" s="1" t="str">
        <f t="shared" si="55"/>
        <v/>
      </c>
      <c r="I1753" s="1">
        <v>-4.4999999999999998E-2</v>
      </c>
      <c r="J1753" s="1">
        <f>+D1753-F1753+I1753*O1753</f>
        <v>-2.7900000000000008E-2</v>
      </c>
      <c r="K1753" s="1">
        <v>3.5825192928314202E-2</v>
      </c>
      <c r="L1753" s="1">
        <f>+K1753-J1753</f>
        <v>6.3725192928314217E-2</v>
      </c>
      <c r="M1753" s="1">
        <v>-4.41748070716858E-2</v>
      </c>
      <c r="N1753" s="1">
        <f>+M1753-J1753</f>
        <v>-1.6274807071685791E-2</v>
      </c>
      <c r="O1753">
        <v>2.62</v>
      </c>
      <c r="P1753" t="s">
        <v>17</v>
      </c>
      <c r="Q1753">
        <v>-0.01</v>
      </c>
      <c r="R1753">
        <v>-4.91201316788792E-2</v>
      </c>
      <c r="S1753">
        <v>-2.9561203904449902E-2</v>
      </c>
      <c r="T1753">
        <v>0.04</v>
      </c>
    </row>
    <row r="1754" spans="1:20" x14ac:dyDescent="0.3">
      <c r="A1754" t="s">
        <v>127</v>
      </c>
      <c r="B1754">
        <v>2006</v>
      </c>
      <c r="C1754">
        <v>1186850</v>
      </c>
      <c r="D1754" s="1">
        <v>1.9E-2</v>
      </c>
      <c r="E1754" s="1">
        <v>0.91749471426010099</v>
      </c>
      <c r="F1754" s="1">
        <v>-1.7000000000000001E-2</v>
      </c>
      <c r="G1754" s="1">
        <f t="shared" si="54"/>
        <v>-1.7000000000000001E-2</v>
      </c>
      <c r="H1754" s="1" t="str">
        <f t="shared" si="55"/>
        <v/>
      </c>
      <c r="I1754" s="1">
        <v>1E-3</v>
      </c>
      <c r="J1754" s="1">
        <f>+D1754-F1754+I1754*O1754</f>
        <v>3.8210000000000008E-2</v>
      </c>
      <c r="K1754" s="1">
        <v>1.6789959743619E-2</v>
      </c>
      <c r="L1754" s="1">
        <f>+K1754-J1754</f>
        <v>-2.1420040256381008E-2</v>
      </c>
      <c r="M1754" s="1">
        <v>-1.5210040256381001E-2</v>
      </c>
      <c r="N1754" s="1">
        <f>+M1754-J1754</f>
        <v>-5.3420040256381009E-2</v>
      </c>
      <c r="O1754">
        <v>2.21</v>
      </c>
      <c r="P1754" t="s">
        <v>17</v>
      </c>
      <c r="Q1754">
        <v>-0.02</v>
      </c>
      <c r="R1754">
        <v>7.3186262547970003E-3</v>
      </c>
      <c r="S1754">
        <v>8.2403821870685005E-3</v>
      </c>
      <c r="T1754">
        <v>-0.02</v>
      </c>
    </row>
    <row r="1755" spans="1:20" x14ac:dyDescent="0.3">
      <c r="A1755" t="s">
        <v>127</v>
      </c>
      <c r="B1755">
        <v>2007</v>
      </c>
      <c r="C1755">
        <v>1203902</v>
      </c>
      <c r="D1755" s="1">
        <v>4.0000000000000001E-3</v>
      </c>
      <c r="E1755" s="1">
        <v>0.91229057312011697</v>
      </c>
      <c r="F1755" s="1">
        <v>2.4E-2</v>
      </c>
      <c r="G1755" s="1">
        <f t="shared" si="54"/>
        <v>6.9999999999999993E-3</v>
      </c>
      <c r="H1755" s="1" t="str">
        <f t="shared" si="55"/>
        <v/>
      </c>
      <c r="I1755" s="1">
        <v>-5.0000000000000001E-3</v>
      </c>
      <c r="J1755" s="1">
        <f>+D1755-F1755+I1755*O1755</f>
        <v>-3.1350000000000003E-2</v>
      </c>
      <c r="K1755" s="1">
        <v>3.6318626254797003E-2</v>
      </c>
      <c r="L1755" s="1">
        <f>+K1755-J1755</f>
        <v>6.7668626254796999E-2</v>
      </c>
      <c r="M1755" s="1">
        <v>7.3186262547970003E-3</v>
      </c>
      <c r="N1755" s="1">
        <f>+M1755-J1755</f>
        <v>3.8668626254797001E-2</v>
      </c>
      <c r="O1755">
        <v>2.27</v>
      </c>
      <c r="P1755" t="s">
        <v>17</v>
      </c>
      <c r="Q1755">
        <v>0.01</v>
      </c>
      <c r="R1755">
        <v>-7.7502125054597897E-3</v>
      </c>
      <c r="S1755">
        <v>2.1760591771453602E-2</v>
      </c>
      <c r="T1755">
        <v>0.02</v>
      </c>
    </row>
    <row r="1756" spans="1:20" x14ac:dyDescent="0.3">
      <c r="A1756" t="s">
        <v>127</v>
      </c>
      <c r="B1756">
        <v>2008</v>
      </c>
      <c r="C1756">
        <v>1221981</v>
      </c>
      <c r="D1756" s="1">
        <v>0</v>
      </c>
      <c r="E1756" s="1">
        <v>0.91277688741684004</v>
      </c>
      <c r="F1756" s="1">
        <v>2.1999999999999999E-2</v>
      </c>
      <c r="G1756" s="1">
        <f t="shared" si="54"/>
        <v>2.8999999999999998E-2</v>
      </c>
      <c r="H1756" s="1" t="str">
        <f t="shared" si="55"/>
        <v/>
      </c>
      <c r="I1756" s="1">
        <v>0</v>
      </c>
      <c r="J1756" s="1">
        <f>+D1756-F1756+I1756*O1756</f>
        <v>-2.1999999999999999E-2</v>
      </c>
      <c r="K1756" s="1">
        <v>3.0249787494540201E-2</v>
      </c>
      <c r="L1756" s="1">
        <f>+K1756-J1756</f>
        <v>5.2249787494540199E-2</v>
      </c>
      <c r="M1756" s="1">
        <v>-7.7502125054597897E-3</v>
      </c>
      <c r="N1756" s="1">
        <f>+M1756-J1756</f>
        <v>1.4249787494540209E-2</v>
      </c>
      <c r="O1756">
        <v>2.3199999999999998</v>
      </c>
      <c r="P1756" t="s">
        <v>15</v>
      </c>
      <c r="Q1756">
        <v>0.02</v>
      </c>
      <c r="R1756">
        <v>-2.4050674125552202E-2</v>
      </c>
      <c r="S1756">
        <v>2.5160275399684399E-3</v>
      </c>
      <c r="T1756">
        <v>0.02</v>
      </c>
    </row>
    <row r="1757" spans="1:20" x14ac:dyDescent="0.3">
      <c r="A1757" t="s">
        <v>127</v>
      </c>
      <c r="B1757">
        <v>2009</v>
      </c>
      <c r="C1757">
        <v>1242890</v>
      </c>
      <c r="D1757" s="1">
        <v>1.0999999999999999E-2</v>
      </c>
      <c r="E1757" s="1">
        <v>0.90522962808608998</v>
      </c>
      <c r="F1757" s="1">
        <v>1.2E-2</v>
      </c>
      <c r="G1757" s="1">
        <f t="shared" si="54"/>
        <v>4.0999999999999995E-2</v>
      </c>
      <c r="H1757" s="1" t="str">
        <f t="shared" si="55"/>
        <v/>
      </c>
      <c r="I1757" s="1">
        <v>-8.0000000000000002E-3</v>
      </c>
      <c r="J1757" s="1">
        <f>+D1757-F1757+I1757*O1757</f>
        <v>-1.9720000000000001E-2</v>
      </c>
      <c r="K1757" s="1">
        <v>-2.8050674125552202E-2</v>
      </c>
      <c r="L1757" s="1">
        <f>+K1757-J1757</f>
        <v>-8.3306741255522003E-3</v>
      </c>
      <c r="M1757" s="1">
        <v>-2.4050674125552202E-2</v>
      </c>
      <c r="N1757" s="1">
        <f>+M1757-J1757</f>
        <v>-4.3306741255522002E-3</v>
      </c>
      <c r="O1757">
        <v>2.34</v>
      </c>
      <c r="P1757" t="s">
        <v>17</v>
      </c>
      <c r="Q1757">
        <v>0</v>
      </c>
      <c r="R1757">
        <v>-1.49117699442431E-2</v>
      </c>
      <c r="S1757">
        <v>-5.4516611853614397E-3</v>
      </c>
      <c r="T1757">
        <v>-0.01</v>
      </c>
    </row>
    <row r="1758" spans="1:20" x14ac:dyDescent="0.3">
      <c r="A1758" t="s">
        <v>127</v>
      </c>
      <c r="B1758">
        <v>2010</v>
      </c>
      <c r="C1758">
        <v>1262885</v>
      </c>
      <c r="D1758" s="1">
        <v>0.01</v>
      </c>
      <c r="E1758" s="1">
        <v>0.91284990310668901</v>
      </c>
      <c r="F1758" s="1">
        <v>-2E-3</v>
      </c>
      <c r="G1758" s="1">
        <f t="shared" si="54"/>
        <v>3.8999999999999993E-2</v>
      </c>
      <c r="H1758" s="1" t="str">
        <f t="shared" si="55"/>
        <v/>
      </c>
      <c r="I1758" s="1">
        <v>8.0000000000000002E-3</v>
      </c>
      <c r="J1758" s="1">
        <f>+D1758-F1758+I1758*O1758</f>
        <v>3.0720000000000001E-2</v>
      </c>
      <c r="K1758" s="1">
        <v>1.08823005575687E-3</v>
      </c>
      <c r="L1758" s="1">
        <f>+K1758-J1758</f>
        <v>-2.963176994424313E-2</v>
      </c>
      <c r="M1758" s="1">
        <v>-1.49117699442431E-2</v>
      </c>
      <c r="N1758" s="1">
        <f>+M1758-J1758</f>
        <v>-4.5631769944243103E-2</v>
      </c>
      <c r="O1758">
        <v>2.34</v>
      </c>
      <c r="P1758" t="s">
        <v>17</v>
      </c>
      <c r="Q1758">
        <v>-0.01</v>
      </c>
      <c r="R1758">
        <v>-1.8687958240508999E-2</v>
      </c>
      <c r="S1758">
        <v>2.5958162732422998E-3</v>
      </c>
      <c r="T1758">
        <v>-0.01</v>
      </c>
    </row>
    <row r="1759" spans="1:20" x14ac:dyDescent="0.3">
      <c r="A1759" t="s">
        <v>127</v>
      </c>
      <c r="B1759">
        <v>2011</v>
      </c>
      <c r="C1759">
        <v>1282842</v>
      </c>
      <c r="D1759" s="1">
        <v>1.0999999999999999E-2</v>
      </c>
      <c r="E1759" s="1">
        <v>0.91397958993911699</v>
      </c>
      <c r="F1759" s="1">
        <v>-2.8000000000000001E-2</v>
      </c>
      <c r="G1759" s="1">
        <f t="shared" si="54"/>
        <v>1.0999999999999992E-2</v>
      </c>
      <c r="H1759" s="1" t="str">
        <f t="shared" si="55"/>
        <v/>
      </c>
      <c r="I1759" s="1">
        <v>1E-3</v>
      </c>
      <c r="J1759" s="1">
        <f>+D1759-F1759+I1759*O1759</f>
        <v>4.1279999999999997E-2</v>
      </c>
      <c r="K1759" s="1">
        <v>1.3312041759491E-2</v>
      </c>
      <c r="L1759" s="1">
        <f>+K1759-J1759</f>
        <v>-2.7967958240508996E-2</v>
      </c>
      <c r="M1759" s="1">
        <v>-1.8687958240508999E-2</v>
      </c>
      <c r="N1759" s="1">
        <f>+M1759-J1759</f>
        <v>-5.9967958240508996E-2</v>
      </c>
      <c r="O1759">
        <v>2.2799999999999998</v>
      </c>
      <c r="P1759" t="s">
        <v>17</v>
      </c>
      <c r="Q1759">
        <v>0</v>
      </c>
      <c r="R1759">
        <v>3.9284543097018896E-3</v>
      </c>
      <c r="S1759">
        <v>9.3666603788732893E-3</v>
      </c>
      <c r="T1759">
        <v>-0.03</v>
      </c>
    </row>
    <row r="1760" spans="1:20" x14ac:dyDescent="0.3">
      <c r="A1760" t="s">
        <v>127</v>
      </c>
      <c r="B1760">
        <v>2012</v>
      </c>
      <c r="C1760">
        <v>1304591</v>
      </c>
      <c r="D1760" s="1">
        <v>1.4E-2</v>
      </c>
      <c r="E1760" s="1">
        <v>0.917827248573303</v>
      </c>
      <c r="F1760" s="1">
        <v>-6.0000000000000001E-3</v>
      </c>
      <c r="G1760" s="1">
        <f t="shared" si="54"/>
        <v>4.9999999999999923E-3</v>
      </c>
      <c r="H1760" s="1" t="str">
        <f t="shared" si="55"/>
        <v/>
      </c>
      <c r="I1760" s="1">
        <v>4.0000000000000001E-3</v>
      </c>
      <c r="J1760" s="1">
        <f>+D1760-F1760+I1760*O1760</f>
        <v>2.904E-2</v>
      </c>
      <c r="K1760" s="1">
        <v>2.4928454309701899E-2</v>
      </c>
      <c r="L1760" s="1">
        <f>+K1760-J1760</f>
        <v>-4.1115456902981011E-3</v>
      </c>
      <c r="M1760" s="1">
        <v>3.9284543097018896E-3</v>
      </c>
      <c r="N1760" s="1">
        <f>+M1760-J1760</f>
        <v>-2.5111545690298109E-2</v>
      </c>
      <c r="O1760">
        <v>2.2599999999999998</v>
      </c>
      <c r="P1760" t="s">
        <v>17</v>
      </c>
      <c r="Q1760">
        <v>0.01</v>
      </c>
      <c r="R1760">
        <v>1.5389627441763899E-2</v>
      </c>
      <c r="S1760">
        <v>9.2628560960292903E-3</v>
      </c>
      <c r="T1760">
        <v>-0.01</v>
      </c>
    </row>
    <row r="1761" spans="1:20" x14ac:dyDescent="0.3">
      <c r="A1761" t="s">
        <v>127</v>
      </c>
      <c r="B1761">
        <v>2013</v>
      </c>
      <c r="C1761">
        <v>1325571</v>
      </c>
      <c r="D1761" s="1">
        <v>1.9E-2</v>
      </c>
      <c r="E1761" s="1">
        <v>0.91275107860565197</v>
      </c>
      <c r="F1761" s="1">
        <v>1.7000000000000001E-2</v>
      </c>
      <c r="G1761" s="1">
        <f t="shared" si="54"/>
        <v>2.1999999999999992E-2</v>
      </c>
      <c r="H1761" s="1" t="str">
        <f t="shared" si="55"/>
        <v/>
      </c>
      <c r="I1761" s="1">
        <v>-5.0000000000000001E-3</v>
      </c>
      <c r="J1761" s="1">
        <f>+D1761-F1761+I1761*O1761</f>
        <v>-9.5000000000000015E-3</v>
      </c>
      <c r="K1761" s="1">
        <v>3.0389627441763899E-2</v>
      </c>
      <c r="L1761" s="1">
        <f>+K1761-J1761</f>
        <v>3.98896274417639E-2</v>
      </c>
      <c r="M1761" s="1">
        <v>1.5389627441763899E-2</v>
      </c>
      <c r="N1761" s="1">
        <f>+M1761-J1761</f>
        <v>2.4889627441763901E-2</v>
      </c>
      <c r="O1761">
        <v>2.2999999999999998</v>
      </c>
      <c r="P1761" t="s">
        <v>17</v>
      </c>
      <c r="Q1761">
        <v>0.01</v>
      </c>
      <c r="R1761">
        <v>2.0080235004425002E-3</v>
      </c>
      <c r="S1761">
        <v>0</v>
      </c>
      <c r="T1761">
        <v>0.01</v>
      </c>
    </row>
    <row r="1762" spans="1:20" x14ac:dyDescent="0.3">
      <c r="A1762" t="s">
        <v>127</v>
      </c>
      <c r="B1762">
        <v>2014</v>
      </c>
      <c r="C1762">
        <v>1343397</v>
      </c>
      <c r="D1762" s="1">
        <v>1.7000000000000001E-2</v>
      </c>
      <c r="E1762" s="1">
        <v>0.91576433181762695</v>
      </c>
      <c r="F1762" s="1">
        <v>1.6E-2</v>
      </c>
      <c r="G1762" s="1">
        <f t="shared" si="54"/>
        <v>3.7999999999999992E-2</v>
      </c>
      <c r="H1762" s="1" t="str">
        <f t="shared" si="55"/>
        <v/>
      </c>
      <c r="I1762" s="1">
        <v>3.0000000000000001E-3</v>
      </c>
      <c r="J1762" s="1">
        <f>+D1762-F1762+I1762*O1762</f>
        <v>8.0199999999999994E-3</v>
      </c>
      <c r="K1762" s="1">
        <v>1.8008023500442501E-2</v>
      </c>
      <c r="L1762" s="1">
        <f>+K1762-J1762</f>
        <v>9.9880235004425021E-3</v>
      </c>
      <c r="M1762" s="1">
        <v>2.0080235004425002E-3</v>
      </c>
      <c r="N1762" s="1">
        <f>+M1762-J1762</f>
        <v>-6.0119764995574991E-3</v>
      </c>
      <c r="O1762">
        <v>2.34</v>
      </c>
      <c r="P1762" t="s">
        <v>15</v>
      </c>
      <c r="Q1762" t="s">
        <v>23</v>
      </c>
      <c r="R1762">
        <v>1.01078629270195E-2</v>
      </c>
      <c r="S1762">
        <v>-2.0155589096248001E-2</v>
      </c>
      <c r="T1762">
        <v>0.01</v>
      </c>
    </row>
    <row r="1763" spans="1:20" x14ac:dyDescent="0.3">
      <c r="A1763" t="s">
        <v>127</v>
      </c>
      <c r="B1763">
        <v>2015</v>
      </c>
      <c r="C1763">
        <v>1363382</v>
      </c>
      <c r="D1763" s="1">
        <v>3.6999999999999998E-2</v>
      </c>
      <c r="E1763" s="1">
        <v>0.89398133754730202</v>
      </c>
      <c r="F1763" s="1">
        <v>1.7000000000000001E-2</v>
      </c>
      <c r="G1763" s="1">
        <f t="shared" si="54"/>
        <v>5.4999999999999993E-2</v>
      </c>
      <c r="H1763" s="1" t="str">
        <f t="shared" si="55"/>
        <v/>
      </c>
      <c r="I1763" s="1">
        <v>-2.1999999999999999E-2</v>
      </c>
      <c r="J1763" s="1">
        <f>+D1763-F1763+I1763*O1763</f>
        <v>-3.236E-2</v>
      </c>
      <c r="K1763" s="1">
        <v>1.11078629270196E-2</v>
      </c>
      <c r="L1763" s="1">
        <f>+K1763-J1763</f>
        <v>4.3467862927019596E-2</v>
      </c>
      <c r="M1763" s="1">
        <v>1.01078629270195E-2</v>
      </c>
      <c r="N1763" s="1">
        <f>+M1763-J1763</f>
        <v>4.2467862927019498E-2</v>
      </c>
      <c r="O1763">
        <v>2.38</v>
      </c>
      <c r="P1763" t="s">
        <v>17</v>
      </c>
      <c r="Q1763">
        <v>-0.02</v>
      </c>
      <c r="R1763">
        <v>-1.6877481911331399E-2</v>
      </c>
      <c r="S1763">
        <v>-3.0031038913875801E-2</v>
      </c>
      <c r="T1763">
        <v>0.03</v>
      </c>
    </row>
    <row r="1764" spans="1:20" x14ac:dyDescent="0.3">
      <c r="A1764" t="s">
        <v>127</v>
      </c>
      <c r="B1764">
        <v>2016</v>
      </c>
      <c r="C1764">
        <v>1377889</v>
      </c>
      <c r="D1764" s="1">
        <v>2.1999999999999999E-2</v>
      </c>
      <c r="E1764" s="1">
        <v>0.87316817045211803</v>
      </c>
      <c r="F1764" s="1">
        <v>-3.5999999999999997E-2</v>
      </c>
      <c r="G1764" s="1">
        <f t="shared" si="54"/>
        <v>1.8999999999999996E-2</v>
      </c>
      <c r="H1764" s="1" t="str">
        <f t="shared" si="55"/>
        <v/>
      </c>
      <c r="I1764" s="1">
        <v>-2.1000000000000001E-2</v>
      </c>
      <c r="J1764" s="1">
        <f>+D1764-F1764+I1764*O1764</f>
        <v>9.9099999999999952E-3</v>
      </c>
      <c r="K1764" s="1">
        <v>-3.8774819113314199E-3</v>
      </c>
      <c r="L1764" s="1">
        <f>+K1764-J1764</f>
        <v>-1.3787481911331416E-2</v>
      </c>
      <c r="M1764" s="1">
        <v>-1.6877481911331399E-2</v>
      </c>
      <c r="N1764" s="1">
        <f>+M1764-J1764</f>
        <v>-2.6787481911331394E-2</v>
      </c>
      <c r="O1764">
        <v>2.29</v>
      </c>
      <c r="P1764" t="s">
        <v>16</v>
      </c>
      <c r="Q1764">
        <v>-0.03</v>
      </c>
      <c r="R1764">
        <v>-8.2727701440453993E-3</v>
      </c>
      <c r="S1764">
        <v>-1.10623436048626E-2</v>
      </c>
      <c r="T1764">
        <v>-0.03</v>
      </c>
    </row>
    <row r="1765" spans="1:20" x14ac:dyDescent="0.3">
      <c r="A1765" t="s">
        <v>127</v>
      </c>
      <c r="B1765">
        <v>2017</v>
      </c>
      <c r="C1765">
        <v>1387621</v>
      </c>
      <c r="D1765" s="1">
        <v>1.2E-2</v>
      </c>
      <c r="E1765" s="1">
        <v>0.87823313474655196</v>
      </c>
      <c r="F1765" s="1">
        <v>1.7999999999999999E-2</v>
      </c>
      <c r="G1765" s="1">
        <f t="shared" si="54"/>
        <v>3.6999999999999991E-2</v>
      </c>
      <c r="H1765" s="1" t="str">
        <f t="shared" si="55"/>
        <v/>
      </c>
      <c r="I1765" s="1">
        <v>5.0000000000000001E-3</v>
      </c>
      <c r="J1765" s="1">
        <f>+D1765-F1765+I1765*O1765</f>
        <v>5.6500000000000022E-3</v>
      </c>
      <c r="K1765" s="1">
        <v>1.27272298559546E-2</v>
      </c>
      <c r="L1765" s="1">
        <f>+K1765-J1765</f>
        <v>7.077229855954598E-3</v>
      </c>
      <c r="M1765" s="1">
        <v>-8.2727701440453993E-3</v>
      </c>
      <c r="N1765" s="1">
        <f>+M1765-J1765</f>
        <v>-1.3922770144045402E-2</v>
      </c>
      <c r="O1765">
        <v>2.33</v>
      </c>
      <c r="P1765" t="s">
        <v>15</v>
      </c>
      <c r="Q1765">
        <v>-0.01</v>
      </c>
      <c r="R1765">
        <v>8.2732664644717992E-3</v>
      </c>
      <c r="S1765">
        <v>-8.6175650358199303E-4</v>
      </c>
      <c r="T1765">
        <v>0.02</v>
      </c>
    </row>
    <row r="1766" spans="1:20" x14ac:dyDescent="0.3">
      <c r="A1766" t="s">
        <v>127</v>
      </c>
      <c r="B1766">
        <v>2018</v>
      </c>
      <c r="C1766">
        <v>1401224</v>
      </c>
      <c r="D1766" s="1">
        <v>1.0999999999999999E-2</v>
      </c>
      <c r="E1766" s="1">
        <v>0.88944095373153698</v>
      </c>
      <c r="F1766" s="1">
        <v>2.3E-2</v>
      </c>
      <c r="G1766" s="1">
        <f t="shared" si="54"/>
        <v>5.9999999999999991E-2</v>
      </c>
      <c r="H1766" s="1" t="str">
        <f t="shared" si="55"/>
        <v/>
      </c>
      <c r="I1766" s="1">
        <v>1.0999999999999999E-2</v>
      </c>
      <c r="J1766" s="1">
        <f>+D1766-F1766+I1766*O1766</f>
        <v>1.4290000000000001E-2</v>
      </c>
      <c r="K1766" s="1">
        <v>3.2273266464471803E-2</v>
      </c>
      <c r="L1766" s="1">
        <f>+K1766-J1766</f>
        <v>1.7983266464471803E-2</v>
      </c>
      <c r="M1766" s="1">
        <v>8.2732664644717992E-3</v>
      </c>
      <c r="N1766" s="1">
        <f>+M1766-J1766</f>
        <v>-6.0167335355282014E-3</v>
      </c>
      <c r="O1766">
        <v>2.39</v>
      </c>
      <c r="P1766" t="s">
        <v>15</v>
      </c>
      <c r="Q1766">
        <v>0</v>
      </c>
      <c r="R1766">
        <v>1.82672731280327E-2</v>
      </c>
      <c r="S1766">
        <v>4.6607851982119399E-4</v>
      </c>
      <c r="T1766">
        <v>0.03</v>
      </c>
    </row>
    <row r="1767" spans="1:20" x14ac:dyDescent="0.3">
      <c r="A1767" t="s">
        <v>127</v>
      </c>
      <c r="B1767">
        <v>2019</v>
      </c>
      <c r="C1767">
        <v>1417298</v>
      </c>
      <c r="D1767" s="1">
        <v>8.9999999999999993E-3</v>
      </c>
      <c r="E1767" s="1">
        <v>0.89802169799804699</v>
      </c>
      <c r="F1767" s="1">
        <v>-4.2999999999999997E-2</v>
      </c>
      <c r="G1767" s="1">
        <f t="shared" si="54"/>
        <v>1.6999999999999994E-2</v>
      </c>
      <c r="H1767" s="1" t="str">
        <f t="shared" si="55"/>
        <v/>
      </c>
      <c r="I1767" s="1">
        <v>8.9999999999999993E-3</v>
      </c>
      <c r="J1767" s="1">
        <f>+D1767-F1767+I1767*O1767</f>
        <v>7.2520000000000001E-2</v>
      </c>
      <c r="K1767" s="1">
        <v>3.6267273128032698E-2</v>
      </c>
      <c r="L1767" s="1">
        <f>+K1767-J1767</f>
        <v>-3.6252726871967303E-2</v>
      </c>
      <c r="M1767" s="1">
        <v>1.82672731280327E-2</v>
      </c>
      <c r="N1767" s="1">
        <f>+M1767-J1767</f>
        <v>-5.4252726871967305E-2</v>
      </c>
      <c r="O1767">
        <v>2.2799999999999998</v>
      </c>
      <c r="P1767" t="s">
        <v>17</v>
      </c>
      <c r="Q1767">
        <v>0</v>
      </c>
      <c r="R1767">
        <v>1.9425531953573199E-2</v>
      </c>
      <c r="S1767">
        <v>5.7634152472019803E-4</v>
      </c>
      <c r="T1767">
        <v>-0.04</v>
      </c>
    </row>
    <row r="1768" spans="1:20" x14ac:dyDescent="0.3">
      <c r="A1768" t="s">
        <v>127</v>
      </c>
      <c r="B1768">
        <v>2020</v>
      </c>
      <c r="C1768">
        <v>1433498</v>
      </c>
      <c r="D1768" s="1">
        <v>6.0000000000000001E-3</v>
      </c>
      <c r="E1768" s="1">
        <v>0.90943378210067705</v>
      </c>
      <c r="F1768" s="1">
        <v>-5.8000000000000003E-2</v>
      </c>
      <c r="G1768" s="1">
        <f t="shared" si="54"/>
        <v>-4.1000000000000009E-2</v>
      </c>
      <c r="H1768" s="1" t="str">
        <f t="shared" si="55"/>
        <v/>
      </c>
      <c r="I1768" s="1">
        <v>1.0999999999999999E-2</v>
      </c>
      <c r="J1768" s="1">
        <f>+D1768-F1768+I1768*O1768</f>
        <v>8.7650000000000006E-2</v>
      </c>
      <c r="K1768" s="1">
        <v>3.1425531953573199E-2</v>
      </c>
      <c r="L1768" s="1">
        <f>+K1768-J1768</f>
        <v>-5.6224468046426807E-2</v>
      </c>
      <c r="M1768" s="1">
        <v>1.9425531953573199E-2</v>
      </c>
      <c r="N1768" s="1">
        <f>+M1768-J1768</f>
        <v>-6.8224468046426803E-2</v>
      </c>
      <c r="O1768">
        <v>2.15</v>
      </c>
      <c r="P1768" t="s">
        <v>17</v>
      </c>
      <c r="Q1768">
        <v>0</v>
      </c>
      <c r="R1768">
        <v>3.8341550409793798E-2</v>
      </c>
      <c r="S1768">
        <v>-5.2480623126030098E-3</v>
      </c>
      <c r="T1768">
        <v>-0.02</v>
      </c>
    </row>
    <row r="1769" spans="1:20" x14ac:dyDescent="0.3">
      <c r="A1769" t="s">
        <v>127</v>
      </c>
      <c r="B1769">
        <v>2021</v>
      </c>
      <c r="C1769">
        <v>1448468</v>
      </c>
      <c r="D1769" s="1">
        <v>1.7999999999999999E-2</v>
      </c>
      <c r="E1769" s="1">
        <v>0.92633771896362305</v>
      </c>
      <c r="F1769" s="1">
        <v>2.1999999999999999E-2</v>
      </c>
      <c r="G1769" s="1">
        <f t="shared" si="54"/>
        <v>-1.900000000000001E-2</v>
      </c>
      <c r="H1769" s="1" t="str">
        <f t="shared" si="55"/>
        <v/>
      </c>
      <c r="I1769" s="1">
        <v>1.7000000000000001E-2</v>
      </c>
      <c r="J1769" s="1">
        <f>+D1769-F1769+I1769*O1769</f>
        <v>3.3399999999999999E-2</v>
      </c>
      <c r="K1769" s="1">
        <v>8.5341550409793895E-2</v>
      </c>
      <c r="L1769" s="1">
        <f>+K1769-J1769</f>
        <v>5.1941550409793896E-2</v>
      </c>
      <c r="M1769" s="1">
        <v>3.8341550409793798E-2</v>
      </c>
      <c r="N1769" s="1">
        <f>+M1769-J1769</f>
        <v>4.941550409793799E-3</v>
      </c>
      <c r="O1769">
        <v>2.2000000000000002</v>
      </c>
      <c r="P1769" t="s">
        <v>15</v>
      </c>
      <c r="Q1769">
        <v>-0.01</v>
      </c>
      <c r="R1769">
        <v>-3.3297447413206102E-2</v>
      </c>
      <c r="S1769">
        <v>-1.1939406394958E-3</v>
      </c>
      <c r="T1769">
        <v>-0.01</v>
      </c>
    </row>
    <row r="1770" spans="1:20" x14ac:dyDescent="0.3">
      <c r="A1770" t="s">
        <v>127</v>
      </c>
      <c r="B1770">
        <v>2022</v>
      </c>
      <c r="C1770">
        <v>1467299</v>
      </c>
      <c r="D1770" s="1">
        <v>1.2E-2</v>
      </c>
      <c r="E1770" s="1">
        <v>0.89614003896713301</v>
      </c>
      <c r="F1770" s="1">
        <v>5.0000000000000001E-3</v>
      </c>
      <c r="G1770" s="1">
        <f t="shared" si="54"/>
        <v>-1.4000000000000009E-2</v>
      </c>
      <c r="H1770" s="1" t="str">
        <f t="shared" si="55"/>
        <v/>
      </c>
      <c r="I1770" s="1">
        <v>-0.03</v>
      </c>
      <c r="J1770" s="1">
        <f>+D1770-F1770+I1770*O1770</f>
        <v>-5.9299999999999999E-2</v>
      </c>
      <c r="K1770" s="1">
        <v>4.67025525867939E-2</v>
      </c>
      <c r="L1770" s="1">
        <f>+K1770-J1770</f>
        <v>0.10600255258679389</v>
      </c>
      <c r="M1770" s="1">
        <v>-3.3297447413206102E-2</v>
      </c>
      <c r="N1770" s="1">
        <f>+M1770-J1770</f>
        <v>2.6002552586793896E-2</v>
      </c>
      <c r="O1770">
        <v>2.21</v>
      </c>
      <c r="P1770" t="s">
        <v>17</v>
      </c>
      <c r="Q1770">
        <v>0</v>
      </c>
      <c r="R1770">
        <v>-1.6604930892586699E-2</v>
      </c>
      <c r="S1770">
        <v>2.9539968818425898E-3</v>
      </c>
      <c r="T1770">
        <v>0.02</v>
      </c>
    </row>
    <row r="1771" spans="1:20" x14ac:dyDescent="0.3">
      <c r="A1771" t="s">
        <v>128</v>
      </c>
      <c r="B1771">
        <v>2006</v>
      </c>
      <c r="C1771">
        <v>233945.79689999999</v>
      </c>
      <c r="D1771" s="1">
        <v>1.4999999999999999E-2</v>
      </c>
      <c r="E1771" s="1">
        <v>0.94001406431198098</v>
      </c>
      <c r="F1771" s="1">
        <v>-3.5000000000000003E-2</v>
      </c>
      <c r="G1771" s="1">
        <f t="shared" si="54"/>
        <v>-3.5000000000000003E-2</v>
      </c>
      <c r="H1771" s="1" t="str">
        <f t="shared" si="55"/>
        <v/>
      </c>
      <c r="I1771" s="1">
        <v>1.0999999999999999E-2</v>
      </c>
      <c r="J1771" s="1">
        <f>+D1771-F1771+I1771*O1771</f>
        <v>7.4749999999999997E-2</v>
      </c>
      <c r="K1771" s="1">
        <v>5.9902258217334699E-2</v>
      </c>
      <c r="L1771" s="1">
        <f>+K1771-J1771</f>
        <v>-1.4847741782665298E-2</v>
      </c>
      <c r="M1771" s="1">
        <v>2.7902258217334601E-2</v>
      </c>
      <c r="N1771" s="1">
        <f>+M1771-J1771</f>
        <v>-4.6847741782665396E-2</v>
      </c>
      <c r="O1771">
        <v>2.25</v>
      </c>
      <c r="P1771" t="s">
        <v>17</v>
      </c>
      <c r="Q1771">
        <v>0.02</v>
      </c>
      <c r="R1771">
        <v>1.8077387571334699E-2</v>
      </c>
      <c r="S1771">
        <v>1.8999143503606299E-2</v>
      </c>
      <c r="T1771">
        <v>-0.04</v>
      </c>
    </row>
    <row r="1772" spans="1:20" x14ac:dyDescent="0.3">
      <c r="A1772" t="s">
        <v>128</v>
      </c>
      <c r="B1772">
        <v>2007</v>
      </c>
      <c r="C1772">
        <v>239410.4063</v>
      </c>
      <c r="D1772" s="1">
        <v>4.3999999999999997E-2</v>
      </c>
      <c r="E1772" s="1">
        <v>0.93796497583389304</v>
      </c>
      <c r="F1772" s="1">
        <v>5.6000000000000001E-2</v>
      </c>
      <c r="G1772" s="1">
        <f t="shared" si="54"/>
        <v>2.0999999999999998E-2</v>
      </c>
      <c r="H1772" s="1" t="str">
        <f t="shared" si="55"/>
        <v/>
      </c>
      <c r="I1772" s="1">
        <v>-2E-3</v>
      </c>
      <c r="J1772" s="1">
        <f>+D1772-F1772+I1772*O1772</f>
        <v>-1.6760000000000004E-2</v>
      </c>
      <c r="K1772" s="1">
        <v>4.7077387571334797E-2</v>
      </c>
      <c r="L1772" s="1">
        <f>+K1772-J1772</f>
        <v>6.3837387571334808E-2</v>
      </c>
      <c r="M1772" s="1">
        <v>1.8077387571334699E-2</v>
      </c>
      <c r="N1772" s="1">
        <f>+M1772-J1772</f>
        <v>3.4837387571334699E-2</v>
      </c>
      <c r="O1772">
        <v>2.38</v>
      </c>
      <c r="P1772" t="s">
        <v>17</v>
      </c>
      <c r="Q1772">
        <v>0.02</v>
      </c>
      <c r="R1772">
        <v>-2.8724995732307398E-2</v>
      </c>
      <c r="S1772">
        <v>7.8580854460597298E-4</v>
      </c>
      <c r="T1772">
        <v>0.05</v>
      </c>
    </row>
    <row r="1773" spans="1:20" x14ac:dyDescent="0.3">
      <c r="A1773" t="s">
        <v>128</v>
      </c>
      <c r="B1773">
        <v>2008</v>
      </c>
      <c r="C1773">
        <v>245743.39060000001</v>
      </c>
      <c r="D1773" s="1">
        <v>2.3E-2</v>
      </c>
      <c r="E1773" s="1">
        <v>0.92560321092605602</v>
      </c>
      <c r="F1773" s="1">
        <v>6.0000000000000001E-3</v>
      </c>
      <c r="G1773" s="1">
        <f t="shared" si="54"/>
        <v>2.6999999999999996E-2</v>
      </c>
      <c r="H1773" s="1" t="str">
        <f t="shared" si="55"/>
        <v/>
      </c>
      <c r="I1773" s="1">
        <v>-1.2E-2</v>
      </c>
      <c r="J1773" s="1">
        <f>+D1773-F1773+I1773*O1773</f>
        <v>-1.1679999999999999E-2</v>
      </c>
      <c r="K1773" s="1">
        <v>9.2750042676925694E-3</v>
      </c>
      <c r="L1773" s="1">
        <f>+K1773-J1773</f>
        <v>2.0955004267692569E-2</v>
      </c>
      <c r="M1773" s="1">
        <v>-2.8724995732307398E-2</v>
      </c>
      <c r="N1773" s="1">
        <f>+M1773-J1773</f>
        <v>-1.7044995732307399E-2</v>
      </c>
      <c r="O1773">
        <v>2.39</v>
      </c>
      <c r="P1773" t="s">
        <v>17</v>
      </c>
      <c r="Q1773">
        <v>0</v>
      </c>
      <c r="R1773">
        <v>-5.6381542891264E-2</v>
      </c>
      <c r="S1773">
        <v>-2.9814841225743301E-2</v>
      </c>
      <c r="T1773">
        <v>0</v>
      </c>
    </row>
    <row r="1774" spans="1:20" x14ac:dyDescent="0.3">
      <c r="A1774" t="s">
        <v>128</v>
      </c>
      <c r="B1774">
        <v>2009</v>
      </c>
      <c r="C1774">
        <v>250732</v>
      </c>
      <c r="D1774" s="1">
        <v>1.7000000000000001E-2</v>
      </c>
      <c r="E1774" s="1">
        <v>0.92069554328918501</v>
      </c>
      <c r="F1774" s="1">
        <v>-3.7999999999999999E-2</v>
      </c>
      <c r="G1774" s="1">
        <f t="shared" si="54"/>
        <v>-1.1000000000000003E-2</v>
      </c>
      <c r="H1774" s="1" t="str">
        <f t="shared" si="55"/>
        <v/>
      </c>
      <c r="I1774" s="1">
        <v>-5.0000000000000001E-3</v>
      </c>
      <c r="J1774" s="1">
        <f>+D1774-F1774+I1774*O1774</f>
        <v>4.3499999999999997E-2</v>
      </c>
      <c r="K1774" s="1">
        <v>-6.0381542891264003E-2</v>
      </c>
      <c r="L1774" s="1">
        <f>+K1774-J1774</f>
        <v>-0.103881542891264</v>
      </c>
      <c r="M1774" s="1">
        <v>-5.6381542891264E-2</v>
      </c>
      <c r="N1774" s="1">
        <f>+M1774-J1774</f>
        <v>-9.9881542891263997E-2</v>
      </c>
      <c r="O1774">
        <v>2.2999999999999998</v>
      </c>
      <c r="P1774" t="s">
        <v>16</v>
      </c>
      <c r="Q1774">
        <v>-0.03</v>
      </c>
      <c r="R1774">
        <v>-1.7688136398791999E-3</v>
      </c>
      <c r="S1774">
        <v>7.6912951190024796E-3</v>
      </c>
      <c r="T1774">
        <v>-0.06</v>
      </c>
    </row>
    <row r="1775" spans="1:20" x14ac:dyDescent="0.3">
      <c r="A1775" t="s">
        <v>128</v>
      </c>
      <c r="B1775">
        <v>2010</v>
      </c>
      <c r="C1775">
        <v>253966.20310000001</v>
      </c>
      <c r="D1775" s="1">
        <v>7.0000000000000001E-3</v>
      </c>
      <c r="E1775" s="1">
        <v>0.92405897378921498</v>
      </c>
      <c r="F1775" s="1">
        <v>-2.3E-2</v>
      </c>
      <c r="G1775" s="1">
        <f t="shared" si="54"/>
        <v>-3.4000000000000002E-2</v>
      </c>
      <c r="H1775" s="1" t="str">
        <f t="shared" si="55"/>
        <v/>
      </c>
      <c r="I1775" s="1">
        <v>3.0000000000000001E-3</v>
      </c>
      <c r="J1775" s="1">
        <f>+D1775-F1775+I1775*O1775</f>
        <v>3.6749999999999998E-2</v>
      </c>
      <c r="K1775" s="1">
        <v>1.4231186360120799E-2</v>
      </c>
      <c r="L1775" s="1">
        <f>+K1775-J1775</f>
        <v>-2.2518813639879197E-2</v>
      </c>
      <c r="M1775" s="1">
        <v>-1.7688136398791999E-3</v>
      </c>
      <c r="N1775" s="1">
        <f>+M1775-J1775</f>
        <v>-3.8518813639879197E-2</v>
      </c>
      <c r="O1775">
        <v>2.25</v>
      </c>
      <c r="P1775" t="s">
        <v>17</v>
      </c>
      <c r="Q1775">
        <v>0.01</v>
      </c>
      <c r="R1775">
        <v>-2.4317555472254698E-2</v>
      </c>
      <c r="S1775">
        <v>-3.03378095850345E-3</v>
      </c>
      <c r="T1775">
        <v>-0.03</v>
      </c>
    </row>
    <row r="1776" spans="1:20" x14ac:dyDescent="0.3">
      <c r="A1776" t="s">
        <v>128</v>
      </c>
      <c r="B1776">
        <v>2011</v>
      </c>
      <c r="C1776">
        <v>257224.0938</v>
      </c>
      <c r="D1776" s="1">
        <v>2.5000000000000001E-2</v>
      </c>
      <c r="E1776" s="1">
        <v>0.91875195503234897</v>
      </c>
      <c r="F1776" s="1">
        <v>0.04</v>
      </c>
      <c r="G1776" s="1">
        <f t="shared" si="54"/>
        <v>5.9999999999999984E-3</v>
      </c>
      <c r="H1776" s="1" t="str">
        <f t="shared" si="55"/>
        <v/>
      </c>
      <c r="I1776" s="1">
        <v>-5.0000000000000001E-3</v>
      </c>
      <c r="J1776" s="1">
        <f>+D1776-F1776+I1776*O1776</f>
        <v>-2.6700000000000002E-2</v>
      </c>
      <c r="K1776" s="1">
        <v>7.6824445277452504E-3</v>
      </c>
      <c r="L1776" s="1">
        <f>+K1776-J1776</f>
        <v>3.4382444527745248E-2</v>
      </c>
      <c r="M1776" s="1">
        <v>-2.4317555472254698E-2</v>
      </c>
      <c r="N1776" s="1">
        <f>+M1776-J1776</f>
        <v>2.3824445277453032E-3</v>
      </c>
      <c r="O1776">
        <v>2.34</v>
      </c>
      <c r="P1776" t="s">
        <v>17</v>
      </c>
      <c r="Q1776">
        <v>0</v>
      </c>
      <c r="R1776">
        <v>-1.27756374925375E-2</v>
      </c>
      <c r="S1776">
        <v>-7.3374314233661002E-3</v>
      </c>
      <c r="T1776">
        <v>0.04</v>
      </c>
    </row>
    <row r="1777" spans="1:20" x14ac:dyDescent="0.3">
      <c r="A1777" t="s">
        <v>128</v>
      </c>
      <c r="B1777">
        <v>2012</v>
      </c>
      <c r="C1777">
        <v>259898.89060000001</v>
      </c>
      <c r="D1777" s="1">
        <v>2.9000000000000001E-2</v>
      </c>
      <c r="E1777" s="1">
        <v>0.92517983913421598</v>
      </c>
      <c r="F1777" s="1">
        <v>-0.03</v>
      </c>
      <c r="G1777" s="1">
        <f t="shared" si="54"/>
        <v>-2.4E-2</v>
      </c>
      <c r="H1777" s="1" t="str">
        <f t="shared" si="55"/>
        <v/>
      </c>
      <c r="I1777" s="1">
        <v>6.0000000000000001E-3</v>
      </c>
      <c r="J1777" s="1">
        <f>+D1777-F1777+I1777*O1777</f>
        <v>7.261999999999999E-2</v>
      </c>
      <c r="K1777" s="1">
        <v>8.2243625074624998E-3</v>
      </c>
      <c r="L1777" s="1">
        <f>+K1777-J1777</f>
        <v>-6.4395637492537489E-2</v>
      </c>
      <c r="M1777" s="1">
        <v>-1.27756374925375E-2</v>
      </c>
      <c r="N1777" s="1">
        <f>+M1777-J1777</f>
        <v>-8.5395637492537493E-2</v>
      </c>
      <c r="O1777">
        <v>2.27</v>
      </c>
      <c r="P1777" t="s">
        <v>17</v>
      </c>
      <c r="Q1777">
        <v>-0.01</v>
      </c>
      <c r="R1777">
        <v>1.46832732856274E-2</v>
      </c>
      <c r="S1777">
        <v>8.5565019398928001E-3</v>
      </c>
      <c r="T1777">
        <v>-0.03</v>
      </c>
    </row>
    <row r="1778" spans="1:20" x14ac:dyDescent="0.3">
      <c r="A1778" t="s">
        <v>128</v>
      </c>
      <c r="B1778">
        <v>2013</v>
      </c>
      <c r="C1778">
        <v>263329.09379999997</v>
      </c>
      <c r="D1778" s="1">
        <v>0</v>
      </c>
      <c r="E1778" s="1">
        <v>0.93834143877029397</v>
      </c>
      <c r="F1778" s="1">
        <v>-7.0000000000000001E-3</v>
      </c>
      <c r="G1778" s="1">
        <f t="shared" si="54"/>
        <v>-3.1E-2</v>
      </c>
      <c r="H1778" s="1" t="str">
        <f t="shared" si="55"/>
        <v/>
      </c>
      <c r="I1778" s="1">
        <v>1.2999999999999999E-2</v>
      </c>
      <c r="J1778" s="1">
        <f>+D1778-F1778+I1778*O1778</f>
        <v>3.6249999999999998E-2</v>
      </c>
      <c r="K1778" s="1">
        <v>2.96832732856274E-2</v>
      </c>
      <c r="L1778" s="1">
        <f>+K1778-J1778</f>
        <v>-6.5667267143725977E-3</v>
      </c>
      <c r="M1778" s="1">
        <v>1.46832732856274E-2</v>
      </c>
      <c r="N1778" s="1">
        <f>+M1778-J1778</f>
        <v>-2.1566726714372597E-2</v>
      </c>
      <c r="O1778">
        <v>2.25</v>
      </c>
      <c r="P1778" t="s">
        <v>17</v>
      </c>
      <c r="Q1778">
        <v>0.01</v>
      </c>
      <c r="R1778">
        <v>5.7075217515230002E-3</v>
      </c>
      <c r="S1778">
        <v>3.69949825108049E-3</v>
      </c>
      <c r="T1778">
        <v>-0.02</v>
      </c>
    </row>
    <row r="1779" spans="1:20" x14ac:dyDescent="0.3">
      <c r="A1779" t="s">
        <v>128</v>
      </c>
      <c r="B1779">
        <v>2014</v>
      </c>
      <c r="C1779">
        <v>266626</v>
      </c>
      <c r="D1779" s="1">
        <v>1.4E-2</v>
      </c>
      <c r="E1779" s="1">
        <v>0.93510097265243497</v>
      </c>
      <c r="F1779" s="1">
        <v>4.8000000000000001E-2</v>
      </c>
      <c r="G1779" s="1">
        <f t="shared" si="54"/>
        <v>1.7000000000000001E-2</v>
      </c>
      <c r="H1779" s="1" t="str">
        <f t="shared" si="55"/>
        <v/>
      </c>
      <c r="I1779" s="1">
        <v>-3.0000000000000001E-3</v>
      </c>
      <c r="J1779" s="1">
        <f>+D1779-F1779+I1779*O1779</f>
        <v>-4.1080000000000005E-2</v>
      </c>
      <c r="K1779" s="1">
        <v>2.1707521751523001E-2</v>
      </c>
      <c r="L1779" s="1">
        <f>+K1779-J1779</f>
        <v>6.2787521751523009E-2</v>
      </c>
      <c r="M1779" s="1">
        <v>5.7075217515230002E-3</v>
      </c>
      <c r="N1779" s="1">
        <f>+M1779-J1779</f>
        <v>4.6787521751523009E-2</v>
      </c>
      <c r="O1779">
        <v>2.36</v>
      </c>
      <c r="P1779" t="s">
        <v>17</v>
      </c>
      <c r="Q1779">
        <v>0</v>
      </c>
      <c r="R1779">
        <v>5.7976642787456498E-2</v>
      </c>
      <c r="S1779">
        <v>2.7713190764188801E-2</v>
      </c>
      <c r="T1779">
        <v>0.04</v>
      </c>
    </row>
    <row r="1780" spans="1:20" x14ac:dyDescent="0.3">
      <c r="A1780" t="s">
        <v>128</v>
      </c>
      <c r="B1780">
        <v>2015</v>
      </c>
      <c r="C1780">
        <v>270519.09379999997</v>
      </c>
      <c r="D1780" s="1">
        <v>1.0999999999999999E-2</v>
      </c>
      <c r="E1780" s="1">
        <v>0.95018768310546897</v>
      </c>
      <c r="F1780" s="1">
        <v>-1.2999999999999999E-2</v>
      </c>
      <c r="G1780" s="1">
        <f t="shared" si="54"/>
        <v>4.0000000000000018E-3</v>
      </c>
      <c r="H1780" s="1" t="str">
        <f t="shared" si="55"/>
        <v/>
      </c>
      <c r="I1780" s="1">
        <v>1.4999999999999999E-2</v>
      </c>
      <c r="J1780" s="1">
        <f>+D1780-F1780+I1780*O1780</f>
        <v>5.8950000000000002E-2</v>
      </c>
      <c r="K1780" s="1">
        <v>5.8976642787456499E-2</v>
      </c>
      <c r="L1780" s="1">
        <f>+K1780-J1780</f>
        <v>2.6642787456496175E-5</v>
      </c>
      <c r="M1780" s="1">
        <v>5.7976642787456498E-2</v>
      </c>
      <c r="N1780" s="1">
        <f>+M1780-J1780</f>
        <v>-9.7335721254350471E-4</v>
      </c>
      <c r="O1780">
        <v>2.33</v>
      </c>
      <c r="P1780" t="s">
        <v>17</v>
      </c>
      <c r="Q1780">
        <v>0.03</v>
      </c>
      <c r="R1780">
        <v>4.1671164602041198E-2</v>
      </c>
      <c r="S1780">
        <v>2.85176075994968E-2</v>
      </c>
      <c r="T1780">
        <v>0</v>
      </c>
    </row>
    <row r="1781" spans="1:20" x14ac:dyDescent="0.3">
      <c r="A1781" t="s">
        <v>128</v>
      </c>
      <c r="B1781">
        <v>2016</v>
      </c>
      <c r="C1781">
        <v>276552.1875</v>
      </c>
      <c r="D1781" s="1">
        <v>4.1000000000000002E-2</v>
      </c>
      <c r="E1781" s="1">
        <v>0.93250465393066395</v>
      </c>
      <c r="F1781" s="1">
        <v>-6.9000000000000006E-2</v>
      </c>
      <c r="G1781" s="1">
        <f t="shared" si="54"/>
        <v>-6.5000000000000002E-2</v>
      </c>
      <c r="H1781" s="1" t="str">
        <f t="shared" si="55"/>
        <v/>
      </c>
      <c r="I1781" s="1">
        <v>-1.7999999999999999E-2</v>
      </c>
      <c r="J1781" s="1">
        <f>+D1781-F1781+I1781*O1781</f>
        <v>7.0940000000000017E-2</v>
      </c>
      <c r="K1781" s="1">
        <v>5.4671164602041203E-2</v>
      </c>
      <c r="L1781" s="1">
        <f>+K1781-J1781</f>
        <v>-1.6268835397958814E-2</v>
      </c>
      <c r="M1781" s="1">
        <v>4.1671164602041198E-2</v>
      </c>
      <c r="N1781" s="1">
        <f>+M1781-J1781</f>
        <v>-2.9268835397958819E-2</v>
      </c>
      <c r="O1781">
        <v>2.17</v>
      </c>
      <c r="P1781" t="s">
        <v>16</v>
      </c>
      <c r="Q1781">
        <v>0.03</v>
      </c>
      <c r="R1781">
        <v>2.5790339052677198E-2</v>
      </c>
      <c r="S1781">
        <v>2.3000765591859901E-2</v>
      </c>
      <c r="T1781">
        <v>-7.0000000000000007E-2</v>
      </c>
    </row>
    <row r="1782" spans="1:20" x14ac:dyDescent="0.3">
      <c r="A1782" t="s">
        <v>128</v>
      </c>
      <c r="B1782">
        <v>2017</v>
      </c>
      <c r="C1782">
        <v>282887.78129999997</v>
      </c>
      <c r="D1782" s="1">
        <v>4.3999999999999997E-2</v>
      </c>
      <c r="E1782" s="1">
        <v>0.943217992782593</v>
      </c>
      <c r="F1782" s="1">
        <v>0.13300000000000001</v>
      </c>
      <c r="G1782" s="1">
        <f t="shared" si="54"/>
        <v>6.8000000000000005E-2</v>
      </c>
      <c r="H1782" s="1" t="str">
        <f t="shared" si="55"/>
        <v/>
      </c>
      <c r="I1782" s="1">
        <v>1.0999999999999999E-2</v>
      </c>
      <c r="J1782" s="1">
        <f>+D1782-F1782+I1782*O1782</f>
        <v>-6.1940000000000009E-2</v>
      </c>
      <c r="K1782" s="1">
        <v>4.6790339052677203E-2</v>
      </c>
      <c r="L1782" s="1">
        <f>+K1782-J1782</f>
        <v>0.10873033905267721</v>
      </c>
      <c r="M1782" s="1">
        <v>2.5790339052677198E-2</v>
      </c>
      <c r="N1782" s="1">
        <f>+M1782-J1782</f>
        <v>8.7730339052677214E-2</v>
      </c>
      <c r="O1782">
        <v>2.46</v>
      </c>
      <c r="P1782" t="s">
        <v>15</v>
      </c>
      <c r="Q1782">
        <v>0.02</v>
      </c>
      <c r="R1782">
        <v>2.13969426453113E-2</v>
      </c>
      <c r="S1782">
        <v>1.22619196772576E-2</v>
      </c>
      <c r="T1782">
        <v>0.14000000000000001</v>
      </c>
    </row>
    <row r="1783" spans="1:20" x14ac:dyDescent="0.3">
      <c r="A1783" t="s">
        <v>128</v>
      </c>
      <c r="B1783">
        <v>2018</v>
      </c>
      <c r="C1783">
        <v>288109.71879999997</v>
      </c>
      <c r="D1783" s="1">
        <v>8.0000000000000002E-3</v>
      </c>
      <c r="E1783" s="1">
        <v>0.95416021347045898</v>
      </c>
      <c r="F1783" s="1">
        <v>-8.9999999999999993E-3</v>
      </c>
      <c r="G1783" s="1">
        <f t="shared" si="54"/>
        <v>5.9000000000000004E-2</v>
      </c>
      <c r="H1783" s="1" t="str">
        <f t="shared" si="55"/>
        <v/>
      </c>
      <c r="I1783" s="1">
        <v>1.0999999999999999E-2</v>
      </c>
      <c r="J1783" s="1">
        <f>+D1783-F1783+I1783*O1783</f>
        <v>4.3730000000000005E-2</v>
      </c>
      <c r="K1783" s="1">
        <v>4.5396942645311397E-2</v>
      </c>
      <c r="L1783" s="1">
        <f>+K1783-J1783</f>
        <v>1.6669426453113922E-3</v>
      </c>
      <c r="M1783" s="1">
        <v>2.13969426453113E-2</v>
      </c>
      <c r="N1783" s="1">
        <f>+M1783-J1783</f>
        <v>-2.2333057354688705E-2</v>
      </c>
      <c r="O1783">
        <v>2.4300000000000002</v>
      </c>
      <c r="P1783" t="s">
        <v>17</v>
      </c>
      <c r="Q1783">
        <v>0.01</v>
      </c>
      <c r="R1783">
        <v>2.73681573271751E-2</v>
      </c>
      <c r="S1783">
        <v>9.5669627189635901E-3</v>
      </c>
      <c r="T1783">
        <v>0</v>
      </c>
    </row>
    <row r="1784" spans="1:20" x14ac:dyDescent="0.3">
      <c r="A1784" t="s">
        <v>128</v>
      </c>
      <c r="B1784">
        <v>2019</v>
      </c>
      <c r="C1784">
        <v>292440.78129999997</v>
      </c>
      <c r="D1784" s="1">
        <v>5.6000000000000001E-2</v>
      </c>
      <c r="E1784" s="1">
        <v>0.94228059053420998</v>
      </c>
      <c r="F1784" s="1">
        <v>-7.8E-2</v>
      </c>
      <c r="G1784" s="1">
        <f t="shared" si="54"/>
        <v>-1.8999999999999996E-2</v>
      </c>
      <c r="H1784" s="1" t="str">
        <f t="shared" si="55"/>
        <v/>
      </c>
      <c r="I1784" s="1">
        <v>-1.2E-2</v>
      </c>
      <c r="J1784" s="1">
        <f>+D1784-F1784+I1784*O1784</f>
        <v>0.10712000000000001</v>
      </c>
      <c r="K1784" s="1">
        <v>4.5368157327175099E-2</v>
      </c>
      <c r="L1784" s="1">
        <f>+K1784-J1784</f>
        <v>-6.1751842672824908E-2</v>
      </c>
      <c r="M1784" s="1">
        <v>2.73681573271751E-2</v>
      </c>
      <c r="N1784" s="1">
        <f>+M1784-J1784</f>
        <v>-7.975184267282491E-2</v>
      </c>
      <c r="O1784">
        <v>2.2400000000000002</v>
      </c>
      <c r="P1784" t="s">
        <v>16</v>
      </c>
      <c r="Q1784">
        <v>0.01</v>
      </c>
      <c r="R1784">
        <v>3.9960591226816097E-2</v>
      </c>
      <c r="S1784">
        <v>2.1111400797963101E-2</v>
      </c>
      <c r="T1784">
        <v>-7.0000000000000007E-2</v>
      </c>
    </row>
    <row r="1785" spans="1:20" x14ac:dyDescent="0.3">
      <c r="A1785" t="s">
        <v>128</v>
      </c>
      <c r="B1785">
        <v>2020</v>
      </c>
      <c r="C1785">
        <v>296564.40629999997</v>
      </c>
      <c r="D1785" s="1">
        <v>3.9E-2</v>
      </c>
      <c r="E1785" s="1">
        <v>0.93817186355590798</v>
      </c>
      <c r="F1785" s="1">
        <v>-2.7E-2</v>
      </c>
      <c r="G1785" s="1">
        <f t="shared" si="54"/>
        <v>-4.5999999999999999E-2</v>
      </c>
      <c r="H1785" s="1" t="str">
        <f t="shared" si="55"/>
        <v/>
      </c>
      <c r="I1785" s="1">
        <v>-4.0000000000000001E-3</v>
      </c>
      <c r="J1785" s="1">
        <f>+D1785-F1785+I1785*O1785</f>
        <v>5.7280000000000005E-2</v>
      </c>
      <c r="K1785" s="1">
        <v>5.1960591226816198E-2</v>
      </c>
      <c r="L1785" s="1">
        <f>+K1785-J1785</f>
        <v>-5.3194087731838063E-3</v>
      </c>
      <c r="M1785" s="1">
        <v>3.9960591226816097E-2</v>
      </c>
      <c r="N1785" s="1">
        <f>+M1785-J1785</f>
        <v>-1.7319408773183907E-2</v>
      </c>
      <c r="O1785">
        <v>2.1800000000000002</v>
      </c>
      <c r="P1785" t="s">
        <v>16</v>
      </c>
      <c r="Q1785">
        <v>0.02</v>
      </c>
      <c r="R1785">
        <v>2.4638613939285299E-2</v>
      </c>
      <c r="S1785">
        <v>-1.89509987831116E-2</v>
      </c>
      <c r="T1785">
        <v>0.01</v>
      </c>
    </row>
    <row r="1786" spans="1:20" x14ac:dyDescent="0.3">
      <c r="A1786" t="s">
        <v>128</v>
      </c>
      <c r="B1786">
        <v>2021</v>
      </c>
      <c r="C1786">
        <v>298275.78129999997</v>
      </c>
      <c r="D1786" s="1">
        <v>5.5E-2</v>
      </c>
      <c r="E1786" s="1">
        <v>0.96019852161407504</v>
      </c>
      <c r="F1786" s="1">
        <v>4.2999999999999997E-2</v>
      </c>
      <c r="G1786" s="1">
        <f t="shared" si="54"/>
        <v>-3.0000000000000027E-3</v>
      </c>
      <c r="H1786" s="1" t="str">
        <f t="shared" si="55"/>
        <v/>
      </c>
      <c r="I1786" s="1">
        <v>2.1999999999999999E-2</v>
      </c>
      <c r="J1786" s="1">
        <f>+D1786-F1786+I1786*O1786</f>
        <v>6.216E-2</v>
      </c>
      <c r="K1786" s="1">
        <v>7.1638613939285306E-2</v>
      </c>
      <c r="L1786" s="1">
        <f>+K1786-J1786</f>
        <v>9.4786139392853061E-3</v>
      </c>
      <c r="M1786" s="1">
        <v>2.4638613939285299E-2</v>
      </c>
      <c r="N1786" s="1">
        <f>+M1786-J1786</f>
        <v>-3.7521386060714701E-2</v>
      </c>
      <c r="O1786">
        <v>2.2799999999999998</v>
      </c>
      <c r="P1786" t="s">
        <v>15</v>
      </c>
      <c r="Q1786">
        <v>-0.02</v>
      </c>
      <c r="R1786">
        <v>-5.7652145549654997E-2</v>
      </c>
      <c r="S1786">
        <v>-2.5548638775944699E-2</v>
      </c>
      <c r="T1786">
        <v>0.01</v>
      </c>
    </row>
    <row r="1787" spans="1:20" x14ac:dyDescent="0.3">
      <c r="A1787" t="s">
        <v>128</v>
      </c>
      <c r="B1787">
        <v>2022</v>
      </c>
      <c r="C1787">
        <v>298809.375</v>
      </c>
      <c r="D1787" s="1">
        <v>4.4999999999999998E-2</v>
      </c>
      <c r="E1787" s="1">
        <v>0.92798042297363303</v>
      </c>
      <c r="F1787" s="1">
        <v>-9.4E-2</v>
      </c>
      <c r="G1787" s="1">
        <f t="shared" si="54"/>
        <v>-9.7000000000000003E-2</v>
      </c>
      <c r="H1787" s="1" t="str">
        <f t="shared" si="55"/>
        <v/>
      </c>
      <c r="I1787" s="1">
        <v>-3.2000000000000001E-2</v>
      </c>
      <c r="J1787" s="1">
        <f>+D1787-F1787+I1787*O1787</f>
        <v>7.3080000000000006E-2</v>
      </c>
      <c r="K1787" s="1">
        <v>2.2347854450345001E-2</v>
      </c>
      <c r="L1787" s="1">
        <f>+K1787-J1787</f>
        <v>-5.0732145549655008E-2</v>
      </c>
      <c r="M1787" s="1">
        <v>-5.7652145549654997E-2</v>
      </c>
      <c r="N1787" s="1">
        <f>+M1787-J1787</f>
        <v>-0.13073214554965501</v>
      </c>
      <c r="O1787">
        <v>2.06</v>
      </c>
      <c r="P1787" t="s">
        <v>16</v>
      </c>
      <c r="Q1787">
        <v>-0.03</v>
      </c>
      <c r="R1787">
        <v>-1.8052804082632101E-2</v>
      </c>
      <c r="S1787">
        <v>1.5061236917972001E-3</v>
      </c>
      <c r="T1787">
        <v>-0.08</v>
      </c>
    </row>
    <row r="1788" spans="1:20" x14ac:dyDescent="0.3">
      <c r="A1788" t="s">
        <v>129</v>
      </c>
      <c r="B1788">
        <v>2006</v>
      </c>
      <c r="C1788">
        <v>827312.6875</v>
      </c>
      <c r="D1788" s="1">
        <v>1.6E-2</v>
      </c>
      <c r="E1788" s="1">
        <v>0.93172806501388505</v>
      </c>
      <c r="F1788" s="1">
        <v>3.4000000000000002E-2</v>
      </c>
      <c r="G1788" s="1">
        <f t="shared" si="54"/>
        <v>3.4000000000000002E-2</v>
      </c>
      <c r="H1788" s="1" t="str">
        <f t="shared" si="55"/>
        <v/>
      </c>
      <c r="I1788" s="1">
        <v>5.0000000000000001E-3</v>
      </c>
      <c r="J1788" s="1">
        <f>+D1788-F1788+I1788*O1788</f>
        <v>-7.1000000000000004E-3</v>
      </c>
      <c r="K1788" s="1">
        <v>1.9218547269701999E-2</v>
      </c>
      <c r="L1788" s="1">
        <f>+K1788-J1788</f>
        <v>2.6318547269702001E-2</v>
      </c>
      <c r="M1788" s="1">
        <v>-1.2781452730298E-2</v>
      </c>
      <c r="N1788" s="1">
        <f>+M1788-J1788</f>
        <v>-5.6814527302979992E-3</v>
      </c>
      <c r="O1788">
        <v>2.1800000000000002</v>
      </c>
      <c r="P1788" t="s">
        <v>15</v>
      </c>
      <c r="Q1788">
        <v>-0.02</v>
      </c>
      <c r="R1788">
        <v>-5.2058462947607003E-3</v>
      </c>
      <c r="S1788">
        <v>-4.2840903624892001E-3</v>
      </c>
      <c r="T1788">
        <v>0.03</v>
      </c>
    </row>
    <row r="1789" spans="1:20" x14ac:dyDescent="0.3">
      <c r="A1789" t="s">
        <v>129</v>
      </c>
      <c r="B1789">
        <v>2007</v>
      </c>
      <c r="C1789">
        <v>837189.6875</v>
      </c>
      <c r="D1789" s="1">
        <v>0</v>
      </c>
      <c r="E1789" s="1">
        <v>0.93511825799942005</v>
      </c>
      <c r="F1789" s="1">
        <v>2.8000000000000001E-2</v>
      </c>
      <c r="G1789" s="1">
        <f t="shared" si="54"/>
        <v>6.2E-2</v>
      </c>
      <c r="H1789" s="1" t="str">
        <f t="shared" si="55"/>
        <v/>
      </c>
      <c r="I1789" s="1">
        <v>3.0000000000000001E-3</v>
      </c>
      <c r="J1789" s="1">
        <f>+D1789-F1789+I1789*O1789</f>
        <v>-2.128E-2</v>
      </c>
      <c r="K1789" s="1">
        <v>2.3794153705239299E-2</v>
      </c>
      <c r="L1789" s="1">
        <f>+K1789-J1789</f>
        <v>4.5074153705239303E-2</v>
      </c>
      <c r="M1789" s="1">
        <v>-5.2058462947607003E-3</v>
      </c>
      <c r="N1789" s="1">
        <f>+M1789-J1789</f>
        <v>1.6074153705239298E-2</v>
      </c>
      <c r="O1789">
        <v>2.2400000000000002</v>
      </c>
      <c r="P1789" t="s">
        <v>15</v>
      </c>
      <c r="Q1789">
        <v>0</v>
      </c>
      <c r="R1789">
        <v>-2.42761264666915E-2</v>
      </c>
      <c r="S1789">
        <v>5.2346778102219001E-3</v>
      </c>
      <c r="T1789">
        <v>0.03</v>
      </c>
    </row>
    <row r="1790" spans="1:20" x14ac:dyDescent="0.3">
      <c r="A1790" t="s">
        <v>129</v>
      </c>
      <c r="B1790">
        <v>2008</v>
      </c>
      <c r="C1790">
        <v>847933.5</v>
      </c>
      <c r="D1790" s="1">
        <v>6.0000000000000001E-3</v>
      </c>
      <c r="E1790" s="1">
        <v>0.93229484558105502</v>
      </c>
      <c r="F1790" s="1">
        <v>-7.2999999999999995E-2</v>
      </c>
      <c r="G1790" s="1">
        <f t="shared" si="54"/>
        <v>-1.0999999999999996E-2</v>
      </c>
      <c r="H1790" s="1" t="str">
        <f t="shared" si="55"/>
        <v/>
      </c>
      <c r="I1790" s="1">
        <v>-3.0000000000000001E-3</v>
      </c>
      <c r="J1790" s="1">
        <f>+D1790-F1790+I1790*O1790</f>
        <v>7.2790000000000007E-2</v>
      </c>
      <c r="K1790" s="1">
        <v>1.3723873533308501E-2</v>
      </c>
      <c r="L1790" s="1">
        <f>+K1790-J1790</f>
        <v>-5.9066126466691508E-2</v>
      </c>
      <c r="M1790" s="1">
        <v>-2.42761264666915E-2</v>
      </c>
      <c r="N1790" s="1">
        <f>+M1790-J1790</f>
        <v>-9.7066126466691507E-2</v>
      </c>
      <c r="O1790">
        <v>2.0699999999999998</v>
      </c>
      <c r="P1790" t="s">
        <v>16</v>
      </c>
      <c r="Q1790">
        <v>0.01</v>
      </c>
      <c r="R1790">
        <v>-2.08026810586452E-2</v>
      </c>
      <c r="S1790">
        <v>5.76402060687545E-3</v>
      </c>
      <c r="T1790">
        <v>-0.08</v>
      </c>
    </row>
    <row r="1791" spans="1:20" x14ac:dyDescent="0.3">
      <c r="A1791" t="s">
        <v>129</v>
      </c>
      <c r="B1791">
        <v>2009</v>
      </c>
      <c r="C1791">
        <v>859247.9375</v>
      </c>
      <c r="D1791" s="1">
        <v>1.4E-2</v>
      </c>
      <c r="E1791" s="1">
        <v>0.92291456460952803</v>
      </c>
      <c r="F1791" s="1">
        <v>0.03</v>
      </c>
      <c r="G1791" s="1">
        <f t="shared" si="54"/>
        <v>1.9000000000000003E-2</v>
      </c>
      <c r="H1791" s="1" t="str">
        <f t="shared" si="55"/>
        <v/>
      </c>
      <c r="I1791" s="1">
        <v>-8.9999999999999993E-3</v>
      </c>
      <c r="J1791" s="1">
        <f>+D1791-F1791+I1791*O1791</f>
        <v>-3.5169999999999993E-2</v>
      </c>
      <c r="K1791" s="1">
        <v>-2.48026810586452E-2</v>
      </c>
      <c r="L1791" s="1">
        <f>+K1791-J1791</f>
        <v>1.0367318941354793E-2</v>
      </c>
      <c r="M1791" s="1">
        <v>-2.08026810586452E-2</v>
      </c>
      <c r="N1791" s="1">
        <f>+M1791-J1791</f>
        <v>1.4367318941354793E-2</v>
      </c>
      <c r="O1791">
        <v>2.13</v>
      </c>
      <c r="P1791" t="s">
        <v>17</v>
      </c>
      <c r="Q1791">
        <v>0.01</v>
      </c>
      <c r="R1791">
        <v>-1.45878883162513E-2</v>
      </c>
      <c r="S1791">
        <v>-5.1277795573696503E-3</v>
      </c>
      <c r="T1791">
        <v>0.01</v>
      </c>
    </row>
    <row r="1792" spans="1:20" x14ac:dyDescent="0.3">
      <c r="A1792" t="s">
        <v>129</v>
      </c>
      <c r="B1792">
        <v>2010</v>
      </c>
      <c r="C1792">
        <v>870584.625</v>
      </c>
      <c r="D1792" s="1">
        <v>1.4999999999999999E-2</v>
      </c>
      <c r="E1792" s="1">
        <v>0.92848259210586503</v>
      </c>
      <c r="F1792" s="1">
        <v>8.9999999999999993E-3</v>
      </c>
      <c r="G1792" s="1">
        <f t="shared" si="54"/>
        <v>2.8000000000000004E-2</v>
      </c>
      <c r="H1792" s="1" t="str">
        <f t="shared" si="55"/>
        <v/>
      </c>
      <c r="I1792" s="1">
        <v>6.0000000000000001E-3</v>
      </c>
      <c r="J1792" s="1">
        <f>+D1792-F1792+I1792*O1792</f>
        <v>1.8960000000000001E-2</v>
      </c>
      <c r="K1792" s="1">
        <v>1.4121116837486601E-3</v>
      </c>
      <c r="L1792" s="1">
        <f>+K1792-J1792</f>
        <v>-1.7547888316251342E-2</v>
      </c>
      <c r="M1792" s="1">
        <v>-1.45878883162513E-2</v>
      </c>
      <c r="N1792" s="1">
        <f>+M1792-J1792</f>
        <v>-3.3547888316251301E-2</v>
      </c>
      <c r="O1792">
        <v>2.16</v>
      </c>
      <c r="P1792" t="s">
        <v>15</v>
      </c>
      <c r="Q1792">
        <v>-0.01</v>
      </c>
      <c r="R1792">
        <v>-2.2918450988829098E-2</v>
      </c>
      <c r="S1792">
        <v>-1.63467647507783E-3</v>
      </c>
      <c r="T1792">
        <v>0</v>
      </c>
    </row>
    <row r="1793" spans="1:20" x14ac:dyDescent="0.3">
      <c r="A1793" t="s">
        <v>129</v>
      </c>
      <c r="B1793">
        <v>2011</v>
      </c>
      <c r="C1793">
        <v>880434.5625</v>
      </c>
      <c r="D1793" s="1">
        <v>8.0000000000000002E-3</v>
      </c>
      <c r="E1793" s="1">
        <v>0.93287485837936401</v>
      </c>
      <c r="F1793" s="1">
        <v>-2.9000000000000001E-2</v>
      </c>
      <c r="G1793" s="1">
        <f t="shared" si="54"/>
        <v>-9.9999999999999742E-4</v>
      </c>
      <c r="H1793" s="1" t="str">
        <f t="shared" si="55"/>
        <v/>
      </c>
      <c r="I1793" s="1">
        <v>4.0000000000000001E-3</v>
      </c>
      <c r="J1793" s="1">
        <f>+D1793-F1793+I1793*O1793</f>
        <v>4.5360000000000004E-2</v>
      </c>
      <c r="K1793" s="1">
        <v>9.0815490111708606E-3</v>
      </c>
      <c r="L1793" s="1">
        <f>+K1793-J1793</f>
        <v>-3.6278450988829147E-2</v>
      </c>
      <c r="M1793" s="1">
        <v>-2.2918450988829098E-2</v>
      </c>
      <c r="N1793" s="1">
        <f>+M1793-J1793</f>
        <v>-6.8278450988829106E-2</v>
      </c>
      <c r="O1793">
        <v>2.09</v>
      </c>
      <c r="P1793" t="s">
        <v>17</v>
      </c>
      <c r="Q1793">
        <v>0</v>
      </c>
      <c r="R1793">
        <v>-1.07476434707642E-2</v>
      </c>
      <c r="S1793">
        <v>-5.3094374015928E-3</v>
      </c>
      <c r="T1793">
        <v>-0.03</v>
      </c>
    </row>
    <row r="1794" spans="1:20" x14ac:dyDescent="0.3">
      <c r="A1794" t="s">
        <v>129</v>
      </c>
      <c r="B1794">
        <v>2012</v>
      </c>
      <c r="C1794">
        <v>890810.1875</v>
      </c>
      <c r="D1794" s="1">
        <v>0.01</v>
      </c>
      <c r="E1794" s="1">
        <v>0.93624281883239702</v>
      </c>
      <c r="F1794" s="1">
        <v>8.8999999999999996E-2</v>
      </c>
      <c r="G1794" s="1">
        <f t="shared" si="54"/>
        <v>8.7999999999999995E-2</v>
      </c>
      <c r="H1794" s="1" t="str">
        <f t="shared" si="55"/>
        <v/>
      </c>
      <c r="I1794" s="1">
        <v>3.0000000000000001E-3</v>
      </c>
      <c r="J1794" s="1">
        <f>+D1794-F1794+I1794*O1794</f>
        <v>-7.2160000000000002E-2</v>
      </c>
      <c r="K1794" s="1">
        <v>1.02523565292358E-2</v>
      </c>
      <c r="L1794" s="1">
        <f>+K1794-J1794</f>
        <v>8.24123565292358E-2</v>
      </c>
      <c r="M1794" s="1">
        <v>-1.07476434707642E-2</v>
      </c>
      <c r="N1794" s="1">
        <f>+M1794-J1794</f>
        <v>6.1412356529235802E-2</v>
      </c>
      <c r="O1794">
        <v>2.2799999999999998</v>
      </c>
      <c r="P1794" t="s">
        <v>15</v>
      </c>
      <c r="Q1794">
        <v>-0.01</v>
      </c>
      <c r="R1794">
        <v>1.91679656505579E-3</v>
      </c>
      <c r="S1794">
        <v>-4.2099747806788003E-3</v>
      </c>
      <c r="T1794">
        <v>0.09</v>
      </c>
    </row>
    <row r="1795" spans="1:20" x14ac:dyDescent="0.3">
      <c r="A1795" t="s">
        <v>129</v>
      </c>
      <c r="B1795">
        <v>2013</v>
      </c>
      <c r="C1795">
        <v>901559.0625</v>
      </c>
      <c r="D1795" s="1">
        <v>1.2E-2</v>
      </c>
      <c r="E1795" s="1">
        <v>0.93468976020812999</v>
      </c>
      <c r="F1795" s="1">
        <v>-3.6999999999999998E-2</v>
      </c>
      <c r="G1795" s="1">
        <f t="shared" si="54"/>
        <v>5.0999999999999997E-2</v>
      </c>
      <c r="H1795" s="1" t="str">
        <f t="shared" si="55"/>
        <v/>
      </c>
      <c r="I1795" s="1">
        <v>-2E-3</v>
      </c>
      <c r="J1795" s="1">
        <f>+D1795-F1795+I1795*O1795</f>
        <v>4.462E-2</v>
      </c>
      <c r="K1795" s="1">
        <v>1.6916796565055799E-2</v>
      </c>
      <c r="L1795" s="1">
        <f>+K1795-J1795</f>
        <v>-2.7703203434944201E-2</v>
      </c>
      <c r="M1795" s="1">
        <v>1.91679656505579E-3</v>
      </c>
      <c r="N1795" s="1">
        <f>+M1795-J1795</f>
        <v>-4.2703203434944208E-2</v>
      </c>
      <c r="O1795">
        <v>2.19</v>
      </c>
      <c r="P1795" t="s">
        <v>16</v>
      </c>
      <c r="Q1795">
        <v>0</v>
      </c>
      <c r="R1795">
        <v>-5.1222780570388E-3</v>
      </c>
      <c r="S1795">
        <v>-7.1303015574813002E-3</v>
      </c>
      <c r="T1795">
        <v>-0.05</v>
      </c>
    </row>
    <row r="1796" spans="1:20" x14ac:dyDescent="0.3">
      <c r="A1796" t="s">
        <v>129</v>
      </c>
      <c r="B1796">
        <v>2014</v>
      </c>
      <c r="C1796">
        <v>912716.9375</v>
      </c>
      <c r="D1796" s="1">
        <v>1.4E-2</v>
      </c>
      <c r="E1796" s="1">
        <v>0.93508416414260898</v>
      </c>
      <c r="F1796" s="1">
        <v>-6.0000000000000001E-3</v>
      </c>
      <c r="G1796" s="1">
        <f t="shared" si="54"/>
        <v>4.4999999999999998E-2</v>
      </c>
      <c r="H1796" s="1" t="str">
        <f t="shared" si="55"/>
        <v/>
      </c>
      <c r="I1796" s="1">
        <v>0</v>
      </c>
      <c r="J1796" s="1">
        <f>+D1796-F1796+I1796*O1796</f>
        <v>0.02</v>
      </c>
      <c r="K1796" s="1">
        <v>1.08777219429612E-2</v>
      </c>
      <c r="L1796" s="1">
        <f>+K1796-J1796</f>
        <v>-9.1222780570388001E-3</v>
      </c>
      <c r="M1796" s="1">
        <v>-5.1222780570388E-3</v>
      </c>
      <c r="N1796" s="1">
        <f>+M1796-J1796</f>
        <v>-2.5122278057038802E-2</v>
      </c>
      <c r="O1796">
        <v>2.1800000000000002</v>
      </c>
      <c r="P1796" t="s">
        <v>17</v>
      </c>
      <c r="Q1796">
        <v>-0.01</v>
      </c>
      <c r="R1796">
        <v>3.3486375749111202E-2</v>
      </c>
      <c r="S1796">
        <v>3.2229237258434998E-3</v>
      </c>
      <c r="T1796">
        <v>-0.01</v>
      </c>
    </row>
    <row r="1797" spans="1:20" x14ac:dyDescent="0.3">
      <c r="A1797" t="s">
        <v>129</v>
      </c>
      <c r="B1797">
        <v>2015</v>
      </c>
      <c r="C1797">
        <v>924055.9375</v>
      </c>
      <c r="D1797" s="1">
        <v>8.9999999999999993E-3</v>
      </c>
      <c r="E1797" s="1">
        <v>0.94148296117782604</v>
      </c>
      <c r="F1797" s="1">
        <v>2.1999999999999999E-2</v>
      </c>
      <c r="G1797" s="1">
        <f t="shared" si="54"/>
        <v>6.7000000000000004E-2</v>
      </c>
      <c r="H1797" s="1" t="str">
        <f t="shared" si="55"/>
        <v/>
      </c>
      <c r="I1797" s="1">
        <v>6.0000000000000001E-3</v>
      </c>
      <c r="J1797" s="1">
        <f>+D1797-F1797+I1797*O1797</f>
        <v>3.8000000000000013E-4</v>
      </c>
      <c r="K1797" s="1">
        <v>3.4486375749111203E-2</v>
      </c>
      <c r="L1797" s="1">
        <f>+K1797-J1797</f>
        <v>3.4106375749111205E-2</v>
      </c>
      <c r="M1797" s="1">
        <v>3.3486375749111202E-2</v>
      </c>
      <c r="N1797" s="1">
        <f>+M1797-J1797</f>
        <v>3.3106375749111204E-2</v>
      </c>
      <c r="O1797">
        <v>2.23</v>
      </c>
      <c r="P1797" t="s">
        <v>15</v>
      </c>
      <c r="Q1797">
        <v>0</v>
      </c>
      <c r="R1797">
        <v>6.3832330405711899E-3</v>
      </c>
      <c r="S1797">
        <v>-6.7703239619731998E-3</v>
      </c>
      <c r="T1797">
        <v>0.03</v>
      </c>
    </row>
    <row r="1798" spans="1:20" x14ac:dyDescent="0.3">
      <c r="A1798" t="s">
        <v>129</v>
      </c>
      <c r="B1798">
        <v>2016</v>
      </c>
      <c r="C1798">
        <v>935453</v>
      </c>
      <c r="D1798" s="1">
        <v>2.9000000000000001E-2</v>
      </c>
      <c r="E1798" s="1">
        <v>0.93873590230941795</v>
      </c>
      <c r="F1798" s="1">
        <v>4.0000000000000001E-3</v>
      </c>
      <c r="G1798" s="1">
        <f t="shared" si="54"/>
        <v>7.1000000000000008E-2</v>
      </c>
      <c r="H1798" s="1" t="str">
        <f t="shared" si="55"/>
        <v/>
      </c>
      <c r="I1798" s="1">
        <v>-3.0000000000000001E-3</v>
      </c>
      <c r="J1798" s="1">
        <f>+D1798-F1798+I1798*O1798</f>
        <v>1.8280000000000001E-2</v>
      </c>
      <c r="K1798" s="1">
        <v>1.9383233040571199E-2</v>
      </c>
      <c r="L1798" s="1">
        <f>+K1798-J1798</f>
        <v>1.1032330405711978E-3</v>
      </c>
      <c r="M1798" s="1">
        <v>6.3832330405711899E-3</v>
      </c>
      <c r="N1798" s="1">
        <f>+M1798-J1798</f>
        <v>-1.189676695942881E-2</v>
      </c>
      <c r="O1798">
        <v>2.2400000000000002</v>
      </c>
      <c r="P1798" t="s">
        <v>17</v>
      </c>
      <c r="Q1798">
        <v>-0.01</v>
      </c>
      <c r="R1798">
        <v>-4.0032419413328002E-3</v>
      </c>
      <c r="S1798">
        <v>-6.7928154021500899E-3</v>
      </c>
      <c r="T1798">
        <v>0</v>
      </c>
    </row>
    <row r="1799" spans="1:20" x14ac:dyDescent="0.3">
      <c r="A1799" t="s">
        <v>129</v>
      </c>
      <c r="B1799">
        <v>2017</v>
      </c>
      <c r="C1799">
        <v>945558</v>
      </c>
      <c r="D1799" s="1">
        <v>3.6999999999999998E-2</v>
      </c>
      <c r="E1799" s="1">
        <v>0.93107587099075295</v>
      </c>
      <c r="F1799" s="1">
        <v>7.0000000000000001E-3</v>
      </c>
      <c r="G1799" s="1">
        <f t="shared" ref="G1799:G1862" si="56">SUMIFS(F:F,A:A,A1799,B:B,"&lt;="&amp;B1799)</f>
        <v>7.8000000000000014E-2</v>
      </c>
      <c r="H1799" s="1" t="str">
        <f t="shared" ref="H1799:H1862" si="57">IFERROR(IF(ABS(G1799)&gt;0.12,AVERAGEIFS(K:K,A:A,A1799,B:B,"&gt;"&amp;B1799,B:B,"&lt;"&amp;B1799+3),""),"")</f>
        <v/>
      </c>
      <c r="I1799" s="1">
        <v>-8.0000000000000002E-3</v>
      </c>
      <c r="J1799" s="1">
        <f>+D1799-F1799+I1799*O1799</f>
        <v>1.1999999999999997E-2</v>
      </c>
      <c r="K1799" s="1">
        <v>1.69967580586672E-2</v>
      </c>
      <c r="L1799" s="1">
        <f>+K1799-J1799</f>
        <v>4.9967580586672035E-3</v>
      </c>
      <c r="M1799" s="1">
        <v>-4.0032419413328002E-3</v>
      </c>
      <c r="N1799" s="1">
        <f>+M1799-J1799</f>
        <v>-1.6003241941332798E-2</v>
      </c>
      <c r="O1799">
        <v>2.25</v>
      </c>
      <c r="P1799" t="s">
        <v>17</v>
      </c>
      <c r="Q1799">
        <v>-0.01</v>
      </c>
      <c r="R1799">
        <v>4.7925805896520896E-3</v>
      </c>
      <c r="S1799">
        <v>-4.3424423784016904E-3</v>
      </c>
      <c r="T1799">
        <v>0.01</v>
      </c>
    </row>
    <row r="1800" spans="1:20" x14ac:dyDescent="0.3">
      <c r="A1800" t="s">
        <v>129</v>
      </c>
      <c r="B1800">
        <v>2018</v>
      </c>
      <c r="C1800">
        <v>955356.8125</v>
      </c>
      <c r="D1800" s="1">
        <v>2.9000000000000001E-2</v>
      </c>
      <c r="E1800" s="1">
        <v>0.93799120187759399</v>
      </c>
      <c r="F1800" s="1">
        <v>-2.4E-2</v>
      </c>
      <c r="G1800" s="1">
        <f t="shared" si="56"/>
        <v>5.4000000000000013E-2</v>
      </c>
      <c r="H1800" s="1" t="str">
        <f t="shared" si="57"/>
        <v/>
      </c>
      <c r="I1800" s="1">
        <v>7.0000000000000001E-3</v>
      </c>
      <c r="J1800" s="1">
        <f>+D1800-F1800+I1800*O1800</f>
        <v>6.8400000000000002E-2</v>
      </c>
      <c r="K1800" s="1">
        <v>2.87925805896521E-2</v>
      </c>
      <c r="L1800" s="1">
        <f>+K1800-J1800</f>
        <v>-3.9607419410347899E-2</v>
      </c>
      <c r="M1800" s="1">
        <v>4.7925805896520896E-3</v>
      </c>
      <c r="N1800" s="1">
        <f>+M1800-J1800</f>
        <v>-6.3607419410347907E-2</v>
      </c>
      <c r="O1800">
        <v>2.2000000000000002</v>
      </c>
      <c r="P1800" t="s">
        <v>17</v>
      </c>
      <c r="Q1800">
        <v>0</v>
      </c>
      <c r="R1800">
        <v>1.5120181411504599E-2</v>
      </c>
      <c r="S1800">
        <v>-2.6810131967068E-3</v>
      </c>
      <c r="T1800">
        <v>-0.01</v>
      </c>
    </row>
    <row r="1801" spans="1:20" x14ac:dyDescent="0.3">
      <c r="A1801" t="s">
        <v>129</v>
      </c>
      <c r="B1801">
        <v>2019</v>
      </c>
      <c r="C1801">
        <v>963872.3125</v>
      </c>
      <c r="D1801" s="1">
        <v>3.1E-2</v>
      </c>
      <c r="E1801" s="1">
        <v>0.93621623516082797</v>
      </c>
      <c r="F1801" s="1">
        <v>2E-3</v>
      </c>
      <c r="G1801" s="1">
        <f t="shared" si="56"/>
        <v>5.6000000000000015E-2</v>
      </c>
      <c r="H1801" s="1" t="str">
        <f t="shared" si="57"/>
        <v/>
      </c>
      <c r="I1801" s="1">
        <v>-2E-3</v>
      </c>
      <c r="J1801" s="1">
        <f>+D1801-F1801+I1801*O1801</f>
        <v>2.4599999999999997E-2</v>
      </c>
      <c r="K1801" s="1">
        <v>3.3120181411504697E-2</v>
      </c>
      <c r="L1801" s="1">
        <f>+K1801-J1801</f>
        <v>8.5201814115047E-3</v>
      </c>
      <c r="M1801" s="1">
        <v>1.5120181411504599E-2</v>
      </c>
      <c r="N1801" s="1">
        <f>+M1801-J1801</f>
        <v>-9.4798185884953975E-3</v>
      </c>
      <c r="O1801">
        <v>2.2000000000000002</v>
      </c>
      <c r="P1801" t="s">
        <v>17</v>
      </c>
      <c r="Q1801">
        <v>0</v>
      </c>
      <c r="R1801">
        <v>4.8198589235543899E-3</v>
      </c>
      <c r="S1801">
        <v>-1.4029331505298601E-2</v>
      </c>
      <c r="T1801">
        <v>0.01</v>
      </c>
    </row>
    <row r="1802" spans="1:20" x14ac:dyDescent="0.3">
      <c r="A1802" t="s">
        <v>129</v>
      </c>
      <c r="B1802">
        <v>2020</v>
      </c>
      <c r="C1802">
        <v>970070.3125</v>
      </c>
      <c r="D1802" s="1">
        <v>3.3000000000000002E-2</v>
      </c>
      <c r="E1802" s="1">
        <v>0.93037986755371105</v>
      </c>
      <c r="F1802" s="1">
        <v>-7.0999999999999994E-2</v>
      </c>
      <c r="G1802" s="1">
        <f t="shared" si="56"/>
        <v>-1.4999999999999979E-2</v>
      </c>
      <c r="H1802" s="1" t="str">
        <f t="shared" si="57"/>
        <v/>
      </c>
      <c r="I1802" s="1">
        <v>-6.0000000000000001E-3</v>
      </c>
      <c r="J1802" s="1">
        <f>+D1802-F1802+I1802*O1802</f>
        <v>9.1700000000000004E-2</v>
      </c>
      <c r="K1802" s="1">
        <v>1.68198589235544E-2</v>
      </c>
      <c r="L1802" s="1">
        <f>+K1802-J1802</f>
        <v>-7.4880141076445611E-2</v>
      </c>
      <c r="M1802" s="1">
        <v>4.8198589235543899E-3</v>
      </c>
      <c r="N1802" s="1">
        <f>+M1802-J1802</f>
        <v>-8.6880141076445608E-2</v>
      </c>
      <c r="O1802">
        <v>2.0499999999999998</v>
      </c>
      <c r="P1802" t="s">
        <v>16</v>
      </c>
      <c r="Q1802">
        <v>-0.01</v>
      </c>
      <c r="R1802">
        <v>1.19666105806828E-2</v>
      </c>
      <c r="S1802">
        <v>-3.1623002141714103E-2</v>
      </c>
      <c r="T1802">
        <v>-0.03</v>
      </c>
    </row>
    <row r="1803" spans="1:20" x14ac:dyDescent="0.3">
      <c r="A1803" t="s">
        <v>129</v>
      </c>
      <c r="B1803">
        <v>2021</v>
      </c>
      <c r="C1803">
        <v>974037.5</v>
      </c>
      <c r="D1803" s="1">
        <v>2.1000000000000001E-2</v>
      </c>
      <c r="E1803" s="1">
        <v>0.94687932729721103</v>
      </c>
      <c r="F1803" s="1">
        <v>5.0000000000000001E-3</v>
      </c>
      <c r="G1803" s="1">
        <f t="shared" si="56"/>
        <v>-9.9999999999999777E-3</v>
      </c>
      <c r="H1803" s="1" t="str">
        <f t="shared" si="57"/>
        <v/>
      </c>
      <c r="I1803" s="1">
        <v>1.6E-2</v>
      </c>
      <c r="J1803" s="1">
        <f>+D1803-F1803+I1803*O1803</f>
        <v>4.8960000000000004E-2</v>
      </c>
      <c r="K1803" s="1">
        <v>5.8966610580682803E-2</v>
      </c>
      <c r="L1803" s="1">
        <f>+K1803-J1803</f>
        <v>1.00066105806828E-2</v>
      </c>
      <c r="M1803" s="1">
        <v>1.19666105806828E-2</v>
      </c>
      <c r="N1803" s="1">
        <f>+M1803-J1803</f>
        <v>-3.6993389419317207E-2</v>
      </c>
      <c r="O1803">
        <v>2.06</v>
      </c>
      <c r="P1803" t="s">
        <v>15</v>
      </c>
      <c r="Q1803">
        <v>-0.03</v>
      </c>
      <c r="R1803">
        <v>-9.6942949295043893E-3</v>
      </c>
      <c r="S1803">
        <v>2.2409211844205901E-2</v>
      </c>
      <c r="T1803">
        <v>-0.02</v>
      </c>
    </row>
    <row r="1804" spans="1:20" x14ac:dyDescent="0.3">
      <c r="A1804" t="s">
        <v>129</v>
      </c>
      <c r="B1804">
        <v>2022</v>
      </c>
      <c r="C1804">
        <v>980831.5</v>
      </c>
      <c r="D1804" s="1">
        <v>0.02</v>
      </c>
      <c r="E1804" s="1">
        <v>0.947859346866608</v>
      </c>
      <c r="F1804" s="1">
        <v>4.1000000000000002E-2</v>
      </c>
      <c r="G1804" s="1">
        <f t="shared" si="56"/>
        <v>3.1000000000000024E-2</v>
      </c>
      <c r="H1804" s="1" t="str">
        <f t="shared" si="57"/>
        <v/>
      </c>
      <c r="I1804" s="1">
        <v>1E-3</v>
      </c>
      <c r="J1804" s="1">
        <f>+D1804-F1804+I1804*O1804</f>
        <v>-1.8860000000000002E-2</v>
      </c>
      <c r="K1804" s="1">
        <v>7.0305705070495605E-2</v>
      </c>
      <c r="L1804" s="1">
        <f>+K1804-J1804</f>
        <v>8.9165705070495607E-2</v>
      </c>
      <c r="M1804" s="1">
        <v>-9.6942949295043893E-3</v>
      </c>
      <c r="N1804" s="1">
        <f>+M1804-J1804</f>
        <v>9.1657050704956125E-3</v>
      </c>
      <c r="O1804">
        <v>2.14</v>
      </c>
      <c r="P1804" t="s">
        <v>15</v>
      </c>
      <c r="Q1804">
        <v>0.02</v>
      </c>
      <c r="R1804">
        <v>-1.2463995054364199E-2</v>
      </c>
      <c r="S1804">
        <v>7.09493272006509E-3</v>
      </c>
      <c r="T1804">
        <v>0.06</v>
      </c>
    </row>
    <row r="1805" spans="1:20" x14ac:dyDescent="0.3">
      <c r="A1805" t="s">
        <v>130</v>
      </c>
      <c r="B1805">
        <v>2006</v>
      </c>
      <c r="C1805">
        <v>2029395</v>
      </c>
      <c r="D1805" s="1">
        <v>2.1000000000000001E-2</v>
      </c>
      <c r="E1805" s="1">
        <v>0.92342698574066195</v>
      </c>
      <c r="F1805" s="1">
        <v>1.6E-2</v>
      </c>
      <c r="G1805" s="1">
        <f t="shared" si="56"/>
        <v>1.6E-2</v>
      </c>
      <c r="H1805" s="1" t="str">
        <f t="shared" si="57"/>
        <v/>
      </c>
      <c r="I1805" s="1">
        <v>-1.7000000000000001E-2</v>
      </c>
      <c r="J1805" s="1">
        <f>+D1805-F1805+I1805*O1805</f>
        <v>-3.6479999999999999E-2</v>
      </c>
      <c r="K1805" s="1">
        <v>7.1913324296474498E-2</v>
      </c>
      <c r="L1805" s="1">
        <f>+K1805-J1805</f>
        <v>0.1083933242964745</v>
      </c>
      <c r="M1805" s="1">
        <v>3.9913324296474498E-2</v>
      </c>
      <c r="N1805" s="1">
        <f>+M1805-J1805</f>
        <v>7.6393324296474496E-2</v>
      </c>
      <c r="O1805">
        <v>2.44</v>
      </c>
      <c r="P1805" t="s">
        <v>17</v>
      </c>
      <c r="Q1805">
        <v>0.03</v>
      </c>
      <c r="R1805">
        <v>-2.20552099831402E-2</v>
      </c>
      <c r="S1805">
        <v>-2.1133454050868701E-2</v>
      </c>
      <c r="T1805">
        <v>0.01</v>
      </c>
    </row>
    <row r="1806" spans="1:20" x14ac:dyDescent="0.3">
      <c r="A1806" t="s">
        <v>130</v>
      </c>
      <c r="B1806">
        <v>2007</v>
      </c>
      <c r="C1806">
        <v>2065257.125</v>
      </c>
      <c r="D1806" s="1">
        <v>2.7E-2</v>
      </c>
      <c r="E1806" s="1">
        <v>0.896401107311249</v>
      </c>
      <c r="F1806" s="1">
        <v>5.0000000000000001E-3</v>
      </c>
      <c r="G1806" s="1">
        <f t="shared" si="56"/>
        <v>2.1000000000000001E-2</v>
      </c>
      <c r="H1806" s="1" t="str">
        <f t="shared" si="57"/>
        <v/>
      </c>
      <c r="I1806" s="1">
        <v>-2.7E-2</v>
      </c>
      <c r="J1806" s="1">
        <f>+D1806-F1806+I1806*O1806</f>
        <v>-4.4150000000000002E-2</v>
      </c>
      <c r="K1806" s="1">
        <v>6.9447900168597698E-3</v>
      </c>
      <c r="L1806" s="1">
        <f>+K1806-J1806</f>
        <v>5.1094790016859772E-2</v>
      </c>
      <c r="M1806" s="1">
        <v>-2.20552099831402E-2</v>
      </c>
      <c r="N1806" s="1">
        <f>+M1806-J1806</f>
        <v>2.2094790016859801E-2</v>
      </c>
      <c r="O1806">
        <v>2.4500000000000002</v>
      </c>
      <c r="P1806" t="s">
        <v>17</v>
      </c>
      <c r="Q1806">
        <v>-0.02</v>
      </c>
      <c r="R1806">
        <v>-5.75838082581758E-2</v>
      </c>
      <c r="S1806">
        <v>-2.80730039812623E-2</v>
      </c>
      <c r="T1806">
        <v>0</v>
      </c>
    </row>
    <row r="1807" spans="1:20" x14ac:dyDescent="0.3">
      <c r="A1807" t="s">
        <v>130</v>
      </c>
      <c r="B1807">
        <v>2008</v>
      </c>
      <c r="C1807">
        <v>2093685</v>
      </c>
      <c r="D1807" s="1">
        <v>5.1999999999999998E-2</v>
      </c>
      <c r="E1807" s="1">
        <v>0.88313364982605003</v>
      </c>
      <c r="F1807" s="1">
        <v>-3.3000000000000002E-2</v>
      </c>
      <c r="G1807" s="1">
        <f t="shared" si="56"/>
        <v>-1.2E-2</v>
      </c>
      <c r="H1807" s="1" t="str">
        <f t="shared" si="57"/>
        <v/>
      </c>
      <c r="I1807" s="1">
        <v>-1.2999999999999999E-2</v>
      </c>
      <c r="J1807" s="1">
        <f>+D1807-F1807+I1807*O1807</f>
        <v>5.4189999999999988E-2</v>
      </c>
      <c r="K1807" s="1">
        <v>-1.9583808258175801E-2</v>
      </c>
      <c r="L1807" s="1">
        <f>+K1807-J1807</f>
        <v>-7.3773808258175783E-2</v>
      </c>
      <c r="M1807" s="1">
        <v>-5.75838082581758E-2</v>
      </c>
      <c r="N1807" s="1">
        <f>+M1807-J1807</f>
        <v>-0.11177380825817579</v>
      </c>
      <c r="O1807">
        <v>2.37</v>
      </c>
      <c r="P1807" t="s">
        <v>16</v>
      </c>
      <c r="Q1807">
        <v>-0.03</v>
      </c>
      <c r="R1807">
        <v>-3.7013624519109597E-2</v>
      </c>
      <c r="S1807">
        <v>-1.0446922853589001E-2</v>
      </c>
      <c r="T1807">
        <v>-0.04</v>
      </c>
    </row>
    <row r="1808" spans="1:20" x14ac:dyDescent="0.3">
      <c r="A1808" t="s">
        <v>130</v>
      </c>
      <c r="B1808">
        <v>2009</v>
      </c>
      <c r="C1808">
        <v>2119135</v>
      </c>
      <c r="D1808" s="1">
        <v>0.02</v>
      </c>
      <c r="E1808" s="1">
        <v>0.89556711912155196</v>
      </c>
      <c r="F1808" s="1">
        <v>1.7000000000000001E-2</v>
      </c>
      <c r="G1808" s="1">
        <f t="shared" si="56"/>
        <v>5.000000000000001E-3</v>
      </c>
      <c r="H1808" s="1" t="str">
        <f t="shared" si="57"/>
        <v/>
      </c>
      <c r="I1808" s="1">
        <v>1.2E-2</v>
      </c>
      <c r="J1808" s="1">
        <f>+D1808-F1808+I1808*O1808</f>
        <v>3.1920000000000004E-2</v>
      </c>
      <c r="K1808" s="1">
        <v>-4.1013624519109698E-2</v>
      </c>
      <c r="L1808" s="1">
        <f>+K1808-J1808</f>
        <v>-7.2933624519109702E-2</v>
      </c>
      <c r="M1808" s="1">
        <v>-3.7013624519109597E-2</v>
      </c>
      <c r="N1808" s="1">
        <f>+M1808-J1808</f>
        <v>-6.8933624519109601E-2</v>
      </c>
      <c r="O1808">
        <v>2.41</v>
      </c>
      <c r="P1808" t="s">
        <v>15</v>
      </c>
      <c r="Q1808">
        <v>-0.01</v>
      </c>
      <c r="R1808">
        <v>-1.5838259871467E-2</v>
      </c>
      <c r="S1808">
        <v>-6.3781511125853303E-3</v>
      </c>
      <c r="T1808">
        <v>0</v>
      </c>
    </row>
    <row r="1809" spans="1:20" x14ac:dyDescent="0.3">
      <c r="A1809" t="s">
        <v>130</v>
      </c>
      <c r="B1809">
        <v>2010</v>
      </c>
      <c r="C1809">
        <v>2150613</v>
      </c>
      <c r="D1809" s="1">
        <v>7.0000000000000001E-3</v>
      </c>
      <c r="E1809" s="1">
        <v>0.90958404541015603</v>
      </c>
      <c r="F1809" s="1">
        <v>-1.7000000000000001E-2</v>
      </c>
      <c r="G1809" s="1">
        <f t="shared" si="56"/>
        <v>-1.2E-2</v>
      </c>
      <c r="H1809" s="1" t="str">
        <f t="shared" si="57"/>
        <v/>
      </c>
      <c r="I1809" s="1">
        <v>1.4E-2</v>
      </c>
      <c r="J1809" s="1">
        <f>+D1809-F1809+I1809*O1809</f>
        <v>5.7180000000000002E-2</v>
      </c>
      <c r="K1809" s="1">
        <v>1.6174012853298301E-4</v>
      </c>
      <c r="L1809" s="1">
        <f>+K1809-J1809</f>
        <v>-5.7018259871467018E-2</v>
      </c>
      <c r="M1809" s="1">
        <v>-1.5838259871467E-2</v>
      </c>
      <c r="N1809" s="1">
        <f>+M1809-J1809</f>
        <v>-7.3018259871466998E-2</v>
      </c>
      <c r="O1809">
        <v>2.37</v>
      </c>
      <c r="P1809" t="s">
        <v>17</v>
      </c>
      <c r="Q1809">
        <v>-0.01</v>
      </c>
      <c r="R1809">
        <v>-1.54207743406295E-2</v>
      </c>
      <c r="S1809">
        <v>5.8630001731217003E-3</v>
      </c>
      <c r="T1809">
        <v>-0.03</v>
      </c>
    </row>
    <row r="1810" spans="1:20" x14ac:dyDescent="0.3">
      <c r="A1810" t="s">
        <v>130</v>
      </c>
      <c r="B1810">
        <v>2011</v>
      </c>
      <c r="C1810">
        <v>2194652</v>
      </c>
      <c r="D1810" s="1">
        <v>3.0000000000000001E-3</v>
      </c>
      <c r="E1810" s="1">
        <v>0.91863387823104903</v>
      </c>
      <c r="F1810" s="1">
        <v>2.3E-2</v>
      </c>
      <c r="G1810" s="1">
        <f t="shared" si="56"/>
        <v>1.0999999999999999E-2</v>
      </c>
      <c r="H1810" s="1" t="str">
        <f t="shared" si="57"/>
        <v/>
      </c>
      <c r="I1810" s="1">
        <v>8.9999999999999993E-3</v>
      </c>
      <c r="J1810" s="1">
        <f>+D1810-F1810+I1810*O1810</f>
        <v>1.7799999999999969E-3</v>
      </c>
      <c r="K1810" s="1">
        <v>1.6579225659370402E-2</v>
      </c>
      <c r="L1810" s="1">
        <f>+K1810-J1810</f>
        <v>1.4799225659370405E-2</v>
      </c>
      <c r="M1810" s="1">
        <v>-1.54207743406295E-2</v>
      </c>
      <c r="N1810" s="1">
        <f>+M1810-J1810</f>
        <v>-1.7200774340629499E-2</v>
      </c>
      <c r="O1810">
        <v>2.42</v>
      </c>
      <c r="P1810" t="s">
        <v>15</v>
      </c>
      <c r="Q1810">
        <v>0.01</v>
      </c>
      <c r="R1810">
        <v>8.7093719840049895E-4</v>
      </c>
      <c r="S1810">
        <v>6.3091432675719001E-3</v>
      </c>
      <c r="T1810">
        <v>0.02</v>
      </c>
    </row>
    <row r="1811" spans="1:20" x14ac:dyDescent="0.3">
      <c r="A1811" t="s">
        <v>130</v>
      </c>
      <c r="B1811">
        <v>2012</v>
      </c>
      <c r="C1811">
        <v>2247481</v>
      </c>
      <c r="D1811" s="1">
        <v>8.0000000000000002E-3</v>
      </c>
      <c r="E1811" s="1">
        <v>0.92686176300048795</v>
      </c>
      <c r="F1811" s="1">
        <v>3.0000000000000001E-3</v>
      </c>
      <c r="G1811" s="1">
        <f t="shared" si="56"/>
        <v>1.3999999999999999E-2</v>
      </c>
      <c r="H1811" s="1" t="str">
        <f t="shared" si="57"/>
        <v/>
      </c>
      <c r="I1811" s="1">
        <v>8.0000000000000002E-3</v>
      </c>
      <c r="J1811" s="1">
        <f>+D1811-F1811+I1811*O1811</f>
        <v>2.4440000000000003E-2</v>
      </c>
      <c r="K1811" s="1">
        <v>2.1870937198400501E-2</v>
      </c>
      <c r="L1811" s="1">
        <f>+K1811-J1811</f>
        <v>-2.5690628015995025E-3</v>
      </c>
      <c r="M1811" s="1">
        <v>8.7093719840049895E-4</v>
      </c>
      <c r="N1811" s="1">
        <f>+M1811-J1811</f>
        <v>-2.3569062801599504E-2</v>
      </c>
      <c r="O1811">
        <v>2.4300000000000002</v>
      </c>
      <c r="P1811" t="s">
        <v>15</v>
      </c>
      <c r="Q1811">
        <v>0.01</v>
      </c>
      <c r="R1811">
        <v>1.25775231420994E-2</v>
      </c>
      <c r="S1811">
        <v>6.4507517963647999E-3</v>
      </c>
      <c r="T1811">
        <v>0</v>
      </c>
    </row>
    <row r="1812" spans="1:20" x14ac:dyDescent="0.3">
      <c r="A1812" t="s">
        <v>130</v>
      </c>
      <c r="B1812">
        <v>2013</v>
      </c>
      <c r="C1812">
        <v>2298351</v>
      </c>
      <c r="D1812" s="1">
        <v>2.9000000000000001E-2</v>
      </c>
      <c r="E1812" s="1">
        <v>0.92529124021530196</v>
      </c>
      <c r="F1812" s="1">
        <v>-2E-3</v>
      </c>
      <c r="G1812" s="1">
        <f t="shared" si="56"/>
        <v>1.1999999999999999E-2</v>
      </c>
      <c r="H1812" s="1" t="str">
        <f t="shared" si="57"/>
        <v/>
      </c>
      <c r="I1812" s="1">
        <v>-2E-3</v>
      </c>
      <c r="J1812" s="1">
        <f>+D1812-F1812+I1812*O1812</f>
        <v>2.6159999999999999E-2</v>
      </c>
      <c r="K1812" s="1">
        <v>2.7577523142099401E-2</v>
      </c>
      <c r="L1812" s="1">
        <f>+K1812-J1812</f>
        <v>1.4175231420994021E-3</v>
      </c>
      <c r="M1812" s="1">
        <v>1.25775231420994E-2</v>
      </c>
      <c r="N1812" s="1">
        <f>+M1812-J1812</f>
        <v>-1.3582476857900599E-2</v>
      </c>
      <c r="O1812">
        <v>2.42</v>
      </c>
      <c r="P1812" t="s">
        <v>16</v>
      </c>
      <c r="Q1812">
        <v>0.01</v>
      </c>
      <c r="R1812">
        <v>1.26896713078022E-2</v>
      </c>
      <c r="S1812">
        <v>1.06816478073596E-2</v>
      </c>
      <c r="T1812">
        <v>-0.01</v>
      </c>
    </row>
    <row r="1813" spans="1:20" x14ac:dyDescent="0.3">
      <c r="A1813" t="s">
        <v>130</v>
      </c>
      <c r="B1813">
        <v>2014</v>
      </c>
      <c r="C1813">
        <v>2359536</v>
      </c>
      <c r="D1813" s="1">
        <v>3.2000000000000001E-2</v>
      </c>
      <c r="E1813" s="1">
        <v>0.93427765369415305</v>
      </c>
      <c r="F1813" s="1">
        <v>2.5000000000000001E-2</v>
      </c>
      <c r="G1813" s="1">
        <f t="shared" si="56"/>
        <v>3.6999999999999998E-2</v>
      </c>
      <c r="H1813" s="1" t="str">
        <f t="shared" si="57"/>
        <v/>
      </c>
      <c r="I1813" s="1">
        <v>8.9999999999999993E-3</v>
      </c>
      <c r="J1813" s="1">
        <f>+D1813-F1813+I1813*O1813</f>
        <v>2.9319999999999999E-2</v>
      </c>
      <c r="K1813" s="1">
        <v>2.86896713078022E-2</v>
      </c>
      <c r="L1813" s="1">
        <f>+K1813-J1813</f>
        <v>-6.3032869219779852E-4</v>
      </c>
      <c r="M1813" s="1">
        <v>1.26896713078022E-2</v>
      </c>
      <c r="N1813" s="1">
        <f>+M1813-J1813</f>
        <v>-1.6630328692197799E-2</v>
      </c>
      <c r="O1813">
        <v>2.48</v>
      </c>
      <c r="P1813" t="s">
        <v>15</v>
      </c>
      <c r="Q1813">
        <v>0.01</v>
      </c>
      <c r="R1813">
        <v>5.4790722370147697E-2</v>
      </c>
      <c r="S1813">
        <v>2.4527270346880001E-2</v>
      </c>
      <c r="T1813">
        <v>0.02</v>
      </c>
    </row>
    <row r="1814" spans="1:20" x14ac:dyDescent="0.3">
      <c r="A1814" t="s">
        <v>130</v>
      </c>
      <c r="B1814">
        <v>2015</v>
      </c>
      <c r="C1814">
        <v>2428600</v>
      </c>
      <c r="D1814" s="1">
        <v>4.2999999999999997E-2</v>
      </c>
      <c r="E1814" s="1">
        <v>0.92979782819747903</v>
      </c>
      <c r="F1814" s="1">
        <v>6.0000000000000001E-3</v>
      </c>
      <c r="G1814" s="1">
        <f t="shared" si="56"/>
        <v>4.2999999999999997E-2</v>
      </c>
      <c r="H1814" s="1" t="str">
        <f t="shared" si="57"/>
        <v/>
      </c>
      <c r="I1814" s="1">
        <v>-4.0000000000000001E-3</v>
      </c>
      <c r="J1814" s="1">
        <f>+D1814-F1814+I1814*O1814</f>
        <v>2.6999999999999996E-2</v>
      </c>
      <c r="K1814" s="1">
        <v>5.5790722370147698E-2</v>
      </c>
      <c r="L1814" s="1">
        <f>+K1814-J1814</f>
        <v>2.8790722370147702E-2</v>
      </c>
      <c r="M1814" s="1">
        <v>5.4790722370147697E-2</v>
      </c>
      <c r="N1814" s="1">
        <f>+M1814-J1814</f>
        <v>2.7790722370147701E-2</v>
      </c>
      <c r="O1814">
        <v>2.5</v>
      </c>
      <c r="P1814" t="s">
        <v>17</v>
      </c>
      <c r="Q1814">
        <v>0.02</v>
      </c>
      <c r="R1814">
        <v>2.1150045365095099E-2</v>
      </c>
      <c r="S1814">
        <v>7.9964883625506904E-3</v>
      </c>
      <c r="T1814">
        <v>0.02</v>
      </c>
    </row>
    <row r="1815" spans="1:20" x14ac:dyDescent="0.3">
      <c r="A1815" t="s">
        <v>130</v>
      </c>
      <c r="B1815">
        <v>2016</v>
      </c>
      <c r="C1815">
        <v>2499294</v>
      </c>
      <c r="D1815" s="1">
        <v>2.8000000000000001E-2</v>
      </c>
      <c r="E1815" s="1">
        <v>0.93449717760086104</v>
      </c>
      <c r="F1815" s="1">
        <v>8.9999999999999993E-3</v>
      </c>
      <c r="G1815" s="1">
        <f t="shared" si="56"/>
        <v>5.1999999999999998E-2</v>
      </c>
      <c r="H1815" s="1" t="str">
        <f t="shared" si="57"/>
        <v/>
      </c>
      <c r="I1815" s="1">
        <v>5.0000000000000001E-3</v>
      </c>
      <c r="J1815" s="1">
        <f>+D1815-F1815+I1815*O1815</f>
        <v>3.1600000000000003E-2</v>
      </c>
      <c r="K1815" s="1">
        <v>3.4150045365095097E-2</v>
      </c>
      <c r="L1815" s="1">
        <f>+K1815-J1815</f>
        <v>2.5500453650950938E-3</v>
      </c>
      <c r="M1815" s="1">
        <v>2.1150045365095099E-2</v>
      </c>
      <c r="N1815" s="1">
        <f>+M1815-J1815</f>
        <v>-1.0449954634904904E-2</v>
      </c>
      <c r="O1815">
        <v>2.52</v>
      </c>
      <c r="P1815" t="s">
        <v>15</v>
      </c>
      <c r="Q1815">
        <v>0.01</v>
      </c>
      <c r="R1815">
        <v>3.1428144961595503E-2</v>
      </c>
      <c r="S1815">
        <v>2.8638571500778202E-2</v>
      </c>
      <c r="T1815">
        <v>0.01</v>
      </c>
    </row>
    <row r="1816" spans="1:20" x14ac:dyDescent="0.3">
      <c r="A1816" t="s">
        <v>130</v>
      </c>
      <c r="B1816">
        <v>2017</v>
      </c>
      <c r="C1816">
        <v>2564186</v>
      </c>
      <c r="D1816" s="1">
        <v>4.2999999999999997E-2</v>
      </c>
      <c r="E1816" s="1">
        <v>0.93750476837158203</v>
      </c>
      <c r="F1816" s="1">
        <v>-6.0000000000000001E-3</v>
      </c>
      <c r="G1816" s="1">
        <f t="shared" si="56"/>
        <v>4.5999999999999999E-2</v>
      </c>
      <c r="H1816" s="1" t="str">
        <f t="shared" si="57"/>
        <v/>
      </c>
      <c r="I1816" s="1">
        <v>3.0000000000000001E-3</v>
      </c>
      <c r="J1816" s="1">
        <f>+D1816-F1816+I1816*O1816</f>
        <v>5.6529999999999997E-2</v>
      </c>
      <c r="K1816" s="1">
        <v>5.2428144961595501E-2</v>
      </c>
      <c r="L1816" s="1">
        <f>+K1816-J1816</f>
        <v>-4.1018550384044963E-3</v>
      </c>
      <c r="M1816" s="1">
        <v>3.1428144961595503E-2</v>
      </c>
      <c r="N1816" s="1">
        <f>+M1816-J1816</f>
        <v>-2.5101855038404494E-2</v>
      </c>
      <c r="O1816">
        <v>2.5099999999999998</v>
      </c>
      <c r="P1816" t="s">
        <v>17</v>
      </c>
      <c r="Q1816">
        <v>0.03</v>
      </c>
      <c r="R1816">
        <v>1.5864785969257399E-2</v>
      </c>
      <c r="S1816">
        <v>6.7297630012036003E-3</v>
      </c>
      <c r="T1816">
        <v>0</v>
      </c>
    </row>
    <row r="1817" spans="1:20" x14ac:dyDescent="0.3">
      <c r="A1817" t="s">
        <v>130</v>
      </c>
      <c r="B1817">
        <v>2018</v>
      </c>
      <c r="C1817">
        <v>2618401</v>
      </c>
      <c r="D1817" s="1">
        <v>5.8000000000000003E-2</v>
      </c>
      <c r="E1817" s="1">
        <v>0.923231601715088</v>
      </c>
      <c r="F1817" s="1">
        <v>-2.5000000000000001E-2</v>
      </c>
      <c r="G1817" s="1">
        <f t="shared" si="56"/>
        <v>2.0999999999999998E-2</v>
      </c>
      <c r="H1817" s="1" t="str">
        <f t="shared" si="57"/>
        <v/>
      </c>
      <c r="I1817" s="1">
        <v>-1.4E-2</v>
      </c>
      <c r="J1817" s="1">
        <f>+D1817-F1817+I1817*O1817</f>
        <v>4.8840000000000001E-2</v>
      </c>
      <c r="K1817" s="1">
        <v>3.9864785969257403E-2</v>
      </c>
      <c r="L1817" s="1">
        <f>+K1817-J1817</f>
        <v>-8.9752140307425982E-3</v>
      </c>
      <c r="M1817" s="1">
        <v>1.5864785969257399E-2</v>
      </c>
      <c r="N1817" s="1">
        <f>+M1817-J1817</f>
        <v>-3.2975214030742606E-2</v>
      </c>
      <c r="O1817">
        <v>2.44</v>
      </c>
      <c r="P1817" t="s">
        <v>16</v>
      </c>
      <c r="Q1817">
        <v>0.01</v>
      </c>
      <c r="R1817">
        <v>1.4276082783937501E-2</v>
      </c>
      <c r="S1817">
        <v>-3.5251118242739998E-3</v>
      </c>
      <c r="T1817">
        <v>-0.01</v>
      </c>
    </row>
    <row r="1818" spans="1:20" x14ac:dyDescent="0.3">
      <c r="A1818" t="s">
        <v>130</v>
      </c>
      <c r="B1818">
        <v>2019</v>
      </c>
      <c r="C1818">
        <v>2654677</v>
      </c>
      <c r="D1818" s="1">
        <v>4.3999999999999997E-2</v>
      </c>
      <c r="E1818" s="1">
        <v>0.91402786970138505</v>
      </c>
      <c r="F1818" s="1">
        <v>1.4E-2</v>
      </c>
      <c r="G1818" s="1">
        <f t="shared" si="56"/>
        <v>3.4999999999999996E-2</v>
      </c>
      <c r="H1818" s="1" t="str">
        <f t="shared" si="57"/>
        <v/>
      </c>
      <c r="I1818" s="1">
        <v>-8.9999999999999993E-3</v>
      </c>
      <c r="J1818" s="1">
        <f>+D1818-F1818+I1818*O1818</f>
        <v>7.6799999999999993E-3</v>
      </c>
      <c r="K1818" s="1">
        <v>3.2276082783937503E-2</v>
      </c>
      <c r="L1818" s="1">
        <f>+K1818-J1818</f>
        <v>2.4596082783937503E-2</v>
      </c>
      <c r="M1818" s="1">
        <v>1.4276082783937501E-2</v>
      </c>
      <c r="N1818" s="1">
        <f>+M1818-J1818</f>
        <v>6.5960827839375014E-3</v>
      </c>
      <c r="O1818">
        <v>2.48</v>
      </c>
      <c r="P1818" t="s">
        <v>17</v>
      </c>
      <c r="Q1818">
        <v>0</v>
      </c>
      <c r="R1818">
        <v>-1.54977057948708E-2</v>
      </c>
      <c r="S1818">
        <v>-3.4346896223723798E-2</v>
      </c>
      <c r="T1818">
        <v>0.02</v>
      </c>
    </row>
    <row r="1819" spans="1:20" x14ac:dyDescent="0.3">
      <c r="A1819" t="s">
        <v>130</v>
      </c>
      <c r="B1819">
        <v>2020</v>
      </c>
      <c r="C1819">
        <v>2685188</v>
      </c>
      <c r="D1819" s="1">
        <v>4.4999999999999998E-2</v>
      </c>
      <c r="E1819" s="1">
        <v>0.89977502822875999</v>
      </c>
      <c r="F1819" s="1">
        <v>-3.5999999999999997E-2</v>
      </c>
      <c r="G1819" s="1">
        <f t="shared" si="56"/>
        <v>-1.0000000000000009E-3</v>
      </c>
      <c r="H1819" s="1" t="str">
        <f t="shared" si="57"/>
        <v/>
      </c>
      <c r="I1819" s="1">
        <v>-1.4E-2</v>
      </c>
      <c r="J1819" s="1">
        <f>+D1819-F1819+I1819*O1819</f>
        <v>4.7539999999999985E-2</v>
      </c>
      <c r="K1819" s="1">
        <v>-3.49770579487085E-3</v>
      </c>
      <c r="L1819" s="1">
        <f>+K1819-J1819</f>
        <v>-5.1037705794870838E-2</v>
      </c>
      <c r="M1819" s="1">
        <v>-1.54977057948708E-2</v>
      </c>
      <c r="N1819" s="1">
        <f>+M1819-J1819</f>
        <v>-6.303770579487078E-2</v>
      </c>
      <c r="O1819">
        <v>2.39</v>
      </c>
      <c r="P1819" t="s">
        <v>16</v>
      </c>
      <c r="Q1819">
        <v>-0.03</v>
      </c>
      <c r="R1819">
        <v>0.14676006722450299</v>
      </c>
      <c r="S1819">
        <v>0.103170454502106</v>
      </c>
      <c r="T1819">
        <v>0</v>
      </c>
    </row>
    <row r="1820" spans="1:20" x14ac:dyDescent="0.3">
      <c r="A1820" t="s">
        <v>130</v>
      </c>
      <c r="B1820">
        <v>2021</v>
      </c>
      <c r="C1820">
        <v>2719823</v>
      </c>
      <c r="D1820" s="1">
        <v>4.8000000000000001E-2</v>
      </c>
      <c r="E1820" s="1">
        <v>0.94421583414077803</v>
      </c>
      <c r="F1820" s="1">
        <v>3.0000000000000001E-3</v>
      </c>
      <c r="G1820" s="1">
        <f t="shared" si="56"/>
        <v>1.9999999999999992E-3</v>
      </c>
      <c r="H1820" s="1" t="str">
        <f t="shared" si="57"/>
        <v/>
      </c>
      <c r="I1820" s="1">
        <v>4.3999999999999997E-2</v>
      </c>
      <c r="J1820" s="1">
        <f>+D1820-F1820+I1820*O1820</f>
        <v>0.15016000000000002</v>
      </c>
      <c r="K1820" s="1">
        <v>0.19376006722450301</v>
      </c>
      <c r="L1820" s="1">
        <f>+K1820-J1820</f>
        <v>4.3600067224502992E-2</v>
      </c>
      <c r="M1820" s="1">
        <v>0.14676006722450299</v>
      </c>
      <c r="N1820" s="1">
        <f>+M1820-J1820</f>
        <v>-3.3999327754970221E-3</v>
      </c>
      <c r="O1820">
        <v>2.39</v>
      </c>
      <c r="P1820" t="s">
        <v>15</v>
      </c>
      <c r="Q1820">
        <v>0.1</v>
      </c>
      <c r="R1820">
        <v>-1.8998844474554001E-2</v>
      </c>
      <c r="S1820">
        <v>1.3104662299156199E-2</v>
      </c>
      <c r="T1820">
        <v>-0.03</v>
      </c>
    </row>
    <row r="1821" spans="1:20" x14ac:dyDescent="0.3">
      <c r="A1821" t="s">
        <v>130</v>
      </c>
      <c r="B1821">
        <v>2022</v>
      </c>
      <c r="C1821">
        <v>2803454</v>
      </c>
      <c r="D1821" s="1">
        <v>4.5999999999999999E-2</v>
      </c>
      <c r="E1821" s="1">
        <v>0.92069011926651001</v>
      </c>
      <c r="F1821" s="1">
        <v>1.0999999999999999E-2</v>
      </c>
      <c r="G1821" s="1">
        <f t="shared" si="56"/>
        <v>1.2999999999999998E-2</v>
      </c>
      <c r="H1821" s="1" t="str">
        <f t="shared" si="57"/>
        <v/>
      </c>
      <c r="I1821" s="1">
        <v>-2.4E-2</v>
      </c>
      <c r="J1821" s="1">
        <f>+D1821-F1821+I1821*O1821</f>
        <v>-2.3079999999999996E-2</v>
      </c>
      <c r="K1821" s="1">
        <v>6.1001155525445903E-2</v>
      </c>
      <c r="L1821" s="1">
        <f>+K1821-J1821</f>
        <v>8.40811555254459E-2</v>
      </c>
      <c r="M1821" s="1">
        <v>-1.8998844474554001E-2</v>
      </c>
      <c r="N1821" s="1">
        <f>+M1821-J1821</f>
        <v>4.0811555254459952E-3</v>
      </c>
      <c r="O1821">
        <v>2.42</v>
      </c>
      <c r="P1821" t="s">
        <v>17</v>
      </c>
      <c r="Q1821">
        <v>0.01</v>
      </c>
      <c r="R1821">
        <v>-7.1970741063356394E-2</v>
      </c>
      <c r="S1821">
        <v>-5.2411813288927099E-2</v>
      </c>
      <c r="T1821">
        <v>0.03</v>
      </c>
    </row>
    <row r="1822" spans="1:20" x14ac:dyDescent="0.3">
      <c r="A1822" t="s">
        <v>131</v>
      </c>
      <c r="B1822">
        <v>2006</v>
      </c>
      <c r="C1822">
        <v>443396.3125</v>
      </c>
      <c r="D1822" s="1">
        <v>1.4999999999999999E-2</v>
      </c>
      <c r="E1822" s="1">
        <v>0.90550798177719105</v>
      </c>
      <c r="F1822" s="1">
        <v>3.7999999999999999E-2</v>
      </c>
      <c r="G1822" s="1">
        <f t="shared" si="56"/>
        <v>3.7999999999999999E-2</v>
      </c>
      <c r="H1822" s="1" t="str">
        <f t="shared" si="57"/>
        <v/>
      </c>
      <c r="I1822" s="1">
        <v>-2.1000000000000001E-2</v>
      </c>
      <c r="J1822" s="1">
        <f>+D1822-F1822+I1822*O1822</f>
        <v>-7.2770000000000001E-2</v>
      </c>
      <c r="K1822" s="1">
        <v>6.0166783630847903E-2</v>
      </c>
      <c r="L1822" s="1">
        <f>+K1822-J1822</f>
        <v>0.1329367836308479</v>
      </c>
      <c r="M1822" s="1">
        <v>2.8166783630847899E-2</v>
      </c>
      <c r="N1822" s="1">
        <f>+M1822-J1822</f>
        <v>0.1009367836308479</v>
      </c>
      <c r="O1822">
        <v>2.37</v>
      </c>
      <c r="P1822" t="s">
        <v>17</v>
      </c>
      <c r="Q1822">
        <v>0.02</v>
      </c>
      <c r="R1822">
        <v>-6.8358135372400004E-3</v>
      </c>
      <c r="S1822">
        <v>-5.9140576049685001E-3</v>
      </c>
      <c r="T1822">
        <v>0.04</v>
      </c>
    </row>
    <row r="1823" spans="1:20" x14ac:dyDescent="0.3">
      <c r="A1823" t="s">
        <v>131</v>
      </c>
      <c r="B1823">
        <v>2007</v>
      </c>
      <c r="C1823">
        <v>444008.3125</v>
      </c>
      <c r="D1823" s="1">
        <v>1.4999999999999999E-2</v>
      </c>
      <c r="E1823" s="1">
        <v>0.87409740686416604</v>
      </c>
      <c r="F1823" s="1">
        <v>-1.4999999999999999E-2</v>
      </c>
      <c r="G1823" s="1">
        <f t="shared" si="56"/>
        <v>2.3E-2</v>
      </c>
      <c r="H1823" s="1" t="str">
        <f t="shared" si="57"/>
        <v/>
      </c>
      <c r="I1823" s="1">
        <v>-3.1E-2</v>
      </c>
      <c r="J1823" s="1">
        <f>+D1823-F1823+I1823*O1823</f>
        <v>-4.2539999999999994E-2</v>
      </c>
      <c r="K1823" s="1">
        <v>2.2164186462759999E-2</v>
      </c>
      <c r="L1823" s="1">
        <f>+K1823-J1823</f>
        <v>6.4704186462759994E-2</v>
      </c>
      <c r="M1823" s="1">
        <v>-6.8358135372400004E-3</v>
      </c>
      <c r="N1823" s="1">
        <f>+M1823-J1823</f>
        <v>3.5704186462759996E-2</v>
      </c>
      <c r="O1823">
        <v>2.34</v>
      </c>
      <c r="P1823" t="s">
        <v>16</v>
      </c>
      <c r="Q1823">
        <v>-0.01</v>
      </c>
      <c r="R1823">
        <v>-5.64842403978109E-2</v>
      </c>
      <c r="S1823">
        <v>-2.69734361208974E-2</v>
      </c>
      <c r="T1823">
        <v>-0.02</v>
      </c>
    </row>
    <row r="1824" spans="1:20" x14ac:dyDescent="0.3">
      <c r="A1824" t="s">
        <v>131</v>
      </c>
      <c r="B1824">
        <v>2008</v>
      </c>
      <c r="C1824">
        <v>445702.6875</v>
      </c>
      <c r="D1824" s="1">
        <v>5.0999999999999997E-2</v>
      </c>
      <c r="E1824" s="1">
        <v>0.86394548416137695</v>
      </c>
      <c r="F1824" s="1">
        <v>-1E-3</v>
      </c>
      <c r="G1824" s="1">
        <f t="shared" si="56"/>
        <v>2.1999999999999999E-2</v>
      </c>
      <c r="H1824" s="1" t="str">
        <f t="shared" si="57"/>
        <v/>
      </c>
      <c r="I1824" s="1">
        <v>-0.01</v>
      </c>
      <c r="J1824" s="1">
        <f>+D1824-F1824+I1824*O1824</f>
        <v>2.8599999999999997E-2</v>
      </c>
      <c r="K1824" s="1">
        <v>-1.8484240397810901E-2</v>
      </c>
      <c r="L1824" s="1">
        <f>+K1824-J1824</f>
        <v>-4.7084240397810895E-2</v>
      </c>
      <c r="M1824" s="1">
        <v>-5.64842403978109E-2</v>
      </c>
      <c r="N1824" s="1">
        <f>+M1824-J1824</f>
        <v>-8.5084240397810901E-2</v>
      </c>
      <c r="O1824">
        <v>2.34</v>
      </c>
      <c r="P1824" t="s">
        <v>16</v>
      </c>
      <c r="Q1824">
        <v>-0.03</v>
      </c>
      <c r="R1824">
        <v>-2.99838936924933E-2</v>
      </c>
      <c r="S1824">
        <v>-3.4171920269727399E-3</v>
      </c>
      <c r="T1824">
        <v>0</v>
      </c>
    </row>
    <row r="1825" spans="1:20" x14ac:dyDescent="0.3">
      <c r="A1825" t="s">
        <v>131</v>
      </c>
      <c r="B1825">
        <v>2009</v>
      </c>
      <c r="C1825">
        <v>447697.375</v>
      </c>
      <c r="D1825" s="1">
        <v>0</v>
      </c>
      <c r="E1825" s="1">
        <v>0.88491410017013505</v>
      </c>
      <c r="F1825" s="1">
        <v>2E-3</v>
      </c>
      <c r="G1825" s="1">
        <f t="shared" si="56"/>
        <v>2.4E-2</v>
      </c>
      <c r="H1825" s="1" t="str">
        <f t="shared" si="57"/>
        <v/>
      </c>
      <c r="I1825" s="1">
        <v>2.1000000000000001E-2</v>
      </c>
      <c r="J1825" s="1">
        <f>+D1825-F1825+I1825*O1825</f>
        <v>4.7140000000000001E-2</v>
      </c>
      <c r="K1825" s="1">
        <v>-3.3983893692493397E-2</v>
      </c>
      <c r="L1825" s="1">
        <f>+K1825-J1825</f>
        <v>-8.1123893692493398E-2</v>
      </c>
      <c r="M1825" s="1">
        <v>-2.99838936924933E-2</v>
      </c>
      <c r="N1825" s="1">
        <f>+M1825-J1825</f>
        <v>-7.7123893692493298E-2</v>
      </c>
      <c r="O1825">
        <v>2.34</v>
      </c>
      <c r="P1825" t="s">
        <v>15</v>
      </c>
      <c r="Q1825">
        <v>0</v>
      </c>
      <c r="R1825">
        <v>-3.62786388397219E-3</v>
      </c>
      <c r="S1825">
        <v>5.8322448749094803E-3</v>
      </c>
      <c r="T1825">
        <v>-0.02</v>
      </c>
    </row>
    <row r="1826" spans="1:20" x14ac:dyDescent="0.3">
      <c r="A1826" t="s">
        <v>131</v>
      </c>
      <c r="B1826">
        <v>2010</v>
      </c>
      <c r="C1826">
        <v>452089.59379999997</v>
      </c>
      <c r="D1826" s="1">
        <v>3.0000000000000001E-3</v>
      </c>
      <c r="E1826" s="1">
        <v>0.89766502380371105</v>
      </c>
      <c r="F1826" s="1">
        <v>-1.4E-2</v>
      </c>
      <c r="G1826" s="1">
        <f t="shared" si="56"/>
        <v>0.01</v>
      </c>
      <c r="H1826" s="1" t="str">
        <f t="shared" si="57"/>
        <v/>
      </c>
      <c r="I1826" s="1">
        <v>1.2999999999999999E-2</v>
      </c>
      <c r="J1826" s="1">
        <f>+D1826-F1826+I1826*O1826</f>
        <v>4.7030000000000002E-2</v>
      </c>
      <c r="K1826" s="1">
        <v>1.2372136116027801E-2</v>
      </c>
      <c r="L1826" s="1">
        <f>+K1826-J1826</f>
        <v>-3.4657863883972198E-2</v>
      </c>
      <c r="M1826" s="1">
        <v>-3.62786388397219E-3</v>
      </c>
      <c r="N1826" s="1">
        <f>+M1826-J1826</f>
        <v>-5.0657863883972191E-2</v>
      </c>
      <c r="O1826">
        <v>2.31</v>
      </c>
      <c r="P1826" t="s">
        <v>17</v>
      </c>
      <c r="Q1826">
        <v>0.01</v>
      </c>
      <c r="R1826">
        <v>-2.1724712446331999E-2</v>
      </c>
      <c r="S1826">
        <v>-4.4093793258069899E-4</v>
      </c>
      <c r="T1826">
        <v>-0.02</v>
      </c>
    </row>
    <row r="1827" spans="1:20" x14ac:dyDescent="0.3">
      <c r="A1827" t="s">
        <v>131</v>
      </c>
      <c r="B1827">
        <v>2011</v>
      </c>
      <c r="C1827">
        <v>456901.875</v>
      </c>
      <c r="D1827" s="1">
        <v>1.7000000000000001E-2</v>
      </c>
      <c r="E1827" s="1">
        <v>0.88907128572464</v>
      </c>
      <c r="F1827" s="1">
        <v>6.7000000000000004E-2</v>
      </c>
      <c r="G1827" s="1">
        <f t="shared" si="56"/>
        <v>7.6999999999999999E-2</v>
      </c>
      <c r="H1827" s="1" t="str">
        <f t="shared" si="57"/>
        <v/>
      </c>
      <c r="I1827" s="1">
        <v>-8.9999999999999993E-3</v>
      </c>
      <c r="J1827" s="1">
        <f>+D1827-F1827+I1827*O1827</f>
        <v>-7.2139999999999996E-2</v>
      </c>
      <c r="K1827" s="1">
        <v>1.0275287553668E-2</v>
      </c>
      <c r="L1827" s="1">
        <f>+K1827-J1827</f>
        <v>8.241528755366799E-2</v>
      </c>
      <c r="M1827" s="1">
        <v>-2.1724712446331999E-2</v>
      </c>
      <c r="N1827" s="1">
        <f>+M1827-J1827</f>
        <v>5.0415287553667996E-2</v>
      </c>
      <c r="O1827">
        <v>2.46</v>
      </c>
      <c r="P1827" t="s">
        <v>17</v>
      </c>
      <c r="Q1827">
        <v>0</v>
      </c>
      <c r="R1827">
        <v>-3.5945645570755001E-3</v>
      </c>
      <c r="S1827">
        <v>1.84364151209589E-3</v>
      </c>
      <c r="T1827">
        <v>7.0000000000000007E-2</v>
      </c>
    </row>
    <row r="1828" spans="1:20" x14ac:dyDescent="0.3">
      <c r="A1828" t="s">
        <v>131</v>
      </c>
      <c r="B1828">
        <v>2012</v>
      </c>
      <c r="C1828">
        <v>463281.71879999997</v>
      </c>
      <c r="D1828" s="1">
        <v>-1E-3</v>
      </c>
      <c r="E1828" s="1">
        <v>0.912123143672943</v>
      </c>
      <c r="F1828" s="1">
        <v>-0.105</v>
      </c>
      <c r="G1828" s="1">
        <f t="shared" si="56"/>
        <v>-2.7999999999999997E-2</v>
      </c>
      <c r="H1828" s="1" t="str">
        <f t="shared" si="57"/>
        <v/>
      </c>
      <c r="I1828" s="1">
        <v>2.3E-2</v>
      </c>
      <c r="J1828" s="1">
        <f>+D1828-F1828+I1828*O1828</f>
        <v>0.15460000000000002</v>
      </c>
      <c r="K1828" s="1">
        <v>1.74054354429245E-2</v>
      </c>
      <c r="L1828" s="1">
        <f>+K1828-J1828</f>
        <v>-0.13719456455707552</v>
      </c>
      <c r="M1828" s="1">
        <v>-3.5945645570755001E-3</v>
      </c>
      <c r="N1828" s="1">
        <f>+M1828-J1828</f>
        <v>-0.15819456455707551</v>
      </c>
      <c r="O1828">
        <v>2.2000000000000002</v>
      </c>
      <c r="P1828" t="s">
        <v>17</v>
      </c>
      <c r="Q1828">
        <v>0</v>
      </c>
      <c r="R1828">
        <v>6.0914760828018003E-3</v>
      </c>
      <c r="S1828">
        <v>-3.5295262932798201E-5</v>
      </c>
      <c r="T1828">
        <v>-0.11</v>
      </c>
    </row>
    <row r="1829" spans="1:20" x14ac:dyDescent="0.3">
      <c r="A1829" t="s">
        <v>131</v>
      </c>
      <c r="B1829">
        <v>2013</v>
      </c>
      <c r="C1829">
        <v>468303.40629999997</v>
      </c>
      <c r="D1829" s="1">
        <v>-3.0000000000000001E-3</v>
      </c>
      <c r="E1829" s="1">
        <v>0.924460649490356</v>
      </c>
      <c r="F1829" s="1">
        <v>2.5999999999999999E-2</v>
      </c>
      <c r="G1829" s="1">
        <f t="shared" si="56"/>
        <v>-1.9999999999999983E-3</v>
      </c>
      <c r="H1829" s="1" t="str">
        <f t="shared" si="57"/>
        <v/>
      </c>
      <c r="I1829" s="1">
        <v>1.2E-2</v>
      </c>
      <c r="J1829" s="1">
        <f>+D1829-F1829+I1829*O1829</f>
        <v>-1.8799999999999997E-3</v>
      </c>
      <c r="K1829" s="1">
        <v>2.1091476082801802E-2</v>
      </c>
      <c r="L1829" s="1">
        <f>+K1829-J1829</f>
        <v>2.2971476082801801E-2</v>
      </c>
      <c r="M1829" s="1">
        <v>6.0914760828018003E-3</v>
      </c>
      <c r="N1829" s="1">
        <f>+M1829-J1829</f>
        <v>7.9714760828018E-3</v>
      </c>
      <c r="O1829">
        <v>2.2599999999999998</v>
      </c>
      <c r="P1829" t="s">
        <v>15</v>
      </c>
      <c r="Q1829">
        <v>0</v>
      </c>
      <c r="R1829">
        <v>-1.19102445282042E-2</v>
      </c>
      <c r="S1829">
        <v>-1.3918268028646701E-2</v>
      </c>
      <c r="T1829">
        <v>0.02</v>
      </c>
    </row>
    <row r="1830" spans="1:20" x14ac:dyDescent="0.3">
      <c r="A1830" t="s">
        <v>131</v>
      </c>
      <c r="B1830">
        <v>2014</v>
      </c>
      <c r="C1830">
        <v>472353.78129999997</v>
      </c>
      <c r="D1830" s="1">
        <v>-2E-3</v>
      </c>
      <c r="E1830" s="1">
        <v>0.93442863225936901</v>
      </c>
      <c r="F1830" s="1">
        <v>-6.3E-2</v>
      </c>
      <c r="G1830" s="1">
        <f t="shared" si="56"/>
        <v>-6.5000000000000002E-2</v>
      </c>
      <c r="H1830" s="1" t="str">
        <f t="shared" si="57"/>
        <v/>
      </c>
      <c r="I1830" s="1">
        <v>0.01</v>
      </c>
      <c r="J1830" s="1">
        <f>+D1830-F1830+I1830*O1830</f>
        <v>8.2199999999999995E-2</v>
      </c>
      <c r="K1830" s="1">
        <v>4.0897554717958E-3</v>
      </c>
      <c r="L1830" s="1">
        <f>+K1830-J1830</f>
        <v>-7.8110244528204198E-2</v>
      </c>
      <c r="M1830" s="1">
        <v>-1.19102445282042E-2</v>
      </c>
      <c r="N1830" s="1">
        <f>+M1830-J1830</f>
        <v>-9.4110244528204198E-2</v>
      </c>
      <c r="O1830">
        <v>2.12</v>
      </c>
      <c r="P1830" t="s">
        <v>17</v>
      </c>
      <c r="Q1830">
        <v>-0.01</v>
      </c>
      <c r="R1830">
        <v>4.97776327431202E-2</v>
      </c>
      <c r="S1830">
        <v>1.95141807198525E-2</v>
      </c>
      <c r="T1830">
        <v>-7.0000000000000007E-2</v>
      </c>
    </row>
    <row r="1831" spans="1:20" x14ac:dyDescent="0.3">
      <c r="A1831" t="s">
        <v>131</v>
      </c>
      <c r="B1831">
        <v>2015</v>
      </c>
      <c r="C1831">
        <v>477638.21879999997</v>
      </c>
      <c r="D1831" s="1">
        <v>0</v>
      </c>
      <c r="E1831" s="1">
        <v>0.94110864400863603</v>
      </c>
      <c r="F1831" s="1">
        <v>5.3999999999999999E-2</v>
      </c>
      <c r="G1831" s="1">
        <f t="shared" si="56"/>
        <v>-1.1000000000000003E-2</v>
      </c>
      <c r="H1831" s="1" t="str">
        <f t="shared" si="57"/>
        <v/>
      </c>
      <c r="I1831" s="1">
        <v>7.0000000000000001E-3</v>
      </c>
      <c r="J1831" s="1">
        <f>+D1831-F1831+I1831*O1831</f>
        <v>-3.8390000000000001E-2</v>
      </c>
      <c r="K1831" s="1">
        <v>5.07776327431202E-2</v>
      </c>
      <c r="L1831" s="1">
        <f>+K1831-J1831</f>
        <v>8.9167632743120201E-2</v>
      </c>
      <c r="M1831" s="1">
        <v>4.97776327431202E-2</v>
      </c>
      <c r="N1831" s="1">
        <f>+M1831-J1831</f>
        <v>8.81676327431202E-2</v>
      </c>
      <c r="O1831">
        <v>2.23</v>
      </c>
      <c r="P1831" t="s">
        <v>15</v>
      </c>
      <c r="Q1831">
        <v>0.02</v>
      </c>
      <c r="R1831">
        <v>4.6718644797802003E-3</v>
      </c>
      <c r="S1831">
        <v>-8.4816925227641903E-3</v>
      </c>
      <c r="T1831">
        <v>0.06</v>
      </c>
    </row>
    <row r="1832" spans="1:20" x14ac:dyDescent="0.3">
      <c r="A1832" t="s">
        <v>131</v>
      </c>
      <c r="B1832">
        <v>2016</v>
      </c>
      <c r="C1832">
        <v>483787.1875</v>
      </c>
      <c r="D1832" s="1">
        <v>3.9E-2</v>
      </c>
      <c r="E1832" s="1">
        <v>0.92076909542083696</v>
      </c>
      <c r="F1832" s="1">
        <v>-2.1999999999999999E-2</v>
      </c>
      <c r="G1832" s="1">
        <f t="shared" si="56"/>
        <v>-3.3000000000000002E-2</v>
      </c>
      <c r="H1832" s="1" t="str">
        <f t="shared" si="57"/>
        <v/>
      </c>
      <c r="I1832" s="1">
        <v>-0.02</v>
      </c>
      <c r="J1832" s="1">
        <f>+D1832-F1832+I1832*O1832</f>
        <v>1.7399999999999992E-2</v>
      </c>
      <c r="K1832" s="1">
        <v>1.7671864479780201E-2</v>
      </c>
      <c r="L1832" s="1">
        <f>+K1832-J1832</f>
        <v>2.7186447978020875E-4</v>
      </c>
      <c r="M1832" s="1">
        <v>4.6718644797802003E-3</v>
      </c>
      <c r="N1832" s="1">
        <f>+M1832-J1832</f>
        <v>-1.2728135520219792E-2</v>
      </c>
      <c r="O1832">
        <v>2.1800000000000002</v>
      </c>
      <c r="P1832" t="s">
        <v>16</v>
      </c>
      <c r="Q1832">
        <v>-0.01</v>
      </c>
      <c r="R1832">
        <v>8.0591586381196997E-3</v>
      </c>
      <c r="S1832">
        <v>5.2695851773024004E-3</v>
      </c>
      <c r="T1832">
        <v>-0.02</v>
      </c>
    </row>
    <row r="1833" spans="1:20" x14ac:dyDescent="0.3">
      <c r="A1833" t="s">
        <v>131</v>
      </c>
      <c r="B1833">
        <v>2017</v>
      </c>
      <c r="C1833">
        <v>490131.5</v>
      </c>
      <c r="D1833" s="1">
        <v>4.1000000000000002E-2</v>
      </c>
      <c r="E1833" s="1">
        <v>0.934795022010803</v>
      </c>
      <c r="F1833" s="1">
        <v>7.0999999999999994E-2</v>
      </c>
      <c r="G1833" s="1">
        <f t="shared" si="56"/>
        <v>3.7999999999999992E-2</v>
      </c>
      <c r="H1833" s="1" t="str">
        <f t="shared" si="57"/>
        <v/>
      </c>
      <c r="I1833" s="1">
        <v>1.4E-2</v>
      </c>
      <c r="J1833" s="1">
        <f>+D1833-F1833+I1833*O1833</f>
        <v>2.7600000000000055E-3</v>
      </c>
      <c r="K1833" s="1">
        <v>2.9059158638119701E-2</v>
      </c>
      <c r="L1833" s="1">
        <f>+K1833-J1833</f>
        <v>2.6299158638119696E-2</v>
      </c>
      <c r="M1833" s="1">
        <v>8.0591586381196997E-3</v>
      </c>
      <c r="N1833" s="1">
        <f>+M1833-J1833</f>
        <v>5.2991586381196942E-3</v>
      </c>
      <c r="O1833">
        <v>2.34</v>
      </c>
      <c r="P1833" t="s">
        <v>15</v>
      </c>
      <c r="Q1833">
        <v>0.01</v>
      </c>
      <c r="R1833">
        <v>3.3990185916423797E-2</v>
      </c>
      <c r="S1833">
        <v>2.4855162948370001E-2</v>
      </c>
      <c r="T1833">
        <v>7.0000000000000007E-2</v>
      </c>
    </row>
    <row r="1834" spans="1:20" x14ac:dyDescent="0.3">
      <c r="A1834" t="s">
        <v>131</v>
      </c>
      <c r="B1834">
        <v>2018</v>
      </c>
      <c r="C1834">
        <v>497608.71879999997</v>
      </c>
      <c r="D1834" s="1">
        <v>3.1E-2</v>
      </c>
      <c r="E1834" s="1">
        <v>0.93772417306900002</v>
      </c>
      <c r="F1834" s="1">
        <v>-4.2000000000000003E-2</v>
      </c>
      <c r="G1834" s="1">
        <f t="shared" si="56"/>
        <v>-4.0000000000000105E-3</v>
      </c>
      <c r="H1834" s="1" t="str">
        <f t="shared" si="57"/>
        <v/>
      </c>
      <c r="I1834" s="1">
        <v>3.0000000000000001E-3</v>
      </c>
      <c r="J1834" s="1">
        <f>+D1834-F1834+I1834*O1834</f>
        <v>7.9720000000000013E-2</v>
      </c>
      <c r="K1834" s="1">
        <v>5.7990185916423798E-2</v>
      </c>
      <c r="L1834" s="1">
        <f>+K1834-J1834</f>
        <v>-2.1729814083576215E-2</v>
      </c>
      <c r="M1834" s="1">
        <v>3.3990185916423797E-2</v>
      </c>
      <c r="N1834" s="1">
        <f>+M1834-J1834</f>
        <v>-4.5729814083576216E-2</v>
      </c>
      <c r="O1834">
        <v>2.2400000000000002</v>
      </c>
      <c r="P1834" t="s">
        <v>17</v>
      </c>
      <c r="Q1834">
        <v>0.02</v>
      </c>
      <c r="R1834">
        <v>2.88151718378067E-2</v>
      </c>
      <c r="S1834">
        <v>1.1013977229595099E-2</v>
      </c>
      <c r="T1834">
        <v>-0.03</v>
      </c>
    </row>
    <row r="1835" spans="1:20" x14ac:dyDescent="0.3">
      <c r="A1835" t="s">
        <v>131</v>
      </c>
      <c r="B1835">
        <v>2019</v>
      </c>
      <c r="C1835">
        <v>505967.40629999997</v>
      </c>
      <c r="D1835" s="1">
        <v>0</v>
      </c>
      <c r="E1835" s="1">
        <v>0.94288963079452504</v>
      </c>
      <c r="F1835" s="1">
        <v>4.2999999999999997E-2</v>
      </c>
      <c r="G1835" s="1">
        <f t="shared" si="56"/>
        <v>3.8999999999999986E-2</v>
      </c>
      <c r="H1835" s="1" t="str">
        <f t="shared" si="57"/>
        <v/>
      </c>
      <c r="I1835" s="1">
        <v>5.0000000000000001E-3</v>
      </c>
      <c r="J1835" s="1">
        <f>+D1835-F1835+I1835*O1835</f>
        <v>-3.1349999999999996E-2</v>
      </c>
      <c r="K1835" s="1">
        <v>4.6815171837806702E-2</v>
      </c>
      <c r="L1835" s="1">
        <f>+K1835-J1835</f>
        <v>7.8165171837806691E-2</v>
      </c>
      <c r="M1835" s="1">
        <v>2.88151718378067E-2</v>
      </c>
      <c r="N1835" s="1">
        <f>+M1835-J1835</f>
        <v>6.0165171837806695E-2</v>
      </c>
      <c r="O1835">
        <v>2.33</v>
      </c>
      <c r="P1835" t="s">
        <v>15</v>
      </c>
      <c r="Q1835">
        <v>0.01</v>
      </c>
      <c r="R1835">
        <v>3.2209692627191498E-2</v>
      </c>
      <c r="S1835">
        <v>1.33605021983385E-2</v>
      </c>
      <c r="T1835">
        <v>0.05</v>
      </c>
    </row>
    <row r="1836" spans="1:20" x14ac:dyDescent="0.3">
      <c r="A1836" t="s">
        <v>131</v>
      </c>
      <c r="B1836">
        <v>2020</v>
      </c>
      <c r="C1836">
        <v>513014.09379999997</v>
      </c>
      <c r="D1836" s="1">
        <v>7.0000000000000001E-3</v>
      </c>
      <c r="E1836" s="1">
        <v>0.95092099905014005</v>
      </c>
      <c r="F1836" s="1">
        <v>-0.13700000000000001</v>
      </c>
      <c r="G1836" s="1">
        <f t="shared" si="56"/>
        <v>-9.8000000000000032E-2</v>
      </c>
      <c r="H1836" s="1" t="str">
        <f t="shared" si="57"/>
        <v/>
      </c>
      <c r="I1836" s="1">
        <v>8.0000000000000002E-3</v>
      </c>
      <c r="J1836" s="1">
        <f>+D1836-F1836+I1836*O1836</f>
        <v>0.16008</v>
      </c>
      <c r="K1836" s="1">
        <v>4.4209692627191502E-2</v>
      </c>
      <c r="L1836" s="1">
        <f>+K1836-J1836</f>
        <v>-0.1158703073728085</v>
      </c>
      <c r="M1836" s="1">
        <v>3.2209692627191498E-2</v>
      </c>
      <c r="N1836" s="1">
        <f>+M1836-J1836</f>
        <v>-0.12787030737280849</v>
      </c>
      <c r="O1836">
        <v>2.0099999999999998</v>
      </c>
      <c r="P1836" t="s">
        <v>17</v>
      </c>
      <c r="Q1836">
        <v>0.01</v>
      </c>
      <c r="R1836">
        <v>5.5635085582733002E-2</v>
      </c>
      <c r="S1836">
        <v>1.2045472860336E-2</v>
      </c>
      <c r="T1836">
        <v>-0.1</v>
      </c>
    </row>
    <row r="1837" spans="1:20" x14ac:dyDescent="0.3">
      <c r="A1837" t="s">
        <v>131</v>
      </c>
      <c r="B1837">
        <v>2021</v>
      </c>
      <c r="C1837">
        <v>518446.59379999997</v>
      </c>
      <c r="D1837" s="1">
        <v>7.2999999999999995E-2</v>
      </c>
      <c r="E1837" s="1">
        <v>0.91098040342330899</v>
      </c>
      <c r="F1837" s="1">
        <v>6.7000000000000004E-2</v>
      </c>
      <c r="G1837" s="1">
        <f t="shared" si="56"/>
        <v>-3.1000000000000028E-2</v>
      </c>
      <c r="H1837" s="1" t="str">
        <f t="shared" si="57"/>
        <v/>
      </c>
      <c r="I1837" s="1">
        <v>-0.04</v>
      </c>
      <c r="J1837" s="1">
        <f>+D1837-F1837+I1837*O1837</f>
        <v>-0.08</v>
      </c>
      <c r="K1837" s="1">
        <v>0.102635085582733</v>
      </c>
      <c r="L1837" s="1">
        <f>+K1837-J1837</f>
        <v>0.182635085582733</v>
      </c>
      <c r="M1837" s="1">
        <v>5.5635085582733002E-2</v>
      </c>
      <c r="N1837" s="1">
        <f>+M1837-J1837</f>
        <v>0.13563508558273302</v>
      </c>
      <c r="O1837">
        <v>2.15</v>
      </c>
      <c r="P1837" t="s">
        <v>17</v>
      </c>
      <c r="Q1837">
        <v>0.01</v>
      </c>
      <c r="R1837">
        <v>-4.91496025770903E-2</v>
      </c>
      <c r="S1837">
        <v>-1.7046095803379999E-2</v>
      </c>
      <c r="T1837">
        <v>0.04</v>
      </c>
    </row>
    <row r="1838" spans="1:20" x14ac:dyDescent="0.3">
      <c r="A1838" t="s">
        <v>131</v>
      </c>
      <c r="B1838">
        <v>2022</v>
      </c>
      <c r="C1838">
        <v>524748.3125</v>
      </c>
      <c r="D1838" s="1">
        <v>7.0999999999999994E-2</v>
      </c>
      <c r="E1838" s="1">
        <v>0.88031882047653198</v>
      </c>
      <c r="F1838" s="1">
        <v>0.01</v>
      </c>
      <c r="G1838" s="1">
        <f t="shared" si="56"/>
        <v>-2.1000000000000026E-2</v>
      </c>
      <c r="H1838" s="1" t="str">
        <f t="shared" si="57"/>
        <v/>
      </c>
      <c r="I1838" s="1">
        <v>-3.1E-2</v>
      </c>
      <c r="J1838" s="1">
        <f>+D1838-F1838+I1838*O1838</f>
        <v>-6.2700000000000047E-3</v>
      </c>
      <c r="K1838" s="1">
        <v>3.0850397422909698E-2</v>
      </c>
      <c r="L1838" s="1">
        <f>+K1838-J1838</f>
        <v>3.7120397422909707E-2</v>
      </c>
      <c r="M1838" s="1">
        <v>-4.91496025770903E-2</v>
      </c>
      <c r="N1838" s="1">
        <f>+M1838-J1838</f>
        <v>-4.2879602577090295E-2</v>
      </c>
      <c r="O1838">
        <v>2.17</v>
      </c>
      <c r="P1838" t="s">
        <v>17</v>
      </c>
      <c r="Q1838">
        <v>-0.02</v>
      </c>
      <c r="R1838">
        <v>-5.5745144173502903E-2</v>
      </c>
      <c r="S1838">
        <v>-3.6186216399073601E-2</v>
      </c>
      <c r="T1838">
        <v>0.03</v>
      </c>
    </row>
    <row r="1839" spans="1:20" x14ac:dyDescent="0.3">
      <c r="A1839" t="s">
        <v>132</v>
      </c>
      <c r="B1839">
        <v>2006</v>
      </c>
      <c r="C1839">
        <v>372289</v>
      </c>
      <c r="D1839" s="1">
        <v>3.3000000000000002E-2</v>
      </c>
      <c r="E1839" s="1">
        <v>0.90684258937835704</v>
      </c>
      <c r="F1839" s="1">
        <v>0.03</v>
      </c>
      <c r="G1839" s="1">
        <f t="shared" si="56"/>
        <v>0.03</v>
      </c>
      <c r="H1839" s="1" t="str">
        <f t="shared" si="57"/>
        <v/>
      </c>
      <c r="I1839" s="1">
        <v>1.2999999999999999E-2</v>
      </c>
      <c r="J1839" s="1">
        <f>+D1839-F1839+I1839*O1839</f>
        <v>2.9909999999999999E-2</v>
      </c>
      <c r="K1839" s="1">
        <v>2.04580742865801E-2</v>
      </c>
      <c r="L1839" s="1">
        <f>+K1839-J1839</f>
        <v>-9.4519257134198995E-3</v>
      </c>
      <c r="M1839" s="1">
        <v>-1.1541925713419899E-2</v>
      </c>
      <c r="N1839" s="1">
        <f>+M1839-J1839</f>
        <v>-4.14519257134199E-2</v>
      </c>
      <c r="O1839">
        <v>2.0699999999999998</v>
      </c>
      <c r="P1839" t="s">
        <v>15</v>
      </c>
      <c r="Q1839">
        <v>-0.02</v>
      </c>
      <c r="R1839">
        <v>-6.2269614040851998E-3</v>
      </c>
      <c r="S1839">
        <v>-5.3052054718137004E-3</v>
      </c>
      <c r="T1839">
        <v>0.03</v>
      </c>
    </row>
    <row r="1840" spans="1:20" x14ac:dyDescent="0.3">
      <c r="A1840" t="s">
        <v>132</v>
      </c>
      <c r="B1840">
        <v>2007</v>
      </c>
      <c r="C1840">
        <v>374627.28129999997</v>
      </c>
      <c r="D1840" s="1">
        <v>0</v>
      </c>
      <c r="E1840" s="1">
        <v>0.91707062721252397</v>
      </c>
      <c r="F1840" s="1">
        <v>1.4E-2</v>
      </c>
      <c r="G1840" s="1">
        <f t="shared" si="56"/>
        <v>4.3999999999999997E-2</v>
      </c>
      <c r="H1840" s="1" t="str">
        <f t="shared" si="57"/>
        <v/>
      </c>
      <c r="I1840" s="1">
        <v>0.01</v>
      </c>
      <c r="J1840" s="1">
        <f>+D1840-F1840+I1840*O1840</f>
        <v>7.000000000000001E-3</v>
      </c>
      <c r="K1840" s="1">
        <v>2.2773038595914799E-2</v>
      </c>
      <c r="L1840" s="1">
        <f>+K1840-J1840</f>
        <v>1.57730385959148E-2</v>
      </c>
      <c r="M1840" s="1">
        <v>-6.2269614040851998E-3</v>
      </c>
      <c r="N1840" s="1">
        <f>+M1840-J1840</f>
        <v>-1.3226961404085202E-2</v>
      </c>
      <c r="O1840">
        <v>2.1</v>
      </c>
      <c r="P1840" t="s">
        <v>15</v>
      </c>
      <c r="Q1840">
        <v>-0.01</v>
      </c>
      <c r="R1840">
        <v>-2.3998135060071899E-2</v>
      </c>
      <c r="S1840">
        <v>5.5126692168415E-3</v>
      </c>
      <c r="T1840">
        <v>0.01</v>
      </c>
    </row>
    <row r="1841" spans="1:20" x14ac:dyDescent="0.3">
      <c r="A1841" t="s">
        <v>132</v>
      </c>
      <c r="B1841">
        <v>2008</v>
      </c>
      <c r="C1841">
        <v>376845.78129999997</v>
      </c>
      <c r="D1841" s="1">
        <v>0</v>
      </c>
      <c r="E1841" s="1">
        <v>0.92617559432983398</v>
      </c>
      <c r="F1841" s="1">
        <v>-6.9000000000000006E-2</v>
      </c>
      <c r="G1841" s="1">
        <f t="shared" si="56"/>
        <v>-2.5000000000000008E-2</v>
      </c>
      <c r="H1841" s="1" t="str">
        <f t="shared" si="57"/>
        <v/>
      </c>
      <c r="I1841" s="1">
        <v>8.9999999999999993E-3</v>
      </c>
      <c r="J1841" s="1">
        <f>+D1841-F1841+I1841*O1841</f>
        <v>8.6550000000000002E-2</v>
      </c>
      <c r="K1841" s="1">
        <v>1.40018649399281E-2</v>
      </c>
      <c r="L1841" s="1">
        <f>+K1841-J1841</f>
        <v>-7.2548135060071905E-2</v>
      </c>
      <c r="M1841" s="1">
        <v>-2.3998135060071899E-2</v>
      </c>
      <c r="N1841" s="1">
        <f>+M1841-J1841</f>
        <v>-0.1105481350600719</v>
      </c>
      <c r="O1841">
        <v>1.95</v>
      </c>
      <c r="P1841" t="s">
        <v>17</v>
      </c>
      <c r="Q1841">
        <v>0.01</v>
      </c>
      <c r="R1841">
        <v>-1.5960409030318298E-2</v>
      </c>
      <c r="S1841">
        <v>1.06062926352023E-2</v>
      </c>
      <c r="T1841">
        <v>-7.0000000000000007E-2</v>
      </c>
    </row>
    <row r="1842" spans="1:20" x14ac:dyDescent="0.3">
      <c r="A1842" t="s">
        <v>132</v>
      </c>
      <c r="B1842">
        <v>2009</v>
      </c>
      <c r="C1842">
        <v>379329.8125</v>
      </c>
      <c r="D1842" s="1">
        <v>0</v>
      </c>
      <c r="E1842" s="1">
        <v>0.92272508144378695</v>
      </c>
      <c r="F1842" s="1">
        <v>6.2E-2</v>
      </c>
      <c r="G1842" s="1">
        <f t="shared" si="56"/>
        <v>3.6999999999999991E-2</v>
      </c>
      <c r="H1842" s="1" t="str">
        <f t="shared" si="57"/>
        <v/>
      </c>
      <c r="I1842" s="1">
        <v>-3.0000000000000001E-3</v>
      </c>
      <c r="J1842" s="1">
        <f>+D1842-F1842+I1842*O1842</f>
        <v>-6.8209999999999993E-2</v>
      </c>
      <c r="K1842" s="1">
        <v>-1.9960409030318298E-2</v>
      </c>
      <c r="L1842" s="1">
        <f>+K1842-J1842</f>
        <v>4.8249590969681691E-2</v>
      </c>
      <c r="M1842" s="1">
        <v>-1.5960409030318298E-2</v>
      </c>
      <c r="N1842" s="1">
        <f>+M1842-J1842</f>
        <v>5.2249590969681695E-2</v>
      </c>
      <c r="O1842">
        <v>2.0699999999999998</v>
      </c>
      <c r="P1842" t="s">
        <v>17</v>
      </c>
      <c r="Q1842">
        <v>0.01</v>
      </c>
      <c r="R1842">
        <v>-1.46555278301239E-2</v>
      </c>
      <c r="S1842">
        <v>-5.1954190712422098E-3</v>
      </c>
      <c r="T1842">
        <v>0.04</v>
      </c>
    </row>
    <row r="1843" spans="1:20" x14ac:dyDescent="0.3">
      <c r="A1843" t="s">
        <v>132</v>
      </c>
      <c r="B1843">
        <v>2010</v>
      </c>
      <c r="C1843">
        <v>379447.8125</v>
      </c>
      <c r="D1843" s="1">
        <v>1.4E-2</v>
      </c>
      <c r="E1843" s="1">
        <v>0.92286741733551003</v>
      </c>
      <c r="F1843" s="1">
        <v>6.5000000000000002E-2</v>
      </c>
      <c r="G1843" s="1">
        <f t="shared" si="56"/>
        <v>0.10199999999999999</v>
      </c>
      <c r="H1843" s="1" t="str">
        <f t="shared" si="57"/>
        <v/>
      </c>
      <c r="I1843" s="1">
        <v>0</v>
      </c>
      <c r="J1843" s="1">
        <f>+D1843-F1843+I1843*O1843</f>
        <v>-5.1000000000000004E-2</v>
      </c>
      <c r="K1843" s="1">
        <v>1.3444721698760999E-3</v>
      </c>
      <c r="L1843" s="1">
        <f>+K1843-J1843</f>
        <v>5.2344472169876102E-2</v>
      </c>
      <c r="M1843" s="1">
        <v>-1.46555278301239E-2</v>
      </c>
      <c r="N1843" s="1">
        <f>+M1843-J1843</f>
        <v>3.6344472169876102E-2</v>
      </c>
      <c r="O1843">
        <v>2.21</v>
      </c>
      <c r="P1843" t="s">
        <v>15</v>
      </c>
      <c r="Q1843">
        <v>-0.01</v>
      </c>
      <c r="R1843">
        <v>-2.43555464483797E-2</v>
      </c>
      <c r="S1843">
        <v>-3.0717719346284602E-3</v>
      </c>
      <c r="T1843">
        <v>0.06</v>
      </c>
    </row>
    <row r="1844" spans="1:20" x14ac:dyDescent="0.3">
      <c r="A1844" t="s">
        <v>133</v>
      </c>
      <c r="B1844">
        <v>2006</v>
      </c>
      <c r="C1844">
        <v>5862295</v>
      </c>
      <c r="D1844" s="1">
        <v>6.0000000000000001E-3</v>
      </c>
      <c r="E1844" s="1">
        <v>0.92594182491302501</v>
      </c>
      <c r="F1844" s="1">
        <v>-5.3999999999999999E-2</v>
      </c>
      <c r="G1844" s="1">
        <f t="shared" si="56"/>
        <v>-5.3999999999999999E-2</v>
      </c>
      <c r="H1844" s="1" t="str">
        <f t="shared" si="57"/>
        <v/>
      </c>
      <c r="I1844" s="1">
        <v>-1E-3</v>
      </c>
      <c r="J1844" s="1">
        <f>+D1844-F1844+I1844*O1844</f>
        <v>5.7939999999999998E-2</v>
      </c>
      <c r="K1844" s="1">
        <v>2.1823728457093201E-2</v>
      </c>
      <c r="L1844" s="1">
        <f>+K1844-J1844</f>
        <v>-3.6116271542906794E-2</v>
      </c>
      <c r="M1844" s="1">
        <v>-1.01762715429068E-2</v>
      </c>
      <c r="N1844" s="1">
        <f>+M1844-J1844</f>
        <v>-6.8116271542906795E-2</v>
      </c>
      <c r="O1844">
        <v>2.06</v>
      </c>
      <c r="P1844" t="s">
        <v>16</v>
      </c>
      <c r="Q1844">
        <v>-0.02</v>
      </c>
      <c r="R1844">
        <v>5.3701131641864901E-3</v>
      </c>
      <c r="S1844">
        <v>6.2918690964579903E-3</v>
      </c>
      <c r="T1844">
        <v>-0.06</v>
      </c>
    </row>
    <row r="1845" spans="1:20" x14ac:dyDescent="0.3">
      <c r="A1845" t="s">
        <v>133</v>
      </c>
      <c r="B1845">
        <v>2007</v>
      </c>
      <c r="C1845">
        <v>5888285</v>
      </c>
      <c r="D1845" s="1">
        <v>4.0000000000000001E-3</v>
      </c>
      <c r="E1845" s="1">
        <v>0.92805826663970903</v>
      </c>
      <c r="F1845" s="1">
        <v>2.8000000000000001E-2</v>
      </c>
      <c r="G1845" s="1">
        <f t="shared" si="56"/>
        <v>-2.5999999999999999E-2</v>
      </c>
      <c r="H1845" s="1" t="str">
        <f t="shared" si="57"/>
        <v/>
      </c>
      <c r="I1845" s="1">
        <v>2E-3</v>
      </c>
      <c r="J1845" s="1">
        <f>+D1845-F1845+I1845*O1845</f>
        <v>-1.9779999999999999E-2</v>
      </c>
      <c r="K1845" s="1">
        <v>3.4370113164186498E-2</v>
      </c>
      <c r="L1845" s="1">
        <f>+K1845-J1845</f>
        <v>5.4150113164186497E-2</v>
      </c>
      <c r="M1845" s="1">
        <v>5.3701131641864901E-3</v>
      </c>
      <c r="N1845" s="1">
        <f>+M1845-J1845</f>
        <v>2.5150113164186489E-2</v>
      </c>
      <c r="O1845">
        <v>2.11</v>
      </c>
      <c r="P1845" t="s">
        <v>15</v>
      </c>
      <c r="Q1845">
        <v>0.01</v>
      </c>
      <c r="R1845">
        <v>-1.5678496390581099E-2</v>
      </c>
      <c r="S1845">
        <v>1.38323078863323E-2</v>
      </c>
      <c r="T1845">
        <v>0.03</v>
      </c>
    </row>
    <row r="1846" spans="1:20" x14ac:dyDescent="0.3">
      <c r="A1846" t="s">
        <v>133</v>
      </c>
      <c r="B1846">
        <v>2008</v>
      </c>
      <c r="C1846">
        <v>5915824</v>
      </c>
      <c r="D1846" s="1">
        <v>6.0000000000000001E-3</v>
      </c>
      <c r="E1846" s="1">
        <v>0.92638993263244596</v>
      </c>
      <c r="F1846" s="1">
        <v>-4.0000000000000001E-3</v>
      </c>
      <c r="G1846" s="1">
        <f t="shared" si="56"/>
        <v>-0.03</v>
      </c>
      <c r="H1846" s="1" t="str">
        <f t="shared" si="57"/>
        <v/>
      </c>
      <c r="I1846" s="1">
        <v>-2E-3</v>
      </c>
      <c r="J1846" s="1">
        <f>+D1846-F1846+I1846*O1846</f>
        <v>5.7800000000000004E-3</v>
      </c>
      <c r="K1846" s="1">
        <v>2.23215036094189E-2</v>
      </c>
      <c r="L1846" s="1">
        <f>+K1846-J1846</f>
        <v>1.65415036094189E-2</v>
      </c>
      <c r="M1846" s="1">
        <v>-1.5678496390581099E-2</v>
      </c>
      <c r="N1846" s="1">
        <f>+M1846-J1846</f>
        <v>-2.1458496390581099E-2</v>
      </c>
      <c r="O1846">
        <v>2.11</v>
      </c>
      <c r="P1846" t="s">
        <v>16</v>
      </c>
      <c r="Q1846">
        <v>0.01</v>
      </c>
      <c r="R1846">
        <v>2.0610000202432302E-3</v>
      </c>
      <c r="S1846">
        <v>2.8627701685763798E-2</v>
      </c>
      <c r="T1846">
        <v>-0.01</v>
      </c>
    </row>
    <row r="1847" spans="1:20" x14ac:dyDescent="0.3">
      <c r="A1847" t="s">
        <v>133</v>
      </c>
      <c r="B1847">
        <v>2009</v>
      </c>
      <c r="C1847">
        <v>5950187</v>
      </c>
      <c r="D1847" s="1">
        <v>7.0000000000000001E-3</v>
      </c>
      <c r="E1847" s="1">
        <v>0.92764300107955899</v>
      </c>
      <c r="F1847" s="1">
        <v>1.2E-2</v>
      </c>
      <c r="G1847" s="1">
        <f t="shared" si="56"/>
        <v>-1.7999999999999999E-2</v>
      </c>
      <c r="H1847" s="1" t="str">
        <f t="shared" si="57"/>
        <v/>
      </c>
      <c r="I1847" s="1">
        <v>1E-3</v>
      </c>
      <c r="J1847" s="1">
        <f>+D1847-F1847+I1847*O1847</f>
        <v>-2.8700000000000002E-3</v>
      </c>
      <c r="K1847" s="1">
        <v>-1.9389999797567699E-3</v>
      </c>
      <c r="L1847" s="1">
        <f>+K1847-J1847</f>
        <v>9.3100002024323024E-4</v>
      </c>
      <c r="M1847" s="1">
        <v>2.0610000202432302E-3</v>
      </c>
      <c r="N1847" s="1">
        <f>+M1847-J1847</f>
        <v>4.9310000202432303E-3</v>
      </c>
      <c r="O1847">
        <v>2.13</v>
      </c>
      <c r="P1847" t="s">
        <v>15</v>
      </c>
      <c r="Q1847">
        <v>0.03</v>
      </c>
      <c r="R1847">
        <v>9.3491997718810997E-3</v>
      </c>
      <c r="S1847">
        <v>1.8809308530762701E-2</v>
      </c>
      <c r="T1847">
        <v>-0.01</v>
      </c>
    </row>
    <row r="1848" spans="1:20" x14ac:dyDescent="0.3">
      <c r="A1848" t="s">
        <v>133</v>
      </c>
      <c r="B1848">
        <v>2010</v>
      </c>
      <c r="C1848">
        <v>5984665</v>
      </c>
      <c r="D1848" s="1">
        <v>4.0000000000000001E-3</v>
      </c>
      <c r="E1848" s="1">
        <v>0.93224465847015403</v>
      </c>
      <c r="F1848" s="1">
        <v>3.0000000000000001E-3</v>
      </c>
      <c r="G1848" s="1">
        <f t="shared" si="56"/>
        <v>-1.4999999999999999E-2</v>
      </c>
      <c r="H1848" s="1" t="str">
        <f t="shared" si="57"/>
        <v/>
      </c>
      <c r="I1848" s="1">
        <v>5.0000000000000001E-3</v>
      </c>
      <c r="J1848" s="1">
        <f>+D1848-F1848+I1848*O1848</f>
        <v>1.1700000000000002E-2</v>
      </c>
      <c r="K1848" s="1">
        <v>2.53491997718811E-2</v>
      </c>
      <c r="L1848" s="1">
        <f>+K1848-J1848</f>
        <v>1.3649199771881098E-2</v>
      </c>
      <c r="M1848" s="1">
        <v>9.3491997718810997E-3</v>
      </c>
      <c r="N1848" s="1">
        <f>+M1848-J1848</f>
        <v>-2.3508002281189024E-3</v>
      </c>
      <c r="O1848">
        <v>2.14</v>
      </c>
      <c r="P1848" t="s">
        <v>15</v>
      </c>
      <c r="Q1848">
        <v>0.02</v>
      </c>
      <c r="R1848">
        <v>-2.3153636947274198E-2</v>
      </c>
      <c r="S1848">
        <v>-1.8698624335229E-3</v>
      </c>
      <c r="T1848">
        <v>-0.01</v>
      </c>
    </row>
    <row r="1849" spans="1:20" x14ac:dyDescent="0.3">
      <c r="A1849" t="s">
        <v>133</v>
      </c>
      <c r="B1849">
        <v>2011</v>
      </c>
      <c r="C1849">
        <v>6021996</v>
      </c>
      <c r="D1849" s="1">
        <v>2E-3</v>
      </c>
      <c r="E1849" s="1">
        <v>0.93335181474685702</v>
      </c>
      <c r="F1849" s="1">
        <v>1E-3</v>
      </c>
      <c r="G1849" s="1">
        <f t="shared" si="56"/>
        <v>-1.3999999999999999E-2</v>
      </c>
      <c r="H1849" s="1" t="str">
        <f t="shared" si="57"/>
        <v/>
      </c>
      <c r="I1849" s="1">
        <v>1E-3</v>
      </c>
      <c r="J1849" s="1">
        <f>+D1849-F1849+I1849*O1849</f>
        <v>3.14E-3</v>
      </c>
      <c r="K1849" s="1">
        <v>8.8463630527257902E-3</v>
      </c>
      <c r="L1849" s="1">
        <f>+K1849-J1849</f>
        <v>5.7063630527257898E-3</v>
      </c>
      <c r="M1849" s="1">
        <v>-2.3153636947274198E-2</v>
      </c>
      <c r="N1849" s="1">
        <f>+M1849-J1849</f>
        <v>-2.6293636947274199E-2</v>
      </c>
      <c r="O1849">
        <v>2.14</v>
      </c>
      <c r="P1849" t="s">
        <v>15</v>
      </c>
      <c r="Q1849">
        <v>0</v>
      </c>
      <c r="R1849">
        <v>-8.0276600122452003E-3</v>
      </c>
      <c r="S1849">
        <v>-2.5894539430737998E-3</v>
      </c>
      <c r="T1849">
        <v>0</v>
      </c>
    </row>
    <row r="1850" spans="1:20" x14ac:dyDescent="0.3">
      <c r="A1850" t="s">
        <v>133</v>
      </c>
      <c r="B1850">
        <v>2012</v>
      </c>
      <c r="C1850">
        <v>6055300</v>
      </c>
      <c r="D1850" s="1">
        <v>6.0000000000000001E-3</v>
      </c>
      <c r="E1850" s="1">
        <v>0.93672275543212902</v>
      </c>
      <c r="F1850" s="1">
        <v>1.2999999999999999E-2</v>
      </c>
      <c r="G1850" s="1">
        <f t="shared" si="56"/>
        <v>-9.9999999999999915E-4</v>
      </c>
      <c r="H1850" s="1" t="str">
        <f t="shared" si="57"/>
        <v/>
      </c>
      <c r="I1850" s="1">
        <v>3.0000000000000001E-3</v>
      </c>
      <c r="J1850" s="1">
        <f>+D1850-F1850+I1850*O1850</f>
        <v>-4.8999999999999912E-4</v>
      </c>
      <c r="K1850" s="1">
        <v>1.2972339987754799E-2</v>
      </c>
      <c r="L1850" s="1">
        <f>+K1850-J1850</f>
        <v>1.3462339987754798E-2</v>
      </c>
      <c r="M1850" s="1">
        <v>-8.0276600122452003E-3</v>
      </c>
      <c r="N1850" s="1">
        <f>+M1850-J1850</f>
        <v>-7.5376600122452012E-3</v>
      </c>
      <c r="O1850">
        <v>2.17</v>
      </c>
      <c r="P1850" t="s">
        <v>15</v>
      </c>
      <c r="Q1850">
        <v>0</v>
      </c>
      <c r="R1850">
        <v>-1.2953359261154999E-3</v>
      </c>
      <c r="S1850">
        <v>-7.4221072718501004E-3</v>
      </c>
      <c r="T1850">
        <v>0.01</v>
      </c>
    </row>
    <row r="1851" spans="1:20" x14ac:dyDescent="0.3">
      <c r="A1851" t="s">
        <v>133</v>
      </c>
      <c r="B1851">
        <v>2013</v>
      </c>
      <c r="C1851">
        <v>6082910</v>
      </c>
      <c r="D1851" s="1">
        <v>1.4E-2</v>
      </c>
      <c r="E1851" s="1">
        <v>0.93584614992141701</v>
      </c>
      <c r="F1851" s="1">
        <v>-1E-3</v>
      </c>
      <c r="G1851" s="1">
        <f t="shared" si="56"/>
        <v>-1.9999999999999992E-3</v>
      </c>
      <c r="H1851" s="1" t="str">
        <f t="shared" si="57"/>
        <v/>
      </c>
      <c r="I1851" s="1">
        <v>-1E-3</v>
      </c>
      <c r="J1851" s="1">
        <f>+D1851-F1851+I1851*O1851</f>
        <v>1.2829999999999999E-2</v>
      </c>
      <c r="K1851" s="1">
        <v>1.3704664073884499E-2</v>
      </c>
      <c r="L1851" s="1">
        <f>+K1851-J1851</f>
        <v>8.746640738844999E-4</v>
      </c>
      <c r="M1851" s="1">
        <v>-1.2953359261154999E-3</v>
      </c>
      <c r="N1851" s="1">
        <f>+M1851-J1851</f>
        <v>-1.41253359261155E-2</v>
      </c>
      <c r="O1851">
        <v>2.17</v>
      </c>
      <c r="P1851" t="s">
        <v>16</v>
      </c>
      <c r="Q1851">
        <v>-0.01</v>
      </c>
      <c r="R1851">
        <v>-2.7358841001987001E-3</v>
      </c>
      <c r="S1851">
        <v>-4.7439076006412003E-3</v>
      </c>
      <c r="T1851">
        <v>-0.01</v>
      </c>
    </row>
    <row r="1852" spans="1:20" x14ac:dyDescent="0.3">
      <c r="A1852" t="s">
        <v>133</v>
      </c>
      <c r="B1852">
        <v>2014</v>
      </c>
      <c r="C1852">
        <v>6113104</v>
      </c>
      <c r="D1852" s="1">
        <v>1.2E-2</v>
      </c>
      <c r="E1852" s="1">
        <v>0.93796712160110496</v>
      </c>
      <c r="F1852" s="1">
        <v>-7.0000000000000001E-3</v>
      </c>
      <c r="G1852" s="1">
        <f t="shared" si="56"/>
        <v>-8.9999999999999993E-3</v>
      </c>
      <c r="H1852" s="1" t="str">
        <f t="shared" si="57"/>
        <v/>
      </c>
      <c r="I1852" s="1">
        <v>2E-3</v>
      </c>
      <c r="J1852" s="1">
        <f>+D1852-F1852+I1852*O1852</f>
        <v>2.3300000000000001E-2</v>
      </c>
      <c r="K1852" s="1">
        <v>1.3264115899801299E-2</v>
      </c>
      <c r="L1852" s="1">
        <f>+K1852-J1852</f>
        <v>-1.0035884100198702E-2</v>
      </c>
      <c r="M1852" s="1">
        <v>-2.7358841001987001E-3</v>
      </c>
      <c r="N1852" s="1">
        <f>+M1852-J1852</f>
        <v>-2.6035884100198702E-2</v>
      </c>
      <c r="O1852">
        <v>2.15</v>
      </c>
      <c r="P1852" t="s">
        <v>17</v>
      </c>
      <c r="Q1852">
        <v>0</v>
      </c>
      <c r="R1852">
        <v>2.9466811731457699E-2</v>
      </c>
      <c r="S1852">
        <v>-7.96640291809997E-4</v>
      </c>
      <c r="T1852">
        <v>-0.01</v>
      </c>
    </row>
    <row r="1853" spans="1:20" x14ac:dyDescent="0.3">
      <c r="A1853" t="s">
        <v>133</v>
      </c>
      <c r="B1853">
        <v>2015</v>
      </c>
      <c r="C1853">
        <v>6136328</v>
      </c>
      <c r="D1853" s="1">
        <v>1.6E-2</v>
      </c>
      <c r="E1853" s="1">
        <v>0.93904161453247104</v>
      </c>
      <c r="F1853" s="1">
        <v>4.1000000000000002E-2</v>
      </c>
      <c r="G1853" s="1">
        <f t="shared" si="56"/>
        <v>3.2000000000000001E-2</v>
      </c>
      <c r="H1853" s="1" t="str">
        <f t="shared" si="57"/>
        <v/>
      </c>
      <c r="I1853" s="1">
        <v>1E-3</v>
      </c>
      <c r="J1853" s="1">
        <f>+D1853-F1853+I1853*O1853</f>
        <v>-2.2760000000000002E-2</v>
      </c>
      <c r="K1853" s="1">
        <v>3.04668117314577E-2</v>
      </c>
      <c r="L1853" s="1">
        <f>+K1853-J1853</f>
        <v>5.3226811731457699E-2</v>
      </c>
      <c r="M1853" s="1">
        <v>2.9466811731457699E-2</v>
      </c>
      <c r="N1853" s="1">
        <f>+M1853-J1853</f>
        <v>5.2226811731457698E-2</v>
      </c>
      <c r="O1853">
        <v>2.2400000000000002</v>
      </c>
      <c r="P1853" t="s">
        <v>15</v>
      </c>
      <c r="Q1853">
        <v>0</v>
      </c>
      <c r="R1853">
        <v>7.7286346703767904E-3</v>
      </c>
      <c r="S1853">
        <v>-5.4249223321676003E-3</v>
      </c>
      <c r="T1853">
        <v>0.05</v>
      </c>
    </row>
    <row r="1854" spans="1:20" x14ac:dyDescent="0.3">
      <c r="A1854" t="s">
        <v>133</v>
      </c>
      <c r="B1854">
        <v>2016</v>
      </c>
      <c r="C1854">
        <v>6160716</v>
      </c>
      <c r="D1854" s="1">
        <v>1.4E-2</v>
      </c>
      <c r="E1854" s="1">
        <v>0.93719428777694702</v>
      </c>
      <c r="F1854" s="1">
        <v>-2.9000000000000001E-2</v>
      </c>
      <c r="G1854" s="1">
        <f t="shared" si="56"/>
        <v>2.9999999999999992E-3</v>
      </c>
      <c r="H1854" s="1" t="str">
        <f t="shared" si="57"/>
        <v/>
      </c>
      <c r="I1854" s="1">
        <v>-2E-3</v>
      </c>
      <c r="J1854" s="1">
        <f>+D1854-F1854+I1854*O1854</f>
        <v>3.8640000000000001E-2</v>
      </c>
      <c r="K1854" s="1">
        <v>2.0728634670376798E-2</v>
      </c>
      <c r="L1854" s="1">
        <f>+K1854-J1854</f>
        <v>-1.7911365329623202E-2</v>
      </c>
      <c r="M1854" s="1">
        <v>7.7286346703767904E-3</v>
      </c>
      <c r="N1854" s="1">
        <f>+M1854-J1854</f>
        <v>-3.091136532962321E-2</v>
      </c>
      <c r="O1854">
        <v>2.1800000000000002</v>
      </c>
      <c r="P1854" t="s">
        <v>16</v>
      </c>
      <c r="Q1854">
        <v>-0.01</v>
      </c>
      <c r="R1854">
        <v>1.3711833953859701E-4</v>
      </c>
      <c r="S1854">
        <v>-2.6524551212786999E-3</v>
      </c>
      <c r="T1854">
        <v>-0.03</v>
      </c>
    </row>
    <row r="1855" spans="1:20" x14ac:dyDescent="0.3">
      <c r="A1855" t="s">
        <v>133</v>
      </c>
      <c r="B1855">
        <v>2017</v>
      </c>
      <c r="C1855">
        <v>6186663</v>
      </c>
      <c r="D1855" s="1">
        <v>1.7999999999999999E-2</v>
      </c>
      <c r="E1855" s="1">
        <v>0.93705135583877597</v>
      </c>
      <c r="F1855" s="1">
        <v>-4.2000000000000003E-2</v>
      </c>
      <c r="G1855" s="1">
        <f t="shared" si="56"/>
        <v>-3.9000000000000007E-2</v>
      </c>
      <c r="H1855" s="1" t="str">
        <f t="shared" si="57"/>
        <v/>
      </c>
      <c r="I1855" s="1">
        <v>0</v>
      </c>
      <c r="J1855" s="1">
        <f>+D1855-F1855+I1855*O1855</f>
        <v>0.06</v>
      </c>
      <c r="K1855" s="1">
        <v>2.1137118339538599E-2</v>
      </c>
      <c r="L1855" s="1">
        <f>+K1855-J1855</f>
        <v>-3.8862881660461396E-2</v>
      </c>
      <c r="M1855" s="1">
        <v>1.3711833953859701E-4</v>
      </c>
      <c r="N1855" s="1">
        <f>+M1855-J1855</f>
        <v>-5.9862881660461401E-2</v>
      </c>
      <c r="O1855">
        <v>2.08</v>
      </c>
      <c r="P1855" t="s">
        <v>16</v>
      </c>
      <c r="Q1855">
        <v>0</v>
      </c>
      <c r="R1855">
        <v>1.04103947281836E-2</v>
      </c>
      <c r="S1855">
        <v>1.2753717601299E-3</v>
      </c>
      <c r="T1855">
        <v>-0.04</v>
      </c>
    </row>
    <row r="1856" spans="1:20" x14ac:dyDescent="0.3">
      <c r="A1856" t="s">
        <v>133</v>
      </c>
      <c r="B1856">
        <v>2018</v>
      </c>
      <c r="C1856">
        <v>6212725</v>
      </c>
      <c r="D1856" s="1">
        <v>2.1000000000000001E-2</v>
      </c>
      <c r="E1856" s="1">
        <v>0.94012361764907804</v>
      </c>
      <c r="F1856" s="1">
        <v>2.8000000000000001E-2</v>
      </c>
      <c r="G1856" s="1">
        <f t="shared" si="56"/>
        <v>-1.1000000000000006E-2</v>
      </c>
      <c r="H1856" s="1" t="str">
        <f t="shared" si="57"/>
        <v/>
      </c>
      <c r="I1856" s="1">
        <v>3.0000000000000001E-3</v>
      </c>
      <c r="J1856" s="1">
        <f>+D1856-F1856+I1856*O1856</f>
        <v>-5.7999999999999892E-4</v>
      </c>
      <c r="K1856" s="1">
        <v>3.4410394728183698E-2</v>
      </c>
      <c r="L1856" s="1">
        <f>+K1856-J1856</f>
        <v>3.4990394728183695E-2</v>
      </c>
      <c r="M1856" s="1">
        <v>1.04103947281836E-2</v>
      </c>
      <c r="N1856" s="1">
        <f>+M1856-J1856</f>
        <v>1.0990394728183599E-2</v>
      </c>
      <c r="O1856">
        <v>2.14</v>
      </c>
      <c r="P1856" t="s">
        <v>15</v>
      </c>
      <c r="Q1856">
        <v>0</v>
      </c>
      <c r="R1856">
        <v>1.82748131155968E-2</v>
      </c>
      <c r="S1856">
        <v>4.73618507385295E-4</v>
      </c>
      <c r="T1856">
        <v>0.04</v>
      </c>
    </row>
    <row r="1857" spans="1:20" x14ac:dyDescent="0.3">
      <c r="A1857" t="s">
        <v>133</v>
      </c>
      <c r="B1857">
        <v>2019</v>
      </c>
      <c r="C1857">
        <v>6234104</v>
      </c>
      <c r="D1857" s="1">
        <v>1.7999999999999999E-2</v>
      </c>
      <c r="E1857" s="1">
        <v>0.94243681430816695</v>
      </c>
      <c r="F1857" s="1">
        <v>1E-3</v>
      </c>
      <c r="G1857" s="1">
        <f t="shared" si="56"/>
        <v>-1.0000000000000005E-2</v>
      </c>
      <c r="H1857" s="1" t="str">
        <f t="shared" si="57"/>
        <v/>
      </c>
      <c r="I1857" s="1">
        <v>2E-3</v>
      </c>
      <c r="J1857" s="1">
        <f>+D1857-F1857+I1857*O1857</f>
        <v>2.1279999999999997E-2</v>
      </c>
      <c r="K1857" s="1">
        <v>3.6274813115596799E-2</v>
      </c>
      <c r="L1857" s="1">
        <f>+K1857-J1857</f>
        <v>1.4994813115596802E-2</v>
      </c>
      <c r="M1857" s="1">
        <v>1.82748131155968E-2</v>
      </c>
      <c r="N1857" s="1">
        <f>+M1857-J1857</f>
        <v>-3.0051868844031965E-3</v>
      </c>
      <c r="O1857">
        <v>2.14</v>
      </c>
      <c r="P1857" t="s">
        <v>15</v>
      </c>
      <c r="Q1857">
        <v>0</v>
      </c>
      <c r="R1857">
        <v>6.5883361846208899E-3</v>
      </c>
      <c r="S1857">
        <v>-1.22608542442321E-2</v>
      </c>
      <c r="T1857">
        <v>0.01</v>
      </c>
    </row>
    <row r="1858" spans="1:20" x14ac:dyDescent="0.3">
      <c r="A1858" t="s">
        <v>133</v>
      </c>
      <c r="B1858">
        <v>2020</v>
      </c>
      <c r="C1858">
        <v>6245126</v>
      </c>
      <c r="D1858" s="1">
        <v>2.5999999999999999E-2</v>
      </c>
      <c r="E1858" s="1">
        <v>0.94071018695831299</v>
      </c>
      <c r="F1858" s="1">
        <v>-1.6E-2</v>
      </c>
      <c r="G1858" s="1">
        <f t="shared" si="56"/>
        <v>-2.6000000000000006E-2</v>
      </c>
      <c r="H1858" s="1" t="str">
        <f t="shared" si="57"/>
        <v/>
      </c>
      <c r="I1858" s="1">
        <v>-2E-3</v>
      </c>
      <c r="J1858" s="1">
        <f>+D1858-F1858+I1858*O1858</f>
        <v>3.7779999999999994E-2</v>
      </c>
      <c r="K1858" s="1">
        <v>1.8588336184620899E-2</v>
      </c>
      <c r="L1858" s="1">
        <f>+K1858-J1858</f>
        <v>-1.9191663815379095E-2</v>
      </c>
      <c r="M1858" s="1">
        <v>6.5883361846208899E-3</v>
      </c>
      <c r="N1858" s="1">
        <f>+M1858-J1858</f>
        <v>-3.1191663815379106E-2</v>
      </c>
      <c r="O1858">
        <v>2.11</v>
      </c>
      <c r="P1858" t="s">
        <v>16</v>
      </c>
      <c r="Q1858">
        <v>-0.01</v>
      </c>
      <c r="R1858">
        <v>4.3650051832199097E-2</v>
      </c>
      <c r="S1858">
        <v>6.0439109802190501E-5</v>
      </c>
      <c r="T1858">
        <v>0.02</v>
      </c>
    </row>
    <row r="1859" spans="1:20" x14ac:dyDescent="0.3">
      <c r="A1859" t="s">
        <v>133</v>
      </c>
      <c r="B1859">
        <v>2021</v>
      </c>
      <c r="C1859">
        <v>6252441</v>
      </c>
      <c r="D1859" s="1">
        <v>2.1000000000000001E-2</v>
      </c>
      <c r="E1859" s="1">
        <v>0.95946186780929599</v>
      </c>
      <c r="F1859" s="1">
        <v>-8.0000000000000002E-3</v>
      </c>
      <c r="G1859" s="1">
        <f t="shared" si="56"/>
        <v>-3.4000000000000002E-2</v>
      </c>
      <c r="H1859" s="1" t="str">
        <f t="shared" si="57"/>
        <v/>
      </c>
      <c r="I1859" s="1">
        <v>1.9E-2</v>
      </c>
      <c r="J1859" s="1">
        <f>+D1859-F1859+I1859*O1859</f>
        <v>6.8709999999999993E-2</v>
      </c>
      <c r="K1859" s="1">
        <v>9.0650051832199097E-2</v>
      </c>
      <c r="L1859" s="1">
        <f>+K1859-J1859</f>
        <v>2.1940051832199103E-2</v>
      </c>
      <c r="M1859" s="1">
        <v>4.3650051832199097E-2</v>
      </c>
      <c r="N1859" s="1">
        <f>+M1859-J1859</f>
        <v>-2.5059948167800897E-2</v>
      </c>
      <c r="O1859">
        <v>2.09</v>
      </c>
      <c r="P1859" t="s">
        <v>17</v>
      </c>
      <c r="Q1859">
        <v>0</v>
      </c>
      <c r="R1859">
        <v>-4.25570140779018E-2</v>
      </c>
      <c r="S1859">
        <v>-1.0453507304191499E-2</v>
      </c>
      <c r="T1859">
        <v>-0.04</v>
      </c>
    </row>
    <row r="1860" spans="1:20" x14ac:dyDescent="0.3">
      <c r="A1860" t="s">
        <v>133</v>
      </c>
      <c r="B1860">
        <v>2022</v>
      </c>
      <c r="C1860">
        <v>6258111</v>
      </c>
      <c r="D1860" s="1">
        <v>1.7999999999999999E-2</v>
      </c>
      <c r="E1860" s="1">
        <v>0.94658333063125599</v>
      </c>
      <c r="F1860" s="1">
        <v>-6.0000000000000001E-3</v>
      </c>
      <c r="G1860" s="1">
        <f t="shared" si="56"/>
        <v>-0.04</v>
      </c>
      <c r="H1860" s="1" t="str">
        <f t="shared" si="57"/>
        <v/>
      </c>
      <c r="I1860" s="1">
        <v>-1.2999999999999999E-2</v>
      </c>
      <c r="J1860" s="1">
        <f>+D1860-F1860+I1860*O1860</f>
        <v>-3.0399999999999976E-3</v>
      </c>
      <c r="K1860" s="1">
        <v>3.7442985922098201E-2</v>
      </c>
      <c r="L1860" s="1">
        <f>+K1860-J1860</f>
        <v>4.0482985922098202E-2</v>
      </c>
      <c r="M1860" s="1">
        <v>-4.25570140779018E-2</v>
      </c>
      <c r="N1860" s="1">
        <f>+M1860-J1860</f>
        <v>-3.9517014077901799E-2</v>
      </c>
      <c r="O1860">
        <v>2.08</v>
      </c>
      <c r="P1860" t="s">
        <v>16</v>
      </c>
      <c r="Q1860">
        <v>-0.01</v>
      </c>
      <c r="R1860">
        <v>-1.96406103521585E-2</v>
      </c>
      <c r="S1860">
        <v>-8.1682577729200805E-5</v>
      </c>
      <c r="T1860">
        <v>0.01</v>
      </c>
    </row>
    <row r="1861" spans="1:20" x14ac:dyDescent="0.3">
      <c r="A1861" t="s">
        <v>134</v>
      </c>
      <c r="B1861">
        <v>2006</v>
      </c>
      <c r="C1861">
        <v>3939969</v>
      </c>
      <c r="D1861" s="1">
        <v>1.2999999999999999E-2</v>
      </c>
      <c r="E1861" s="1">
        <v>0.92511963844299305</v>
      </c>
      <c r="F1861" s="1">
        <v>1.2E-2</v>
      </c>
      <c r="G1861" s="1">
        <f t="shared" si="56"/>
        <v>1.2E-2</v>
      </c>
      <c r="H1861" s="1" t="str">
        <f t="shared" si="57"/>
        <v/>
      </c>
      <c r="I1861" s="1">
        <v>-5.0000000000000001E-3</v>
      </c>
      <c r="J1861" s="1">
        <f>+D1861-F1861+I1861*O1861</f>
        <v>-1.1450000000000002E-2</v>
      </c>
      <c r="K1861" s="1">
        <v>5.5744357407093E-2</v>
      </c>
      <c r="L1861" s="1">
        <f>+K1861-J1861</f>
        <v>6.7194357407093008E-2</v>
      </c>
      <c r="M1861" s="1">
        <v>2.3744357407092999E-2</v>
      </c>
      <c r="N1861" s="1">
        <f>+M1861-J1861</f>
        <v>3.5194357407093001E-2</v>
      </c>
      <c r="O1861">
        <v>2.4900000000000002</v>
      </c>
      <c r="P1861" t="s">
        <v>17</v>
      </c>
      <c r="Q1861">
        <v>0.02</v>
      </c>
      <c r="R1861">
        <v>-8.2214762419461993E-3</v>
      </c>
      <c r="S1861">
        <v>-7.2997203096746999E-3</v>
      </c>
      <c r="T1861">
        <v>0.01</v>
      </c>
    </row>
    <row r="1862" spans="1:20" x14ac:dyDescent="0.3">
      <c r="A1862" t="s">
        <v>134</v>
      </c>
      <c r="B1862">
        <v>2007</v>
      </c>
      <c r="C1862">
        <v>4040162</v>
      </c>
      <c r="D1862" s="1">
        <v>1.7000000000000001E-2</v>
      </c>
      <c r="E1862" s="1">
        <v>0.89435559511184703</v>
      </c>
      <c r="F1862" s="1">
        <v>8.0000000000000002E-3</v>
      </c>
      <c r="G1862" s="1">
        <f t="shared" si="56"/>
        <v>0.02</v>
      </c>
      <c r="H1862" s="1" t="str">
        <f t="shared" si="57"/>
        <v/>
      </c>
      <c r="I1862" s="1">
        <v>-3.1E-2</v>
      </c>
      <c r="J1862" s="1">
        <f>+D1862-F1862+I1862*O1862</f>
        <v>-6.8809999999999982E-2</v>
      </c>
      <c r="K1862" s="1">
        <v>2.07785237580538E-2</v>
      </c>
      <c r="L1862" s="1">
        <f>+K1862-J1862</f>
        <v>8.958852375805379E-2</v>
      </c>
      <c r="M1862" s="1">
        <v>-8.2214762419461993E-3</v>
      </c>
      <c r="N1862" s="1">
        <f>+M1862-J1862</f>
        <v>6.0588523758053785E-2</v>
      </c>
      <c r="O1862">
        <v>2.5099999999999998</v>
      </c>
      <c r="P1862" t="s">
        <v>17</v>
      </c>
      <c r="Q1862">
        <v>-0.01</v>
      </c>
      <c r="R1862">
        <v>-7.3075232386589098E-2</v>
      </c>
      <c r="S1862">
        <v>-4.3564428109675597E-2</v>
      </c>
      <c r="T1862">
        <v>0.01</v>
      </c>
    </row>
    <row r="1863" spans="1:20" x14ac:dyDescent="0.3">
      <c r="A1863" t="s">
        <v>134</v>
      </c>
      <c r="B1863">
        <v>2008</v>
      </c>
      <c r="C1863">
        <v>4118356</v>
      </c>
      <c r="D1863" s="1">
        <v>3.4000000000000002E-2</v>
      </c>
      <c r="E1863" s="1">
        <v>0.87782853841781605</v>
      </c>
      <c r="F1863" s="1">
        <v>8.0000000000000002E-3</v>
      </c>
      <c r="G1863" s="1">
        <f t="shared" ref="G1863:G1926" si="58">SUMIFS(F:F,A:A,A1863,B:B,"&lt;="&amp;B1863)</f>
        <v>2.8000000000000001E-2</v>
      </c>
      <c r="H1863" s="1" t="str">
        <f t="shared" ref="H1863:H1926" si="59">IFERROR(IF(ABS(G1863)&gt;0.12,AVERAGEIFS(K:K,A:A,A1863,B:B,"&gt;"&amp;B1863,B:B,"&lt;"&amp;B1863+3),""),"")</f>
        <v/>
      </c>
      <c r="I1863" s="1">
        <v>-1.7000000000000001E-2</v>
      </c>
      <c r="J1863" s="1">
        <f>+D1863-F1863+I1863*O1863</f>
        <v>-1.7009999999999997E-2</v>
      </c>
      <c r="K1863" s="1">
        <v>-3.5075232386589099E-2</v>
      </c>
      <c r="L1863" s="1">
        <f>+K1863-J1863</f>
        <v>-1.8065232386589102E-2</v>
      </c>
      <c r="M1863" s="1">
        <v>-7.3075232386589098E-2</v>
      </c>
      <c r="N1863" s="1">
        <f>+M1863-J1863</f>
        <v>-5.6065232386589101E-2</v>
      </c>
      <c r="O1863">
        <v>2.5299999999999998</v>
      </c>
      <c r="P1863" t="s">
        <v>17</v>
      </c>
      <c r="Q1863">
        <v>-0.04</v>
      </c>
      <c r="R1863">
        <v>-6.4497143685817701E-2</v>
      </c>
      <c r="S1863">
        <v>-3.7930442020297002E-2</v>
      </c>
      <c r="T1863">
        <v>0.01</v>
      </c>
    </row>
    <row r="1864" spans="1:20" x14ac:dyDescent="0.3">
      <c r="A1864" t="s">
        <v>134</v>
      </c>
      <c r="B1864">
        <v>2009</v>
      </c>
      <c r="C1864">
        <v>4165369.25</v>
      </c>
      <c r="D1864" s="1">
        <v>2.4E-2</v>
      </c>
      <c r="E1864" s="1">
        <v>0.87123697996139504</v>
      </c>
      <c r="F1864" s="1">
        <v>1.6E-2</v>
      </c>
      <c r="G1864" s="1">
        <f t="shared" si="58"/>
        <v>4.3999999999999997E-2</v>
      </c>
      <c r="H1864" s="1" t="str">
        <f t="shared" si="59"/>
        <v/>
      </c>
      <c r="I1864" s="1">
        <v>-7.0000000000000001E-3</v>
      </c>
      <c r="J1864" s="1">
        <f>+D1864-F1864+I1864*O1864</f>
        <v>-9.9899999999999989E-3</v>
      </c>
      <c r="K1864" s="1">
        <v>-6.8497143685817705E-2</v>
      </c>
      <c r="L1864" s="1">
        <f>+K1864-J1864</f>
        <v>-5.8507143685817706E-2</v>
      </c>
      <c r="M1864" s="1">
        <v>-6.4497143685817701E-2</v>
      </c>
      <c r="N1864" s="1">
        <f>+M1864-J1864</f>
        <v>-5.4507143685817702E-2</v>
      </c>
      <c r="O1864">
        <v>2.57</v>
      </c>
      <c r="P1864" t="s">
        <v>17</v>
      </c>
      <c r="Q1864">
        <v>-0.04</v>
      </c>
      <c r="R1864">
        <v>3.9618910849089798E-4</v>
      </c>
      <c r="S1864">
        <v>9.85629786737258E-3</v>
      </c>
      <c r="T1864">
        <v>0</v>
      </c>
    </row>
    <row r="1865" spans="1:20" x14ac:dyDescent="0.3">
      <c r="A1865" t="s">
        <v>134</v>
      </c>
      <c r="B1865">
        <v>2010</v>
      </c>
      <c r="C1865">
        <v>4207301</v>
      </c>
      <c r="D1865" s="1">
        <v>0</v>
      </c>
      <c r="E1865" s="1">
        <v>0.89023494720458995</v>
      </c>
      <c r="F1865" s="1">
        <v>8.0000000000000002E-3</v>
      </c>
      <c r="G1865" s="1">
        <f t="shared" si="58"/>
        <v>5.1999999999999998E-2</v>
      </c>
      <c r="H1865" s="1" t="str">
        <f t="shared" si="59"/>
        <v/>
      </c>
      <c r="I1865" s="1">
        <v>1.9E-2</v>
      </c>
      <c r="J1865" s="1">
        <f>+D1865-F1865+I1865*O1865</f>
        <v>4.1209999999999997E-2</v>
      </c>
      <c r="K1865" s="1">
        <v>1.6396189108490899E-2</v>
      </c>
      <c r="L1865" s="1">
        <f>+K1865-J1865</f>
        <v>-2.4813810891509098E-2</v>
      </c>
      <c r="M1865" s="1">
        <v>3.9618910849089798E-4</v>
      </c>
      <c r="N1865" s="1">
        <f>+M1865-J1865</f>
        <v>-4.0813810891509102E-2</v>
      </c>
      <c r="O1865">
        <v>2.59</v>
      </c>
      <c r="P1865" t="s">
        <v>15</v>
      </c>
      <c r="Q1865">
        <v>0.01</v>
      </c>
      <c r="R1865">
        <v>-1.9079500220716E-2</v>
      </c>
      <c r="S1865">
        <v>2.2042742930353E-3</v>
      </c>
      <c r="T1865">
        <v>0</v>
      </c>
    </row>
    <row r="1866" spans="1:20" x14ac:dyDescent="0.3">
      <c r="A1866" t="s">
        <v>134</v>
      </c>
      <c r="B1866">
        <v>2011</v>
      </c>
      <c r="C1866">
        <v>4243959</v>
      </c>
      <c r="D1866" s="1">
        <v>0</v>
      </c>
      <c r="E1866" s="1">
        <v>0.90227365493774403</v>
      </c>
      <c r="F1866" s="1">
        <v>-1.2E-2</v>
      </c>
      <c r="G1866" s="1">
        <f t="shared" si="58"/>
        <v>3.9999999999999994E-2</v>
      </c>
      <c r="H1866" s="1" t="str">
        <f t="shared" si="59"/>
        <v/>
      </c>
      <c r="I1866" s="1">
        <v>1.2E-2</v>
      </c>
      <c r="J1866" s="1">
        <f>+D1866-F1866+I1866*O1866</f>
        <v>4.2720000000000001E-2</v>
      </c>
      <c r="K1866" s="1">
        <v>1.2920499779284E-2</v>
      </c>
      <c r="L1866" s="1">
        <f>+K1866-J1866</f>
        <v>-2.9799500220716001E-2</v>
      </c>
      <c r="M1866" s="1">
        <v>-1.9079500220716E-2</v>
      </c>
      <c r="N1866" s="1">
        <f>+M1866-J1866</f>
        <v>-6.1799500220716001E-2</v>
      </c>
      <c r="O1866">
        <v>2.56</v>
      </c>
      <c r="P1866" t="s">
        <v>17</v>
      </c>
      <c r="Q1866">
        <v>0</v>
      </c>
      <c r="R1866">
        <v>-2.9199703633785001E-3</v>
      </c>
      <c r="S1866">
        <v>2.51823570579289E-3</v>
      </c>
      <c r="T1866">
        <v>-0.01</v>
      </c>
    </row>
    <row r="1867" spans="1:20" x14ac:dyDescent="0.3">
      <c r="A1867" t="s">
        <v>134</v>
      </c>
      <c r="B1867">
        <v>2012</v>
      </c>
      <c r="C1867">
        <v>4301633</v>
      </c>
      <c r="D1867" s="1">
        <v>2E-3</v>
      </c>
      <c r="E1867" s="1">
        <v>0.91559576988220204</v>
      </c>
      <c r="F1867" s="1">
        <v>-5.0000000000000001E-3</v>
      </c>
      <c r="G1867" s="1">
        <f t="shared" si="58"/>
        <v>3.4999999999999996E-2</v>
      </c>
      <c r="H1867" s="1" t="str">
        <f t="shared" si="59"/>
        <v/>
      </c>
      <c r="I1867" s="1">
        <v>1.2999999999999999E-2</v>
      </c>
      <c r="J1867" s="1">
        <f>+D1867-F1867+I1867*O1867</f>
        <v>4.0149999999999998E-2</v>
      </c>
      <c r="K1867" s="1">
        <v>1.80800296366215E-2</v>
      </c>
      <c r="L1867" s="1">
        <f>+K1867-J1867</f>
        <v>-2.2069970363378499E-2</v>
      </c>
      <c r="M1867" s="1">
        <v>-2.9199703633785001E-3</v>
      </c>
      <c r="N1867" s="1">
        <f>+M1867-J1867</f>
        <v>-4.30699703633785E-2</v>
      </c>
      <c r="O1867">
        <v>2.5499999999999998</v>
      </c>
      <c r="P1867" t="s">
        <v>17</v>
      </c>
      <c r="Q1867">
        <v>0</v>
      </c>
      <c r="R1867">
        <v>8.7337015569209902E-3</v>
      </c>
      <c r="S1867">
        <v>2.6069302111863899E-3</v>
      </c>
      <c r="T1867">
        <v>-0.01</v>
      </c>
    </row>
    <row r="1868" spans="1:20" x14ac:dyDescent="0.3">
      <c r="A1868" t="s">
        <v>134</v>
      </c>
      <c r="B1868">
        <v>2013</v>
      </c>
      <c r="C1868">
        <v>4358818</v>
      </c>
      <c r="D1868" s="1">
        <v>0.01</v>
      </c>
      <c r="E1868" s="1">
        <v>0.92094480991363503</v>
      </c>
      <c r="F1868" s="1">
        <v>1.7000000000000001E-2</v>
      </c>
      <c r="G1868" s="1">
        <f t="shared" si="58"/>
        <v>5.1999999999999998E-2</v>
      </c>
      <c r="H1868" s="1" t="str">
        <f t="shared" si="59"/>
        <v/>
      </c>
      <c r="I1868" s="1">
        <v>5.0000000000000001E-3</v>
      </c>
      <c r="J1868" s="1">
        <f>+D1868-F1868+I1868*O1868</f>
        <v>5.9499999999999987E-3</v>
      </c>
      <c r="K1868" s="1">
        <v>2.3733701556920998E-2</v>
      </c>
      <c r="L1868" s="1">
        <f>+K1868-J1868</f>
        <v>1.7783701556921001E-2</v>
      </c>
      <c r="M1868" s="1">
        <v>8.7337015569209902E-3</v>
      </c>
      <c r="N1868" s="1">
        <f>+M1868-J1868</f>
        <v>2.7837015569209915E-3</v>
      </c>
      <c r="O1868">
        <v>2.59</v>
      </c>
      <c r="P1868" t="s">
        <v>15</v>
      </c>
      <c r="Q1868">
        <v>0</v>
      </c>
      <c r="R1868">
        <v>1.2363136574626E-2</v>
      </c>
      <c r="S1868">
        <v>1.03551130741834E-2</v>
      </c>
      <c r="T1868">
        <v>0.01</v>
      </c>
    </row>
    <row r="1869" spans="1:20" x14ac:dyDescent="0.3">
      <c r="A1869" t="s">
        <v>134</v>
      </c>
      <c r="B1869">
        <v>2014</v>
      </c>
      <c r="C1869">
        <v>4427369</v>
      </c>
      <c r="D1869" s="1">
        <v>2.4E-2</v>
      </c>
      <c r="E1869" s="1">
        <v>0.92220377922058105</v>
      </c>
      <c r="F1869" s="1">
        <v>-3.0000000000000001E-3</v>
      </c>
      <c r="G1869" s="1">
        <f t="shared" si="58"/>
        <v>4.8999999999999995E-2</v>
      </c>
      <c r="H1869" s="1" t="str">
        <f t="shared" si="59"/>
        <v/>
      </c>
      <c r="I1869" s="1">
        <v>1E-3</v>
      </c>
      <c r="J1869" s="1">
        <f>+D1869-F1869+I1869*O1869</f>
        <v>2.9579999999999999E-2</v>
      </c>
      <c r="K1869" s="1">
        <v>2.8363136574626E-2</v>
      </c>
      <c r="L1869" s="1">
        <f>+K1869-J1869</f>
        <v>-1.2168634253739985E-3</v>
      </c>
      <c r="M1869" s="1">
        <v>1.2363136574626E-2</v>
      </c>
      <c r="N1869" s="1">
        <f>+M1869-J1869</f>
        <v>-1.7216863425373999E-2</v>
      </c>
      <c r="O1869">
        <v>2.58</v>
      </c>
      <c r="P1869" t="s">
        <v>17</v>
      </c>
      <c r="Q1869">
        <v>0.01</v>
      </c>
      <c r="R1869">
        <v>5.2192742168903399E-2</v>
      </c>
      <c r="S1869">
        <v>2.1929290145635699E-2</v>
      </c>
      <c r="T1869">
        <v>-0.01</v>
      </c>
    </row>
    <row r="1870" spans="1:20" x14ac:dyDescent="0.3">
      <c r="A1870" t="s">
        <v>134</v>
      </c>
      <c r="B1870">
        <v>2015</v>
      </c>
      <c r="C1870">
        <v>4499213</v>
      </c>
      <c r="D1870" s="1">
        <v>2.1999999999999999E-2</v>
      </c>
      <c r="E1870" s="1">
        <v>0.924982368946075</v>
      </c>
      <c r="F1870" s="1">
        <v>-5.0000000000000001E-3</v>
      </c>
      <c r="G1870" s="1">
        <f t="shared" si="58"/>
        <v>4.3999999999999997E-2</v>
      </c>
      <c r="H1870" s="1" t="str">
        <f t="shared" si="59"/>
        <v/>
      </c>
      <c r="I1870" s="1">
        <v>3.0000000000000001E-3</v>
      </c>
      <c r="J1870" s="1">
        <f>+D1870-F1870+I1870*O1870</f>
        <v>3.4709999999999998E-2</v>
      </c>
      <c r="K1870" s="1">
        <v>5.3192742168903399E-2</v>
      </c>
      <c r="L1870" s="1">
        <f>+K1870-J1870</f>
        <v>1.8482742168903402E-2</v>
      </c>
      <c r="M1870" s="1">
        <v>5.2192742168903399E-2</v>
      </c>
      <c r="N1870" s="1">
        <f>+M1870-J1870</f>
        <v>1.7482742168903401E-2</v>
      </c>
      <c r="O1870">
        <v>2.57</v>
      </c>
      <c r="P1870" t="s">
        <v>17</v>
      </c>
      <c r="Q1870">
        <v>0.02</v>
      </c>
      <c r="R1870">
        <v>2.76032837927341E-2</v>
      </c>
      <c r="S1870">
        <v>1.44497267901897E-2</v>
      </c>
      <c r="T1870">
        <v>0.01</v>
      </c>
    </row>
    <row r="1871" spans="1:20" x14ac:dyDescent="0.3">
      <c r="A1871" t="s">
        <v>134</v>
      </c>
      <c r="B1871">
        <v>2016</v>
      </c>
      <c r="C1871">
        <v>4572998</v>
      </c>
      <c r="D1871" s="1">
        <v>1.4999999999999999E-2</v>
      </c>
      <c r="E1871" s="1">
        <v>0.92648541927337602</v>
      </c>
      <c r="F1871" s="1">
        <v>0.02</v>
      </c>
      <c r="G1871" s="1">
        <f t="shared" si="58"/>
        <v>6.4000000000000001E-2</v>
      </c>
      <c r="H1871" s="1" t="str">
        <f t="shared" si="59"/>
        <v/>
      </c>
      <c r="I1871" s="1">
        <v>2E-3</v>
      </c>
      <c r="J1871" s="1">
        <f>+D1871-F1871+I1871*O1871</f>
        <v>2.3999999999999976E-4</v>
      </c>
      <c r="K1871" s="1">
        <v>4.0603283792734098E-2</v>
      </c>
      <c r="L1871" s="1">
        <f>+K1871-J1871</f>
        <v>4.03632837927341E-2</v>
      </c>
      <c r="M1871" s="1">
        <v>2.76032837927341E-2</v>
      </c>
      <c r="N1871" s="1">
        <f>+M1871-J1871</f>
        <v>2.7363283792734099E-2</v>
      </c>
      <c r="O1871">
        <v>2.62</v>
      </c>
      <c r="P1871" t="s">
        <v>15</v>
      </c>
      <c r="Q1871">
        <v>0.01</v>
      </c>
      <c r="R1871">
        <v>1.9579523891210499E-2</v>
      </c>
      <c r="S1871">
        <v>1.6789950430393299E-2</v>
      </c>
      <c r="T1871">
        <v>0.02</v>
      </c>
    </row>
    <row r="1872" spans="1:20" x14ac:dyDescent="0.3">
      <c r="A1872" t="s">
        <v>134</v>
      </c>
      <c r="B1872">
        <v>2017</v>
      </c>
      <c r="C1872">
        <v>4640609</v>
      </c>
      <c r="D1872" s="1">
        <v>2.1000000000000001E-2</v>
      </c>
      <c r="E1872" s="1">
        <v>0.92852461338043202</v>
      </c>
      <c r="F1872" s="1">
        <v>-4.8000000000000001E-2</v>
      </c>
      <c r="G1872" s="1">
        <f t="shared" si="58"/>
        <v>1.6E-2</v>
      </c>
      <c r="H1872" s="1" t="str">
        <f t="shared" si="59"/>
        <v/>
      </c>
      <c r="I1872" s="1">
        <v>2E-3</v>
      </c>
      <c r="J1872" s="1">
        <f>+D1872-F1872+I1872*O1872</f>
        <v>7.3980000000000004E-2</v>
      </c>
      <c r="K1872" s="1">
        <v>4.0579523891210598E-2</v>
      </c>
      <c r="L1872" s="1">
        <f>+K1872-J1872</f>
        <v>-3.3400476108789406E-2</v>
      </c>
      <c r="M1872" s="1">
        <v>1.9579523891210499E-2</v>
      </c>
      <c r="N1872" s="1">
        <f>+M1872-J1872</f>
        <v>-5.4400476108789508E-2</v>
      </c>
      <c r="O1872">
        <v>2.4900000000000002</v>
      </c>
      <c r="P1872" t="s">
        <v>17</v>
      </c>
      <c r="Q1872">
        <v>0.02</v>
      </c>
      <c r="R1872">
        <v>4.4036839365959098E-2</v>
      </c>
      <c r="S1872">
        <v>3.4901816397905398E-2</v>
      </c>
      <c r="T1872">
        <v>-0.05</v>
      </c>
    </row>
    <row r="1873" spans="1:20" x14ac:dyDescent="0.3">
      <c r="A1873" t="s">
        <v>134</v>
      </c>
      <c r="B1873">
        <v>2018</v>
      </c>
      <c r="C1873">
        <v>4715284</v>
      </c>
      <c r="D1873" s="1">
        <v>2.9000000000000001E-2</v>
      </c>
      <c r="E1873" s="1">
        <v>0.93315732479095503</v>
      </c>
      <c r="F1873" s="1">
        <v>0.01</v>
      </c>
      <c r="G1873" s="1">
        <f t="shared" si="58"/>
        <v>2.6000000000000002E-2</v>
      </c>
      <c r="H1873" s="1" t="str">
        <f t="shared" si="59"/>
        <v/>
      </c>
      <c r="I1873" s="1">
        <v>5.0000000000000001E-3</v>
      </c>
      <c r="J1873" s="1">
        <f>+D1873-F1873+I1873*O1873</f>
        <v>3.1600000000000003E-2</v>
      </c>
      <c r="K1873" s="1">
        <v>6.8036839365959195E-2</v>
      </c>
      <c r="L1873" s="1">
        <f>+K1873-J1873</f>
        <v>3.6436839365959192E-2</v>
      </c>
      <c r="M1873" s="1">
        <v>4.4036839365959098E-2</v>
      </c>
      <c r="N1873" s="1">
        <f>+M1873-J1873</f>
        <v>1.2436839365959095E-2</v>
      </c>
      <c r="O1873">
        <v>2.52</v>
      </c>
      <c r="P1873" t="s">
        <v>15</v>
      </c>
      <c r="Q1873">
        <v>0.03</v>
      </c>
      <c r="R1873">
        <v>5.2664554834365801E-2</v>
      </c>
      <c r="S1873">
        <v>3.48633602261543E-2</v>
      </c>
      <c r="T1873">
        <v>0.02</v>
      </c>
    </row>
    <row r="1874" spans="1:20" x14ac:dyDescent="0.3">
      <c r="A1874" t="s">
        <v>134</v>
      </c>
      <c r="B1874">
        <v>2019</v>
      </c>
      <c r="C1874">
        <v>4802028</v>
      </c>
      <c r="D1874" s="1">
        <v>2.8000000000000001E-2</v>
      </c>
      <c r="E1874" s="1">
        <v>0.932151198387146</v>
      </c>
      <c r="F1874" s="1">
        <v>-1.2E-2</v>
      </c>
      <c r="G1874" s="1">
        <f t="shared" si="58"/>
        <v>1.4000000000000002E-2</v>
      </c>
      <c r="H1874" s="1" t="str">
        <f t="shared" si="59"/>
        <v/>
      </c>
      <c r="I1874" s="1">
        <v>-1E-3</v>
      </c>
      <c r="J1874" s="1">
        <f>+D1874-F1874+I1874*O1874</f>
        <v>3.7510000000000002E-2</v>
      </c>
      <c r="K1874" s="1">
        <v>7.0664554834365803E-2</v>
      </c>
      <c r="L1874" s="1">
        <f>+K1874-J1874</f>
        <v>3.3154554834365801E-2</v>
      </c>
      <c r="M1874" s="1">
        <v>5.2664554834365801E-2</v>
      </c>
      <c r="N1874" s="1">
        <f>+M1874-J1874</f>
        <v>1.5154554834365799E-2</v>
      </c>
      <c r="O1874">
        <v>2.4900000000000002</v>
      </c>
      <c r="P1874" t="s">
        <v>16</v>
      </c>
      <c r="Q1874">
        <v>0.03</v>
      </c>
      <c r="R1874">
        <v>4.3188287049531898E-2</v>
      </c>
      <c r="S1874">
        <v>2.4339096620678801E-2</v>
      </c>
      <c r="T1874">
        <v>0</v>
      </c>
    </row>
    <row r="1875" spans="1:20" x14ac:dyDescent="0.3">
      <c r="A1875" t="s">
        <v>134</v>
      </c>
      <c r="B1875">
        <v>2020</v>
      </c>
      <c r="C1875">
        <v>4893875</v>
      </c>
      <c r="D1875" s="1">
        <v>2.5000000000000001E-2</v>
      </c>
      <c r="E1875" s="1">
        <v>0.93954735994339</v>
      </c>
      <c r="F1875" s="1">
        <v>-4.2999999999999997E-2</v>
      </c>
      <c r="G1875" s="1">
        <f t="shared" si="58"/>
        <v>-2.8999999999999995E-2</v>
      </c>
      <c r="H1875" s="1" t="str">
        <f t="shared" si="59"/>
        <v/>
      </c>
      <c r="I1875" s="1">
        <v>7.0000000000000001E-3</v>
      </c>
      <c r="J1875" s="1">
        <f>+D1875-F1875+I1875*O1875</f>
        <v>8.4660000000000013E-2</v>
      </c>
      <c r="K1875" s="1">
        <v>5.5188287049531902E-2</v>
      </c>
      <c r="L1875" s="1">
        <f>+K1875-J1875</f>
        <v>-2.9471712950468111E-2</v>
      </c>
      <c r="M1875" s="1">
        <v>4.3188287049531898E-2</v>
      </c>
      <c r="N1875" s="1">
        <f>+M1875-J1875</f>
        <v>-4.1471712950468115E-2</v>
      </c>
      <c r="O1875">
        <v>2.38</v>
      </c>
      <c r="P1875" t="s">
        <v>17</v>
      </c>
      <c r="Q1875">
        <v>0.02</v>
      </c>
      <c r="R1875">
        <v>0.120822763323784</v>
      </c>
      <c r="S1875">
        <v>7.7233150601387093E-2</v>
      </c>
      <c r="T1875">
        <v>0</v>
      </c>
    </row>
    <row r="1876" spans="1:20" x14ac:dyDescent="0.3">
      <c r="A1876" t="s">
        <v>134</v>
      </c>
      <c r="B1876">
        <v>2021</v>
      </c>
      <c r="C1876">
        <v>4968305</v>
      </c>
      <c r="D1876" s="1">
        <v>3.5999999999999997E-2</v>
      </c>
      <c r="E1876" s="1">
        <v>0.93936419486999501</v>
      </c>
      <c r="F1876" s="1">
        <v>3.2000000000000001E-2</v>
      </c>
      <c r="G1876" s="1">
        <f t="shared" si="58"/>
        <v>3.0000000000000061E-3</v>
      </c>
      <c r="H1876" s="1" t="str">
        <f t="shared" si="59"/>
        <v/>
      </c>
      <c r="I1876" s="1">
        <v>0</v>
      </c>
      <c r="J1876" s="1">
        <f>+D1876-F1876+I1876*O1876</f>
        <v>3.9999999999999966E-3</v>
      </c>
      <c r="K1876" s="1">
        <v>0.16782276332378401</v>
      </c>
      <c r="L1876" s="1">
        <f>+K1876-J1876</f>
        <v>0.16382276332378401</v>
      </c>
      <c r="M1876" s="1">
        <v>0.120822763323784</v>
      </c>
      <c r="N1876" s="1">
        <f>+M1876-J1876</f>
        <v>0.116822763323784</v>
      </c>
      <c r="O1876">
        <v>2.46</v>
      </c>
      <c r="P1876" t="s">
        <v>17</v>
      </c>
      <c r="Q1876">
        <v>0.08</v>
      </c>
      <c r="R1876">
        <v>-7.6288709808140995E-2</v>
      </c>
      <c r="S1876">
        <v>-4.4185203034430597E-2</v>
      </c>
      <c r="T1876">
        <v>0</v>
      </c>
    </row>
    <row r="1877" spans="1:20" x14ac:dyDescent="0.3">
      <c r="A1877" t="s">
        <v>134</v>
      </c>
      <c r="B1877">
        <v>2022</v>
      </c>
      <c r="C1877">
        <v>5047042</v>
      </c>
      <c r="D1877" s="1">
        <v>4.3999999999999997E-2</v>
      </c>
      <c r="E1877" s="1">
        <v>0.90740054845809903</v>
      </c>
      <c r="F1877" s="1">
        <v>-8.0000000000000002E-3</v>
      </c>
      <c r="G1877" s="1">
        <f t="shared" si="58"/>
        <v>-4.999999999999994E-3</v>
      </c>
      <c r="H1877" s="1" t="str">
        <f t="shared" si="59"/>
        <v/>
      </c>
      <c r="I1877" s="1">
        <v>-3.2000000000000001E-2</v>
      </c>
      <c r="J1877" s="1">
        <f>+D1877-F1877+I1877*O1877</f>
        <v>-2.6079999999999999E-2</v>
      </c>
      <c r="K1877" s="1">
        <v>3.7112901918590099E-3</v>
      </c>
      <c r="L1877" s="1">
        <f>+K1877-J1877</f>
        <v>2.9791290191859009E-2</v>
      </c>
      <c r="M1877" s="1">
        <v>-7.6288709808140995E-2</v>
      </c>
      <c r="N1877" s="1">
        <f>+M1877-J1877</f>
        <v>-5.0208709808140996E-2</v>
      </c>
      <c r="O1877">
        <v>2.44</v>
      </c>
      <c r="P1877" t="s">
        <v>16</v>
      </c>
      <c r="Q1877">
        <v>-0.04</v>
      </c>
      <c r="R1877">
        <v>-6.3281443700194395E-2</v>
      </c>
      <c r="S1877">
        <v>-4.3722515925765003E-2</v>
      </c>
      <c r="T1877">
        <v>0.01</v>
      </c>
    </row>
    <row r="1878" spans="1:20" x14ac:dyDescent="0.3">
      <c r="A1878" t="s">
        <v>135</v>
      </c>
      <c r="B1878">
        <v>2006</v>
      </c>
      <c r="C1878">
        <v>2362625</v>
      </c>
      <c r="D1878" s="1">
        <v>4.0000000000000001E-3</v>
      </c>
      <c r="E1878" s="1">
        <v>0.90065312385559104</v>
      </c>
      <c r="F1878" s="1">
        <v>-1.9E-2</v>
      </c>
      <c r="G1878" s="1">
        <f t="shared" si="58"/>
        <v>-1.9E-2</v>
      </c>
      <c r="H1878" s="1" t="str">
        <f t="shared" si="59"/>
        <v/>
      </c>
      <c r="I1878" s="1">
        <v>2E-3</v>
      </c>
      <c r="J1878" s="1">
        <f>+D1878-F1878+I1878*O1878</f>
        <v>2.6720000000000001E-2</v>
      </c>
      <c r="K1878" s="1">
        <v>2.0257389172911599E-2</v>
      </c>
      <c r="L1878" s="1">
        <f>+K1878-J1878</f>
        <v>-6.4626108270884018E-3</v>
      </c>
      <c r="M1878" s="1">
        <v>-1.17426108270884E-2</v>
      </c>
      <c r="N1878" s="1">
        <f>+M1878-J1878</f>
        <v>-3.8462610827088399E-2</v>
      </c>
      <c r="O1878">
        <v>1.86</v>
      </c>
      <c r="P1878" t="s">
        <v>17</v>
      </c>
      <c r="Q1878">
        <v>-0.02</v>
      </c>
      <c r="R1878">
        <v>-5.6380377113818998E-3</v>
      </c>
      <c r="S1878">
        <v>-4.71628177911039E-3</v>
      </c>
      <c r="T1878">
        <v>-0.02</v>
      </c>
    </row>
    <row r="1879" spans="1:20" x14ac:dyDescent="0.3">
      <c r="A1879" t="s">
        <v>135</v>
      </c>
      <c r="B1879">
        <v>2007</v>
      </c>
      <c r="C1879">
        <v>2358370</v>
      </c>
      <c r="D1879" s="1">
        <v>2E-3</v>
      </c>
      <c r="E1879" s="1">
        <v>0.90847617387771595</v>
      </c>
      <c r="F1879" s="1">
        <v>0.04</v>
      </c>
      <c r="G1879" s="1">
        <f t="shared" si="58"/>
        <v>2.1000000000000001E-2</v>
      </c>
      <c r="H1879" s="1" t="str">
        <f t="shared" si="59"/>
        <v/>
      </c>
      <c r="I1879" s="1">
        <v>8.0000000000000002E-3</v>
      </c>
      <c r="J1879" s="1">
        <f>+D1879-F1879+I1879*O1879</f>
        <v>-2.2559999999999997E-2</v>
      </c>
      <c r="K1879" s="1">
        <v>2.3361962288618102E-2</v>
      </c>
      <c r="L1879" s="1">
        <f>+K1879-J1879</f>
        <v>4.5921962288618098E-2</v>
      </c>
      <c r="M1879" s="1">
        <v>-5.6380377113818998E-3</v>
      </c>
      <c r="N1879" s="1">
        <f>+M1879-J1879</f>
        <v>1.6921962288618097E-2</v>
      </c>
      <c r="O1879">
        <v>1.93</v>
      </c>
      <c r="P1879" t="s">
        <v>15</v>
      </c>
      <c r="Q1879">
        <v>0</v>
      </c>
      <c r="R1879">
        <v>-2.8734264254569999E-2</v>
      </c>
      <c r="S1879">
        <v>7.7654002234339302E-4</v>
      </c>
      <c r="T1879">
        <v>0.04</v>
      </c>
    </row>
    <row r="1880" spans="1:20" x14ac:dyDescent="0.3">
      <c r="A1880" t="s">
        <v>135</v>
      </c>
      <c r="B1880">
        <v>2008</v>
      </c>
      <c r="C1880">
        <v>2356560</v>
      </c>
      <c r="D1880" s="1">
        <v>2E-3</v>
      </c>
      <c r="E1880" s="1">
        <v>0.92974656820297197</v>
      </c>
      <c r="F1880" s="1">
        <v>2.3E-2</v>
      </c>
      <c r="G1880" s="1">
        <f t="shared" si="58"/>
        <v>4.3999999999999997E-2</v>
      </c>
      <c r="H1880" s="1" t="str">
        <f t="shared" si="59"/>
        <v/>
      </c>
      <c r="I1880" s="1">
        <v>2.1000000000000001E-2</v>
      </c>
      <c r="J1880" s="1">
        <f>+D1880-F1880+I1880*O1880</f>
        <v>2.0370000000000006E-2</v>
      </c>
      <c r="K1880" s="1">
        <v>9.2657357454299892E-3</v>
      </c>
      <c r="L1880" s="1">
        <f>+K1880-J1880</f>
        <v>-1.1104264254570017E-2</v>
      </c>
      <c r="M1880" s="1">
        <v>-2.8734264254569999E-2</v>
      </c>
      <c r="N1880" s="1">
        <f>+M1880-J1880</f>
        <v>-4.9104264254570006E-2</v>
      </c>
      <c r="O1880">
        <v>1.97</v>
      </c>
      <c r="P1880" t="s">
        <v>15</v>
      </c>
      <c r="Q1880">
        <v>0</v>
      </c>
      <c r="R1880">
        <v>-1.0485134743154E-2</v>
      </c>
      <c r="S1880">
        <v>1.6081566922366598E-2</v>
      </c>
      <c r="T1880">
        <v>0.02</v>
      </c>
    </row>
    <row r="1881" spans="1:20" x14ac:dyDescent="0.3">
      <c r="A1881" t="s">
        <v>135</v>
      </c>
      <c r="B1881">
        <v>2009</v>
      </c>
      <c r="C1881">
        <v>2356374</v>
      </c>
      <c r="D1881" s="1">
        <v>4.0000000000000001E-3</v>
      </c>
      <c r="E1881" s="1">
        <v>0.93570989370346103</v>
      </c>
      <c r="F1881" s="1">
        <v>-2.7E-2</v>
      </c>
      <c r="G1881" s="1">
        <f t="shared" si="58"/>
        <v>1.6999999999999998E-2</v>
      </c>
      <c r="H1881" s="1" t="str">
        <f t="shared" si="59"/>
        <v/>
      </c>
      <c r="I1881" s="1">
        <v>6.0000000000000001E-3</v>
      </c>
      <c r="J1881" s="1">
        <f>+D1881-F1881+I1881*O1881</f>
        <v>4.2520000000000002E-2</v>
      </c>
      <c r="K1881" s="1">
        <v>-1.4485134743154E-2</v>
      </c>
      <c r="L1881" s="1">
        <f>+K1881-J1881</f>
        <v>-5.7005134743154003E-2</v>
      </c>
      <c r="M1881" s="1">
        <v>-1.0485134743154E-2</v>
      </c>
      <c r="N1881" s="1">
        <f>+M1881-J1881</f>
        <v>-5.3005134743154006E-2</v>
      </c>
      <c r="O1881">
        <v>1.92</v>
      </c>
      <c r="P1881" t="s">
        <v>17</v>
      </c>
      <c r="Q1881">
        <v>0.02</v>
      </c>
      <c r="R1881">
        <v>2.28757487237449E-3</v>
      </c>
      <c r="S1881">
        <v>1.17476836312561E-2</v>
      </c>
      <c r="T1881">
        <v>-0.05</v>
      </c>
    </row>
    <row r="1882" spans="1:20" x14ac:dyDescent="0.3">
      <c r="A1882" t="s">
        <v>135</v>
      </c>
      <c r="B1882">
        <v>2010</v>
      </c>
      <c r="C1882">
        <v>2361062</v>
      </c>
      <c r="D1882" s="1">
        <v>2E-3</v>
      </c>
      <c r="E1882" s="1">
        <v>0.93808460235595703</v>
      </c>
      <c r="F1882" s="1">
        <v>-5.0000000000000001E-3</v>
      </c>
      <c r="G1882" s="1">
        <f t="shared" si="58"/>
        <v>1.1999999999999997E-2</v>
      </c>
      <c r="H1882" s="1" t="str">
        <f t="shared" si="59"/>
        <v/>
      </c>
      <c r="I1882" s="1">
        <v>2E-3</v>
      </c>
      <c r="J1882" s="1">
        <f>+D1882-F1882+I1882*O1882</f>
        <v>1.082E-2</v>
      </c>
      <c r="K1882" s="1">
        <v>1.82875748723745E-2</v>
      </c>
      <c r="L1882" s="1">
        <f>+K1882-J1882</f>
        <v>7.4675748723745002E-3</v>
      </c>
      <c r="M1882" s="1">
        <v>2.28757487237449E-3</v>
      </c>
      <c r="N1882" s="1">
        <f>+M1882-J1882</f>
        <v>-8.5324251276255106E-3</v>
      </c>
      <c r="O1882">
        <v>1.91</v>
      </c>
      <c r="P1882" t="s">
        <v>17</v>
      </c>
      <c r="Q1882">
        <v>0.01</v>
      </c>
      <c r="R1882">
        <v>-2.1097380079329001E-2</v>
      </c>
      <c r="S1882">
        <v>1.8639443442229899E-4</v>
      </c>
      <c r="T1882">
        <v>-0.01</v>
      </c>
    </row>
    <row r="1883" spans="1:20" x14ac:dyDescent="0.3">
      <c r="A1883" t="s">
        <v>135</v>
      </c>
      <c r="B1883">
        <v>2011</v>
      </c>
      <c r="C1883">
        <v>2369409</v>
      </c>
      <c r="D1883" s="1">
        <v>2E-3</v>
      </c>
      <c r="E1883" s="1">
        <v>0.94029128551483199</v>
      </c>
      <c r="F1883" s="1">
        <v>0.01</v>
      </c>
      <c r="G1883" s="1">
        <f t="shared" si="58"/>
        <v>2.1999999999999999E-2</v>
      </c>
      <c r="H1883" s="1" t="str">
        <f t="shared" si="59"/>
        <v/>
      </c>
      <c r="I1883" s="1">
        <v>2E-3</v>
      </c>
      <c r="J1883" s="1">
        <f>+D1883-F1883+I1883*O1883</f>
        <v>-4.1399999999999996E-3</v>
      </c>
      <c r="K1883" s="1">
        <v>1.0902619920671E-2</v>
      </c>
      <c r="L1883" s="1">
        <f>+K1883-J1883</f>
        <v>1.5042619920671E-2</v>
      </c>
      <c r="M1883" s="1">
        <v>-2.1097380079329001E-2</v>
      </c>
      <c r="N1883" s="1">
        <f>+M1883-J1883</f>
        <v>-1.6957380079329003E-2</v>
      </c>
      <c r="O1883">
        <v>1.93</v>
      </c>
      <c r="P1883" t="s">
        <v>15</v>
      </c>
      <c r="Q1883">
        <v>0</v>
      </c>
      <c r="R1883">
        <v>-1.1768132731318401E-2</v>
      </c>
      <c r="S1883">
        <v>-6.3299266621470703E-3</v>
      </c>
      <c r="T1883">
        <v>0.01</v>
      </c>
    </row>
    <row r="1884" spans="1:20" x14ac:dyDescent="0.3">
      <c r="A1884" t="s">
        <v>135</v>
      </c>
      <c r="B1884">
        <v>2012</v>
      </c>
      <c r="C1884">
        <v>2375563</v>
      </c>
      <c r="D1884" s="1">
        <v>6.0000000000000001E-3</v>
      </c>
      <c r="E1884" s="1">
        <v>0.94139349460601796</v>
      </c>
      <c r="F1884" s="1">
        <v>-1E-3</v>
      </c>
      <c r="G1884" s="1">
        <f t="shared" si="58"/>
        <v>2.0999999999999998E-2</v>
      </c>
      <c r="H1884" s="1" t="str">
        <f t="shared" si="59"/>
        <v/>
      </c>
      <c r="I1884" s="1">
        <v>1E-3</v>
      </c>
      <c r="J1884" s="1">
        <f>+D1884-F1884+I1884*O1884</f>
        <v>8.9300000000000004E-3</v>
      </c>
      <c r="K1884" s="1">
        <v>9.2318672686815297E-3</v>
      </c>
      <c r="L1884" s="1">
        <f>+K1884-J1884</f>
        <v>3.0186726868152922E-4</v>
      </c>
      <c r="M1884" s="1">
        <v>-1.1768132731318401E-2</v>
      </c>
      <c r="N1884" s="1">
        <f>+M1884-J1884</f>
        <v>-2.0698132731318403E-2</v>
      </c>
      <c r="O1884">
        <v>1.93</v>
      </c>
      <c r="P1884" t="s">
        <v>17</v>
      </c>
      <c r="Q1884">
        <v>-0.01</v>
      </c>
      <c r="R1884">
        <v>-2.73994296789169E-3</v>
      </c>
      <c r="S1884">
        <v>-8.8667143136262998E-3</v>
      </c>
      <c r="T1884">
        <v>0</v>
      </c>
    </row>
    <row r="1885" spans="1:20" x14ac:dyDescent="0.3">
      <c r="A1885" t="s">
        <v>135</v>
      </c>
      <c r="B1885">
        <v>2013</v>
      </c>
      <c r="C1885">
        <v>2379831</v>
      </c>
      <c r="D1885" s="1">
        <v>8.9999999999999993E-3</v>
      </c>
      <c r="E1885" s="1">
        <v>0.93989795446395896</v>
      </c>
      <c r="F1885" s="1">
        <v>-8.9999999999999993E-3</v>
      </c>
      <c r="G1885" s="1">
        <f t="shared" si="58"/>
        <v>1.1999999999999999E-2</v>
      </c>
      <c r="H1885" s="1" t="str">
        <f t="shared" si="59"/>
        <v/>
      </c>
      <c r="I1885" s="1">
        <v>-1E-3</v>
      </c>
      <c r="J1885" s="1">
        <f>+D1885-F1885+I1885*O1885</f>
        <v>1.609E-2</v>
      </c>
      <c r="K1885" s="1">
        <v>1.22600570321083E-2</v>
      </c>
      <c r="L1885" s="1">
        <f>+K1885-J1885</f>
        <v>-3.8299429678917002E-3</v>
      </c>
      <c r="M1885" s="1">
        <v>-2.73994296789169E-3</v>
      </c>
      <c r="N1885" s="1">
        <f>+M1885-J1885</f>
        <v>-1.8829942967891689E-2</v>
      </c>
      <c r="O1885">
        <v>1.91</v>
      </c>
      <c r="P1885" t="s">
        <v>16</v>
      </c>
      <c r="Q1885">
        <v>-0.01</v>
      </c>
      <c r="R1885">
        <v>-1.0931442197412201E-2</v>
      </c>
      <c r="S1885">
        <v>-1.29394656978547E-2</v>
      </c>
      <c r="T1885">
        <v>-0.02</v>
      </c>
    </row>
    <row r="1886" spans="1:20" x14ac:dyDescent="0.3">
      <c r="A1886" t="s">
        <v>135</v>
      </c>
      <c r="B1886">
        <v>2014</v>
      </c>
      <c r="C1886">
        <v>2381261</v>
      </c>
      <c r="D1886" s="1">
        <v>1.7000000000000001E-2</v>
      </c>
      <c r="E1886" s="1">
        <v>0.93610519170761097</v>
      </c>
      <c r="F1886" s="1">
        <v>8.9999999999999993E-3</v>
      </c>
      <c r="G1886" s="1">
        <f t="shared" si="58"/>
        <v>2.0999999999999998E-2</v>
      </c>
      <c r="H1886" s="1" t="str">
        <f t="shared" si="59"/>
        <v/>
      </c>
      <c r="I1886" s="1">
        <v>-4.0000000000000001E-3</v>
      </c>
      <c r="J1886" s="1">
        <f>+D1886-F1886+I1886*O1886</f>
        <v>2.800000000000016E-4</v>
      </c>
      <c r="K1886" s="1">
        <v>5.0685578025877502E-3</v>
      </c>
      <c r="L1886" s="1">
        <f>+K1886-J1886</f>
        <v>4.7885578025877486E-3</v>
      </c>
      <c r="M1886" s="1">
        <v>-1.0931442197412201E-2</v>
      </c>
      <c r="N1886" s="1">
        <f>+M1886-J1886</f>
        <v>-1.1211442197412203E-2</v>
      </c>
      <c r="O1886">
        <v>1.93</v>
      </c>
      <c r="P1886" t="s">
        <v>17</v>
      </c>
      <c r="Q1886">
        <v>-0.01</v>
      </c>
      <c r="R1886">
        <v>1.9421281456947201E-2</v>
      </c>
      <c r="S1886">
        <v>-1.08421705663203E-2</v>
      </c>
      <c r="T1886">
        <v>0.01</v>
      </c>
    </row>
    <row r="1887" spans="1:20" x14ac:dyDescent="0.3">
      <c r="A1887" t="s">
        <v>135</v>
      </c>
      <c r="B1887">
        <v>2015</v>
      </c>
      <c r="C1887">
        <v>2378913</v>
      </c>
      <c r="D1887" s="1">
        <v>3.2000000000000001E-2</v>
      </c>
      <c r="E1887" s="1">
        <v>0.92291736602783203</v>
      </c>
      <c r="F1887" s="1">
        <v>-1E-3</v>
      </c>
      <c r="G1887" s="1">
        <f t="shared" si="58"/>
        <v>1.9999999999999997E-2</v>
      </c>
      <c r="H1887" s="1" t="str">
        <f t="shared" si="59"/>
        <v/>
      </c>
      <c r="I1887" s="1">
        <v>-1.2999999999999999E-2</v>
      </c>
      <c r="J1887" s="1">
        <f>+D1887-F1887+I1887*O1887</f>
        <v>7.9100000000000038E-3</v>
      </c>
      <c r="K1887" s="1">
        <v>2.0421281456947299E-2</v>
      </c>
      <c r="L1887" s="1">
        <f>+K1887-J1887</f>
        <v>1.2511281456947295E-2</v>
      </c>
      <c r="M1887" s="1">
        <v>1.9421281456947201E-2</v>
      </c>
      <c r="N1887" s="1">
        <f>+M1887-J1887</f>
        <v>1.1511281456947197E-2</v>
      </c>
      <c r="O1887">
        <v>1.93</v>
      </c>
      <c r="P1887" t="s">
        <v>16</v>
      </c>
      <c r="Q1887">
        <v>-0.01</v>
      </c>
      <c r="R1887">
        <v>2.8323217183352E-3</v>
      </c>
      <c r="S1887">
        <v>-1.0321235284209199E-2</v>
      </c>
      <c r="T1887">
        <v>0.01</v>
      </c>
    </row>
    <row r="1888" spans="1:20" x14ac:dyDescent="0.3">
      <c r="A1888" t="s">
        <v>135</v>
      </c>
      <c r="B1888">
        <v>2016</v>
      </c>
      <c r="C1888">
        <v>2376518</v>
      </c>
      <c r="D1888" s="1">
        <v>2.3E-2</v>
      </c>
      <c r="E1888" s="1">
        <v>0.91882574558258101</v>
      </c>
      <c r="F1888" s="1">
        <v>-2.4E-2</v>
      </c>
      <c r="G1888" s="1">
        <f t="shared" si="58"/>
        <v>-4.0000000000000036E-3</v>
      </c>
      <c r="H1888" s="1" t="str">
        <f t="shared" si="59"/>
        <v/>
      </c>
      <c r="I1888" s="1">
        <v>-4.0000000000000001E-3</v>
      </c>
      <c r="J1888" s="1">
        <f>+D1888-F1888+I1888*O1888</f>
        <v>3.9480000000000001E-2</v>
      </c>
      <c r="K1888" s="1">
        <v>1.58323217183352E-2</v>
      </c>
      <c r="L1888" s="1">
        <f>+K1888-J1888</f>
        <v>-2.3647678281664801E-2</v>
      </c>
      <c r="M1888" s="1">
        <v>2.8323217183352E-3</v>
      </c>
      <c r="N1888" s="1">
        <f>+M1888-J1888</f>
        <v>-3.6647678281664799E-2</v>
      </c>
      <c r="O1888">
        <v>1.88</v>
      </c>
      <c r="P1888" t="s">
        <v>16</v>
      </c>
      <c r="Q1888">
        <v>-0.01</v>
      </c>
      <c r="R1888">
        <v>-1.00931136906147E-2</v>
      </c>
      <c r="S1888">
        <v>-1.2882687151431999E-2</v>
      </c>
      <c r="T1888">
        <v>-0.02</v>
      </c>
    </row>
    <row r="1889" spans="1:20" x14ac:dyDescent="0.3">
      <c r="A1889" t="s">
        <v>135</v>
      </c>
      <c r="B1889">
        <v>2017</v>
      </c>
      <c r="C1889">
        <v>2372210</v>
      </c>
      <c r="D1889" s="1">
        <v>2.1999999999999999E-2</v>
      </c>
      <c r="E1889" s="1">
        <v>0.92590582370758101</v>
      </c>
      <c r="F1889" s="1">
        <v>5.0000000000000001E-3</v>
      </c>
      <c r="G1889" s="1">
        <f t="shared" si="58"/>
        <v>9.9999999999999655E-4</v>
      </c>
      <c r="H1889" s="1" t="str">
        <f t="shared" si="59"/>
        <v/>
      </c>
      <c r="I1889" s="1">
        <v>7.0000000000000001E-3</v>
      </c>
      <c r="J1889" s="1">
        <f>+D1889-F1889+I1889*O1889</f>
        <v>3.023E-2</v>
      </c>
      <c r="K1889" s="1">
        <v>1.09068863093853E-2</v>
      </c>
      <c r="L1889" s="1">
        <f>+K1889-J1889</f>
        <v>-1.93231136906147E-2</v>
      </c>
      <c r="M1889" s="1">
        <v>-1.00931136906147E-2</v>
      </c>
      <c r="N1889" s="1">
        <f>+M1889-J1889</f>
        <v>-4.0323113690614698E-2</v>
      </c>
      <c r="O1889">
        <v>1.89</v>
      </c>
      <c r="P1889" t="s">
        <v>15</v>
      </c>
      <c r="Q1889">
        <v>-0.01</v>
      </c>
      <c r="R1889">
        <v>1.25386418998241E-2</v>
      </c>
      <c r="S1889">
        <v>3.4036189317703E-3</v>
      </c>
      <c r="T1889">
        <v>0.01</v>
      </c>
    </row>
    <row r="1890" spans="1:20" x14ac:dyDescent="0.3">
      <c r="A1890" t="s">
        <v>135</v>
      </c>
      <c r="B1890">
        <v>2018</v>
      </c>
      <c r="C1890">
        <v>2371867</v>
      </c>
      <c r="D1890" s="1">
        <v>1.2E-2</v>
      </c>
      <c r="E1890" s="1">
        <v>0.93784761428832997</v>
      </c>
      <c r="F1890" s="1">
        <v>-0.02</v>
      </c>
      <c r="G1890" s="1">
        <f t="shared" si="58"/>
        <v>-1.9000000000000003E-2</v>
      </c>
      <c r="H1890" s="1" t="str">
        <f t="shared" si="59"/>
        <v/>
      </c>
      <c r="I1890" s="1">
        <v>1.2E-2</v>
      </c>
      <c r="J1890" s="1">
        <f>+D1890-F1890+I1890*O1890</f>
        <v>5.4199999999999998E-2</v>
      </c>
      <c r="K1890" s="1">
        <v>3.6538641899824101E-2</v>
      </c>
      <c r="L1890" s="1">
        <f>+K1890-J1890</f>
        <v>-1.7661358100175897E-2</v>
      </c>
      <c r="M1890" s="1">
        <v>1.25386418998241E-2</v>
      </c>
      <c r="N1890" s="1">
        <f>+M1890-J1890</f>
        <v>-4.1661358100175898E-2</v>
      </c>
      <c r="O1890">
        <v>1.85</v>
      </c>
      <c r="P1890" t="s">
        <v>17</v>
      </c>
      <c r="Q1890">
        <v>0</v>
      </c>
      <c r="R1890">
        <v>1.3756460666656501E-2</v>
      </c>
      <c r="S1890">
        <v>-4.0447339415549998E-3</v>
      </c>
      <c r="T1890">
        <v>-0.01</v>
      </c>
    </row>
    <row r="1891" spans="1:20" x14ac:dyDescent="0.3">
      <c r="A1891" t="s">
        <v>135</v>
      </c>
      <c r="B1891">
        <v>2019</v>
      </c>
      <c r="C1891">
        <v>2371510</v>
      </c>
      <c r="D1891" s="1">
        <v>5.0000000000000001E-3</v>
      </c>
      <c r="E1891" s="1">
        <v>0.94796031713485696</v>
      </c>
      <c r="F1891" s="1">
        <v>1.2999999999999999E-2</v>
      </c>
      <c r="G1891" s="1">
        <f t="shared" si="58"/>
        <v>-6.0000000000000036E-3</v>
      </c>
      <c r="H1891" s="1" t="str">
        <f t="shared" si="59"/>
        <v/>
      </c>
      <c r="I1891" s="1">
        <v>0.01</v>
      </c>
      <c r="J1891" s="1">
        <f>+D1891-F1891+I1891*O1891</f>
        <v>1.0800000000000001E-2</v>
      </c>
      <c r="K1891" s="1">
        <v>3.1756460666656501E-2</v>
      </c>
      <c r="L1891" s="1">
        <f>+K1891-J1891</f>
        <v>2.0956460666656501E-2</v>
      </c>
      <c r="M1891" s="1">
        <v>1.3756460666656501E-2</v>
      </c>
      <c r="N1891" s="1">
        <f>+M1891-J1891</f>
        <v>2.9564606666565001E-3</v>
      </c>
      <c r="O1891">
        <v>1.88</v>
      </c>
      <c r="P1891" t="s">
        <v>15</v>
      </c>
      <c r="Q1891">
        <v>0</v>
      </c>
      <c r="R1891">
        <v>-8.87742372043431E-3</v>
      </c>
      <c r="S1891">
        <v>-2.7726614149287301E-2</v>
      </c>
      <c r="T1891">
        <v>0.02</v>
      </c>
    </row>
    <row r="1892" spans="1:20" x14ac:dyDescent="0.3">
      <c r="A1892" t="s">
        <v>135</v>
      </c>
      <c r="B1892">
        <v>2020</v>
      </c>
      <c r="C1892">
        <v>2368314</v>
      </c>
      <c r="D1892" s="1">
        <v>1.4E-2</v>
      </c>
      <c r="E1892" s="1">
        <v>0.93815672397613503</v>
      </c>
      <c r="F1892" s="1">
        <v>-4.1000000000000002E-2</v>
      </c>
      <c r="G1892" s="1">
        <f t="shared" si="58"/>
        <v>-4.7000000000000007E-2</v>
      </c>
      <c r="H1892" s="1" t="str">
        <f t="shared" si="59"/>
        <v/>
      </c>
      <c r="I1892" s="1">
        <v>-0.01</v>
      </c>
      <c r="J1892" s="1">
        <f>+D1892-F1892+I1892*O1892</f>
        <v>3.6999999999999998E-2</v>
      </c>
      <c r="K1892" s="1">
        <v>3.1225762795656902E-3</v>
      </c>
      <c r="L1892" s="1">
        <f>+K1892-J1892</f>
        <v>-3.3877423720434306E-2</v>
      </c>
      <c r="M1892" s="1">
        <v>-8.87742372043431E-3</v>
      </c>
      <c r="N1892" s="1">
        <f>+M1892-J1892</f>
        <v>-4.587742372043431E-2</v>
      </c>
      <c r="O1892">
        <v>1.8</v>
      </c>
      <c r="P1892" t="s">
        <v>16</v>
      </c>
      <c r="Q1892">
        <v>-0.03</v>
      </c>
      <c r="R1892">
        <v>1.2631470590829801E-2</v>
      </c>
      <c r="S1892">
        <v>-3.0958142131567098E-2</v>
      </c>
      <c r="T1892">
        <v>0</v>
      </c>
    </row>
    <row r="1893" spans="1:20" x14ac:dyDescent="0.3">
      <c r="A1893" t="s">
        <v>135</v>
      </c>
      <c r="B1893">
        <v>2021</v>
      </c>
      <c r="C1893">
        <v>2360794</v>
      </c>
      <c r="D1893" s="1">
        <v>1.4999999999999999E-2</v>
      </c>
      <c r="E1893" s="1">
        <v>0.95259702205658003</v>
      </c>
      <c r="F1893" s="1">
        <v>2.1000000000000001E-2</v>
      </c>
      <c r="G1893" s="1">
        <f t="shared" si="58"/>
        <v>-2.6000000000000006E-2</v>
      </c>
      <c r="H1893" s="1" t="str">
        <f t="shared" si="59"/>
        <v/>
      </c>
      <c r="I1893" s="1">
        <v>1.4E-2</v>
      </c>
      <c r="J1893" s="1">
        <f>+D1893-F1893+I1893*O1893</f>
        <v>1.976E-2</v>
      </c>
      <c r="K1893" s="1">
        <v>5.9631470590829801E-2</v>
      </c>
      <c r="L1893" s="1">
        <f>+K1893-J1893</f>
        <v>3.9871470590829801E-2</v>
      </c>
      <c r="M1893" s="1">
        <v>1.2631470590829801E-2</v>
      </c>
      <c r="N1893" s="1">
        <f>+M1893-J1893</f>
        <v>-7.1285294091701992E-3</v>
      </c>
      <c r="O1893">
        <v>1.84</v>
      </c>
      <c r="P1893" t="s">
        <v>15</v>
      </c>
      <c r="Q1893">
        <v>-0.03</v>
      </c>
      <c r="R1893">
        <v>-2.77200359106064E-2</v>
      </c>
      <c r="S1893">
        <v>4.3834708631039004E-3</v>
      </c>
      <c r="T1893">
        <v>-0.01</v>
      </c>
    </row>
    <row r="1894" spans="1:20" x14ac:dyDescent="0.3">
      <c r="A1894" t="s">
        <v>135</v>
      </c>
      <c r="B1894">
        <v>2022</v>
      </c>
      <c r="C1894">
        <v>2347724</v>
      </c>
      <c r="D1894" s="1">
        <v>8.0000000000000002E-3</v>
      </c>
      <c r="E1894" s="1">
        <v>0.942945957183838</v>
      </c>
      <c r="F1894" s="1">
        <v>-3.2000000000000001E-2</v>
      </c>
      <c r="G1894" s="1">
        <f t="shared" si="58"/>
        <v>-5.800000000000001E-2</v>
      </c>
      <c r="H1894" s="1" t="str">
        <f t="shared" si="59"/>
        <v/>
      </c>
      <c r="I1894" s="1">
        <v>-0.01</v>
      </c>
      <c r="J1894" s="1">
        <f>+D1894-F1894+I1894*O1894</f>
        <v>2.2200000000000001E-2</v>
      </c>
      <c r="K1894" s="1">
        <v>5.2279964089393602E-2</v>
      </c>
      <c r="L1894" s="1">
        <f>+K1894-J1894</f>
        <v>3.0079964089393601E-2</v>
      </c>
      <c r="M1894" s="1">
        <v>-2.77200359106064E-2</v>
      </c>
      <c r="N1894" s="1">
        <f>+M1894-J1894</f>
        <v>-4.9920035910606397E-2</v>
      </c>
      <c r="O1894">
        <v>1.78</v>
      </c>
      <c r="P1894" t="s">
        <v>16</v>
      </c>
      <c r="Q1894">
        <v>0</v>
      </c>
      <c r="R1894">
        <v>-3.2867932491004399E-2</v>
      </c>
      <c r="S1894">
        <v>-1.3309004716575101E-2</v>
      </c>
      <c r="T1894">
        <v>-0.02</v>
      </c>
    </row>
    <row r="1895" spans="1:20" x14ac:dyDescent="0.3">
      <c r="A1895" t="s">
        <v>136</v>
      </c>
      <c r="B1895">
        <v>2006</v>
      </c>
      <c r="C1895">
        <v>510998</v>
      </c>
      <c r="D1895" s="1">
        <v>8.0000000000000002E-3</v>
      </c>
      <c r="E1895" s="1">
        <v>0.95104795694351196</v>
      </c>
      <c r="F1895" s="1">
        <v>-8.9999999999999993E-3</v>
      </c>
      <c r="G1895" s="1">
        <f t="shared" si="58"/>
        <v>-8.9999999999999993E-3</v>
      </c>
      <c r="H1895" s="1" t="str">
        <f t="shared" si="59"/>
        <v/>
      </c>
      <c r="I1895" s="1">
        <v>4.0000000000000001E-3</v>
      </c>
      <c r="J1895" s="1">
        <f>+D1895-F1895+I1895*O1895</f>
        <v>2.52E-2</v>
      </c>
      <c r="K1895" s="1">
        <v>2.9374791309237501E-2</v>
      </c>
      <c r="L1895" s="1">
        <f>+K1895-J1895</f>
        <v>4.1747913092375008E-3</v>
      </c>
      <c r="M1895" s="1">
        <v>-2.6252086907624901E-3</v>
      </c>
      <c r="N1895" s="1">
        <f>+M1895-J1895</f>
        <v>-2.7825208690762489E-2</v>
      </c>
      <c r="O1895">
        <v>2.0499999999999998</v>
      </c>
      <c r="P1895" t="s">
        <v>17</v>
      </c>
      <c r="Q1895">
        <v>-0.01</v>
      </c>
      <c r="R1895">
        <v>9.0907058119769901E-4</v>
      </c>
      <c r="S1895">
        <v>1.8308265134691999E-3</v>
      </c>
      <c r="T1895">
        <v>-0.01</v>
      </c>
    </row>
    <row r="1896" spans="1:20" x14ac:dyDescent="0.3">
      <c r="A1896" t="s">
        <v>136</v>
      </c>
      <c r="B1896">
        <v>2007</v>
      </c>
      <c r="C1896">
        <v>512743.09379999997</v>
      </c>
      <c r="D1896" s="1">
        <v>5.0000000000000001E-3</v>
      </c>
      <c r="E1896" s="1">
        <v>0.94664460420608498</v>
      </c>
      <c r="F1896" s="1">
        <v>-5.1999999999999998E-2</v>
      </c>
      <c r="G1896" s="1">
        <f t="shared" si="58"/>
        <v>-6.0999999999999999E-2</v>
      </c>
      <c r="H1896" s="1" t="str">
        <f t="shared" si="59"/>
        <v/>
      </c>
      <c r="I1896" s="1">
        <v>-4.0000000000000001E-3</v>
      </c>
      <c r="J1896" s="1">
        <f>+D1896-F1896+I1896*O1896</f>
        <v>4.9199999999999994E-2</v>
      </c>
      <c r="K1896" s="1">
        <v>2.99090705811977E-2</v>
      </c>
      <c r="L1896" s="1">
        <f>+K1896-J1896</f>
        <v>-1.9290929418802293E-2</v>
      </c>
      <c r="M1896" s="1">
        <v>9.0907058119769901E-4</v>
      </c>
      <c r="N1896" s="1">
        <f>+M1896-J1896</f>
        <v>-4.8290929418802295E-2</v>
      </c>
      <c r="O1896">
        <v>1.95</v>
      </c>
      <c r="P1896" t="s">
        <v>16</v>
      </c>
      <c r="Q1896">
        <v>0</v>
      </c>
      <c r="R1896">
        <v>-2.8524219349026599E-2</v>
      </c>
      <c r="S1896">
        <v>9.8658492788672404E-4</v>
      </c>
      <c r="T1896">
        <v>-0.05</v>
      </c>
    </row>
    <row r="1897" spans="1:20" x14ac:dyDescent="0.3">
      <c r="A1897" t="s">
        <v>136</v>
      </c>
      <c r="B1897">
        <v>2008</v>
      </c>
      <c r="C1897">
        <v>514347.09379999997</v>
      </c>
      <c r="D1897" s="1">
        <v>1.2999999999999999E-2</v>
      </c>
      <c r="E1897" s="1">
        <v>0.95257115364074696</v>
      </c>
      <c r="F1897" s="1">
        <v>4.9000000000000002E-2</v>
      </c>
      <c r="G1897" s="1">
        <f t="shared" si="58"/>
        <v>-1.1999999999999997E-2</v>
      </c>
      <c r="H1897" s="1" t="str">
        <f t="shared" si="59"/>
        <v/>
      </c>
      <c r="I1897" s="1">
        <v>6.0000000000000001E-3</v>
      </c>
      <c r="J1897" s="1">
        <f>+D1897-F1897+I1897*O1897</f>
        <v>-2.3760000000000003E-2</v>
      </c>
      <c r="K1897" s="1">
        <v>9.47578065097332E-3</v>
      </c>
      <c r="L1897" s="1">
        <f>+K1897-J1897</f>
        <v>3.3235780650973323E-2</v>
      </c>
      <c r="M1897" s="1">
        <v>-2.8524219349026599E-2</v>
      </c>
      <c r="N1897" s="1">
        <f>+M1897-J1897</f>
        <v>-4.7642193490265959E-3</v>
      </c>
      <c r="O1897">
        <v>2.04</v>
      </c>
      <c r="P1897" t="s">
        <v>15</v>
      </c>
      <c r="Q1897">
        <v>0</v>
      </c>
      <c r="R1897">
        <v>-2.8628379762172699E-2</v>
      </c>
      <c r="S1897">
        <v>-2.0616780966520401E-3</v>
      </c>
      <c r="T1897">
        <v>0.05</v>
      </c>
    </row>
    <row r="1898" spans="1:20" x14ac:dyDescent="0.3">
      <c r="A1898" t="s">
        <v>136</v>
      </c>
      <c r="B1898">
        <v>2009</v>
      </c>
      <c r="C1898">
        <v>514618.28129999997</v>
      </c>
      <c r="D1898" s="1">
        <v>7.0000000000000001E-3</v>
      </c>
      <c r="E1898" s="1">
        <v>0.94365251064300504</v>
      </c>
      <c r="F1898" s="1">
        <v>-0.01</v>
      </c>
      <c r="G1898" s="1">
        <f t="shared" si="58"/>
        <v>-2.1999999999999999E-2</v>
      </c>
      <c r="H1898" s="1" t="str">
        <f t="shared" si="59"/>
        <v/>
      </c>
      <c r="I1898" s="1">
        <v>-8.9999999999999993E-3</v>
      </c>
      <c r="J1898" s="1">
        <f>+D1898-F1898+I1898*O1898</f>
        <v>-1.179999999999997E-3</v>
      </c>
      <c r="K1898" s="1">
        <v>-3.2628379762172699E-2</v>
      </c>
      <c r="L1898" s="1">
        <f>+K1898-J1898</f>
        <v>-3.1448379762172698E-2</v>
      </c>
      <c r="M1898" s="1">
        <v>-2.8628379762172699E-2</v>
      </c>
      <c r="N1898" s="1">
        <f>+M1898-J1898</f>
        <v>-2.7448379762172702E-2</v>
      </c>
      <c r="O1898">
        <v>2.02</v>
      </c>
      <c r="P1898" t="s">
        <v>16</v>
      </c>
      <c r="Q1898">
        <v>0</v>
      </c>
      <c r="R1898">
        <v>5.1245169341559895E-4</v>
      </c>
      <c r="S1898">
        <v>9.9725604522972796E-3</v>
      </c>
      <c r="T1898">
        <v>-0.03</v>
      </c>
    </row>
    <row r="1899" spans="1:20" x14ac:dyDescent="0.3">
      <c r="A1899" t="s">
        <v>136</v>
      </c>
      <c r="B1899">
        <v>2010</v>
      </c>
      <c r="C1899">
        <v>514966.8125</v>
      </c>
      <c r="D1899" s="1">
        <v>1.4E-2</v>
      </c>
      <c r="E1899" s="1">
        <v>0.94088137149810802</v>
      </c>
      <c r="F1899" s="1">
        <v>3.0000000000000001E-3</v>
      </c>
      <c r="G1899" s="1">
        <f t="shared" si="58"/>
        <v>-1.9E-2</v>
      </c>
      <c r="H1899" s="1" t="str">
        <f t="shared" si="59"/>
        <v/>
      </c>
      <c r="I1899" s="1">
        <v>-3.0000000000000001E-3</v>
      </c>
      <c r="J1899" s="1">
        <f>+D1899-F1899+I1899*O1899</f>
        <v>4.9099999999999994E-3</v>
      </c>
      <c r="K1899" s="1">
        <v>1.65124516934156E-2</v>
      </c>
      <c r="L1899" s="1">
        <f>+K1899-J1899</f>
        <v>1.1602451693415601E-2</v>
      </c>
      <c r="M1899" s="1">
        <v>5.1245169341559895E-4</v>
      </c>
      <c r="N1899" s="1">
        <f>+M1899-J1899</f>
        <v>-4.3975483065844005E-3</v>
      </c>
      <c r="O1899">
        <v>2.0299999999999998</v>
      </c>
      <c r="P1899" t="s">
        <v>17</v>
      </c>
      <c r="Q1899">
        <v>0.01</v>
      </c>
      <c r="R1899">
        <v>-1.64486592337489E-2</v>
      </c>
      <c r="S1899">
        <v>4.8351152800023998E-3</v>
      </c>
      <c r="T1899">
        <v>-0.01</v>
      </c>
    </row>
    <row r="1900" spans="1:20" x14ac:dyDescent="0.3">
      <c r="A1900" t="s">
        <v>136</v>
      </c>
      <c r="B1900">
        <v>2011</v>
      </c>
      <c r="C1900">
        <v>517916.8125</v>
      </c>
      <c r="D1900" s="1">
        <v>0</v>
      </c>
      <c r="E1900" s="1">
        <v>0.95042943954467796</v>
      </c>
      <c r="F1900" s="1">
        <v>-0.04</v>
      </c>
      <c r="G1900" s="1">
        <f t="shared" si="58"/>
        <v>-5.8999999999999997E-2</v>
      </c>
      <c r="H1900" s="1" t="str">
        <f t="shared" si="59"/>
        <v/>
      </c>
      <c r="I1900" s="1">
        <v>0.01</v>
      </c>
      <c r="J1900" s="1">
        <f>+D1900-F1900+I1900*O1900</f>
        <v>5.9499999999999997E-2</v>
      </c>
      <c r="K1900" s="1">
        <v>1.5551340766251099E-2</v>
      </c>
      <c r="L1900" s="1">
        <f>+K1900-J1900</f>
        <v>-4.3948659233748896E-2</v>
      </c>
      <c r="M1900" s="1">
        <v>-1.64486592337489E-2</v>
      </c>
      <c r="N1900" s="1">
        <f>+M1900-J1900</f>
        <v>-7.5948659233748897E-2</v>
      </c>
      <c r="O1900">
        <v>1.95</v>
      </c>
      <c r="P1900" t="s">
        <v>17</v>
      </c>
      <c r="Q1900">
        <v>0</v>
      </c>
      <c r="R1900">
        <v>-1.05249903202057E-2</v>
      </c>
      <c r="S1900">
        <v>-5.0867842510342997E-3</v>
      </c>
      <c r="T1900">
        <v>-0.04</v>
      </c>
    </row>
    <row r="1901" spans="1:20" x14ac:dyDescent="0.3">
      <c r="A1901" t="s">
        <v>136</v>
      </c>
      <c r="B1901">
        <v>2012</v>
      </c>
      <c r="C1901">
        <v>520750.125</v>
      </c>
      <c r="D1901" s="1">
        <v>2E-3</v>
      </c>
      <c r="E1901" s="1">
        <v>0.95468616485595703</v>
      </c>
      <c r="F1901" s="1">
        <v>6.2E-2</v>
      </c>
      <c r="G1901" s="1">
        <f t="shared" si="58"/>
        <v>3.0000000000000027E-3</v>
      </c>
      <c r="H1901" s="1" t="str">
        <f t="shared" si="59"/>
        <v/>
      </c>
      <c r="I1901" s="1">
        <v>4.0000000000000001E-3</v>
      </c>
      <c r="J1901" s="1">
        <f>+D1901-F1901+I1901*O1901</f>
        <v>-5.1720000000000002E-2</v>
      </c>
      <c r="K1901" s="1">
        <v>1.0475009679794299E-2</v>
      </c>
      <c r="L1901" s="1">
        <f>+K1901-J1901</f>
        <v>6.21950096797943E-2</v>
      </c>
      <c r="M1901" s="1">
        <v>-1.05249903202057E-2</v>
      </c>
      <c r="N1901" s="1">
        <f>+M1901-J1901</f>
        <v>4.1195009679794302E-2</v>
      </c>
      <c r="O1901">
        <v>2.0699999999999998</v>
      </c>
      <c r="P1901" t="s">
        <v>15</v>
      </c>
      <c r="Q1901">
        <v>-0.01</v>
      </c>
      <c r="R1901">
        <v>9.5059635490178998E-3</v>
      </c>
      <c r="S1901">
        <v>3.37919220328329E-3</v>
      </c>
      <c r="T1901">
        <v>0.06</v>
      </c>
    </row>
    <row r="1902" spans="1:20" x14ac:dyDescent="0.3">
      <c r="A1902" t="s">
        <v>136</v>
      </c>
      <c r="B1902">
        <v>2013</v>
      </c>
      <c r="C1902">
        <v>524441.5</v>
      </c>
      <c r="D1902" s="1">
        <v>1E-3</v>
      </c>
      <c r="E1902" s="1">
        <v>0.95412737131118797</v>
      </c>
      <c r="F1902" s="1">
        <v>-1.2999999999999999E-2</v>
      </c>
      <c r="G1902" s="1">
        <f t="shared" si="58"/>
        <v>-9.9999999999999967E-3</v>
      </c>
      <c r="H1902" s="1" t="str">
        <f t="shared" si="59"/>
        <v/>
      </c>
      <c r="I1902" s="1">
        <v>-1E-3</v>
      </c>
      <c r="J1902" s="1">
        <f>+D1902-F1902+I1902*O1902</f>
        <v>1.1959999999999998E-2</v>
      </c>
      <c r="K1902" s="1">
        <v>2.4505963549017899E-2</v>
      </c>
      <c r="L1902" s="1">
        <f>+K1902-J1902</f>
        <v>1.2545963549017901E-2</v>
      </c>
      <c r="M1902" s="1">
        <v>9.5059635490178998E-3</v>
      </c>
      <c r="N1902" s="1">
        <f>+M1902-J1902</f>
        <v>-2.4540364509820986E-3</v>
      </c>
      <c r="O1902">
        <v>2.04</v>
      </c>
      <c r="P1902" t="s">
        <v>16</v>
      </c>
      <c r="Q1902">
        <v>0</v>
      </c>
      <c r="R1902">
        <v>5.2291404604912E-3</v>
      </c>
      <c r="S1902">
        <v>3.2211169600486998E-3</v>
      </c>
      <c r="T1902">
        <v>-0.02</v>
      </c>
    </row>
    <row r="1903" spans="1:20" x14ac:dyDescent="0.3">
      <c r="A1903" t="s">
        <v>136</v>
      </c>
      <c r="B1903">
        <v>2014</v>
      </c>
      <c r="C1903">
        <v>528955.5</v>
      </c>
      <c r="D1903" s="1">
        <v>1E-3</v>
      </c>
      <c r="E1903" s="1">
        <v>0.95598775148391701</v>
      </c>
      <c r="F1903" s="1">
        <v>0.09</v>
      </c>
      <c r="G1903" s="1">
        <f t="shared" si="58"/>
        <v>0.08</v>
      </c>
      <c r="H1903" s="1" t="str">
        <f t="shared" si="59"/>
        <v/>
      </c>
      <c r="I1903" s="1">
        <v>2E-3</v>
      </c>
      <c r="J1903" s="1">
        <f>+D1903-F1903+I1903*O1903</f>
        <v>-8.4559999999999996E-2</v>
      </c>
      <c r="K1903" s="1">
        <v>2.1229140460491201E-2</v>
      </c>
      <c r="L1903" s="1">
        <f>+K1903-J1903</f>
        <v>0.1057891404604912</v>
      </c>
      <c r="M1903" s="1">
        <v>5.2291404604912E-3</v>
      </c>
      <c r="N1903" s="1">
        <f>+M1903-J1903</f>
        <v>8.978914046049119E-2</v>
      </c>
      <c r="O1903">
        <v>2.2200000000000002</v>
      </c>
      <c r="P1903" t="s">
        <v>15</v>
      </c>
      <c r="Q1903">
        <v>0</v>
      </c>
      <c r="R1903">
        <v>3.4204418003559098E-2</v>
      </c>
      <c r="S1903">
        <v>3.9409659802914004E-3</v>
      </c>
      <c r="T1903">
        <v>0.09</v>
      </c>
    </row>
    <row r="1904" spans="1:20" x14ac:dyDescent="0.3">
      <c r="A1904" t="s">
        <v>136</v>
      </c>
      <c r="B1904">
        <v>2015</v>
      </c>
      <c r="C1904">
        <v>532073.75</v>
      </c>
      <c r="D1904" s="1">
        <v>8.9999999999999993E-3</v>
      </c>
      <c r="E1904" s="1">
        <v>0.95238667726516701</v>
      </c>
      <c r="F1904" s="1">
        <v>-8.8999999999999996E-2</v>
      </c>
      <c r="G1904" s="1">
        <f t="shared" si="58"/>
        <v>-8.9999999999999941E-3</v>
      </c>
      <c r="H1904" s="1" t="str">
        <f t="shared" si="59"/>
        <v/>
      </c>
      <c r="I1904" s="1">
        <v>-4.0000000000000001E-3</v>
      </c>
      <c r="J1904" s="1">
        <f>+D1904-F1904+I1904*O1904</f>
        <v>8.9919999999999986E-2</v>
      </c>
      <c r="K1904" s="1">
        <v>3.5204418003559099E-2</v>
      </c>
      <c r="L1904" s="1">
        <f>+K1904-J1904</f>
        <v>-5.4715581996440887E-2</v>
      </c>
      <c r="M1904" s="1">
        <v>3.4204418003559098E-2</v>
      </c>
      <c r="N1904" s="1">
        <f>+M1904-J1904</f>
        <v>-5.5715581996440888E-2</v>
      </c>
      <c r="O1904">
        <v>2.02</v>
      </c>
      <c r="P1904" t="s">
        <v>16</v>
      </c>
      <c r="Q1904">
        <v>0</v>
      </c>
      <c r="R1904">
        <v>4.2096788883208896E-3</v>
      </c>
      <c r="S1904">
        <v>-8.9438781142234993E-3</v>
      </c>
      <c r="T1904">
        <v>-0.08</v>
      </c>
    </row>
    <row r="1905" spans="1:20" x14ac:dyDescent="0.3">
      <c r="A1905" t="s">
        <v>136</v>
      </c>
      <c r="B1905">
        <v>2016</v>
      </c>
      <c r="C1905">
        <v>536214.5</v>
      </c>
      <c r="D1905" s="1">
        <v>8.9999999999999993E-3</v>
      </c>
      <c r="E1905" s="1">
        <v>0.94757896661758401</v>
      </c>
      <c r="F1905" s="1">
        <v>-8.5000000000000006E-2</v>
      </c>
      <c r="G1905" s="1">
        <f t="shared" si="58"/>
        <v>-9.4E-2</v>
      </c>
      <c r="H1905" s="1" t="str">
        <f t="shared" si="59"/>
        <v/>
      </c>
      <c r="I1905" s="1">
        <v>-5.0000000000000001E-3</v>
      </c>
      <c r="J1905" s="1">
        <f>+D1905-F1905+I1905*O1905</f>
        <v>8.4749999999999992E-2</v>
      </c>
      <c r="K1905" s="1">
        <v>1.7209678888320899E-2</v>
      </c>
      <c r="L1905" s="1">
        <f>+K1905-J1905</f>
        <v>-6.7540321111679097E-2</v>
      </c>
      <c r="M1905" s="1">
        <v>4.2096788883208896E-3</v>
      </c>
      <c r="N1905" s="1">
        <f>+M1905-J1905</f>
        <v>-8.0540321111679108E-2</v>
      </c>
      <c r="O1905">
        <v>1.85</v>
      </c>
      <c r="P1905" t="s">
        <v>16</v>
      </c>
      <c r="Q1905">
        <v>-0.01</v>
      </c>
      <c r="R1905">
        <v>-9.2339034229516996E-3</v>
      </c>
      <c r="S1905">
        <v>-1.20234768837689E-2</v>
      </c>
      <c r="T1905">
        <v>-0.08</v>
      </c>
    </row>
    <row r="1906" spans="1:20" x14ac:dyDescent="0.3">
      <c r="A1906" t="s">
        <v>136</v>
      </c>
      <c r="B1906">
        <v>2017</v>
      </c>
      <c r="C1906">
        <v>540335.875</v>
      </c>
      <c r="D1906" s="1">
        <v>0.04</v>
      </c>
      <c r="E1906" s="1">
        <v>0.94879549741744995</v>
      </c>
      <c r="F1906" s="1">
        <v>6.0999999999999999E-2</v>
      </c>
      <c r="G1906" s="1">
        <f t="shared" si="58"/>
        <v>-3.3000000000000002E-2</v>
      </c>
      <c r="H1906" s="1" t="str">
        <f t="shared" si="59"/>
        <v/>
      </c>
      <c r="I1906" s="1">
        <v>1E-3</v>
      </c>
      <c r="J1906" s="1">
        <f>+D1906-F1906+I1906*O1906</f>
        <v>-1.9029999999999998E-2</v>
      </c>
      <c r="K1906" s="1">
        <v>1.17660965770483E-2</v>
      </c>
      <c r="L1906" s="1">
        <f>+K1906-J1906</f>
        <v>3.07960965770483E-2</v>
      </c>
      <c r="M1906" s="1">
        <v>-9.2339034229516996E-3</v>
      </c>
      <c r="N1906" s="1">
        <f>+M1906-J1906</f>
        <v>9.7960965770482987E-3</v>
      </c>
      <c r="O1906">
        <v>1.97</v>
      </c>
      <c r="P1906" t="s">
        <v>15</v>
      </c>
      <c r="Q1906">
        <v>-0.01</v>
      </c>
      <c r="R1906">
        <v>5.97055277228359E-3</v>
      </c>
      <c r="S1906">
        <v>-3.1644701957701899E-3</v>
      </c>
      <c r="T1906">
        <v>0.06</v>
      </c>
    </row>
    <row r="1907" spans="1:20" x14ac:dyDescent="0.3">
      <c r="A1907" t="s">
        <v>136</v>
      </c>
      <c r="B1907">
        <v>2018</v>
      </c>
      <c r="C1907">
        <v>544951.75</v>
      </c>
      <c r="D1907" s="1">
        <v>2.1999999999999999E-2</v>
      </c>
      <c r="E1907" s="1">
        <v>0.95521849393844604</v>
      </c>
      <c r="F1907" s="1">
        <v>-3.1E-2</v>
      </c>
      <c r="G1907" s="1">
        <f t="shared" si="58"/>
        <v>-6.4000000000000001E-2</v>
      </c>
      <c r="H1907" s="1" t="str">
        <f t="shared" si="59"/>
        <v/>
      </c>
      <c r="I1907" s="1">
        <v>6.0000000000000001E-3</v>
      </c>
      <c r="J1907" s="1">
        <f>+D1907-F1907+I1907*O1907</f>
        <v>6.4460000000000003E-2</v>
      </c>
      <c r="K1907" s="1">
        <v>2.9970552772283599E-2</v>
      </c>
      <c r="L1907" s="1">
        <f>+K1907-J1907</f>
        <v>-3.4489447227716408E-2</v>
      </c>
      <c r="M1907" s="1">
        <v>5.97055277228359E-3</v>
      </c>
      <c r="N1907" s="1">
        <f>+M1907-J1907</f>
        <v>-5.8489447227716415E-2</v>
      </c>
      <c r="O1907">
        <v>1.91</v>
      </c>
      <c r="P1907" t="s">
        <v>17</v>
      </c>
      <c r="Q1907">
        <v>0</v>
      </c>
      <c r="R1907">
        <v>2.1430309087038E-2</v>
      </c>
      <c r="S1907">
        <v>3.6291144788264899E-3</v>
      </c>
      <c r="T1907">
        <v>-0.02</v>
      </c>
    </row>
    <row r="1908" spans="1:20" x14ac:dyDescent="0.3">
      <c r="A1908" t="s">
        <v>136</v>
      </c>
      <c r="B1908">
        <v>2019</v>
      </c>
      <c r="C1908">
        <v>549594.4375</v>
      </c>
      <c r="D1908" s="1">
        <v>1.2E-2</v>
      </c>
      <c r="E1908" s="1">
        <v>0.95493549108505205</v>
      </c>
      <c r="F1908" s="1">
        <v>1.9E-2</v>
      </c>
      <c r="G1908" s="1">
        <f t="shared" si="58"/>
        <v>-4.4999999999999998E-2</v>
      </c>
      <c r="H1908" s="1" t="str">
        <f t="shared" si="59"/>
        <v/>
      </c>
      <c r="I1908" s="1">
        <v>0</v>
      </c>
      <c r="J1908" s="1">
        <f>+D1908-F1908+I1908*O1908</f>
        <v>-6.9999999999999993E-3</v>
      </c>
      <c r="K1908" s="1">
        <v>3.9430309087037999E-2</v>
      </c>
      <c r="L1908" s="1">
        <f>+K1908-J1908</f>
        <v>4.6430309087037998E-2</v>
      </c>
      <c r="M1908" s="1">
        <v>2.1430309087038E-2</v>
      </c>
      <c r="N1908" s="1">
        <f>+M1908-J1908</f>
        <v>2.8430309087037999E-2</v>
      </c>
      <c r="O1908">
        <v>1.94</v>
      </c>
      <c r="P1908" t="s">
        <v>17</v>
      </c>
      <c r="Q1908">
        <v>0</v>
      </c>
      <c r="R1908">
        <v>2.5921987473964601E-2</v>
      </c>
      <c r="S1908">
        <v>7.07279704511169E-3</v>
      </c>
      <c r="T1908">
        <v>0.03</v>
      </c>
    </row>
    <row r="1909" spans="1:20" x14ac:dyDescent="0.3">
      <c r="A1909" t="s">
        <v>136</v>
      </c>
      <c r="B1909">
        <v>2020</v>
      </c>
      <c r="C1909">
        <v>554025.0625</v>
      </c>
      <c r="D1909" s="1">
        <v>2.7E-2</v>
      </c>
      <c r="E1909" s="1">
        <v>0.9615119099617</v>
      </c>
      <c r="F1909" s="1">
        <v>-4.2999999999999997E-2</v>
      </c>
      <c r="G1909" s="1">
        <f t="shared" si="58"/>
        <v>-8.7999999999999995E-2</v>
      </c>
      <c r="H1909" s="1" t="str">
        <f t="shared" si="59"/>
        <v/>
      </c>
      <c r="I1909" s="1">
        <v>7.0000000000000001E-3</v>
      </c>
      <c r="J1909" s="1">
        <f>+D1909-F1909+I1909*O1909</f>
        <v>8.3019999999999997E-2</v>
      </c>
      <c r="K1909" s="1">
        <v>3.7921987473964698E-2</v>
      </c>
      <c r="L1909" s="1">
        <f>+K1909-J1909</f>
        <v>-4.5098012526035298E-2</v>
      </c>
      <c r="M1909" s="1">
        <v>2.5921987473964601E-2</v>
      </c>
      <c r="N1909" s="1">
        <f>+M1909-J1909</f>
        <v>-5.7098012526035399E-2</v>
      </c>
      <c r="O1909">
        <v>1.86</v>
      </c>
      <c r="P1909" t="s">
        <v>17</v>
      </c>
      <c r="Q1909">
        <v>0.01</v>
      </c>
      <c r="R1909">
        <v>-1.1268534958362899E-3</v>
      </c>
      <c r="S1909">
        <v>-4.4716466218233199E-2</v>
      </c>
      <c r="T1909">
        <v>0</v>
      </c>
    </row>
    <row r="1910" spans="1:20" x14ac:dyDescent="0.3">
      <c r="A1910" t="s">
        <v>136</v>
      </c>
      <c r="B1910">
        <v>2021</v>
      </c>
      <c r="C1910">
        <v>559604.1875</v>
      </c>
      <c r="D1910" s="1">
        <v>3.2000000000000001E-2</v>
      </c>
      <c r="E1910" s="1">
        <v>0.97166228294372603</v>
      </c>
      <c r="F1910" s="1">
        <v>-2.1000000000000001E-2</v>
      </c>
      <c r="G1910" s="1">
        <f t="shared" si="58"/>
        <v>-0.109</v>
      </c>
      <c r="H1910" s="1" t="str">
        <f t="shared" si="59"/>
        <v/>
      </c>
      <c r="I1910" s="1">
        <v>0.01</v>
      </c>
      <c r="J1910" s="1">
        <f>+D1910-F1910+I1910*O1910</f>
        <v>7.1200000000000013E-2</v>
      </c>
      <c r="K1910" s="1">
        <v>4.58731465041637E-2</v>
      </c>
      <c r="L1910" s="1">
        <f>+K1910-J1910</f>
        <v>-2.5326853495836313E-2</v>
      </c>
      <c r="M1910" s="1">
        <v>-1.1268534958362899E-3</v>
      </c>
      <c r="N1910" s="1">
        <f>+M1910-J1910</f>
        <v>-7.2326853495836299E-2</v>
      </c>
      <c r="O1910">
        <v>1.82</v>
      </c>
      <c r="P1910" t="s">
        <v>17</v>
      </c>
      <c r="Q1910">
        <v>-0.04</v>
      </c>
      <c r="R1910">
        <v>-2.5927638560533501E-2</v>
      </c>
      <c r="S1910">
        <v>6.1758682131767897E-3</v>
      </c>
      <c r="T1910">
        <v>-0.05</v>
      </c>
    </row>
    <row r="1911" spans="1:20" x14ac:dyDescent="0.3">
      <c r="A1911" t="s">
        <v>136</v>
      </c>
      <c r="B1911">
        <v>2022</v>
      </c>
      <c r="C1911">
        <v>564723.0625</v>
      </c>
      <c r="D1911" s="1">
        <v>1.9E-2</v>
      </c>
      <c r="E1911" s="1">
        <v>0.97087985277175903</v>
      </c>
      <c r="F1911" s="1">
        <v>6.4000000000000001E-2</v>
      </c>
      <c r="G1911" s="1">
        <f t="shared" si="58"/>
        <v>-4.4999999999999998E-2</v>
      </c>
      <c r="H1911" s="1" t="str">
        <f t="shared" si="59"/>
        <v/>
      </c>
      <c r="I1911" s="1">
        <v>-1E-3</v>
      </c>
      <c r="J1911" s="1">
        <f>+D1911-F1911+I1911*O1911</f>
        <v>-4.6939999999999996E-2</v>
      </c>
      <c r="K1911" s="1">
        <v>5.4072361439466497E-2</v>
      </c>
      <c r="L1911" s="1">
        <f>+K1911-J1911</f>
        <v>0.10101236143946649</v>
      </c>
      <c r="M1911" s="1">
        <v>-2.5927638560533501E-2</v>
      </c>
      <c r="N1911" s="1">
        <f>+M1911-J1911</f>
        <v>2.1012361439466495E-2</v>
      </c>
      <c r="O1911">
        <v>1.94</v>
      </c>
      <c r="P1911" t="s">
        <v>17</v>
      </c>
      <c r="Q1911">
        <v>0.01</v>
      </c>
      <c r="R1911">
        <v>-1.9558927774429299E-2</v>
      </c>
      <c r="S1911">
        <v>0</v>
      </c>
      <c r="T1911">
        <v>0.08</v>
      </c>
    </row>
    <row r="1912" spans="1:20" x14ac:dyDescent="0.3">
      <c r="A1912" t="s">
        <v>137</v>
      </c>
      <c r="B1912">
        <v>2006</v>
      </c>
      <c r="C1912">
        <v>2111711</v>
      </c>
      <c r="D1912" s="1">
        <v>6.0000000000000001E-3</v>
      </c>
      <c r="E1912" s="1">
        <v>0.96008592844009399</v>
      </c>
      <c r="F1912" s="1">
        <v>3.0000000000000001E-3</v>
      </c>
      <c r="G1912" s="1">
        <f t="shared" si="58"/>
        <v>3.0000000000000001E-3</v>
      </c>
      <c r="H1912" s="1" t="str">
        <f t="shared" si="59"/>
        <v/>
      </c>
      <c r="I1912" s="1">
        <v>1.4E-2</v>
      </c>
      <c r="J1912" s="1">
        <f>+D1912-F1912+I1912*O1912</f>
        <v>3.4360000000000009E-2</v>
      </c>
      <c r="K1912" s="1">
        <v>3.6815017461776699E-2</v>
      </c>
      <c r="L1912" s="1">
        <f>+K1912-J1912</f>
        <v>2.4550174617766901E-3</v>
      </c>
      <c r="M1912" s="1">
        <v>4.8150174617766902E-3</v>
      </c>
      <c r="N1912" s="1">
        <f>+M1912-J1912</f>
        <v>-2.9544982538223317E-2</v>
      </c>
      <c r="O1912">
        <v>2.2400000000000002</v>
      </c>
      <c r="P1912" t="s">
        <v>15</v>
      </c>
      <c r="Q1912">
        <v>0</v>
      </c>
      <c r="R1912">
        <v>2.1990991294384001E-2</v>
      </c>
      <c r="S1912">
        <v>2.2912747226655501E-2</v>
      </c>
      <c r="T1912">
        <v>0</v>
      </c>
    </row>
    <row r="1913" spans="1:20" x14ac:dyDescent="0.3">
      <c r="A1913" t="s">
        <v>137</v>
      </c>
      <c r="B1913">
        <v>2007</v>
      </c>
      <c r="C1913">
        <v>2146570</v>
      </c>
      <c r="D1913" s="1">
        <v>0.01</v>
      </c>
      <c r="E1913" s="1">
        <v>0.95592856407165505</v>
      </c>
      <c r="F1913" s="1">
        <v>-1.2E-2</v>
      </c>
      <c r="G1913" s="1">
        <f t="shared" si="58"/>
        <v>-9.0000000000000011E-3</v>
      </c>
      <c r="H1913" s="1" t="str">
        <f t="shared" si="59"/>
        <v/>
      </c>
      <c r="I1913" s="1">
        <v>-4.0000000000000001E-3</v>
      </c>
      <c r="J1913" s="1">
        <f>+D1913-F1913+I1913*O1913</f>
        <v>1.3159999999999998E-2</v>
      </c>
      <c r="K1913" s="1">
        <v>5.0990991294384003E-2</v>
      </c>
      <c r="L1913" s="1">
        <f>+K1913-J1913</f>
        <v>3.7830991294384005E-2</v>
      </c>
      <c r="M1913" s="1">
        <v>2.1990991294384001E-2</v>
      </c>
      <c r="N1913" s="1">
        <f>+M1913-J1913</f>
        <v>8.8309912943840031E-3</v>
      </c>
      <c r="O1913">
        <v>2.21</v>
      </c>
      <c r="P1913" t="s">
        <v>16</v>
      </c>
      <c r="Q1913">
        <v>0.02</v>
      </c>
      <c r="R1913">
        <v>-2.0343601062893801E-2</v>
      </c>
      <c r="S1913">
        <v>9.1672032140195005E-3</v>
      </c>
      <c r="T1913">
        <v>-0.01</v>
      </c>
    </row>
    <row r="1914" spans="1:20" x14ac:dyDescent="0.3">
      <c r="A1914" t="s">
        <v>137</v>
      </c>
      <c r="B1914">
        <v>2008</v>
      </c>
      <c r="C1914">
        <v>2181417</v>
      </c>
      <c r="D1914" s="1">
        <v>1.4999999999999999E-2</v>
      </c>
      <c r="E1914" s="1">
        <v>0.943206787109375</v>
      </c>
      <c r="F1914" s="1">
        <v>-1.7000000000000001E-2</v>
      </c>
      <c r="G1914" s="1">
        <f t="shared" si="58"/>
        <v>-2.6000000000000002E-2</v>
      </c>
      <c r="H1914" s="1" t="str">
        <f t="shared" si="59"/>
        <v/>
      </c>
      <c r="I1914" s="1">
        <v>-1.2999999999999999E-2</v>
      </c>
      <c r="J1914" s="1">
        <f>+D1914-F1914+I1914*O1914</f>
        <v>3.7900000000000017E-3</v>
      </c>
      <c r="K1914" s="1">
        <v>1.7656398937106101E-2</v>
      </c>
      <c r="L1914" s="1">
        <f>+K1914-J1914</f>
        <v>1.38663989371061E-2</v>
      </c>
      <c r="M1914" s="1">
        <v>-2.0343601062893801E-2</v>
      </c>
      <c r="N1914" s="1">
        <f>+M1914-J1914</f>
        <v>-2.4133601062893802E-2</v>
      </c>
      <c r="O1914">
        <v>2.17</v>
      </c>
      <c r="P1914" t="s">
        <v>16</v>
      </c>
      <c r="Q1914">
        <v>0.01</v>
      </c>
      <c r="R1914">
        <v>-4.0344447553157803E-2</v>
      </c>
      <c r="S1914">
        <v>-1.37777458876371E-2</v>
      </c>
      <c r="T1914">
        <v>-0.02</v>
      </c>
    </row>
    <row r="1915" spans="1:20" x14ac:dyDescent="0.3">
      <c r="A1915" t="s">
        <v>137</v>
      </c>
      <c r="B1915">
        <v>2009</v>
      </c>
      <c r="C1915">
        <v>2213304</v>
      </c>
      <c r="D1915" s="1">
        <v>2.1000000000000001E-2</v>
      </c>
      <c r="E1915" s="1">
        <v>0.93632352352142301</v>
      </c>
      <c r="F1915" s="1">
        <v>4.8000000000000001E-2</v>
      </c>
      <c r="G1915" s="1">
        <f t="shared" si="58"/>
        <v>2.1999999999999999E-2</v>
      </c>
      <c r="H1915" s="1" t="str">
        <f t="shared" si="59"/>
        <v/>
      </c>
      <c r="I1915" s="1">
        <v>-7.0000000000000001E-3</v>
      </c>
      <c r="J1915" s="1">
        <f>+D1915-F1915+I1915*O1915</f>
        <v>-4.2889999999999998E-2</v>
      </c>
      <c r="K1915" s="1">
        <v>-4.4344447553157799E-2</v>
      </c>
      <c r="L1915" s="1">
        <f>+K1915-J1915</f>
        <v>-1.4544475531578019E-3</v>
      </c>
      <c r="M1915" s="1">
        <v>-4.0344447553157803E-2</v>
      </c>
      <c r="N1915" s="1">
        <f>+M1915-J1915</f>
        <v>2.5455524468421947E-3</v>
      </c>
      <c r="O1915">
        <v>2.27</v>
      </c>
      <c r="P1915" t="s">
        <v>17</v>
      </c>
      <c r="Q1915">
        <v>-0.01</v>
      </c>
      <c r="R1915">
        <v>2.1668046861887001E-3</v>
      </c>
      <c r="S1915">
        <v>1.1626913445070299E-2</v>
      </c>
      <c r="T1915">
        <v>0.03</v>
      </c>
    </row>
    <row r="1916" spans="1:20" x14ac:dyDescent="0.3">
      <c r="A1916" t="s">
        <v>137</v>
      </c>
      <c r="B1916">
        <v>2010</v>
      </c>
      <c r="C1916">
        <v>2240432</v>
      </c>
      <c r="D1916" s="1">
        <v>4.0000000000000001E-3</v>
      </c>
      <c r="E1916" s="1">
        <v>0.94979560375213601</v>
      </c>
      <c r="F1916" s="1">
        <v>0</v>
      </c>
      <c r="G1916" s="1">
        <f t="shared" si="58"/>
        <v>2.1999999999999999E-2</v>
      </c>
      <c r="H1916" s="1" t="str">
        <f t="shared" si="59"/>
        <v/>
      </c>
      <c r="I1916" s="1">
        <v>1.2999999999999999E-2</v>
      </c>
      <c r="J1916" s="1">
        <f>+D1916-F1916+I1916*O1916</f>
        <v>3.3509999999999998E-2</v>
      </c>
      <c r="K1916" s="1">
        <v>1.8166804686188701E-2</v>
      </c>
      <c r="L1916" s="1">
        <f>+K1916-J1916</f>
        <v>-1.5343195313811297E-2</v>
      </c>
      <c r="M1916" s="1">
        <v>2.1668046861887001E-3</v>
      </c>
      <c r="N1916" s="1">
        <f>+M1916-J1916</f>
        <v>-3.1343195313811301E-2</v>
      </c>
      <c r="O1916">
        <v>2.27</v>
      </c>
      <c r="P1916" t="s">
        <v>17</v>
      </c>
      <c r="Q1916">
        <v>0.01</v>
      </c>
      <c r="R1916">
        <v>-1.4776559889316599E-2</v>
      </c>
      <c r="S1916">
        <v>6.5072146244346896E-3</v>
      </c>
      <c r="T1916">
        <v>-0.01</v>
      </c>
    </row>
    <row r="1917" spans="1:20" x14ac:dyDescent="0.3">
      <c r="A1917" t="s">
        <v>137</v>
      </c>
      <c r="B1917">
        <v>2011</v>
      </c>
      <c r="C1917">
        <v>2270517</v>
      </c>
      <c r="D1917" s="1">
        <v>3.0000000000000001E-3</v>
      </c>
      <c r="E1917" s="1">
        <v>0.948572337627411</v>
      </c>
      <c r="F1917" s="1">
        <v>1.7999999999999999E-2</v>
      </c>
      <c r="G1917" s="1">
        <f t="shared" si="58"/>
        <v>3.9999999999999994E-2</v>
      </c>
      <c r="H1917" s="1" t="str">
        <f t="shared" si="59"/>
        <v/>
      </c>
      <c r="I1917" s="1">
        <v>-1E-3</v>
      </c>
      <c r="J1917" s="1">
        <f>+D1917-F1917+I1917*O1917</f>
        <v>-1.7309999999999999E-2</v>
      </c>
      <c r="K1917" s="1">
        <v>1.72234401106834E-2</v>
      </c>
      <c r="L1917" s="1">
        <f>+K1917-J1917</f>
        <v>3.4533440110683399E-2</v>
      </c>
      <c r="M1917" s="1">
        <v>-1.4776559889316599E-2</v>
      </c>
      <c r="N1917" s="1">
        <f>+M1917-J1917</f>
        <v>2.5334401106833996E-3</v>
      </c>
      <c r="O1917">
        <v>2.31</v>
      </c>
      <c r="P1917" t="s">
        <v>17</v>
      </c>
      <c r="Q1917">
        <v>0.01</v>
      </c>
      <c r="R1917">
        <v>5.1332169175147997E-3</v>
      </c>
      <c r="S1917">
        <v>1.05714229866862E-2</v>
      </c>
      <c r="T1917">
        <v>0.02</v>
      </c>
    </row>
    <row r="1918" spans="1:20" x14ac:dyDescent="0.3">
      <c r="A1918" t="s">
        <v>137</v>
      </c>
      <c r="B1918">
        <v>2012</v>
      </c>
      <c r="C1918">
        <v>2296577</v>
      </c>
      <c r="D1918" s="1">
        <v>1.4E-2</v>
      </c>
      <c r="E1918" s="1">
        <v>0.94703882932662997</v>
      </c>
      <c r="F1918" s="1">
        <v>8.9999999999999993E-3</v>
      </c>
      <c r="G1918" s="1">
        <f t="shared" si="58"/>
        <v>4.8999999999999995E-2</v>
      </c>
      <c r="H1918" s="1" t="str">
        <f t="shared" si="59"/>
        <v/>
      </c>
      <c r="I1918" s="1">
        <v>-2E-3</v>
      </c>
      <c r="J1918" s="1">
        <f>+D1918-F1918+I1918*O1918</f>
        <v>3.4000000000000089E-4</v>
      </c>
      <c r="K1918" s="1">
        <v>2.6133216917514801E-2</v>
      </c>
      <c r="L1918" s="1">
        <f>+K1918-J1918</f>
        <v>2.5793216917514801E-2</v>
      </c>
      <c r="M1918" s="1">
        <v>5.1332169175147997E-3</v>
      </c>
      <c r="N1918" s="1">
        <f>+M1918-J1918</f>
        <v>4.7932169175147988E-3</v>
      </c>
      <c r="O1918">
        <v>2.33</v>
      </c>
      <c r="P1918" t="s">
        <v>17</v>
      </c>
      <c r="Q1918">
        <v>0.01</v>
      </c>
      <c r="R1918">
        <v>2.0221993923187201E-2</v>
      </c>
      <c r="S1918">
        <v>1.4095222577452601E-2</v>
      </c>
      <c r="T1918">
        <v>0.01</v>
      </c>
    </row>
    <row r="1919" spans="1:20" x14ac:dyDescent="0.3">
      <c r="A1919" t="s">
        <v>137</v>
      </c>
      <c r="B1919">
        <v>2013</v>
      </c>
      <c r="C1919">
        <v>2322337</v>
      </c>
      <c r="D1919" s="1">
        <v>1.7000000000000001E-2</v>
      </c>
      <c r="E1919" s="1">
        <v>0.94991755485534701</v>
      </c>
      <c r="F1919" s="1">
        <v>5.0000000000000001E-3</v>
      </c>
      <c r="G1919" s="1">
        <f t="shared" si="58"/>
        <v>5.3999999999999992E-2</v>
      </c>
      <c r="H1919" s="1" t="str">
        <f t="shared" si="59"/>
        <v/>
      </c>
      <c r="I1919" s="1">
        <v>3.0000000000000001E-3</v>
      </c>
      <c r="J1919" s="1">
        <f>+D1919-F1919+I1919*O1919</f>
        <v>1.9050000000000001E-2</v>
      </c>
      <c r="K1919" s="1">
        <v>3.5221993923187297E-2</v>
      </c>
      <c r="L1919" s="1">
        <f>+K1919-J1919</f>
        <v>1.6171993923187297E-2</v>
      </c>
      <c r="M1919" s="1">
        <v>2.0221993923187201E-2</v>
      </c>
      <c r="N1919" s="1">
        <f>+M1919-J1919</f>
        <v>1.1719939231871999E-3</v>
      </c>
      <c r="O1919">
        <v>2.35</v>
      </c>
      <c r="P1919" t="s">
        <v>15</v>
      </c>
      <c r="Q1919">
        <v>0.01</v>
      </c>
      <c r="R1919">
        <v>2.1704810500145E-2</v>
      </c>
      <c r="S1919">
        <v>1.9696786999702499E-2</v>
      </c>
      <c r="T1919">
        <v>0</v>
      </c>
    </row>
    <row r="1920" spans="1:20" x14ac:dyDescent="0.3">
      <c r="A1920" t="s">
        <v>137</v>
      </c>
      <c r="B1920">
        <v>2014</v>
      </c>
      <c r="C1920">
        <v>2357625</v>
      </c>
      <c r="D1920" s="1">
        <v>2.5999999999999999E-2</v>
      </c>
      <c r="E1920" s="1">
        <v>0.95228379964828502</v>
      </c>
      <c r="F1920" s="1">
        <v>5.0000000000000001E-3</v>
      </c>
      <c r="G1920" s="1">
        <f t="shared" si="58"/>
        <v>5.899999999999999E-2</v>
      </c>
      <c r="H1920" s="1" t="str">
        <f t="shared" si="59"/>
        <v/>
      </c>
      <c r="I1920" s="1">
        <v>2E-3</v>
      </c>
      <c r="J1920" s="1">
        <f>+D1920-F1920+I1920*O1920</f>
        <v>2.572E-2</v>
      </c>
      <c r="K1920" s="1">
        <v>3.7704810500145E-2</v>
      </c>
      <c r="L1920" s="1">
        <f>+K1920-J1920</f>
        <v>1.1984810500145E-2</v>
      </c>
      <c r="M1920" s="1">
        <v>2.1704810500145E-2</v>
      </c>
      <c r="N1920" s="1">
        <f>+M1920-J1920</f>
        <v>-4.015189499855E-3</v>
      </c>
      <c r="O1920">
        <v>2.36</v>
      </c>
      <c r="P1920" t="s">
        <v>15</v>
      </c>
      <c r="Q1920">
        <v>0.02</v>
      </c>
      <c r="R1920">
        <v>7.5655007898807497E-2</v>
      </c>
      <c r="S1920">
        <v>4.53915558755398E-2</v>
      </c>
      <c r="T1920">
        <v>0</v>
      </c>
    </row>
    <row r="1921" spans="1:20" x14ac:dyDescent="0.3">
      <c r="A1921" t="s">
        <v>137</v>
      </c>
      <c r="B1921">
        <v>2015</v>
      </c>
      <c r="C1921">
        <v>2397875</v>
      </c>
      <c r="D1921" s="1">
        <v>2.5000000000000001E-2</v>
      </c>
      <c r="E1921" s="1">
        <v>0.95033735036849998</v>
      </c>
      <c r="F1921" s="1">
        <v>-5.3999999999999999E-2</v>
      </c>
      <c r="G1921" s="1">
        <f t="shared" si="58"/>
        <v>4.9999999999999906E-3</v>
      </c>
      <c r="H1921" s="1" t="str">
        <f t="shared" si="59"/>
        <v/>
      </c>
      <c r="I1921" s="1">
        <v>-2E-3</v>
      </c>
      <c r="J1921" s="1">
        <f>+D1921-F1921+I1921*O1921</f>
        <v>7.4539999999999995E-2</v>
      </c>
      <c r="K1921" s="1">
        <v>7.6655007898807498E-2</v>
      </c>
      <c r="L1921" s="1">
        <f>+K1921-J1921</f>
        <v>2.1150078988075027E-3</v>
      </c>
      <c r="M1921" s="1">
        <v>7.5655007898807497E-2</v>
      </c>
      <c r="N1921" s="1">
        <f>+M1921-J1921</f>
        <v>1.1150078988075018E-3</v>
      </c>
      <c r="O1921">
        <v>2.23</v>
      </c>
      <c r="P1921" t="s">
        <v>16</v>
      </c>
      <c r="Q1921">
        <v>0.05</v>
      </c>
      <c r="R1921">
        <v>1.2768645107746101E-2</v>
      </c>
      <c r="S1921">
        <v>-3.8491189479829897E-4</v>
      </c>
      <c r="T1921">
        <v>-0.04</v>
      </c>
    </row>
    <row r="1922" spans="1:20" x14ac:dyDescent="0.3">
      <c r="A1922" t="s">
        <v>137</v>
      </c>
      <c r="B1922">
        <v>2016</v>
      </c>
      <c r="C1922">
        <v>2439731</v>
      </c>
      <c r="D1922" s="1">
        <v>2.9000000000000001E-2</v>
      </c>
      <c r="E1922" s="1">
        <v>0.938679218292236</v>
      </c>
      <c r="F1922" s="1">
        <v>2.1999999999999999E-2</v>
      </c>
      <c r="G1922" s="1">
        <f t="shared" si="58"/>
        <v>2.6999999999999989E-2</v>
      </c>
      <c r="H1922" s="1" t="str">
        <f t="shared" si="59"/>
        <v/>
      </c>
      <c r="I1922" s="1">
        <v>-1.2E-2</v>
      </c>
      <c r="J1922" s="1">
        <f>+D1922-F1922+I1922*O1922</f>
        <v>-2.0359999999999996E-2</v>
      </c>
      <c r="K1922" s="1">
        <v>2.57686451077461E-2</v>
      </c>
      <c r="L1922" s="1">
        <f>+K1922-J1922</f>
        <v>4.61286451077461E-2</v>
      </c>
      <c r="M1922" s="1">
        <v>1.2768645107746101E-2</v>
      </c>
      <c r="N1922" s="1">
        <f>+M1922-J1922</f>
        <v>3.3128645107746095E-2</v>
      </c>
      <c r="O1922">
        <v>2.2799999999999998</v>
      </c>
      <c r="P1922" t="s">
        <v>17</v>
      </c>
      <c r="Q1922">
        <v>0</v>
      </c>
      <c r="R1922">
        <v>-2.3238885253668001E-3</v>
      </c>
      <c r="S1922">
        <v>-5.1134619861840898E-3</v>
      </c>
      <c r="T1922">
        <v>0.02</v>
      </c>
    </row>
    <row r="1923" spans="1:20" x14ac:dyDescent="0.3">
      <c r="A1923" t="s">
        <v>137</v>
      </c>
      <c r="B1923">
        <v>2017</v>
      </c>
      <c r="C1923">
        <v>2466205</v>
      </c>
      <c r="D1923" s="1">
        <v>0.03</v>
      </c>
      <c r="E1923" s="1">
        <v>0.93681615591049205</v>
      </c>
      <c r="F1923" s="1">
        <v>-3.0000000000000001E-3</v>
      </c>
      <c r="G1923" s="1">
        <f t="shared" si="58"/>
        <v>2.399999999999999E-2</v>
      </c>
      <c r="H1923" s="1" t="str">
        <f t="shared" si="59"/>
        <v/>
      </c>
      <c r="I1923" s="1">
        <v>-2E-3</v>
      </c>
      <c r="J1923" s="1">
        <f>+D1923-F1923+I1923*O1923</f>
        <v>2.8460000000000003E-2</v>
      </c>
      <c r="K1923" s="1">
        <v>1.86761114746332E-2</v>
      </c>
      <c r="L1923" s="1">
        <f>+K1923-J1923</f>
        <v>-9.7838885253668031E-3</v>
      </c>
      <c r="M1923" s="1">
        <v>-2.3238885253668001E-3</v>
      </c>
      <c r="N1923" s="1">
        <f>+M1923-J1923</f>
        <v>-3.0783888525366801E-2</v>
      </c>
      <c r="O1923">
        <v>2.27</v>
      </c>
      <c r="P1923" t="s">
        <v>16</v>
      </c>
      <c r="Q1923">
        <v>-0.01</v>
      </c>
      <c r="R1923">
        <v>4.9664641022682003E-3</v>
      </c>
      <c r="S1923">
        <v>-4.1685588657855901E-3</v>
      </c>
      <c r="T1923">
        <v>0</v>
      </c>
    </row>
    <row r="1924" spans="1:20" x14ac:dyDescent="0.3">
      <c r="A1924" t="s">
        <v>137</v>
      </c>
      <c r="B1924">
        <v>2018</v>
      </c>
      <c r="C1924">
        <v>2484526</v>
      </c>
      <c r="D1924" s="1">
        <v>3.6999999999999998E-2</v>
      </c>
      <c r="E1924" s="1">
        <v>0.93947923183441195</v>
      </c>
      <c r="F1924" s="1">
        <v>2E-3</v>
      </c>
      <c r="G1924" s="1">
        <f t="shared" si="58"/>
        <v>2.5999999999999988E-2</v>
      </c>
      <c r="H1924" s="1" t="str">
        <f t="shared" si="59"/>
        <v/>
      </c>
      <c r="I1924" s="1">
        <v>3.0000000000000001E-3</v>
      </c>
      <c r="J1924" s="1">
        <f>+D1924-F1924+I1924*O1924</f>
        <v>4.1839999999999995E-2</v>
      </c>
      <c r="K1924" s="1">
        <v>2.8966464102268202E-2</v>
      </c>
      <c r="L1924" s="1">
        <f>+K1924-J1924</f>
        <v>-1.2873535897731794E-2</v>
      </c>
      <c r="M1924" s="1">
        <v>4.9664641022682003E-3</v>
      </c>
      <c r="N1924" s="1">
        <f>+M1924-J1924</f>
        <v>-3.6873535897731798E-2</v>
      </c>
      <c r="O1924">
        <v>2.2799999999999998</v>
      </c>
      <c r="P1924" t="s">
        <v>15</v>
      </c>
      <c r="Q1924">
        <v>0</v>
      </c>
      <c r="R1924">
        <v>1.3452979892492299E-2</v>
      </c>
      <c r="S1924">
        <v>-4.3482147157191996E-3</v>
      </c>
      <c r="T1924">
        <v>0.01</v>
      </c>
    </row>
    <row r="1925" spans="1:20" x14ac:dyDescent="0.3">
      <c r="A1925" t="s">
        <v>137</v>
      </c>
      <c r="B1925">
        <v>2019</v>
      </c>
      <c r="C1925">
        <v>2502871</v>
      </c>
      <c r="D1925" s="1">
        <v>3.5999999999999997E-2</v>
      </c>
      <c r="E1925" s="1">
        <v>0.93470585346221902</v>
      </c>
      <c r="F1925" s="1">
        <v>-2.5000000000000001E-2</v>
      </c>
      <c r="G1925" s="1">
        <f t="shared" si="58"/>
        <v>9.9999999999998701E-4</v>
      </c>
      <c r="H1925" s="1" t="str">
        <f t="shared" si="59"/>
        <v/>
      </c>
      <c r="I1925" s="1">
        <v>-5.0000000000000001E-3</v>
      </c>
      <c r="J1925" s="1">
        <f>+D1925-F1925+I1925*O1925</f>
        <v>4.99E-2</v>
      </c>
      <c r="K1925" s="1">
        <v>3.1452979892492301E-2</v>
      </c>
      <c r="L1925" s="1">
        <f>+K1925-J1925</f>
        <v>-1.8447020107507699E-2</v>
      </c>
      <c r="M1925" s="1">
        <v>1.3452979892492299E-2</v>
      </c>
      <c r="N1925" s="1">
        <f>+M1925-J1925</f>
        <v>-3.6447020107507701E-2</v>
      </c>
      <c r="O1925">
        <v>2.2200000000000002</v>
      </c>
      <c r="P1925" t="s">
        <v>16</v>
      </c>
      <c r="Q1925">
        <v>0</v>
      </c>
      <c r="R1925">
        <v>2.3723106011747999E-3</v>
      </c>
      <c r="S1925">
        <v>-1.64768798276782E-2</v>
      </c>
      <c r="T1925">
        <v>-0.02</v>
      </c>
    </row>
    <row r="1926" spans="1:20" x14ac:dyDescent="0.3">
      <c r="A1926" t="s">
        <v>137</v>
      </c>
      <c r="B1926">
        <v>2020</v>
      </c>
      <c r="C1926">
        <v>2517556</v>
      </c>
      <c r="D1926" s="1">
        <v>3.6999999999999998E-2</v>
      </c>
      <c r="E1926" s="1">
        <v>0.93104350566864003</v>
      </c>
      <c r="F1926" s="1">
        <v>-2.3E-2</v>
      </c>
      <c r="G1926" s="1">
        <f t="shared" si="58"/>
        <v>-2.2000000000000013E-2</v>
      </c>
      <c r="H1926" s="1" t="str">
        <f t="shared" si="59"/>
        <v/>
      </c>
      <c r="I1926" s="1">
        <v>-4.0000000000000001E-3</v>
      </c>
      <c r="J1926" s="1">
        <f>+D1926-F1926+I1926*O1926</f>
        <v>5.1319999999999998E-2</v>
      </c>
      <c r="K1926" s="1">
        <v>1.43723106011748E-2</v>
      </c>
      <c r="L1926" s="1">
        <f>+K1926-J1926</f>
        <v>-3.6947689398825201E-2</v>
      </c>
      <c r="M1926" s="1">
        <v>2.3723106011747999E-3</v>
      </c>
      <c r="N1926" s="1">
        <f>+M1926-J1926</f>
        <v>-4.8947689398825198E-2</v>
      </c>
      <c r="O1926">
        <v>2.17</v>
      </c>
      <c r="P1926" t="s">
        <v>16</v>
      </c>
      <c r="Q1926">
        <v>-0.02</v>
      </c>
      <c r="R1926">
        <v>3.6467125892639202E-2</v>
      </c>
      <c r="S1926">
        <v>-7.1224868297577E-3</v>
      </c>
      <c r="T1926">
        <v>0.02</v>
      </c>
    </row>
    <row r="1927" spans="1:20" x14ac:dyDescent="0.3">
      <c r="A1927" t="s">
        <v>137</v>
      </c>
      <c r="B1927">
        <v>2021</v>
      </c>
      <c r="C1927">
        <v>2515004</v>
      </c>
      <c r="D1927" s="1">
        <v>3.3000000000000002E-2</v>
      </c>
      <c r="E1927" s="1">
        <v>0.94605481624603305</v>
      </c>
      <c r="F1927" s="1">
        <v>-1.2999999999999999E-2</v>
      </c>
      <c r="G1927" s="1">
        <f t="shared" ref="G1927:G1990" si="60">SUMIFS(F:F,A:A,A1927,B:B,"&lt;="&amp;B1927)</f>
        <v>-3.500000000000001E-2</v>
      </c>
      <c r="H1927" s="1" t="str">
        <f t="shared" ref="H1927:H1990" si="61">IFERROR(IF(ABS(G1927)&gt;0.12,AVERAGEIFS(K:K,A:A,A1927,B:B,"&gt;"&amp;B1927,B:B,"&lt;"&amp;B1927+3),""),"")</f>
        <v/>
      </c>
      <c r="I1927" s="1">
        <v>1.4999999999999999E-2</v>
      </c>
      <c r="J1927" s="1">
        <f>+D1927-F1927+I1927*O1927</f>
        <v>7.8100000000000003E-2</v>
      </c>
      <c r="K1927" s="1">
        <v>8.3467125892639202E-2</v>
      </c>
      <c r="L1927" s="1">
        <f>+K1927-J1927</f>
        <v>5.367125892639199E-3</v>
      </c>
      <c r="M1927" s="1">
        <v>3.6467125892639202E-2</v>
      </c>
      <c r="N1927" s="1">
        <f>+M1927-J1927</f>
        <v>-4.1632874107360801E-2</v>
      </c>
      <c r="O1927">
        <v>2.14</v>
      </c>
      <c r="P1927" t="s">
        <v>17</v>
      </c>
      <c r="Q1927">
        <v>-0.01</v>
      </c>
      <c r="R1927">
        <v>-3.2103506773710301E-2</v>
      </c>
      <c r="S1927">
        <v>0</v>
      </c>
      <c r="T1927">
        <v>-0.04</v>
      </c>
    </row>
    <row r="1928" spans="1:20" x14ac:dyDescent="0.3">
      <c r="A1928" t="s">
        <v>137</v>
      </c>
      <c r="B1928">
        <v>2022</v>
      </c>
      <c r="C1928">
        <v>2512689</v>
      </c>
      <c r="D1928" s="1">
        <v>1.7000000000000001E-2</v>
      </c>
      <c r="E1928" s="1">
        <v>0.94470882415771495</v>
      </c>
      <c r="F1928" s="1">
        <v>-2.4E-2</v>
      </c>
      <c r="G1928" s="1">
        <f t="shared" si="60"/>
        <v>-5.9000000000000011E-2</v>
      </c>
      <c r="H1928" s="1" t="str">
        <f t="shared" si="61"/>
        <v/>
      </c>
      <c r="I1928" s="1">
        <v>-1E-3</v>
      </c>
      <c r="J1928" s="1">
        <f>+D1928-F1928+I1928*O1928</f>
        <v>3.891E-2</v>
      </c>
      <c r="K1928" s="1">
        <v>4.7896493226289701E-2</v>
      </c>
      <c r="L1928" s="1">
        <f>+K1928-J1928</f>
        <v>8.9864932262897004E-3</v>
      </c>
      <c r="M1928" s="1">
        <v>-3.2103506773710301E-2</v>
      </c>
      <c r="N1928" s="1">
        <f>+M1928-J1928</f>
        <v>-7.1013506773710294E-2</v>
      </c>
      <c r="O1928">
        <v>2.09</v>
      </c>
      <c r="P1928" t="s">
        <v>16</v>
      </c>
      <c r="Q1928">
        <v>0</v>
      </c>
      <c r="R1928">
        <v>-5.6496877022087597E-2</v>
      </c>
      <c r="S1928">
        <v>-3.6937949247658301E-2</v>
      </c>
      <c r="T1928">
        <v>-0.01</v>
      </c>
    </row>
    <row r="1929" spans="1:20" x14ac:dyDescent="0.3">
      <c r="A1929" t="s">
        <v>138</v>
      </c>
      <c r="B1929">
        <v>2006</v>
      </c>
      <c r="C1929">
        <v>1606248</v>
      </c>
      <c r="D1929" s="1">
        <v>8.9999999999999993E-3</v>
      </c>
      <c r="E1929" s="1">
        <v>0.93945652246475198</v>
      </c>
      <c r="F1929" s="1">
        <v>-2.1000000000000001E-2</v>
      </c>
      <c r="G1929" s="1">
        <f t="shared" si="60"/>
        <v>-2.1000000000000001E-2</v>
      </c>
      <c r="H1929" s="1" t="str">
        <f t="shared" si="61"/>
        <v/>
      </c>
      <c r="I1929" s="1">
        <v>0</v>
      </c>
      <c r="J1929" s="1">
        <f>+D1929-F1929+I1929*O1929</f>
        <v>0.03</v>
      </c>
      <c r="K1929" s="1">
        <v>2.83919796347618E-2</v>
      </c>
      <c r="L1929" s="1">
        <f>+K1929-J1929</f>
        <v>-1.608020365238199E-3</v>
      </c>
      <c r="M1929" s="1">
        <v>-3.6080203652381999E-3</v>
      </c>
      <c r="N1929" s="1">
        <f>+M1929-J1929</f>
        <v>-3.3608020365238196E-2</v>
      </c>
      <c r="O1929">
        <v>2.12</v>
      </c>
      <c r="P1929" t="s">
        <v>16</v>
      </c>
      <c r="Q1929">
        <v>-0.01</v>
      </c>
      <c r="R1929">
        <v>1.1762744784354899E-3</v>
      </c>
      <c r="S1929">
        <v>2.09803041070699E-3</v>
      </c>
      <c r="T1929">
        <v>-0.02</v>
      </c>
    </row>
    <row r="1930" spans="1:20" x14ac:dyDescent="0.3">
      <c r="A1930" t="s">
        <v>138</v>
      </c>
      <c r="B1930">
        <v>2007</v>
      </c>
      <c r="C1930">
        <v>1602306</v>
      </c>
      <c r="D1930" s="1">
        <v>1.2E-2</v>
      </c>
      <c r="E1930" s="1">
        <v>0.93830561637878396</v>
      </c>
      <c r="F1930" s="1">
        <v>-1.7000000000000001E-2</v>
      </c>
      <c r="G1930" s="1">
        <f t="shared" si="60"/>
        <v>-3.8000000000000006E-2</v>
      </c>
      <c r="H1930" s="1" t="str">
        <f t="shared" si="61"/>
        <v/>
      </c>
      <c r="I1930" s="1">
        <v>-1E-3</v>
      </c>
      <c r="J1930" s="1">
        <f>+D1930-F1930+I1930*O1930</f>
        <v>2.6910000000000003E-2</v>
      </c>
      <c r="K1930" s="1">
        <v>3.0176274478435499E-2</v>
      </c>
      <c r="L1930" s="1">
        <f>+K1930-J1930</f>
        <v>3.2662744784354956E-3</v>
      </c>
      <c r="M1930" s="1">
        <v>1.1762744784354899E-3</v>
      </c>
      <c r="N1930" s="1">
        <f>+M1930-J1930</f>
        <v>-2.5733725521564513E-2</v>
      </c>
      <c r="O1930">
        <v>2.09</v>
      </c>
      <c r="P1930" t="s">
        <v>16</v>
      </c>
      <c r="Q1930">
        <v>0</v>
      </c>
      <c r="R1930">
        <v>-3.2199142325669498E-2</v>
      </c>
      <c r="S1930">
        <v>-2.68833804875612E-3</v>
      </c>
      <c r="T1930">
        <v>-0.02</v>
      </c>
    </row>
    <row r="1931" spans="1:20" x14ac:dyDescent="0.3">
      <c r="A1931" t="s">
        <v>138</v>
      </c>
      <c r="B1931">
        <v>2008</v>
      </c>
      <c r="C1931">
        <v>1601405</v>
      </c>
      <c r="D1931" s="1">
        <v>1.2E-2</v>
      </c>
      <c r="E1931" s="1">
        <v>0.93474119901657104</v>
      </c>
      <c r="F1931" s="1">
        <v>-8.9999999999999993E-3</v>
      </c>
      <c r="G1931" s="1">
        <f t="shared" si="60"/>
        <v>-4.7000000000000007E-2</v>
      </c>
      <c r="H1931" s="1" t="str">
        <f t="shared" si="61"/>
        <v/>
      </c>
      <c r="I1931" s="1">
        <v>-4.0000000000000001E-3</v>
      </c>
      <c r="J1931" s="1">
        <f>+D1931-F1931+I1931*O1931</f>
        <v>1.2719999999999999E-2</v>
      </c>
      <c r="K1931" s="1">
        <v>5.8008576743304703E-3</v>
      </c>
      <c r="L1931" s="1">
        <f>+K1931-J1931</f>
        <v>-6.9191423256695283E-3</v>
      </c>
      <c r="M1931" s="1">
        <v>-3.2199142325669498E-2</v>
      </c>
      <c r="N1931" s="1">
        <f>+M1931-J1931</f>
        <v>-4.49191423256695E-2</v>
      </c>
      <c r="O1931">
        <v>2.0699999999999998</v>
      </c>
      <c r="P1931" t="s">
        <v>16</v>
      </c>
      <c r="Q1931">
        <v>0</v>
      </c>
      <c r="R1931">
        <v>-2.4829364106059099E-2</v>
      </c>
      <c r="S1931">
        <v>1.73733755946155E-3</v>
      </c>
      <c r="T1931">
        <v>-0.01</v>
      </c>
    </row>
    <row r="1932" spans="1:20" x14ac:dyDescent="0.3">
      <c r="A1932" t="s">
        <v>138</v>
      </c>
      <c r="B1932">
        <v>2009</v>
      </c>
      <c r="C1932">
        <v>1601950</v>
      </c>
      <c r="D1932" s="1">
        <v>6.0000000000000001E-3</v>
      </c>
      <c r="E1932" s="1">
        <v>0.93668752908706698</v>
      </c>
      <c r="F1932" s="1">
        <v>1.6E-2</v>
      </c>
      <c r="G1932" s="1">
        <f t="shared" si="60"/>
        <v>-3.1000000000000007E-2</v>
      </c>
      <c r="H1932" s="1" t="str">
        <f t="shared" si="61"/>
        <v/>
      </c>
      <c r="I1932" s="1">
        <v>2E-3</v>
      </c>
      <c r="J1932" s="1">
        <f>+D1932-F1932+I1932*O1932</f>
        <v>-5.7999999999999996E-3</v>
      </c>
      <c r="K1932" s="1">
        <v>-2.8829364106059099E-2</v>
      </c>
      <c r="L1932" s="1">
        <f>+K1932-J1932</f>
        <v>-2.3029364106059099E-2</v>
      </c>
      <c r="M1932" s="1">
        <v>-2.4829364106059099E-2</v>
      </c>
      <c r="N1932" s="1">
        <f>+M1932-J1932</f>
        <v>-1.9029364106059099E-2</v>
      </c>
      <c r="O1932">
        <v>2.1</v>
      </c>
      <c r="P1932" t="s">
        <v>15</v>
      </c>
      <c r="Q1932">
        <v>0</v>
      </c>
      <c r="R1932">
        <v>2.4344289302830001E-4</v>
      </c>
      <c r="S1932">
        <v>9.7035516519099804E-3</v>
      </c>
      <c r="T1932">
        <v>0</v>
      </c>
    </row>
    <row r="1933" spans="1:20" x14ac:dyDescent="0.3">
      <c r="A1933" t="s">
        <v>138</v>
      </c>
      <c r="B1933">
        <v>2010</v>
      </c>
      <c r="C1933">
        <v>1605854</v>
      </c>
      <c r="D1933" s="1">
        <v>5.0000000000000001E-3</v>
      </c>
      <c r="E1933" s="1">
        <v>0.93715906143188499</v>
      </c>
      <c r="F1933" s="1">
        <v>3.0000000000000001E-3</v>
      </c>
      <c r="G1933" s="1">
        <f t="shared" si="60"/>
        <v>-2.8000000000000008E-2</v>
      </c>
      <c r="H1933" s="1" t="str">
        <f t="shared" si="61"/>
        <v/>
      </c>
      <c r="I1933" s="1">
        <v>0</v>
      </c>
      <c r="J1933" s="1">
        <f>+D1933-F1933+I1933*O1933</f>
        <v>2E-3</v>
      </c>
      <c r="K1933" s="1">
        <v>1.6243442893028301E-2</v>
      </c>
      <c r="L1933" s="1">
        <f>+K1933-J1933</f>
        <v>1.4243442893028301E-2</v>
      </c>
      <c r="M1933" s="1">
        <v>2.4344289302830001E-4</v>
      </c>
      <c r="N1933" s="1">
        <f>+M1933-J1933</f>
        <v>-1.7565571069717001E-3</v>
      </c>
      <c r="O1933">
        <v>2.11</v>
      </c>
      <c r="P1933" t="s">
        <v>15</v>
      </c>
      <c r="Q1933">
        <v>0.01</v>
      </c>
      <c r="R1933">
        <v>-2.5866767734289101E-2</v>
      </c>
      <c r="S1933">
        <v>-4.5829932205378697E-3</v>
      </c>
      <c r="T1933">
        <v>-0.01</v>
      </c>
    </row>
    <row r="1934" spans="1:20" x14ac:dyDescent="0.3">
      <c r="A1934" t="s">
        <v>138</v>
      </c>
      <c r="B1934">
        <v>2011</v>
      </c>
      <c r="C1934">
        <v>1611626</v>
      </c>
      <c r="D1934" s="1">
        <v>3.0000000000000001E-3</v>
      </c>
      <c r="E1934" s="1">
        <v>0.94374603033065796</v>
      </c>
      <c r="F1934" s="1">
        <v>1.9E-2</v>
      </c>
      <c r="G1934" s="1">
        <f t="shared" si="60"/>
        <v>-9.000000000000008E-3</v>
      </c>
      <c r="H1934" s="1" t="str">
        <f t="shared" si="61"/>
        <v/>
      </c>
      <c r="I1934" s="1">
        <v>7.0000000000000001E-3</v>
      </c>
      <c r="J1934" s="1">
        <f>+D1934-F1934+I1934*O1934</f>
        <v>-9.5000000000000119E-4</v>
      </c>
      <c r="K1934" s="1">
        <v>6.1332322657108298E-3</v>
      </c>
      <c r="L1934" s="1">
        <f>+K1934-J1934</f>
        <v>7.083232265710831E-3</v>
      </c>
      <c r="M1934" s="1">
        <v>-2.5866767734289101E-2</v>
      </c>
      <c r="N1934" s="1">
        <f>+M1934-J1934</f>
        <v>-2.4916767734289101E-2</v>
      </c>
      <c r="O1934">
        <v>2.15</v>
      </c>
      <c r="P1934" t="s">
        <v>15</v>
      </c>
      <c r="Q1934">
        <v>0</v>
      </c>
      <c r="R1934">
        <v>-1.4745720479637301E-2</v>
      </c>
      <c r="S1934">
        <v>-9.30751441046598E-3</v>
      </c>
      <c r="T1934">
        <v>0.02</v>
      </c>
    </row>
    <row r="1935" spans="1:20" x14ac:dyDescent="0.3">
      <c r="A1935" t="s">
        <v>138</v>
      </c>
      <c r="B1935">
        <v>2012</v>
      </c>
      <c r="C1935">
        <v>1619714</v>
      </c>
      <c r="D1935" s="1">
        <v>4.0000000000000001E-3</v>
      </c>
      <c r="E1935" s="1">
        <v>0.94713169336319003</v>
      </c>
      <c r="F1935" s="1">
        <v>-7.0000000000000001E-3</v>
      </c>
      <c r="G1935" s="1">
        <f t="shared" si="60"/>
        <v>-1.6000000000000007E-2</v>
      </c>
      <c r="H1935" s="1" t="str">
        <f t="shared" si="61"/>
        <v/>
      </c>
      <c r="I1935" s="1">
        <v>3.0000000000000001E-3</v>
      </c>
      <c r="J1935" s="1">
        <f>+D1935-F1935+I1935*O1935</f>
        <v>1.7389999999999999E-2</v>
      </c>
      <c r="K1935" s="1">
        <v>6.2542795203626199E-3</v>
      </c>
      <c r="L1935" s="1">
        <f>+K1935-J1935</f>
        <v>-1.113572047963738E-2</v>
      </c>
      <c r="M1935" s="1">
        <v>-1.4745720479637301E-2</v>
      </c>
      <c r="N1935" s="1">
        <f>+M1935-J1935</f>
        <v>-3.2135720479637302E-2</v>
      </c>
      <c r="O1935">
        <v>2.13</v>
      </c>
      <c r="P1935" t="s">
        <v>17</v>
      </c>
      <c r="Q1935">
        <v>-0.01</v>
      </c>
      <c r="R1935">
        <v>7.6022321730851898E-3</v>
      </c>
      <c r="S1935">
        <v>1.47546082735059E-3</v>
      </c>
      <c r="T1935">
        <v>-0.01</v>
      </c>
    </row>
    <row r="1936" spans="1:20" x14ac:dyDescent="0.3">
      <c r="A1936" t="s">
        <v>138</v>
      </c>
      <c r="B1936">
        <v>2013</v>
      </c>
      <c r="C1936">
        <v>1627078</v>
      </c>
      <c r="D1936" s="1">
        <v>2E-3</v>
      </c>
      <c r="E1936" s="1">
        <v>0.94983613491058305</v>
      </c>
      <c r="F1936" s="1">
        <v>8.0000000000000002E-3</v>
      </c>
      <c r="G1936" s="1">
        <f t="shared" si="60"/>
        <v>-8.0000000000000071E-3</v>
      </c>
      <c r="H1936" s="1" t="str">
        <f t="shared" si="61"/>
        <v/>
      </c>
      <c r="I1936" s="1">
        <v>3.0000000000000001E-3</v>
      </c>
      <c r="J1936" s="1">
        <f>+D1936-F1936+I1936*O1936</f>
        <v>4.4999999999999988E-4</v>
      </c>
      <c r="K1936" s="1">
        <v>2.2602232173085199E-2</v>
      </c>
      <c r="L1936" s="1">
        <f>+K1936-J1936</f>
        <v>2.21522321730852E-2</v>
      </c>
      <c r="M1936" s="1">
        <v>7.6022321730851898E-3</v>
      </c>
      <c r="N1936" s="1">
        <f>+M1936-J1936</f>
        <v>7.15223217308519E-3</v>
      </c>
      <c r="O1936">
        <v>2.15</v>
      </c>
      <c r="P1936" t="s">
        <v>15</v>
      </c>
      <c r="Q1936">
        <v>0</v>
      </c>
      <c r="R1936">
        <v>-2.0104490071535001E-3</v>
      </c>
      <c r="S1936">
        <v>-4.0184725075960003E-3</v>
      </c>
      <c r="T1936">
        <v>0</v>
      </c>
    </row>
    <row r="1937" spans="1:20" x14ac:dyDescent="0.3">
      <c r="A1937" t="s">
        <v>138</v>
      </c>
      <c r="B1937">
        <v>2014</v>
      </c>
      <c r="C1937">
        <v>1635772</v>
      </c>
      <c r="D1937" s="1">
        <v>1.0999999999999999E-2</v>
      </c>
      <c r="E1937" s="1">
        <v>0.94931477308273304</v>
      </c>
      <c r="F1937" s="1">
        <v>1E-3</v>
      </c>
      <c r="G1937" s="1">
        <f t="shared" si="60"/>
        <v>-7.0000000000000071E-3</v>
      </c>
      <c r="H1937" s="1" t="str">
        <f t="shared" si="61"/>
        <v/>
      </c>
      <c r="I1937" s="1">
        <v>-1E-3</v>
      </c>
      <c r="J1937" s="1">
        <f>+D1937-F1937+I1937*O1937</f>
        <v>7.8499999999999993E-3</v>
      </c>
      <c r="K1937" s="1">
        <v>1.3989550992846499E-2</v>
      </c>
      <c r="L1937" s="1">
        <f>+K1937-J1937</f>
        <v>6.1395509928465E-3</v>
      </c>
      <c r="M1937" s="1">
        <v>-2.0104490071535001E-3</v>
      </c>
      <c r="N1937" s="1">
        <f>+M1937-J1937</f>
        <v>-9.8604490071535003E-3</v>
      </c>
      <c r="O1937">
        <v>2.15</v>
      </c>
      <c r="P1937" t="s">
        <v>17</v>
      </c>
      <c r="Q1937">
        <v>0</v>
      </c>
      <c r="R1937">
        <v>4.7106089234352097E-2</v>
      </c>
      <c r="S1937">
        <v>1.6842637211084401E-2</v>
      </c>
      <c r="T1937">
        <v>0</v>
      </c>
    </row>
    <row r="1938" spans="1:20" x14ac:dyDescent="0.3">
      <c r="A1938" t="s">
        <v>138</v>
      </c>
      <c r="B1938">
        <v>2015</v>
      </c>
      <c r="C1938">
        <v>1643122</v>
      </c>
      <c r="D1938" s="1">
        <v>1.0999999999999999E-2</v>
      </c>
      <c r="E1938" s="1">
        <v>0.95423442125320401</v>
      </c>
      <c r="F1938" s="1">
        <v>-1.0999999999999999E-2</v>
      </c>
      <c r="G1938" s="1">
        <f t="shared" si="60"/>
        <v>-1.8000000000000006E-2</v>
      </c>
      <c r="H1938" s="1" t="str">
        <f t="shared" si="61"/>
        <v/>
      </c>
      <c r="I1938" s="1">
        <v>5.0000000000000001E-3</v>
      </c>
      <c r="J1938" s="1">
        <f>+D1938-F1938+I1938*O1938</f>
        <v>3.2649999999999998E-2</v>
      </c>
      <c r="K1938" s="1">
        <v>4.8106089234352098E-2</v>
      </c>
      <c r="L1938" s="1">
        <f>+K1938-J1938</f>
        <v>1.5456089234352099E-2</v>
      </c>
      <c r="M1938" s="1">
        <v>4.7106089234352097E-2</v>
      </c>
      <c r="N1938" s="1">
        <f>+M1938-J1938</f>
        <v>1.4456089234352099E-2</v>
      </c>
      <c r="O1938">
        <v>2.13</v>
      </c>
      <c r="P1938" t="s">
        <v>17</v>
      </c>
      <c r="Q1938">
        <v>0.02</v>
      </c>
      <c r="R1938">
        <v>1.57018176168203E-2</v>
      </c>
      <c r="S1938">
        <v>2.5482606142758998E-3</v>
      </c>
      <c r="T1938">
        <v>0</v>
      </c>
    </row>
    <row r="1939" spans="1:20" x14ac:dyDescent="0.3">
      <c r="A1939" t="s">
        <v>138</v>
      </c>
      <c r="B1939">
        <v>2016</v>
      </c>
      <c r="C1939">
        <v>1650556</v>
      </c>
      <c r="D1939" s="1">
        <v>1.4E-2</v>
      </c>
      <c r="E1939" s="1">
        <v>0.95414054393768299</v>
      </c>
      <c r="F1939" s="1">
        <v>-0.01</v>
      </c>
      <c r="G1939" s="1">
        <f t="shared" si="60"/>
        <v>-2.8000000000000004E-2</v>
      </c>
      <c r="H1939" s="1" t="str">
        <f t="shared" si="61"/>
        <v/>
      </c>
      <c r="I1939" s="1">
        <v>0</v>
      </c>
      <c r="J1939" s="1">
        <f>+D1939-F1939+I1939*O1939</f>
        <v>2.4E-2</v>
      </c>
      <c r="K1939" s="1">
        <v>2.8701817616820301E-2</v>
      </c>
      <c r="L1939" s="1">
        <f>+K1939-J1939</f>
        <v>4.7018176168203002E-3</v>
      </c>
      <c r="M1939" s="1">
        <v>1.57018176168203E-2</v>
      </c>
      <c r="N1939" s="1">
        <f>+M1939-J1939</f>
        <v>-8.2981823831797009E-3</v>
      </c>
      <c r="O1939">
        <v>2.11</v>
      </c>
      <c r="P1939" t="s">
        <v>16</v>
      </c>
      <c r="Q1939">
        <v>0</v>
      </c>
      <c r="R1939">
        <v>1.3501515328884E-2</v>
      </c>
      <c r="S1939">
        <v>1.0711941868066699E-2</v>
      </c>
      <c r="T1939">
        <v>-0.01</v>
      </c>
    </row>
    <row r="1940" spans="1:20" x14ac:dyDescent="0.3">
      <c r="A1940" t="s">
        <v>138</v>
      </c>
      <c r="B1940">
        <v>2017</v>
      </c>
      <c r="C1940">
        <v>1658554</v>
      </c>
      <c r="D1940" s="1">
        <v>1.7999999999999999E-2</v>
      </c>
      <c r="E1940" s="1">
        <v>0.95714169740676902</v>
      </c>
      <c r="F1940" s="1">
        <v>1.4E-2</v>
      </c>
      <c r="G1940" s="1">
        <f t="shared" si="60"/>
        <v>-1.4000000000000004E-2</v>
      </c>
      <c r="H1940" s="1" t="str">
        <f t="shared" si="61"/>
        <v/>
      </c>
      <c r="I1940" s="1">
        <v>3.0000000000000001E-3</v>
      </c>
      <c r="J1940" s="1">
        <f>+D1940-F1940+I1940*O1940</f>
        <v>1.0419999999999999E-2</v>
      </c>
      <c r="K1940" s="1">
        <v>3.4501515328884097E-2</v>
      </c>
      <c r="L1940" s="1">
        <f>+K1940-J1940</f>
        <v>2.4081515328884098E-2</v>
      </c>
      <c r="M1940" s="1">
        <v>1.3501515328884E-2</v>
      </c>
      <c r="N1940" s="1">
        <f>+M1940-J1940</f>
        <v>3.0815153288840016E-3</v>
      </c>
      <c r="O1940">
        <v>2.14</v>
      </c>
      <c r="P1940" t="s">
        <v>15</v>
      </c>
      <c r="Q1940">
        <v>0.01</v>
      </c>
      <c r="R1940">
        <v>1.1060919821262401E-2</v>
      </c>
      <c r="S1940">
        <v>1.9258968532086E-3</v>
      </c>
      <c r="T1940">
        <v>0.02</v>
      </c>
    </row>
    <row r="1941" spans="1:20" x14ac:dyDescent="0.3">
      <c r="A1941" t="s">
        <v>138</v>
      </c>
      <c r="B1941">
        <v>2018</v>
      </c>
      <c r="C1941">
        <v>1668074</v>
      </c>
      <c r="D1941" s="1">
        <v>2.1999999999999999E-2</v>
      </c>
      <c r="E1941" s="1">
        <v>0.95782113075256303</v>
      </c>
      <c r="F1941" s="1">
        <v>-1.4999999999999999E-2</v>
      </c>
      <c r="G1941" s="1">
        <f t="shared" si="60"/>
        <v>-2.9000000000000005E-2</v>
      </c>
      <c r="H1941" s="1" t="str">
        <f t="shared" si="61"/>
        <v/>
      </c>
      <c r="I1941" s="1">
        <v>1E-3</v>
      </c>
      <c r="J1941" s="1">
        <f>+D1941-F1941+I1941*O1941</f>
        <v>3.9109999999999999E-2</v>
      </c>
      <c r="K1941" s="1">
        <v>3.5060919821262401E-2</v>
      </c>
      <c r="L1941" s="1">
        <f>+K1941-J1941</f>
        <v>-4.0490801787375977E-3</v>
      </c>
      <c r="M1941" s="1">
        <v>1.1060919821262401E-2</v>
      </c>
      <c r="N1941" s="1">
        <f>+M1941-J1941</f>
        <v>-2.8049080178737598E-2</v>
      </c>
      <c r="O1941">
        <v>2.11</v>
      </c>
      <c r="P1941" t="s">
        <v>17</v>
      </c>
      <c r="Q1941">
        <v>0</v>
      </c>
      <c r="R1941">
        <v>1.42385877370834E-2</v>
      </c>
      <c r="S1941">
        <v>-3.5626068711281001E-3</v>
      </c>
      <c r="T1941">
        <v>0</v>
      </c>
    </row>
    <row r="1942" spans="1:20" x14ac:dyDescent="0.3">
      <c r="A1942" t="s">
        <v>138</v>
      </c>
      <c r="B1942">
        <v>2019</v>
      </c>
      <c r="C1942">
        <v>1673045</v>
      </c>
      <c r="D1942" s="1">
        <v>8.9999999999999993E-3</v>
      </c>
      <c r="E1942" s="1">
        <v>0.96225070953369096</v>
      </c>
      <c r="F1942" s="1">
        <v>-1.2999999999999999E-2</v>
      </c>
      <c r="G1942" s="1">
        <f t="shared" si="60"/>
        <v>-4.2000000000000003E-2</v>
      </c>
      <c r="H1942" s="1" t="str">
        <f t="shared" si="61"/>
        <v/>
      </c>
      <c r="I1942" s="1">
        <v>4.0000000000000001E-3</v>
      </c>
      <c r="J1942" s="1">
        <f>+D1942-F1942+I1942*O1942</f>
        <v>3.032E-2</v>
      </c>
      <c r="K1942" s="1">
        <v>3.22385877370834E-2</v>
      </c>
      <c r="L1942" s="1">
        <f>+K1942-J1942</f>
        <v>1.9185877370834006E-3</v>
      </c>
      <c r="M1942" s="1">
        <v>1.42385877370834E-2</v>
      </c>
      <c r="N1942" s="1">
        <f>+M1942-J1942</f>
        <v>-1.6081412262916601E-2</v>
      </c>
      <c r="O1942">
        <v>2.08</v>
      </c>
      <c r="P1942" t="s">
        <v>17</v>
      </c>
      <c r="Q1942">
        <v>0</v>
      </c>
      <c r="R1942">
        <v>1.6668414801359201E-2</v>
      </c>
      <c r="S1942">
        <v>-2.1807756274937898E-3</v>
      </c>
      <c r="T1942">
        <v>0</v>
      </c>
    </row>
    <row r="1943" spans="1:20" x14ac:dyDescent="0.3">
      <c r="A1943" t="s">
        <v>138</v>
      </c>
      <c r="B1943">
        <v>2020</v>
      </c>
      <c r="C1943">
        <v>1674171</v>
      </c>
      <c r="D1943" s="1">
        <v>2.3E-2</v>
      </c>
      <c r="E1943" s="1">
        <v>0.963489890098572</v>
      </c>
      <c r="F1943" s="1">
        <v>-0.01</v>
      </c>
      <c r="G1943" s="1">
        <f t="shared" si="60"/>
        <v>-5.2000000000000005E-2</v>
      </c>
      <c r="H1943" s="1" t="str">
        <f t="shared" si="61"/>
        <v/>
      </c>
      <c r="I1943" s="1">
        <v>1E-3</v>
      </c>
      <c r="J1943" s="1">
        <f>+D1943-F1943+I1943*O1943</f>
        <v>3.5060000000000001E-2</v>
      </c>
      <c r="K1943" s="1">
        <v>2.8668414801359201E-2</v>
      </c>
      <c r="L1943" s="1">
        <f>+K1943-J1943</f>
        <v>-6.3915851986408E-3</v>
      </c>
      <c r="M1943" s="1">
        <v>1.6668414801359201E-2</v>
      </c>
      <c r="N1943" s="1">
        <f>+M1943-J1943</f>
        <v>-1.83915851986408E-2</v>
      </c>
      <c r="O1943">
        <v>2.06</v>
      </c>
      <c r="P1943" t="s">
        <v>17</v>
      </c>
      <c r="Q1943">
        <v>0</v>
      </c>
      <c r="R1943">
        <v>3.6425231277942699E-2</v>
      </c>
      <c r="S1943">
        <v>-7.1643814444542001E-3</v>
      </c>
      <c r="T1943">
        <v>0.03</v>
      </c>
    </row>
    <row r="1944" spans="1:20" x14ac:dyDescent="0.3">
      <c r="A1944" t="s">
        <v>138</v>
      </c>
      <c r="B1944">
        <v>2021</v>
      </c>
      <c r="C1944">
        <v>1677533</v>
      </c>
      <c r="D1944" s="1">
        <v>0.01</v>
      </c>
      <c r="E1944" s="1">
        <v>0.97357988357543901</v>
      </c>
      <c r="F1944" s="1">
        <v>1.9E-2</v>
      </c>
      <c r="G1944" s="1">
        <f t="shared" si="60"/>
        <v>-3.3000000000000002E-2</v>
      </c>
      <c r="H1944" s="1" t="str">
        <f t="shared" si="61"/>
        <v/>
      </c>
      <c r="I1944" s="1">
        <v>0.01</v>
      </c>
      <c r="J1944" s="1">
        <f>+D1944-F1944+I1944*O1944</f>
        <v>1.2000000000000002E-2</v>
      </c>
      <c r="K1944" s="1">
        <v>8.3425231277942699E-2</v>
      </c>
      <c r="L1944" s="1">
        <f>+K1944-J1944</f>
        <v>7.1425231277942702E-2</v>
      </c>
      <c r="M1944" s="1">
        <v>3.6425231277942699E-2</v>
      </c>
      <c r="N1944" s="1">
        <f>+M1944-J1944</f>
        <v>2.4425231277942695E-2</v>
      </c>
      <c r="O1944">
        <v>2.1</v>
      </c>
      <c r="P1944" t="s">
        <v>15</v>
      </c>
      <c r="Q1944">
        <v>-0.01</v>
      </c>
      <c r="R1944">
        <v>-2.6436114609241501E-2</v>
      </c>
      <c r="S1944">
        <v>5.6673921644688E-3</v>
      </c>
      <c r="T1944">
        <v>-0.01</v>
      </c>
    </row>
    <row r="1945" spans="1:20" x14ac:dyDescent="0.3">
      <c r="A1945" t="s">
        <v>138</v>
      </c>
      <c r="B1945">
        <v>2022</v>
      </c>
      <c r="C1945">
        <v>1682340</v>
      </c>
      <c r="D1945" s="1">
        <v>1.2E-2</v>
      </c>
      <c r="E1945" s="1">
        <v>0.971452176570892</v>
      </c>
      <c r="F1945" s="1">
        <v>-1.2E-2</v>
      </c>
      <c r="G1945" s="1">
        <f t="shared" si="60"/>
        <v>-4.4999999999999998E-2</v>
      </c>
      <c r="H1945" s="1" t="str">
        <f t="shared" si="61"/>
        <v/>
      </c>
      <c r="I1945" s="1">
        <v>-2E-3</v>
      </c>
      <c r="J1945" s="1">
        <f>+D1945-F1945+I1945*O1945</f>
        <v>1.9860000000000003E-2</v>
      </c>
      <c r="K1945" s="1">
        <v>5.3563885390758501E-2</v>
      </c>
      <c r="L1945" s="1">
        <f>+K1945-J1945</f>
        <v>3.3703885390758498E-2</v>
      </c>
      <c r="M1945" s="1">
        <v>-2.6436114609241501E-2</v>
      </c>
      <c r="N1945" s="1">
        <f>+M1945-J1945</f>
        <v>-4.6296114609241504E-2</v>
      </c>
      <c r="O1945">
        <v>2.0699999999999998</v>
      </c>
      <c r="P1945" t="s">
        <v>16</v>
      </c>
      <c r="Q1945">
        <v>0.01</v>
      </c>
      <c r="R1945">
        <v>9.1413941383362007E-3</v>
      </c>
      <c r="S1945">
        <v>2.8700321912765499E-2</v>
      </c>
      <c r="T1945">
        <v>0</v>
      </c>
    </row>
    <row r="1946" spans="1:20" x14ac:dyDescent="0.3">
      <c r="A1946" t="s">
        <v>139</v>
      </c>
      <c r="B1946">
        <v>2006</v>
      </c>
      <c r="C1946">
        <v>194024.0938</v>
      </c>
      <c r="D1946" s="1">
        <v>0</v>
      </c>
      <c r="E1946" s="1">
        <v>0.91794699430465698</v>
      </c>
      <c r="F1946" s="1">
        <v>-0.03</v>
      </c>
      <c r="G1946" s="1">
        <f t="shared" si="60"/>
        <v>-0.03</v>
      </c>
      <c r="H1946" s="1" t="str">
        <f t="shared" si="61"/>
        <v/>
      </c>
      <c r="I1946" s="1">
        <v>8.0000000000000002E-3</v>
      </c>
      <c r="J1946" s="1">
        <f>+D1946-F1946+I1946*O1946</f>
        <v>4.768E-2</v>
      </c>
      <c r="K1946" s="1">
        <v>1.9703129306435599E-2</v>
      </c>
      <c r="L1946" s="1">
        <f>+K1946-J1946</f>
        <v>-2.7976870693564401E-2</v>
      </c>
      <c r="M1946" s="1">
        <v>-1.22968706935644E-2</v>
      </c>
      <c r="N1946" s="1">
        <f>+M1946-J1946</f>
        <v>-5.9976870693564402E-2</v>
      </c>
      <c r="O1946">
        <v>2.21</v>
      </c>
      <c r="P1946" t="s">
        <v>17</v>
      </c>
      <c r="Q1946">
        <v>-0.02</v>
      </c>
      <c r="R1946">
        <v>-6.4225540459155999E-3</v>
      </c>
      <c r="S1946">
        <v>-5.5007981136440997E-3</v>
      </c>
      <c r="T1946">
        <v>-0.03</v>
      </c>
    </row>
    <row r="1947" spans="1:20" x14ac:dyDescent="0.3">
      <c r="A1947" t="s">
        <v>139</v>
      </c>
      <c r="B1947">
        <v>2007</v>
      </c>
      <c r="C1947">
        <v>194477.5</v>
      </c>
      <c r="D1947" s="1">
        <v>0</v>
      </c>
      <c r="E1947" s="1">
        <v>0.92431515455246005</v>
      </c>
      <c r="F1947" s="1">
        <v>-6.0999999999999999E-2</v>
      </c>
      <c r="G1947" s="1">
        <f t="shared" si="60"/>
        <v>-9.0999999999999998E-2</v>
      </c>
      <c r="H1947" s="1" t="str">
        <f t="shared" si="61"/>
        <v/>
      </c>
      <c r="I1947" s="1">
        <v>6.0000000000000001E-3</v>
      </c>
      <c r="J1947" s="1">
        <f>+D1947-F1947+I1947*O1947</f>
        <v>7.3419999999999999E-2</v>
      </c>
      <c r="K1947" s="1">
        <v>2.25774459540844E-2</v>
      </c>
      <c r="L1947" s="1">
        <f>+K1947-J1947</f>
        <v>-5.0842554045915603E-2</v>
      </c>
      <c r="M1947" s="1">
        <v>-6.4225540459155999E-3</v>
      </c>
      <c r="N1947" s="1">
        <f>+M1947-J1947</f>
        <v>-7.9842554045915601E-2</v>
      </c>
      <c r="O1947">
        <v>2.0699999999999998</v>
      </c>
      <c r="P1947" t="s">
        <v>17</v>
      </c>
      <c r="Q1947">
        <v>-0.01</v>
      </c>
      <c r="R1947">
        <v>-2.36431884691118E-2</v>
      </c>
      <c r="S1947">
        <v>5.8676158078014998E-3</v>
      </c>
      <c r="T1947">
        <v>-0.06</v>
      </c>
    </row>
    <row r="1948" spans="1:20" x14ac:dyDescent="0.3">
      <c r="A1948" t="s">
        <v>139</v>
      </c>
      <c r="B1948">
        <v>2008</v>
      </c>
      <c r="C1948">
        <v>194838.29689999999</v>
      </c>
      <c r="D1948" s="1">
        <v>0</v>
      </c>
      <c r="E1948" s="1">
        <v>0.93293637037277199</v>
      </c>
      <c r="F1948" s="1">
        <v>2.7E-2</v>
      </c>
      <c r="G1948" s="1">
        <f t="shared" si="60"/>
        <v>-6.4000000000000001E-2</v>
      </c>
      <c r="H1948" s="1" t="str">
        <f t="shared" si="61"/>
        <v/>
      </c>
      <c r="I1948" s="1">
        <v>8.9999999999999993E-3</v>
      </c>
      <c r="J1948" s="1">
        <f>+D1948-F1948+I1948*O1948</f>
        <v>-7.8300000000000036E-3</v>
      </c>
      <c r="K1948" s="1">
        <v>1.43568115308881E-2</v>
      </c>
      <c r="L1948" s="1">
        <f>+K1948-J1948</f>
        <v>2.2186811530888105E-2</v>
      </c>
      <c r="M1948" s="1">
        <v>-2.36431884691118E-2</v>
      </c>
      <c r="N1948" s="1">
        <f>+M1948-J1948</f>
        <v>-1.5813188469111797E-2</v>
      </c>
      <c r="O1948">
        <v>2.13</v>
      </c>
      <c r="P1948" t="s">
        <v>15</v>
      </c>
      <c r="Q1948">
        <v>0.01</v>
      </c>
      <c r="R1948">
        <v>-1.76659810394049E-2</v>
      </c>
      <c r="S1948">
        <v>8.9007206261157504E-3</v>
      </c>
      <c r="T1948">
        <v>0.02</v>
      </c>
    </row>
    <row r="1949" spans="1:20" x14ac:dyDescent="0.3">
      <c r="A1949" t="s">
        <v>139</v>
      </c>
      <c r="B1949">
        <v>2009</v>
      </c>
      <c r="C1949">
        <v>195223.29689999999</v>
      </c>
      <c r="D1949" s="1">
        <v>0</v>
      </c>
      <c r="E1949" s="1">
        <v>0.92982810735702504</v>
      </c>
      <c r="F1949" s="1">
        <v>9.4E-2</v>
      </c>
      <c r="G1949" s="1">
        <f t="shared" si="60"/>
        <v>0.03</v>
      </c>
      <c r="H1949" s="1" t="str">
        <f t="shared" si="61"/>
        <v/>
      </c>
      <c r="I1949" s="1">
        <v>-3.0000000000000001E-3</v>
      </c>
      <c r="J1949" s="1">
        <f>+D1949-F1949+I1949*O1949</f>
        <v>-0.10095999999999999</v>
      </c>
      <c r="K1949" s="1">
        <v>-2.16659810394049E-2</v>
      </c>
      <c r="L1949" s="1">
        <f>+K1949-J1949</f>
        <v>7.9294018960595097E-2</v>
      </c>
      <c r="M1949" s="1">
        <v>-1.76659810394049E-2</v>
      </c>
      <c r="N1949" s="1">
        <f>+M1949-J1949</f>
        <v>8.3294018960595101E-2</v>
      </c>
      <c r="O1949">
        <v>2.3199999999999998</v>
      </c>
      <c r="P1949" t="s">
        <v>17</v>
      </c>
      <c r="Q1949">
        <v>0.01</v>
      </c>
      <c r="R1949">
        <v>-1.3534326976165099E-2</v>
      </c>
      <c r="S1949">
        <v>-4.0742182172834899E-3</v>
      </c>
      <c r="T1949">
        <v>7.0000000000000007E-2</v>
      </c>
    </row>
    <row r="1950" spans="1:20" x14ac:dyDescent="0.3">
      <c r="A1950" t="s">
        <v>139</v>
      </c>
      <c r="B1950">
        <v>2010</v>
      </c>
      <c r="C1950">
        <v>195380.70310000001</v>
      </c>
      <c r="D1950" s="1">
        <v>2E-3</v>
      </c>
      <c r="E1950" s="1">
        <v>0.92909789085388195</v>
      </c>
      <c r="F1950" s="1">
        <v>-5.7000000000000002E-2</v>
      </c>
      <c r="G1950" s="1">
        <f t="shared" si="60"/>
        <v>-2.7000000000000003E-2</v>
      </c>
      <c r="H1950" s="1" t="str">
        <f t="shared" si="61"/>
        <v/>
      </c>
      <c r="I1950" s="1">
        <v>-1E-3</v>
      </c>
      <c r="J1950" s="1">
        <f>+D1950-F1950+I1950*O1950</f>
        <v>5.6810000000000006E-2</v>
      </c>
      <c r="K1950" s="1">
        <v>2.4656730238348198E-3</v>
      </c>
      <c r="L1950" s="1">
        <f>+K1950-J1950</f>
        <v>-5.4344326976165189E-2</v>
      </c>
      <c r="M1950" s="1">
        <v>-1.3534326976165099E-2</v>
      </c>
      <c r="N1950" s="1">
        <f>+M1950-J1950</f>
        <v>-7.0344326976165106E-2</v>
      </c>
      <c r="O1950">
        <v>2.19</v>
      </c>
      <c r="P1950" t="s">
        <v>16</v>
      </c>
      <c r="Q1950">
        <v>0</v>
      </c>
      <c r="R1950">
        <v>-2.33190193474292E-2</v>
      </c>
      <c r="S1950">
        <v>-2.0352448336779798E-3</v>
      </c>
      <c r="T1950">
        <v>-7.0000000000000007E-2</v>
      </c>
    </row>
    <row r="1951" spans="1:20" x14ac:dyDescent="0.3">
      <c r="A1951" t="s">
        <v>139</v>
      </c>
      <c r="B1951">
        <v>2011</v>
      </c>
      <c r="C1951">
        <v>195084.20310000001</v>
      </c>
      <c r="D1951" s="1">
        <v>0</v>
      </c>
      <c r="E1951" s="1">
        <v>0.93560039997100797</v>
      </c>
      <c r="F1951" s="1">
        <v>0.13600000000000001</v>
      </c>
      <c r="G1951" s="1">
        <f t="shared" si="60"/>
        <v>0.10900000000000001</v>
      </c>
      <c r="H1951" s="1" t="str">
        <f t="shared" si="61"/>
        <v/>
      </c>
      <c r="I1951" s="1">
        <v>7.0000000000000001E-3</v>
      </c>
      <c r="J1951" s="1">
        <f>+D1951-F1951+I1951*O1951</f>
        <v>-0.11857000000000001</v>
      </c>
      <c r="K1951" s="1">
        <v>8.6809806525707193E-3</v>
      </c>
      <c r="L1951" s="1">
        <f>+K1951-J1951</f>
        <v>0.12725098065257073</v>
      </c>
      <c r="M1951" s="1">
        <v>-2.33190193474292E-2</v>
      </c>
      <c r="N1951" s="1">
        <f>+M1951-J1951</f>
        <v>9.5250980652570816E-2</v>
      </c>
      <c r="O1951">
        <v>2.4900000000000002</v>
      </c>
      <c r="P1951" t="s">
        <v>15</v>
      </c>
      <c r="Q1951">
        <v>0</v>
      </c>
      <c r="R1951">
        <v>-6.2728713303804003E-3</v>
      </c>
      <c r="S1951">
        <v>-8.3466526120900002E-4</v>
      </c>
      <c r="T1951">
        <v>0.14000000000000001</v>
      </c>
    </row>
    <row r="1952" spans="1:20" x14ac:dyDescent="0.3">
      <c r="A1952" t="s">
        <v>139</v>
      </c>
      <c r="B1952">
        <v>2012</v>
      </c>
      <c r="C1952">
        <v>195075.39060000001</v>
      </c>
      <c r="D1952" s="1">
        <v>0</v>
      </c>
      <c r="E1952" s="1">
        <v>0.93877583742141701</v>
      </c>
      <c r="F1952" s="1">
        <v>-9.4E-2</v>
      </c>
      <c r="G1952" s="1">
        <f t="shared" si="60"/>
        <v>1.5000000000000013E-2</v>
      </c>
      <c r="H1952" s="1" t="str">
        <f t="shared" si="61"/>
        <v/>
      </c>
      <c r="I1952" s="1">
        <v>3.0000000000000001E-3</v>
      </c>
      <c r="J1952" s="1">
        <f>+D1952-F1952+I1952*O1952</f>
        <v>0.10077999999999999</v>
      </c>
      <c r="K1952" s="1">
        <v>1.47271286696196E-2</v>
      </c>
      <c r="L1952" s="1">
        <f>+K1952-J1952</f>
        <v>-8.6052871330380393E-2</v>
      </c>
      <c r="M1952" s="1">
        <v>-6.2728713303804003E-3</v>
      </c>
      <c r="N1952" s="1">
        <f>+M1952-J1952</f>
        <v>-0.1070528713303804</v>
      </c>
      <c r="O1952">
        <v>2.2599999999999998</v>
      </c>
      <c r="P1952" t="s">
        <v>17</v>
      </c>
      <c r="Q1952">
        <v>0</v>
      </c>
      <c r="R1952">
        <v>-6.1695776879789905E-4</v>
      </c>
      <c r="S1952">
        <v>-6.7437291145325002E-3</v>
      </c>
      <c r="T1952">
        <v>-0.1</v>
      </c>
    </row>
    <row r="1953" spans="1:20" x14ac:dyDescent="0.3">
      <c r="A1953" t="s">
        <v>139</v>
      </c>
      <c r="B1953">
        <v>2013</v>
      </c>
      <c r="C1953">
        <v>195325</v>
      </c>
      <c r="D1953" s="1">
        <v>0</v>
      </c>
      <c r="E1953" s="1">
        <v>0.93871337175369296</v>
      </c>
      <c r="F1953" s="1">
        <v>-1.2999999999999999E-2</v>
      </c>
      <c r="G1953" s="1">
        <f t="shared" si="60"/>
        <v>2.0000000000000139E-3</v>
      </c>
      <c r="H1953" s="1" t="str">
        <f t="shared" si="61"/>
        <v/>
      </c>
      <c r="I1953" s="1">
        <v>0</v>
      </c>
      <c r="J1953" s="1">
        <f>+D1953-F1953+I1953*O1953</f>
        <v>1.2999999999999999E-2</v>
      </c>
      <c r="K1953" s="1">
        <v>1.43830422312021E-2</v>
      </c>
      <c r="L1953" s="1">
        <f>+K1953-J1953</f>
        <v>1.3830422312021001E-3</v>
      </c>
      <c r="M1953" s="1">
        <v>-6.1695776879789905E-4</v>
      </c>
      <c r="N1953" s="1">
        <f>+M1953-J1953</f>
        <v>-1.3616957768797899E-2</v>
      </c>
      <c r="O1953">
        <v>2.23</v>
      </c>
      <c r="P1953" t="s">
        <v>16</v>
      </c>
      <c r="Q1953">
        <v>-0.01</v>
      </c>
      <c r="R1953">
        <v>-6.43858982622622E-3</v>
      </c>
      <c r="S1953">
        <v>-8.4466133266687306E-3</v>
      </c>
      <c r="T1953">
        <v>-0.02</v>
      </c>
    </row>
    <row r="1954" spans="1:20" x14ac:dyDescent="0.3">
      <c r="A1954" t="s">
        <v>139</v>
      </c>
      <c r="B1954">
        <v>2014</v>
      </c>
      <c r="C1954">
        <v>195591.5938</v>
      </c>
      <c r="D1954" s="1">
        <v>3.0000000000000001E-3</v>
      </c>
      <c r="E1954" s="1">
        <v>0.94167172908783003</v>
      </c>
      <c r="F1954" s="1">
        <v>3.5999999999999997E-2</v>
      </c>
      <c r="G1954" s="1">
        <f t="shared" si="60"/>
        <v>3.8000000000000013E-2</v>
      </c>
      <c r="H1954" s="1" t="str">
        <f t="shared" si="61"/>
        <v/>
      </c>
      <c r="I1954" s="1">
        <v>3.0000000000000001E-3</v>
      </c>
      <c r="J1954" s="1">
        <f>+D1954-F1954+I1954*O1954</f>
        <v>-2.6069999999999996E-2</v>
      </c>
      <c r="K1954" s="1">
        <v>9.5614101737737708E-3</v>
      </c>
      <c r="L1954" s="1">
        <f>+K1954-J1954</f>
        <v>3.5631410173773768E-2</v>
      </c>
      <c r="M1954" s="1">
        <v>-6.43858982622622E-3</v>
      </c>
      <c r="N1954" s="1">
        <f>+M1954-J1954</f>
        <v>1.9631410173773775E-2</v>
      </c>
      <c r="O1954">
        <v>2.31</v>
      </c>
      <c r="P1954" t="s">
        <v>15</v>
      </c>
      <c r="Q1954">
        <v>-0.01</v>
      </c>
      <c r="R1954">
        <v>2.5525214314460799E-2</v>
      </c>
      <c r="S1954">
        <v>-4.7382377088068901E-3</v>
      </c>
      <c r="T1954">
        <v>0.03</v>
      </c>
    </row>
    <row r="1955" spans="1:20" x14ac:dyDescent="0.3">
      <c r="A1955" t="s">
        <v>139</v>
      </c>
      <c r="B1955">
        <v>2015</v>
      </c>
      <c r="C1955">
        <v>195728.60939999999</v>
      </c>
      <c r="D1955" s="1">
        <v>0</v>
      </c>
      <c r="E1955" s="1">
        <v>0.94479817152023304</v>
      </c>
      <c r="F1955" s="1">
        <v>-4.1000000000000002E-2</v>
      </c>
      <c r="G1955" s="1">
        <f t="shared" si="60"/>
        <v>-2.9999999999999888E-3</v>
      </c>
      <c r="H1955" s="1" t="str">
        <f t="shared" si="61"/>
        <v/>
      </c>
      <c r="I1955" s="1">
        <v>3.0000000000000001E-3</v>
      </c>
      <c r="J1955" s="1">
        <f>+D1955-F1955+I1955*O1955</f>
        <v>4.7629999999999999E-2</v>
      </c>
      <c r="K1955" s="1">
        <v>2.6525214314460799E-2</v>
      </c>
      <c r="L1955" s="1">
        <f>+K1955-J1955</f>
        <v>-2.1104785685539199E-2</v>
      </c>
      <c r="M1955" s="1">
        <v>2.5525214314460799E-2</v>
      </c>
      <c r="N1955" s="1">
        <f>+M1955-J1955</f>
        <v>-2.21047856855392E-2</v>
      </c>
      <c r="O1955">
        <v>2.21</v>
      </c>
      <c r="P1955" t="s">
        <v>17</v>
      </c>
      <c r="Q1955">
        <v>0</v>
      </c>
      <c r="R1955">
        <v>1.2184080004692E-2</v>
      </c>
      <c r="S1955">
        <v>-9.6947699785230104E-4</v>
      </c>
      <c r="T1955">
        <v>-0.03</v>
      </c>
    </row>
    <row r="1956" spans="1:20" x14ac:dyDescent="0.3">
      <c r="A1956" t="s">
        <v>139</v>
      </c>
      <c r="B1956">
        <v>2016</v>
      </c>
      <c r="C1956">
        <v>196335.6875</v>
      </c>
      <c r="D1956" s="1">
        <v>0</v>
      </c>
      <c r="E1956" s="1">
        <v>0.95128446817398105</v>
      </c>
      <c r="F1956" s="1">
        <v>0.17899999999999999</v>
      </c>
      <c r="G1956" s="1">
        <f t="shared" si="60"/>
        <v>0.17599999999999999</v>
      </c>
      <c r="H1956" s="1">
        <f t="shared" si="61"/>
        <v>2.955523785203695E-2</v>
      </c>
      <c r="I1956" s="1">
        <v>6.0000000000000001E-3</v>
      </c>
      <c r="J1956" s="1">
        <f>+D1956-F1956+I1956*O1956</f>
        <v>-0.16333999999999999</v>
      </c>
      <c r="K1956" s="1">
        <v>2.5184080004692098E-2</v>
      </c>
      <c r="L1956" s="1">
        <f>+K1956-J1956</f>
        <v>0.18852408000469209</v>
      </c>
      <c r="M1956" s="1">
        <v>1.2184080004692E-2</v>
      </c>
      <c r="N1956" s="1">
        <f>+M1956-J1956</f>
        <v>0.175524080004692</v>
      </c>
      <c r="O1956">
        <v>2.61</v>
      </c>
      <c r="P1956" t="s">
        <v>15</v>
      </c>
      <c r="Q1956">
        <v>0</v>
      </c>
      <c r="R1956">
        <v>7.4076370298861898E-3</v>
      </c>
      <c r="S1956">
        <v>4.6180635690689E-3</v>
      </c>
      <c r="T1956">
        <v>0.18</v>
      </c>
    </row>
    <row r="1957" spans="1:20" x14ac:dyDescent="0.3">
      <c r="A1957" t="s">
        <v>139</v>
      </c>
      <c r="B1957">
        <v>2017</v>
      </c>
      <c r="C1957">
        <v>197416.9063</v>
      </c>
      <c r="D1957" s="1">
        <v>0</v>
      </c>
      <c r="E1957" s="1">
        <v>0.95652699470519997</v>
      </c>
      <c r="F1957" s="1">
        <v>-8.1000000000000003E-2</v>
      </c>
      <c r="G1957" s="1">
        <f t="shared" si="60"/>
        <v>9.4999999999999987E-2</v>
      </c>
      <c r="H1957" s="1" t="str">
        <f t="shared" si="61"/>
        <v/>
      </c>
      <c r="I1957" s="1">
        <v>5.0000000000000001E-3</v>
      </c>
      <c r="J1957" s="1">
        <f>+D1957-F1957+I1957*O1957</f>
        <v>9.2999999999999999E-2</v>
      </c>
      <c r="K1957" s="1">
        <v>2.8407637029886201E-2</v>
      </c>
      <c r="L1957" s="1">
        <f>+K1957-J1957</f>
        <v>-6.4592362970113795E-2</v>
      </c>
      <c r="M1957" s="1">
        <v>7.4076370298861898E-3</v>
      </c>
      <c r="N1957" s="1">
        <f>+M1957-J1957</f>
        <v>-8.5592362970113814E-2</v>
      </c>
      <c r="O1957">
        <v>2.4</v>
      </c>
      <c r="P1957" t="s">
        <v>17</v>
      </c>
      <c r="Q1957">
        <v>0</v>
      </c>
      <c r="R1957">
        <v>6.7028386741876901E-3</v>
      </c>
      <c r="S1957">
        <v>-2.4321842938660899E-3</v>
      </c>
      <c r="T1957">
        <v>-0.08</v>
      </c>
    </row>
    <row r="1958" spans="1:20" x14ac:dyDescent="0.3">
      <c r="A1958" t="s">
        <v>139</v>
      </c>
      <c r="B1958">
        <v>2018</v>
      </c>
      <c r="C1958">
        <v>197790.6875</v>
      </c>
      <c r="D1958" s="1">
        <v>0</v>
      </c>
      <c r="E1958" s="1">
        <v>0.94783377647399902</v>
      </c>
      <c r="F1958" s="1">
        <v>-3.1E-2</v>
      </c>
      <c r="G1958" s="1">
        <f t="shared" si="60"/>
        <v>6.3999999999999987E-2</v>
      </c>
      <c r="H1958" s="1" t="str">
        <f t="shared" si="61"/>
        <v/>
      </c>
      <c r="I1958" s="1">
        <v>-8.9999999999999993E-3</v>
      </c>
      <c r="J1958" s="1">
        <f>+D1958-F1958+I1958*O1958</f>
        <v>1.0030000000000001E-2</v>
      </c>
      <c r="K1958" s="1">
        <v>3.0702838674187698E-2</v>
      </c>
      <c r="L1958" s="1">
        <f>+K1958-J1958</f>
        <v>2.0672838674187698E-2</v>
      </c>
      <c r="M1958" s="1">
        <v>6.7028386741876901E-3</v>
      </c>
      <c r="N1958" s="1">
        <f>+M1958-J1958</f>
        <v>-3.3271613258123106E-3</v>
      </c>
      <c r="O1958">
        <v>2.33</v>
      </c>
      <c r="P1958" t="s">
        <v>16</v>
      </c>
      <c r="Q1958">
        <v>0</v>
      </c>
      <c r="R1958">
        <v>9.8792381286621003E-3</v>
      </c>
      <c r="S1958">
        <v>-7.9219564795493993E-3</v>
      </c>
      <c r="T1958">
        <v>-0.02</v>
      </c>
    </row>
    <row r="1959" spans="1:20" x14ac:dyDescent="0.3">
      <c r="A1959" t="s">
        <v>139</v>
      </c>
      <c r="B1959">
        <v>2019</v>
      </c>
      <c r="C1959">
        <v>197788.89060000001</v>
      </c>
      <c r="D1959" s="1">
        <v>0</v>
      </c>
      <c r="E1959" s="1">
        <v>0.95497298240661599</v>
      </c>
      <c r="F1959" s="1">
        <v>8.3000000000000004E-2</v>
      </c>
      <c r="G1959" s="1">
        <f t="shared" si="60"/>
        <v>0.14699999999999999</v>
      </c>
      <c r="H1959" s="1">
        <f t="shared" si="61"/>
        <v>2.1567460615187894E-2</v>
      </c>
      <c r="I1959" s="1">
        <v>7.0000000000000001E-3</v>
      </c>
      <c r="J1959" s="1">
        <f>+D1959-F1959+I1959*O1959</f>
        <v>-6.5360000000000001E-2</v>
      </c>
      <c r="K1959" s="1">
        <v>2.7879238128662099E-2</v>
      </c>
      <c r="L1959" s="1">
        <f>+K1959-J1959</f>
        <v>9.3239238128662097E-2</v>
      </c>
      <c r="M1959" s="1">
        <v>9.8792381286621003E-3</v>
      </c>
      <c r="N1959" s="1">
        <f>+M1959-J1959</f>
        <v>7.5239238128662095E-2</v>
      </c>
      <c r="O1959">
        <v>2.52</v>
      </c>
      <c r="P1959" t="s">
        <v>15</v>
      </c>
      <c r="Q1959">
        <v>-0.01</v>
      </c>
      <c r="R1959">
        <v>-7.3616028651595101E-3</v>
      </c>
      <c r="S1959">
        <v>-2.6210793294012501E-2</v>
      </c>
      <c r="T1959">
        <v>0.09</v>
      </c>
    </row>
    <row r="1960" spans="1:20" x14ac:dyDescent="0.3">
      <c r="A1960" t="s">
        <v>139</v>
      </c>
      <c r="B1960">
        <v>2020</v>
      </c>
      <c r="C1960">
        <v>197749.79689999999</v>
      </c>
      <c r="D1960" s="1">
        <v>6.0999999999999999E-2</v>
      </c>
      <c r="E1960" s="1">
        <v>0.93924665451049805</v>
      </c>
      <c r="F1960" s="1">
        <v>-0.20200000000000001</v>
      </c>
      <c r="G1960" s="1">
        <f t="shared" si="60"/>
        <v>-5.5000000000000021E-2</v>
      </c>
      <c r="H1960" s="1" t="str">
        <f t="shared" si="61"/>
        <v/>
      </c>
      <c r="I1960" s="1">
        <v>-1.6E-2</v>
      </c>
      <c r="J1960" s="1">
        <f>+D1960-F1960+I1960*O1960</f>
        <v>0.23084000000000002</v>
      </c>
      <c r="K1960" s="1">
        <v>4.6383971348404902E-3</v>
      </c>
      <c r="L1960" s="1">
        <f>+K1960-J1960</f>
        <v>-0.22620160286515953</v>
      </c>
      <c r="M1960" s="1">
        <v>-7.3616028651595101E-3</v>
      </c>
      <c r="N1960" s="1">
        <f>+M1960-J1960</f>
        <v>-0.23820160286515954</v>
      </c>
      <c r="O1960">
        <v>2.0099999999999998</v>
      </c>
      <c r="P1960" t="s">
        <v>16</v>
      </c>
      <c r="Q1960">
        <v>-0.03</v>
      </c>
      <c r="R1960">
        <v>-8.5034759044646992E-3</v>
      </c>
      <c r="S1960">
        <v>-5.20930886268616E-2</v>
      </c>
      <c r="T1960">
        <v>-0.16</v>
      </c>
    </row>
    <row r="1961" spans="1:20" x14ac:dyDescent="0.3">
      <c r="A1961" t="s">
        <v>139</v>
      </c>
      <c r="B1961">
        <v>2021</v>
      </c>
      <c r="C1961">
        <v>196755.5938</v>
      </c>
      <c r="D1961" s="1">
        <v>4.5999999999999999E-2</v>
      </c>
      <c r="E1961" s="1">
        <v>0.96257144212722801</v>
      </c>
      <c r="F1961" s="1">
        <v>0.123</v>
      </c>
      <c r="G1961" s="1">
        <f t="shared" si="60"/>
        <v>6.7999999999999977E-2</v>
      </c>
      <c r="H1961" s="1" t="str">
        <f t="shared" si="61"/>
        <v/>
      </c>
      <c r="I1961" s="1">
        <v>2.3E-2</v>
      </c>
      <c r="J1961" s="1">
        <f>+D1961-F1961+I1961*O1961</f>
        <v>-2.5020000000000008E-2</v>
      </c>
      <c r="K1961" s="1">
        <v>3.8496524095535299E-2</v>
      </c>
      <c r="L1961" s="1">
        <f>+K1961-J1961</f>
        <v>6.3516524095535307E-2</v>
      </c>
      <c r="M1961" s="1">
        <v>-8.5034759044646992E-3</v>
      </c>
      <c r="N1961" s="1">
        <f>+M1961-J1961</f>
        <v>1.6516524095535307E-2</v>
      </c>
      <c r="O1961">
        <v>2.2599999999999998</v>
      </c>
      <c r="P1961" t="s">
        <v>15</v>
      </c>
      <c r="Q1961">
        <v>-0.05</v>
      </c>
      <c r="R1961">
        <v>-4.6364748775959003E-2</v>
      </c>
      <c r="S1961">
        <v>-1.42612420022487E-2</v>
      </c>
      <c r="T1961">
        <v>0.09</v>
      </c>
    </row>
    <row r="1962" spans="1:20" x14ac:dyDescent="0.3">
      <c r="A1962" t="s">
        <v>139</v>
      </c>
      <c r="B1962">
        <v>2022</v>
      </c>
      <c r="C1962">
        <v>196848.60939999999</v>
      </c>
      <c r="D1962" s="1">
        <v>5.2999999999999999E-2</v>
      </c>
      <c r="E1962" s="1">
        <v>0.94504874944686901</v>
      </c>
      <c r="F1962" s="1">
        <v>-0.16300000000000001</v>
      </c>
      <c r="G1962" s="1">
        <f t="shared" si="60"/>
        <v>-9.5000000000000029E-2</v>
      </c>
      <c r="H1962" s="1" t="str">
        <f t="shared" si="61"/>
        <v/>
      </c>
      <c r="I1962" s="1">
        <v>-1.7999999999999999E-2</v>
      </c>
      <c r="J1962" s="1">
        <f>+D1962-F1962+I1962*O1962</f>
        <v>0.18198</v>
      </c>
      <c r="K1962" s="1">
        <v>3.3635251224040999E-2</v>
      </c>
      <c r="L1962" s="1">
        <f>+K1962-J1962</f>
        <v>-0.14834474877595899</v>
      </c>
      <c r="M1962" s="1">
        <v>-4.6364748775959003E-2</v>
      </c>
      <c r="N1962" s="1">
        <f>+M1962-J1962</f>
        <v>-0.22834474877595901</v>
      </c>
      <c r="O1962">
        <v>1.89</v>
      </c>
      <c r="P1962" t="s">
        <v>16</v>
      </c>
      <c r="Q1962">
        <v>-0.01</v>
      </c>
      <c r="R1962">
        <v>1.37516498565699E-4</v>
      </c>
      <c r="S1962">
        <v>1.9696444272994999E-2</v>
      </c>
      <c r="T1962">
        <v>-0.15</v>
      </c>
    </row>
    <row r="1963" spans="1:20" x14ac:dyDescent="0.3">
      <c r="A1963" t="s">
        <v>140</v>
      </c>
      <c r="B1963">
        <v>2006</v>
      </c>
      <c r="C1963">
        <v>1000477</v>
      </c>
      <c r="D1963" s="1">
        <v>7.0000000000000001E-3</v>
      </c>
      <c r="E1963" s="1">
        <v>0.93014585971832298</v>
      </c>
      <c r="F1963" s="1">
        <v>-4.8000000000000001E-2</v>
      </c>
      <c r="G1963" s="1">
        <f t="shared" si="60"/>
        <v>-4.8000000000000001E-2</v>
      </c>
      <c r="H1963" s="1" t="str">
        <f t="shared" si="61"/>
        <v/>
      </c>
      <c r="I1963" s="1">
        <v>-2E-3</v>
      </c>
      <c r="J1963" s="1">
        <f>+D1963-F1963+I1963*O1963</f>
        <v>5.0700000000000002E-2</v>
      </c>
      <c r="K1963" s="1">
        <v>3.4612823277711903E-2</v>
      </c>
      <c r="L1963" s="1">
        <f>+K1963-J1963</f>
        <v>-1.6087176722288099E-2</v>
      </c>
      <c r="M1963" s="1">
        <v>2.6128232777119001E-3</v>
      </c>
      <c r="N1963" s="1">
        <f>+M1963-J1963</f>
        <v>-4.80871767222881E-2</v>
      </c>
      <c r="O1963">
        <v>2.15</v>
      </c>
      <c r="P1963" t="s">
        <v>16</v>
      </c>
      <c r="Q1963">
        <v>0</v>
      </c>
      <c r="R1963">
        <v>-2.4408558011050201E-4</v>
      </c>
      <c r="S1963">
        <v>6.7767035216099796E-4</v>
      </c>
      <c r="T1963">
        <v>-0.05</v>
      </c>
    </row>
    <row r="1964" spans="1:20" x14ac:dyDescent="0.3">
      <c r="A1964" t="s">
        <v>140</v>
      </c>
      <c r="B1964">
        <v>2007</v>
      </c>
      <c r="C1964">
        <v>1045141</v>
      </c>
      <c r="D1964" s="1">
        <v>5.5E-2</v>
      </c>
      <c r="E1964" s="1">
        <v>0.90794855356216397</v>
      </c>
      <c r="F1964" s="1">
        <v>2.8000000000000001E-2</v>
      </c>
      <c r="G1964" s="1">
        <f t="shared" si="60"/>
        <v>-0.02</v>
      </c>
      <c r="H1964" s="1" t="str">
        <f t="shared" si="61"/>
        <v/>
      </c>
      <c r="I1964" s="1">
        <v>-2.1999999999999999E-2</v>
      </c>
      <c r="J1964" s="1">
        <f>+D1964-F1964+I1964*O1964</f>
        <v>-2.1619999999999997E-2</v>
      </c>
      <c r="K1964" s="1">
        <v>2.8755914419889499E-2</v>
      </c>
      <c r="L1964" s="1">
        <f>+K1964-J1964</f>
        <v>5.0375914419889492E-2</v>
      </c>
      <c r="M1964" s="1">
        <v>-2.4408558011050201E-4</v>
      </c>
      <c r="N1964" s="1">
        <f>+M1964-J1964</f>
        <v>2.1375914419889494E-2</v>
      </c>
      <c r="O1964">
        <v>2.21</v>
      </c>
      <c r="P1964" t="s">
        <v>17</v>
      </c>
      <c r="Q1964">
        <v>0</v>
      </c>
      <c r="R1964">
        <v>-3.4575990691781001E-2</v>
      </c>
      <c r="S1964">
        <v>-5.06518641486763E-3</v>
      </c>
      <c r="T1964">
        <v>0.03</v>
      </c>
    </row>
    <row r="1965" spans="1:20" x14ac:dyDescent="0.3">
      <c r="A1965" t="s">
        <v>140</v>
      </c>
      <c r="B1965">
        <v>2008</v>
      </c>
      <c r="C1965">
        <v>1085434</v>
      </c>
      <c r="D1965" s="1">
        <v>3.2000000000000001E-2</v>
      </c>
      <c r="E1965" s="1">
        <v>0.90478467941284202</v>
      </c>
      <c r="F1965" s="1">
        <v>3.0000000000000001E-3</v>
      </c>
      <c r="G1965" s="1">
        <f t="shared" si="60"/>
        <v>-1.7000000000000001E-2</v>
      </c>
      <c r="H1965" s="1" t="str">
        <f t="shared" si="61"/>
        <v/>
      </c>
      <c r="I1965" s="1">
        <v>-3.0000000000000001E-3</v>
      </c>
      <c r="J1965" s="1">
        <f>+D1965-F1965+I1965*O1965</f>
        <v>2.2339999999999999E-2</v>
      </c>
      <c r="K1965" s="1">
        <v>3.4240093082189599E-3</v>
      </c>
      <c r="L1965" s="1">
        <f>+K1965-J1965</f>
        <v>-1.8915990691781039E-2</v>
      </c>
      <c r="M1965" s="1">
        <v>-3.4575990691781001E-2</v>
      </c>
      <c r="N1965" s="1">
        <f>+M1965-J1965</f>
        <v>-5.6915990691781E-2</v>
      </c>
      <c r="O1965">
        <v>2.2200000000000002</v>
      </c>
      <c r="P1965" t="s">
        <v>17</v>
      </c>
      <c r="Q1965">
        <v>-0.01</v>
      </c>
      <c r="R1965">
        <v>-3.0536428749561299E-2</v>
      </c>
      <c r="S1965">
        <v>-3.9697270840406496E-3</v>
      </c>
      <c r="T1965">
        <v>0</v>
      </c>
    </row>
    <row r="1966" spans="1:20" x14ac:dyDescent="0.3">
      <c r="A1966" t="s">
        <v>140</v>
      </c>
      <c r="B1966">
        <v>2009</v>
      </c>
      <c r="C1966">
        <v>1116966</v>
      </c>
      <c r="D1966" s="1">
        <v>4.4999999999999998E-2</v>
      </c>
      <c r="E1966" s="1">
        <v>0.912045478820801</v>
      </c>
      <c r="F1966" s="1">
        <v>2.3E-2</v>
      </c>
      <c r="G1966" s="1">
        <f t="shared" si="60"/>
        <v>5.9999999999999984E-3</v>
      </c>
      <c r="H1966" s="1" t="str">
        <f t="shared" si="61"/>
        <v/>
      </c>
      <c r="I1966" s="1">
        <v>7.0000000000000001E-3</v>
      </c>
      <c r="J1966" s="1">
        <f>+D1966-F1966+I1966*O1966</f>
        <v>3.789E-2</v>
      </c>
      <c r="K1966" s="1">
        <v>-3.4536428749561303E-2</v>
      </c>
      <c r="L1966" s="1">
        <f>+K1966-J1966</f>
        <v>-7.2426428749561303E-2</v>
      </c>
      <c r="M1966" s="1">
        <v>-3.0536428749561299E-2</v>
      </c>
      <c r="N1966" s="1">
        <f>+M1966-J1966</f>
        <v>-6.8426428749561299E-2</v>
      </c>
      <c r="O1966">
        <v>2.27</v>
      </c>
      <c r="P1966" t="s">
        <v>15</v>
      </c>
      <c r="Q1966">
        <v>0</v>
      </c>
      <c r="R1966">
        <v>1.3321093112230301E-2</v>
      </c>
      <c r="S1966">
        <v>2.2781201871111899E-2</v>
      </c>
      <c r="T1966">
        <v>0</v>
      </c>
    </row>
    <row r="1967" spans="1:20" x14ac:dyDescent="0.3">
      <c r="A1967" t="s">
        <v>140</v>
      </c>
      <c r="B1967">
        <v>2010</v>
      </c>
      <c r="C1967">
        <v>1143674</v>
      </c>
      <c r="D1967" s="1">
        <v>1.9E-2</v>
      </c>
      <c r="E1967" s="1">
        <v>0.932952880859375</v>
      </c>
      <c r="F1967" s="1">
        <v>2.4E-2</v>
      </c>
      <c r="G1967" s="1">
        <f t="shared" si="60"/>
        <v>0.03</v>
      </c>
      <c r="H1967" s="1" t="str">
        <f t="shared" si="61"/>
        <v/>
      </c>
      <c r="I1967" s="1">
        <v>2.1000000000000001E-2</v>
      </c>
      <c r="J1967" s="1">
        <f>+D1967-F1967+I1967*O1967</f>
        <v>4.3719999999999995E-2</v>
      </c>
      <c r="K1967" s="1">
        <v>2.9321093112230301E-2</v>
      </c>
      <c r="L1967" s="1">
        <f>+K1967-J1967</f>
        <v>-1.4398906887769694E-2</v>
      </c>
      <c r="M1967" s="1">
        <v>1.3321093112230301E-2</v>
      </c>
      <c r="N1967" s="1">
        <f>+M1967-J1967</f>
        <v>-3.0398906887769694E-2</v>
      </c>
      <c r="O1967">
        <v>2.3199999999999998</v>
      </c>
      <c r="P1967" t="s">
        <v>15</v>
      </c>
      <c r="Q1967">
        <v>0.02</v>
      </c>
      <c r="R1967">
        <v>-3.7764686793089002E-3</v>
      </c>
      <c r="S1967">
        <v>1.7507305834442301E-2</v>
      </c>
      <c r="T1967">
        <v>0.02</v>
      </c>
    </row>
    <row r="1968" spans="1:20" x14ac:dyDescent="0.3">
      <c r="A1968" t="s">
        <v>140</v>
      </c>
      <c r="B1968">
        <v>2011</v>
      </c>
      <c r="C1968">
        <v>1168675</v>
      </c>
      <c r="D1968" s="1">
        <v>3.0000000000000001E-3</v>
      </c>
      <c r="E1968" s="1">
        <v>0.93852317333221402</v>
      </c>
      <c r="F1968" s="1">
        <v>-1.9E-2</v>
      </c>
      <c r="G1968" s="1">
        <f t="shared" si="60"/>
        <v>1.0999999999999999E-2</v>
      </c>
      <c r="H1968" s="1" t="str">
        <f t="shared" si="61"/>
        <v/>
      </c>
      <c r="I1968" s="1">
        <v>6.0000000000000001E-3</v>
      </c>
      <c r="J1968" s="1">
        <f>+D1968-F1968+I1968*O1968</f>
        <v>3.5679999999999996E-2</v>
      </c>
      <c r="K1968" s="1">
        <v>2.8223531320691098E-2</v>
      </c>
      <c r="L1968" s="1">
        <f>+K1968-J1968</f>
        <v>-7.4564686793088981E-3</v>
      </c>
      <c r="M1968" s="1">
        <v>-3.7764686793089002E-3</v>
      </c>
      <c r="N1968" s="1">
        <f>+M1968-J1968</f>
        <v>-3.9456468679308895E-2</v>
      </c>
      <c r="O1968">
        <v>2.2799999999999998</v>
      </c>
      <c r="P1968" t="s">
        <v>17</v>
      </c>
      <c r="Q1968">
        <v>0.02</v>
      </c>
      <c r="R1968">
        <v>8.3657202273606998E-3</v>
      </c>
      <c r="S1968">
        <v>1.38039262965321E-2</v>
      </c>
      <c r="T1968">
        <v>-0.02</v>
      </c>
    </row>
    <row r="1969" spans="1:20" x14ac:dyDescent="0.3">
      <c r="A1969" t="s">
        <v>140</v>
      </c>
      <c r="B1969">
        <v>2012</v>
      </c>
      <c r="C1969">
        <v>1194577</v>
      </c>
      <c r="D1969" s="1">
        <v>8.0000000000000002E-3</v>
      </c>
      <c r="E1969" s="1">
        <v>0.94266158342361495</v>
      </c>
      <c r="F1969" s="1">
        <v>2.3E-2</v>
      </c>
      <c r="G1969" s="1">
        <f t="shared" si="60"/>
        <v>3.4000000000000002E-2</v>
      </c>
      <c r="H1969" s="1" t="str">
        <f t="shared" si="61"/>
        <v/>
      </c>
      <c r="I1969" s="1">
        <v>4.0000000000000001E-3</v>
      </c>
      <c r="J1969" s="1">
        <f>+D1969-F1969+I1969*O1969</f>
        <v>-5.6799999999999993E-3</v>
      </c>
      <c r="K1969" s="1">
        <v>2.9365720227360701E-2</v>
      </c>
      <c r="L1969" s="1">
        <f>+K1969-J1969</f>
        <v>3.5045720227360702E-2</v>
      </c>
      <c r="M1969" s="1">
        <v>8.3657202273606998E-3</v>
      </c>
      <c r="N1969" s="1">
        <f>+M1969-J1969</f>
        <v>1.4045720227360699E-2</v>
      </c>
      <c r="O1969">
        <v>2.33</v>
      </c>
      <c r="P1969" t="s">
        <v>15</v>
      </c>
      <c r="Q1969">
        <v>0.01</v>
      </c>
      <c r="R1969">
        <v>8.3826134353875998E-3</v>
      </c>
      <c r="S1969">
        <v>2.255842089653E-3</v>
      </c>
      <c r="T1969">
        <v>0.02</v>
      </c>
    </row>
    <row r="1970" spans="1:20" x14ac:dyDescent="0.3">
      <c r="A1970" t="s">
        <v>140</v>
      </c>
      <c r="B1970">
        <v>2013</v>
      </c>
      <c r="C1970">
        <v>1220689</v>
      </c>
      <c r="D1970" s="1">
        <v>6.7000000000000004E-2</v>
      </c>
      <c r="E1970" s="1">
        <v>0.91875022649765004</v>
      </c>
      <c r="F1970" s="1">
        <v>-3.0000000000000001E-3</v>
      </c>
      <c r="G1970" s="1">
        <f t="shared" si="60"/>
        <v>3.1000000000000003E-2</v>
      </c>
      <c r="H1970" s="1" t="str">
        <f t="shared" si="61"/>
        <v/>
      </c>
      <c r="I1970" s="1">
        <v>-2.4E-2</v>
      </c>
      <c r="J1970" s="1">
        <f>+D1970-F1970+I1970*O1970</f>
        <v>1.4320000000000006E-2</v>
      </c>
      <c r="K1970" s="1">
        <v>2.3382613435387601E-2</v>
      </c>
      <c r="L1970" s="1">
        <f>+K1970-J1970</f>
        <v>9.0626134353875946E-3</v>
      </c>
      <c r="M1970" s="1">
        <v>8.3826134353875998E-3</v>
      </c>
      <c r="N1970" s="1">
        <f>+M1970-J1970</f>
        <v>-5.9373865646124065E-3</v>
      </c>
      <c r="O1970">
        <v>2.3199999999999998</v>
      </c>
      <c r="P1970" t="s">
        <v>16</v>
      </c>
      <c r="Q1970">
        <v>0</v>
      </c>
      <c r="R1970">
        <v>5.3432088494301004E-3</v>
      </c>
      <c r="S1970">
        <v>3.3351853489876002E-3</v>
      </c>
      <c r="T1970">
        <v>-0.01</v>
      </c>
    </row>
    <row r="1971" spans="1:20" x14ac:dyDescent="0.3">
      <c r="A1971" t="s">
        <v>140</v>
      </c>
      <c r="B1971">
        <v>2014</v>
      </c>
      <c r="C1971">
        <v>1249191</v>
      </c>
      <c r="D1971" s="1">
        <v>5.2999999999999999E-2</v>
      </c>
      <c r="E1971" s="1">
        <v>0.92118924856185902</v>
      </c>
      <c r="F1971" s="1">
        <v>2.8000000000000001E-2</v>
      </c>
      <c r="G1971" s="1">
        <f t="shared" si="60"/>
        <v>5.9000000000000004E-2</v>
      </c>
      <c r="H1971" s="1" t="str">
        <f t="shared" si="61"/>
        <v/>
      </c>
      <c r="I1971" s="1">
        <v>2E-3</v>
      </c>
      <c r="J1971" s="1">
        <f>+D1971-F1971+I1971*O1971</f>
        <v>2.9779999999999997E-2</v>
      </c>
      <c r="K1971" s="1">
        <v>2.1343208849430102E-2</v>
      </c>
      <c r="L1971" s="1">
        <f>+K1971-J1971</f>
        <v>-8.4367911505698959E-3</v>
      </c>
      <c r="M1971" s="1">
        <v>5.3432088494301004E-3</v>
      </c>
      <c r="N1971" s="1">
        <f>+M1971-J1971</f>
        <v>-2.4436791150569896E-2</v>
      </c>
      <c r="O1971">
        <v>2.39</v>
      </c>
      <c r="P1971" t="s">
        <v>15</v>
      </c>
      <c r="Q1971">
        <v>0</v>
      </c>
      <c r="R1971">
        <v>5.1574094384908599E-2</v>
      </c>
      <c r="S1971">
        <v>2.1310642361641E-2</v>
      </c>
      <c r="T1971">
        <v>0.02</v>
      </c>
    </row>
    <row r="1972" spans="1:20" x14ac:dyDescent="0.3">
      <c r="A1972" t="s">
        <v>140</v>
      </c>
      <c r="B1972">
        <v>2015</v>
      </c>
      <c r="C1972">
        <v>1279838</v>
      </c>
      <c r="D1972" s="1">
        <v>3.2000000000000001E-2</v>
      </c>
      <c r="E1972" s="1">
        <v>0.92436033487319902</v>
      </c>
      <c r="F1972" s="1">
        <v>-7.0000000000000001E-3</v>
      </c>
      <c r="G1972" s="1">
        <f t="shared" si="60"/>
        <v>5.2000000000000005E-2</v>
      </c>
      <c r="H1972" s="1" t="str">
        <f t="shared" si="61"/>
        <v/>
      </c>
      <c r="I1972" s="1">
        <v>3.0000000000000001E-3</v>
      </c>
      <c r="J1972" s="1">
        <f>+D1972-F1972+I1972*O1972</f>
        <v>4.6109999999999998E-2</v>
      </c>
      <c r="K1972" s="1">
        <v>5.2574094384908697E-2</v>
      </c>
      <c r="L1972" s="1">
        <f>+K1972-J1972</f>
        <v>6.4640943849086988E-3</v>
      </c>
      <c r="M1972" s="1">
        <v>5.1574094384908599E-2</v>
      </c>
      <c r="N1972" s="1">
        <f>+M1972-J1972</f>
        <v>5.4640943849086007E-3</v>
      </c>
      <c r="O1972">
        <v>2.37</v>
      </c>
      <c r="P1972" t="s">
        <v>17</v>
      </c>
      <c r="Q1972">
        <v>0.02</v>
      </c>
      <c r="R1972">
        <v>1.28196797221899E-2</v>
      </c>
      <c r="S1972">
        <v>-3.33877280354499E-4</v>
      </c>
      <c r="T1972">
        <v>0</v>
      </c>
    </row>
    <row r="1973" spans="1:20" x14ac:dyDescent="0.3">
      <c r="A1973" t="s">
        <v>140</v>
      </c>
      <c r="B1973">
        <v>2016</v>
      </c>
      <c r="C1973">
        <v>1312233</v>
      </c>
      <c r="D1973" s="1">
        <v>4.5999999999999999E-2</v>
      </c>
      <c r="E1973" s="1">
        <v>0.91179364919662498</v>
      </c>
      <c r="F1973" s="1">
        <v>-3.3000000000000002E-2</v>
      </c>
      <c r="G1973" s="1">
        <f t="shared" si="60"/>
        <v>1.9000000000000003E-2</v>
      </c>
      <c r="H1973" s="1" t="str">
        <f t="shared" si="61"/>
        <v/>
      </c>
      <c r="I1973" s="1">
        <v>-1.2999999999999999E-2</v>
      </c>
      <c r="J1973" s="1">
        <f>+D1973-F1973+I1973*O1973</f>
        <v>4.9230000000000003E-2</v>
      </c>
      <c r="K1973" s="1">
        <v>2.58196797221899E-2</v>
      </c>
      <c r="L1973" s="1">
        <f>+K1973-J1973</f>
        <v>-2.3410320277810103E-2</v>
      </c>
      <c r="M1973" s="1">
        <v>1.28196797221899E-2</v>
      </c>
      <c r="N1973" s="1">
        <f>+M1973-J1973</f>
        <v>-3.6410320277810104E-2</v>
      </c>
      <c r="O1973">
        <v>2.29</v>
      </c>
      <c r="P1973" t="s">
        <v>16</v>
      </c>
      <c r="Q1973">
        <v>0</v>
      </c>
      <c r="R1973">
        <v>-3.1101240813732E-3</v>
      </c>
      <c r="S1973">
        <v>-5.8996975421904997E-3</v>
      </c>
      <c r="T1973">
        <v>-0.03</v>
      </c>
    </row>
    <row r="1974" spans="1:20" x14ac:dyDescent="0.3">
      <c r="A1974" t="s">
        <v>140</v>
      </c>
      <c r="B1974">
        <v>2017</v>
      </c>
      <c r="C1974">
        <v>1342077</v>
      </c>
      <c r="D1974" s="1">
        <v>3.1E-2</v>
      </c>
      <c r="E1974" s="1">
        <v>0.91099220514297496</v>
      </c>
      <c r="F1974" s="1">
        <v>6.8000000000000005E-2</v>
      </c>
      <c r="G1974" s="1">
        <f t="shared" si="60"/>
        <v>8.7000000000000008E-2</v>
      </c>
      <c r="H1974" s="1" t="str">
        <f t="shared" si="61"/>
        <v/>
      </c>
      <c r="I1974" s="1">
        <v>-1E-3</v>
      </c>
      <c r="J1974" s="1">
        <f>+D1974-F1974+I1974*O1974</f>
        <v>-3.9450000000000006E-2</v>
      </c>
      <c r="K1974" s="1">
        <v>1.7889875918626799E-2</v>
      </c>
      <c r="L1974" s="1">
        <f>+K1974-J1974</f>
        <v>5.7339875918626805E-2</v>
      </c>
      <c r="M1974" s="1">
        <v>-3.1101240813732E-3</v>
      </c>
      <c r="N1974" s="1">
        <f>+M1974-J1974</f>
        <v>3.6339875918626807E-2</v>
      </c>
      <c r="O1974">
        <v>2.4500000000000002</v>
      </c>
      <c r="P1974" t="s">
        <v>17</v>
      </c>
      <c r="Q1974">
        <v>-0.01</v>
      </c>
      <c r="R1974">
        <v>1.7783597320318201E-2</v>
      </c>
      <c r="S1974">
        <v>8.6485743522644008E-3</v>
      </c>
      <c r="T1974">
        <v>7.0000000000000007E-2</v>
      </c>
    </row>
    <row r="1975" spans="1:20" x14ac:dyDescent="0.3">
      <c r="A1975" t="s">
        <v>140</v>
      </c>
      <c r="B1975">
        <v>2018</v>
      </c>
      <c r="C1975">
        <v>1370178</v>
      </c>
      <c r="D1975" s="1">
        <v>3.6999999999999998E-2</v>
      </c>
      <c r="E1975" s="1">
        <v>0.92173773050308205</v>
      </c>
      <c r="F1975" s="1">
        <v>-7.0000000000000007E-2</v>
      </c>
      <c r="G1975" s="1">
        <f t="shared" si="60"/>
        <v>1.7000000000000001E-2</v>
      </c>
      <c r="H1975" s="1" t="str">
        <f t="shared" si="61"/>
        <v/>
      </c>
      <c r="I1975" s="1">
        <v>1.0999999999999999E-2</v>
      </c>
      <c r="J1975" s="1">
        <f>+D1975-F1975+I1975*O1975</f>
        <v>0.13208</v>
      </c>
      <c r="K1975" s="1">
        <v>4.1783597320318201E-2</v>
      </c>
      <c r="L1975" s="1">
        <f>+K1975-J1975</f>
        <v>-9.0296402679681809E-2</v>
      </c>
      <c r="M1975" s="1">
        <v>1.7783597320318201E-2</v>
      </c>
      <c r="N1975" s="1">
        <f>+M1975-J1975</f>
        <v>-0.1142964026796818</v>
      </c>
      <c r="O1975">
        <v>2.2799999999999998</v>
      </c>
      <c r="P1975" t="s">
        <v>17</v>
      </c>
      <c r="Q1975">
        <v>0.01</v>
      </c>
      <c r="R1975">
        <v>3.3962442696094497E-2</v>
      </c>
      <c r="S1975">
        <v>1.6161248087882898E-2</v>
      </c>
      <c r="T1975">
        <v>-0.06</v>
      </c>
    </row>
    <row r="1976" spans="1:20" x14ac:dyDescent="0.3">
      <c r="A1976" t="s">
        <v>140</v>
      </c>
      <c r="B1976">
        <v>2019</v>
      </c>
      <c r="C1976">
        <v>1399575</v>
      </c>
      <c r="D1976" s="1">
        <v>3.7999999999999999E-2</v>
      </c>
      <c r="E1976" s="1">
        <v>0.92251771688461304</v>
      </c>
      <c r="F1976" s="1">
        <v>-1.9E-2</v>
      </c>
      <c r="G1976" s="1">
        <f t="shared" si="60"/>
        <v>-1.9999999999999983E-3</v>
      </c>
      <c r="H1976" s="1" t="str">
        <f t="shared" si="61"/>
        <v/>
      </c>
      <c r="I1976" s="1">
        <v>1E-3</v>
      </c>
      <c r="J1976" s="1">
        <f>+D1976-F1976+I1976*O1976</f>
        <v>5.9229999999999998E-2</v>
      </c>
      <c r="K1976" s="1">
        <v>5.1962442696094499E-2</v>
      </c>
      <c r="L1976" s="1">
        <f>+K1976-J1976</f>
        <v>-7.2675573039054989E-3</v>
      </c>
      <c r="M1976" s="1">
        <v>3.3962442696094497E-2</v>
      </c>
      <c r="N1976" s="1">
        <f>+M1976-J1976</f>
        <v>-2.5267557303905501E-2</v>
      </c>
      <c r="O1976">
        <v>2.23</v>
      </c>
      <c r="P1976" t="s">
        <v>17</v>
      </c>
      <c r="Q1976">
        <v>0.02</v>
      </c>
      <c r="R1976">
        <v>1.15784873366356E-2</v>
      </c>
      <c r="S1976">
        <v>-7.2707030922174003E-3</v>
      </c>
      <c r="T1976">
        <v>-0.01</v>
      </c>
    </row>
    <row r="1977" spans="1:20" x14ac:dyDescent="0.3">
      <c r="A1977" t="s">
        <v>140</v>
      </c>
      <c r="B1977">
        <v>2020</v>
      </c>
      <c r="C1977">
        <v>1425645</v>
      </c>
      <c r="D1977" s="1">
        <v>0.05</v>
      </c>
      <c r="E1977" s="1">
        <v>0.91788214445114102</v>
      </c>
      <c r="F1977" s="1">
        <v>-0.09</v>
      </c>
      <c r="G1977" s="1">
        <f t="shared" si="60"/>
        <v>-9.1999999999999998E-2</v>
      </c>
      <c r="H1977" s="1" t="str">
        <f t="shared" si="61"/>
        <v/>
      </c>
      <c r="I1977" s="1">
        <v>-5.0000000000000001E-3</v>
      </c>
      <c r="J1977" s="1">
        <f>+D1977-F1977+I1977*O1977</f>
        <v>0.12985000000000002</v>
      </c>
      <c r="K1977" s="1">
        <v>2.35784873366356E-2</v>
      </c>
      <c r="L1977" s="1">
        <f>+K1977-J1977</f>
        <v>-0.10627151266336442</v>
      </c>
      <c r="M1977" s="1">
        <v>1.15784873366356E-2</v>
      </c>
      <c r="N1977" s="1">
        <f>+M1977-J1977</f>
        <v>-0.11827151266336441</v>
      </c>
      <c r="O1977">
        <v>2.0299999999999998</v>
      </c>
      <c r="P1977" t="s">
        <v>16</v>
      </c>
      <c r="Q1977">
        <v>-0.01</v>
      </c>
      <c r="R1977">
        <v>0.113177797079086</v>
      </c>
      <c r="S1977">
        <v>6.9588184356688995E-2</v>
      </c>
      <c r="T1977">
        <v>-0.05</v>
      </c>
    </row>
    <row r="1978" spans="1:20" x14ac:dyDescent="0.3">
      <c r="A1978" t="s">
        <v>140</v>
      </c>
      <c r="B1978">
        <v>2021</v>
      </c>
      <c r="C1978">
        <v>1458960</v>
      </c>
      <c r="D1978" s="1">
        <v>0.02</v>
      </c>
      <c r="E1978" s="1">
        <v>0.944854736328125</v>
      </c>
      <c r="F1978" s="1">
        <v>8.1000000000000003E-2</v>
      </c>
      <c r="G1978" s="1">
        <f t="shared" si="60"/>
        <v>-1.0999999999999996E-2</v>
      </c>
      <c r="H1978" s="1" t="str">
        <f t="shared" si="61"/>
        <v/>
      </c>
      <c r="I1978" s="1">
        <v>2.7E-2</v>
      </c>
      <c r="J1978" s="1">
        <f>+D1978-F1978+I1978*O1978</f>
        <v>-1.5999999999999973E-3</v>
      </c>
      <c r="K1978" s="1">
        <v>0.160177797079086</v>
      </c>
      <c r="L1978" s="1">
        <f>+K1978-J1978</f>
        <v>0.16177779707908599</v>
      </c>
      <c r="M1978" s="1">
        <v>0.113177797079086</v>
      </c>
      <c r="N1978" s="1">
        <f>+M1978-J1978</f>
        <v>0.114777797079086</v>
      </c>
      <c r="O1978">
        <v>2.2000000000000002</v>
      </c>
      <c r="P1978" t="s">
        <v>15</v>
      </c>
      <c r="Q1978">
        <v>7.0000000000000007E-2</v>
      </c>
      <c r="R1978">
        <v>-3.6260938197374297E-2</v>
      </c>
      <c r="S1978">
        <v>-4.1574314236640002E-3</v>
      </c>
      <c r="T1978">
        <v>0.05</v>
      </c>
    </row>
    <row r="1979" spans="1:20" x14ac:dyDescent="0.3">
      <c r="A1979" t="s">
        <v>140</v>
      </c>
      <c r="B1979">
        <v>2022</v>
      </c>
      <c r="C1979">
        <v>1492837</v>
      </c>
      <c r="D1979" s="1">
        <v>3.6999999999999998E-2</v>
      </c>
      <c r="E1979" s="1">
        <v>0.91462326049804699</v>
      </c>
      <c r="F1979" s="1">
        <v>-4.7E-2</v>
      </c>
      <c r="G1979" s="1">
        <f t="shared" si="60"/>
        <v>-5.7999999999999996E-2</v>
      </c>
      <c r="H1979" s="1" t="str">
        <f t="shared" si="61"/>
        <v/>
      </c>
      <c r="I1979" s="1">
        <v>-0.03</v>
      </c>
      <c r="J1979" s="1">
        <f>+D1979-F1979+I1979*O1979</f>
        <v>2.1299999999999999E-2</v>
      </c>
      <c r="K1979" s="1">
        <v>4.3739061802625698E-2</v>
      </c>
      <c r="L1979" s="1">
        <f>+K1979-J1979</f>
        <v>2.2439061802625698E-2</v>
      </c>
      <c r="M1979" s="1">
        <v>-3.6260938197374297E-2</v>
      </c>
      <c r="N1979" s="1">
        <f>+M1979-J1979</f>
        <v>-5.7560938197374296E-2</v>
      </c>
      <c r="O1979">
        <v>2.09</v>
      </c>
      <c r="P1979" t="s">
        <v>16</v>
      </c>
      <c r="Q1979">
        <v>0</v>
      </c>
      <c r="R1979">
        <v>-6.8278529480099701E-2</v>
      </c>
      <c r="S1979">
        <v>-4.8719601705670398E-2</v>
      </c>
      <c r="T1979">
        <v>-0.03</v>
      </c>
    </row>
    <row r="1980" spans="1:20" x14ac:dyDescent="0.3">
      <c r="A1980" t="s">
        <v>141</v>
      </c>
      <c r="B1980">
        <v>2006</v>
      </c>
      <c r="C1980">
        <v>402658.59379999997</v>
      </c>
      <c r="D1980" s="1">
        <v>0</v>
      </c>
      <c r="E1980" s="1">
        <v>0.93449783325195301</v>
      </c>
      <c r="F1980" s="1">
        <v>6.0999999999999999E-2</v>
      </c>
      <c r="G1980" s="1">
        <f t="shared" si="60"/>
        <v>6.0999999999999999E-2</v>
      </c>
      <c r="H1980" s="1" t="str">
        <f t="shared" si="61"/>
        <v/>
      </c>
      <c r="I1980" s="1">
        <v>8.0000000000000002E-3</v>
      </c>
      <c r="J1980" s="1">
        <f>+D1980-F1980+I1980*O1980</f>
        <v>-4.1399999999999992E-2</v>
      </c>
      <c r="K1980" s="1">
        <v>3.21522727608681E-2</v>
      </c>
      <c r="L1980" s="1">
        <f>+K1980-J1980</f>
        <v>7.3552272760868093E-2</v>
      </c>
      <c r="M1980" s="1">
        <v>1.52272760868099E-4</v>
      </c>
      <c r="N1980" s="1">
        <f>+M1980-J1980</f>
        <v>4.1552272760868092E-2</v>
      </c>
      <c r="O1980">
        <v>2.4500000000000002</v>
      </c>
      <c r="P1980" t="s">
        <v>15</v>
      </c>
      <c r="Q1980">
        <v>-0.01</v>
      </c>
      <c r="R1980">
        <v>3.4752479791640999E-3</v>
      </c>
      <c r="S1980">
        <v>4.3970039114355998E-3</v>
      </c>
      <c r="T1980">
        <v>0.06</v>
      </c>
    </row>
    <row r="1981" spans="1:20" x14ac:dyDescent="0.3">
      <c r="A1981" t="s">
        <v>141</v>
      </c>
      <c r="B1981">
        <v>2007</v>
      </c>
      <c r="C1981">
        <v>405848.78129999997</v>
      </c>
      <c r="D1981" s="1">
        <v>0</v>
      </c>
      <c r="E1981" s="1">
        <v>0.93309563398361195</v>
      </c>
      <c r="F1981" s="1">
        <v>2.7E-2</v>
      </c>
      <c r="G1981" s="1">
        <f t="shared" si="60"/>
        <v>8.7999999999999995E-2</v>
      </c>
      <c r="H1981" s="1" t="str">
        <f t="shared" si="61"/>
        <v/>
      </c>
      <c r="I1981" s="1">
        <v>-1E-3</v>
      </c>
      <c r="J1981" s="1">
        <f>+D1981-F1981+I1981*O1981</f>
        <v>-2.9520000000000001E-2</v>
      </c>
      <c r="K1981" s="1">
        <v>3.2475247979164103E-2</v>
      </c>
      <c r="L1981" s="1">
        <f>+K1981-J1981</f>
        <v>6.19952479791641E-2</v>
      </c>
      <c r="M1981" s="1">
        <v>3.4752479791640999E-3</v>
      </c>
      <c r="N1981" s="1">
        <f>+M1981-J1981</f>
        <v>3.2995247979164102E-2</v>
      </c>
      <c r="O1981">
        <v>2.52</v>
      </c>
      <c r="P1981" t="s">
        <v>17</v>
      </c>
      <c r="Q1981">
        <v>0</v>
      </c>
      <c r="R1981">
        <v>-3.08984134458005E-2</v>
      </c>
      <c r="S1981">
        <v>-1.3876091688871299E-3</v>
      </c>
      <c r="T1981">
        <v>0.03</v>
      </c>
    </row>
    <row r="1982" spans="1:20" x14ac:dyDescent="0.3">
      <c r="A1982" t="s">
        <v>141</v>
      </c>
      <c r="B1982">
        <v>2008</v>
      </c>
      <c r="C1982">
        <v>408296.125</v>
      </c>
      <c r="D1982" s="1">
        <v>1.9E-2</v>
      </c>
      <c r="E1982" s="1">
        <v>0.93195068836212203</v>
      </c>
      <c r="F1982" s="1">
        <v>-0.1</v>
      </c>
      <c r="G1982" s="1">
        <f t="shared" si="60"/>
        <v>-1.2000000000000011E-2</v>
      </c>
      <c r="H1982" s="1" t="str">
        <f t="shared" si="61"/>
        <v/>
      </c>
      <c r="I1982" s="1">
        <v>-1E-3</v>
      </c>
      <c r="J1982" s="1">
        <f>+D1982-F1982+I1982*O1982</f>
        <v>0.11674000000000001</v>
      </c>
      <c r="K1982" s="1">
        <v>7.1015865541994598E-3</v>
      </c>
      <c r="L1982" s="1">
        <f>+K1982-J1982</f>
        <v>-0.10963841344580055</v>
      </c>
      <c r="M1982" s="1">
        <v>-3.08984134458005E-2</v>
      </c>
      <c r="N1982" s="1">
        <f>+M1982-J1982</f>
        <v>-0.1476384134458005</v>
      </c>
      <c r="O1982">
        <v>2.2599999999999998</v>
      </c>
      <c r="P1982" t="s">
        <v>16</v>
      </c>
      <c r="Q1982">
        <v>0</v>
      </c>
      <c r="R1982">
        <v>-2.5755407944321601E-2</v>
      </c>
      <c r="S1982">
        <v>8.1129372119904898E-4</v>
      </c>
      <c r="T1982">
        <v>-0.1</v>
      </c>
    </row>
    <row r="1983" spans="1:20" x14ac:dyDescent="0.3">
      <c r="A1983" t="s">
        <v>141</v>
      </c>
      <c r="B1983">
        <v>2009</v>
      </c>
      <c r="C1983">
        <v>410513.6875</v>
      </c>
      <c r="D1983" s="1">
        <v>2.5999999999999999E-2</v>
      </c>
      <c r="E1983" s="1">
        <v>0.92951619625091597</v>
      </c>
      <c r="F1983" s="1">
        <v>-6.9000000000000006E-2</v>
      </c>
      <c r="G1983" s="1">
        <f t="shared" si="60"/>
        <v>-8.1000000000000016E-2</v>
      </c>
      <c r="H1983" s="1" t="str">
        <f t="shared" si="61"/>
        <v/>
      </c>
      <c r="I1983" s="1">
        <v>-2E-3</v>
      </c>
      <c r="J1983" s="1">
        <f>+D1983-F1983+I1983*O1983</f>
        <v>9.078E-2</v>
      </c>
      <c r="K1983" s="1">
        <v>-2.9755407944321601E-2</v>
      </c>
      <c r="L1983" s="1">
        <f>+K1983-J1983</f>
        <v>-0.1205354079443216</v>
      </c>
      <c r="M1983" s="1">
        <v>-2.5755407944321601E-2</v>
      </c>
      <c r="N1983" s="1">
        <f>+M1983-J1983</f>
        <v>-0.1165354079443216</v>
      </c>
      <c r="O1983">
        <v>2.11</v>
      </c>
      <c r="P1983" t="s">
        <v>16</v>
      </c>
      <c r="Q1983">
        <v>0</v>
      </c>
      <c r="R1983">
        <v>1.1873718500137001E-3</v>
      </c>
      <c r="S1983">
        <v>1.06474806088953E-2</v>
      </c>
      <c r="T1983">
        <v>-0.09</v>
      </c>
    </row>
    <row r="1984" spans="1:20" x14ac:dyDescent="0.3">
      <c r="A1984" t="s">
        <v>141</v>
      </c>
      <c r="B1984">
        <v>2010</v>
      </c>
      <c r="C1984">
        <v>412694.6875</v>
      </c>
      <c r="D1984" s="1">
        <v>0</v>
      </c>
      <c r="E1984" s="1">
        <v>0.93431299924850497</v>
      </c>
      <c r="F1984" s="1">
        <v>9.6000000000000002E-2</v>
      </c>
      <c r="G1984" s="1">
        <f t="shared" si="60"/>
        <v>1.4999999999999986E-2</v>
      </c>
      <c r="H1984" s="1" t="str">
        <f t="shared" si="61"/>
        <v/>
      </c>
      <c r="I1984" s="1">
        <v>5.0000000000000001E-3</v>
      </c>
      <c r="J1984" s="1">
        <f>+D1984-F1984+I1984*O1984</f>
        <v>-8.4449999999999997E-2</v>
      </c>
      <c r="K1984" s="1">
        <v>1.7187371850013702E-2</v>
      </c>
      <c r="L1984" s="1">
        <f>+K1984-J1984</f>
        <v>0.1016373718500137</v>
      </c>
      <c r="M1984" s="1">
        <v>1.1873718500137001E-3</v>
      </c>
      <c r="N1984" s="1">
        <f>+M1984-J1984</f>
        <v>8.5637371850013702E-2</v>
      </c>
      <c r="O1984">
        <v>2.31</v>
      </c>
      <c r="P1984" t="s">
        <v>15</v>
      </c>
      <c r="Q1984">
        <v>0.01</v>
      </c>
      <c r="R1984">
        <v>-2.1169663749635199E-2</v>
      </c>
      <c r="S1984">
        <v>1.141107641161E-4</v>
      </c>
      <c r="T1984">
        <v>0.09</v>
      </c>
    </row>
    <row r="1985" spans="1:20" x14ac:dyDescent="0.3">
      <c r="A1985" t="s">
        <v>141</v>
      </c>
      <c r="B1985">
        <v>2011</v>
      </c>
      <c r="C1985">
        <v>414294.09379999997</v>
      </c>
      <c r="D1985" s="1">
        <v>0</v>
      </c>
      <c r="E1985" s="1">
        <v>0.93686974048614502</v>
      </c>
      <c r="F1985" s="1">
        <v>4.2999999999999997E-2</v>
      </c>
      <c r="G1985" s="1">
        <f t="shared" si="60"/>
        <v>5.7999999999999982E-2</v>
      </c>
      <c r="H1985" s="1" t="str">
        <f t="shared" si="61"/>
        <v/>
      </c>
      <c r="I1985" s="1">
        <v>3.0000000000000001E-3</v>
      </c>
      <c r="J1985" s="1">
        <f>+D1985-F1985+I1985*O1985</f>
        <v>-3.5769999999999996E-2</v>
      </c>
      <c r="K1985" s="1">
        <v>1.08303362503648E-2</v>
      </c>
      <c r="L1985" s="1">
        <f>+K1985-J1985</f>
        <v>4.6600336250364797E-2</v>
      </c>
      <c r="M1985" s="1">
        <v>-2.1169663749635199E-2</v>
      </c>
      <c r="N1985" s="1">
        <f>+M1985-J1985</f>
        <v>1.4600336250364797E-2</v>
      </c>
      <c r="O1985">
        <v>2.41</v>
      </c>
      <c r="P1985" t="s">
        <v>15</v>
      </c>
      <c r="Q1985">
        <v>0</v>
      </c>
      <c r="R1985">
        <v>-1.04042620435357E-2</v>
      </c>
      <c r="S1985">
        <v>-4.9660559743642998E-3</v>
      </c>
      <c r="T1985">
        <v>0.04</v>
      </c>
    </row>
    <row r="1986" spans="1:20" x14ac:dyDescent="0.3">
      <c r="A1986" t="s">
        <v>141</v>
      </c>
      <c r="B1986">
        <v>2012</v>
      </c>
      <c r="C1986">
        <v>415620.21879999997</v>
      </c>
      <c r="D1986" s="1">
        <v>1E-3</v>
      </c>
      <c r="E1986" s="1">
        <v>0.93268638849258401</v>
      </c>
      <c r="F1986" s="1">
        <v>-6.9000000000000006E-2</v>
      </c>
      <c r="G1986" s="1">
        <f t="shared" si="60"/>
        <v>-1.1000000000000024E-2</v>
      </c>
      <c r="H1986" s="1" t="str">
        <f t="shared" si="61"/>
        <v/>
      </c>
      <c r="I1986" s="1">
        <v>-4.0000000000000001E-3</v>
      </c>
      <c r="J1986" s="1">
        <f>+D1986-F1986+I1986*O1986</f>
        <v>6.1000000000000006E-2</v>
      </c>
      <c r="K1986" s="1">
        <v>1.0595737956464299E-2</v>
      </c>
      <c r="L1986" s="1">
        <f>+K1986-J1986</f>
        <v>-5.0404262043535708E-2</v>
      </c>
      <c r="M1986" s="1">
        <v>-1.04042620435357E-2</v>
      </c>
      <c r="N1986" s="1">
        <f>+M1986-J1986</f>
        <v>-7.1404262043535699E-2</v>
      </c>
      <c r="O1986">
        <v>2.25</v>
      </c>
      <c r="P1986" t="s">
        <v>16</v>
      </c>
      <c r="Q1986">
        <v>-0.01</v>
      </c>
      <c r="R1986">
        <v>1.77099429070949E-3</v>
      </c>
      <c r="S1986">
        <v>-4.3557770550250998E-3</v>
      </c>
      <c r="T1986">
        <v>-7.0000000000000007E-2</v>
      </c>
    </row>
    <row r="1987" spans="1:20" x14ac:dyDescent="0.3">
      <c r="A1987" t="s">
        <v>141</v>
      </c>
      <c r="B1987">
        <v>2013</v>
      </c>
      <c r="C1987">
        <v>416818.5</v>
      </c>
      <c r="D1987" s="1">
        <v>7.0000000000000001E-3</v>
      </c>
      <c r="E1987" s="1">
        <v>0.93054896593093905</v>
      </c>
      <c r="F1987" s="1">
        <v>0.128</v>
      </c>
      <c r="G1987" s="1">
        <f t="shared" si="60"/>
        <v>0.11699999999999998</v>
      </c>
      <c r="H1987" s="1" t="str">
        <f t="shared" si="61"/>
        <v/>
      </c>
      <c r="I1987" s="1">
        <v>-2E-3</v>
      </c>
      <c r="J1987" s="1">
        <f>+D1987-F1987+I1987*O1987</f>
        <v>-0.12606000000000001</v>
      </c>
      <c r="K1987" s="1">
        <v>1.6770994290709499E-2</v>
      </c>
      <c r="L1987" s="1">
        <f>+K1987-J1987</f>
        <v>0.1428309942907095</v>
      </c>
      <c r="M1987" s="1">
        <v>1.77099429070949E-3</v>
      </c>
      <c r="N1987" s="1">
        <f>+M1987-J1987</f>
        <v>0.12783099429070949</v>
      </c>
      <c r="O1987">
        <v>2.5299999999999998</v>
      </c>
      <c r="P1987" t="s">
        <v>17</v>
      </c>
      <c r="Q1987">
        <v>0</v>
      </c>
      <c r="R1987">
        <v>3.745796918869E-3</v>
      </c>
      <c r="S1987">
        <v>1.73777341842649E-3</v>
      </c>
      <c r="T1987">
        <v>0.12</v>
      </c>
    </row>
    <row r="1988" spans="1:20" x14ac:dyDescent="0.3">
      <c r="A1988" t="s">
        <v>141</v>
      </c>
      <c r="B1988">
        <v>2014</v>
      </c>
      <c r="C1988">
        <v>418274.90629999997</v>
      </c>
      <c r="D1988" s="1">
        <v>2.3E-2</v>
      </c>
      <c r="E1988" s="1">
        <v>0.93367218971252397</v>
      </c>
      <c r="F1988" s="1">
        <v>-4.5999999999999999E-2</v>
      </c>
      <c r="G1988" s="1">
        <f t="shared" si="60"/>
        <v>7.099999999999998E-2</v>
      </c>
      <c r="H1988" s="1" t="str">
        <f t="shared" si="61"/>
        <v/>
      </c>
      <c r="I1988" s="1">
        <v>3.0000000000000001E-3</v>
      </c>
      <c r="J1988" s="1">
        <f>+D1988-F1988+I1988*O1988</f>
        <v>7.6260000000000008E-2</v>
      </c>
      <c r="K1988" s="1">
        <v>1.9745796918869001E-2</v>
      </c>
      <c r="L1988" s="1">
        <f>+K1988-J1988</f>
        <v>-5.6514203081131004E-2</v>
      </c>
      <c r="M1988" s="1">
        <v>3.745796918869E-3</v>
      </c>
      <c r="N1988" s="1">
        <f>+M1988-J1988</f>
        <v>-7.2514203081131004E-2</v>
      </c>
      <c r="O1988">
        <v>2.42</v>
      </c>
      <c r="P1988" t="s">
        <v>17</v>
      </c>
      <c r="Q1988">
        <v>0</v>
      </c>
      <c r="R1988">
        <v>2.7350010514259299E-2</v>
      </c>
      <c r="S1988">
        <v>-2.9134415090083898E-3</v>
      </c>
      <c r="T1988">
        <v>-0.05</v>
      </c>
    </row>
    <row r="1989" spans="1:20" x14ac:dyDescent="0.3">
      <c r="A1989" t="s">
        <v>141</v>
      </c>
      <c r="B1989">
        <v>2015</v>
      </c>
      <c r="C1989">
        <v>419631.8125</v>
      </c>
      <c r="D1989" s="1">
        <v>2E-3</v>
      </c>
      <c r="E1989" s="1">
        <v>0.93165397644043002</v>
      </c>
      <c r="F1989" s="1">
        <v>-5.0999999999999997E-2</v>
      </c>
      <c r="G1989" s="1">
        <f t="shared" si="60"/>
        <v>1.9999999999999983E-2</v>
      </c>
      <c r="H1989" s="1" t="str">
        <f t="shared" si="61"/>
        <v/>
      </c>
      <c r="I1989" s="1">
        <v>-2E-3</v>
      </c>
      <c r="J1989" s="1">
        <f>+D1989-F1989+I1989*O1989</f>
        <v>4.8419999999999998E-2</v>
      </c>
      <c r="K1989" s="1">
        <v>2.83500105142593E-2</v>
      </c>
      <c r="L1989" s="1">
        <f>+K1989-J1989</f>
        <v>-2.0069989485740698E-2</v>
      </c>
      <c r="M1989" s="1">
        <v>2.7350010514259299E-2</v>
      </c>
      <c r="N1989" s="1">
        <f>+M1989-J1989</f>
        <v>-2.1069989485740698E-2</v>
      </c>
      <c r="O1989">
        <v>2.29</v>
      </c>
      <c r="P1989" t="s">
        <v>16</v>
      </c>
      <c r="Q1989">
        <v>0</v>
      </c>
      <c r="R1989">
        <v>2.17205400466919E-2</v>
      </c>
      <c r="S1989">
        <v>8.5669830441475001E-3</v>
      </c>
      <c r="T1989">
        <v>-0.04</v>
      </c>
    </row>
    <row r="1990" spans="1:20" x14ac:dyDescent="0.3">
      <c r="A1990" t="s">
        <v>141</v>
      </c>
      <c r="B1990">
        <v>2016</v>
      </c>
      <c r="C1990">
        <v>421373.90629999997</v>
      </c>
      <c r="D1990" s="1">
        <v>6.0000000000000001E-3</v>
      </c>
      <c r="E1990" s="1">
        <v>0.93030500411987305</v>
      </c>
      <c r="F1990" s="1">
        <v>3.7999999999999999E-2</v>
      </c>
      <c r="G1990" s="1">
        <f t="shared" si="60"/>
        <v>5.7999999999999982E-2</v>
      </c>
      <c r="H1990" s="1" t="str">
        <f t="shared" si="61"/>
        <v/>
      </c>
      <c r="I1990" s="1">
        <v>-1E-3</v>
      </c>
      <c r="J1990" s="1">
        <f>+D1990-F1990+I1990*O1990</f>
        <v>-3.4380000000000001E-2</v>
      </c>
      <c r="K1990" s="1">
        <v>3.4720540046691901E-2</v>
      </c>
      <c r="L1990" s="1">
        <f>+K1990-J1990</f>
        <v>6.9100540046691902E-2</v>
      </c>
      <c r="M1990" s="1">
        <v>2.17205400466919E-2</v>
      </c>
      <c r="N1990" s="1">
        <f>+M1990-J1990</f>
        <v>5.6100540046691905E-2</v>
      </c>
      <c r="O1990">
        <v>2.38</v>
      </c>
      <c r="P1990" t="s">
        <v>17</v>
      </c>
      <c r="Q1990">
        <v>0.01</v>
      </c>
      <c r="R1990">
        <v>1.3705691039562099E-2</v>
      </c>
      <c r="S1990">
        <v>1.09161175787448E-2</v>
      </c>
      <c r="T1990">
        <v>0.04</v>
      </c>
    </row>
    <row r="1991" spans="1:20" x14ac:dyDescent="0.3">
      <c r="A1991" t="s">
        <v>141</v>
      </c>
      <c r="B1991">
        <v>2017</v>
      </c>
      <c r="C1991">
        <v>424099.40629999997</v>
      </c>
      <c r="D1991" s="1">
        <v>2E-3</v>
      </c>
      <c r="E1991" s="1">
        <v>0.937416791915894</v>
      </c>
      <c r="F1991" s="1">
        <v>-8.0000000000000002E-3</v>
      </c>
      <c r="G1991" s="1">
        <f t="shared" ref="G1991:G2054" si="62">SUMIFS(F:F,A:A,A1991,B:B,"&lt;="&amp;B1991)</f>
        <v>4.9999999999999982E-2</v>
      </c>
      <c r="H1991" s="1" t="str">
        <f t="shared" ref="H1991:H2054" si="63">IFERROR(IF(ABS(G1991)&gt;0.12,AVERAGEIFS(K:K,A:A,A1991,B:B,"&gt;"&amp;B1991,B:B,"&lt;"&amp;B1991+3),""),"")</f>
        <v/>
      </c>
      <c r="I1991" s="1">
        <v>7.0000000000000001E-3</v>
      </c>
      <c r="J1991" s="1">
        <f>+D1991-F1991+I1991*O1991</f>
        <v>2.6520000000000002E-2</v>
      </c>
      <c r="K1991" s="1">
        <v>3.4705691039562198E-2</v>
      </c>
      <c r="L1991" s="1">
        <f>+K1991-J1991</f>
        <v>8.1856910395621957E-3</v>
      </c>
      <c r="M1991" s="1">
        <v>1.3705691039562099E-2</v>
      </c>
      <c r="N1991" s="1">
        <f>+M1991-J1991</f>
        <v>-1.2814308960437903E-2</v>
      </c>
      <c r="O1991">
        <v>2.36</v>
      </c>
      <c r="P1991" t="s">
        <v>17</v>
      </c>
      <c r="Q1991">
        <v>0.01</v>
      </c>
      <c r="R1991">
        <v>1.50969552099705E-2</v>
      </c>
      <c r="S1991">
        <v>5.9619322419166999E-3</v>
      </c>
      <c r="T1991">
        <v>-0.01</v>
      </c>
    </row>
    <row r="1992" spans="1:20" x14ac:dyDescent="0.3">
      <c r="A1992" t="s">
        <v>141</v>
      </c>
      <c r="B1992">
        <v>2018</v>
      </c>
      <c r="C1992">
        <v>426955.40629999997</v>
      </c>
      <c r="D1992" s="1">
        <v>0.01</v>
      </c>
      <c r="E1992" s="1">
        <v>0.93497794866561901</v>
      </c>
      <c r="F1992" s="1">
        <v>-1.0999999999999999E-2</v>
      </c>
      <c r="G1992" s="1">
        <f t="shared" si="62"/>
        <v>3.8999999999999979E-2</v>
      </c>
      <c r="H1992" s="1" t="str">
        <f t="shared" si="63"/>
        <v/>
      </c>
      <c r="I1992" s="1">
        <v>-2E-3</v>
      </c>
      <c r="J1992" s="1">
        <f>+D1992-F1992+I1992*O1992</f>
        <v>1.6339999999999997E-2</v>
      </c>
      <c r="K1992" s="1">
        <v>3.9096955209970502E-2</v>
      </c>
      <c r="L1992" s="1">
        <f>+K1992-J1992</f>
        <v>2.2756955209970505E-2</v>
      </c>
      <c r="M1992" s="1">
        <v>1.50969552099705E-2</v>
      </c>
      <c r="N1992" s="1">
        <f>+M1992-J1992</f>
        <v>-1.2430447900294971E-3</v>
      </c>
      <c r="O1992">
        <v>2.33</v>
      </c>
      <c r="P1992" t="s">
        <v>16</v>
      </c>
      <c r="Q1992">
        <v>0.01</v>
      </c>
      <c r="R1992">
        <v>2.3753105819225299E-2</v>
      </c>
      <c r="S1992">
        <v>5.9519112110137896E-3</v>
      </c>
      <c r="T1992">
        <v>0</v>
      </c>
    </row>
    <row r="1993" spans="1:20" x14ac:dyDescent="0.3">
      <c r="A1993" t="s">
        <v>141</v>
      </c>
      <c r="B1993">
        <v>2019</v>
      </c>
      <c r="C1993">
        <v>427951</v>
      </c>
      <c r="D1993" s="1">
        <v>2.8000000000000001E-2</v>
      </c>
      <c r="E1993" s="1">
        <v>0.94151699542999301</v>
      </c>
      <c r="F1993" s="1">
        <v>-3.7999999999999999E-2</v>
      </c>
      <c r="G1993" s="1">
        <f t="shared" si="62"/>
        <v>9.9999999999998007E-4</v>
      </c>
      <c r="H1993" s="1" t="str">
        <f t="shared" si="63"/>
        <v/>
      </c>
      <c r="I1993" s="1">
        <v>7.0000000000000001E-3</v>
      </c>
      <c r="J1993" s="1">
        <f>+D1993-F1993+I1993*O1993</f>
        <v>8.1750000000000003E-2</v>
      </c>
      <c r="K1993" s="1">
        <v>4.1753105819225297E-2</v>
      </c>
      <c r="L1993" s="1">
        <f>+K1993-J1993</f>
        <v>-3.9996894180774706E-2</v>
      </c>
      <c r="M1993" s="1">
        <v>2.3753105819225299E-2</v>
      </c>
      <c r="N1993" s="1">
        <f>+M1993-J1993</f>
        <v>-5.7996894180774708E-2</v>
      </c>
      <c r="O1993">
        <v>2.25</v>
      </c>
      <c r="P1993" t="s">
        <v>17</v>
      </c>
      <c r="Q1993">
        <v>0.01</v>
      </c>
      <c r="R1993">
        <v>4.4130506098270399E-2</v>
      </c>
      <c r="S1993">
        <v>2.5281315669417399E-2</v>
      </c>
      <c r="T1993">
        <v>-0.03</v>
      </c>
    </row>
    <row r="1994" spans="1:20" x14ac:dyDescent="0.3">
      <c r="A1994" t="s">
        <v>141</v>
      </c>
      <c r="B1994">
        <v>2020</v>
      </c>
      <c r="C1994">
        <v>428930.78129999997</v>
      </c>
      <c r="D1994" s="1">
        <v>0</v>
      </c>
      <c r="E1994" s="1">
        <v>0.96512818336486805</v>
      </c>
      <c r="F1994" s="1">
        <v>8.0000000000000002E-3</v>
      </c>
      <c r="G1994" s="1">
        <f t="shared" si="62"/>
        <v>8.9999999999999802E-3</v>
      </c>
      <c r="H1994" s="1" t="str">
        <f t="shared" si="63"/>
        <v/>
      </c>
      <c r="I1994" s="1">
        <v>2.4E-2</v>
      </c>
      <c r="J1994" s="1">
        <f>+D1994-F1994+I1994*O1994</f>
        <v>4.6239999999999996E-2</v>
      </c>
      <c r="K1994" s="1">
        <v>5.6130506098270402E-2</v>
      </c>
      <c r="L1994" s="1">
        <f>+K1994-J1994</f>
        <v>9.890506098270406E-3</v>
      </c>
      <c r="M1994" s="1">
        <v>4.4130506098270399E-2</v>
      </c>
      <c r="N1994" s="1">
        <f>+M1994-J1994</f>
        <v>-2.1094939017295977E-3</v>
      </c>
      <c r="O1994">
        <v>2.2599999999999998</v>
      </c>
      <c r="P1994" t="s">
        <v>15</v>
      </c>
      <c r="Q1994">
        <v>0.03</v>
      </c>
      <c r="R1994">
        <v>2.3473164319991999E-2</v>
      </c>
      <c r="S1994">
        <v>-2.0116448402404799E-2</v>
      </c>
      <c r="T1994">
        <v>0.05</v>
      </c>
    </row>
    <row r="1995" spans="1:20" x14ac:dyDescent="0.3">
      <c r="A1995" t="s">
        <v>141</v>
      </c>
      <c r="B1995">
        <v>2021</v>
      </c>
      <c r="C1995">
        <v>430248.1875</v>
      </c>
      <c r="D1995" s="1">
        <v>0</v>
      </c>
      <c r="E1995" s="1">
        <v>0.968744337558746</v>
      </c>
      <c r="F1995" s="1">
        <v>3.6999999999999998E-2</v>
      </c>
      <c r="G1995" s="1">
        <f t="shared" si="62"/>
        <v>4.5999999999999978E-2</v>
      </c>
      <c r="H1995" s="1" t="str">
        <f t="shared" si="63"/>
        <v/>
      </c>
      <c r="I1995" s="1">
        <v>4.0000000000000001E-3</v>
      </c>
      <c r="J1995" s="1">
        <f>+D1995-F1995+I1995*O1995</f>
        <v>-2.76E-2</v>
      </c>
      <c r="K1995" s="1">
        <v>7.0473164319992093E-2</v>
      </c>
      <c r="L1995" s="1">
        <f>+K1995-J1995</f>
        <v>9.8073164319992093E-2</v>
      </c>
      <c r="M1995" s="1">
        <v>2.3473164319991999E-2</v>
      </c>
      <c r="N1995" s="1">
        <f>+M1995-J1995</f>
        <v>5.1073164319991995E-2</v>
      </c>
      <c r="O1995">
        <v>2.35</v>
      </c>
      <c r="P1995" t="s">
        <v>15</v>
      </c>
      <c r="Q1995">
        <v>-0.02</v>
      </c>
      <c r="R1995">
        <v>-3.3740000724792503E-2</v>
      </c>
      <c r="S1995">
        <v>-1.6364939510821999E-3</v>
      </c>
      <c r="T1995">
        <v>0.01</v>
      </c>
    </row>
    <row r="1996" spans="1:20" x14ac:dyDescent="0.3">
      <c r="A1996" t="s">
        <v>141</v>
      </c>
      <c r="B1996">
        <v>2022</v>
      </c>
      <c r="C1996">
        <v>432953.40629999997</v>
      </c>
      <c r="D1996" s="1">
        <v>2E-3</v>
      </c>
      <c r="E1996" s="1">
        <v>0.96434950828552202</v>
      </c>
      <c r="F1996" s="1">
        <v>-4.3999999999999997E-2</v>
      </c>
      <c r="G1996" s="1">
        <f t="shared" si="62"/>
        <v>1.999999999999981E-3</v>
      </c>
      <c r="H1996" s="1" t="str">
        <f t="shared" si="63"/>
        <v/>
      </c>
      <c r="I1996" s="1">
        <v>-4.0000000000000001E-3</v>
      </c>
      <c r="J1996" s="1">
        <f>+D1996-F1996+I1996*O1996</f>
        <v>3.7039999999999997E-2</v>
      </c>
      <c r="K1996" s="1">
        <v>4.6259999275207499E-2</v>
      </c>
      <c r="L1996" s="1">
        <f>+K1996-J1996</f>
        <v>9.2199992752075022E-3</v>
      </c>
      <c r="M1996" s="1">
        <v>-3.3740000724792503E-2</v>
      </c>
      <c r="N1996" s="1">
        <f>+M1996-J1996</f>
        <v>-7.0780000724792499E-2</v>
      </c>
      <c r="O1996">
        <v>2.2400000000000002</v>
      </c>
      <c r="P1996" t="s">
        <v>16</v>
      </c>
      <c r="Q1996">
        <v>0</v>
      </c>
      <c r="R1996">
        <v>7.8246110677719595E-4</v>
      </c>
      <c r="S1996">
        <v>2.0341388881206499E-2</v>
      </c>
      <c r="T1996">
        <v>-0.03</v>
      </c>
    </row>
    <row r="1997" spans="1:20" x14ac:dyDescent="0.3">
      <c r="A1997" t="s">
        <v>142</v>
      </c>
      <c r="B1997">
        <v>2006</v>
      </c>
      <c r="C1997">
        <v>406432.59379999997</v>
      </c>
      <c r="D1997" s="1">
        <v>2E-3</v>
      </c>
      <c r="E1997" s="1">
        <v>0.94774931669235196</v>
      </c>
      <c r="F1997" s="1">
        <v>0.01</v>
      </c>
      <c r="G1997" s="1">
        <f t="shared" si="62"/>
        <v>0.01</v>
      </c>
      <c r="H1997" s="1" t="str">
        <f t="shared" si="63"/>
        <v/>
      </c>
      <c r="I1997" s="1">
        <v>4.0000000000000001E-3</v>
      </c>
      <c r="J1997" s="1">
        <f>+D1997-F1997+I1997*O1997</f>
        <v>9.2000000000000068E-4</v>
      </c>
      <c r="K1997" s="1">
        <v>5.6422751396894497E-2</v>
      </c>
      <c r="L1997" s="1">
        <f>+K1997-J1997</f>
        <v>5.5502751396894492E-2</v>
      </c>
      <c r="M1997" s="1">
        <v>2.4422751396894399E-2</v>
      </c>
      <c r="N1997" s="1">
        <f>+M1997-J1997</f>
        <v>2.3502751396894398E-2</v>
      </c>
      <c r="O1997">
        <v>2.23</v>
      </c>
      <c r="P1997" t="s">
        <v>15</v>
      </c>
      <c r="Q1997">
        <v>0.02</v>
      </c>
      <c r="R1997">
        <v>7.5050584077834999E-3</v>
      </c>
      <c r="S1997">
        <v>8.4268143400549993E-3</v>
      </c>
      <c r="T1997">
        <v>0.01</v>
      </c>
    </row>
    <row r="1998" spans="1:20" x14ac:dyDescent="0.3">
      <c r="A1998" t="s">
        <v>142</v>
      </c>
      <c r="B1998">
        <v>2007</v>
      </c>
      <c r="C1998">
        <v>414263.21879999997</v>
      </c>
      <c r="D1998" s="1">
        <v>1.2E-2</v>
      </c>
      <c r="E1998" s="1">
        <v>0.93346440792083696</v>
      </c>
      <c r="F1998" s="1">
        <v>1.7999999999999999E-2</v>
      </c>
      <c r="G1998" s="1">
        <f t="shared" si="62"/>
        <v>2.7999999999999997E-2</v>
      </c>
      <c r="H1998" s="1" t="str">
        <f t="shared" si="63"/>
        <v/>
      </c>
      <c r="I1998" s="1">
        <v>-1.4E-2</v>
      </c>
      <c r="J1998" s="1">
        <f>+D1998-F1998+I1998*O1998</f>
        <v>-3.7780000000000001E-2</v>
      </c>
      <c r="K1998" s="1">
        <v>3.6505058407783501E-2</v>
      </c>
      <c r="L1998" s="1">
        <f>+K1998-J1998</f>
        <v>7.4285058407783502E-2</v>
      </c>
      <c r="M1998" s="1">
        <v>7.5050584077834999E-3</v>
      </c>
      <c r="N1998" s="1">
        <f>+M1998-J1998</f>
        <v>4.5285058407783504E-2</v>
      </c>
      <c r="O1998">
        <v>2.27</v>
      </c>
      <c r="P1998" t="s">
        <v>17</v>
      </c>
      <c r="Q1998">
        <v>0.01</v>
      </c>
      <c r="R1998">
        <v>-3.5440071078017298E-2</v>
      </c>
      <c r="S1998">
        <v>-5.92926680110394E-3</v>
      </c>
      <c r="T1998">
        <v>0.02</v>
      </c>
    </row>
    <row r="1999" spans="1:20" x14ac:dyDescent="0.3">
      <c r="A1999" t="s">
        <v>142</v>
      </c>
      <c r="B1999">
        <v>2008</v>
      </c>
      <c r="C1999">
        <v>419633.59379999997</v>
      </c>
      <c r="D1999" s="1">
        <v>2.1000000000000001E-2</v>
      </c>
      <c r="E1999" s="1">
        <v>0.914292812347412</v>
      </c>
      <c r="F1999" s="1">
        <v>6.0999999999999999E-2</v>
      </c>
      <c r="G1999" s="1">
        <f t="shared" si="62"/>
        <v>8.8999999999999996E-2</v>
      </c>
      <c r="H1999" s="1" t="str">
        <f t="shared" si="63"/>
        <v/>
      </c>
      <c r="I1999" s="1">
        <v>-1.9E-2</v>
      </c>
      <c r="J1999" s="1">
        <f>+D1999-F1999+I1999*O1999</f>
        <v>-8.5790000000000005E-2</v>
      </c>
      <c r="K1999" s="1">
        <v>2.5599289219826499E-3</v>
      </c>
      <c r="L1999" s="1">
        <f>+K1999-J1999</f>
        <v>8.8349928921982651E-2</v>
      </c>
      <c r="M1999" s="1">
        <v>-3.5440071078017298E-2</v>
      </c>
      <c r="N1999" s="1">
        <f>+M1999-J1999</f>
        <v>5.0349928921982708E-2</v>
      </c>
      <c r="O1999">
        <v>2.41</v>
      </c>
      <c r="P1999" t="s">
        <v>17</v>
      </c>
      <c r="Q1999">
        <v>-0.01</v>
      </c>
      <c r="R1999">
        <v>-6.1379656851291597E-2</v>
      </c>
      <c r="S1999">
        <v>-3.4812955185771002E-2</v>
      </c>
      <c r="T1999">
        <v>0.06</v>
      </c>
    </row>
    <row r="2000" spans="1:20" x14ac:dyDescent="0.3">
      <c r="A2000" t="s">
        <v>142</v>
      </c>
      <c r="B2000">
        <v>2009</v>
      </c>
      <c r="C2000">
        <v>422923.5</v>
      </c>
      <c r="D2000" s="1">
        <v>0.01</v>
      </c>
      <c r="E2000" s="1">
        <v>0.90484923124313399</v>
      </c>
      <c r="F2000" s="1">
        <v>2.1000000000000001E-2</v>
      </c>
      <c r="G2000" s="1">
        <f t="shared" si="62"/>
        <v>0.11</v>
      </c>
      <c r="H2000" s="1" t="str">
        <f t="shared" si="63"/>
        <v/>
      </c>
      <c r="I2000" s="1">
        <v>-8.9999999999999993E-3</v>
      </c>
      <c r="J2000" s="1">
        <f>+D2000-F2000+I2000*O2000</f>
        <v>-3.3139999999999996E-2</v>
      </c>
      <c r="K2000" s="1">
        <v>-6.5379656851291698E-2</v>
      </c>
      <c r="L2000" s="1">
        <f>+K2000-J2000</f>
        <v>-3.2239656851291702E-2</v>
      </c>
      <c r="M2000" s="1">
        <v>-6.1379656851291597E-2</v>
      </c>
      <c r="N2000" s="1">
        <f>+M2000-J2000</f>
        <v>-2.8239656851291602E-2</v>
      </c>
      <c r="O2000">
        <v>2.46</v>
      </c>
      <c r="P2000" t="s">
        <v>17</v>
      </c>
      <c r="Q2000">
        <v>-0.03</v>
      </c>
      <c r="R2000">
        <v>-1.50638417657464E-2</v>
      </c>
      <c r="S2000">
        <v>-5.6037330068647896E-3</v>
      </c>
      <c r="T2000">
        <v>0</v>
      </c>
    </row>
    <row r="2001" spans="1:20" x14ac:dyDescent="0.3">
      <c r="A2001" t="s">
        <v>142</v>
      </c>
      <c r="B2001">
        <v>2010</v>
      </c>
      <c r="C2001">
        <v>426999.5</v>
      </c>
      <c r="D2001" s="1">
        <v>0</v>
      </c>
      <c r="E2001" s="1">
        <v>0.92122560739517201</v>
      </c>
      <c r="F2001" s="1">
        <v>-0.02</v>
      </c>
      <c r="G2001" s="1">
        <f t="shared" si="62"/>
        <v>0.09</v>
      </c>
      <c r="H2001" s="1" t="str">
        <f t="shared" si="63"/>
        <v/>
      </c>
      <c r="I2001" s="1">
        <v>1.6E-2</v>
      </c>
      <c r="J2001" s="1">
        <f>+D2001-F2001+I2001*O2001</f>
        <v>5.8560000000000001E-2</v>
      </c>
      <c r="K2001" s="1">
        <v>9.3615823425352595E-4</v>
      </c>
      <c r="L2001" s="1">
        <f>+K2001-J2001</f>
        <v>-5.7623841765746475E-2</v>
      </c>
      <c r="M2001" s="1">
        <v>-1.50638417657464E-2</v>
      </c>
      <c r="N2001" s="1">
        <f>+M2001-J2001</f>
        <v>-7.3623841765746406E-2</v>
      </c>
      <c r="O2001">
        <v>2.41</v>
      </c>
      <c r="P2001" t="s">
        <v>17</v>
      </c>
      <c r="Q2001">
        <v>-0.01</v>
      </c>
      <c r="R2001">
        <v>-1.87851780727506E-2</v>
      </c>
      <c r="S2001">
        <v>2.4985964410007E-3</v>
      </c>
      <c r="T2001">
        <v>-0.03</v>
      </c>
    </row>
    <row r="2002" spans="1:20" x14ac:dyDescent="0.3">
      <c r="A2002" t="s">
        <v>142</v>
      </c>
      <c r="B2002">
        <v>2011</v>
      </c>
      <c r="C2002">
        <v>430318.78129999997</v>
      </c>
      <c r="D2002" s="1">
        <v>0</v>
      </c>
      <c r="E2002" s="1">
        <v>0.92878359556198098</v>
      </c>
      <c r="F2002" s="1">
        <v>-5.0000000000000001E-3</v>
      </c>
      <c r="G2002" s="1">
        <f t="shared" si="62"/>
        <v>8.4999999999999992E-2</v>
      </c>
      <c r="H2002" s="1" t="str">
        <f t="shared" si="63"/>
        <v/>
      </c>
      <c r="I2002" s="1">
        <v>8.0000000000000002E-3</v>
      </c>
      <c r="J2002" s="1">
        <f>+D2002-F2002+I2002*O2002</f>
        <v>2.4199999999999999E-2</v>
      </c>
      <c r="K2002" s="1">
        <v>1.32148219272494E-2</v>
      </c>
      <c r="L2002" s="1">
        <f>+K2002-J2002</f>
        <v>-1.0985178072750599E-2</v>
      </c>
      <c r="M2002" s="1">
        <v>-1.87851780727506E-2</v>
      </c>
      <c r="N2002" s="1">
        <f>+M2002-J2002</f>
        <v>-4.2985178072750596E-2</v>
      </c>
      <c r="O2002">
        <v>2.4</v>
      </c>
      <c r="P2002" t="s">
        <v>17</v>
      </c>
      <c r="Q2002">
        <v>0</v>
      </c>
      <c r="R2002">
        <v>-6.0000413134694E-3</v>
      </c>
      <c r="S2002">
        <v>-5.6183524429800002E-4</v>
      </c>
      <c r="T2002">
        <v>0</v>
      </c>
    </row>
    <row r="2003" spans="1:20" x14ac:dyDescent="0.3">
      <c r="A2003" t="s">
        <v>142</v>
      </c>
      <c r="B2003">
        <v>2012</v>
      </c>
      <c r="C2003">
        <v>434845.625</v>
      </c>
      <c r="D2003" s="1">
        <v>-5.0000000000000001E-3</v>
      </c>
      <c r="E2003" s="1">
        <v>0.93261009454727195</v>
      </c>
      <c r="F2003" s="1">
        <v>1.4E-2</v>
      </c>
      <c r="G2003" s="1">
        <f t="shared" si="62"/>
        <v>9.8999999999999991E-2</v>
      </c>
      <c r="H2003" s="1" t="str">
        <f t="shared" si="63"/>
        <v/>
      </c>
      <c r="I2003" s="1">
        <v>4.0000000000000001E-3</v>
      </c>
      <c r="J2003" s="1">
        <f>+D2003-F2003+I2003*O2003</f>
        <v>-9.2799999999999983E-3</v>
      </c>
      <c r="K2003" s="1">
        <v>1.49999586865306E-2</v>
      </c>
      <c r="L2003" s="1">
        <f>+K2003-J2003</f>
        <v>2.4279958686530601E-2</v>
      </c>
      <c r="M2003" s="1">
        <v>-6.0000413134694E-3</v>
      </c>
      <c r="N2003" s="1">
        <f>+M2003-J2003</f>
        <v>3.2799586865305983E-3</v>
      </c>
      <c r="O2003">
        <v>2.4300000000000002</v>
      </c>
      <c r="P2003" t="s">
        <v>15</v>
      </c>
      <c r="Q2003">
        <v>0</v>
      </c>
      <c r="R2003">
        <v>1.5724201351404201E-2</v>
      </c>
      <c r="S2003">
        <v>9.5974300056696007E-3</v>
      </c>
      <c r="T2003">
        <v>0.01</v>
      </c>
    </row>
    <row r="2004" spans="1:20" x14ac:dyDescent="0.3">
      <c r="A2004" t="s">
        <v>142</v>
      </c>
      <c r="B2004">
        <v>2013</v>
      </c>
      <c r="C2004">
        <v>439916.1875</v>
      </c>
      <c r="D2004" s="1">
        <v>0</v>
      </c>
      <c r="E2004" s="1">
        <v>0.94653803110122703</v>
      </c>
      <c r="F2004" s="1">
        <v>-4.0000000000000001E-3</v>
      </c>
      <c r="G2004" s="1">
        <f t="shared" si="62"/>
        <v>9.4999999999999987E-2</v>
      </c>
      <c r="H2004" s="1" t="str">
        <f t="shared" si="63"/>
        <v/>
      </c>
      <c r="I2004" s="1">
        <v>1.4E-2</v>
      </c>
      <c r="J2004" s="1">
        <f>+D2004-F2004+I2004*O2004</f>
        <v>3.7879999999999997E-2</v>
      </c>
      <c r="K2004" s="1">
        <v>3.07242013514042E-2</v>
      </c>
      <c r="L2004" s="1">
        <f>+K2004-J2004</f>
        <v>-7.1557986485957965E-3</v>
      </c>
      <c r="M2004" s="1">
        <v>1.5724201351404201E-2</v>
      </c>
      <c r="N2004" s="1">
        <f>+M2004-J2004</f>
        <v>-2.2155798648595796E-2</v>
      </c>
      <c r="O2004">
        <v>2.42</v>
      </c>
      <c r="P2004" t="s">
        <v>17</v>
      </c>
      <c r="Q2004">
        <v>0.01</v>
      </c>
      <c r="R2004">
        <v>1.2556339442729899E-2</v>
      </c>
      <c r="S2004">
        <v>1.05483159422874E-2</v>
      </c>
      <c r="T2004">
        <v>-0.01</v>
      </c>
    </row>
    <row r="2005" spans="1:20" x14ac:dyDescent="0.3">
      <c r="A2005" t="s">
        <v>142</v>
      </c>
      <c r="B2005">
        <v>2014</v>
      </c>
      <c r="C2005">
        <v>446480.8125</v>
      </c>
      <c r="D2005" s="1">
        <v>1.9E-2</v>
      </c>
      <c r="E2005" s="1">
        <v>0.95149391889572099</v>
      </c>
      <c r="F2005" s="1">
        <v>-2.5999999999999999E-2</v>
      </c>
      <c r="G2005" s="1">
        <f t="shared" si="62"/>
        <v>6.8999999999999992E-2</v>
      </c>
      <c r="H2005" s="1" t="str">
        <f t="shared" si="63"/>
        <v/>
      </c>
      <c r="I2005" s="1">
        <v>5.0000000000000001E-3</v>
      </c>
      <c r="J2005" s="1">
        <f>+D2005-F2005+I2005*O2005</f>
        <v>5.6799999999999996E-2</v>
      </c>
      <c r="K2005" s="1">
        <v>2.8556339442729901E-2</v>
      </c>
      <c r="L2005" s="1">
        <f>+K2005-J2005</f>
        <v>-2.8243660557270095E-2</v>
      </c>
      <c r="M2005" s="1">
        <v>1.2556339442729899E-2</v>
      </c>
      <c r="N2005" s="1">
        <f>+M2005-J2005</f>
        <v>-4.4243660557270095E-2</v>
      </c>
      <c r="O2005">
        <v>2.36</v>
      </c>
      <c r="P2005" t="s">
        <v>17</v>
      </c>
      <c r="Q2005">
        <v>0.01</v>
      </c>
      <c r="R2005">
        <v>5.1023895084857898E-2</v>
      </c>
      <c r="S2005">
        <v>2.0760443061590202E-2</v>
      </c>
      <c r="T2005">
        <v>-0.03</v>
      </c>
    </row>
    <row r="2006" spans="1:20" x14ac:dyDescent="0.3">
      <c r="A2006" t="s">
        <v>142</v>
      </c>
      <c r="B2006">
        <v>2015</v>
      </c>
      <c r="C2006">
        <v>453981.90629999997</v>
      </c>
      <c r="D2006" s="1">
        <v>0.01</v>
      </c>
      <c r="E2006" s="1">
        <v>0.95753425359725997</v>
      </c>
      <c r="F2006" s="1">
        <v>8.0000000000000002E-3</v>
      </c>
      <c r="G2006" s="1">
        <f t="shared" si="62"/>
        <v>7.6999999999999985E-2</v>
      </c>
      <c r="H2006" s="1" t="str">
        <f t="shared" si="63"/>
        <v/>
      </c>
      <c r="I2006" s="1">
        <v>6.0000000000000001E-3</v>
      </c>
      <c r="J2006" s="1">
        <f>+D2006-F2006+I2006*O2006</f>
        <v>1.6279999999999999E-2</v>
      </c>
      <c r="K2006" s="1">
        <v>5.2023895084857899E-2</v>
      </c>
      <c r="L2006" s="1">
        <f>+K2006-J2006</f>
        <v>3.5743895084857896E-2</v>
      </c>
      <c r="M2006" s="1">
        <v>5.1023895084857898E-2</v>
      </c>
      <c r="N2006" s="1">
        <f>+M2006-J2006</f>
        <v>3.4743895084857895E-2</v>
      </c>
      <c r="O2006">
        <v>2.38</v>
      </c>
      <c r="P2006" t="s">
        <v>15</v>
      </c>
      <c r="Q2006">
        <v>0.02</v>
      </c>
      <c r="R2006">
        <v>5.6874905049800903E-2</v>
      </c>
      <c r="S2006">
        <v>4.3721348047256497E-2</v>
      </c>
      <c r="T2006">
        <v>0.02</v>
      </c>
    </row>
    <row r="2007" spans="1:20" x14ac:dyDescent="0.3">
      <c r="A2007" t="s">
        <v>142</v>
      </c>
      <c r="B2007">
        <v>2016</v>
      </c>
      <c r="C2007">
        <v>462373.5</v>
      </c>
      <c r="D2007" s="1">
        <v>1.9E-2</v>
      </c>
      <c r="E2007" s="1">
        <v>0.95845121145248402</v>
      </c>
      <c r="F2007" s="1">
        <v>-2.1999999999999999E-2</v>
      </c>
      <c r="G2007" s="1">
        <f t="shared" si="62"/>
        <v>5.4999999999999986E-2</v>
      </c>
      <c r="H2007" s="1" t="str">
        <f t="shared" si="63"/>
        <v/>
      </c>
      <c r="I2007" s="1">
        <v>1E-3</v>
      </c>
      <c r="J2007" s="1">
        <f>+D2007-F2007+I2007*O2007</f>
        <v>4.3319999999999997E-2</v>
      </c>
      <c r="K2007" s="1">
        <v>6.9874905049800901E-2</v>
      </c>
      <c r="L2007" s="1">
        <f>+K2007-J2007</f>
        <v>2.6554905049800903E-2</v>
      </c>
      <c r="M2007" s="1">
        <v>5.6874905049800903E-2</v>
      </c>
      <c r="N2007" s="1">
        <f>+M2007-J2007</f>
        <v>1.3554905049800905E-2</v>
      </c>
      <c r="O2007">
        <v>2.3199999999999998</v>
      </c>
      <c r="P2007" t="s">
        <v>17</v>
      </c>
      <c r="Q2007">
        <v>0.04</v>
      </c>
      <c r="R2007">
        <v>4.2473075628280503E-2</v>
      </c>
      <c r="S2007">
        <v>3.9683502167463199E-2</v>
      </c>
      <c r="T2007">
        <v>-0.02</v>
      </c>
    </row>
    <row r="2008" spans="1:20" x14ac:dyDescent="0.3">
      <c r="A2008" t="s">
        <v>142</v>
      </c>
      <c r="B2008">
        <v>2017</v>
      </c>
      <c r="C2008">
        <v>470470.3125</v>
      </c>
      <c r="D2008" s="1">
        <v>2.5000000000000001E-2</v>
      </c>
      <c r="E2008" s="1">
        <v>0.95706802606582597</v>
      </c>
      <c r="F2008" s="1">
        <v>1E-3</v>
      </c>
      <c r="G2008" s="1">
        <f t="shared" si="62"/>
        <v>5.5999999999999987E-2</v>
      </c>
      <c r="H2008" s="1" t="str">
        <f t="shared" si="63"/>
        <v/>
      </c>
      <c r="I2008" s="1">
        <v>-1E-3</v>
      </c>
      <c r="J2008" s="1">
        <f>+D2008-F2008+I2008*O2008</f>
        <v>2.1670000000000002E-2</v>
      </c>
      <c r="K2008" s="1">
        <v>6.3473075628280598E-2</v>
      </c>
      <c r="L2008" s="1">
        <f>+K2008-J2008</f>
        <v>4.1803075628280596E-2</v>
      </c>
      <c r="M2008" s="1">
        <v>4.2473075628280503E-2</v>
      </c>
      <c r="N2008" s="1">
        <f>+M2008-J2008</f>
        <v>2.0803075628280501E-2</v>
      </c>
      <c r="O2008">
        <v>2.33</v>
      </c>
      <c r="P2008" t="s">
        <v>17</v>
      </c>
      <c r="Q2008">
        <v>0.04</v>
      </c>
      <c r="R2008">
        <v>4.5071322679519597E-2</v>
      </c>
      <c r="S2008">
        <v>3.5936299711465898E-2</v>
      </c>
      <c r="T2008">
        <v>0</v>
      </c>
    </row>
    <row r="2009" spans="1:20" x14ac:dyDescent="0.3">
      <c r="A2009" t="s">
        <v>142</v>
      </c>
      <c r="B2009">
        <v>2018</v>
      </c>
      <c r="C2009">
        <v>479281.5</v>
      </c>
      <c r="D2009" s="1">
        <v>4.1000000000000002E-2</v>
      </c>
      <c r="E2009" s="1">
        <v>0.93968945741653398</v>
      </c>
      <c r="F2009" s="1">
        <v>-2.4E-2</v>
      </c>
      <c r="G2009" s="1">
        <f t="shared" si="62"/>
        <v>3.1999999999999987E-2</v>
      </c>
      <c r="H2009" s="1" t="str">
        <f t="shared" si="63"/>
        <v/>
      </c>
      <c r="I2009" s="1">
        <v>-1.7000000000000001E-2</v>
      </c>
      <c r="J2009" s="1">
        <f>+D2009-F2009+I2009*O2009</f>
        <v>2.6409999999999996E-2</v>
      </c>
      <c r="K2009" s="1">
        <v>6.9071322679519695E-2</v>
      </c>
      <c r="L2009" s="1">
        <f>+K2009-J2009</f>
        <v>4.2661322679519699E-2</v>
      </c>
      <c r="M2009" s="1">
        <v>4.5071322679519597E-2</v>
      </c>
      <c r="N2009" s="1">
        <f>+M2009-J2009</f>
        <v>1.8661322679519601E-2</v>
      </c>
      <c r="O2009">
        <v>2.27</v>
      </c>
      <c r="P2009" t="s">
        <v>16</v>
      </c>
      <c r="Q2009">
        <v>0.04</v>
      </c>
      <c r="R2009">
        <v>1.62145003378391E-2</v>
      </c>
      <c r="S2009">
        <v>-1.5866942703724001E-3</v>
      </c>
      <c r="T2009">
        <v>-0.01</v>
      </c>
    </row>
    <row r="2010" spans="1:20" x14ac:dyDescent="0.3">
      <c r="A2010" t="s">
        <v>142</v>
      </c>
      <c r="B2010">
        <v>2019</v>
      </c>
      <c r="C2010">
        <v>487582</v>
      </c>
      <c r="D2010" s="1">
        <v>4.3999999999999997E-2</v>
      </c>
      <c r="E2010" s="1">
        <v>0.92929410934448198</v>
      </c>
      <c r="F2010" s="1">
        <v>2.1999999999999999E-2</v>
      </c>
      <c r="G2010" s="1">
        <f t="shared" si="62"/>
        <v>5.3999999999999986E-2</v>
      </c>
      <c r="H2010" s="1" t="str">
        <f t="shared" si="63"/>
        <v/>
      </c>
      <c r="I2010" s="1">
        <v>-0.01</v>
      </c>
      <c r="J2010" s="1">
        <f>+D2010-F2010+I2010*O2010</f>
        <v>-1.1999999999999997E-3</v>
      </c>
      <c r="K2010" s="1">
        <v>3.4214500337839099E-2</v>
      </c>
      <c r="L2010" s="1">
        <f>+K2010-J2010</f>
        <v>3.5414500337839099E-2</v>
      </c>
      <c r="M2010" s="1">
        <v>1.62145003378391E-2</v>
      </c>
      <c r="N2010" s="1">
        <f>+M2010-J2010</f>
        <v>1.74145003378391E-2</v>
      </c>
      <c r="O2010">
        <v>2.3199999999999998</v>
      </c>
      <c r="P2010" t="s">
        <v>17</v>
      </c>
      <c r="Q2010">
        <v>0</v>
      </c>
      <c r="R2010">
        <v>4.4474782526493097E-2</v>
      </c>
      <c r="S2010">
        <v>2.56255920976401E-2</v>
      </c>
      <c r="T2010">
        <v>0.03</v>
      </c>
    </row>
    <row r="2011" spans="1:20" x14ac:dyDescent="0.3">
      <c r="A2011" t="s">
        <v>142</v>
      </c>
      <c r="B2011">
        <v>2020</v>
      </c>
      <c r="C2011">
        <v>493489.1875</v>
      </c>
      <c r="D2011" s="1">
        <v>3.5000000000000003E-2</v>
      </c>
      <c r="E2011" s="1">
        <v>0.94468921422958396</v>
      </c>
      <c r="F2011" s="1">
        <v>-9.2999999999999999E-2</v>
      </c>
      <c r="G2011" s="1">
        <f t="shared" si="62"/>
        <v>-3.9000000000000014E-2</v>
      </c>
      <c r="H2011" s="1" t="str">
        <f t="shared" si="63"/>
        <v/>
      </c>
      <c r="I2011" s="1">
        <v>1.4999999999999999E-2</v>
      </c>
      <c r="J2011" s="1">
        <f>+D2011-F2011+I2011*O2011</f>
        <v>0.15965000000000001</v>
      </c>
      <c r="K2011" s="1">
        <v>5.64747825264931E-2</v>
      </c>
      <c r="L2011" s="1">
        <f>+K2011-J2011</f>
        <v>-0.10317521747350691</v>
      </c>
      <c r="M2011" s="1">
        <v>4.4474782526493097E-2</v>
      </c>
      <c r="N2011" s="1">
        <f>+M2011-J2011</f>
        <v>-0.11517521747350692</v>
      </c>
      <c r="O2011">
        <v>2.11</v>
      </c>
      <c r="P2011" t="s">
        <v>17</v>
      </c>
      <c r="Q2011">
        <v>0.03</v>
      </c>
      <c r="R2011">
        <v>3.2308435320854201E-2</v>
      </c>
      <c r="S2011">
        <v>-1.12811774015427E-2</v>
      </c>
      <c r="T2011">
        <v>-0.05</v>
      </c>
    </row>
    <row r="2012" spans="1:20" x14ac:dyDescent="0.3">
      <c r="A2012" t="s">
        <v>142</v>
      </c>
      <c r="B2012">
        <v>2021</v>
      </c>
      <c r="C2012">
        <v>498937.1875</v>
      </c>
      <c r="D2012" s="1">
        <v>4.2999999999999997E-2</v>
      </c>
      <c r="E2012" s="1">
        <v>0.940879166126251</v>
      </c>
      <c r="F2012" s="1">
        <v>0.122</v>
      </c>
      <c r="G2012" s="1">
        <f t="shared" si="62"/>
        <v>8.299999999999999E-2</v>
      </c>
      <c r="H2012" s="1" t="str">
        <f t="shared" si="63"/>
        <v/>
      </c>
      <c r="I2012" s="1">
        <v>-4.0000000000000001E-3</v>
      </c>
      <c r="J2012" s="1">
        <f>+D2012-F2012+I2012*O2012</f>
        <v>-8.8480000000000003E-2</v>
      </c>
      <c r="K2012" s="1">
        <v>7.9308435320854201E-2</v>
      </c>
      <c r="L2012" s="1">
        <f>+K2012-J2012</f>
        <v>0.16778843532085419</v>
      </c>
      <c r="M2012" s="1">
        <v>3.2308435320854201E-2</v>
      </c>
      <c r="N2012" s="1">
        <f>+M2012-J2012</f>
        <v>0.1207884353208542</v>
      </c>
      <c r="O2012">
        <v>2.37</v>
      </c>
      <c r="P2012" t="s">
        <v>17</v>
      </c>
      <c r="Q2012">
        <v>-0.01</v>
      </c>
      <c r="R2012">
        <v>-7.8002944514155306E-2</v>
      </c>
      <c r="S2012">
        <v>-4.5899437740444998E-2</v>
      </c>
      <c r="T2012">
        <v>0.09</v>
      </c>
    </row>
    <row r="2013" spans="1:20" x14ac:dyDescent="0.3">
      <c r="A2013" t="s">
        <v>142</v>
      </c>
      <c r="B2013">
        <v>2022</v>
      </c>
      <c r="C2013">
        <v>501459</v>
      </c>
      <c r="D2013" s="1">
        <v>2.4E-2</v>
      </c>
      <c r="E2013" s="1">
        <v>0.91965812444686901</v>
      </c>
      <c r="F2013" s="1">
        <v>-3.5999999999999997E-2</v>
      </c>
      <c r="G2013" s="1">
        <f t="shared" si="62"/>
        <v>4.6999999999999993E-2</v>
      </c>
      <c r="H2013" s="1" t="str">
        <f t="shared" si="63"/>
        <v/>
      </c>
      <c r="I2013" s="1">
        <v>-2.1000000000000001E-2</v>
      </c>
      <c r="J2013" s="1">
        <f>+D2013-F2013+I2013*O2013</f>
        <v>1.2119999999999999E-2</v>
      </c>
      <c r="K2013" s="1">
        <v>1.99705548584461E-3</v>
      </c>
      <c r="L2013" s="1">
        <f>+K2013-J2013</f>
        <v>-1.0122944514155388E-2</v>
      </c>
      <c r="M2013" s="1">
        <v>-7.8002944514155306E-2</v>
      </c>
      <c r="N2013" s="1">
        <f>+M2013-J2013</f>
        <v>-9.0122944514155312E-2</v>
      </c>
      <c r="O2013">
        <v>2.2799999999999998</v>
      </c>
      <c r="P2013" t="s">
        <v>16</v>
      </c>
      <c r="Q2013">
        <v>-0.05</v>
      </c>
      <c r="R2013">
        <v>-5.7253359615802801E-2</v>
      </c>
      <c r="S2013">
        <v>-3.7694431841373499E-2</v>
      </c>
      <c r="T2013">
        <v>-0.02</v>
      </c>
    </row>
    <row r="2014" spans="1:20" x14ac:dyDescent="0.3">
      <c r="A2014" t="s">
        <v>143</v>
      </c>
      <c r="B2014">
        <v>2006</v>
      </c>
      <c r="C2014">
        <v>1161485</v>
      </c>
      <c r="D2014" s="1">
        <v>8.0000000000000002E-3</v>
      </c>
      <c r="E2014" s="1">
        <v>0.93973094224929798</v>
      </c>
      <c r="F2014" s="1">
        <v>1E-3</v>
      </c>
      <c r="G2014" s="1">
        <f t="shared" si="62"/>
        <v>1E-3</v>
      </c>
      <c r="H2014" s="1" t="str">
        <f t="shared" si="63"/>
        <v/>
      </c>
      <c r="I2014" s="1">
        <v>1.4E-2</v>
      </c>
      <c r="J2014" s="1">
        <f>+D2014-F2014+I2014*O2014</f>
        <v>3.8080000000000003E-2</v>
      </c>
      <c r="K2014" s="1">
        <v>4.3161474168300601E-2</v>
      </c>
      <c r="L2014" s="1">
        <f>+K2014-J2014</f>
        <v>5.0814741683005982E-3</v>
      </c>
      <c r="M2014" s="1">
        <v>1.11614741683006E-2</v>
      </c>
      <c r="N2014" s="1">
        <f>+M2014-J2014</f>
        <v>-2.6918525831699402E-2</v>
      </c>
      <c r="O2014">
        <v>2.2200000000000002</v>
      </c>
      <c r="P2014" t="s">
        <v>15</v>
      </c>
      <c r="Q2014">
        <v>0</v>
      </c>
      <c r="R2014">
        <v>-4.5905605852603996E-3</v>
      </c>
      <c r="S2014">
        <v>-3.6688046529888998E-3</v>
      </c>
      <c r="T2014">
        <v>0</v>
      </c>
    </row>
    <row r="2015" spans="1:20" x14ac:dyDescent="0.3">
      <c r="A2015" t="s">
        <v>143</v>
      </c>
      <c r="B2015">
        <v>2007</v>
      </c>
      <c r="C2015">
        <v>1178028</v>
      </c>
      <c r="D2015" s="1">
        <v>8.9999999999999993E-3</v>
      </c>
      <c r="E2015" s="1">
        <v>0.93935853242874101</v>
      </c>
      <c r="F2015" s="1">
        <v>-1.0999999999999999E-2</v>
      </c>
      <c r="G2015" s="1">
        <f t="shared" si="62"/>
        <v>-9.9999999999999985E-3</v>
      </c>
      <c r="H2015" s="1" t="str">
        <f t="shared" si="63"/>
        <v/>
      </c>
      <c r="I2015" s="1">
        <v>0</v>
      </c>
      <c r="J2015" s="1">
        <f>+D2015-F2015+I2015*O2015</f>
        <v>1.9999999999999997E-2</v>
      </c>
      <c r="K2015" s="1">
        <v>2.4409439414739598E-2</v>
      </c>
      <c r="L2015" s="1">
        <f>+K2015-J2015</f>
        <v>4.4094394147396014E-3</v>
      </c>
      <c r="M2015" s="1">
        <v>-4.5905605852603996E-3</v>
      </c>
      <c r="N2015" s="1">
        <f>+M2015-J2015</f>
        <v>-2.4590560585260397E-2</v>
      </c>
      <c r="O2015">
        <v>2.2000000000000002</v>
      </c>
      <c r="P2015" t="s">
        <v>16</v>
      </c>
      <c r="Q2015">
        <v>0</v>
      </c>
      <c r="R2015">
        <v>-2.8010789595544299E-2</v>
      </c>
      <c r="S2015">
        <v>1.50001468136906E-3</v>
      </c>
      <c r="T2015">
        <v>-0.01</v>
      </c>
    </row>
    <row r="2016" spans="1:20" x14ac:dyDescent="0.3">
      <c r="A2016" t="s">
        <v>143</v>
      </c>
      <c r="B2016">
        <v>2008</v>
      </c>
      <c r="C2016">
        <v>1192063</v>
      </c>
      <c r="D2016" s="1">
        <v>8.0000000000000002E-3</v>
      </c>
      <c r="E2016" s="1">
        <v>0.93761944770812999</v>
      </c>
      <c r="F2016" s="1">
        <v>5.0000000000000001E-3</v>
      </c>
      <c r="G2016" s="1">
        <f t="shared" si="62"/>
        <v>-4.9999999999999984E-3</v>
      </c>
      <c r="H2016" s="1" t="str">
        <f t="shared" si="63"/>
        <v/>
      </c>
      <c r="I2016" s="1">
        <v>-2E-3</v>
      </c>
      <c r="J2016" s="1">
        <f>+D2016-F2016+I2016*O2016</f>
        <v>-1.4200000000000003E-3</v>
      </c>
      <c r="K2016" s="1">
        <v>9.98921040445566E-3</v>
      </c>
      <c r="L2016" s="1">
        <f>+K2016-J2016</f>
        <v>1.1409210404455659E-2</v>
      </c>
      <c r="M2016" s="1">
        <v>-2.8010789595544299E-2</v>
      </c>
      <c r="N2016" s="1">
        <f>+M2016-J2016</f>
        <v>-2.6590789595544298E-2</v>
      </c>
      <c r="O2016">
        <v>2.21</v>
      </c>
      <c r="P2016" t="s">
        <v>17</v>
      </c>
      <c r="Q2016">
        <v>0</v>
      </c>
      <c r="R2016">
        <v>-7.1103821545838997E-3</v>
      </c>
      <c r="S2016">
        <v>1.9456319510936699E-2</v>
      </c>
      <c r="T2016">
        <v>0</v>
      </c>
    </row>
    <row r="2017" spans="1:20" x14ac:dyDescent="0.3">
      <c r="A2017" t="s">
        <v>143</v>
      </c>
      <c r="B2017">
        <v>2009</v>
      </c>
      <c r="C2017">
        <v>1203214</v>
      </c>
      <c r="D2017" s="1">
        <v>2.1999999999999999E-2</v>
      </c>
      <c r="E2017" s="1">
        <v>0.941375732421875</v>
      </c>
      <c r="F2017" s="1">
        <v>0.02</v>
      </c>
      <c r="G2017" s="1">
        <f t="shared" si="62"/>
        <v>1.5000000000000003E-2</v>
      </c>
      <c r="H2017" s="1" t="str">
        <f t="shared" si="63"/>
        <v/>
      </c>
      <c r="I2017" s="1">
        <v>4.0000000000000001E-3</v>
      </c>
      <c r="J2017" s="1">
        <f>+D2017-F2017+I2017*O2017</f>
        <v>1.1039999999999998E-2</v>
      </c>
      <c r="K2017" s="1">
        <v>-1.11103821545839E-2</v>
      </c>
      <c r="L2017" s="1">
        <f>+K2017-J2017</f>
        <v>-2.2150382154583897E-2</v>
      </c>
      <c r="M2017" s="1">
        <v>-7.1103821545838997E-3</v>
      </c>
      <c r="N2017" s="1">
        <f>+M2017-J2017</f>
        <v>-1.8150382154583897E-2</v>
      </c>
      <c r="O2017">
        <v>2.2599999999999998</v>
      </c>
      <c r="P2017" t="s">
        <v>15</v>
      </c>
      <c r="Q2017">
        <v>0.02</v>
      </c>
      <c r="R2017">
        <v>-2.8651841156184701E-2</v>
      </c>
      <c r="S2017">
        <v>-1.9191732397302999E-2</v>
      </c>
      <c r="T2017">
        <v>0</v>
      </c>
    </row>
    <row r="2018" spans="1:20" x14ac:dyDescent="0.3">
      <c r="A2018" t="s">
        <v>143</v>
      </c>
      <c r="B2018">
        <v>2010</v>
      </c>
      <c r="C2018">
        <v>1213024</v>
      </c>
      <c r="D2018" s="1">
        <v>4.0000000000000001E-3</v>
      </c>
      <c r="E2018" s="1">
        <v>0.92791694402694702</v>
      </c>
      <c r="F2018" s="1">
        <v>1.9E-2</v>
      </c>
      <c r="G2018" s="1">
        <f t="shared" si="62"/>
        <v>3.4000000000000002E-2</v>
      </c>
      <c r="H2018" s="1" t="str">
        <f t="shared" si="63"/>
        <v/>
      </c>
      <c r="I2018" s="1">
        <v>-1.2999999999999999E-2</v>
      </c>
      <c r="J2018" s="1">
        <f>+D2018-F2018+I2018*O2018</f>
        <v>-4.4899999999999995E-2</v>
      </c>
      <c r="K2018" s="1">
        <v>-1.2651841156184699E-2</v>
      </c>
      <c r="L2018" s="1">
        <f>+K2018-J2018</f>
        <v>3.2248158843815294E-2</v>
      </c>
      <c r="M2018" s="1">
        <v>-2.8651841156184701E-2</v>
      </c>
      <c r="N2018" s="1">
        <f>+M2018-J2018</f>
        <v>1.6248158843815294E-2</v>
      </c>
      <c r="O2018">
        <v>2.2999999999999998</v>
      </c>
      <c r="P2018" t="s">
        <v>17</v>
      </c>
      <c r="Q2018">
        <v>-0.02</v>
      </c>
      <c r="R2018">
        <v>-2.6783697649836499E-2</v>
      </c>
      <c r="S2018">
        <v>-5.4999231360852397E-3</v>
      </c>
      <c r="T2018">
        <v>0.01</v>
      </c>
    </row>
    <row r="2019" spans="1:20" x14ac:dyDescent="0.3">
      <c r="A2019" t="s">
        <v>143</v>
      </c>
      <c r="B2019">
        <v>2011</v>
      </c>
      <c r="C2019">
        <v>1224477</v>
      </c>
      <c r="D2019" s="1">
        <v>2.1999999999999999E-2</v>
      </c>
      <c r="E2019" s="1">
        <v>0.92097693681716897</v>
      </c>
      <c r="F2019" s="1">
        <v>-3.9E-2</v>
      </c>
      <c r="G2019" s="1">
        <f t="shared" si="62"/>
        <v>-4.9999999999999975E-3</v>
      </c>
      <c r="H2019" s="1" t="str">
        <f t="shared" si="63"/>
        <v/>
      </c>
      <c r="I2019" s="1">
        <v>-7.0000000000000001E-3</v>
      </c>
      <c r="J2019" s="1">
        <f>+D2019-F2019+I2019*O2019</f>
        <v>4.5530000000000001E-2</v>
      </c>
      <c r="K2019" s="1">
        <v>5.2163023501634598E-3</v>
      </c>
      <c r="L2019" s="1">
        <f>+K2019-J2019</f>
        <v>-4.0313697649836541E-2</v>
      </c>
      <c r="M2019" s="1">
        <v>-2.6783697649836499E-2</v>
      </c>
      <c r="N2019" s="1">
        <f>+M2019-J2019</f>
        <v>-7.23136976498365E-2</v>
      </c>
      <c r="O2019">
        <v>2.21</v>
      </c>
      <c r="P2019" t="s">
        <v>16</v>
      </c>
      <c r="Q2019">
        <v>-0.01</v>
      </c>
      <c r="R2019">
        <v>-1.1229812450706899E-2</v>
      </c>
      <c r="S2019">
        <v>-5.7916063815355596E-3</v>
      </c>
      <c r="T2019">
        <v>-0.04</v>
      </c>
    </row>
    <row r="2020" spans="1:20" x14ac:dyDescent="0.3">
      <c r="A2020" t="s">
        <v>143</v>
      </c>
      <c r="B2020">
        <v>2012</v>
      </c>
      <c r="C2020">
        <v>1239660</v>
      </c>
      <c r="D2020" s="1">
        <v>1.2E-2</v>
      </c>
      <c r="E2020" s="1">
        <v>0.91932380199432395</v>
      </c>
      <c r="F2020" s="1">
        <v>-2.8000000000000001E-2</v>
      </c>
      <c r="G2020" s="1">
        <f t="shared" si="62"/>
        <v>-3.3000000000000002E-2</v>
      </c>
      <c r="H2020" s="1" t="str">
        <f t="shared" si="63"/>
        <v/>
      </c>
      <c r="I2020" s="1">
        <v>-2E-3</v>
      </c>
      <c r="J2020" s="1">
        <f>+D2020-F2020+I2020*O2020</f>
        <v>3.5700000000000003E-2</v>
      </c>
      <c r="K2020" s="1">
        <v>9.7701875492930395E-3</v>
      </c>
      <c r="L2020" s="1">
        <f>+K2020-J2020</f>
        <v>-2.5929812450706961E-2</v>
      </c>
      <c r="M2020" s="1">
        <v>-1.1229812450706899E-2</v>
      </c>
      <c r="N2020" s="1">
        <f>+M2020-J2020</f>
        <v>-4.6929812450706904E-2</v>
      </c>
      <c r="O2020">
        <v>2.15</v>
      </c>
      <c r="P2020" t="s">
        <v>16</v>
      </c>
      <c r="Q2020">
        <v>-0.01</v>
      </c>
      <c r="R2020">
        <v>8.2883971184491995E-3</v>
      </c>
      <c r="S2020">
        <v>2.1616257727146001E-3</v>
      </c>
      <c r="T2020">
        <v>-0.03</v>
      </c>
    </row>
    <row r="2021" spans="1:20" x14ac:dyDescent="0.3">
      <c r="A2021" t="s">
        <v>143</v>
      </c>
      <c r="B2021">
        <v>2013</v>
      </c>
      <c r="C2021">
        <v>1252997</v>
      </c>
      <c r="D2021" s="1">
        <v>1.4999999999999999E-2</v>
      </c>
      <c r="E2021" s="1">
        <v>0.92162191867828402</v>
      </c>
      <c r="F2021" s="1">
        <v>4.2999999999999997E-2</v>
      </c>
      <c r="G2021" s="1">
        <f t="shared" si="62"/>
        <v>9.999999999999995E-3</v>
      </c>
      <c r="H2021" s="1" t="str">
        <f t="shared" si="63"/>
        <v/>
      </c>
      <c r="I2021" s="1">
        <v>2E-3</v>
      </c>
      <c r="J2021" s="1">
        <f>+D2021-F2021+I2021*O2021</f>
        <v>-2.3519999999999996E-2</v>
      </c>
      <c r="K2021" s="1">
        <v>2.3288397118449201E-2</v>
      </c>
      <c r="L2021" s="1">
        <f>+K2021-J2021</f>
        <v>4.6808397118449196E-2</v>
      </c>
      <c r="M2021" s="1">
        <v>8.2883971184491995E-3</v>
      </c>
      <c r="N2021" s="1">
        <f>+M2021-J2021</f>
        <v>3.1808397118449197E-2</v>
      </c>
      <c r="O2021">
        <v>2.2400000000000002</v>
      </c>
      <c r="P2021" t="s">
        <v>15</v>
      </c>
      <c r="Q2021">
        <v>0</v>
      </c>
      <c r="R2021">
        <v>-4.5342201739550001E-4</v>
      </c>
      <c r="S2021">
        <v>-2.461445517838E-3</v>
      </c>
      <c r="T2021">
        <v>0.04</v>
      </c>
    </row>
    <row r="2022" spans="1:20" x14ac:dyDescent="0.3">
      <c r="A2022" t="s">
        <v>143</v>
      </c>
      <c r="B2022">
        <v>2014</v>
      </c>
      <c r="C2022">
        <v>1267167</v>
      </c>
      <c r="D2022" s="1">
        <v>0.02</v>
      </c>
      <c r="E2022" s="1">
        <v>0.92188811302185103</v>
      </c>
      <c r="F2022" s="1">
        <v>1.7999999999999999E-2</v>
      </c>
      <c r="G2022" s="1">
        <f t="shared" si="62"/>
        <v>2.7999999999999994E-2</v>
      </c>
      <c r="H2022" s="1" t="str">
        <f t="shared" si="63"/>
        <v/>
      </c>
      <c r="I2022" s="1">
        <v>0</v>
      </c>
      <c r="J2022" s="1">
        <f>+D2022-F2022+I2022*O2022</f>
        <v>2.0000000000000018E-3</v>
      </c>
      <c r="K2022" s="1">
        <v>1.55465779826045E-2</v>
      </c>
      <c r="L2022" s="1">
        <f>+K2022-J2022</f>
        <v>1.3546577982604498E-2</v>
      </c>
      <c r="M2022" s="1">
        <v>-4.5342201739550001E-4</v>
      </c>
      <c r="N2022" s="1">
        <f>+M2022-J2022</f>
        <v>-2.4534220173955019E-3</v>
      </c>
      <c r="O2022">
        <v>2.2799999999999998</v>
      </c>
      <c r="P2022" t="s">
        <v>15</v>
      </c>
      <c r="Q2022">
        <v>0</v>
      </c>
      <c r="R2022">
        <v>3.4290457308292402E-2</v>
      </c>
      <c r="S2022">
        <v>4.0270052850247002E-3</v>
      </c>
      <c r="T2022">
        <v>0.01</v>
      </c>
    </row>
    <row r="2023" spans="1:20" x14ac:dyDescent="0.3">
      <c r="A2023" t="s">
        <v>143</v>
      </c>
      <c r="B2023">
        <v>2015</v>
      </c>
      <c r="C2023">
        <v>1280443</v>
      </c>
      <c r="D2023" s="1">
        <v>2.1999999999999999E-2</v>
      </c>
      <c r="E2023" s="1">
        <v>0.93047863245010398</v>
      </c>
      <c r="F2023" s="1">
        <v>-8.9999999999999993E-3</v>
      </c>
      <c r="G2023" s="1">
        <f t="shared" si="62"/>
        <v>1.8999999999999996E-2</v>
      </c>
      <c r="H2023" s="1" t="str">
        <f t="shared" si="63"/>
        <v/>
      </c>
      <c r="I2023" s="1">
        <v>8.9999999999999993E-3</v>
      </c>
      <c r="J2023" s="1">
        <f>+D2023-F2023+I2023*O2023</f>
        <v>5.1339999999999997E-2</v>
      </c>
      <c r="K2023" s="1">
        <v>3.5290457308292403E-2</v>
      </c>
      <c r="L2023" s="1">
        <f>+K2023-J2023</f>
        <v>-1.6049542691707594E-2</v>
      </c>
      <c r="M2023" s="1">
        <v>3.4290457308292402E-2</v>
      </c>
      <c r="N2023" s="1">
        <f>+M2023-J2023</f>
        <v>-1.7049542691707595E-2</v>
      </c>
      <c r="O2023">
        <v>2.2599999999999998</v>
      </c>
      <c r="P2023" t="s">
        <v>17</v>
      </c>
      <c r="Q2023">
        <v>0</v>
      </c>
      <c r="R2023">
        <v>1.31535570025444E-2</v>
      </c>
      <c r="S2023">
        <v>0</v>
      </c>
      <c r="T2023">
        <v>0</v>
      </c>
    </row>
    <row r="2024" spans="1:20" x14ac:dyDescent="0.3">
      <c r="A2024" t="s">
        <v>143</v>
      </c>
      <c r="B2024">
        <v>2016</v>
      </c>
      <c r="C2024">
        <v>1293992</v>
      </c>
      <c r="D2024" s="1">
        <v>2.1000000000000001E-2</v>
      </c>
      <c r="E2024" s="1">
        <v>0.93190509080886796</v>
      </c>
      <c r="F2024" s="1">
        <v>4.0000000000000001E-3</v>
      </c>
      <c r="G2024" s="1">
        <f t="shared" si="62"/>
        <v>2.2999999999999996E-2</v>
      </c>
      <c r="H2024" s="1" t="str">
        <f t="shared" si="63"/>
        <v/>
      </c>
      <c r="I2024" s="1">
        <v>1E-3</v>
      </c>
      <c r="J2024" s="1">
        <f>+D2024-F2024+I2024*O2024</f>
        <v>1.9270000000000002E-2</v>
      </c>
      <c r="K2024" s="1">
        <v>2.61535570025444E-2</v>
      </c>
      <c r="L2024" s="1">
        <f>+K2024-J2024</f>
        <v>6.8835570025443972E-3</v>
      </c>
      <c r="M2024" s="1">
        <v>1.31535570025444E-2</v>
      </c>
      <c r="N2024" s="1">
        <f>+M2024-J2024</f>
        <v>-6.1164429974556022E-3</v>
      </c>
      <c r="O2024">
        <v>2.27</v>
      </c>
      <c r="P2024" t="s">
        <v>15</v>
      </c>
      <c r="Q2024" t="s">
        <v>23</v>
      </c>
      <c r="R2024">
        <v>2.1746923863887799E-2</v>
      </c>
      <c r="S2024">
        <v>1.8957350403070498E-2</v>
      </c>
      <c r="T2024">
        <v>0.01</v>
      </c>
    </row>
    <row r="2025" spans="1:20" x14ac:dyDescent="0.3">
      <c r="A2025" t="s">
        <v>143</v>
      </c>
      <c r="B2025">
        <v>2017</v>
      </c>
      <c r="C2025">
        <v>1306965</v>
      </c>
      <c r="D2025" s="1">
        <v>2.3E-2</v>
      </c>
      <c r="E2025" s="1">
        <v>0.92912012338638295</v>
      </c>
      <c r="F2025" s="1">
        <v>2.7E-2</v>
      </c>
      <c r="G2025" s="1">
        <f t="shared" si="62"/>
        <v>4.9999999999999996E-2</v>
      </c>
      <c r="H2025" s="1" t="str">
        <f t="shared" si="63"/>
        <v/>
      </c>
      <c r="I2025" s="1">
        <v>-3.0000000000000001E-3</v>
      </c>
      <c r="J2025" s="1">
        <f>+D2025-F2025+I2025*O2025</f>
        <v>-1.099E-2</v>
      </c>
      <c r="K2025" s="1">
        <v>4.2746923863887801E-2</v>
      </c>
      <c r="L2025" s="1">
        <f>+K2025-J2025</f>
        <v>5.3736923863887801E-2</v>
      </c>
      <c r="M2025" s="1">
        <v>2.1746923863887799E-2</v>
      </c>
      <c r="N2025" s="1">
        <f>+M2025-J2025</f>
        <v>3.2736923863887796E-2</v>
      </c>
      <c r="O2025">
        <v>2.33</v>
      </c>
      <c r="P2025" t="s">
        <v>17</v>
      </c>
      <c r="Q2025">
        <v>0.02</v>
      </c>
      <c r="R2025">
        <v>1.2854870617389699E-2</v>
      </c>
      <c r="S2025">
        <v>3.7198476493358998E-3</v>
      </c>
      <c r="T2025">
        <v>0.03</v>
      </c>
    </row>
    <row r="2026" spans="1:20" x14ac:dyDescent="0.3">
      <c r="A2026" t="s">
        <v>143</v>
      </c>
      <c r="B2026">
        <v>2018</v>
      </c>
      <c r="C2026">
        <v>1320107</v>
      </c>
      <c r="D2026" s="1">
        <v>3.6999999999999998E-2</v>
      </c>
      <c r="E2026" s="1">
        <v>0.92352068424224898</v>
      </c>
      <c r="F2026" s="1">
        <v>-0.04</v>
      </c>
      <c r="G2026" s="1">
        <f t="shared" si="62"/>
        <v>9.999999999999995E-3</v>
      </c>
      <c r="H2026" s="1" t="str">
        <f t="shared" si="63"/>
        <v/>
      </c>
      <c r="I2026" s="1">
        <v>-6.0000000000000001E-3</v>
      </c>
      <c r="J2026" s="1">
        <f>+D2026-F2026+I2026*O2026</f>
        <v>6.3559999999999992E-2</v>
      </c>
      <c r="K2026" s="1">
        <v>3.68548706173897E-2</v>
      </c>
      <c r="L2026" s="1">
        <f>+K2026-J2026</f>
        <v>-2.6705129382610292E-2</v>
      </c>
      <c r="M2026" s="1">
        <v>1.2854870617389699E-2</v>
      </c>
      <c r="N2026" s="1">
        <f>+M2026-J2026</f>
        <v>-5.0705129382610292E-2</v>
      </c>
      <c r="O2026">
        <v>2.2400000000000002</v>
      </c>
      <c r="P2026" t="s">
        <v>16</v>
      </c>
      <c r="Q2026">
        <v>0</v>
      </c>
      <c r="R2026">
        <v>2.1144821465015399E-2</v>
      </c>
      <c r="S2026">
        <v>3.3436268568038901E-3</v>
      </c>
      <c r="T2026">
        <v>-0.03</v>
      </c>
    </row>
    <row r="2027" spans="1:20" x14ac:dyDescent="0.3">
      <c r="A2027" t="s">
        <v>143</v>
      </c>
      <c r="B2027">
        <v>2019</v>
      </c>
      <c r="C2027">
        <v>1332665</v>
      </c>
      <c r="D2027" s="1">
        <v>2.3E-2</v>
      </c>
      <c r="E2027" s="1">
        <v>0.924230456352234</v>
      </c>
      <c r="F2027" s="1">
        <v>-0.05</v>
      </c>
      <c r="G2027" s="1">
        <f t="shared" si="62"/>
        <v>-4.0000000000000008E-2</v>
      </c>
      <c r="H2027" s="1" t="str">
        <f t="shared" si="63"/>
        <v/>
      </c>
      <c r="I2027" s="1">
        <v>1E-3</v>
      </c>
      <c r="J2027" s="1">
        <f>+D2027-F2027+I2027*O2027</f>
        <v>7.5130000000000002E-2</v>
      </c>
      <c r="K2027" s="1">
        <v>3.9144821465015397E-2</v>
      </c>
      <c r="L2027" s="1">
        <f>+K2027-J2027</f>
        <v>-3.5985178534984605E-2</v>
      </c>
      <c r="M2027" s="1">
        <v>2.1144821465015399E-2</v>
      </c>
      <c r="N2027" s="1">
        <f>+M2027-J2027</f>
        <v>-5.3985178534984607E-2</v>
      </c>
      <c r="O2027">
        <v>2.13</v>
      </c>
      <c r="P2027" t="s">
        <v>17</v>
      </c>
      <c r="Q2027">
        <v>0</v>
      </c>
      <c r="R2027">
        <v>2.8068615227937601E-2</v>
      </c>
      <c r="S2027">
        <v>9.2194247990846894E-3</v>
      </c>
      <c r="T2027">
        <v>-0.04</v>
      </c>
    </row>
    <row r="2028" spans="1:20" x14ac:dyDescent="0.3">
      <c r="A2028" t="s">
        <v>143</v>
      </c>
      <c r="B2028">
        <v>2020</v>
      </c>
      <c r="C2028">
        <v>1343599</v>
      </c>
      <c r="D2028" s="1">
        <v>3.9E-2</v>
      </c>
      <c r="E2028" s="1">
        <v>0.92996430397033703</v>
      </c>
      <c r="F2028" s="1">
        <v>5.0000000000000001E-3</v>
      </c>
      <c r="G2028" s="1">
        <f t="shared" si="62"/>
        <v>-3.500000000000001E-2</v>
      </c>
      <c r="H2028" s="1" t="str">
        <f t="shared" si="63"/>
        <v/>
      </c>
      <c r="I2028" s="1">
        <v>6.0000000000000001E-3</v>
      </c>
      <c r="J2028" s="1">
        <f>+D2028-F2028+I2028*O2028</f>
        <v>4.6840000000000007E-2</v>
      </c>
      <c r="K2028" s="1">
        <v>4.0068615227937698E-2</v>
      </c>
      <c r="L2028" s="1">
        <f>+K2028-J2028</f>
        <v>-6.7713847720623083E-3</v>
      </c>
      <c r="M2028" s="1">
        <v>2.8068615227937601E-2</v>
      </c>
      <c r="N2028" s="1">
        <f>+M2028-J2028</f>
        <v>-1.8771384772062406E-2</v>
      </c>
      <c r="O2028">
        <v>2.14</v>
      </c>
      <c r="P2028" t="s">
        <v>15</v>
      </c>
      <c r="Q2028">
        <v>0.01</v>
      </c>
      <c r="R2028">
        <v>5.7439564049243899E-2</v>
      </c>
      <c r="S2028">
        <v>1.3849951326847E-2</v>
      </c>
      <c r="T2028">
        <v>0.04</v>
      </c>
    </row>
    <row r="2029" spans="1:20" x14ac:dyDescent="0.3">
      <c r="A2029" t="s">
        <v>143</v>
      </c>
      <c r="B2029">
        <v>2021</v>
      </c>
      <c r="C2029">
        <v>1354333</v>
      </c>
      <c r="D2029" s="1">
        <v>3.2000000000000001E-2</v>
      </c>
      <c r="E2029" s="1">
        <v>0.94867163896560702</v>
      </c>
      <c r="F2029" s="1">
        <v>-2.1999999999999999E-2</v>
      </c>
      <c r="G2029" s="1">
        <f t="shared" si="62"/>
        <v>-5.7000000000000009E-2</v>
      </c>
      <c r="H2029" s="1" t="str">
        <f t="shared" si="63"/>
        <v/>
      </c>
      <c r="I2029" s="1">
        <v>1.9E-2</v>
      </c>
      <c r="J2029" s="1">
        <f>+D2029-F2029+I2029*O2029</f>
        <v>9.3709999999999988E-2</v>
      </c>
      <c r="K2029" s="1">
        <v>0.104439564049244</v>
      </c>
      <c r="L2029" s="1">
        <f>+K2029-J2029</f>
        <v>1.0729564049244009E-2</v>
      </c>
      <c r="M2029" s="1">
        <v>5.7439564049243899E-2</v>
      </c>
      <c r="N2029" s="1">
        <f>+M2029-J2029</f>
        <v>-3.6270435950756089E-2</v>
      </c>
      <c r="O2029">
        <v>2.09</v>
      </c>
      <c r="P2029" t="s">
        <v>17</v>
      </c>
      <c r="Q2029">
        <v>0.01</v>
      </c>
      <c r="R2029">
        <v>-3.8219341933727301E-2</v>
      </c>
      <c r="S2029">
        <v>-6.1158351600169997E-3</v>
      </c>
      <c r="T2029">
        <v>-0.05</v>
      </c>
    </row>
    <row r="2030" spans="1:20" x14ac:dyDescent="0.3">
      <c r="A2030" t="s">
        <v>143</v>
      </c>
      <c r="B2030">
        <v>2022</v>
      </c>
      <c r="C2030">
        <v>1368033</v>
      </c>
      <c r="D2030" s="1">
        <v>2.4E-2</v>
      </c>
      <c r="E2030" s="1">
        <v>0.92620825767517101</v>
      </c>
      <c r="F2030" s="1">
        <v>5.2999999999999999E-2</v>
      </c>
      <c r="G2030" s="1">
        <f t="shared" si="62"/>
        <v>-4.0000000000000105E-3</v>
      </c>
      <c r="H2030" s="1" t="str">
        <f t="shared" si="63"/>
        <v/>
      </c>
      <c r="I2030" s="1">
        <v>-2.1999999999999999E-2</v>
      </c>
      <c r="J2030" s="1">
        <f>+D2030-F2030+I2030*O2030</f>
        <v>-7.7399999999999997E-2</v>
      </c>
      <c r="K2030" s="1">
        <v>4.1780658066272701E-2</v>
      </c>
      <c r="L2030" s="1">
        <f>+K2030-J2030</f>
        <v>0.1191806580662727</v>
      </c>
      <c r="M2030" s="1">
        <v>-3.8219341933727301E-2</v>
      </c>
      <c r="N2030" s="1">
        <f>+M2030-J2030</f>
        <v>3.9180658066272696E-2</v>
      </c>
      <c r="O2030">
        <v>2.2000000000000002</v>
      </c>
      <c r="P2030" t="s">
        <v>17</v>
      </c>
      <c r="Q2030">
        <v>-0.01</v>
      </c>
      <c r="R2030">
        <v>-2.5443557448685199E-2</v>
      </c>
      <c r="S2030">
        <v>-5.8846296742559E-3</v>
      </c>
      <c r="T2030">
        <v>7.0000000000000007E-2</v>
      </c>
    </row>
    <row r="2031" spans="1:20" x14ac:dyDescent="0.3">
      <c r="A2031" t="s">
        <v>144</v>
      </c>
      <c r="B2031">
        <v>2006</v>
      </c>
      <c r="C2031">
        <v>1070727</v>
      </c>
      <c r="D2031" s="1">
        <v>5.0000000000000001E-3</v>
      </c>
      <c r="E2031" s="1">
        <v>0.91107350587844804</v>
      </c>
      <c r="F2031" s="1">
        <v>-3.0000000000000001E-3</v>
      </c>
      <c r="G2031" s="1">
        <f t="shared" si="62"/>
        <v>-3.0000000000000001E-3</v>
      </c>
      <c r="H2031" s="1" t="str">
        <f t="shared" si="63"/>
        <v/>
      </c>
      <c r="I2031" s="1">
        <v>-5.0000000000000001E-3</v>
      </c>
      <c r="J2031" s="1">
        <f>+D2031-F2031+I2031*O2031</f>
        <v>-2.0999999999999994E-3</v>
      </c>
      <c r="K2031" s="1">
        <v>2.97772269695997E-2</v>
      </c>
      <c r="L2031" s="1">
        <f>+K2031-J2031</f>
        <v>3.1877226969599701E-2</v>
      </c>
      <c r="M2031" s="1">
        <v>-2.2227730304002998E-3</v>
      </c>
      <c r="N2031" s="1">
        <f>+M2031-J2031</f>
        <v>-1.227730304003004E-4</v>
      </c>
      <c r="O2031">
        <v>2.02</v>
      </c>
      <c r="P2031" t="s">
        <v>16</v>
      </c>
      <c r="Q2031">
        <v>-0.01</v>
      </c>
      <c r="R2031">
        <v>2.6645354032515901E-3</v>
      </c>
      <c r="S2031">
        <v>3.5862913355230899E-3</v>
      </c>
      <c r="T2031">
        <v>0</v>
      </c>
    </row>
    <row r="2032" spans="1:20" x14ac:dyDescent="0.3">
      <c r="A2032" t="s">
        <v>144</v>
      </c>
      <c r="B2032">
        <v>2007</v>
      </c>
      <c r="C2032">
        <v>1072848</v>
      </c>
      <c r="D2032" s="1">
        <v>4.0000000000000001E-3</v>
      </c>
      <c r="E2032" s="1">
        <v>0.91202473640441895</v>
      </c>
      <c r="F2032" s="1">
        <v>1.4999999999999999E-2</v>
      </c>
      <c r="G2032" s="1">
        <f t="shared" si="62"/>
        <v>1.2E-2</v>
      </c>
      <c r="H2032" s="1" t="str">
        <f t="shared" si="63"/>
        <v/>
      </c>
      <c r="I2032" s="1">
        <v>1E-3</v>
      </c>
      <c r="J2032" s="1">
        <f>+D2032-F2032+I2032*O2032</f>
        <v>-8.9499999999999996E-3</v>
      </c>
      <c r="K2032" s="1">
        <v>3.1664535403251599E-2</v>
      </c>
      <c r="L2032" s="1">
        <f>+K2032-J2032</f>
        <v>4.0614535403251599E-2</v>
      </c>
      <c r="M2032" s="1">
        <v>2.6645354032515901E-3</v>
      </c>
      <c r="N2032" s="1">
        <f>+M2032-J2032</f>
        <v>1.1614535403251591E-2</v>
      </c>
      <c r="O2032">
        <v>2.0499999999999998</v>
      </c>
      <c r="P2032" t="s">
        <v>15</v>
      </c>
      <c r="Q2032">
        <v>0</v>
      </c>
      <c r="R2032">
        <v>-3.0556518409401101E-2</v>
      </c>
      <c r="S2032">
        <v>-1.04571413248777E-3</v>
      </c>
      <c r="T2032">
        <v>0.01</v>
      </c>
    </row>
    <row r="2033" spans="1:20" x14ac:dyDescent="0.3">
      <c r="A2033" t="s">
        <v>144</v>
      </c>
      <c r="B2033">
        <v>2008</v>
      </c>
      <c r="C2033">
        <v>1076007</v>
      </c>
      <c r="D2033" s="1">
        <v>3.0000000000000001E-3</v>
      </c>
      <c r="E2033" s="1">
        <v>0.91992771625518799</v>
      </c>
      <c r="F2033" s="1">
        <v>4.0000000000000001E-3</v>
      </c>
      <c r="G2033" s="1">
        <f t="shared" si="62"/>
        <v>1.6E-2</v>
      </c>
      <c r="H2033" s="1" t="str">
        <f t="shared" si="63"/>
        <v/>
      </c>
      <c r="I2033" s="1">
        <v>8.0000000000000002E-3</v>
      </c>
      <c r="J2033" s="1">
        <f>+D2033-F2033+I2033*O2033</f>
        <v>1.5480000000000001E-2</v>
      </c>
      <c r="K2033" s="1">
        <v>7.4434815905988199E-3</v>
      </c>
      <c r="L2033" s="1">
        <f>+K2033-J2033</f>
        <v>-8.0365184094011808E-3</v>
      </c>
      <c r="M2033" s="1">
        <v>-3.0556518409401101E-2</v>
      </c>
      <c r="N2033" s="1">
        <f>+M2033-J2033</f>
        <v>-4.6036518409401102E-2</v>
      </c>
      <c r="O2033">
        <v>2.06</v>
      </c>
      <c r="P2033" t="s">
        <v>15</v>
      </c>
      <c r="Q2033">
        <v>0</v>
      </c>
      <c r="R2033">
        <v>-2.4084412217140201E-2</v>
      </c>
      <c r="S2033">
        <v>2.4822894483804399E-3</v>
      </c>
      <c r="T2033">
        <v>0</v>
      </c>
    </row>
    <row r="2034" spans="1:20" x14ac:dyDescent="0.3">
      <c r="A2034" t="s">
        <v>144</v>
      </c>
      <c r="B2034">
        <v>2009</v>
      </c>
      <c r="C2034">
        <v>1078654</v>
      </c>
      <c r="D2034" s="1">
        <v>1.2999999999999999E-2</v>
      </c>
      <c r="E2034" s="1">
        <v>0.92389851808547996</v>
      </c>
      <c r="F2034" s="1">
        <v>2E-3</v>
      </c>
      <c r="G2034" s="1">
        <f t="shared" si="62"/>
        <v>1.8000000000000002E-2</v>
      </c>
      <c r="H2034" s="1" t="str">
        <f t="shared" si="63"/>
        <v/>
      </c>
      <c r="I2034" s="1">
        <v>4.0000000000000001E-3</v>
      </c>
      <c r="J2034" s="1">
        <f>+D2034-F2034+I2034*O2034</f>
        <v>1.924E-2</v>
      </c>
      <c r="K2034" s="1">
        <v>-2.8084412217140201E-2</v>
      </c>
      <c r="L2034" s="1">
        <f>+K2034-J2034</f>
        <v>-4.7324412217140205E-2</v>
      </c>
      <c r="M2034" s="1">
        <v>-2.4084412217140201E-2</v>
      </c>
      <c r="N2034" s="1">
        <f>+M2034-J2034</f>
        <v>-4.3324412217140201E-2</v>
      </c>
      <c r="O2034">
        <v>2.06</v>
      </c>
      <c r="P2034" t="s">
        <v>15</v>
      </c>
      <c r="Q2034">
        <v>0</v>
      </c>
      <c r="R2034">
        <v>1.6806909441949901E-4</v>
      </c>
      <c r="S2034">
        <v>9.6281778533011796E-3</v>
      </c>
      <c r="T2034">
        <v>-0.02</v>
      </c>
    </row>
    <row r="2035" spans="1:20" x14ac:dyDescent="0.3">
      <c r="A2035" t="s">
        <v>144</v>
      </c>
      <c r="B2035">
        <v>2010</v>
      </c>
      <c r="C2035">
        <v>1081512</v>
      </c>
      <c r="D2035" s="1">
        <v>4.0000000000000001E-3</v>
      </c>
      <c r="E2035" s="1">
        <v>0.93292731046676602</v>
      </c>
      <c r="F2035" s="1">
        <v>8.0000000000000002E-3</v>
      </c>
      <c r="G2035" s="1">
        <f t="shared" si="62"/>
        <v>2.6000000000000002E-2</v>
      </c>
      <c r="H2035" s="1" t="str">
        <f t="shared" si="63"/>
        <v/>
      </c>
      <c r="I2035" s="1">
        <v>8.9999999999999993E-3</v>
      </c>
      <c r="J2035" s="1">
        <f>+D2035-F2035+I2035*O2035</f>
        <v>1.472E-2</v>
      </c>
      <c r="K2035" s="1">
        <v>1.61680690944195E-2</v>
      </c>
      <c r="L2035" s="1">
        <f>+K2035-J2035</f>
        <v>1.4480690944194997E-3</v>
      </c>
      <c r="M2035" s="1">
        <v>1.6806909441949901E-4</v>
      </c>
      <c r="N2035" s="1">
        <f>+M2035-J2035</f>
        <v>-1.4551930905580501E-2</v>
      </c>
      <c r="O2035">
        <v>2.08</v>
      </c>
      <c r="P2035" t="s">
        <v>15</v>
      </c>
      <c r="Q2035">
        <v>0.01</v>
      </c>
      <c r="R2035">
        <v>-2.6255561847239699E-2</v>
      </c>
      <c r="S2035">
        <v>-4.9717873334884297E-3</v>
      </c>
      <c r="T2035">
        <v>0</v>
      </c>
    </row>
    <row r="2036" spans="1:20" x14ac:dyDescent="0.3">
      <c r="A2036" t="s">
        <v>144</v>
      </c>
      <c r="B2036">
        <v>2011</v>
      </c>
      <c r="C2036">
        <v>1084784</v>
      </c>
      <c r="D2036" s="1">
        <v>3.0000000000000001E-3</v>
      </c>
      <c r="E2036" s="1">
        <v>0.940904140472412</v>
      </c>
      <c r="F2036" s="1">
        <v>0</v>
      </c>
      <c r="G2036" s="1">
        <f t="shared" si="62"/>
        <v>2.6000000000000002E-2</v>
      </c>
      <c r="H2036" s="1" t="str">
        <f t="shared" si="63"/>
        <v/>
      </c>
      <c r="I2036" s="1">
        <v>8.0000000000000002E-3</v>
      </c>
      <c r="J2036" s="1">
        <f>+D2036-F2036+I2036*O2036</f>
        <v>1.9640000000000001E-2</v>
      </c>
      <c r="K2036" s="1">
        <v>5.7444381527602699E-3</v>
      </c>
      <c r="L2036" s="1">
        <f>+K2036-J2036</f>
        <v>-1.389556184723973E-2</v>
      </c>
      <c r="M2036" s="1">
        <v>-2.6255561847239699E-2</v>
      </c>
      <c r="N2036" s="1">
        <f>+M2036-J2036</f>
        <v>-4.5895561847239696E-2</v>
      </c>
      <c r="O2036">
        <v>2.08</v>
      </c>
      <c r="P2036" t="s">
        <v>17</v>
      </c>
      <c r="Q2036">
        <v>0</v>
      </c>
      <c r="R2036">
        <v>-1.5280122220516199E-2</v>
      </c>
      <c r="S2036">
        <v>-9.8419161513448004E-3</v>
      </c>
      <c r="T2036">
        <v>0</v>
      </c>
    </row>
    <row r="2037" spans="1:20" x14ac:dyDescent="0.3">
      <c r="A2037" t="s">
        <v>144</v>
      </c>
      <c r="B2037">
        <v>2012</v>
      </c>
      <c r="C2037">
        <v>1087154</v>
      </c>
      <c r="D2037" s="1">
        <v>4.0000000000000001E-3</v>
      </c>
      <c r="E2037" s="1">
        <v>0.94507747888565097</v>
      </c>
      <c r="F2037" s="1">
        <v>-1.4E-2</v>
      </c>
      <c r="G2037" s="1">
        <f t="shared" si="62"/>
        <v>1.2000000000000002E-2</v>
      </c>
      <c r="H2037" s="1" t="str">
        <f t="shared" si="63"/>
        <v/>
      </c>
      <c r="I2037" s="1">
        <v>4.0000000000000001E-3</v>
      </c>
      <c r="J2037" s="1">
        <f>+D2037-F2037+I2037*O2037</f>
        <v>2.6200000000000001E-2</v>
      </c>
      <c r="K2037" s="1">
        <v>5.7198777794838004E-3</v>
      </c>
      <c r="L2037" s="1">
        <f>+K2037-J2037</f>
        <v>-2.0480122220516199E-2</v>
      </c>
      <c r="M2037" s="1">
        <v>-1.5280122220516199E-2</v>
      </c>
      <c r="N2037" s="1">
        <f>+M2037-J2037</f>
        <v>-4.1480122220516197E-2</v>
      </c>
      <c r="O2037">
        <v>2.0499999999999998</v>
      </c>
      <c r="P2037" t="s">
        <v>17</v>
      </c>
      <c r="Q2037">
        <v>-0.01</v>
      </c>
      <c r="R2037">
        <v>-5.5394541472199895E-4</v>
      </c>
      <c r="S2037">
        <v>-6.6807167604566002E-3</v>
      </c>
      <c r="T2037">
        <v>-0.02</v>
      </c>
    </row>
    <row r="2038" spans="1:20" x14ac:dyDescent="0.3">
      <c r="A2038" t="s">
        <v>144</v>
      </c>
      <c r="B2038">
        <v>2013</v>
      </c>
      <c r="C2038">
        <v>1088965</v>
      </c>
      <c r="D2038" s="1">
        <v>1.2E-2</v>
      </c>
      <c r="E2038" s="1">
        <v>0.94314414262771595</v>
      </c>
      <c r="F2038" s="1">
        <v>5.0000000000000001E-3</v>
      </c>
      <c r="G2038" s="1">
        <f t="shared" si="62"/>
        <v>1.7000000000000001E-2</v>
      </c>
      <c r="H2038" s="1" t="str">
        <f t="shared" si="63"/>
        <v/>
      </c>
      <c r="I2038" s="1">
        <v>-2E-3</v>
      </c>
      <c r="J2038" s="1">
        <f>+D2038-F2038+I2038*O2038</f>
        <v>2.8799999999999997E-3</v>
      </c>
      <c r="K2038" s="1">
        <v>1.4446054585278E-2</v>
      </c>
      <c r="L2038" s="1">
        <f>+K2038-J2038</f>
        <v>1.1566054585277999E-2</v>
      </c>
      <c r="M2038" s="1">
        <v>-5.5394541472199895E-4</v>
      </c>
      <c r="N2038" s="1">
        <f>+M2038-J2038</f>
        <v>-3.4339454147219988E-3</v>
      </c>
      <c r="O2038">
        <v>2.06</v>
      </c>
      <c r="P2038" t="s">
        <v>17</v>
      </c>
      <c r="Q2038">
        <v>-0.01</v>
      </c>
      <c r="R2038">
        <v>-1.47724832026287E-2</v>
      </c>
      <c r="S2038">
        <v>-1.6780506703071199E-2</v>
      </c>
      <c r="T2038">
        <v>0</v>
      </c>
    </row>
    <row r="2039" spans="1:20" x14ac:dyDescent="0.3">
      <c r="A2039" t="s">
        <v>144</v>
      </c>
      <c r="B2039">
        <v>2014</v>
      </c>
      <c r="C2039">
        <v>1089297</v>
      </c>
      <c r="D2039" s="1">
        <v>2.5000000000000001E-2</v>
      </c>
      <c r="E2039" s="1">
        <v>0.93767720460891701</v>
      </c>
      <c r="F2039" s="1">
        <v>-2.1000000000000001E-2</v>
      </c>
      <c r="G2039" s="1">
        <f t="shared" si="62"/>
        <v>-4.0000000000000001E-3</v>
      </c>
      <c r="H2039" s="1" t="str">
        <f t="shared" si="63"/>
        <v/>
      </c>
      <c r="I2039" s="1">
        <v>-5.0000000000000001E-3</v>
      </c>
      <c r="J2039" s="1">
        <f>+D2039-F2039+I2039*O2039</f>
        <v>3.5900000000000001E-2</v>
      </c>
      <c r="K2039" s="1">
        <v>1.22751679737121E-3</v>
      </c>
      <c r="L2039" s="1">
        <f>+K2039-J2039</f>
        <v>-3.4672483202628793E-2</v>
      </c>
      <c r="M2039" s="1">
        <v>-1.47724832026287E-2</v>
      </c>
      <c r="N2039" s="1">
        <f>+M2039-J2039</f>
        <v>-5.0672483202628703E-2</v>
      </c>
      <c r="O2039">
        <v>2.02</v>
      </c>
      <c r="P2039" t="s">
        <v>16</v>
      </c>
      <c r="Q2039">
        <v>-0.02</v>
      </c>
      <c r="R2039">
        <v>2.8645211994648E-2</v>
      </c>
      <c r="S2039">
        <v>-1.6182400286196899E-3</v>
      </c>
      <c r="T2039">
        <v>-0.02</v>
      </c>
    </row>
    <row r="2040" spans="1:20" x14ac:dyDescent="0.3">
      <c r="A2040" t="s">
        <v>144</v>
      </c>
      <c r="B2040">
        <v>2015</v>
      </c>
      <c r="C2040">
        <v>1088468</v>
      </c>
      <c r="D2040" s="1">
        <v>7.0000000000000001E-3</v>
      </c>
      <c r="E2040" s="1">
        <v>0.94225198030471802</v>
      </c>
      <c r="F2040" s="1">
        <v>3.6999999999999998E-2</v>
      </c>
      <c r="G2040" s="1">
        <f t="shared" si="62"/>
        <v>3.3000000000000002E-2</v>
      </c>
      <c r="H2040" s="1" t="str">
        <f t="shared" si="63"/>
        <v/>
      </c>
      <c r="I2040" s="1">
        <v>5.0000000000000001E-3</v>
      </c>
      <c r="J2040" s="1">
        <f>+D2040-F2040+I2040*O2040</f>
        <v>-1.9549999999999998E-2</v>
      </c>
      <c r="K2040" s="1">
        <v>2.9645211994648001E-2</v>
      </c>
      <c r="L2040" s="1">
        <f>+K2040-J2040</f>
        <v>4.9195211994647998E-2</v>
      </c>
      <c r="M2040" s="1">
        <v>2.8645211994648E-2</v>
      </c>
      <c r="N2040" s="1">
        <f>+M2040-J2040</f>
        <v>4.8195211994647998E-2</v>
      </c>
      <c r="O2040">
        <v>2.09</v>
      </c>
      <c r="P2040" t="s">
        <v>15</v>
      </c>
      <c r="Q2040">
        <v>0</v>
      </c>
      <c r="R2040">
        <v>1.24253372550011E-2</v>
      </c>
      <c r="S2040">
        <v>-7.2821974754330005E-4</v>
      </c>
      <c r="T2040">
        <v>0.05</v>
      </c>
    </row>
    <row r="2041" spans="1:20" x14ac:dyDescent="0.3">
      <c r="A2041" t="s">
        <v>144</v>
      </c>
      <c r="B2041">
        <v>2016</v>
      </c>
      <c r="C2041">
        <v>1088162</v>
      </c>
      <c r="D2041" s="1">
        <v>2.1999999999999999E-2</v>
      </c>
      <c r="E2041" s="1">
        <v>0.94508433341980003</v>
      </c>
      <c r="F2041" s="1">
        <v>6.0000000000000001E-3</v>
      </c>
      <c r="G2041" s="1">
        <f t="shared" si="62"/>
        <v>3.9E-2</v>
      </c>
      <c r="H2041" s="1" t="str">
        <f t="shared" si="63"/>
        <v/>
      </c>
      <c r="I2041" s="1">
        <v>3.0000000000000001E-3</v>
      </c>
      <c r="J2041" s="1">
        <f>+D2041-F2041+I2041*O2041</f>
        <v>2.23E-2</v>
      </c>
      <c r="K2041" s="1">
        <v>2.5425337255001099E-2</v>
      </c>
      <c r="L2041" s="1">
        <f>+K2041-J2041</f>
        <v>3.125337255001099E-3</v>
      </c>
      <c r="M2041" s="1">
        <v>1.24253372550011E-2</v>
      </c>
      <c r="N2041" s="1">
        <f>+M2041-J2041</f>
        <v>-9.8746627449989004E-3</v>
      </c>
      <c r="O2041">
        <v>2.1</v>
      </c>
      <c r="P2041" t="s">
        <v>15</v>
      </c>
      <c r="Q2041">
        <v>0</v>
      </c>
      <c r="R2041">
        <v>9.4264985024928999E-3</v>
      </c>
      <c r="S2041">
        <v>6.6369250416755997E-3</v>
      </c>
      <c r="T2041">
        <v>0.01</v>
      </c>
    </row>
    <row r="2042" spans="1:20" x14ac:dyDescent="0.3">
      <c r="A2042" t="s">
        <v>144</v>
      </c>
      <c r="B2042">
        <v>2017</v>
      </c>
      <c r="C2042">
        <v>1089029</v>
      </c>
      <c r="D2042" s="1">
        <v>1.4E-2</v>
      </c>
      <c r="E2042" s="1">
        <v>0.94306933879852295</v>
      </c>
      <c r="F2042" s="1">
        <v>-2.4E-2</v>
      </c>
      <c r="G2042" s="1">
        <f t="shared" si="62"/>
        <v>1.4999999999999999E-2</v>
      </c>
      <c r="H2042" s="1" t="str">
        <f t="shared" si="63"/>
        <v/>
      </c>
      <c r="I2042" s="1">
        <v>-2E-3</v>
      </c>
      <c r="J2042" s="1">
        <f>+D2042-F2042+I2042*O2042</f>
        <v>3.39E-2</v>
      </c>
      <c r="K2042" s="1">
        <v>3.0426498502492901E-2</v>
      </c>
      <c r="L2042" s="1">
        <f>+K2042-J2042</f>
        <v>-3.4735014975070984E-3</v>
      </c>
      <c r="M2042" s="1">
        <v>9.4264985024928999E-3</v>
      </c>
      <c r="N2042" s="1">
        <f>+M2042-J2042</f>
        <v>-2.44735014975071E-2</v>
      </c>
      <c r="O2042">
        <v>2.0499999999999998</v>
      </c>
      <c r="P2042" t="s">
        <v>16</v>
      </c>
      <c r="Q2042">
        <v>0.01</v>
      </c>
      <c r="R2042">
        <v>2.2510869652032899E-3</v>
      </c>
      <c r="S2042">
        <v>-6.88393600285049E-3</v>
      </c>
      <c r="T2042">
        <v>-0.02</v>
      </c>
    </row>
    <row r="2043" spans="1:20" x14ac:dyDescent="0.3">
      <c r="A2043" t="s">
        <v>144</v>
      </c>
      <c r="B2043">
        <v>2018</v>
      </c>
      <c r="C2043">
        <v>1090687</v>
      </c>
      <c r="D2043" s="1">
        <v>8.0000000000000002E-3</v>
      </c>
      <c r="E2043" s="1">
        <v>0.95516985654830899</v>
      </c>
      <c r="F2043" s="1">
        <v>-3.1E-2</v>
      </c>
      <c r="G2043" s="1">
        <f t="shared" si="62"/>
        <v>-1.6E-2</v>
      </c>
      <c r="H2043" s="1" t="str">
        <f t="shared" si="63"/>
        <v/>
      </c>
      <c r="I2043" s="1">
        <v>1.2E-2</v>
      </c>
      <c r="J2043" s="1">
        <f>+D2043-F2043+I2043*O2043</f>
        <v>6.2880000000000005E-2</v>
      </c>
      <c r="K2043" s="1">
        <v>2.6251086965203299E-2</v>
      </c>
      <c r="L2043" s="1">
        <f>+K2043-J2043</f>
        <v>-3.6628913034796706E-2</v>
      </c>
      <c r="M2043" s="1">
        <v>2.2510869652032899E-3</v>
      </c>
      <c r="N2043" s="1">
        <f>+M2043-J2043</f>
        <v>-6.0628913034796714E-2</v>
      </c>
      <c r="O2043">
        <v>1.99</v>
      </c>
      <c r="P2043" t="s">
        <v>17</v>
      </c>
      <c r="Q2043">
        <v>-0.01</v>
      </c>
      <c r="R2043">
        <v>6.6965009719133E-3</v>
      </c>
      <c r="S2043">
        <v>-1.11046936362982E-2</v>
      </c>
      <c r="T2043">
        <v>-0.02</v>
      </c>
    </row>
    <row r="2044" spans="1:20" x14ac:dyDescent="0.3">
      <c r="A2044" t="s">
        <v>144</v>
      </c>
      <c r="B2044">
        <v>2019</v>
      </c>
      <c r="C2044">
        <v>1090230</v>
      </c>
      <c r="D2044" s="1">
        <v>2.5000000000000001E-2</v>
      </c>
      <c r="E2044" s="1">
        <v>0.94810694456100497</v>
      </c>
      <c r="F2044" s="1">
        <v>1.2E-2</v>
      </c>
      <c r="G2044" s="1">
        <f t="shared" si="62"/>
        <v>-4.0000000000000001E-3</v>
      </c>
      <c r="H2044" s="1" t="str">
        <f t="shared" si="63"/>
        <v/>
      </c>
      <c r="I2044" s="1">
        <v>-7.0000000000000001E-3</v>
      </c>
      <c r="J2044" s="1">
        <f>+D2044-F2044+I2044*O2044</f>
        <v>-1.069999999999998E-3</v>
      </c>
      <c r="K2044" s="1">
        <v>2.46965009719133E-2</v>
      </c>
      <c r="L2044" s="1">
        <f>+K2044-J2044</f>
        <v>2.5766500971913298E-2</v>
      </c>
      <c r="M2044" s="1">
        <v>6.6965009719133E-3</v>
      </c>
      <c r="N2044" s="1">
        <f>+M2044-J2044</f>
        <v>7.7665009719132981E-3</v>
      </c>
      <c r="O2044">
        <v>2.0099999999999998</v>
      </c>
      <c r="P2044" t="s">
        <v>17</v>
      </c>
      <c r="Q2044">
        <v>-0.01</v>
      </c>
      <c r="R2044">
        <v>2.92578843533992E-2</v>
      </c>
      <c r="S2044">
        <v>1.04086939245462E-2</v>
      </c>
      <c r="T2044">
        <v>0.02</v>
      </c>
    </row>
    <row r="2045" spans="1:20" x14ac:dyDescent="0.3">
      <c r="A2045" t="s">
        <v>144</v>
      </c>
      <c r="B2045">
        <v>2020</v>
      </c>
      <c r="C2045">
        <v>1087191</v>
      </c>
      <c r="D2045" s="1">
        <v>2E-3</v>
      </c>
      <c r="E2045" s="1">
        <v>0.96603775024414096</v>
      </c>
      <c r="F2045" s="1">
        <v>-1.7999999999999999E-2</v>
      </c>
      <c r="G2045" s="1">
        <f t="shared" si="62"/>
        <v>-2.1999999999999999E-2</v>
      </c>
      <c r="H2045" s="1" t="str">
        <f t="shared" si="63"/>
        <v/>
      </c>
      <c r="I2045" s="1">
        <v>1.7999999999999999E-2</v>
      </c>
      <c r="J2045" s="1">
        <f>+D2045-F2045+I2045*O2045</f>
        <v>5.5459999999999995E-2</v>
      </c>
      <c r="K2045" s="1">
        <v>4.1257884353399298E-2</v>
      </c>
      <c r="L2045" s="1">
        <f>+K2045-J2045</f>
        <v>-1.4202115646600698E-2</v>
      </c>
      <c r="M2045" s="1">
        <v>2.92578843533992E-2</v>
      </c>
      <c r="N2045" s="1">
        <f>+M2045-J2045</f>
        <v>-2.6202115646600795E-2</v>
      </c>
      <c r="O2045">
        <v>1.97</v>
      </c>
      <c r="P2045" t="s">
        <v>17</v>
      </c>
      <c r="Q2045">
        <v>0.01</v>
      </c>
      <c r="R2045">
        <v>2.5537496685981799E-2</v>
      </c>
      <c r="S2045">
        <v>-1.80521160364151E-2</v>
      </c>
      <c r="T2045">
        <v>0.02</v>
      </c>
    </row>
    <row r="2046" spans="1:20" x14ac:dyDescent="0.3">
      <c r="A2046" t="s">
        <v>144</v>
      </c>
      <c r="B2046">
        <v>2021</v>
      </c>
      <c r="C2046">
        <v>1084207</v>
      </c>
      <c r="D2046" s="1">
        <v>1.2999999999999999E-2</v>
      </c>
      <c r="E2046" s="1">
        <v>0.96901500225067105</v>
      </c>
      <c r="F2046" s="1">
        <v>-6.0000000000000001E-3</v>
      </c>
      <c r="G2046" s="1">
        <f t="shared" si="62"/>
        <v>-2.7999999999999997E-2</v>
      </c>
      <c r="H2046" s="1" t="str">
        <f t="shared" si="63"/>
        <v/>
      </c>
      <c r="I2046" s="1">
        <v>3.0000000000000001E-3</v>
      </c>
      <c r="J2046" s="1">
        <f>+D2046-F2046+I2046*O2046</f>
        <v>2.4879999999999999E-2</v>
      </c>
      <c r="K2046" s="1">
        <v>7.2537496685981806E-2</v>
      </c>
      <c r="L2046" s="1">
        <f>+K2046-J2046</f>
        <v>4.7657496685981807E-2</v>
      </c>
      <c r="M2046" s="1">
        <v>2.5537496685981799E-2</v>
      </c>
      <c r="N2046" s="1">
        <f>+M2046-J2046</f>
        <v>6.5749668598179961E-4</v>
      </c>
      <c r="O2046">
        <v>1.96</v>
      </c>
      <c r="P2046" t="s">
        <v>17</v>
      </c>
      <c r="Q2046">
        <v>-0.02</v>
      </c>
      <c r="R2046">
        <v>-2.3345997482538201E-2</v>
      </c>
      <c r="S2046">
        <v>8.75750929117209E-3</v>
      </c>
      <c r="T2046">
        <v>-0.04</v>
      </c>
    </row>
    <row r="2047" spans="1:20" x14ac:dyDescent="0.3">
      <c r="A2047" t="s">
        <v>144</v>
      </c>
      <c r="B2047">
        <v>2022</v>
      </c>
      <c r="C2047">
        <v>1079874</v>
      </c>
      <c r="D2047" s="1">
        <v>1.7999999999999999E-2</v>
      </c>
      <c r="E2047" s="1">
        <v>0.95957005023956299</v>
      </c>
      <c r="F2047" s="1">
        <v>3.0000000000000001E-3</v>
      </c>
      <c r="G2047" s="1">
        <f t="shared" si="62"/>
        <v>-2.4999999999999998E-2</v>
      </c>
      <c r="H2047" s="1" t="str">
        <f t="shared" si="63"/>
        <v/>
      </c>
      <c r="I2047" s="1">
        <v>-8.9999999999999993E-3</v>
      </c>
      <c r="J2047" s="1">
        <f>+D2047-F2047+I2047*O2047</f>
        <v>-2.7299999999999998E-3</v>
      </c>
      <c r="K2047" s="1">
        <v>5.6654002517461798E-2</v>
      </c>
      <c r="L2047" s="1">
        <f>+K2047-J2047</f>
        <v>5.9384002517461801E-2</v>
      </c>
      <c r="M2047" s="1">
        <v>-2.3345997482538201E-2</v>
      </c>
      <c r="N2047" s="1">
        <f>+M2047-J2047</f>
        <v>-2.0615997482538201E-2</v>
      </c>
      <c r="O2047">
        <v>1.97</v>
      </c>
      <c r="P2047" t="s">
        <v>17</v>
      </c>
      <c r="Q2047">
        <v>0.01</v>
      </c>
      <c r="R2047">
        <v>8.1458326578139895E-3</v>
      </c>
      <c r="S2047">
        <v>2.7704760432243299E-2</v>
      </c>
      <c r="T2047">
        <v>0.02</v>
      </c>
    </row>
    <row r="2048" spans="1:20" x14ac:dyDescent="0.3">
      <c r="A2048" t="s">
        <v>145</v>
      </c>
      <c r="B2048">
        <v>2006</v>
      </c>
      <c r="C2048">
        <v>342757.90629999997</v>
      </c>
      <c r="D2048" s="1">
        <v>2E-3</v>
      </c>
      <c r="E2048" s="1">
        <v>0.90941661596298196</v>
      </c>
      <c r="F2048" s="1">
        <v>8.5999999999999993E-2</v>
      </c>
      <c r="G2048" s="1">
        <f t="shared" si="62"/>
        <v>8.5999999999999993E-2</v>
      </c>
      <c r="H2048" s="1" t="str">
        <f t="shared" si="63"/>
        <v/>
      </c>
      <c r="I2048" s="1">
        <v>8.9999999999999993E-3</v>
      </c>
      <c r="J2048" s="1">
        <f>+D2048-F2048+I2048*O2048</f>
        <v>-6.3209999999999988E-2</v>
      </c>
      <c r="K2048" s="1">
        <v>2.0295351743698099E-2</v>
      </c>
      <c r="L2048" s="1">
        <f>+K2048-J2048</f>
        <v>8.3505351743698081E-2</v>
      </c>
      <c r="M2048" s="1">
        <v>-1.17046482563019E-2</v>
      </c>
      <c r="N2048" s="1">
        <f>+M2048-J2048</f>
        <v>5.1505351743698087E-2</v>
      </c>
      <c r="O2048">
        <v>2.31</v>
      </c>
      <c r="P2048" t="s">
        <v>15</v>
      </c>
      <c r="Q2048">
        <v>-0.02</v>
      </c>
      <c r="R2048">
        <v>-6.5978773832321E-3</v>
      </c>
      <c r="S2048">
        <v>-5.6761214509605997E-3</v>
      </c>
      <c r="T2048">
        <v>0.08</v>
      </c>
    </row>
    <row r="2049" spans="1:20" x14ac:dyDescent="0.3">
      <c r="A2049" t="s">
        <v>145</v>
      </c>
      <c r="B2049">
        <v>2007</v>
      </c>
      <c r="C2049">
        <v>348109.1875</v>
      </c>
      <c r="D2049" s="1">
        <v>0</v>
      </c>
      <c r="E2049" s="1">
        <v>0.91519099473953203</v>
      </c>
      <c r="F2049" s="1">
        <v>-3.2000000000000001E-2</v>
      </c>
      <c r="G2049" s="1">
        <f t="shared" si="62"/>
        <v>5.3999999999999992E-2</v>
      </c>
      <c r="H2049" s="1" t="str">
        <f t="shared" si="63"/>
        <v/>
      </c>
      <c r="I2049" s="1">
        <v>6.0000000000000001E-3</v>
      </c>
      <c r="J2049" s="1">
        <f>+D2049-F2049+I2049*O2049</f>
        <v>4.5380000000000004E-2</v>
      </c>
      <c r="K2049" s="1">
        <v>2.2402122616767901E-2</v>
      </c>
      <c r="L2049" s="1">
        <f>+K2049-J2049</f>
        <v>-2.2977877383232103E-2</v>
      </c>
      <c r="M2049" s="1">
        <v>-6.5978773832321E-3</v>
      </c>
      <c r="N2049" s="1">
        <f>+M2049-J2049</f>
        <v>-5.1977877383232104E-2</v>
      </c>
      <c r="O2049">
        <v>2.23</v>
      </c>
      <c r="P2049" t="s">
        <v>17</v>
      </c>
      <c r="Q2049">
        <v>-0.01</v>
      </c>
      <c r="R2049">
        <v>-2.4332741566002399E-2</v>
      </c>
      <c r="S2049">
        <v>5.178062710911E-3</v>
      </c>
      <c r="T2049">
        <v>-0.03</v>
      </c>
    </row>
    <row r="2050" spans="1:20" x14ac:dyDescent="0.3">
      <c r="A2050" t="s">
        <v>145</v>
      </c>
      <c r="B2050">
        <v>2008</v>
      </c>
      <c r="C2050">
        <v>349909.09379999997</v>
      </c>
      <c r="D2050" s="1">
        <v>4.0000000000000001E-3</v>
      </c>
      <c r="E2050" s="1">
        <v>0.92251747846603405</v>
      </c>
      <c r="F2050" s="1">
        <v>-6.0000000000000001E-3</v>
      </c>
      <c r="G2050" s="1">
        <f t="shared" si="62"/>
        <v>4.7999999999999994E-2</v>
      </c>
      <c r="H2050" s="1" t="str">
        <f t="shared" si="63"/>
        <v/>
      </c>
      <c r="I2050" s="1">
        <v>7.0000000000000001E-3</v>
      </c>
      <c r="J2050" s="1">
        <f>+D2050-F2050+I2050*O2050</f>
        <v>2.554E-2</v>
      </c>
      <c r="K2050" s="1">
        <v>1.36672584339976E-2</v>
      </c>
      <c r="L2050" s="1">
        <f>+K2050-J2050</f>
        <v>-1.18727415660024E-2</v>
      </c>
      <c r="M2050" s="1">
        <v>-2.4332741566002399E-2</v>
      </c>
      <c r="N2050" s="1">
        <f>+M2050-J2050</f>
        <v>-4.9872741566002396E-2</v>
      </c>
      <c r="O2050">
        <v>2.2200000000000002</v>
      </c>
      <c r="P2050" t="s">
        <v>17</v>
      </c>
      <c r="Q2050">
        <v>0.01</v>
      </c>
      <c r="R2050">
        <v>-1.71168192327023E-2</v>
      </c>
      <c r="S2050">
        <v>9.4498824328183503E-3</v>
      </c>
      <c r="T2050">
        <v>-0.01</v>
      </c>
    </row>
    <row r="2051" spans="1:20" x14ac:dyDescent="0.3">
      <c r="A2051" t="s">
        <v>145</v>
      </c>
      <c r="B2051">
        <v>2009</v>
      </c>
      <c r="C2051">
        <v>349669.09379999997</v>
      </c>
      <c r="D2051" s="1">
        <v>0</v>
      </c>
      <c r="E2051" s="1">
        <v>0.92052531242370605</v>
      </c>
      <c r="F2051" s="1">
        <v>0.01</v>
      </c>
      <c r="G2051" s="1">
        <f t="shared" si="62"/>
        <v>5.7999999999999996E-2</v>
      </c>
      <c r="H2051" s="1" t="str">
        <f t="shared" si="63"/>
        <v/>
      </c>
      <c r="I2051" s="1">
        <v>-2E-3</v>
      </c>
      <c r="J2051" s="1">
        <f>+D2051-F2051+I2051*O2051</f>
        <v>-1.4500000000000001E-2</v>
      </c>
      <c r="K2051" s="1">
        <v>-2.11168192327023E-2</v>
      </c>
      <c r="L2051" s="1">
        <f>+K2051-J2051</f>
        <v>-6.6168192327022996E-3</v>
      </c>
      <c r="M2051" s="1">
        <v>-1.71168192327023E-2</v>
      </c>
      <c r="N2051" s="1">
        <f>+M2051-J2051</f>
        <v>-2.6168192327022995E-3</v>
      </c>
      <c r="O2051">
        <v>2.25</v>
      </c>
      <c r="P2051" t="s">
        <v>17</v>
      </c>
      <c r="Q2051">
        <v>0.01</v>
      </c>
      <c r="R2051">
        <v>-1.2531155891716401E-2</v>
      </c>
      <c r="S2051">
        <v>-3.07104713283479E-3</v>
      </c>
      <c r="T2051">
        <v>-0.01</v>
      </c>
    </row>
    <row r="2052" spans="1:20" x14ac:dyDescent="0.3">
      <c r="A2052" t="s">
        <v>145</v>
      </c>
      <c r="B2052">
        <v>2010</v>
      </c>
      <c r="C2052">
        <v>349058.1875</v>
      </c>
      <c r="D2052" s="1">
        <v>0</v>
      </c>
      <c r="E2052" s="1">
        <v>0.92039847373962402</v>
      </c>
      <c r="F2052" s="1">
        <v>2.1000000000000001E-2</v>
      </c>
      <c r="G2052" s="1">
        <f t="shared" si="62"/>
        <v>7.9000000000000001E-2</v>
      </c>
      <c r="H2052" s="1" t="str">
        <f t="shared" si="63"/>
        <v/>
      </c>
      <c r="I2052" s="1">
        <v>0</v>
      </c>
      <c r="J2052" s="1">
        <f>+D2052-F2052+I2052*O2052</f>
        <v>-2.1000000000000001E-2</v>
      </c>
      <c r="K2052" s="1">
        <v>3.4688441082835202E-3</v>
      </c>
      <c r="L2052" s="1">
        <f>+K2052-J2052</f>
        <v>2.4468844108283521E-2</v>
      </c>
      <c r="M2052" s="1">
        <v>-1.2531155891716401E-2</v>
      </c>
      <c r="N2052" s="1">
        <f>+M2052-J2052</f>
        <v>8.4688441082836005E-3</v>
      </c>
      <c r="O2052">
        <v>2.29</v>
      </c>
      <c r="P2052" t="s">
        <v>17</v>
      </c>
      <c r="Q2052">
        <v>0</v>
      </c>
      <c r="R2052">
        <v>-2.7509897824376801E-2</v>
      </c>
      <c r="S2052">
        <v>-6.2261233106255202E-3</v>
      </c>
      <c r="T2052">
        <v>0.01</v>
      </c>
    </row>
    <row r="2053" spans="1:20" x14ac:dyDescent="0.3">
      <c r="A2053" t="s">
        <v>145</v>
      </c>
      <c r="B2053">
        <v>2011</v>
      </c>
      <c r="C2053">
        <v>347904.375</v>
      </c>
      <c r="D2053" s="1">
        <v>0</v>
      </c>
      <c r="E2053" s="1">
        <v>0.92798757553100597</v>
      </c>
      <c r="F2053" s="1">
        <v>1.2E-2</v>
      </c>
      <c r="G2053" s="1">
        <f t="shared" si="62"/>
        <v>9.0999999999999998E-2</v>
      </c>
      <c r="H2053" s="1" t="str">
        <f t="shared" si="63"/>
        <v/>
      </c>
      <c r="I2053" s="1">
        <v>8.0000000000000002E-3</v>
      </c>
      <c r="J2053" s="1">
        <f>+D2053-F2053+I2053*O2053</f>
        <v>6.5599999999999999E-3</v>
      </c>
      <c r="K2053" s="1">
        <v>4.4901021756231802E-3</v>
      </c>
      <c r="L2053" s="1">
        <f>+K2053-J2053</f>
        <v>-2.0698978243768196E-3</v>
      </c>
      <c r="M2053" s="1">
        <v>-2.7509897824376801E-2</v>
      </c>
      <c r="N2053" s="1">
        <f>+M2053-J2053</f>
        <v>-3.4069897824376805E-2</v>
      </c>
      <c r="O2053">
        <v>2.3199999999999998</v>
      </c>
      <c r="P2053" t="s">
        <v>15</v>
      </c>
      <c r="Q2053">
        <v>-0.01</v>
      </c>
      <c r="R2053">
        <v>-1.35872692838311E-2</v>
      </c>
      <c r="S2053">
        <v>-8.1490632146597203E-3</v>
      </c>
      <c r="T2053">
        <v>0.01</v>
      </c>
    </row>
    <row r="2054" spans="1:20" x14ac:dyDescent="0.3">
      <c r="A2054" t="s">
        <v>145</v>
      </c>
      <c r="B2054">
        <v>2012</v>
      </c>
      <c r="C2054">
        <v>346632</v>
      </c>
      <c r="D2054" s="1">
        <v>0</v>
      </c>
      <c r="E2054" s="1">
        <v>0.93425238132476796</v>
      </c>
      <c r="F2054" s="1">
        <v>5.1999999999999998E-2</v>
      </c>
      <c r="G2054" s="1">
        <f t="shared" si="62"/>
        <v>0.14299999999999999</v>
      </c>
      <c r="H2054" s="1">
        <f t="shared" si="63"/>
        <v>1.231754012405872E-2</v>
      </c>
      <c r="I2054" s="1">
        <v>6.0000000000000001E-3</v>
      </c>
      <c r="J2054" s="1">
        <f>+D2054-F2054+I2054*O2054</f>
        <v>-3.7359999999999997E-2</v>
      </c>
      <c r="K2054" s="1">
        <v>7.4127307161688796E-3</v>
      </c>
      <c r="L2054" s="1">
        <f>+K2054-J2054</f>
        <v>4.4772730716168878E-2</v>
      </c>
      <c r="M2054" s="1">
        <v>-1.35872692838311E-2</v>
      </c>
      <c r="N2054" s="1">
        <f>+M2054-J2054</f>
        <v>2.3772730716168897E-2</v>
      </c>
      <c r="O2054">
        <v>2.44</v>
      </c>
      <c r="P2054" t="s">
        <v>15</v>
      </c>
      <c r="Q2054">
        <v>-0.01</v>
      </c>
      <c r="R2054">
        <v>6.9377258419989901E-4</v>
      </c>
      <c r="S2054">
        <v>-5.4329987615347004E-3</v>
      </c>
      <c r="T2054">
        <v>0.05</v>
      </c>
    </row>
    <row r="2055" spans="1:20" x14ac:dyDescent="0.3">
      <c r="A2055" t="s">
        <v>145</v>
      </c>
      <c r="B2055">
        <v>2013</v>
      </c>
      <c r="C2055">
        <v>345592.09379999997</v>
      </c>
      <c r="D2055" s="1">
        <v>0</v>
      </c>
      <c r="E2055" s="1">
        <v>0.93186610937118497</v>
      </c>
      <c r="F2055" s="1">
        <v>-4.2999999999999997E-2</v>
      </c>
      <c r="G2055" s="1">
        <f t="shared" ref="G2055:G2118" si="64">SUMIFS(F:F,A:A,A2055,B:B,"&lt;="&amp;B2055)</f>
        <v>9.9999999999999992E-2</v>
      </c>
      <c r="H2055" s="1" t="str">
        <f t="shared" ref="H2055:H2118" si="65">IFERROR(IF(ABS(G2055)&gt;0.12,AVERAGEIFS(K:K,A:A,A2055,B:B,"&gt;"&amp;B2055,B:B,"&lt;"&amp;B2055+3),""),"")</f>
        <v/>
      </c>
      <c r="I2055" s="1">
        <v>-2E-3</v>
      </c>
      <c r="J2055" s="1">
        <f>+D2055-F2055+I2055*O2055</f>
        <v>3.8319999999999993E-2</v>
      </c>
      <c r="K2055" s="1">
        <v>1.5693772584199898E-2</v>
      </c>
      <c r="L2055" s="1">
        <f>+K2055-J2055</f>
        <v>-2.2626227415800095E-2</v>
      </c>
      <c r="M2055" s="1">
        <v>6.9377258419989901E-4</v>
      </c>
      <c r="N2055" s="1">
        <f>+M2055-J2055</f>
        <v>-3.7626227415800094E-2</v>
      </c>
      <c r="O2055">
        <v>2.34</v>
      </c>
      <c r="P2055" t="s">
        <v>16</v>
      </c>
      <c r="Q2055">
        <v>-0.01</v>
      </c>
      <c r="R2055">
        <v>-7.0586923360824597E-3</v>
      </c>
      <c r="S2055">
        <v>-9.0667158365249599E-3</v>
      </c>
      <c r="T2055">
        <v>-0.05</v>
      </c>
    </row>
    <row r="2056" spans="1:20" x14ac:dyDescent="0.3">
      <c r="A2056" t="s">
        <v>145</v>
      </c>
      <c r="B2056">
        <v>2014</v>
      </c>
      <c r="C2056">
        <v>343921.90629999997</v>
      </c>
      <c r="D2056" s="1">
        <v>0</v>
      </c>
      <c r="E2056" s="1">
        <v>0.93879061937332198</v>
      </c>
      <c r="F2056" s="1">
        <v>3.2000000000000001E-2</v>
      </c>
      <c r="G2056" s="1">
        <f t="shared" si="64"/>
        <v>0.13200000000000001</v>
      </c>
      <c r="H2056" s="1">
        <f t="shared" si="65"/>
        <v>1.9432099536061301E-2</v>
      </c>
      <c r="I2056" s="1">
        <v>7.0000000000000001E-3</v>
      </c>
      <c r="J2056" s="1">
        <f>+D2056-F2056+I2056*O2056</f>
        <v>-1.5129999999999998E-2</v>
      </c>
      <c r="K2056" s="1">
        <v>8.9413076639175398E-3</v>
      </c>
      <c r="L2056" s="1">
        <f>+K2056-J2056</f>
        <v>2.4071307663917539E-2</v>
      </c>
      <c r="M2056" s="1">
        <v>-7.0586923360824597E-3</v>
      </c>
      <c r="N2056" s="1">
        <f>+M2056-J2056</f>
        <v>8.0713076639175388E-3</v>
      </c>
      <c r="O2056">
        <v>2.41</v>
      </c>
      <c r="P2056" t="s">
        <v>15</v>
      </c>
      <c r="Q2056">
        <v>-0.01</v>
      </c>
      <c r="R2056">
        <v>9.0801493972539997E-3</v>
      </c>
      <c r="S2056">
        <v>-2.11833026260136E-2</v>
      </c>
      <c r="T2056">
        <v>0.03</v>
      </c>
    </row>
    <row r="2057" spans="1:20" x14ac:dyDescent="0.3">
      <c r="A2057" t="s">
        <v>145</v>
      </c>
      <c r="B2057">
        <v>2015</v>
      </c>
      <c r="C2057">
        <v>342790.8125</v>
      </c>
      <c r="D2057" s="1">
        <v>0</v>
      </c>
      <c r="E2057" s="1">
        <v>0.94153541326522805</v>
      </c>
      <c r="F2057" s="1">
        <v>-8.4000000000000005E-2</v>
      </c>
      <c r="G2057" s="1">
        <f t="shared" si="64"/>
        <v>4.8000000000000001E-2</v>
      </c>
      <c r="H2057" s="1" t="str">
        <f t="shared" si="65"/>
        <v/>
      </c>
      <c r="I2057" s="1">
        <v>3.0000000000000001E-3</v>
      </c>
      <c r="J2057" s="1">
        <f>+D2057-F2057+I2057*O2057</f>
        <v>9.0630000000000002E-2</v>
      </c>
      <c r="K2057" s="1">
        <v>1.0080149397254001E-2</v>
      </c>
      <c r="L2057" s="1">
        <f>+K2057-J2057</f>
        <v>-8.0549850602745998E-2</v>
      </c>
      <c r="M2057" s="1">
        <v>9.0801493972539997E-3</v>
      </c>
      <c r="N2057" s="1">
        <f>+M2057-J2057</f>
        <v>-8.1549850602745999E-2</v>
      </c>
      <c r="O2057">
        <v>2.21</v>
      </c>
      <c r="P2057" t="s">
        <v>17</v>
      </c>
      <c r="Q2057">
        <v>-0.02</v>
      </c>
      <c r="R2057">
        <v>1.57840496748686E-2</v>
      </c>
      <c r="S2057">
        <v>2.6304926723241901E-3</v>
      </c>
      <c r="T2057">
        <v>-7.0000000000000007E-2</v>
      </c>
    </row>
    <row r="2058" spans="1:20" x14ac:dyDescent="0.3">
      <c r="A2058" t="s">
        <v>145</v>
      </c>
      <c r="B2058">
        <v>2016</v>
      </c>
      <c r="C2058">
        <v>342016.21879999997</v>
      </c>
      <c r="D2058" s="1">
        <v>0</v>
      </c>
      <c r="E2058" s="1">
        <v>0.941273093223572</v>
      </c>
      <c r="F2058" s="1">
        <v>9.2999999999999999E-2</v>
      </c>
      <c r="G2058" s="1">
        <f t="shared" si="64"/>
        <v>0.14100000000000001</v>
      </c>
      <c r="H2058" s="1">
        <f t="shared" si="65"/>
        <v>3.0502737499773499E-2</v>
      </c>
      <c r="I2058" s="1">
        <v>0</v>
      </c>
      <c r="J2058" s="1">
        <f>+D2058-F2058+I2058*O2058</f>
        <v>-9.2999999999999999E-2</v>
      </c>
      <c r="K2058" s="1">
        <v>2.8784049674868601E-2</v>
      </c>
      <c r="L2058" s="1">
        <f>+K2058-J2058</f>
        <v>0.1217840496748686</v>
      </c>
      <c r="M2058" s="1">
        <v>1.57840496748686E-2</v>
      </c>
      <c r="N2058" s="1">
        <f>+M2058-J2058</f>
        <v>0.1087840496748686</v>
      </c>
      <c r="O2058">
        <v>2.41</v>
      </c>
      <c r="P2058" t="s">
        <v>17</v>
      </c>
      <c r="Q2058">
        <v>0</v>
      </c>
      <c r="R2058">
        <v>1.5838925689458899E-3</v>
      </c>
      <c r="S2058">
        <v>-1.2056808918714001E-3</v>
      </c>
      <c r="T2058">
        <v>0.09</v>
      </c>
    </row>
    <row r="2059" spans="1:20" x14ac:dyDescent="0.3">
      <c r="A2059" t="s">
        <v>145</v>
      </c>
      <c r="B2059">
        <v>2017</v>
      </c>
      <c r="C2059">
        <v>340925.90629999997</v>
      </c>
      <c r="D2059" s="1">
        <v>7.0000000000000001E-3</v>
      </c>
      <c r="E2059" s="1">
        <v>0.94898134469985995</v>
      </c>
      <c r="F2059" s="1">
        <v>-0.03</v>
      </c>
      <c r="G2059" s="1">
        <f t="shared" si="64"/>
        <v>0.11100000000000002</v>
      </c>
      <c r="H2059" s="1" t="str">
        <f t="shared" si="65"/>
        <v/>
      </c>
      <c r="I2059" s="1">
        <v>8.0000000000000002E-3</v>
      </c>
      <c r="J2059" s="1">
        <f>+D2059-F2059+I2059*O2059</f>
        <v>5.5719999999999999E-2</v>
      </c>
      <c r="K2059" s="1">
        <v>2.2583892568945899E-2</v>
      </c>
      <c r="L2059" s="1">
        <f>+K2059-J2059</f>
        <v>-3.31361074310541E-2</v>
      </c>
      <c r="M2059" s="1">
        <v>1.5838925689458899E-3</v>
      </c>
      <c r="N2059" s="1">
        <f>+M2059-J2059</f>
        <v>-5.4136107431054112E-2</v>
      </c>
      <c r="O2059">
        <v>2.34</v>
      </c>
      <c r="P2059" t="s">
        <v>17</v>
      </c>
      <c r="Q2059">
        <v>0</v>
      </c>
      <c r="R2059">
        <v>1.4421582430601E-2</v>
      </c>
      <c r="S2059">
        <v>5.2865594625472996E-3</v>
      </c>
      <c r="T2059">
        <v>-0.03</v>
      </c>
    </row>
    <row r="2060" spans="1:20" x14ac:dyDescent="0.3">
      <c r="A2060" t="s">
        <v>145</v>
      </c>
      <c r="B2060">
        <v>2018</v>
      </c>
      <c r="C2060">
        <v>340136.1875</v>
      </c>
      <c r="D2060" s="1">
        <v>0</v>
      </c>
      <c r="E2060" s="1">
        <v>0.95534026622772195</v>
      </c>
      <c r="F2060" s="1">
        <v>1.2E-2</v>
      </c>
      <c r="G2060" s="1">
        <f t="shared" si="64"/>
        <v>0.12300000000000001</v>
      </c>
      <c r="H2060" s="1">
        <f t="shared" si="65"/>
        <v>3.2090527936816202E-2</v>
      </c>
      <c r="I2060" s="1">
        <v>6.0000000000000001E-3</v>
      </c>
      <c r="J2060" s="1">
        <f>+D2060-F2060+I2060*O2060</f>
        <v>2.2200000000000015E-3</v>
      </c>
      <c r="K2060" s="1">
        <v>3.8421582430601099E-2</v>
      </c>
      <c r="L2060" s="1">
        <f>+K2060-J2060</f>
        <v>3.6201582430601099E-2</v>
      </c>
      <c r="M2060" s="1">
        <v>1.4421582430601E-2</v>
      </c>
      <c r="N2060" s="1">
        <f>+M2060-J2060</f>
        <v>1.2201582430600998E-2</v>
      </c>
      <c r="O2060">
        <v>2.37</v>
      </c>
      <c r="P2060" t="s">
        <v>15</v>
      </c>
      <c r="Q2060">
        <v>0.01</v>
      </c>
      <c r="R2060">
        <v>1.41338027715683E-2</v>
      </c>
      <c r="S2060">
        <v>-3.6673918366431999E-3</v>
      </c>
      <c r="T2060">
        <v>0.02</v>
      </c>
    </row>
    <row r="2061" spans="1:20" x14ac:dyDescent="0.3">
      <c r="A2061" t="s">
        <v>145</v>
      </c>
      <c r="B2061">
        <v>2019</v>
      </c>
      <c r="C2061">
        <v>339353.6875</v>
      </c>
      <c r="D2061" s="1">
        <v>0</v>
      </c>
      <c r="E2061" s="1">
        <v>0.95674484968185403</v>
      </c>
      <c r="F2061" s="1">
        <v>-1.2E-2</v>
      </c>
      <c r="G2061" s="1">
        <f t="shared" si="64"/>
        <v>0.11100000000000002</v>
      </c>
      <c r="H2061" s="1" t="str">
        <f t="shared" si="65"/>
        <v/>
      </c>
      <c r="I2061" s="1">
        <v>1E-3</v>
      </c>
      <c r="J2061" s="1">
        <f>+D2061-F2061+I2061*O2061</f>
        <v>1.434E-2</v>
      </c>
      <c r="K2061" s="1">
        <v>3.2133802771568298E-2</v>
      </c>
      <c r="L2061" s="1">
        <f>+K2061-J2061</f>
        <v>1.77938027715683E-2</v>
      </c>
      <c r="M2061" s="1">
        <v>1.41338027715683E-2</v>
      </c>
      <c r="N2061" s="1">
        <f>+M2061-J2061</f>
        <v>-2.0619722843170062E-4</v>
      </c>
      <c r="O2061">
        <v>2.34</v>
      </c>
      <c r="P2061" t="s">
        <v>17</v>
      </c>
      <c r="Q2061">
        <v>0</v>
      </c>
      <c r="R2061">
        <v>2.0047253102064001E-2</v>
      </c>
      <c r="S2061">
        <v>1.1980626732110899E-3</v>
      </c>
      <c r="T2061">
        <v>0</v>
      </c>
    </row>
    <row r="2062" spans="1:20" x14ac:dyDescent="0.3">
      <c r="A2062" t="s">
        <v>145</v>
      </c>
      <c r="B2062">
        <v>2020</v>
      </c>
      <c r="C2062">
        <v>337862.40629999997</v>
      </c>
      <c r="D2062" s="1">
        <v>0</v>
      </c>
      <c r="E2062" s="1">
        <v>0.96282732486724898</v>
      </c>
      <c r="F2062" s="1">
        <v>-0.106</v>
      </c>
      <c r="G2062" s="1">
        <f t="shared" si="64"/>
        <v>5.0000000000000183E-3</v>
      </c>
      <c r="H2062" s="1" t="str">
        <f t="shared" si="65"/>
        <v/>
      </c>
      <c r="I2062" s="1">
        <v>6.0000000000000001E-3</v>
      </c>
      <c r="J2062" s="1">
        <f>+D2062-F2062+I2062*O2062</f>
        <v>0.11853999999999999</v>
      </c>
      <c r="K2062" s="1">
        <v>3.2047253102064098E-2</v>
      </c>
      <c r="L2062" s="1">
        <f>+K2062-J2062</f>
        <v>-8.6492746897935902E-2</v>
      </c>
      <c r="M2062" s="1">
        <v>2.0047253102064001E-2</v>
      </c>
      <c r="N2062" s="1">
        <f>+M2062-J2062</f>
        <v>-9.8492746897935995E-2</v>
      </c>
      <c r="O2062">
        <v>2.09</v>
      </c>
      <c r="P2062" t="s">
        <v>17</v>
      </c>
      <c r="Q2062">
        <v>0</v>
      </c>
      <c r="R2062">
        <v>1.5042724341154E-2</v>
      </c>
      <c r="S2062">
        <v>-2.8546888381242801E-2</v>
      </c>
      <c r="T2062">
        <v>-7.0000000000000007E-2</v>
      </c>
    </row>
    <row r="2063" spans="1:20" x14ac:dyDescent="0.3">
      <c r="A2063" t="s">
        <v>145</v>
      </c>
      <c r="B2063">
        <v>2021</v>
      </c>
      <c r="C2063">
        <v>336156.09379999997</v>
      </c>
      <c r="D2063" s="1">
        <v>3.0000000000000001E-3</v>
      </c>
      <c r="E2063" s="1">
        <v>0.959575295448303</v>
      </c>
      <c r="F2063" s="1">
        <v>7.1999999999999995E-2</v>
      </c>
      <c r="G2063" s="1">
        <f t="shared" si="64"/>
        <v>7.7000000000000013E-2</v>
      </c>
      <c r="H2063" s="1" t="str">
        <f t="shared" si="65"/>
        <v/>
      </c>
      <c r="I2063" s="1">
        <v>-3.0000000000000001E-3</v>
      </c>
      <c r="J2063" s="1">
        <f>+D2063-F2063+I2063*O2063</f>
        <v>-7.5719999999999996E-2</v>
      </c>
      <c r="K2063" s="1">
        <v>6.2042724341154099E-2</v>
      </c>
      <c r="L2063" s="1">
        <f>+K2063-J2063</f>
        <v>0.13776272434115411</v>
      </c>
      <c r="M2063" s="1">
        <v>1.5042724341154E-2</v>
      </c>
      <c r="N2063" s="1">
        <f>+M2063-J2063</f>
        <v>9.0762724341153997E-2</v>
      </c>
      <c r="O2063">
        <v>2.2400000000000002</v>
      </c>
      <c r="P2063" t="s">
        <v>17</v>
      </c>
      <c r="Q2063">
        <v>-0.03</v>
      </c>
      <c r="R2063">
        <v>-2.4576527923345599E-2</v>
      </c>
      <c r="S2063">
        <v>7.5269788503646903E-3</v>
      </c>
      <c r="T2063">
        <v>0.04</v>
      </c>
    </row>
    <row r="2064" spans="1:20" x14ac:dyDescent="0.3">
      <c r="A2064" t="s">
        <v>145</v>
      </c>
      <c r="B2064">
        <v>2022</v>
      </c>
      <c r="C2064">
        <v>335176.3125</v>
      </c>
      <c r="D2064" s="1">
        <v>0</v>
      </c>
      <c r="E2064" s="1">
        <v>0.95935010910034202</v>
      </c>
      <c r="F2064" s="1">
        <v>5.0000000000000001E-3</v>
      </c>
      <c r="G2064" s="1">
        <f t="shared" si="64"/>
        <v>8.2000000000000017E-2</v>
      </c>
      <c r="H2064" s="1" t="str">
        <f t="shared" si="65"/>
        <v/>
      </c>
      <c r="I2064" s="1">
        <v>0</v>
      </c>
      <c r="J2064" s="1">
        <f>+D2064-F2064+I2064*O2064</f>
        <v>-5.0000000000000001E-3</v>
      </c>
      <c r="K2064" s="1">
        <v>5.54234720766544E-2</v>
      </c>
      <c r="L2064" s="1">
        <f>+K2064-J2064</f>
        <v>6.0423472076654397E-2</v>
      </c>
      <c r="M2064" s="1">
        <v>-2.4576527923345599E-2</v>
      </c>
      <c r="N2064" s="1">
        <f>+M2064-J2064</f>
        <v>-1.9576527923345598E-2</v>
      </c>
      <c r="O2064">
        <v>2.2599999999999998</v>
      </c>
      <c r="P2064" t="s">
        <v>17</v>
      </c>
      <c r="Q2064">
        <v>0.01</v>
      </c>
      <c r="R2064">
        <v>2.1557086348533601E-2</v>
      </c>
      <c r="S2064">
        <v>4.1116014122962903E-2</v>
      </c>
      <c r="T2064">
        <v>0.02</v>
      </c>
    </row>
    <row r="2065" spans="1:20" x14ac:dyDescent="0.3">
      <c r="A2065" t="s">
        <v>146</v>
      </c>
      <c r="B2065">
        <v>2006</v>
      </c>
      <c r="C2065">
        <v>2063852</v>
      </c>
      <c r="D2065" s="1">
        <v>1.2999999999999999E-2</v>
      </c>
      <c r="E2065" s="1">
        <v>0.93840259313583396</v>
      </c>
      <c r="F2065" s="1">
        <v>-1.2E-2</v>
      </c>
      <c r="G2065" s="1">
        <f t="shared" si="64"/>
        <v>-1.2E-2</v>
      </c>
      <c r="H2065" s="1" t="str">
        <f t="shared" si="65"/>
        <v/>
      </c>
      <c r="I2065" s="1">
        <v>4.0000000000000001E-3</v>
      </c>
      <c r="J2065" s="1">
        <f>+D2065-F2065+I2065*O2065</f>
        <v>3.4720000000000001E-2</v>
      </c>
      <c r="K2065" s="1">
        <v>3.1323235481977497E-2</v>
      </c>
      <c r="L2065" s="1">
        <f>+K2065-J2065</f>
        <v>-3.3967645180225034E-3</v>
      </c>
      <c r="M2065" s="1">
        <v>-6.7676451802250299E-4</v>
      </c>
      <c r="N2065" s="1">
        <f>+M2065-J2065</f>
        <v>-3.5396764518022504E-2</v>
      </c>
      <c r="O2065">
        <v>2.4300000000000002</v>
      </c>
      <c r="P2065" t="s">
        <v>17</v>
      </c>
      <c r="Q2065">
        <v>-0.01</v>
      </c>
      <c r="R2065">
        <v>-5.3796553015708999E-3</v>
      </c>
      <c r="S2065">
        <v>-4.4578993692993996E-3</v>
      </c>
      <c r="T2065">
        <v>-0.01</v>
      </c>
    </row>
    <row r="2066" spans="1:20" x14ac:dyDescent="0.3">
      <c r="A2066" t="s">
        <v>146</v>
      </c>
      <c r="B2066">
        <v>2007</v>
      </c>
      <c r="C2066">
        <v>2088726.125</v>
      </c>
      <c r="D2066" s="1">
        <v>6.0000000000000001E-3</v>
      </c>
      <c r="E2066" s="1">
        <v>0.94087558984756503</v>
      </c>
      <c r="F2066" s="1">
        <v>-1E-3</v>
      </c>
      <c r="G2066" s="1">
        <f t="shared" si="64"/>
        <v>-1.3000000000000001E-2</v>
      </c>
      <c r="H2066" s="1" t="str">
        <f t="shared" si="65"/>
        <v/>
      </c>
      <c r="I2066" s="1">
        <v>2E-3</v>
      </c>
      <c r="J2066" s="1">
        <f>+D2066-F2066+I2066*O2066</f>
        <v>1.1860000000000001E-2</v>
      </c>
      <c r="K2066" s="1">
        <v>2.3620344698429101E-2</v>
      </c>
      <c r="L2066" s="1">
        <f>+K2066-J2066</f>
        <v>1.17603446984291E-2</v>
      </c>
      <c r="M2066" s="1">
        <v>-5.3796553015708999E-3</v>
      </c>
      <c r="N2066" s="1">
        <f>+M2066-J2066</f>
        <v>-1.72396553015709E-2</v>
      </c>
      <c r="O2066">
        <v>2.4300000000000002</v>
      </c>
      <c r="P2066" t="s">
        <v>17</v>
      </c>
      <c r="Q2066">
        <v>0</v>
      </c>
      <c r="R2066">
        <v>-3.6440717230550902E-2</v>
      </c>
      <c r="S2066">
        <v>-6.9299129536375299E-3</v>
      </c>
      <c r="T2066">
        <v>0</v>
      </c>
    </row>
    <row r="2067" spans="1:20" x14ac:dyDescent="0.3">
      <c r="A2067" t="s">
        <v>146</v>
      </c>
      <c r="B2067">
        <v>2008</v>
      </c>
      <c r="C2067">
        <v>2114487</v>
      </c>
      <c r="D2067" s="1">
        <v>4.0000000000000001E-3</v>
      </c>
      <c r="E2067" s="1">
        <v>0.93382722139358498</v>
      </c>
      <c r="F2067" s="1">
        <v>4.4999999999999998E-2</v>
      </c>
      <c r="G2067" s="1">
        <f t="shared" si="64"/>
        <v>3.2000000000000001E-2</v>
      </c>
      <c r="H2067" s="1" t="str">
        <f t="shared" si="65"/>
        <v/>
      </c>
      <c r="I2067" s="1">
        <v>-7.0000000000000001E-3</v>
      </c>
      <c r="J2067" s="1">
        <f>+D2067-F2067+I2067*O2067</f>
        <v>-5.8779999999999999E-2</v>
      </c>
      <c r="K2067" s="1">
        <v>1.55928276944906E-3</v>
      </c>
      <c r="L2067" s="1">
        <f>+K2067-J2067</f>
        <v>6.0339282769449061E-2</v>
      </c>
      <c r="M2067" s="1">
        <v>-3.6440717230550902E-2</v>
      </c>
      <c r="N2067" s="1">
        <f>+M2067-J2067</f>
        <v>2.2339282769449097E-2</v>
      </c>
      <c r="O2067">
        <v>2.54</v>
      </c>
      <c r="P2067" t="s">
        <v>17</v>
      </c>
      <c r="Q2067">
        <v>-0.01</v>
      </c>
      <c r="R2067">
        <v>-4.1006528496742203E-2</v>
      </c>
      <c r="S2067">
        <v>-1.4439826831221501E-2</v>
      </c>
      <c r="T2067">
        <v>0.04</v>
      </c>
    </row>
    <row r="2068" spans="1:20" x14ac:dyDescent="0.3">
      <c r="A2068" t="s">
        <v>146</v>
      </c>
      <c r="B2068">
        <v>2009</v>
      </c>
      <c r="C2068">
        <v>2138185</v>
      </c>
      <c r="D2068" s="1">
        <v>2E-3</v>
      </c>
      <c r="E2068" s="1">
        <v>0.92421162128448497</v>
      </c>
      <c r="F2068" s="1">
        <v>1E-3</v>
      </c>
      <c r="G2068" s="1">
        <f t="shared" si="64"/>
        <v>3.3000000000000002E-2</v>
      </c>
      <c r="H2068" s="1" t="str">
        <f t="shared" si="65"/>
        <v/>
      </c>
      <c r="I2068" s="1">
        <v>-0.01</v>
      </c>
      <c r="J2068" s="1">
        <f>+D2068-F2068+I2068*O2068</f>
        <v>-2.4499999999999997E-2</v>
      </c>
      <c r="K2068" s="1">
        <v>-4.50065284967422E-2</v>
      </c>
      <c r="L2068" s="1">
        <f>+K2068-J2068</f>
        <v>-2.0506528496742202E-2</v>
      </c>
      <c r="M2068" s="1">
        <v>-4.1006528496742203E-2</v>
      </c>
      <c r="N2068" s="1">
        <f>+M2068-J2068</f>
        <v>-1.6506528496742206E-2</v>
      </c>
      <c r="O2068">
        <v>2.5499999999999998</v>
      </c>
      <c r="P2068" t="s">
        <v>17</v>
      </c>
      <c r="Q2068">
        <v>-0.01</v>
      </c>
      <c r="R2068">
        <v>-1.52763229529373E-2</v>
      </c>
      <c r="S2068">
        <v>-5.8162141940556501E-3</v>
      </c>
      <c r="T2068">
        <v>-0.02</v>
      </c>
    </row>
    <row r="2069" spans="1:20" x14ac:dyDescent="0.3">
      <c r="A2069" t="s">
        <v>146</v>
      </c>
      <c r="B2069">
        <v>2010</v>
      </c>
      <c r="C2069">
        <v>2159732</v>
      </c>
      <c r="D2069" s="1">
        <v>0</v>
      </c>
      <c r="E2069" s="1">
        <v>0.935280621051788</v>
      </c>
      <c r="F2069" s="1">
        <v>2.8000000000000001E-2</v>
      </c>
      <c r="G2069" s="1">
        <f t="shared" si="64"/>
        <v>6.0999999999999999E-2</v>
      </c>
      <c r="H2069" s="1" t="str">
        <f t="shared" si="65"/>
        <v/>
      </c>
      <c r="I2069" s="1">
        <v>1.0999999999999999E-2</v>
      </c>
      <c r="J2069" s="1">
        <f>+D2069-F2069+I2069*O2069</f>
        <v>8.1999999999999781E-4</v>
      </c>
      <c r="K2069" s="1">
        <v>7.2367704706266501E-4</v>
      </c>
      <c r="L2069" s="1">
        <f>+K2069-J2069</f>
        <v>-9.6322952937332807E-5</v>
      </c>
      <c r="M2069" s="1">
        <v>-1.52763229529373E-2</v>
      </c>
      <c r="N2069" s="1">
        <f>+M2069-J2069</f>
        <v>-1.6096322952937298E-2</v>
      </c>
      <c r="O2069">
        <v>2.62</v>
      </c>
      <c r="P2069" t="s">
        <v>15</v>
      </c>
      <c r="Q2069">
        <v>-0.01</v>
      </c>
      <c r="R2069">
        <v>-1.9922169268131298E-2</v>
      </c>
      <c r="S2069">
        <v>1.3616052456199999E-3</v>
      </c>
      <c r="T2069">
        <v>0.02</v>
      </c>
    </row>
    <row r="2070" spans="1:20" x14ac:dyDescent="0.3">
      <c r="A2070" t="s">
        <v>146</v>
      </c>
      <c r="B2070">
        <v>2011</v>
      </c>
      <c r="C2070">
        <v>2180685</v>
      </c>
      <c r="D2070" s="1">
        <v>0</v>
      </c>
      <c r="E2070" s="1">
        <v>0.93371790647506703</v>
      </c>
      <c r="F2070" s="1">
        <v>-3.5000000000000003E-2</v>
      </c>
      <c r="G2070" s="1">
        <f t="shared" si="64"/>
        <v>2.5999999999999995E-2</v>
      </c>
      <c r="H2070" s="1" t="str">
        <f t="shared" si="65"/>
        <v/>
      </c>
      <c r="I2070" s="1">
        <v>-2E-3</v>
      </c>
      <c r="J2070" s="1">
        <f>+D2070-F2070+I2070*O2070</f>
        <v>2.9940000000000005E-2</v>
      </c>
      <c r="K2070" s="1">
        <v>1.2077830731868701E-2</v>
      </c>
      <c r="L2070" s="1">
        <f>+K2070-J2070</f>
        <v>-1.7862169268131306E-2</v>
      </c>
      <c r="M2070" s="1">
        <v>-1.9922169268131298E-2</v>
      </c>
      <c r="N2070" s="1">
        <f>+M2070-J2070</f>
        <v>-4.9862169268131307E-2</v>
      </c>
      <c r="O2070">
        <v>2.5299999999999998</v>
      </c>
      <c r="P2070" t="s">
        <v>16</v>
      </c>
      <c r="Q2070">
        <v>0</v>
      </c>
      <c r="R2070">
        <v>-8.5430176034569996E-3</v>
      </c>
      <c r="S2070">
        <v>-3.1048115342856E-3</v>
      </c>
      <c r="T2070">
        <v>-0.03</v>
      </c>
    </row>
    <row r="2071" spans="1:20" x14ac:dyDescent="0.3">
      <c r="A2071" t="s">
        <v>146</v>
      </c>
      <c r="B2071">
        <v>2012</v>
      </c>
      <c r="C2071">
        <v>2201384</v>
      </c>
      <c r="D2071" s="1">
        <v>0</v>
      </c>
      <c r="E2071" s="1">
        <v>0.93389397859573398</v>
      </c>
      <c r="F2071" s="1">
        <v>3.9E-2</v>
      </c>
      <c r="G2071" s="1">
        <f t="shared" si="64"/>
        <v>6.5000000000000002E-2</v>
      </c>
      <c r="H2071" s="1" t="str">
        <f t="shared" si="65"/>
        <v/>
      </c>
      <c r="I2071" s="1">
        <v>0</v>
      </c>
      <c r="J2071" s="1">
        <f>+D2071-F2071+I2071*O2071</f>
        <v>-3.9E-2</v>
      </c>
      <c r="K2071" s="1">
        <v>1.2456982396543E-2</v>
      </c>
      <c r="L2071" s="1">
        <f>+K2071-J2071</f>
        <v>5.1456982396542998E-2</v>
      </c>
      <c r="M2071" s="1">
        <v>-8.5430176034569996E-3</v>
      </c>
      <c r="N2071" s="1">
        <f>+M2071-J2071</f>
        <v>3.0456982396543E-2</v>
      </c>
      <c r="O2071">
        <v>2.63</v>
      </c>
      <c r="P2071" t="s">
        <v>15</v>
      </c>
      <c r="Q2071">
        <v>0</v>
      </c>
      <c r="R2071">
        <v>1.6648050993681E-2</v>
      </c>
      <c r="S2071">
        <v>1.0521279647946399E-2</v>
      </c>
      <c r="T2071">
        <v>0.04</v>
      </c>
    </row>
    <row r="2072" spans="1:20" x14ac:dyDescent="0.3">
      <c r="A2072" t="s">
        <v>146</v>
      </c>
      <c r="B2072">
        <v>2013</v>
      </c>
      <c r="C2072">
        <v>2224895</v>
      </c>
      <c r="D2072" s="1">
        <v>0</v>
      </c>
      <c r="E2072" s="1">
        <v>0.94635826349258401</v>
      </c>
      <c r="F2072" s="1">
        <v>-3.7999999999999999E-2</v>
      </c>
      <c r="G2072" s="1">
        <f t="shared" si="64"/>
        <v>2.7000000000000003E-2</v>
      </c>
      <c r="H2072" s="1" t="str">
        <f t="shared" si="65"/>
        <v/>
      </c>
      <c r="I2072" s="1">
        <v>1.2E-2</v>
      </c>
      <c r="J2072" s="1">
        <f>+D2072-F2072+I2072*O2072</f>
        <v>6.8239999999999995E-2</v>
      </c>
      <c r="K2072" s="1">
        <v>3.1648050993681003E-2</v>
      </c>
      <c r="L2072" s="1">
        <f>+K2072-J2072</f>
        <v>-3.6591949006318993E-2</v>
      </c>
      <c r="M2072" s="1">
        <v>1.6648050993681E-2</v>
      </c>
      <c r="N2072" s="1">
        <f>+M2072-J2072</f>
        <v>-5.1591949006318999E-2</v>
      </c>
      <c r="O2072">
        <v>2.52</v>
      </c>
      <c r="P2072" t="s">
        <v>17</v>
      </c>
      <c r="Q2072">
        <v>0.01</v>
      </c>
      <c r="R2072">
        <v>1.9770338028669399E-2</v>
      </c>
      <c r="S2072">
        <v>1.77623145282268E-2</v>
      </c>
      <c r="T2072">
        <v>-0.05</v>
      </c>
    </row>
    <row r="2073" spans="1:20" x14ac:dyDescent="0.3">
      <c r="A2073" t="s">
        <v>146</v>
      </c>
      <c r="B2073">
        <v>2014</v>
      </c>
      <c r="C2073">
        <v>2253184</v>
      </c>
      <c r="D2073" s="1">
        <v>3.0000000000000001E-3</v>
      </c>
      <c r="E2073" s="1">
        <v>0.95141643285751298</v>
      </c>
      <c r="F2073" s="1">
        <v>1.9E-2</v>
      </c>
      <c r="G2073" s="1">
        <f t="shared" si="64"/>
        <v>4.5999999999999999E-2</v>
      </c>
      <c r="H2073" s="1" t="str">
        <f t="shared" si="65"/>
        <v/>
      </c>
      <c r="I2073" s="1">
        <v>5.0000000000000001E-3</v>
      </c>
      <c r="J2073" s="1">
        <f>+D2073-F2073+I2073*O2073</f>
        <v>-3.15E-3</v>
      </c>
      <c r="K2073" s="1">
        <v>3.5770338028669399E-2</v>
      </c>
      <c r="L2073" s="1">
        <f>+K2073-J2073</f>
        <v>3.8920338028669399E-2</v>
      </c>
      <c r="M2073" s="1">
        <v>1.9770338028669399E-2</v>
      </c>
      <c r="N2073" s="1">
        <f>+M2073-J2073</f>
        <v>2.2920338028669399E-2</v>
      </c>
      <c r="O2073">
        <v>2.57</v>
      </c>
      <c r="P2073" t="s">
        <v>15</v>
      </c>
      <c r="Q2073">
        <v>0.02</v>
      </c>
      <c r="R2073">
        <v>8.3403529763221698E-2</v>
      </c>
      <c r="S2073">
        <v>5.3140077739954002E-2</v>
      </c>
      <c r="T2073">
        <v>0.01</v>
      </c>
    </row>
    <row r="2074" spans="1:20" x14ac:dyDescent="0.3">
      <c r="A2074" t="s">
        <v>146</v>
      </c>
      <c r="B2074">
        <v>2015</v>
      </c>
      <c r="C2074">
        <v>2283229</v>
      </c>
      <c r="D2074" s="1">
        <v>3.0000000000000001E-3</v>
      </c>
      <c r="E2074" s="1">
        <v>0.95812785625457797</v>
      </c>
      <c r="F2074" s="1">
        <v>-2.1000000000000001E-2</v>
      </c>
      <c r="G2074" s="1">
        <f t="shared" si="64"/>
        <v>2.4999999999999998E-2</v>
      </c>
      <c r="H2074" s="1" t="str">
        <f t="shared" si="65"/>
        <v/>
      </c>
      <c r="I2074" s="1">
        <v>7.0000000000000001E-3</v>
      </c>
      <c r="J2074" s="1">
        <f>+D2074-F2074+I2074*O2074</f>
        <v>4.1639999999999996E-2</v>
      </c>
      <c r="K2074" s="1">
        <v>8.4403529763221699E-2</v>
      </c>
      <c r="L2074" s="1">
        <f>+K2074-J2074</f>
        <v>4.2763529763221703E-2</v>
      </c>
      <c r="M2074" s="1">
        <v>8.3403529763221698E-2</v>
      </c>
      <c r="N2074" s="1">
        <f>+M2074-J2074</f>
        <v>4.1763529763221702E-2</v>
      </c>
      <c r="O2074">
        <v>2.52</v>
      </c>
      <c r="P2074" t="s">
        <v>17</v>
      </c>
      <c r="Q2074">
        <v>0.05</v>
      </c>
      <c r="R2074">
        <v>6.2708180665969795E-2</v>
      </c>
      <c r="S2074">
        <v>4.9554623663425397E-2</v>
      </c>
      <c r="T2074">
        <v>-0.01</v>
      </c>
    </row>
    <row r="2075" spans="1:20" x14ac:dyDescent="0.3">
      <c r="A2075" t="s">
        <v>146</v>
      </c>
      <c r="B2075">
        <v>2016</v>
      </c>
      <c r="C2075">
        <v>2314624</v>
      </c>
      <c r="D2075" s="1">
        <v>1E-3</v>
      </c>
      <c r="E2075" s="1">
        <v>0.96075266599655196</v>
      </c>
      <c r="F2075" s="1">
        <v>0</v>
      </c>
      <c r="G2075" s="1">
        <f t="shared" si="64"/>
        <v>2.4999999999999998E-2</v>
      </c>
      <c r="H2075" s="1" t="str">
        <f t="shared" si="65"/>
        <v/>
      </c>
      <c r="I2075" s="1">
        <v>3.0000000000000001E-3</v>
      </c>
      <c r="J2075" s="1">
        <f>+D2075-F2075+I2075*O2075</f>
        <v>8.5599999999999999E-3</v>
      </c>
      <c r="K2075" s="1">
        <v>7.5708180665969793E-2</v>
      </c>
      <c r="L2075" s="1">
        <f>+K2075-J2075</f>
        <v>6.7148180665969795E-2</v>
      </c>
      <c r="M2075" s="1">
        <v>6.2708180665969795E-2</v>
      </c>
      <c r="N2075" s="1">
        <f>+M2075-J2075</f>
        <v>5.4148180665969797E-2</v>
      </c>
      <c r="O2075">
        <v>2.52</v>
      </c>
      <c r="P2075" t="s">
        <v>15</v>
      </c>
      <c r="Q2075">
        <v>0.05</v>
      </c>
      <c r="R2075">
        <v>4.2335157930850902E-2</v>
      </c>
      <c r="S2075">
        <v>3.9545584470033597E-2</v>
      </c>
      <c r="T2075">
        <v>0</v>
      </c>
    </row>
    <row r="2076" spans="1:20" x14ac:dyDescent="0.3">
      <c r="A2076" t="s">
        <v>146</v>
      </c>
      <c r="B2076">
        <v>2017</v>
      </c>
      <c r="C2076">
        <v>2343988</v>
      </c>
      <c r="D2076" s="1">
        <v>6.0000000000000001E-3</v>
      </c>
      <c r="E2076" s="1">
        <v>0.95746707916259799</v>
      </c>
      <c r="F2076" s="1">
        <v>1.2999999999999999E-2</v>
      </c>
      <c r="G2076" s="1">
        <f t="shared" si="64"/>
        <v>3.7999999999999999E-2</v>
      </c>
      <c r="H2076" s="1" t="str">
        <f t="shared" si="65"/>
        <v/>
      </c>
      <c r="I2076" s="1">
        <v>-3.0000000000000001E-3</v>
      </c>
      <c r="J2076" s="1">
        <f>+D2076-F2076+I2076*O2076</f>
        <v>-1.465E-2</v>
      </c>
      <c r="K2076" s="1">
        <v>6.3335157930850997E-2</v>
      </c>
      <c r="L2076" s="1">
        <f>+K2076-J2076</f>
        <v>7.7985157930850993E-2</v>
      </c>
      <c r="M2076" s="1">
        <v>4.2335157930850902E-2</v>
      </c>
      <c r="N2076" s="1">
        <f>+M2076-J2076</f>
        <v>5.6985157930850905E-2</v>
      </c>
      <c r="O2076">
        <v>2.5499999999999998</v>
      </c>
      <c r="P2076" t="s">
        <v>17</v>
      </c>
      <c r="Q2076">
        <v>0.04</v>
      </c>
      <c r="R2076">
        <v>2.7088657230138799E-2</v>
      </c>
      <c r="S2076">
        <v>1.7953634262084999E-2</v>
      </c>
      <c r="T2076">
        <v>0.02</v>
      </c>
    </row>
    <row r="2077" spans="1:20" x14ac:dyDescent="0.3">
      <c r="A2077" t="s">
        <v>146</v>
      </c>
      <c r="B2077">
        <v>2018</v>
      </c>
      <c r="C2077">
        <v>2368392</v>
      </c>
      <c r="D2077" s="1">
        <v>1.2999999999999999E-2</v>
      </c>
      <c r="E2077" s="1">
        <v>0.95292419195175204</v>
      </c>
      <c r="F2077" s="1">
        <v>-2E-3</v>
      </c>
      <c r="G2077" s="1">
        <f t="shared" si="64"/>
        <v>3.5999999999999997E-2</v>
      </c>
      <c r="H2077" s="1" t="str">
        <f t="shared" si="65"/>
        <v/>
      </c>
      <c r="I2077" s="1">
        <v>-5.0000000000000001E-3</v>
      </c>
      <c r="J2077" s="1">
        <f>+D2077-F2077+I2077*O2077</f>
        <v>2.2999999999999982E-3</v>
      </c>
      <c r="K2077" s="1">
        <v>5.10886572301388E-2</v>
      </c>
      <c r="L2077" s="1">
        <f>+K2077-J2077</f>
        <v>4.8788657230138803E-2</v>
      </c>
      <c r="M2077" s="1">
        <v>2.7088657230138799E-2</v>
      </c>
      <c r="N2077" s="1">
        <f>+M2077-J2077</f>
        <v>2.4788657230138803E-2</v>
      </c>
      <c r="O2077">
        <v>2.54</v>
      </c>
      <c r="P2077" t="s">
        <v>16</v>
      </c>
      <c r="Q2077">
        <v>0.02</v>
      </c>
      <c r="R2077">
        <v>3.0696521669626199E-2</v>
      </c>
      <c r="S2077">
        <v>1.2895327061414601E-2</v>
      </c>
      <c r="T2077">
        <v>0.01</v>
      </c>
    </row>
    <row r="2078" spans="1:20" x14ac:dyDescent="0.3">
      <c r="A2078" t="s">
        <v>146</v>
      </c>
      <c r="B2078">
        <v>2019</v>
      </c>
      <c r="C2078">
        <v>2389725</v>
      </c>
      <c r="D2078" s="1">
        <v>0.01</v>
      </c>
      <c r="E2078" s="1">
        <v>0.94828534126281705</v>
      </c>
      <c r="F2078" s="1">
        <v>-1.2E-2</v>
      </c>
      <c r="G2078" s="1">
        <f t="shared" si="64"/>
        <v>2.3999999999999997E-2</v>
      </c>
      <c r="H2078" s="1" t="str">
        <f t="shared" si="65"/>
        <v/>
      </c>
      <c r="I2078" s="1">
        <v>-5.0000000000000001E-3</v>
      </c>
      <c r="J2078" s="1">
        <f>+D2078-F2078+I2078*O2078</f>
        <v>9.4500000000000001E-3</v>
      </c>
      <c r="K2078" s="1">
        <v>4.8696521669626201E-2</v>
      </c>
      <c r="L2078" s="1">
        <f>+K2078-J2078</f>
        <v>3.9246521669626201E-2</v>
      </c>
      <c r="M2078" s="1">
        <v>3.0696521669626199E-2</v>
      </c>
      <c r="N2078" s="1">
        <f>+M2078-J2078</f>
        <v>2.1246521669626199E-2</v>
      </c>
      <c r="O2078">
        <v>2.5099999999999998</v>
      </c>
      <c r="P2078" t="s">
        <v>16</v>
      </c>
      <c r="Q2078">
        <v>0.01</v>
      </c>
      <c r="R2078">
        <v>4.5675119489431398E-2</v>
      </c>
      <c r="S2078">
        <v>2.6825929060578398E-2</v>
      </c>
      <c r="T2078">
        <v>0</v>
      </c>
    </row>
    <row r="2079" spans="1:20" x14ac:dyDescent="0.3">
      <c r="A2079" t="s">
        <v>146</v>
      </c>
      <c r="B2079">
        <v>2020</v>
      </c>
      <c r="C2079">
        <v>2403462</v>
      </c>
      <c r="D2079" s="1">
        <v>1.0999999999999999E-2</v>
      </c>
      <c r="E2079" s="1">
        <v>0.95933532714843806</v>
      </c>
      <c r="F2079" s="1">
        <v>-1.2E-2</v>
      </c>
      <c r="G2079" s="1">
        <f t="shared" si="64"/>
        <v>1.1999999999999997E-2</v>
      </c>
      <c r="H2079" s="1" t="str">
        <f t="shared" si="65"/>
        <v/>
      </c>
      <c r="I2079" s="1">
        <v>1.0999999999999999E-2</v>
      </c>
      <c r="J2079" s="1">
        <f>+D2079-F2079+I2079*O2079</f>
        <v>5.0279999999999998E-2</v>
      </c>
      <c r="K2079" s="1">
        <v>5.7675119489431402E-2</v>
      </c>
      <c r="L2079" s="1">
        <f>+K2079-J2079</f>
        <v>7.3951194894314037E-3</v>
      </c>
      <c r="M2079" s="1">
        <v>4.5675119489431398E-2</v>
      </c>
      <c r="N2079" s="1">
        <f>+M2079-J2079</f>
        <v>-4.6048805105686E-3</v>
      </c>
      <c r="O2079">
        <v>2.48</v>
      </c>
      <c r="P2079" t="s">
        <v>17</v>
      </c>
      <c r="Q2079">
        <v>0.03</v>
      </c>
      <c r="R2079">
        <v>5.9565125286578903E-2</v>
      </c>
      <c r="S2079">
        <v>1.5975512564182E-2</v>
      </c>
      <c r="T2079">
        <v>0.03</v>
      </c>
    </row>
    <row r="2080" spans="1:20" x14ac:dyDescent="0.3">
      <c r="A2080" t="s">
        <v>146</v>
      </c>
      <c r="B2080">
        <v>2021</v>
      </c>
      <c r="C2080">
        <v>2412158</v>
      </c>
      <c r="D2080" s="1">
        <v>8.9999999999999993E-3</v>
      </c>
      <c r="E2080" s="1">
        <v>0.96305644512176503</v>
      </c>
      <c r="F2080" s="1">
        <v>8.9999999999999993E-3</v>
      </c>
      <c r="G2080" s="1">
        <f t="shared" si="64"/>
        <v>2.0999999999999998E-2</v>
      </c>
      <c r="H2080" s="1" t="str">
        <f t="shared" si="65"/>
        <v/>
      </c>
      <c r="I2080" s="1">
        <v>4.0000000000000001E-3</v>
      </c>
      <c r="J2080" s="1">
        <f>+D2080-F2080+I2080*O2080</f>
        <v>1.0039999999999999E-2</v>
      </c>
      <c r="K2080" s="1">
        <v>0.10656512528657899</v>
      </c>
      <c r="L2080" s="1">
        <f>+K2080-J2080</f>
        <v>9.6525125286579E-2</v>
      </c>
      <c r="M2080" s="1">
        <v>5.9565125286578903E-2</v>
      </c>
      <c r="N2080" s="1">
        <f>+M2080-J2080</f>
        <v>4.9525125286578903E-2</v>
      </c>
      <c r="O2080">
        <v>2.5099999999999998</v>
      </c>
      <c r="P2080" t="s">
        <v>15</v>
      </c>
      <c r="Q2080">
        <v>0.02</v>
      </c>
      <c r="R2080">
        <v>-6.4628239646553995E-2</v>
      </c>
      <c r="S2080">
        <v>-3.2524732872843701E-2</v>
      </c>
      <c r="T2080">
        <v>-0.02</v>
      </c>
    </row>
    <row r="2081" spans="1:20" x14ac:dyDescent="0.3">
      <c r="A2081" t="s">
        <v>146</v>
      </c>
      <c r="B2081">
        <v>2022</v>
      </c>
      <c r="C2081">
        <v>2425870</v>
      </c>
      <c r="D2081" s="1">
        <v>1.7999999999999999E-2</v>
      </c>
      <c r="E2081" s="1">
        <v>0.93698143959045399</v>
      </c>
      <c r="F2081" s="1">
        <v>-8.0000000000000002E-3</v>
      </c>
      <c r="G2081" s="1">
        <f t="shared" si="64"/>
        <v>1.2999999999999998E-2</v>
      </c>
      <c r="H2081" s="1" t="str">
        <f t="shared" si="65"/>
        <v/>
      </c>
      <c r="I2081" s="1">
        <v>-2.5999999999999999E-2</v>
      </c>
      <c r="J2081" s="1">
        <f>+D2081-F2081+I2081*O2081</f>
        <v>-3.8740000000000011E-2</v>
      </c>
      <c r="K2081" s="1">
        <v>1.5371760353446E-2</v>
      </c>
      <c r="L2081" s="1">
        <f>+K2081-J2081</f>
        <v>5.411176035344601E-2</v>
      </c>
      <c r="M2081" s="1">
        <v>-6.4628239646553995E-2</v>
      </c>
      <c r="N2081" s="1">
        <f>+M2081-J2081</f>
        <v>-2.5888239646553984E-2</v>
      </c>
      <c r="O2081">
        <v>2.4900000000000002</v>
      </c>
      <c r="P2081" t="s">
        <v>16</v>
      </c>
      <c r="Q2081">
        <v>-0.03</v>
      </c>
      <c r="R2081">
        <v>-3.69400468505919E-2</v>
      </c>
      <c r="S2081">
        <v>-1.73811190761625E-2</v>
      </c>
      <c r="T2081">
        <v>0.01</v>
      </c>
    </row>
    <row r="2082" spans="1:20" x14ac:dyDescent="0.3">
      <c r="A2082" t="s">
        <v>147</v>
      </c>
      <c r="B2082">
        <v>2006</v>
      </c>
      <c r="C2082">
        <v>2746939</v>
      </c>
      <c r="D2082" s="1">
        <v>6.0000000000000001E-3</v>
      </c>
      <c r="E2082" s="1">
        <v>0.90533900260925304</v>
      </c>
      <c r="F2082" s="1">
        <v>-1.7000000000000001E-2</v>
      </c>
      <c r="G2082" s="1">
        <f t="shared" si="64"/>
        <v>-1.7000000000000001E-2</v>
      </c>
      <c r="H2082" s="1" t="str">
        <f t="shared" si="65"/>
        <v/>
      </c>
      <c r="I2082" s="1">
        <v>1.2E-2</v>
      </c>
      <c r="J2082" s="1">
        <f>+D2082-F2082+I2082*O2082</f>
        <v>4.8680000000000001E-2</v>
      </c>
      <c r="K2082" s="1">
        <v>1.9002869725227401E-2</v>
      </c>
      <c r="L2082" s="1">
        <f>+K2082-J2082</f>
        <v>-2.96771302747726E-2</v>
      </c>
      <c r="M2082" s="1">
        <v>-1.29971302747726E-2</v>
      </c>
      <c r="N2082" s="1">
        <f>+M2082-J2082</f>
        <v>-6.1677130274772604E-2</v>
      </c>
      <c r="O2082">
        <v>2.14</v>
      </c>
      <c r="P2082" t="s">
        <v>17</v>
      </c>
      <c r="Q2082">
        <v>-0.02</v>
      </c>
      <c r="R2082">
        <v>-1.0029659509658799E-2</v>
      </c>
      <c r="S2082">
        <v>-9.1079035773873E-3</v>
      </c>
      <c r="T2082">
        <v>-0.02</v>
      </c>
    </row>
    <row r="2083" spans="1:20" x14ac:dyDescent="0.3">
      <c r="A2083" t="s">
        <v>147</v>
      </c>
      <c r="B2083">
        <v>2007</v>
      </c>
      <c r="C2083">
        <v>2758612</v>
      </c>
      <c r="D2083" s="1">
        <v>4.0000000000000001E-3</v>
      </c>
      <c r="E2083" s="1">
        <v>0.90928107500076305</v>
      </c>
      <c r="F2083" s="1">
        <v>-2.7E-2</v>
      </c>
      <c r="G2083" s="1">
        <f t="shared" si="64"/>
        <v>-4.3999999999999997E-2</v>
      </c>
      <c r="H2083" s="1" t="str">
        <f t="shared" si="65"/>
        <v/>
      </c>
      <c r="I2083" s="1">
        <v>4.0000000000000001E-3</v>
      </c>
      <c r="J2083" s="1">
        <f>+D2083-F2083+I2083*O2083</f>
        <v>3.9320000000000001E-2</v>
      </c>
      <c r="K2083" s="1">
        <v>1.89703404903412E-2</v>
      </c>
      <c r="L2083" s="1">
        <f>+K2083-J2083</f>
        <v>-2.03496595096588E-2</v>
      </c>
      <c r="M2083" s="1">
        <v>-1.0029659509658799E-2</v>
      </c>
      <c r="N2083" s="1">
        <f>+M2083-J2083</f>
        <v>-4.9349659509658798E-2</v>
      </c>
      <c r="O2083">
        <v>2.08</v>
      </c>
      <c r="P2083" t="s">
        <v>17</v>
      </c>
      <c r="Q2083">
        <v>-0.01</v>
      </c>
      <c r="R2083">
        <v>-3.4124218450859098E-2</v>
      </c>
      <c r="S2083">
        <v>-4.6134141739457802E-3</v>
      </c>
      <c r="T2083">
        <v>-0.03</v>
      </c>
    </row>
    <row r="2084" spans="1:20" x14ac:dyDescent="0.3">
      <c r="A2084" t="s">
        <v>147</v>
      </c>
      <c r="B2084">
        <v>2008</v>
      </c>
      <c r="C2084">
        <v>2770801</v>
      </c>
      <c r="D2084" s="1">
        <v>5.0000000000000001E-3</v>
      </c>
      <c r="E2084" s="1">
        <v>0.90600258111953702</v>
      </c>
      <c r="F2084" s="1">
        <v>3.3000000000000002E-2</v>
      </c>
      <c r="G2084" s="1">
        <f t="shared" si="64"/>
        <v>-1.0999999999999996E-2</v>
      </c>
      <c r="H2084" s="1" t="str">
        <f t="shared" si="65"/>
        <v/>
      </c>
      <c r="I2084" s="1">
        <v>-3.0000000000000001E-3</v>
      </c>
      <c r="J2084" s="1">
        <f>+D2084-F2084+I2084*O2084</f>
        <v>-3.4450000000000001E-2</v>
      </c>
      <c r="K2084" s="1">
        <v>3.8757815491408101E-3</v>
      </c>
      <c r="L2084" s="1">
        <f>+K2084-J2084</f>
        <v>3.8325781549140812E-2</v>
      </c>
      <c r="M2084" s="1">
        <v>-3.4124218450859098E-2</v>
      </c>
      <c r="N2084" s="1">
        <f>+M2084-J2084</f>
        <v>3.2578154914090357E-4</v>
      </c>
      <c r="O2084">
        <v>2.15</v>
      </c>
      <c r="P2084" t="s">
        <v>17</v>
      </c>
      <c r="Q2084">
        <v>0</v>
      </c>
      <c r="R2084">
        <v>-1.5431296736002E-2</v>
      </c>
      <c r="S2084">
        <v>1.1135404929518601E-2</v>
      </c>
      <c r="T2084">
        <v>0.03</v>
      </c>
    </row>
    <row r="2085" spans="1:20" x14ac:dyDescent="0.3">
      <c r="A2085" t="s">
        <v>147</v>
      </c>
      <c r="B2085">
        <v>2009</v>
      </c>
      <c r="C2085">
        <v>2782347</v>
      </c>
      <c r="D2085" s="1">
        <v>0</v>
      </c>
      <c r="E2085" s="1">
        <v>0.90182304382324197</v>
      </c>
      <c r="F2085" s="1">
        <v>3.0000000000000001E-3</v>
      </c>
      <c r="G2085" s="1">
        <f t="shared" si="64"/>
        <v>-7.9999999999999967E-3</v>
      </c>
      <c r="H2085" s="1" t="str">
        <f t="shared" si="65"/>
        <v/>
      </c>
      <c r="I2085" s="1">
        <v>-4.0000000000000001E-3</v>
      </c>
      <c r="J2085" s="1">
        <f>+D2085-F2085+I2085*O2085</f>
        <v>-1.1599999999999999E-2</v>
      </c>
      <c r="K2085" s="1">
        <v>-1.9431296736002E-2</v>
      </c>
      <c r="L2085" s="1">
        <f>+K2085-J2085</f>
        <v>-7.8312967360020004E-3</v>
      </c>
      <c r="M2085" s="1">
        <v>-1.5431296736002E-2</v>
      </c>
      <c r="N2085" s="1">
        <f>+M2085-J2085</f>
        <v>-3.8312967360020003E-3</v>
      </c>
      <c r="O2085">
        <v>2.15</v>
      </c>
      <c r="P2085" t="s">
        <v>17</v>
      </c>
      <c r="Q2085">
        <v>0.01</v>
      </c>
      <c r="R2085">
        <v>-1.2544097084552E-2</v>
      </c>
      <c r="S2085">
        <v>-3.0839883256703598E-3</v>
      </c>
      <c r="T2085">
        <v>-0.02</v>
      </c>
    </row>
    <row r="2086" spans="1:20" x14ac:dyDescent="0.3">
      <c r="A2086" t="s">
        <v>147</v>
      </c>
      <c r="B2086">
        <v>2010</v>
      </c>
      <c r="C2086">
        <v>2792278</v>
      </c>
      <c r="D2086" s="1">
        <v>5.0000000000000001E-3</v>
      </c>
      <c r="E2086" s="1">
        <v>0.90658432245254505</v>
      </c>
      <c r="F2086" s="1">
        <v>5.0000000000000001E-3</v>
      </c>
      <c r="G2086" s="1">
        <f t="shared" si="64"/>
        <v>-2.9999999999999966E-3</v>
      </c>
      <c r="H2086" s="1" t="str">
        <f t="shared" si="65"/>
        <v/>
      </c>
      <c r="I2086" s="1">
        <v>5.0000000000000001E-3</v>
      </c>
      <c r="J2086" s="1">
        <f>+D2086-F2086+I2086*O2086</f>
        <v>1.085E-2</v>
      </c>
      <c r="K2086" s="1">
        <v>3.4559029154479499E-3</v>
      </c>
      <c r="L2086" s="1">
        <f>+K2086-J2086</f>
        <v>-7.3940970845520499E-3</v>
      </c>
      <c r="M2086" s="1">
        <v>-1.2544097084552E-2</v>
      </c>
      <c r="N2086" s="1">
        <f>+M2086-J2086</f>
        <v>-2.3394097084552E-2</v>
      </c>
      <c r="O2086">
        <v>2.17</v>
      </c>
      <c r="P2086" t="s">
        <v>15</v>
      </c>
      <c r="Q2086">
        <v>0</v>
      </c>
      <c r="R2086">
        <v>-2.4331802845001201E-2</v>
      </c>
      <c r="S2086">
        <v>-3.0480283312499198E-3</v>
      </c>
      <c r="T2086">
        <v>0</v>
      </c>
    </row>
    <row r="2087" spans="1:20" x14ac:dyDescent="0.3">
      <c r="A2087" t="s">
        <v>147</v>
      </c>
      <c r="B2087">
        <v>2011</v>
      </c>
      <c r="C2087">
        <v>2797845</v>
      </c>
      <c r="D2087" s="1">
        <v>2E-3</v>
      </c>
      <c r="E2087" s="1">
        <v>0.90490853786468495</v>
      </c>
      <c r="F2087" s="1">
        <v>0</v>
      </c>
      <c r="G2087" s="1">
        <f t="shared" si="64"/>
        <v>-2.9999999999999966E-3</v>
      </c>
      <c r="H2087" s="1" t="str">
        <f t="shared" si="65"/>
        <v/>
      </c>
      <c r="I2087" s="1">
        <v>-2E-3</v>
      </c>
      <c r="J2087" s="1">
        <f>+D2087-F2087+I2087*O2087</f>
        <v>-2.3400000000000001E-3</v>
      </c>
      <c r="K2087" s="1">
        <v>7.6681971549987802E-3</v>
      </c>
      <c r="L2087" s="1">
        <f>+K2087-J2087</f>
        <v>1.0008197154998781E-2</v>
      </c>
      <c r="M2087" s="1">
        <v>-2.4331802845001201E-2</v>
      </c>
      <c r="N2087" s="1">
        <f>+M2087-J2087</f>
        <v>-2.1991802845001199E-2</v>
      </c>
      <c r="O2087">
        <v>2.17</v>
      </c>
      <c r="P2087" t="s">
        <v>16</v>
      </c>
      <c r="Q2087">
        <v>0</v>
      </c>
      <c r="R2087">
        <v>-1.00443552285433E-2</v>
      </c>
      <c r="S2087">
        <v>-4.6061491593718997E-3</v>
      </c>
      <c r="T2087">
        <v>0</v>
      </c>
    </row>
    <row r="2088" spans="1:20" x14ac:dyDescent="0.3">
      <c r="A2088" t="s">
        <v>147</v>
      </c>
      <c r="B2088">
        <v>2012</v>
      </c>
      <c r="C2088">
        <v>2801635</v>
      </c>
      <c r="D2088" s="1">
        <v>5.0000000000000001E-3</v>
      </c>
      <c r="E2088" s="1">
        <v>0.90773928165435802</v>
      </c>
      <c r="F2088" s="1">
        <v>1.7000000000000001E-2</v>
      </c>
      <c r="G2088" s="1">
        <f t="shared" si="64"/>
        <v>1.4000000000000005E-2</v>
      </c>
      <c r="H2088" s="1" t="str">
        <f t="shared" si="65"/>
        <v/>
      </c>
      <c r="I2088" s="1">
        <v>3.0000000000000001E-3</v>
      </c>
      <c r="J2088" s="1">
        <f>+D2088-F2088+I2088*O2088</f>
        <v>-5.3999999999999994E-3</v>
      </c>
      <c r="K2088" s="1">
        <v>1.0955644771456699E-2</v>
      </c>
      <c r="L2088" s="1">
        <f>+K2088-J2088</f>
        <v>1.63556447714567E-2</v>
      </c>
      <c r="M2088" s="1">
        <v>-1.00443552285433E-2</v>
      </c>
      <c r="N2088" s="1">
        <f>+M2088-J2088</f>
        <v>-4.6443552285433008E-3</v>
      </c>
      <c r="O2088">
        <v>2.2000000000000002</v>
      </c>
      <c r="P2088" t="s">
        <v>15</v>
      </c>
      <c r="Q2088">
        <v>0</v>
      </c>
      <c r="R2088">
        <v>1.9286374002695E-3</v>
      </c>
      <c r="S2088">
        <v>-4.1981339454650896E-3</v>
      </c>
      <c r="T2088">
        <v>0.01</v>
      </c>
    </row>
    <row r="2089" spans="1:20" x14ac:dyDescent="0.3">
      <c r="A2089" t="s">
        <v>147</v>
      </c>
      <c r="B2089">
        <v>2013</v>
      </c>
      <c r="C2089">
        <v>2805895</v>
      </c>
      <c r="D2089" s="1">
        <v>8.0000000000000002E-3</v>
      </c>
      <c r="E2089" s="1">
        <v>0.90474468469619795</v>
      </c>
      <c r="F2089" s="1">
        <v>-3.0000000000000001E-3</v>
      </c>
      <c r="G2089" s="1">
        <f t="shared" si="64"/>
        <v>1.1000000000000006E-2</v>
      </c>
      <c r="H2089" s="1" t="str">
        <f t="shared" si="65"/>
        <v/>
      </c>
      <c r="I2089" s="1">
        <v>-3.0000000000000001E-3</v>
      </c>
      <c r="J2089" s="1">
        <f>+D2089-F2089+I2089*O2089</f>
        <v>4.429999999999999E-3</v>
      </c>
      <c r="K2089" s="1">
        <v>1.6928637400269501E-2</v>
      </c>
      <c r="L2089" s="1">
        <f>+K2089-J2089</f>
        <v>1.2498637400269502E-2</v>
      </c>
      <c r="M2089" s="1">
        <v>1.9286374002695E-3</v>
      </c>
      <c r="N2089" s="1">
        <f>+M2089-J2089</f>
        <v>-2.5013625997304988E-3</v>
      </c>
      <c r="O2089">
        <v>2.19</v>
      </c>
      <c r="P2089" t="s">
        <v>16</v>
      </c>
      <c r="Q2089">
        <v>0</v>
      </c>
      <c r="R2089">
        <v>-8.5156827084720103E-3</v>
      </c>
      <c r="S2089">
        <v>-1.0523706208914499E-2</v>
      </c>
      <c r="T2089">
        <v>-0.01</v>
      </c>
    </row>
    <row r="2090" spans="1:20" x14ac:dyDescent="0.3">
      <c r="A2090" t="s">
        <v>147</v>
      </c>
      <c r="B2090">
        <v>2014</v>
      </c>
      <c r="C2090">
        <v>2811750</v>
      </c>
      <c r="D2090" s="1">
        <v>7.0000000000000001E-3</v>
      </c>
      <c r="E2090" s="1">
        <v>0.909063041210175</v>
      </c>
      <c r="F2090" s="1">
        <v>-3.7999999999999999E-2</v>
      </c>
      <c r="G2090" s="1">
        <f t="shared" si="64"/>
        <v>-2.6999999999999993E-2</v>
      </c>
      <c r="H2090" s="1" t="str">
        <f t="shared" si="65"/>
        <v/>
      </c>
      <c r="I2090" s="1">
        <v>4.0000000000000001E-3</v>
      </c>
      <c r="J2090" s="1">
        <f>+D2090-F2090+I2090*O2090</f>
        <v>5.3440000000000001E-2</v>
      </c>
      <c r="K2090" s="1">
        <v>7.48431729152799E-3</v>
      </c>
      <c r="L2090" s="1">
        <f>+K2090-J2090</f>
        <v>-4.5955682708472015E-2</v>
      </c>
      <c r="M2090" s="1">
        <v>-8.5156827084720103E-3</v>
      </c>
      <c r="N2090" s="1">
        <f>+M2090-J2090</f>
        <v>-6.1955682708472015E-2</v>
      </c>
      <c r="O2090">
        <v>2.11</v>
      </c>
      <c r="P2090" t="s">
        <v>17</v>
      </c>
      <c r="Q2090">
        <v>-0.01</v>
      </c>
      <c r="R2090">
        <v>3.3464772790670401E-2</v>
      </c>
      <c r="S2090">
        <v>3.2013207674027001E-3</v>
      </c>
      <c r="T2090">
        <v>-0.04</v>
      </c>
    </row>
    <row r="2091" spans="1:20" x14ac:dyDescent="0.3">
      <c r="A2091" t="s">
        <v>147</v>
      </c>
      <c r="B2091">
        <v>2015</v>
      </c>
      <c r="C2091">
        <v>2815762</v>
      </c>
      <c r="D2091" s="1">
        <v>7.0000000000000001E-3</v>
      </c>
      <c r="E2091" s="1">
        <v>0.91581487655639604</v>
      </c>
      <c r="F2091" s="1">
        <v>1.0999999999999999E-2</v>
      </c>
      <c r="G2091" s="1">
        <f t="shared" si="64"/>
        <v>-1.5999999999999993E-2</v>
      </c>
      <c r="H2091" s="1" t="str">
        <f t="shared" si="65"/>
        <v/>
      </c>
      <c r="I2091" s="1">
        <v>7.0000000000000001E-3</v>
      </c>
      <c r="J2091" s="1">
        <f>+D2091-F2091+I2091*O2091</f>
        <v>1.091E-2</v>
      </c>
      <c r="K2091" s="1">
        <v>3.4464772790670402E-2</v>
      </c>
      <c r="L2091" s="1">
        <f>+K2091-J2091</f>
        <v>2.3554772790670402E-2</v>
      </c>
      <c r="M2091" s="1">
        <v>3.3464772790670401E-2</v>
      </c>
      <c r="N2091" s="1">
        <f>+M2091-J2091</f>
        <v>2.2554772790670401E-2</v>
      </c>
      <c r="O2091">
        <v>2.13</v>
      </c>
      <c r="P2091" t="s">
        <v>15</v>
      </c>
      <c r="Q2091">
        <v>0</v>
      </c>
      <c r="R2091">
        <v>6.9577528983354904E-3</v>
      </c>
      <c r="S2091">
        <v>-6.1958041042089003E-3</v>
      </c>
      <c r="T2091">
        <v>0.02</v>
      </c>
    </row>
    <row r="2092" spans="1:20" x14ac:dyDescent="0.3">
      <c r="A2092" t="s">
        <v>147</v>
      </c>
      <c r="B2092">
        <v>2016</v>
      </c>
      <c r="C2092">
        <v>2816197</v>
      </c>
      <c r="D2092" s="1">
        <v>1.2999999999999999E-2</v>
      </c>
      <c r="E2092" s="1">
        <v>0.91192567348480202</v>
      </c>
      <c r="F2092" s="1">
        <v>1.0999999999999999E-2</v>
      </c>
      <c r="G2092" s="1">
        <f t="shared" si="64"/>
        <v>-4.999999999999994E-3</v>
      </c>
      <c r="H2092" s="1" t="str">
        <f t="shared" si="65"/>
        <v/>
      </c>
      <c r="I2092" s="1">
        <v>-4.0000000000000001E-3</v>
      </c>
      <c r="J2092" s="1">
        <f>+D2092-F2092+I2092*O2092</f>
        <v>-6.6400000000000001E-3</v>
      </c>
      <c r="K2092" s="1">
        <v>1.9957752898335498E-2</v>
      </c>
      <c r="L2092" s="1">
        <f>+K2092-J2092</f>
        <v>2.6597752898335499E-2</v>
      </c>
      <c r="M2092" s="1">
        <v>6.9577528983354904E-3</v>
      </c>
      <c r="N2092" s="1">
        <f>+M2092-J2092</f>
        <v>1.359775289833549E-2</v>
      </c>
      <c r="O2092">
        <v>2.16</v>
      </c>
      <c r="P2092" t="s">
        <v>17</v>
      </c>
      <c r="Q2092">
        <v>-0.01</v>
      </c>
      <c r="R2092">
        <v>-9.1682600826025005E-3</v>
      </c>
      <c r="S2092">
        <v>-1.1957833543419699E-2</v>
      </c>
      <c r="T2092">
        <v>0.01</v>
      </c>
    </row>
    <row r="2093" spans="1:20" x14ac:dyDescent="0.3">
      <c r="A2093" t="s">
        <v>147</v>
      </c>
      <c r="B2093">
        <v>2017</v>
      </c>
      <c r="C2093">
        <v>2817256</v>
      </c>
      <c r="D2093" s="1">
        <v>1.7999999999999999E-2</v>
      </c>
      <c r="E2093" s="1">
        <v>0.90367168188095104</v>
      </c>
      <c r="F2093" s="1">
        <v>-2.5000000000000001E-2</v>
      </c>
      <c r="G2093" s="1">
        <f t="shared" si="64"/>
        <v>-2.9999999999999995E-2</v>
      </c>
      <c r="H2093" s="1" t="str">
        <f t="shared" si="65"/>
        <v/>
      </c>
      <c r="I2093" s="1">
        <v>-8.0000000000000002E-3</v>
      </c>
      <c r="J2093" s="1">
        <f>+D2093-F2093+I2093*O2093</f>
        <v>2.6199999999999994E-2</v>
      </c>
      <c r="K2093" s="1">
        <v>1.1831739917397501E-2</v>
      </c>
      <c r="L2093" s="1">
        <f>+K2093-J2093</f>
        <v>-1.4368260082602493E-2</v>
      </c>
      <c r="M2093" s="1">
        <v>-9.1682600826025005E-3</v>
      </c>
      <c r="N2093" s="1">
        <f>+M2093-J2093</f>
        <v>-3.5368260082602493E-2</v>
      </c>
      <c r="O2093">
        <v>2.1</v>
      </c>
      <c r="P2093" t="s">
        <v>16</v>
      </c>
      <c r="Q2093">
        <v>-0.01</v>
      </c>
      <c r="R2093">
        <v>-2.6633383333679898E-4</v>
      </c>
      <c r="S2093">
        <v>-9.4013568013905906E-3</v>
      </c>
      <c r="T2093">
        <v>-0.02</v>
      </c>
    </row>
    <row r="2094" spans="1:20" x14ac:dyDescent="0.3">
      <c r="A2094" t="s">
        <v>147</v>
      </c>
      <c r="B2094">
        <v>2018</v>
      </c>
      <c r="C2094">
        <v>2817125</v>
      </c>
      <c r="D2094" s="1">
        <v>1.7000000000000001E-2</v>
      </c>
      <c r="E2094" s="1">
        <v>0.90291029214858998</v>
      </c>
      <c r="F2094" s="1">
        <v>-7.0000000000000001E-3</v>
      </c>
      <c r="G2094" s="1">
        <f t="shared" si="64"/>
        <v>-3.6999999999999998E-2</v>
      </c>
      <c r="H2094" s="1" t="str">
        <f t="shared" si="65"/>
        <v/>
      </c>
      <c r="I2094" s="1">
        <v>-1E-3</v>
      </c>
      <c r="J2094" s="1">
        <f>+D2094-F2094+I2094*O2094</f>
        <v>2.1909999999999999E-2</v>
      </c>
      <c r="K2094" s="1">
        <v>2.3733666166663201E-2</v>
      </c>
      <c r="L2094" s="1">
        <f>+K2094-J2094</f>
        <v>1.8236661666632022E-3</v>
      </c>
      <c r="M2094" s="1">
        <v>-2.6633383333679898E-4</v>
      </c>
      <c r="N2094" s="1">
        <f>+M2094-J2094</f>
        <v>-2.2176333833336798E-2</v>
      </c>
      <c r="O2094">
        <v>2.09</v>
      </c>
      <c r="P2094" t="s">
        <v>16</v>
      </c>
      <c r="Q2094">
        <v>-0.01</v>
      </c>
      <c r="R2094">
        <v>2.3711673140525798E-2</v>
      </c>
      <c r="S2094">
        <v>5.9104785323142901E-3</v>
      </c>
      <c r="T2094">
        <v>0</v>
      </c>
    </row>
    <row r="2095" spans="1:20" x14ac:dyDescent="0.3">
      <c r="A2095" t="s">
        <v>147</v>
      </c>
      <c r="B2095">
        <v>2019</v>
      </c>
      <c r="C2095">
        <v>2818850</v>
      </c>
      <c r="D2095" s="1">
        <v>1.2999999999999999E-2</v>
      </c>
      <c r="E2095" s="1">
        <v>0.91369742155075095</v>
      </c>
      <c r="F2095" s="1">
        <v>-3.3000000000000002E-2</v>
      </c>
      <c r="G2095" s="1">
        <f t="shared" si="64"/>
        <v>-7.0000000000000007E-2</v>
      </c>
      <c r="H2095" s="1" t="str">
        <f t="shared" si="65"/>
        <v/>
      </c>
      <c r="I2095" s="1">
        <v>1.0999999999999999E-2</v>
      </c>
      <c r="J2095" s="1">
        <f>+D2095-F2095+I2095*O2095</f>
        <v>6.8220000000000003E-2</v>
      </c>
      <c r="K2095" s="1">
        <v>4.1711673140525797E-2</v>
      </c>
      <c r="L2095" s="1">
        <f>+K2095-J2095</f>
        <v>-2.6508326859474206E-2</v>
      </c>
      <c r="M2095" s="1">
        <v>2.3711673140525798E-2</v>
      </c>
      <c r="N2095" s="1">
        <f>+M2095-J2095</f>
        <v>-4.4508326859474201E-2</v>
      </c>
      <c r="O2095">
        <v>2.02</v>
      </c>
      <c r="P2095" t="s">
        <v>17</v>
      </c>
      <c r="Q2095">
        <v>0.01</v>
      </c>
      <c r="R2095">
        <v>1.10184383690357E-2</v>
      </c>
      <c r="S2095">
        <v>-7.8307520598173003E-3</v>
      </c>
      <c r="T2095">
        <v>-0.02</v>
      </c>
    </row>
    <row r="2096" spans="1:20" x14ac:dyDescent="0.3">
      <c r="A2096" t="s">
        <v>147</v>
      </c>
      <c r="B2096">
        <v>2020</v>
      </c>
      <c r="C2096">
        <v>2818216</v>
      </c>
      <c r="D2096" s="1">
        <v>0.02</v>
      </c>
      <c r="E2096" s="1">
        <v>0.91681015491485596</v>
      </c>
      <c r="F2096" s="1">
        <v>-4.3999999999999997E-2</v>
      </c>
      <c r="G2096" s="1">
        <f t="shared" si="64"/>
        <v>-0.114</v>
      </c>
      <c r="H2096" s="1" t="str">
        <f t="shared" si="65"/>
        <v/>
      </c>
      <c r="I2096" s="1">
        <v>3.0000000000000001E-3</v>
      </c>
      <c r="J2096" s="1">
        <f>+D2096-F2096+I2096*O2096</f>
        <v>6.9790000000000005E-2</v>
      </c>
      <c r="K2096" s="1">
        <v>2.30184383690357E-2</v>
      </c>
      <c r="L2096" s="1">
        <f>+K2096-J2096</f>
        <v>-4.6771561630964305E-2</v>
      </c>
      <c r="M2096" s="1">
        <v>1.10184383690357E-2</v>
      </c>
      <c r="N2096" s="1">
        <f>+M2096-J2096</f>
        <v>-5.8771561630964309E-2</v>
      </c>
      <c r="O2096">
        <v>1.93</v>
      </c>
      <c r="P2096" t="s">
        <v>17</v>
      </c>
      <c r="Q2096">
        <v>-0.01</v>
      </c>
      <c r="R2096">
        <v>2.5493024170398601E-2</v>
      </c>
      <c r="S2096">
        <v>-1.8096588551998201E-2</v>
      </c>
      <c r="T2096">
        <v>0</v>
      </c>
    </row>
    <row r="2097" spans="1:20" x14ac:dyDescent="0.3">
      <c r="A2097" t="s">
        <v>147</v>
      </c>
      <c r="B2097">
        <v>2021</v>
      </c>
      <c r="C2097">
        <v>2810390</v>
      </c>
      <c r="D2097" s="1">
        <v>1.2E-2</v>
      </c>
      <c r="E2097" s="1">
        <v>0.93258714675903298</v>
      </c>
      <c r="F2097" s="1">
        <v>6.0999999999999999E-2</v>
      </c>
      <c r="G2097" s="1">
        <f t="shared" si="64"/>
        <v>-5.3000000000000005E-2</v>
      </c>
      <c r="H2097" s="1" t="str">
        <f t="shared" si="65"/>
        <v/>
      </c>
      <c r="I2097" s="1">
        <v>1.6E-2</v>
      </c>
      <c r="J2097" s="1">
        <f>+D2097-F2097+I2097*O2097</f>
        <v>-1.6200000000000006E-2</v>
      </c>
      <c r="K2097" s="1">
        <v>7.2493024170398698E-2</v>
      </c>
      <c r="L2097" s="1">
        <f>+K2097-J2097</f>
        <v>8.8693024170398704E-2</v>
      </c>
      <c r="M2097" s="1">
        <v>2.5493024170398601E-2</v>
      </c>
      <c r="N2097" s="1">
        <f>+M2097-J2097</f>
        <v>4.1693024170398607E-2</v>
      </c>
      <c r="O2097">
        <v>2.0499999999999998</v>
      </c>
      <c r="P2097" t="s">
        <v>15</v>
      </c>
      <c r="Q2097">
        <v>-0.02</v>
      </c>
      <c r="R2097">
        <v>-2.9397183954715699E-2</v>
      </c>
      <c r="S2097">
        <v>2.7063228189945902E-3</v>
      </c>
      <c r="T2097">
        <v>0.03</v>
      </c>
    </row>
    <row r="2098" spans="1:20" x14ac:dyDescent="0.3">
      <c r="A2098" t="s">
        <v>147</v>
      </c>
      <c r="B2098">
        <v>2022</v>
      </c>
      <c r="C2098">
        <v>2803398</v>
      </c>
      <c r="D2098" s="1">
        <v>3.4000000000000002E-2</v>
      </c>
      <c r="E2098" s="1">
        <v>0.90766859054565396</v>
      </c>
      <c r="F2098" s="1">
        <v>-1.2999999999999999E-2</v>
      </c>
      <c r="G2098" s="1">
        <f t="shared" si="64"/>
        <v>-6.6000000000000003E-2</v>
      </c>
      <c r="H2098" s="1" t="str">
        <f t="shared" si="65"/>
        <v/>
      </c>
      <c r="I2098" s="1">
        <v>-2.5000000000000001E-2</v>
      </c>
      <c r="J2098" s="1">
        <f>+D2098-F2098+I2098*O2098</f>
        <v>-3.5000000000000031E-3</v>
      </c>
      <c r="K2098" s="1">
        <v>5.0602816045284299E-2</v>
      </c>
      <c r="L2098" s="1">
        <f>+K2098-J2098</f>
        <v>5.4102816045284302E-2</v>
      </c>
      <c r="M2098" s="1">
        <v>-2.9397183954715699E-2</v>
      </c>
      <c r="N2098" s="1">
        <f>+M2098-J2098</f>
        <v>-2.5897183954715696E-2</v>
      </c>
      <c r="O2098">
        <v>2.02</v>
      </c>
      <c r="P2098" t="s">
        <v>16</v>
      </c>
      <c r="Q2098">
        <v>0</v>
      </c>
      <c r="R2098">
        <v>-2.1824019759893402E-2</v>
      </c>
      <c r="S2098">
        <v>-2.26509198546409E-3</v>
      </c>
      <c r="T2098">
        <v>0</v>
      </c>
    </row>
    <row r="2099" spans="1:20" x14ac:dyDescent="0.3">
      <c r="A2099" t="s">
        <v>148</v>
      </c>
      <c r="B2099">
        <v>2006</v>
      </c>
      <c r="C2099">
        <v>401944.625</v>
      </c>
      <c r="D2099" s="1">
        <v>0</v>
      </c>
      <c r="E2099" s="1">
        <v>0.96860641241073597</v>
      </c>
      <c r="F2099" s="1">
        <v>-8.3000000000000004E-2</v>
      </c>
      <c r="G2099" s="1">
        <f t="shared" si="64"/>
        <v>-8.3000000000000004E-2</v>
      </c>
      <c r="H2099" s="1" t="str">
        <f t="shared" si="65"/>
        <v/>
      </c>
      <c r="I2099" s="1">
        <v>6.0000000000000001E-3</v>
      </c>
      <c r="J2099" s="1">
        <f>+D2099-F2099+I2099*O2099</f>
        <v>0.10016</v>
      </c>
      <c r="K2099" s="1">
        <v>4.6990282833576202E-2</v>
      </c>
      <c r="L2099" s="1">
        <f>+K2099-J2099</f>
        <v>-5.3169717166423797E-2</v>
      </c>
      <c r="M2099" s="1">
        <v>1.49902828335762E-2</v>
      </c>
      <c r="N2099" s="1">
        <f>+M2099-J2099</f>
        <v>-8.5169717166423797E-2</v>
      </c>
      <c r="O2099">
        <v>2.86</v>
      </c>
      <c r="P2099" t="s">
        <v>17</v>
      </c>
      <c r="Q2099">
        <v>0.01</v>
      </c>
      <c r="R2099">
        <v>9.0917973816394999E-3</v>
      </c>
      <c r="S2099">
        <v>1.0013553313910999E-2</v>
      </c>
      <c r="T2099">
        <v>-0.08</v>
      </c>
    </row>
    <row r="2100" spans="1:20" x14ac:dyDescent="0.3">
      <c r="A2100" t="s">
        <v>148</v>
      </c>
      <c r="B2100">
        <v>2007</v>
      </c>
      <c r="C2100">
        <v>403284.78129999997</v>
      </c>
      <c r="D2100" s="1">
        <v>0</v>
      </c>
      <c r="E2100" s="1">
        <v>0.97004741430282604</v>
      </c>
      <c r="F2100" s="1">
        <v>-2.1999999999999999E-2</v>
      </c>
      <c r="G2100" s="1">
        <f t="shared" si="64"/>
        <v>-0.10500000000000001</v>
      </c>
      <c r="H2100" s="1" t="str">
        <f t="shared" si="65"/>
        <v/>
      </c>
      <c r="I2100" s="1">
        <v>1E-3</v>
      </c>
      <c r="J2100" s="1">
        <f>+D2100-F2100+I2100*O2100</f>
        <v>2.4799999999999999E-2</v>
      </c>
      <c r="K2100" s="1">
        <v>3.8091797381639501E-2</v>
      </c>
      <c r="L2100" s="1">
        <f>+K2100-J2100</f>
        <v>1.3291797381639502E-2</v>
      </c>
      <c r="M2100" s="1">
        <v>9.0917973816394999E-3</v>
      </c>
      <c r="N2100" s="1">
        <f>+M2100-J2100</f>
        <v>-1.5708202618360499E-2</v>
      </c>
      <c r="O2100">
        <v>2.8</v>
      </c>
      <c r="P2100" t="s">
        <v>17</v>
      </c>
      <c r="Q2100">
        <v>0.01</v>
      </c>
      <c r="R2100">
        <v>-1.72196955531836E-2</v>
      </c>
      <c r="S2100">
        <v>1.22911087237298E-2</v>
      </c>
      <c r="T2100">
        <v>-0.02</v>
      </c>
    </row>
    <row r="2101" spans="1:20" x14ac:dyDescent="0.3">
      <c r="A2101" t="s">
        <v>148</v>
      </c>
      <c r="B2101">
        <v>2008</v>
      </c>
      <c r="C2101">
        <v>407099.5</v>
      </c>
      <c r="D2101" s="1">
        <v>1.2E-2</v>
      </c>
      <c r="E2101" s="1">
        <v>0.96312540769577004</v>
      </c>
      <c r="F2101" s="1">
        <v>3.4000000000000002E-2</v>
      </c>
      <c r="G2101" s="1">
        <f t="shared" si="64"/>
        <v>-7.1000000000000008E-2</v>
      </c>
      <c r="H2101" s="1" t="str">
        <f t="shared" si="65"/>
        <v/>
      </c>
      <c r="I2101" s="1">
        <v>-7.0000000000000001E-3</v>
      </c>
      <c r="J2101" s="1">
        <f>+D2101-F2101+I2101*O2101</f>
        <v>-4.2230000000000004E-2</v>
      </c>
      <c r="K2101" s="1">
        <v>2.0780304446816399E-2</v>
      </c>
      <c r="L2101" s="1">
        <f>+K2101-J2101</f>
        <v>6.3010304446816406E-2</v>
      </c>
      <c r="M2101" s="1">
        <v>-1.72196955531836E-2</v>
      </c>
      <c r="N2101" s="1">
        <f>+M2101-J2101</f>
        <v>2.5010304446816404E-2</v>
      </c>
      <c r="O2101">
        <v>2.89</v>
      </c>
      <c r="P2101" t="s">
        <v>17</v>
      </c>
      <c r="Q2101">
        <v>0.01</v>
      </c>
      <c r="R2101">
        <v>-4.7375236362218798E-2</v>
      </c>
      <c r="S2101">
        <v>-2.0808534696698199E-2</v>
      </c>
      <c r="T2101">
        <v>0.03</v>
      </c>
    </row>
    <row r="2102" spans="1:20" x14ac:dyDescent="0.3">
      <c r="A2102" t="s">
        <v>148</v>
      </c>
      <c r="B2102">
        <v>2009</v>
      </c>
      <c r="C2102">
        <v>411858.71879999997</v>
      </c>
      <c r="D2102" s="1">
        <v>0</v>
      </c>
      <c r="E2102" s="1">
        <v>0.95708924531936601</v>
      </c>
      <c r="F2102" s="1">
        <v>0.11600000000000001</v>
      </c>
      <c r="G2102" s="1">
        <f t="shared" si="64"/>
        <v>4.4999999999999998E-2</v>
      </c>
      <c r="H2102" s="1" t="str">
        <f t="shared" si="65"/>
        <v/>
      </c>
      <c r="I2102" s="1">
        <v>-6.0000000000000001E-3</v>
      </c>
      <c r="J2102" s="1">
        <f>+D2102-F2102+I2102*O2102</f>
        <v>-0.13538</v>
      </c>
      <c r="K2102" s="1">
        <v>-5.1375236362218898E-2</v>
      </c>
      <c r="L2102" s="1">
        <f>+K2102-J2102</f>
        <v>8.4004763637781102E-2</v>
      </c>
      <c r="M2102" s="1">
        <v>-4.7375236362218798E-2</v>
      </c>
      <c r="N2102" s="1">
        <f>+M2102-J2102</f>
        <v>8.8004763637781203E-2</v>
      </c>
      <c r="O2102">
        <v>3.23</v>
      </c>
      <c r="P2102" t="s">
        <v>17</v>
      </c>
      <c r="Q2102">
        <v>-0.02</v>
      </c>
      <c r="R2102">
        <v>-5.8487832397222999E-3</v>
      </c>
      <c r="S2102">
        <v>3.6113255191593798E-3</v>
      </c>
      <c r="T2102">
        <v>0.1</v>
      </c>
    </row>
    <row r="2103" spans="1:20" x14ac:dyDescent="0.3">
      <c r="A2103" t="s">
        <v>148</v>
      </c>
      <c r="B2103">
        <v>2010</v>
      </c>
      <c r="C2103">
        <v>417743.71879999997</v>
      </c>
      <c r="D2103" s="1">
        <v>0</v>
      </c>
      <c r="E2103" s="1">
        <v>0.96025538444518999</v>
      </c>
      <c r="F2103" s="1">
        <v>-5.0000000000000001E-3</v>
      </c>
      <c r="G2103" s="1">
        <f t="shared" si="64"/>
        <v>0.04</v>
      </c>
      <c r="H2103" s="1" t="str">
        <f t="shared" si="65"/>
        <v/>
      </c>
      <c r="I2103" s="1">
        <v>3.0000000000000001E-3</v>
      </c>
      <c r="J2103" s="1">
        <f>+D2103-F2103+I2103*O2103</f>
        <v>1.4630000000000001E-2</v>
      </c>
      <c r="K2103" s="1">
        <v>1.01512167602777E-2</v>
      </c>
      <c r="L2103" s="1">
        <f>+K2103-J2103</f>
        <v>-4.4787832397223011E-3</v>
      </c>
      <c r="M2103" s="1">
        <v>-5.8487832397222999E-3</v>
      </c>
      <c r="N2103" s="1">
        <f>+M2103-J2103</f>
        <v>-2.0478783239722301E-2</v>
      </c>
      <c r="O2103">
        <v>3.21</v>
      </c>
      <c r="P2103" t="s">
        <v>17</v>
      </c>
      <c r="Q2103">
        <v>0</v>
      </c>
      <c r="R2103">
        <v>-2.3293098777532498E-2</v>
      </c>
      <c r="S2103">
        <v>-2.0093242637812701E-3</v>
      </c>
      <c r="T2103">
        <v>-0.01</v>
      </c>
    </row>
    <row r="2104" spans="1:20" x14ac:dyDescent="0.3">
      <c r="A2104" t="s">
        <v>148</v>
      </c>
      <c r="B2104">
        <v>2011</v>
      </c>
      <c r="C2104">
        <v>422396.21879999997</v>
      </c>
      <c r="D2104" s="1">
        <v>1E-3</v>
      </c>
      <c r="E2104" s="1">
        <v>0.95827919244766202</v>
      </c>
      <c r="F2104" s="1">
        <v>2.9000000000000001E-2</v>
      </c>
      <c r="G2104" s="1">
        <f t="shared" si="64"/>
        <v>6.9000000000000006E-2</v>
      </c>
      <c r="H2104" s="1" t="str">
        <f t="shared" si="65"/>
        <v/>
      </c>
      <c r="I2104" s="1">
        <v>-2E-3</v>
      </c>
      <c r="J2104" s="1">
        <f>+D2104-F2104+I2104*O2104</f>
        <v>-3.4599999999999999E-2</v>
      </c>
      <c r="K2104" s="1">
        <v>8.7069012224674208E-3</v>
      </c>
      <c r="L2104" s="1">
        <f>+K2104-J2104</f>
        <v>4.3306901222467421E-2</v>
      </c>
      <c r="M2104" s="1">
        <v>-2.3293098777532498E-2</v>
      </c>
      <c r="N2104" s="1">
        <f>+M2104-J2104</f>
        <v>1.13069012224675E-2</v>
      </c>
      <c r="O2104">
        <v>3.3</v>
      </c>
      <c r="P2104" t="s">
        <v>17</v>
      </c>
      <c r="Q2104">
        <v>0</v>
      </c>
      <c r="R2104">
        <v>-2.3167154788970999E-3</v>
      </c>
      <c r="S2104">
        <v>3.1214905902742902E-3</v>
      </c>
      <c r="T2104">
        <v>0.03</v>
      </c>
    </row>
    <row r="2105" spans="1:20" x14ac:dyDescent="0.3">
      <c r="A2105" t="s">
        <v>148</v>
      </c>
      <c r="B2105">
        <v>2012</v>
      </c>
      <c r="C2105">
        <v>426539.09379999997</v>
      </c>
      <c r="D2105" s="1">
        <v>0</v>
      </c>
      <c r="E2105" s="1">
        <v>0.95815885066986095</v>
      </c>
      <c r="F2105" s="1">
        <v>-5.3999999999999999E-2</v>
      </c>
      <c r="G2105" s="1">
        <f t="shared" si="64"/>
        <v>1.5000000000000006E-2</v>
      </c>
      <c r="H2105" s="1" t="str">
        <f t="shared" si="65"/>
        <v/>
      </c>
      <c r="I2105" s="1">
        <v>0</v>
      </c>
      <c r="J2105" s="1">
        <f>+D2105-F2105+I2105*O2105</f>
        <v>5.3999999999999999E-2</v>
      </c>
      <c r="K2105" s="1">
        <v>1.8683284521102898E-2</v>
      </c>
      <c r="L2105" s="1">
        <f>+K2105-J2105</f>
        <v>-3.5316715478897101E-2</v>
      </c>
      <c r="M2105" s="1">
        <v>-2.3167154788970999E-3</v>
      </c>
      <c r="N2105" s="1">
        <f>+M2105-J2105</f>
        <v>-5.6316715478897099E-2</v>
      </c>
      <c r="O2105">
        <v>3.12</v>
      </c>
      <c r="P2105" t="s">
        <v>16</v>
      </c>
      <c r="Q2105">
        <v>0</v>
      </c>
      <c r="R2105">
        <v>8.3455039560794992E-3</v>
      </c>
      <c r="S2105">
        <v>2.2187326103448998E-3</v>
      </c>
      <c r="T2105">
        <v>-0.06</v>
      </c>
    </row>
    <row r="2106" spans="1:20" x14ac:dyDescent="0.3">
      <c r="A2106" t="s">
        <v>148</v>
      </c>
      <c r="B2106">
        <v>2013</v>
      </c>
      <c r="C2106">
        <v>429112.21879999997</v>
      </c>
      <c r="D2106" s="1">
        <v>0</v>
      </c>
      <c r="E2106" s="1">
        <v>0.96138936281204201</v>
      </c>
      <c r="F2106" s="1">
        <v>-4.0000000000000001E-3</v>
      </c>
      <c r="G2106" s="1">
        <f t="shared" si="64"/>
        <v>1.1000000000000006E-2</v>
      </c>
      <c r="H2106" s="1" t="str">
        <f t="shared" si="65"/>
        <v/>
      </c>
      <c r="I2106" s="1">
        <v>3.0000000000000001E-3</v>
      </c>
      <c r="J2106" s="1">
        <f>+D2106-F2106+I2106*O2106</f>
        <v>1.333E-2</v>
      </c>
      <c r="K2106" s="1">
        <v>2.33455039560795E-2</v>
      </c>
      <c r="L2106" s="1">
        <f>+K2106-J2106</f>
        <v>1.0015503956079501E-2</v>
      </c>
      <c r="M2106" s="1">
        <v>8.3455039560794992E-3</v>
      </c>
      <c r="N2106" s="1">
        <f>+M2106-J2106</f>
        <v>-4.9844960439205006E-3</v>
      </c>
      <c r="O2106">
        <v>3.11</v>
      </c>
      <c r="P2106" t="s">
        <v>17</v>
      </c>
      <c r="Q2106">
        <v>0</v>
      </c>
      <c r="R2106">
        <v>1.5639363616704899E-2</v>
      </c>
      <c r="S2106">
        <v>1.3631340116262301E-2</v>
      </c>
      <c r="T2106">
        <v>-0.01</v>
      </c>
    </row>
    <row r="2107" spans="1:20" x14ac:dyDescent="0.3">
      <c r="A2107" t="s">
        <v>148</v>
      </c>
      <c r="B2107">
        <v>2014</v>
      </c>
      <c r="C2107">
        <v>431793.5</v>
      </c>
      <c r="D2107" s="1">
        <v>0</v>
      </c>
      <c r="E2107" s="1">
        <v>0.96587252616882302</v>
      </c>
      <c r="F2107" s="1">
        <v>1.7999999999999999E-2</v>
      </c>
      <c r="G2107" s="1">
        <f t="shared" si="64"/>
        <v>2.9000000000000005E-2</v>
      </c>
      <c r="H2107" s="1" t="str">
        <f t="shared" si="65"/>
        <v/>
      </c>
      <c r="I2107" s="1">
        <v>4.0000000000000001E-3</v>
      </c>
      <c r="J2107" s="1">
        <f>+D2107-F2107+I2107*O2107</f>
        <v>-5.3199999999999983E-3</v>
      </c>
      <c r="K2107" s="1">
        <v>3.1639363616704899E-2</v>
      </c>
      <c r="L2107" s="1">
        <f>+K2107-J2107</f>
        <v>3.6959363616704898E-2</v>
      </c>
      <c r="M2107" s="1">
        <v>1.5639363616704899E-2</v>
      </c>
      <c r="N2107" s="1">
        <f>+M2107-J2107</f>
        <v>2.0959363616704897E-2</v>
      </c>
      <c r="O2107">
        <v>3.17</v>
      </c>
      <c r="P2107" t="s">
        <v>15</v>
      </c>
      <c r="Q2107">
        <v>0.01</v>
      </c>
      <c r="R2107">
        <v>8.0480383872985797E-2</v>
      </c>
      <c r="S2107">
        <v>5.0216931849718101E-2</v>
      </c>
      <c r="T2107">
        <v>0.01</v>
      </c>
    </row>
    <row r="2108" spans="1:20" x14ac:dyDescent="0.3">
      <c r="A2108" t="s">
        <v>148</v>
      </c>
      <c r="B2108">
        <v>2015</v>
      </c>
      <c r="C2108">
        <v>434943.78129999997</v>
      </c>
      <c r="D2108" s="1">
        <v>1E-3</v>
      </c>
      <c r="E2108" s="1">
        <v>0.96892011165618896</v>
      </c>
      <c r="F2108" s="1">
        <v>3.7999999999999999E-2</v>
      </c>
      <c r="G2108" s="1">
        <f t="shared" si="64"/>
        <v>6.7000000000000004E-2</v>
      </c>
      <c r="H2108" s="1" t="str">
        <f t="shared" si="65"/>
        <v/>
      </c>
      <c r="I2108" s="1">
        <v>3.0000000000000001E-3</v>
      </c>
      <c r="J2108" s="1">
        <f>+D2108-F2108+I2108*O2108</f>
        <v>-2.7129999999999998E-2</v>
      </c>
      <c r="K2108" s="1">
        <v>8.1480383872985798E-2</v>
      </c>
      <c r="L2108" s="1">
        <f>+K2108-J2108</f>
        <v>0.1086103838729858</v>
      </c>
      <c r="M2108" s="1">
        <v>8.0480383872985797E-2</v>
      </c>
      <c r="N2108" s="1">
        <f>+M2108-J2108</f>
        <v>0.1076103838729858</v>
      </c>
      <c r="O2108">
        <v>3.29</v>
      </c>
      <c r="P2108" t="s">
        <v>15</v>
      </c>
      <c r="Q2108">
        <v>0.05</v>
      </c>
      <c r="R2108">
        <v>4.6124335646629301E-2</v>
      </c>
      <c r="S2108">
        <v>3.2970778644084903E-2</v>
      </c>
      <c r="T2108">
        <v>0.05</v>
      </c>
    </row>
    <row r="2109" spans="1:20" x14ac:dyDescent="0.3">
      <c r="A2109" t="s">
        <v>148</v>
      </c>
      <c r="B2109">
        <v>2016</v>
      </c>
      <c r="C2109">
        <v>438227.28129999997</v>
      </c>
      <c r="D2109" s="1">
        <v>0</v>
      </c>
      <c r="E2109" s="1">
        <v>0.96654033660888705</v>
      </c>
      <c r="F2109" s="1">
        <v>-6.2E-2</v>
      </c>
      <c r="G2109" s="1">
        <f t="shared" si="64"/>
        <v>5.0000000000000044E-3</v>
      </c>
      <c r="H2109" s="1" t="str">
        <f t="shared" si="65"/>
        <v/>
      </c>
      <c r="I2109" s="1">
        <v>-2E-3</v>
      </c>
      <c r="J2109" s="1">
        <f>+D2109-F2109+I2109*O2109</f>
        <v>5.5840000000000001E-2</v>
      </c>
      <c r="K2109" s="1">
        <v>5.9124335646629299E-2</v>
      </c>
      <c r="L2109" s="1">
        <f>+K2109-J2109</f>
        <v>3.2843356466292981E-3</v>
      </c>
      <c r="M2109" s="1">
        <v>4.6124335646629301E-2</v>
      </c>
      <c r="N2109" s="1">
        <f>+M2109-J2109</f>
        <v>-9.7156643533706996E-3</v>
      </c>
      <c r="O2109">
        <v>3.08</v>
      </c>
      <c r="P2109" t="s">
        <v>16</v>
      </c>
      <c r="Q2109">
        <v>0.03</v>
      </c>
      <c r="R2109">
        <v>4.53885250687599E-2</v>
      </c>
      <c r="S2109">
        <v>4.2598951607942602E-2</v>
      </c>
      <c r="T2109">
        <v>-0.06</v>
      </c>
    </row>
    <row r="2110" spans="1:20" x14ac:dyDescent="0.3">
      <c r="A2110" t="s">
        <v>148</v>
      </c>
      <c r="B2110">
        <v>2017</v>
      </c>
      <c r="C2110">
        <v>439095.40629999997</v>
      </c>
      <c r="D2110" s="1">
        <v>2E-3</v>
      </c>
      <c r="E2110" s="1">
        <v>0.97047299146652199</v>
      </c>
      <c r="F2110" s="1">
        <v>0.04</v>
      </c>
      <c r="G2110" s="1">
        <f t="shared" si="64"/>
        <v>4.5000000000000005E-2</v>
      </c>
      <c r="H2110" s="1" t="str">
        <f t="shared" si="65"/>
        <v/>
      </c>
      <c r="I2110" s="1">
        <v>4.0000000000000001E-3</v>
      </c>
      <c r="J2110" s="1">
        <f>+D2110-F2110+I2110*O2110</f>
        <v>-2.5159999999999998E-2</v>
      </c>
      <c r="K2110" s="1">
        <v>6.6388525068759904E-2</v>
      </c>
      <c r="L2110" s="1">
        <f>+K2110-J2110</f>
        <v>9.1548525068759906E-2</v>
      </c>
      <c r="M2110" s="1">
        <v>4.53885250687599E-2</v>
      </c>
      <c r="N2110" s="1">
        <f>+M2110-J2110</f>
        <v>7.0548525068759901E-2</v>
      </c>
      <c r="O2110">
        <v>3.21</v>
      </c>
      <c r="P2110" t="s">
        <v>15</v>
      </c>
      <c r="Q2110">
        <v>0.04</v>
      </c>
      <c r="R2110">
        <v>2.37179661393166E-2</v>
      </c>
      <c r="S2110">
        <v>1.45829431712628E-2</v>
      </c>
      <c r="T2110">
        <v>0.04</v>
      </c>
    </row>
    <row r="2111" spans="1:20" x14ac:dyDescent="0.3">
      <c r="A2111" t="s">
        <v>148</v>
      </c>
      <c r="B2111">
        <v>2018</v>
      </c>
      <c r="C2111">
        <v>439474.3125</v>
      </c>
      <c r="D2111" s="1">
        <v>0</v>
      </c>
      <c r="E2111" s="1">
        <v>0.97383183240890503</v>
      </c>
      <c r="F2111" s="1">
        <v>2.3E-2</v>
      </c>
      <c r="G2111" s="1">
        <f t="shared" si="64"/>
        <v>6.8000000000000005E-2</v>
      </c>
      <c r="H2111" s="1" t="str">
        <f t="shared" si="65"/>
        <v/>
      </c>
      <c r="I2111" s="1">
        <v>3.0000000000000001E-3</v>
      </c>
      <c r="J2111" s="1">
        <f>+D2111-F2111+I2111*O2111</f>
        <v>-1.316E-2</v>
      </c>
      <c r="K2111" s="1">
        <v>4.77179661393166E-2</v>
      </c>
      <c r="L2111" s="1">
        <f>+K2111-J2111</f>
        <v>6.0877966139316599E-2</v>
      </c>
      <c r="M2111" s="1">
        <v>2.37179661393166E-2</v>
      </c>
      <c r="N2111" s="1">
        <f>+M2111-J2111</f>
        <v>3.6877966139316598E-2</v>
      </c>
      <c r="O2111">
        <v>3.28</v>
      </c>
      <c r="P2111" t="s">
        <v>15</v>
      </c>
      <c r="Q2111">
        <v>0.01</v>
      </c>
      <c r="R2111">
        <v>2.08658680021763E-2</v>
      </c>
      <c r="S2111">
        <v>3.06467339396479E-3</v>
      </c>
      <c r="T2111">
        <v>0.03</v>
      </c>
    </row>
    <row r="2112" spans="1:20" x14ac:dyDescent="0.3">
      <c r="A2112" t="s">
        <v>148</v>
      </c>
      <c r="B2112">
        <v>2019</v>
      </c>
      <c r="C2112">
        <v>439754.3125</v>
      </c>
      <c r="D2112" s="1">
        <v>0</v>
      </c>
      <c r="E2112" s="1">
        <v>0.97274369001388505</v>
      </c>
      <c r="F2112" s="1">
        <v>-7.0000000000000001E-3</v>
      </c>
      <c r="G2112" s="1">
        <f t="shared" si="64"/>
        <v>6.1000000000000006E-2</v>
      </c>
      <c r="H2112" s="1" t="str">
        <f t="shared" si="65"/>
        <v/>
      </c>
      <c r="I2112" s="1">
        <v>-1E-3</v>
      </c>
      <c r="J2112" s="1">
        <f>+D2112-F2112+I2112*O2112</f>
        <v>3.7400000000000003E-3</v>
      </c>
      <c r="K2112" s="1">
        <v>3.8865868002176299E-2</v>
      </c>
      <c r="L2112" s="1">
        <f>+K2112-J2112</f>
        <v>3.5125868002176298E-2</v>
      </c>
      <c r="M2112" s="1">
        <v>2.08658680021763E-2</v>
      </c>
      <c r="N2112" s="1">
        <f>+M2112-J2112</f>
        <v>1.71258680021763E-2</v>
      </c>
      <c r="O2112">
        <v>3.26</v>
      </c>
      <c r="P2112" t="s">
        <v>16</v>
      </c>
      <c r="Q2112">
        <v>0</v>
      </c>
      <c r="R2112">
        <v>3.1525934219360299E-2</v>
      </c>
      <c r="S2112">
        <v>1.2676743790507299E-2</v>
      </c>
      <c r="T2112">
        <v>0</v>
      </c>
    </row>
    <row r="2113" spans="1:20" x14ac:dyDescent="0.3">
      <c r="A2113" t="s">
        <v>148</v>
      </c>
      <c r="B2113">
        <v>2020</v>
      </c>
      <c r="C2113">
        <v>440176.90629999997</v>
      </c>
      <c r="D2113" s="1">
        <v>1E-3</v>
      </c>
      <c r="E2113" s="1">
        <v>0.97434812784194902</v>
      </c>
      <c r="F2113" s="1">
        <v>-9.4E-2</v>
      </c>
      <c r="G2113" s="1">
        <f t="shared" si="64"/>
        <v>-3.2999999999999995E-2</v>
      </c>
      <c r="H2113" s="1" t="str">
        <f t="shared" si="65"/>
        <v/>
      </c>
      <c r="I2113" s="1">
        <v>2E-3</v>
      </c>
      <c r="J2113" s="1">
        <f>+D2113-F2113+I2113*O2113</f>
        <v>0.1009</v>
      </c>
      <c r="K2113" s="1">
        <v>4.35259342193604E-2</v>
      </c>
      <c r="L2113" s="1">
        <f>+K2113-J2113</f>
        <v>-5.7374065780639603E-2</v>
      </c>
      <c r="M2113" s="1">
        <v>3.1525934219360299E-2</v>
      </c>
      <c r="N2113" s="1">
        <f>+M2113-J2113</f>
        <v>-6.9374065780639704E-2</v>
      </c>
      <c r="O2113">
        <v>2.95</v>
      </c>
      <c r="P2113" t="s">
        <v>17</v>
      </c>
      <c r="Q2113">
        <v>0.01</v>
      </c>
      <c r="R2113">
        <v>3.4232152879238101E-2</v>
      </c>
      <c r="S2113">
        <v>-9.3574598431588E-3</v>
      </c>
      <c r="T2113">
        <v>-0.05</v>
      </c>
    </row>
    <row r="2114" spans="1:20" x14ac:dyDescent="0.3">
      <c r="A2114" t="s">
        <v>148</v>
      </c>
      <c r="B2114">
        <v>2021</v>
      </c>
      <c r="C2114">
        <v>438443.125</v>
      </c>
      <c r="D2114" s="1">
        <v>1E-3</v>
      </c>
      <c r="E2114" s="1">
        <v>0.97877329587936401</v>
      </c>
      <c r="F2114" s="1">
        <v>4.4999999999999998E-2</v>
      </c>
      <c r="G2114" s="1">
        <f t="shared" si="64"/>
        <v>1.2000000000000004E-2</v>
      </c>
      <c r="H2114" s="1" t="str">
        <f t="shared" si="65"/>
        <v/>
      </c>
      <c r="I2114" s="1">
        <v>4.0000000000000001E-3</v>
      </c>
      <c r="J2114" s="1">
        <f>+D2114-F2114+I2114*O2114</f>
        <v>-3.168E-2</v>
      </c>
      <c r="K2114" s="1">
        <v>8.1232152879238101E-2</v>
      </c>
      <c r="L2114" s="1">
        <f>+K2114-J2114</f>
        <v>0.1129121528792381</v>
      </c>
      <c r="M2114" s="1">
        <v>3.4232152879238101E-2</v>
      </c>
      <c r="N2114" s="1">
        <f>+M2114-J2114</f>
        <v>6.5912152879238101E-2</v>
      </c>
      <c r="O2114">
        <v>3.08</v>
      </c>
      <c r="P2114" t="s">
        <v>15</v>
      </c>
      <c r="Q2114">
        <v>-0.01</v>
      </c>
      <c r="R2114">
        <v>-5.1894750371575399E-2</v>
      </c>
      <c r="S2114">
        <v>-1.9791243597865001E-2</v>
      </c>
      <c r="T2114">
        <v>0.02</v>
      </c>
    </row>
    <row r="2115" spans="1:20" x14ac:dyDescent="0.3">
      <c r="A2115" t="s">
        <v>148</v>
      </c>
      <c r="B2115">
        <v>2022</v>
      </c>
      <c r="C2115">
        <v>436150.59379999997</v>
      </c>
      <c r="D2115" s="1">
        <v>6.0000000000000001E-3</v>
      </c>
      <c r="E2115" s="1">
        <v>0.97600412368774403</v>
      </c>
      <c r="F2115" s="1">
        <v>5.2999999999999999E-2</v>
      </c>
      <c r="G2115" s="1">
        <f t="shared" si="64"/>
        <v>6.5000000000000002E-2</v>
      </c>
      <c r="H2115" s="1" t="str">
        <f t="shared" si="65"/>
        <v/>
      </c>
      <c r="I2115" s="1">
        <v>-3.0000000000000001E-3</v>
      </c>
      <c r="J2115" s="1">
        <f>+D2115-F2115+I2115*O2115</f>
        <v>-5.6750000000000002E-2</v>
      </c>
      <c r="K2115" s="1">
        <v>2.8105249628424599E-2</v>
      </c>
      <c r="L2115" s="1">
        <f>+K2115-J2115</f>
        <v>8.4855249628424598E-2</v>
      </c>
      <c r="M2115" s="1">
        <v>-5.1894750371575399E-2</v>
      </c>
      <c r="N2115" s="1">
        <f>+M2115-J2115</f>
        <v>4.855249628424603E-3</v>
      </c>
      <c r="O2115">
        <v>3.25</v>
      </c>
      <c r="P2115" t="s">
        <v>17</v>
      </c>
      <c r="Q2115">
        <v>-0.02</v>
      </c>
      <c r="R2115">
        <v>2.4644669294357001E-3</v>
      </c>
      <c r="S2115">
        <v>2.2023394703864999E-2</v>
      </c>
      <c r="T2115">
        <v>7.0000000000000007E-2</v>
      </c>
    </row>
    <row r="2116" spans="1:20" x14ac:dyDescent="0.3">
      <c r="A2116" t="s">
        <v>149</v>
      </c>
      <c r="B2116">
        <v>2006</v>
      </c>
      <c r="C2116">
        <v>1023038</v>
      </c>
      <c r="D2116" s="1">
        <v>1.0999999999999999E-2</v>
      </c>
      <c r="E2116" s="1">
        <v>0.94521552324295</v>
      </c>
      <c r="F2116" s="1">
        <v>8.5000000000000006E-2</v>
      </c>
      <c r="G2116" s="1">
        <f t="shared" si="64"/>
        <v>8.5000000000000006E-2</v>
      </c>
      <c r="H2116" s="1" t="str">
        <f t="shared" si="65"/>
        <v/>
      </c>
      <c r="I2116" s="1">
        <v>1.7000000000000001E-2</v>
      </c>
      <c r="J2116" s="1">
        <f>+D2116-F2116+I2116*O2116</f>
        <v>-3.0820000000000007E-2</v>
      </c>
      <c r="K2116" s="1">
        <v>4.4522650539875003E-2</v>
      </c>
      <c r="L2116" s="1">
        <f>+K2116-J2116</f>
        <v>7.5342650539875017E-2</v>
      </c>
      <c r="M2116" s="1">
        <v>1.2522650539875E-2</v>
      </c>
      <c r="N2116" s="1">
        <f>+M2116-J2116</f>
        <v>4.3342650539875009E-2</v>
      </c>
      <c r="O2116">
        <v>2.54</v>
      </c>
      <c r="P2116" t="s">
        <v>15</v>
      </c>
      <c r="Q2116">
        <v>0.01</v>
      </c>
      <c r="R2116">
        <v>6.1909175574779499E-2</v>
      </c>
      <c r="S2116">
        <v>6.2830931507051005E-2</v>
      </c>
      <c r="T2116">
        <v>0.08</v>
      </c>
    </row>
    <row r="2117" spans="1:20" x14ac:dyDescent="0.3">
      <c r="A2117" t="s">
        <v>149</v>
      </c>
      <c r="B2117">
        <v>2007</v>
      </c>
      <c r="C2117">
        <v>1042014.063</v>
      </c>
      <c r="D2117" s="1">
        <v>6.0000000000000001E-3</v>
      </c>
      <c r="E2117" s="1">
        <v>0.948566734790802</v>
      </c>
      <c r="F2117" s="1">
        <v>-7.0000000000000001E-3</v>
      </c>
      <c r="G2117" s="1">
        <f t="shared" si="64"/>
        <v>7.8E-2</v>
      </c>
      <c r="H2117" s="1" t="str">
        <f t="shared" si="65"/>
        <v/>
      </c>
      <c r="I2117" s="1">
        <v>3.0000000000000001E-3</v>
      </c>
      <c r="J2117" s="1">
        <f>+D2117-F2117+I2117*O2117</f>
        <v>2.0560000000000002E-2</v>
      </c>
      <c r="K2117" s="1">
        <v>9.0909175574779497E-2</v>
      </c>
      <c r="L2117" s="1">
        <f>+K2117-J2117</f>
        <v>7.0349175574779488E-2</v>
      </c>
      <c r="M2117" s="1">
        <v>6.1909175574779499E-2</v>
      </c>
      <c r="N2117" s="1">
        <f>+M2117-J2117</f>
        <v>4.1349175574779497E-2</v>
      </c>
      <c r="O2117">
        <v>2.52</v>
      </c>
      <c r="P2117" t="s">
        <v>17</v>
      </c>
      <c r="Q2117">
        <v>0.06</v>
      </c>
      <c r="R2117">
        <v>-6.7371624708179696E-4</v>
      </c>
      <c r="S2117">
        <v>2.8837088029831599E-2</v>
      </c>
      <c r="T2117">
        <v>-0.01</v>
      </c>
    </row>
    <row r="2118" spans="1:20" x14ac:dyDescent="0.3">
      <c r="A2118" t="s">
        <v>149</v>
      </c>
      <c r="B2118">
        <v>2008</v>
      </c>
      <c r="C2118">
        <v>1060145</v>
      </c>
      <c r="D2118" s="1">
        <v>1.7999999999999999E-2</v>
      </c>
      <c r="E2118" s="1">
        <v>0.92951023578643799</v>
      </c>
      <c r="F2118" s="1">
        <v>6.0000000000000001E-3</v>
      </c>
      <c r="G2118" s="1">
        <f t="shared" si="64"/>
        <v>8.4000000000000005E-2</v>
      </c>
      <c r="H2118" s="1" t="str">
        <f t="shared" si="65"/>
        <v/>
      </c>
      <c r="I2118" s="1">
        <v>-1.9E-2</v>
      </c>
      <c r="J2118" s="1">
        <f>+D2118-F2118+I2118*O2118</f>
        <v>-3.6260000000000001E-2</v>
      </c>
      <c r="K2118" s="1">
        <v>3.7326283752918202E-2</v>
      </c>
      <c r="L2118" s="1">
        <f>+K2118-J2118</f>
        <v>7.3586283752918202E-2</v>
      </c>
      <c r="M2118" s="1">
        <v>-6.7371624708179696E-4</v>
      </c>
      <c r="N2118" s="1">
        <f>+M2118-J2118</f>
        <v>3.5586283752918203E-2</v>
      </c>
      <c r="O2118">
        <v>2.54</v>
      </c>
      <c r="P2118" t="s">
        <v>17</v>
      </c>
      <c r="Q2118">
        <v>0.03</v>
      </c>
      <c r="R2118">
        <v>-3.3968441843986397E-2</v>
      </c>
      <c r="S2118">
        <v>-7.4017401784658397E-3</v>
      </c>
      <c r="T2118">
        <v>0</v>
      </c>
    </row>
    <row r="2119" spans="1:20" x14ac:dyDescent="0.3">
      <c r="A2119" t="s">
        <v>149</v>
      </c>
      <c r="B2119">
        <v>2009</v>
      </c>
      <c r="C2119">
        <v>1078579</v>
      </c>
      <c r="D2119" s="1">
        <v>3.5999999999999997E-2</v>
      </c>
      <c r="E2119" s="1">
        <v>0.90821719169616699</v>
      </c>
      <c r="F2119" s="1">
        <v>-4.2000000000000003E-2</v>
      </c>
      <c r="G2119" s="1">
        <f t="shared" ref="G2119:G2182" si="66">SUMIFS(F:F,A:A,A2119,B:B,"&lt;="&amp;B2119)</f>
        <v>4.2000000000000003E-2</v>
      </c>
      <c r="H2119" s="1" t="str">
        <f t="shared" ref="H2119:H2182" si="67">IFERROR(IF(ABS(G2119)&gt;0.12,AVERAGEIFS(K:K,A:A,A2119,B:B,"&gt;"&amp;B2119,B:B,"&lt;"&amp;B2119+3),""),"")</f>
        <v/>
      </c>
      <c r="I2119" s="1">
        <v>-2.1000000000000001E-2</v>
      </c>
      <c r="J2119" s="1">
        <f>+D2119-F2119+I2119*O2119</f>
        <v>2.6969999999999994E-2</v>
      </c>
      <c r="K2119" s="1">
        <v>-3.7968441843986497E-2</v>
      </c>
      <c r="L2119" s="1">
        <f>+K2119-J2119</f>
        <v>-6.4938441843986491E-2</v>
      </c>
      <c r="M2119" s="1">
        <v>-3.3968441843986397E-2</v>
      </c>
      <c r="N2119" s="1">
        <f>+M2119-J2119</f>
        <v>-6.0938441843986391E-2</v>
      </c>
      <c r="O2119">
        <v>2.4300000000000002</v>
      </c>
      <c r="P2119" t="s">
        <v>16</v>
      </c>
      <c r="Q2119">
        <v>-0.01</v>
      </c>
      <c r="R2119">
        <v>-2.81617391705513E-2</v>
      </c>
      <c r="S2119">
        <v>-1.8701630411669602E-2</v>
      </c>
      <c r="T2119">
        <v>-0.06</v>
      </c>
    </row>
    <row r="2120" spans="1:20" x14ac:dyDescent="0.3">
      <c r="A2120" t="s">
        <v>149</v>
      </c>
      <c r="B2120">
        <v>2010</v>
      </c>
      <c r="C2120">
        <v>1096394</v>
      </c>
      <c r="D2120" s="1">
        <v>3.1E-2</v>
      </c>
      <c r="E2120" s="1">
        <v>0.91719383001327504</v>
      </c>
      <c r="F2120" s="1">
        <v>7.6999999999999999E-2</v>
      </c>
      <c r="G2120" s="1">
        <f t="shared" si="66"/>
        <v>0.11899999999999999</v>
      </c>
      <c r="H2120" s="1" t="str">
        <f t="shared" si="67"/>
        <v/>
      </c>
      <c r="I2120" s="1">
        <v>8.9999999999999993E-3</v>
      </c>
      <c r="J2120" s="1">
        <f>+D2120-F2120+I2120*O2120</f>
        <v>-2.2419999999999999E-2</v>
      </c>
      <c r="K2120" s="1">
        <v>-1.21617391705513E-2</v>
      </c>
      <c r="L2120" s="1">
        <f>+K2120-J2120</f>
        <v>1.0258260829448699E-2</v>
      </c>
      <c r="M2120" s="1">
        <v>-2.81617391705513E-2</v>
      </c>
      <c r="N2120" s="1">
        <f>+M2120-J2120</f>
        <v>-5.7417391705513014E-3</v>
      </c>
      <c r="O2120">
        <v>2.62</v>
      </c>
      <c r="P2120" t="s">
        <v>15</v>
      </c>
      <c r="Q2120">
        <v>-0.02</v>
      </c>
      <c r="R2120">
        <v>-1.7118442215025401E-2</v>
      </c>
      <c r="S2120">
        <v>4.1653322987258903E-3</v>
      </c>
      <c r="T2120">
        <v>7.0000000000000007E-2</v>
      </c>
    </row>
    <row r="2121" spans="1:20" x14ac:dyDescent="0.3">
      <c r="A2121" t="s">
        <v>149</v>
      </c>
      <c r="B2121">
        <v>2011</v>
      </c>
      <c r="C2121">
        <v>1114066</v>
      </c>
      <c r="D2121" s="1">
        <v>3.0000000000000001E-3</v>
      </c>
      <c r="E2121" s="1">
        <v>0.92515808343887296</v>
      </c>
      <c r="F2121" s="1">
        <v>-2.8000000000000001E-2</v>
      </c>
      <c r="G2121" s="1">
        <f t="shared" si="66"/>
        <v>9.0999999999999998E-2</v>
      </c>
      <c r="H2121" s="1" t="str">
        <f t="shared" si="67"/>
        <v/>
      </c>
      <c r="I2121" s="1">
        <v>8.0000000000000002E-3</v>
      </c>
      <c r="J2121" s="1">
        <f>+D2121-F2121+I2121*O2121</f>
        <v>5.1320000000000005E-2</v>
      </c>
      <c r="K2121" s="1">
        <v>1.4881557784974599E-2</v>
      </c>
      <c r="L2121" s="1">
        <f>+K2121-J2121</f>
        <v>-3.6438442215025402E-2</v>
      </c>
      <c r="M2121" s="1">
        <v>-1.7118442215025401E-2</v>
      </c>
      <c r="N2121" s="1">
        <f>+M2121-J2121</f>
        <v>-6.8438442215025402E-2</v>
      </c>
      <c r="O2121">
        <v>2.54</v>
      </c>
      <c r="P2121" t="s">
        <v>17</v>
      </c>
      <c r="Q2121">
        <v>0</v>
      </c>
      <c r="R2121">
        <v>2.3214348554610898E-3</v>
      </c>
      <c r="S2121">
        <v>7.7596409246324903E-3</v>
      </c>
      <c r="T2121">
        <v>-0.03</v>
      </c>
    </row>
    <row r="2122" spans="1:20" x14ac:dyDescent="0.3">
      <c r="A2122" t="s">
        <v>149</v>
      </c>
      <c r="B2122">
        <v>2012</v>
      </c>
      <c r="C2122">
        <v>1133068</v>
      </c>
      <c r="D2122" s="1">
        <v>1.4999999999999999E-2</v>
      </c>
      <c r="E2122" s="1">
        <v>0.93755459785461404</v>
      </c>
      <c r="F2122" s="1">
        <v>2.1000000000000001E-2</v>
      </c>
      <c r="G2122" s="1">
        <f t="shared" si="66"/>
        <v>0.112</v>
      </c>
      <c r="H2122" s="1" t="str">
        <f t="shared" si="67"/>
        <v/>
      </c>
      <c r="I2122" s="1">
        <v>1.2E-2</v>
      </c>
      <c r="J2122" s="1">
        <f>+D2122-F2122+I2122*O2122</f>
        <v>2.52E-2</v>
      </c>
      <c r="K2122" s="1">
        <v>2.33214348554611E-2</v>
      </c>
      <c r="L2122" s="1">
        <f>+K2122-J2122</f>
        <v>-1.8785651445389004E-3</v>
      </c>
      <c r="M2122" s="1">
        <v>2.3214348554610898E-3</v>
      </c>
      <c r="N2122" s="1">
        <f>+M2122-J2122</f>
        <v>-2.2878565144538912E-2</v>
      </c>
      <c r="O2122">
        <v>2.6</v>
      </c>
      <c r="P2122" t="s">
        <v>15</v>
      </c>
      <c r="Q2122">
        <v>0.01</v>
      </c>
      <c r="R2122">
        <v>1.0260522961616499E-2</v>
      </c>
      <c r="S2122">
        <v>4.1337516158818904E-3</v>
      </c>
      <c r="T2122">
        <v>0.02</v>
      </c>
    </row>
    <row r="2123" spans="1:20" x14ac:dyDescent="0.3">
      <c r="A2123" t="s">
        <v>149</v>
      </c>
      <c r="B2123">
        <v>2013</v>
      </c>
      <c r="C2123">
        <v>1150037</v>
      </c>
      <c r="D2123" s="1">
        <v>3.5999999999999997E-2</v>
      </c>
      <c r="E2123" s="1">
        <v>0.93472898006439198</v>
      </c>
      <c r="F2123" s="1">
        <v>2.5999999999999999E-2</v>
      </c>
      <c r="G2123" s="1">
        <f t="shared" si="66"/>
        <v>0.13800000000000001</v>
      </c>
      <c r="H2123" s="1">
        <f t="shared" si="67"/>
        <v>2.7381408959627151E-2</v>
      </c>
      <c r="I2123" s="1">
        <v>-3.0000000000000001E-3</v>
      </c>
      <c r="J2123" s="1">
        <f>+D2123-F2123+I2123*O2123</f>
        <v>2.0199999999999975E-3</v>
      </c>
      <c r="K2123" s="1">
        <v>2.5260522961616499E-2</v>
      </c>
      <c r="L2123" s="1">
        <f>+K2123-J2123</f>
        <v>2.3240522961616501E-2</v>
      </c>
      <c r="M2123" s="1">
        <v>1.0260522961616499E-2</v>
      </c>
      <c r="N2123" s="1">
        <f>+M2123-J2123</f>
        <v>8.2405229616165018E-3</v>
      </c>
      <c r="O2123">
        <v>2.66</v>
      </c>
      <c r="P2123" t="s">
        <v>17</v>
      </c>
      <c r="Q2123">
        <v>0</v>
      </c>
      <c r="R2123">
        <v>1.58377999067309E-3</v>
      </c>
      <c r="S2123">
        <v>-4.2424350976940099E-4</v>
      </c>
      <c r="T2123">
        <v>0.02</v>
      </c>
    </row>
    <row r="2124" spans="1:20" x14ac:dyDescent="0.3">
      <c r="A2124" t="s">
        <v>149</v>
      </c>
      <c r="B2124">
        <v>2014</v>
      </c>
      <c r="C2124">
        <v>1164148</v>
      </c>
      <c r="D2124" s="1">
        <v>0.03</v>
      </c>
      <c r="E2124" s="1">
        <v>0.93398326635360696</v>
      </c>
      <c r="F2124" s="1">
        <v>-6.0000000000000001E-3</v>
      </c>
      <c r="G2124" s="1">
        <f t="shared" si="66"/>
        <v>0.13200000000000001</v>
      </c>
      <c r="H2124" s="1">
        <f t="shared" si="67"/>
        <v>3.7366125732660252E-2</v>
      </c>
      <c r="I2124" s="1">
        <v>-1E-3</v>
      </c>
      <c r="J2124" s="1">
        <f>+D2124-F2124+I2124*O2124</f>
        <v>3.3349999999999998E-2</v>
      </c>
      <c r="K2124" s="1">
        <v>1.75837799906731E-2</v>
      </c>
      <c r="L2124" s="1">
        <f>+K2124-J2124</f>
        <v>-1.5766220009326898E-2</v>
      </c>
      <c r="M2124" s="1">
        <v>1.58377999067309E-3</v>
      </c>
      <c r="N2124" s="1">
        <f>+M2124-J2124</f>
        <v>-3.1766220009326905E-2</v>
      </c>
      <c r="O2124">
        <v>2.65</v>
      </c>
      <c r="P2124" t="s">
        <v>16</v>
      </c>
      <c r="Q2124">
        <v>0</v>
      </c>
      <c r="R2124">
        <v>3.6179037928581202E-2</v>
      </c>
      <c r="S2124">
        <v>5.9155859053134996E-3</v>
      </c>
      <c r="T2124">
        <v>-0.01</v>
      </c>
    </row>
    <row r="2125" spans="1:20" x14ac:dyDescent="0.3">
      <c r="A2125" t="s">
        <v>149</v>
      </c>
      <c r="B2125">
        <v>2015</v>
      </c>
      <c r="C2125">
        <v>1181217</v>
      </c>
      <c r="D2125" s="1">
        <v>5.7000000000000002E-2</v>
      </c>
      <c r="E2125" s="1">
        <v>0.91892182826995805</v>
      </c>
      <c r="F2125" s="1">
        <v>-3.6999999999999998E-2</v>
      </c>
      <c r="G2125" s="1">
        <f t="shared" si="66"/>
        <v>9.5000000000000001E-2</v>
      </c>
      <c r="H2125" s="1" t="str">
        <f t="shared" si="67"/>
        <v/>
      </c>
      <c r="I2125" s="1">
        <v>-1.4999999999999999E-2</v>
      </c>
      <c r="J2125" s="1">
        <f>+D2125-F2125+I2125*O2125</f>
        <v>5.5750000000000001E-2</v>
      </c>
      <c r="K2125" s="1">
        <v>3.7179037928581203E-2</v>
      </c>
      <c r="L2125" s="1">
        <f>+K2125-J2125</f>
        <v>-1.8570962071418798E-2</v>
      </c>
      <c r="M2125" s="1">
        <v>3.6179037928581202E-2</v>
      </c>
      <c r="N2125" s="1">
        <f>+M2125-J2125</f>
        <v>-1.9570962071418799E-2</v>
      </c>
      <c r="O2125">
        <v>2.5499999999999998</v>
      </c>
      <c r="P2125" t="s">
        <v>16</v>
      </c>
      <c r="Q2125">
        <v>0.01</v>
      </c>
      <c r="R2125">
        <v>2.45532135367393E-2</v>
      </c>
      <c r="S2125">
        <v>1.1399656534194899E-2</v>
      </c>
      <c r="T2125">
        <v>-0.03</v>
      </c>
    </row>
    <row r="2126" spans="1:20" x14ac:dyDescent="0.3">
      <c r="A2126" t="s">
        <v>149</v>
      </c>
      <c r="B2126">
        <v>2016</v>
      </c>
      <c r="C2126">
        <v>1203132</v>
      </c>
      <c r="D2126" s="1">
        <v>2.4E-2</v>
      </c>
      <c r="E2126" s="1">
        <v>0.93312358856201205</v>
      </c>
      <c r="F2126" s="1">
        <v>2.9000000000000001E-2</v>
      </c>
      <c r="G2126" s="1">
        <f t="shared" si="66"/>
        <v>0.124</v>
      </c>
      <c r="H2126" s="1">
        <f t="shared" si="67"/>
        <v>3.021847549825905E-2</v>
      </c>
      <c r="I2126" s="1">
        <v>1.4E-2</v>
      </c>
      <c r="J2126" s="1">
        <f>+D2126-F2126+I2126*O2126</f>
        <v>3.168E-2</v>
      </c>
      <c r="K2126" s="1">
        <v>3.7553213536739301E-2</v>
      </c>
      <c r="L2126" s="1">
        <f>+K2126-J2126</f>
        <v>5.873213536739301E-3</v>
      </c>
      <c r="M2126" s="1">
        <v>2.45532135367393E-2</v>
      </c>
      <c r="N2126" s="1">
        <f>+M2126-J2126</f>
        <v>-7.1267864632607002E-3</v>
      </c>
      <c r="O2126">
        <v>2.62</v>
      </c>
      <c r="P2126" t="s">
        <v>15</v>
      </c>
      <c r="Q2126">
        <v>0.01</v>
      </c>
      <c r="R2126">
        <v>6.1276179701089898E-3</v>
      </c>
      <c r="S2126">
        <v>3.3380445092917E-3</v>
      </c>
      <c r="T2126">
        <v>0.03</v>
      </c>
    </row>
    <row r="2127" spans="1:20" x14ac:dyDescent="0.3">
      <c r="A2127" t="s">
        <v>149</v>
      </c>
      <c r="B2127">
        <v>2017</v>
      </c>
      <c r="C2127">
        <v>1223124</v>
      </c>
      <c r="D2127" s="1">
        <v>5.7000000000000002E-2</v>
      </c>
      <c r="E2127" s="1">
        <v>0.92259728908538796</v>
      </c>
      <c r="F2127" s="1">
        <v>-5.5E-2</v>
      </c>
      <c r="G2127" s="1">
        <f t="shared" si="66"/>
        <v>6.9000000000000006E-2</v>
      </c>
      <c r="H2127" s="1" t="str">
        <f t="shared" si="67"/>
        <v/>
      </c>
      <c r="I2127" s="1">
        <v>-1.0999999999999999E-2</v>
      </c>
      <c r="J2127" s="1">
        <f>+D2127-F2127+I2127*O2127</f>
        <v>8.4720000000000004E-2</v>
      </c>
      <c r="K2127" s="1">
        <v>2.7127617970109E-2</v>
      </c>
      <c r="L2127" s="1">
        <f>+K2127-J2127</f>
        <v>-5.7592382029891004E-2</v>
      </c>
      <c r="M2127" s="1">
        <v>6.1276179701089898E-3</v>
      </c>
      <c r="N2127" s="1">
        <f>+M2127-J2127</f>
        <v>-7.8592382029891009E-2</v>
      </c>
      <c r="O2127">
        <v>2.48</v>
      </c>
      <c r="P2127" t="s">
        <v>16</v>
      </c>
      <c r="Q2127">
        <v>0</v>
      </c>
      <c r="R2127">
        <v>9.3093330264091001E-3</v>
      </c>
      <c r="S2127">
        <v>1.7431005835530299E-4</v>
      </c>
      <c r="T2127">
        <v>-0.05</v>
      </c>
    </row>
    <row r="2128" spans="1:20" x14ac:dyDescent="0.3">
      <c r="A2128" t="s">
        <v>149</v>
      </c>
      <c r="B2128">
        <v>2018</v>
      </c>
      <c r="C2128">
        <v>1238612</v>
      </c>
      <c r="D2128" s="1">
        <v>6.3E-2</v>
      </c>
      <c r="E2128" s="1">
        <v>0.91746062040329002</v>
      </c>
      <c r="F2128" s="1">
        <v>1.2E-2</v>
      </c>
      <c r="G2128" s="1">
        <f t="shared" si="66"/>
        <v>8.1000000000000003E-2</v>
      </c>
      <c r="H2128" s="1" t="str">
        <f t="shared" si="67"/>
        <v/>
      </c>
      <c r="I2128" s="1">
        <v>-5.0000000000000001E-3</v>
      </c>
      <c r="J2128" s="1">
        <f>+D2128-F2128+I2128*O2128</f>
        <v>3.8450000000000005E-2</v>
      </c>
      <c r="K2128" s="1">
        <v>3.3309333026409101E-2</v>
      </c>
      <c r="L2128" s="1">
        <f>+K2128-J2128</f>
        <v>-5.1406669735909044E-3</v>
      </c>
      <c r="M2128" s="1">
        <v>9.3093330264091001E-3</v>
      </c>
      <c r="N2128" s="1">
        <f>+M2128-J2128</f>
        <v>-2.9140666973590905E-2</v>
      </c>
      <c r="O2128">
        <v>2.5099999999999998</v>
      </c>
      <c r="P2128" t="s">
        <v>17</v>
      </c>
      <c r="Q2128">
        <v>0</v>
      </c>
      <c r="R2128">
        <v>1.0570810332894301E-2</v>
      </c>
      <c r="S2128">
        <v>-7.2303842753171999E-3</v>
      </c>
      <c r="T2128">
        <v>0.02</v>
      </c>
    </row>
    <row r="2129" spans="1:20" x14ac:dyDescent="0.3">
      <c r="A2129" t="s">
        <v>149</v>
      </c>
      <c r="B2129">
        <v>2019</v>
      </c>
      <c r="C2129">
        <v>1251918</v>
      </c>
      <c r="D2129" s="1">
        <v>0.06</v>
      </c>
      <c r="E2129" s="1">
        <v>0.90638244152069103</v>
      </c>
      <c r="F2129" s="1">
        <v>-6.8000000000000005E-2</v>
      </c>
      <c r="G2129" s="1">
        <f t="shared" si="66"/>
        <v>1.2999999999999998E-2</v>
      </c>
      <c r="H2129" s="1" t="str">
        <f t="shared" si="67"/>
        <v/>
      </c>
      <c r="I2129" s="1">
        <v>-1.0999999999999999E-2</v>
      </c>
      <c r="J2129" s="1">
        <f>+D2129-F2129+I2129*O2129</f>
        <v>0.10226</v>
      </c>
      <c r="K2129" s="1">
        <v>2.8570810332894301E-2</v>
      </c>
      <c r="L2129" s="1">
        <f>+K2129-J2129</f>
        <v>-7.3689189667105706E-2</v>
      </c>
      <c r="M2129" s="1">
        <v>1.0570810332894301E-2</v>
      </c>
      <c r="N2129" s="1">
        <f>+M2129-J2129</f>
        <v>-9.1689189667105708E-2</v>
      </c>
      <c r="O2129">
        <v>2.34</v>
      </c>
      <c r="P2129" t="s">
        <v>16</v>
      </c>
      <c r="Q2129">
        <v>-0.01</v>
      </c>
      <c r="R2129">
        <v>1.23197493255138E-2</v>
      </c>
      <c r="S2129">
        <v>-6.52944110333919E-3</v>
      </c>
      <c r="T2129">
        <v>-0.06</v>
      </c>
    </row>
    <row r="2130" spans="1:20" x14ac:dyDescent="0.3">
      <c r="A2130" t="s">
        <v>149</v>
      </c>
      <c r="B2130">
        <v>2020</v>
      </c>
      <c r="C2130">
        <v>1261067</v>
      </c>
      <c r="D2130" s="1">
        <v>4.5999999999999999E-2</v>
      </c>
      <c r="E2130" s="1">
        <v>0.92635703086853005</v>
      </c>
      <c r="F2130" s="1">
        <v>-4.3999999999999997E-2</v>
      </c>
      <c r="G2130" s="1">
        <f t="shared" si="66"/>
        <v>-3.1E-2</v>
      </c>
      <c r="H2130" s="1" t="str">
        <f t="shared" si="67"/>
        <v/>
      </c>
      <c r="I2130" s="1">
        <v>0.02</v>
      </c>
      <c r="J2130" s="1">
        <f>+D2130-F2130+I2130*O2130</f>
        <v>0.1348</v>
      </c>
      <c r="K2130" s="1">
        <v>2.4319749325513802E-2</v>
      </c>
      <c r="L2130" s="1">
        <f>+K2130-J2130</f>
        <v>-0.11048025067448621</v>
      </c>
      <c r="M2130" s="1">
        <v>1.23197493255138E-2</v>
      </c>
      <c r="N2130" s="1">
        <f>+M2130-J2130</f>
        <v>-0.1224802506744862</v>
      </c>
      <c r="O2130">
        <v>2.2400000000000002</v>
      </c>
      <c r="P2130" t="s">
        <v>17</v>
      </c>
      <c r="Q2130">
        <v>-0.01</v>
      </c>
      <c r="R2130">
        <v>8.9662334203719996E-2</v>
      </c>
      <c r="S2130">
        <v>4.6072721481323103E-2</v>
      </c>
      <c r="T2130">
        <v>0</v>
      </c>
    </row>
    <row r="2131" spans="1:20" x14ac:dyDescent="0.3">
      <c r="A2131" t="s">
        <v>149</v>
      </c>
      <c r="B2131">
        <v>2021</v>
      </c>
      <c r="C2131">
        <v>1265245</v>
      </c>
      <c r="D2131" s="1">
        <v>0.06</v>
      </c>
      <c r="E2131" s="1">
        <v>0.93726855516433705</v>
      </c>
      <c r="F2131" s="1">
        <v>0.01</v>
      </c>
      <c r="G2131" s="1">
        <f t="shared" si="66"/>
        <v>-2.0999999999999998E-2</v>
      </c>
      <c r="H2131" s="1" t="str">
        <f t="shared" si="67"/>
        <v/>
      </c>
      <c r="I2131" s="1">
        <v>1.0999999999999999E-2</v>
      </c>
      <c r="J2131" s="1">
        <f>+D2131-F2131+I2131*O2131</f>
        <v>7.4859999999999996E-2</v>
      </c>
      <c r="K2131" s="1">
        <v>0.13666233420372001</v>
      </c>
      <c r="L2131" s="1">
        <f>+K2131-J2131</f>
        <v>6.1802334203720014E-2</v>
      </c>
      <c r="M2131" s="1">
        <v>8.9662334203719996E-2</v>
      </c>
      <c r="N2131" s="1">
        <f>+M2131-J2131</f>
        <v>1.480233420372E-2</v>
      </c>
      <c r="O2131">
        <v>2.2599999999999998</v>
      </c>
      <c r="P2131" t="s">
        <v>15</v>
      </c>
      <c r="Q2131">
        <v>0.05</v>
      </c>
      <c r="R2131">
        <v>-3.4527340829372401E-2</v>
      </c>
      <c r="S2131">
        <v>-2.4238340556620901E-3</v>
      </c>
      <c r="T2131">
        <v>-0.02</v>
      </c>
    </row>
    <row r="2132" spans="1:20" x14ac:dyDescent="0.3">
      <c r="A2132" t="s">
        <v>149</v>
      </c>
      <c r="B2132">
        <v>2022</v>
      </c>
      <c r="C2132">
        <v>1274617</v>
      </c>
      <c r="D2132" s="1">
        <v>5.3999999999999999E-2</v>
      </c>
      <c r="E2132" s="1">
        <v>0.906227886676788</v>
      </c>
      <c r="F2132" s="1">
        <v>0.03</v>
      </c>
      <c r="G2132" s="1">
        <f t="shared" si="66"/>
        <v>9.0000000000000011E-3</v>
      </c>
      <c r="H2132" s="1" t="str">
        <f t="shared" si="67"/>
        <v/>
      </c>
      <c r="I2132" s="1">
        <v>-3.1E-2</v>
      </c>
      <c r="J2132" s="1">
        <f>+D2132-F2132+I2132*O2132</f>
        <v>-4.8230000000000002E-2</v>
      </c>
      <c r="K2132" s="1">
        <v>4.5472659170627601E-2</v>
      </c>
      <c r="L2132" s="1">
        <f>+K2132-J2132</f>
        <v>9.3702659170627603E-2</v>
      </c>
      <c r="M2132" s="1">
        <v>-3.4527340829372401E-2</v>
      </c>
      <c r="N2132" s="1">
        <f>+M2132-J2132</f>
        <v>1.3702659170627601E-2</v>
      </c>
      <c r="O2132">
        <v>2.33</v>
      </c>
      <c r="P2132" t="s">
        <v>17</v>
      </c>
      <c r="Q2132">
        <v>0</v>
      </c>
      <c r="R2132">
        <v>-5.4473254628479503E-2</v>
      </c>
      <c r="S2132">
        <v>-3.4914326854050201E-2</v>
      </c>
      <c r="T2132">
        <v>0.05</v>
      </c>
    </row>
    <row r="2133" spans="1:20" x14ac:dyDescent="0.3">
      <c r="A2133" t="s">
        <v>150</v>
      </c>
      <c r="B2133">
        <v>2006</v>
      </c>
      <c r="C2133">
        <v>1970046</v>
      </c>
      <c r="D2133" s="1">
        <v>2.7E-2</v>
      </c>
      <c r="E2133" s="1">
        <v>0.91527324914932295</v>
      </c>
      <c r="F2133" s="1">
        <v>-1.4999999999999999E-2</v>
      </c>
      <c r="G2133" s="1">
        <f t="shared" si="66"/>
        <v>-1.4999999999999999E-2</v>
      </c>
      <c r="H2133" s="1" t="str">
        <f t="shared" si="67"/>
        <v/>
      </c>
      <c r="I2133" s="1">
        <v>8.0000000000000002E-3</v>
      </c>
      <c r="J2133" s="1">
        <f>+D2133-F2133+I2133*O2133</f>
        <v>6.1439999999999995E-2</v>
      </c>
      <c r="K2133" s="1">
        <v>2.8564918786287301E-2</v>
      </c>
      <c r="L2133" s="1">
        <f>+K2133-J2133</f>
        <v>-3.2875081213712694E-2</v>
      </c>
      <c r="M2133" s="1">
        <v>-3.4350812137126999E-3</v>
      </c>
      <c r="N2133" s="1">
        <f>+M2133-J2133</f>
        <v>-6.4875081213712688E-2</v>
      </c>
      <c r="O2133">
        <v>2.4300000000000002</v>
      </c>
      <c r="P2133" t="s">
        <v>17</v>
      </c>
      <c r="Q2133">
        <v>-0.01</v>
      </c>
      <c r="R2133">
        <v>-3.0885980427265E-3</v>
      </c>
      <c r="S2133">
        <v>-2.1668421104549902E-3</v>
      </c>
      <c r="T2133">
        <v>-0.02</v>
      </c>
    </row>
    <row r="2134" spans="1:20" x14ac:dyDescent="0.3">
      <c r="A2134" t="s">
        <v>150</v>
      </c>
      <c r="B2134">
        <v>2007</v>
      </c>
      <c r="C2134">
        <v>2023963</v>
      </c>
      <c r="D2134" s="1">
        <v>3.2000000000000001E-2</v>
      </c>
      <c r="E2134" s="1">
        <v>0.91664665937423695</v>
      </c>
      <c r="F2134" s="1">
        <v>-3.5000000000000003E-2</v>
      </c>
      <c r="G2134" s="1">
        <f t="shared" si="66"/>
        <v>-0.05</v>
      </c>
      <c r="H2134" s="1" t="str">
        <f t="shared" si="67"/>
        <v/>
      </c>
      <c r="I2134" s="1">
        <v>1E-3</v>
      </c>
      <c r="J2134" s="1">
        <f>+D2134-F2134+I2134*O2134</f>
        <v>6.9350000000000009E-2</v>
      </c>
      <c r="K2134" s="1">
        <v>2.5911401957273501E-2</v>
      </c>
      <c r="L2134" s="1">
        <f>+K2134-J2134</f>
        <v>-4.3438598042726512E-2</v>
      </c>
      <c r="M2134" s="1">
        <v>-3.0885980427265E-3</v>
      </c>
      <c r="N2134" s="1">
        <f>+M2134-J2134</f>
        <v>-7.243859804272651E-2</v>
      </c>
      <c r="O2134">
        <v>2.35</v>
      </c>
      <c r="P2134" t="s">
        <v>17</v>
      </c>
      <c r="Q2134">
        <v>0</v>
      </c>
      <c r="R2134">
        <v>-2.4368853598833E-2</v>
      </c>
      <c r="S2134">
        <v>5.1419506780803004E-3</v>
      </c>
      <c r="T2134">
        <v>-0.04</v>
      </c>
    </row>
    <row r="2135" spans="1:20" x14ac:dyDescent="0.3">
      <c r="A2135" t="s">
        <v>150</v>
      </c>
      <c r="B2135">
        <v>2008</v>
      </c>
      <c r="C2135">
        <v>2072461.875</v>
      </c>
      <c r="D2135" s="1">
        <v>2.1999999999999999E-2</v>
      </c>
      <c r="E2135" s="1">
        <v>0.906061410903931</v>
      </c>
      <c r="F2135" s="1">
        <v>0.02</v>
      </c>
      <c r="G2135" s="1">
        <f t="shared" si="66"/>
        <v>-3.0000000000000002E-2</v>
      </c>
      <c r="H2135" s="1" t="str">
        <f t="shared" si="67"/>
        <v/>
      </c>
      <c r="I2135" s="1">
        <v>-1.0999999999999999E-2</v>
      </c>
      <c r="J2135" s="1">
        <f>+D2135-F2135+I2135*O2135</f>
        <v>-2.4290000000000003E-2</v>
      </c>
      <c r="K2135" s="1">
        <v>1.36311464011669E-2</v>
      </c>
      <c r="L2135" s="1">
        <f>+K2135-J2135</f>
        <v>3.7921146401166901E-2</v>
      </c>
      <c r="M2135" s="1">
        <v>-2.4368853598833E-2</v>
      </c>
      <c r="N2135" s="1">
        <f>+M2135-J2135</f>
        <v>-7.8853598832997335E-5</v>
      </c>
      <c r="O2135">
        <v>2.39</v>
      </c>
      <c r="P2135" t="s">
        <v>17</v>
      </c>
      <c r="Q2135">
        <v>0.01</v>
      </c>
      <c r="R2135">
        <v>-1.6586302503943402E-2</v>
      </c>
      <c r="S2135">
        <v>9.9803991615772403E-3</v>
      </c>
      <c r="T2135">
        <v>0.02</v>
      </c>
    </row>
    <row r="2136" spans="1:20" x14ac:dyDescent="0.3">
      <c r="A2136" t="s">
        <v>150</v>
      </c>
      <c r="B2136">
        <v>2009</v>
      </c>
      <c r="C2136">
        <v>2117500</v>
      </c>
      <c r="D2136" s="1">
        <v>3.1E-2</v>
      </c>
      <c r="E2136" s="1">
        <v>0.89122903347015403</v>
      </c>
      <c r="F2136" s="1">
        <v>1.6E-2</v>
      </c>
      <c r="G2136" s="1">
        <f t="shared" si="66"/>
        <v>-1.4000000000000002E-2</v>
      </c>
      <c r="H2136" s="1" t="str">
        <f t="shared" si="67"/>
        <v/>
      </c>
      <c r="I2136" s="1">
        <v>-1.4999999999999999E-2</v>
      </c>
      <c r="J2136" s="1">
        <f>+D2136-F2136+I2136*O2136</f>
        <v>-2.1450000000000004E-2</v>
      </c>
      <c r="K2136" s="1">
        <v>-2.0586302503943402E-2</v>
      </c>
      <c r="L2136" s="1">
        <f>+K2136-J2136</f>
        <v>8.6369749605660212E-4</v>
      </c>
      <c r="M2136" s="1">
        <v>-1.6586302503943402E-2</v>
      </c>
      <c r="N2136" s="1">
        <f>+M2136-J2136</f>
        <v>4.8636974960566022E-3</v>
      </c>
      <c r="O2136">
        <v>2.4300000000000002</v>
      </c>
      <c r="P2136" t="s">
        <v>17</v>
      </c>
      <c r="Q2136">
        <v>0.01</v>
      </c>
      <c r="R2136">
        <v>-5.47278223931789E-3</v>
      </c>
      <c r="S2136">
        <v>3.9873265195637803E-3</v>
      </c>
      <c r="T2136">
        <v>0</v>
      </c>
    </row>
    <row r="2137" spans="1:20" x14ac:dyDescent="0.3">
      <c r="A2137" t="s">
        <v>150</v>
      </c>
      <c r="B2137">
        <v>2010</v>
      </c>
      <c r="C2137">
        <v>2162162</v>
      </c>
      <c r="D2137" s="1">
        <v>1.0999999999999999E-2</v>
      </c>
      <c r="E2137" s="1">
        <v>0.91652363538742099</v>
      </c>
      <c r="F2137" s="1">
        <v>3.7999999999999999E-2</v>
      </c>
      <c r="G2137" s="1">
        <f t="shared" si="66"/>
        <v>2.3999999999999997E-2</v>
      </c>
      <c r="H2137" s="1" t="str">
        <f t="shared" si="67"/>
        <v/>
      </c>
      <c r="I2137" s="1">
        <v>2.5000000000000001E-2</v>
      </c>
      <c r="J2137" s="1">
        <f>+D2137-F2137+I2137*O2137</f>
        <v>3.6250000000000004E-2</v>
      </c>
      <c r="K2137" s="1">
        <v>1.0527217760682101E-2</v>
      </c>
      <c r="L2137" s="1">
        <f>+K2137-J2137</f>
        <v>-2.5722782239317905E-2</v>
      </c>
      <c r="M2137" s="1">
        <v>-5.47278223931789E-3</v>
      </c>
      <c r="N2137" s="1">
        <f>+M2137-J2137</f>
        <v>-4.1722782239317892E-2</v>
      </c>
      <c r="O2137">
        <v>2.5299999999999998</v>
      </c>
      <c r="P2137" t="s">
        <v>15</v>
      </c>
      <c r="Q2137">
        <v>0</v>
      </c>
      <c r="R2137">
        <v>-1.49466510564089E-2</v>
      </c>
      <c r="S2137">
        <v>6.3371234573424001E-3</v>
      </c>
      <c r="T2137">
        <v>0.03</v>
      </c>
    </row>
    <row r="2138" spans="1:20" x14ac:dyDescent="0.3">
      <c r="A2138" t="s">
        <v>150</v>
      </c>
      <c r="B2138">
        <v>2011</v>
      </c>
      <c r="C2138">
        <v>2200994</v>
      </c>
      <c r="D2138" s="1">
        <v>1.4E-2</v>
      </c>
      <c r="E2138" s="1">
        <v>0.91511261463165305</v>
      </c>
      <c r="F2138" s="1">
        <v>-2.5000000000000001E-2</v>
      </c>
      <c r="G2138" s="1">
        <f t="shared" si="66"/>
        <v>-1.0000000000000044E-3</v>
      </c>
      <c r="H2138" s="1" t="str">
        <f t="shared" si="67"/>
        <v/>
      </c>
      <c r="I2138" s="1">
        <v>-1E-3</v>
      </c>
      <c r="J2138" s="1">
        <f>+D2138-F2138+I2138*O2138</f>
        <v>3.6540000000000003E-2</v>
      </c>
      <c r="K2138" s="1">
        <v>1.7053348943591101E-2</v>
      </c>
      <c r="L2138" s="1">
        <f>+K2138-J2138</f>
        <v>-1.9486651056408903E-2</v>
      </c>
      <c r="M2138" s="1">
        <v>-1.49466510564089E-2</v>
      </c>
      <c r="N2138" s="1">
        <f>+M2138-J2138</f>
        <v>-5.14866510564089E-2</v>
      </c>
      <c r="O2138">
        <v>2.46</v>
      </c>
      <c r="P2138" t="s">
        <v>16</v>
      </c>
      <c r="Q2138">
        <v>0.01</v>
      </c>
      <c r="R2138">
        <v>1.85170182585719E-3</v>
      </c>
      <c r="S2138">
        <v>7.2899078950285998E-3</v>
      </c>
      <c r="T2138">
        <v>-0.02</v>
      </c>
    </row>
    <row r="2139" spans="1:20" x14ac:dyDescent="0.3">
      <c r="A2139" t="s">
        <v>150</v>
      </c>
      <c r="B2139">
        <v>2012</v>
      </c>
      <c r="C2139">
        <v>2241964</v>
      </c>
      <c r="D2139" s="1">
        <v>2.5000000000000001E-2</v>
      </c>
      <c r="E2139" s="1">
        <v>0.91802126169204701</v>
      </c>
      <c r="F2139" s="1">
        <v>3.5000000000000003E-2</v>
      </c>
      <c r="G2139" s="1">
        <f t="shared" si="66"/>
        <v>3.4000000000000002E-2</v>
      </c>
      <c r="H2139" s="1" t="str">
        <f t="shared" si="67"/>
        <v/>
      </c>
      <c r="I2139" s="1">
        <v>3.0000000000000001E-3</v>
      </c>
      <c r="J2139" s="1">
        <f>+D2139-F2139+I2139*O2139</f>
        <v>-2.3500000000000023E-3</v>
      </c>
      <c r="K2139" s="1">
        <v>2.2851701825857201E-2</v>
      </c>
      <c r="L2139" s="1">
        <f>+K2139-J2139</f>
        <v>2.5201701825857202E-2</v>
      </c>
      <c r="M2139" s="1">
        <v>1.85170182585719E-3</v>
      </c>
      <c r="N2139" s="1">
        <f>+M2139-J2139</f>
        <v>4.2017018258571921E-3</v>
      </c>
      <c r="O2139">
        <v>2.5499999999999998</v>
      </c>
      <c r="P2139" t="s">
        <v>15</v>
      </c>
      <c r="Q2139">
        <v>0.01</v>
      </c>
      <c r="R2139">
        <v>6.1267713457346003E-3</v>
      </c>
      <c r="S2139">
        <v>0</v>
      </c>
      <c r="T2139">
        <v>0.03</v>
      </c>
    </row>
    <row r="2140" spans="1:20" x14ac:dyDescent="0.3">
      <c r="A2140" t="s">
        <v>150</v>
      </c>
      <c r="B2140">
        <v>2013</v>
      </c>
      <c r="C2140">
        <v>2283741</v>
      </c>
      <c r="D2140" s="1">
        <v>3.3000000000000002E-2</v>
      </c>
      <c r="E2140" s="1">
        <v>0.91614687442779497</v>
      </c>
      <c r="F2140" s="1">
        <v>-3.4000000000000002E-2</v>
      </c>
      <c r="G2140" s="1">
        <f t="shared" si="66"/>
        <v>0</v>
      </c>
      <c r="H2140" s="1" t="str">
        <f t="shared" si="67"/>
        <v/>
      </c>
      <c r="I2140" s="1">
        <v>-2E-3</v>
      </c>
      <c r="J2140" s="1">
        <f>+D2140-F2140+I2140*O2140</f>
        <v>6.2080000000000003E-2</v>
      </c>
      <c r="K2140" s="1">
        <v>2.11267713457346E-2</v>
      </c>
      <c r="L2140" s="1">
        <f>+K2140-J2140</f>
        <v>-4.09532286542654E-2</v>
      </c>
      <c r="M2140" s="1">
        <v>6.1267713457346003E-3</v>
      </c>
      <c r="N2140" s="1">
        <f>+M2140-J2140</f>
        <v>-5.5953228654265399E-2</v>
      </c>
      <c r="O2140">
        <v>2.46</v>
      </c>
      <c r="P2140" t="s">
        <v>16</v>
      </c>
      <c r="Q2140" t="s">
        <v>23</v>
      </c>
      <c r="R2140">
        <v>3.7126660495995899E-3</v>
      </c>
      <c r="S2140">
        <v>1.7046425491570899E-3</v>
      </c>
      <c r="T2140">
        <v>-0.04</v>
      </c>
    </row>
    <row r="2141" spans="1:20" x14ac:dyDescent="0.3">
      <c r="A2141" t="s">
        <v>150</v>
      </c>
      <c r="B2141">
        <v>2014</v>
      </c>
      <c r="C2141">
        <v>2330823</v>
      </c>
      <c r="D2141" s="1">
        <v>4.2999999999999997E-2</v>
      </c>
      <c r="E2141" s="1">
        <v>0.91470104455947898</v>
      </c>
      <c r="F2141" s="1">
        <v>6.0000000000000001E-3</v>
      </c>
      <c r="G2141" s="1">
        <f t="shared" si="66"/>
        <v>6.0000000000000001E-3</v>
      </c>
      <c r="H2141" s="1" t="str">
        <f t="shared" si="67"/>
        <v/>
      </c>
      <c r="I2141" s="1">
        <v>-1E-3</v>
      </c>
      <c r="J2141" s="1">
        <f>+D2141-F2141+I2141*O2141</f>
        <v>3.4519999999999995E-2</v>
      </c>
      <c r="K2141" s="1">
        <v>1.9712666049599599E-2</v>
      </c>
      <c r="L2141" s="1">
        <f>+K2141-J2141</f>
        <v>-1.4807333950400396E-2</v>
      </c>
      <c r="M2141" s="1">
        <v>3.7126660495995899E-3</v>
      </c>
      <c r="N2141" s="1">
        <f>+M2141-J2141</f>
        <v>-3.0807333950400403E-2</v>
      </c>
      <c r="O2141">
        <v>2.48</v>
      </c>
      <c r="P2141" t="s">
        <v>17</v>
      </c>
      <c r="Q2141">
        <v>0</v>
      </c>
      <c r="R2141">
        <v>3.5656182259321198E-2</v>
      </c>
      <c r="S2141">
        <v>5.3927302360534998E-3</v>
      </c>
      <c r="T2141">
        <v>0</v>
      </c>
    </row>
    <row r="2142" spans="1:20" x14ac:dyDescent="0.3">
      <c r="A2142" t="s">
        <v>150</v>
      </c>
      <c r="B2142">
        <v>2015</v>
      </c>
      <c r="C2142">
        <v>2377704</v>
      </c>
      <c r="D2142" s="1">
        <v>4.2999999999999997E-2</v>
      </c>
      <c r="E2142" s="1">
        <v>0.90905028581619296</v>
      </c>
      <c r="F2142" s="1">
        <v>-5.0000000000000001E-3</v>
      </c>
      <c r="G2142" s="1">
        <f t="shared" si="66"/>
        <v>1E-3</v>
      </c>
      <c r="H2142" s="1" t="str">
        <f t="shared" si="67"/>
        <v/>
      </c>
      <c r="I2142" s="1">
        <v>-6.0000000000000001E-3</v>
      </c>
      <c r="J2142" s="1">
        <f>+D2142-F2142+I2142*O2142</f>
        <v>3.3239999999999992E-2</v>
      </c>
      <c r="K2142" s="1">
        <v>3.6656182259321199E-2</v>
      </c>
      <c r="L2142" s="1">
        <f>+K2142-J2142</f>
        <v>3.4161822593212071E-3</v>
      </c>
      <c r="M2142" s="1">
        <v>3.5656182259321198E-2</v>
      </c>
      <c r="N2142" s="1">
        <f>+M2142-J2142</f>
        <v>2.4161822593212062E-3</v>
      </c>
      <c r="O2142">
        <v>2.46</v>
      </c>
      <c r="P2142" t="s">
        <v>16</v>
      </c>
      <c r="Q2142">
        <v>0.01</v>
      </c>
      <c r="R2142">
        <v>2.4845779761672E-3</v>
      </c>
      <c r="S2142">
        <v>-1.0668979026377199E-2</v>
      </c>
      <c r="T2142">
        <v>0.01</v>
      </c>
    </row>
    <row r="2143" spans="1:20" x14ac:dyDescent="0.3">
      <c r="A2143" t="s">
        <v>150</v>
      </c>
      <c r="B2143">
        <v>2016</v>
      </c>
      <c r="C2143">
        <v>2421845</v>
      </c>
      <c r="D2143" s="1">
        <v>3.4000000000000002E-2</v>
      </c>
      <c r="E2143" s="1">
        <v>0.90548402070999101</v>
      </c>
      <c r="F2143" s="1">
        <v>5.0000000000000001E-3</v>
      </c>
      <c r="G2143" s="1">
        <f t="shared" si="66"/>
        <v>6.0000000000000001E-3</v>
      </c>
      <c r="H2143" s="1" t="str">
        <f t="shared" si="67"/>
        <v/>
      </c>
      <c r="I2143" s="1">
        <v>-4.0000000000000001E-3</v>
      </c>
      <c r="J2143" s="1">
        <f>+D2143-F2143+I2143*O2143</f>
        <v>1.908E-2</v>
      </c>
      <c r="K2143" s="1">
        <v>1.54845779761672E-2</v>
      </c>
      <c r="L2143" s="1">
        <f>+K2143-J2143</f>
        <v>-3.5954220238327995E-3</v>
      </c>
      <c r="M2143" s="1">
        <v>2.4845779761672E-3</v>
      </c>
      <c r="N2143" s="1">
        <f>+M2143-J2143</f>
        <v>-1.6595422023832799E-2</v>
      </c>
      <c r="O2143">
        <v>2.48</v>
      </c>
      <c r="P2143" t="s">
        <v>17</v>
      </c>
      <c r="Q2143">
        <v>-0.01</v>
      </c>
      <c r="R2143">
        <v>-1.1190810523927199E-2</v>
      </c>
      <c r="S2143">
        <v>-1.39803839847445E-2</v>
      </c>
      <c r="T2143">
        <v>0.01</v>
      </c>
    </row>
    <row r="2144" spans="1:20" x14ac:dyDescent="0.3">
      <c r="A2144" t="s">
        <v>150</v>
      </c>
      <c r="B2144">
        <v>2017</v>
      </c>
      <c r="C2144">
        <v>2463738</v>
      </c>
      <c r="D2144" s="1">
        <v>3.9E-2</v>
      </c>
      <c r="E2144" s="1">
        <v>0.89018529653549205</v>
      </c>
      <c r="F2144" s="1">
        <v>-4.1000000000000002E-2</v>
      </c>
      <c r="G2144" s="1">
        <f t="shared" si="66"/>
        <v>-3.5000000000000003E-2</v>
      </c>
      <c r="H2144" s="1" t="str">
        <f t="shared" si="67"/>
        <v/>
      </c>
      <c r="I2144" s="1">
        <v>-1.4999999999999999E-2</v>
      </c>
      <c r="J2144" s="1">
        <f>+D2144-F2144+I2144*O2144</f>
        <v>4.4300000000000006E-2</v>
      </c>
      <c r="K2144" s="1">
        <v>9.80918947607279E-3</v>
      </c>
      <c r="L2144" s="1">
        <f>+K2144-J2144</f>
        <v>-3.4490810523927218E-2</v>
      </c>
      <c r="M2144" s="1">
        <v>-1.1190810523927199E-2</v>
      </c>
      <c r="N2144" s="1">
        <f>+M2144-J2144</f>
        <v>-5.5490810523927209E-2</v>
      </c>
      <c r="O2144">
        <v>2.38</v>
      </c>
      <c r="P2144" t="s">
        <v>16</v>
      </c>
      <c r="Q2144">
        <v>-0.01</v>
      </c>
      <c r="R2144">
        <v>6.8859869837760903E-3</v>
      </c>
      <c r="S2144">
        <v>-2.2490359842776901E-3</v>
      </c>
      <c r="T2144">
        <v>-0.04</v>
      </c>
    </row>
    <row r="2145" spans="1:20" x14ac:dyDescent="0.3">
      <c r="A2145" t="s">
        <v>150</v>
      </c>
      <c r="B2145">
        <v>2018</v>
      </c>
      <c r="C2145">
        <v>2501351</v>
      </c>
      <c r="D2145" s="1">
        <v>0.03</v>
      </c>
      <c r="E2145" s="1">
        <v>0.90051567554473899</v>
      </c>
      <c r="F2145" s="1">
        <v>-3.1E-2</v>
      </c>
      <c r="G2145" s="1">
        <f t="shared" si="66"/>
        <v>-6.6000000000000003E-2</v>
      </c>
      <c r="H2145" s="1" t="str">
        <f t="shared" si="67"/>
        <v/>
      </c>
      <c r="I2145" s="1">
        <v>0.01</v>
      </c>
      <c r="J2145" s="1">
        <f>+D2145-F2145+I2145*O2145</f>
        <v>8.3999999999999991E-2</v>
      </c>
      <c r="K2145" s="1">
        <v>3.0885986983776099E-2</v>
      </c>
      <c r="L2145" s="1">
        <f>+K2145-J2145</f>
        <v>-5.3114013016223892E-2</v>
      </c>
      <c r="M2145" s="1">
        <v>6.8859869837760903E-3</v>
      </c>
      <c r="N2145" s="1">
        <f>+M2145-J2145</f>
        <v>-7.7114013016223906E-2</v>
      </c>
      <c r="O2145">
        <v>2.2999999999999998</v>
      </c>
      <c r="P2145" t="s">
        <v>17</v>
      </c>
      <c r="Q2145">
        <v>0</v>
      </c>
      <c r="R2145">
        <v>1.7761348903179201E-2</v>
      </c>
      <c r="S2145">
        <v>-3.98457050323E-5</v>
      </c>
      <c r="T2145">
        <v>-0.02</v>
      </c>
    </row>
    <row r="2146" spans="1:20" x14ac:dyDescent="0.3">
      <c r="A2146" t="s">
        <v>150</v>
      </c>
      <c r="B2146">
        <v>2019</v>
      </c>
      <c r="C2146">
        <v>2537946</v>
      </c>
      <c r="D2146" s="1">
        <v>2.8000000000000001E-2</v>
      </c>
      <c r="E2146" s="1">
        <v>0.90082752704620395</v>
      </c>
      <c r="F2146" s="1">
        <v>5.0999999999999997E-2</v>
      </c>
      <c r="G2146" s="1">
        <f t="shared" si="66"/>
        <v>-1.5000000000000006E-2</v>
      </c>
      <c r="H2146" s="1" t="str">
        <f t="shared" si="67"/>
        <v/>
      </c>
      <c r="I2146" s="1">
        <v>0</v>
      </c>
      <c r="J2146" s="1">
        <f>+D2146-F2146+I2146*O2146</f>
        <v>-2.2999999999999996E-2</v>
      </c>
      <c r="K2146" s="1">
        <v>3.5761348903179203E-2</v>
      </c>
      <c r="L2146" s="1">
        <f>+K2146-J2146</f>
        <v>5.8761348903179203E-2</v>
      </c>
      <c r="M2146" s="1">
        <v>1.7761348903179201E-2</v>
      </c>
      <c r="N2146" s="1">
        <f>+M2146-J2146</f>
        <v>4.0761348903179201E-2</v>
      </c>
      <c r="O2146">
        <v>2.42</v>
      </c>
      <c r="P2146" t="s">
        <v>15</v>
      </c>
      <c r="Q2146">
        <v>0</v>
      </c>
      <c r="R2146">
        <v>2.6527765318750999E-3</v>
      </c>
      <c r="S2146">
        <v>-1.6196413896977901E-2</v>
      </c>
      <c r="T2146">
        <v>0.06</v>
      </c>
    </row>
    <row r="2147" spans="1:20" x14ac:dyDescent="0.3">
      <c r="A2147" t="s">
        <v>150</v>
      </c>
      <c r="B2147">
        <v>2020</v>
      </c>
      <c r="C2147">
        <v>2578066</v>
      </c>
      <c r="D2147" s="1">
        <v>4.3999999999999997E-2</v>
      </c>
      <c r="E2147" s="1">
        <v>0.90080374479293801</v>
      </c>
      <c r="F2147" s="1">
        <v>-6.7000000000000004E-2</v>
      </c>
      <c r="G2147" s="1">
        <f t="shared" si="66"/>
        <v>-8.2000000000000017E-2</v>
      </c>
      <c r="H2147" s="1" t="str">
        <f t="shared" si="67"/>
        <v/>
      </c>
      <c r="I2147" s="1">
        <v>0</v>
      </c>
      <c r="J2147" s="1">
        <f>+D2147-F2147+I2147*O2147</f>
        <v>0.111</v>
      </c>
      <c r="K2147" s="1">
        <v>1.4652776531875101E-2</v>
      </c>
      <c r="L2147" s="1">
        <f>+K2147-J2147</f>
        <v>-9.6347223468124896E-2</v>
      </c>
      <c r="M2147" s="1">
        <v>2.6527765318750999E-3</v>
      </c>
      <c r="N2147" s="1">
        <f>+M2147-J2147</f>
        <v>-0.10834722346812491</v>
      </c>
      <c r="O2147">
        <v>2.2599999999999998</v>
      </c>
      <c r="P2147" t="s">
        <v>16</v>
      </c>
      <c r="Q2147">
        <v>-0.02</v>
      </c>
      <c r="R2147">
        <v>6.7931158721447005E-2</v>
      </c>
      <c r="S2147">
        <v>2.4341545999050099E-2</v>
      </c>
      <c r="T2147">
        <v>-0.03</v>
      </c>
    </row>
    <row r="2148" spans="1:20" x14ac:dyDescent="0.3">
      <c r="A2148" t="s">
        <v>150</v>
      </c>
      <c r="B2148">
        <v>2021</v>
      </c>
      <c r="C2148">
        <v>2618813</v>
      </c>
      <c r="D2148" s="1">
        <v>2.1000000000000001E-2</v>
      </c>
      <c r="E2148" s="1">
        <v>0.93467372655868497</v>
      </c>
      <c r="F2148" s="1">
        <v>9.1999999999999998E-2</v>
      </c>
      <c r="G2148" s="1">
        <f t="shared" si="66"/>
        <v>9.9999999999999811E-3</v>
      </c>
      <c r="H2148" s="1" t="str">
        <f t="shared" si="67"/>
        <v/>
      </c>
      <c r="I2148" s="1">
        <v>3.4000000000000002E-2</v>
      </c>
      <c r="J2148" s="1">
        <f>+D2148-F2148+I2148*O2148</f>
        <v>1.2640000000000012E-2</v>
      </c>
      <c r="K2148" s="1">
        <v>0.114931158721447</v>
      </c>
      <c r="L2148" s="1">
        <f>+K2148-J2148</f>
        <v>0.10229115872144699</v>
      </c>
      <c r="M2148" s="1">
        <v>6.7931158721447005E-2</v>
      </c>
      <c r="N2148" s="1">
        <f>+M2148-J2148</f>
        <v>5.5291158721446992E-2</v>
      </c>
      <c r="O2148">
        <v>2.46</v>
      </c>
      <c r="P2148" t="s">
        <v>15</v>
      </c>
      <c r="Q2148">
        <v>0.02</v>
      </c>
      <c r="R2148">
        <v>-5.0131883397698397E-2</v>
      </c>
      <c r="S2148">
        <v>-1.80283766239881E-2</v>
      </c>
      <c r="T2148">
        <v>0.06</v>
      </c>
    </row>
    <row r="2149" spans="1:20" x14ac:dyDescent="0.3">
      <c r="A2149" t="s">
        <v>150</v>
      </c>
      <c r="B2149">
        <v>2022</v>
      </c>
      <c r="C2149">
        <v>2673615</v>
      </c>
      <c r="D2149" s="1">
        <v>3.1E-2</v>
      </c>
      <c r="E2149" s="1">
        <v>0.89839661121368397</v>
      </c>
      <c r="F2149" s="1">
        <v>-8.8999999999999996E-2</v>
      </c>
      <c r="G2149" s="1">
        <f t="shared" si="66"/>
        <v>-7.9000000000000015E-2</v>
      </c>
      <c r="H2149" s="1" t="str">
        <f t="shared" si="67"/>
        <v/>
      </c>
      <c r="I2149" s="1">
        <v>-3.5999999999999997E-2</v>
      </c>
      <c r="J2149" s="1">
        <f>+D2149-F2149+I2149*O2149</f>
        <v>3.9000000000000007E-2</v>
      </c>
      <c r="K2149" s="1">
        <v>2.9868116602301601E-2</v>
      </c>
      <c r="L2149" s="1">
        <f>+K2149-J2149</f>
        <v>-9.1318833976984058E-3</v>
      </c>
      <c r="M2149" s="1">
        <v>-5.0131883397698397E-2</v>
      </c>
      <c r="N2149" s="1">
        <f>+M2149-J2149</f>
        <v>-8.9131883397698397E-2</v>
      </c>
      <c r="O2149">
        <v>2.25</v>
      </c>
      <c r="P2149" t="s">
        <v>16</v>
      </c>
      <c r="Q2149">
        <v>-0.02</v>
      </c>
      <c r="R2149">
        <v>-5.8266647890210202E-2</v>
      </c>
      <c r="S2149">
        <v>-3.87077201157809E-2</v>
      </c>
      <c r="T2149">
        <v>-7.0000000000000007E-2</v>
      </c>
    </row>
    <row r="2150" spans="1:20" x14ac:dyDescent="0.3">
      <c r="A2150" t="s">
        <v>151</v>
      </c>
      <c r="B2150">
        <v>2006</v>
      </c>
      <c r="C2150">
        <v>2954236</v>
      </c>
      <c r="D2150" s="1">
        <v>4.0000000000000001E-3</v>
      </c>
      <c r="E2150" s="1">
        <v>0.95660042762756303</v>
      </c>
      <c r="F2150" s="1">
        <v>0.01</v>
      </c>
      <c r="G2150" s="1">
        <f t="shared" si="66"/>
        <v>0.01</v>
      </c>
      <c r="H2150" s="1" t="str">
        <f t="shared" si="67"/>
        <v/>
      </c>
      <c r="I2150" s="1">
        <v>4.0000000000000001E-3</v>
      </c>
      <c r="J2150" s="1">
        <f>+D2150-F2150+I2150*O2150</f>
        <v>4.2799999999999991E-3</v>
      </c>
      <c r="K2150" s="1">
        <v>5.8541528880596203E-2</v>
      </c>
      <c r="L2150" s="1">
        <f>+K2150-J2150</f>
        <v>5.4261528880596203E-2</v>
      </c>
      <c r="M2150" s="1">
        <v>2.6541528880596198E-2</v>
      </c>
      <c r="N2150" s="1">
        <f>+M2150-J2150</f>
        <v>2.2261528880596199E-2</v>
      </c>
      <c r="O2150">
        <v>2.57</v>
      </c>
      <c r="P2150" t="s">
        <v>15</v>
      </c>
      <c r="Q2150">
        <v>0.02</v>
      </c>
      <c r="R2150">
        <v>-4.6092131137848002E-3</v>
      </c>
      <c r="S2150">
        <v>-3.6874571815132999E-3</v>
      </c>
      <c r="T2150">
        <v>0.01</v>
      </c>
    </row>
    <row r="2151" spans="1:20" x14ac:dyDescent="0.3">
      <c r="A2151" t="s">
        <v>151</v>
      </c>
      <c r="B2151">
        <v>2007</v>
      </c>
      <c r="C2151">
        <v>2987316</v>
      </c>
      <c r="D2151" s="1">
        <v>5.0000000000000001E-3</v>
      </c>
      <c r="E2151" s="1">
        <v>0.95731782913207997</v>
      </c>
      <c r="F2151" s="1">
        <v>-0.02</v>
      </c>
      <c r="G2151" s="1">
        <f t="shared" si="66"/>
        <v>-0.01</v>
      </c>
      <c r="H2151" s="1" t="str">
        <f t="shared" si="67"/>
        <v/>
      </c>
      <c r="I2151" s="1">
        <v>1E-3</v>
      </c>
      <c r="J2151" s="1">
        <f>+D2151-F2151+I2151*O2151</f>
        <v>2.7520000000000003E-2</v>
      </c>
      <c r="K2151" s="1">
        <v>2.43907868862152E-2</v>
      </c>
      <c r="L2151" s="1">
        <f>+K2151-J2151</f>
        <v>-3.1292131137848032E-3</v>
      </c>
      <c r="M2151" s="1">
        <v>-4.6092131137848002E-3</v>
      </c>
      <c r="N2151" s="1">
        <f>+M2151-J2151</f>
        <v>-3.2129213113784805E-2</v>
      </c>
      <c r="O2151">
        <v>2.52</v>
      </c>
      <c r="P2151" t="s">
        <v>17</v>
      </c>
      <c r="Q2151">
        <v>0</v>
      </c>
      <c r="R2151">
        <v>-3.4313987765461199E-2</v>
      </c>
      <c r="S2151">
        <v>-4.8031834885478002E-3</v>
      </c>
      <c r="T2151">
        <v>-0.02</v>
      </c>
    </row>
    <row r="2152" spans="1:20" x14ac:dyDescent="0.3">
      <c r="A2152" t="s">
        <v>151</v>
      </c>
      <c r="B2152">
        <v>2008</v>
      </c>
      <c r="C2152">
        <v>3032017</v>
      </c>
      <c r="D2152" s="1">
        <v>5.0000000000000001E-3</v>
      </c>
      <c r="E2152" s="1">
        <v>0.94924700260162398</v>
      </c>
      <c r="F2152" s="1">
        <v>1E-3</v>
      </c>
      <c r="G2152" s="1">
        <f t="shared" si="66"/>
        <v>-9.0000000000000011E-3</v>
      </c>
      <c r="H2152" s="1" t="str">
        <f t="shared" si="67"/>
        <v/>
      </c>
      <c r="I2152" s="1">
        <v>-8.0000000000000002E-3</v>
      </c>
      <c r="J2152" s="1">
        <f>+D2152-F2152+I2152*O2152</f>
        <v>-1.6160000000000001E-2</v>
      </c>
      <c r="K2152" s="1">
        <v>3.6860122345387901E-3</v>
      </c>
      <c r="L2152" s="1">
        <f>+K2152-J2152</f>
        <v>1.9846012234538791E-2</v>
      </c>
      <c r="M2152" s="1">
        <v>-3.4313987765461199E-2</v>
      </c>
      <c r="N2152" s="1">
        <f>+M2152-J2152</f>
        <v>-1.8153987765461198E-2</v>
      </c>
      <c r="O2152">
        <v>2.52</v>
      </c>
      <c r="P2152" t="s">
        <v>17</v>
      </c>
      <c r="Q2152">
        <v>0</v>
      </c>
      <c r="R2152">
        <v>-1.91408514082432E-2</v>
      </c>
      <c r="S2152">
        <v>7.4258502572774497E-3</v>
      </c>
      <c r="T2152">
        <v>0</v>
      </c>
    </row>
    <row r="2153" spans="1:20" x14ac:dyDescent="0.3">
      <c r="A2153" t="s">
        <v>151</v>
      </c>
      <c r="B2153">
        <v>2009</v>
      </c>
      <c r="C2153">
        <v>3071699</v>
      </c>
      <c r="D2153" s="1">
        <v>7.0000000000000001E-3</v>
      </c>
      <c r="E2153" s="1">
        <v>0.94239193201065097</v>
      </c>
      <c r="F2153" s="1">
        <v>2E-3</v>
      </c>
      <c r="G2153" s="1">
        <f t="shared" si="66"/>
        <v>-7.000000000000001E-3</v>
      </c>
      <c r="H2153" s="1" t="str">
        <f t="shared" si="67"/>
        <v/>
      </c>
      <c r="I2153" s="1">
        <v>-7.0000000000000001E-3</v>
      </c>
      <c r="J2153" s="1">
        <f>+D2153-F2153+I2153*O2153</f>
        <v>-1.2709999999999999E-2</v>
      </c>
      <c r="K2153" s="1">
        <v>-2.31408514082432E-2</v>
      </c>
      <c r="L2153" s="1">
        <f>+K2153-J2153</f>
        <v>-1.0430851408243201E-2</v>
      </c>
      <c r="M2153" s="1">
        <v>-1.91408514082432E-2</v>
      </c>
      <c r="N2153" s="1">
        <f>+M2153-J2153</f>
        <v>-6.430851408243201E-3</v>
      </c>
      <c r="O2153">
        <v>2.5299999999999998</v>
      </c>
      <c r="P2153" t="s">
        <v>17</v>
      </c>
      <c r="Q2153">
        <v>0.01</v>
      </c>
      <c r="R2153">
        <v>-1.61024443336064E-2</v>
      </c>
      <c r="S2153">
        <v>-6.6423355747247097E-3</v>
      </c>
      <c r="T2153">
        <v>-0.02</v>
      </c>
    </row>
    <row r="2154" spans="1:20" x14ac:dyDescent="0.3">
      <c r="A2154" t="s">
        <v>151</v>
      </c>
      <c r="B2154">
        <v>2010</v>
      </c>
      <c r="C2154">
        <v>3110140</v>
      </c>
      <c r="D2154" s="1">
        <v>1E-3</v>
      </c>
      <c r="E2154" s="1">
        <v>0.94678008556366</v>
      </c>
      <c r="F2154" s="1">
        <v>3.7999999999999999E-2</v>
      </c>
      <c r="G2154" s="1">
        <f t="shared" si="66"/>
        <v>3.1E-2</v>
      </c>
      <c r="H2154" s="1" t="str">
        <f t="shared" si="67"/>
        <v/>
      </c>
      <c r="I2154" s="1">
        <v>4.0000000000000001E-3</v>
      </c>
      <c r="J2154" s="1">
        <f>+D2154-F2154+I2154*O2154</f>
        <v>-2.6479999999999997E-2</v>
      </c>
      <c r="K2154" s="1">
        <v>-1.024443336064E-4</v>
      </c>
      <c r="L2154" s="1">
        <f>+K2154-J2154</f>
        <v>2.6377555666393597E-2</v>
      </c>
      <c r="M2154" s="1">
        <v>-1.61024443336064E-2</v>
      </c>
      <c r="N2154" s="1">
        <f>+M2154-J2154</f>
        <v>1.0377555666393597E-2</v>
      </c>
      <c r="O2154">
        <v>2.63</v>
      </c>
      <c r="P2154" t="s">
        <v>15</v>
      </c>
      <c r="Q2154">
        <v>-0.01</v>
      </c>
      <c r="R2154">
        <v>-1.7980672761797899E-2</v>
      </c>
      <c r="S2154">
        <v>3.3031017519533998E-3</v>
      </c>
      <c r="T2154">
        <v>0.03</v>
      </c>
    </row>
    <row r="2155" spans="1:20" x14ac:dyDescent="0.3">
      <c r="A2155" t="s">
        <v>151</v>
      </c>
      <c r="B2155">
        <v>2011</v>
      </c>
      <c r="C2155">
        <v>3141207</v>
      </c>
      <c r="D2155" s="1">
        <v>8.9999999999999993E-3</v>
      </c>
      <c r="E2155" s="1">
        <v>0.94855737686157204</v>
      </c>
      <c r="F2155" s="1">
        <v>-8.0000000000000002E-3</v>
      </c>
      <c r="G2155" s="1">
        <f t="shared" si="66"/>
        <v>2.3E-2</v>
      </c>
      <c r="H2155" s="1" t="str">
        <f t="shared" si="67"/>
        <v/>
      </c>
      <c r="I2155" s="1">
        <v>2E-3</v>
      </c>
      <c r="J2155" s="1">
        <f>+D2155-F2155+I2155*O2155</f>
        <v>2.222E-2</v>
      </c>
      <c r="K2155" s="1">
        <v>1.40193272382021E-2</v>
      </c>
      <c r="L2155" s="1">
        <f>+K2155-J2155</f>
        <v>-8.2006727617978999E-3</v>
      </c>
      <c r="M2155" s="1">
        <v>-1.7980672761797899E-2</v>
      </c>
      <c r="N2155" s="1">
        <f>+M2155-J2155</f>
        <v>-4.0200672761797895E-2</v>
      </c>
      <c r="O2155">
        <v>2.61</v>
      </c>
      <c r="P2155" t="s">
        <v>17</v>
      </c>
      <c r="Q2155">
        <v>0</v>
      </c>
      <c r="R2155">
        <v>3.85158294439319E-3</v>
      </c>
      <c r="S2155">
        <v>9.2897890135645901E-3</v>
      </c>
      <c r="T2155">
        <v>-0.01</v>
      </c>
    </row>
    <row r="2156" spans="1:20" x14ac:dyDescent="0.3">
      <c r="A2156" t="s">
        <v>151</v>
      </c>
      <c r="B2156">
        <v>2012</v>
      </c>
      <c r="C2156">
        <v>3175385</v>
      </c>
      <c r="D2156" s="1">
        <v>6.0000000000000001E-3</v>
      </c>
      <c r="E2156" s="1">
        <v>0.953271925449371</v>
      </c>
      <c r="F2156" s="1">
        <v>1E-3</v>
      </c>
      <c r="G2156" s="1">
        <f t="shared" si="66"/>
        <v>2.4E-2</v>
      </c>
      <c r="H2156" s="1" t="str">
        <f t="shared" si="67"/>
        <v/>
      </c>
      <c r="I2156" s="1">
        <v>5.0000000000000001E-3</v>
      </c>
      <c r="J2156" s="1">
        <f>+D2156-F2156+I2156*O2156</f>
        <v>1.805E-2</v>
      </c>
      <c r="K2156" s="1">
        <v>2.48515829443932E-2</v>
      </c>
      <c r="L2156" s="1">
        <f>+K2156-J2156</f>
        <v>6.8015829443931995E-3</v>
      </c>
      <c r="M2156" s="1">
        <v>3.85158294439319E-3</v>
      </c>
      <c r="N2156" s="1">
        <f>+M2156-J2156</f>
        <v>-1.419841705560681E-2</v>
      </c>
      <c r="O2156">
        <v>2.61</v>
      </c>
      <c r="P2156" t="s">
        <v>15</v>
      </c>
      <c r="Q2156">
        <v>0.01</v>
      </c>
      <c r="R2156">
        <v>1.8423077315092101E-2</v>
      </c>
      <c r="S2156">
        <v>1.2296305969357499E-2</v>
      </c>
      <c r="T2156">
        <v>0</v>
      </c>
    </row>
    <row r="2157" spans="1:20" x14ac:dyDescent="0.3">
      <c r="A2157" t="s">
        <v>151</v>
      </c>
      <c r="B2157">
        <v>2013</v>
      </c>
      <c r="C2157">
        <v>3207751</v>
      </c>
      <c r="D2157" s="1">
        <v>5.0000000000000001E-3</v>
      </c>
      <c r="E2157" s="1">
        <v>0.956853687763214</v>
      </c>
      <c r="F2157" s="1">
        <v>1.0999999999999999E-2</v>
      </c>
      <c r="G2157" s="1">
        <f t="shared" si="66"/>
        <v>3.5000000000000003E-2</v>
      </c>
      <c r="H2157" s="1" t="str">
        <f t="shared" si="67"/>
        <v/>
      </c>
      <c r="I2157" s="1">
        <v>4.0000000000000001E-3</v>
      </c>
      <c r="J2157" s="1">
        <f>+D2157-F2157+I2157*O2157</f>
        <v>4.5600000000000007E-3</v>
      </c>
      <c r="K2157" s="1">
        <v>3.3423077315092101E-2</v>
      </c>
      <c r="L2157" s="1">
        <f>+K2157-J2157</f>
        <v>2.8863077315092099E-2</v>
      </c>
      <c r="M2157" s="1">
        <v>1.8423077315092101E-2</v>
      </c>
      <c r="N2157" s="1">
        <f>+M2157-J2157</f>
        <v>1.38630773150921E-2</v>
      </c>
      <c r="O2157">
        <v>2.64</v>
      </c>
      <c r="P2157" t="s">
        <v>15</v>
      </c>
      <c r="Q2157">
        <v>0.01</v>
      </c>
      <c r="R2157">
        <v>1.8212753176689099E-2</v>
      </c>
      <c r="S2157">
        <v>1.6204729676246501E-2</v>
      </c>
      <c r="T2157">
        <v>0</v>
      </c>
    </row>
    <row r="2158" spans="1:20" x14ac:dyDescent="0.3">
      <c r="A2158" t="s">
        <v>151</v>
      </c>
      <c r="B2158">
        <v>2014</v>
      </c>
      <c r="C2158">
        <v>3241310</v>
      </c>
      <c r="D2158" s="1">
        <v>1.6E-2</v>
      </c>
      <c r="E2158" s="1">
        <v>0.95138400793075595</v>
      </c>
      <c r="F2158" s="1">
        <v>2E-3</v>
      </c>
      <c r="G2158" s="1">
        <f t="shared" si="66"/>
        <v>3.7000000000000005E-2</v>
      </c>
      <c r="H2158" s="1" t="str">
        <f t="shared" si="67"/>
        <v/>
      </c>
      <c r="I2158" s="1">
        <v>-5.0000000000000001E-3</v>
      </c>
      <c r="J2158" s="1">
        <f>+D2158-F2158+I2158*O2158</f>
        <v>7.9999999999999863E-4</v>
      </c>
      <c r="K2158" s="1">
        <v>3.4212753176689099E-2</v>
      </c>
      <c r="L2158" s="1">
        <f>+K2158-J2158</f>
        <v>3.3412753176689097E-2</v>
      </c>
      <c r="M2158" s="1">
        <v>1.8212753176689099E-2</v>
      </c>
      <c r="N2158" s="1">
        <f>+M2158-J2158</f>
        <v>1.74127531766891E-2</v>
      </c>
      <c r="O2158">
        <v>2.64</v>
      </c>
      <c r="P2158" t="s">
        <v>17</v>
      </c>
      <c r="Q2158">
        <v>0.02</v>
      </c>
      <c r="R2158">
        <v>6.0223439872264799E-2</v>
      </c>
      <c r="S2158">
        <v>2.9959987848997199E-2</v>
      </c>
      <c r="T2158">
        <v>0</v>
      </c>
    </row>
    <row r="2159" spans="1:20" x14ac:dyDescent="0.3">
      <c r="A2159" t="s">
        <v>151</v>
      </c>
      <c r="B2159">
        <v>2015</v>
      </c>
      <c r="C2159">
        <v>3267324</v>
      </c>
      <c r="D2159" s="1">
        <v>1.4999999999999999E-2</v>
      </c>
      <c r="E2159" s="1">
        <v>0.95495855808258101</v>
      </c>
      <c r="F2159" s="1">
        <v>7.0000000000000001E-3</v>
      </c>
      <c r="G2159" s="1">
        <f t="shared" si="66"/>
        <v>4.4000000000000004E-2</v>
      </c>
      <c r="H2159" s="1" t="str">
        <f t="shared" si="67"/>
        <v/>
      </c>
      <c r="I2159" s="1">
        <v>4.0000000000000001E-3</v>
      </c>
      <c r="J2159" s="1">
        <f>+D2159-F2159+I2159*O2159</f>
        <v>1.864E-2</v>
      </c>
      <c r="K2159" s="1">
        <v>6.1223439872264897E-2</v>
      </c>
      <c r="L2159" s="1">
        <f>+K2159-J2159</f>
        <v>4.25834398722649E-2</v>
      </c>
      <c r="M2159" s="1">
        <v>6.0223439872264799E-2</v>
      </c>
      <c r="N2159" s="1">
        <f>+M2159-J2159</f>
        <v>4.1583439872264802E-2</v>
      </c>
      <c r="O2159">
        <v>2.66</v>
      </c>
      <c r="P2159" t="s">
        <v>15</v>
      </c>
      <c r="Q2159">
        <v>0.03</v>
      </c>
      <c r="R2159">
        <v>2.7116466581821399E-2</v>
      </c>
      <c r="S2159">
        <v>1.3962909579277E-2</v>
      </c>
      <c r="T2159">
        <v>0.02</v>
      </c>
    </row>
    <row r="2160" spans="1:20" x14ac:dyDescent="0.3">
      <c r="A2160" t="s">
        <v>151</v>
      </c>
      <c r="B2160">
        <v>2016</v>
      </c>
      <c r="C2160">
        <v>3285825</v>
      </c>
      <c r="D2160" s="1">
        <v>7.0000000000000001E-3</v>
      </c>
      <c r="E2160" s="1">
        <v>0.95578020811080899</v>
      </c>
      <c r="F2160" s="1">
        <v>-1E-3</v>
      </c>
      <c r="G2160" s="1">
        <f t="shared" si="66"/>
        <v>4.3000000000000003E-2</v>
      </c>
      <c r="H2160" s="1" t="str">
        <f t="shared" si="67"/>
        <v/>
      </c>
      <c r="I2160" s="1">
        <v>1E-3</v>
      </c>
      <c r="J2160" s="1">
        <f>+D2160-F2160+I2160*O2160</f>
        <v>1.0659999999999999E-2</v>
      </c>
      <c r="K2160" s="1">
        <v>4.01164665818214E-2</v>
      </c>
      <c r="L2160" s="1">
        <f>+K2160-J2160</f>
        <v>2.9456466581821401E-2</v>
      </c>
      <c r="M2160" s="1">
        <v>2.7116466581821399E-2</v>
      </c>
      <c r="N2160" s="1">
        <f>+M2160-J2160</f>
        <v>1.64564665818214E-2</v>
      </c>
      <c r="O2160">
        <v>2.66</v>
      </c>
      <c r="P2160" t="s">
        <v>17</v>
      </c>
      <c r="Q2160">
        <v>0.01</v>
      </c>
      <c r="R2160">
        <v>1.4958178341388699E-2</v>
      </c>
      <c r="S2160">
        <v>1.21686048805714E-2</v>
      </c>
      <c r="T2160">
        <v>0</v>
      </c>
    </row>
    <row r="2161" spans="1:20" x14ac:dyDescent="0.3">
      <c r="A2161" t="s">
        <v>151</v>
      </c>
      <c r="B2161">
        <v>2017</v>
      </c>
      <c r="C2161">
        <v>3295678</v>
      </c>
      <c r="D2161" s="1">
        <v>1.2999999999999999E-2</v>
      </c>
      <c r="E2161" s="1">
        <v>0.95273679494857799</v>
      </c>
      <c r="F2161" s="1">
        <v>-1.2999999999999999E-2</v>
      </c>
      <c r="G2161" s="1">
        <f t="shared" si="66"/>
        <v>3.0000000000000006E-2</v>
      </c>
      <c r="H2161" s="1" t="str">
        <f t="shared" si="67"/>
        <v/>
      </c>
      <c r="I2161" s="1">
        <v>-3.0000000000000001E-3</v>
      </c>
      <c r="J2161" s="1">
        <f>+D2161-F2161+I2161*O2161</f>
        <v>1.8110000000000001E-2</v>
      </c>
      <c r="K2161" s="1">
        <v>3.5958178341388702E-2</v>
      </c>
      <c r="L2161" s="1">
        <f>+K2161-J2161</f>
        <v>1.7848178341388701E-2</v>
      </c>
      <c r="M2161" s="1">
        <v>1.4958178341388699E-2</v>
      </c>
      <c r="N2161" s="1">
        <f>+M2161-J2161</f>
        <v>-3.1518216586113017E-3</v>
      </c>
      <c r="O2161">
        <v>2.63</v>
      </c>
      <c r="P2161" t="s">
        <v>16</v>
      </c>
      <c r="Q2161">
        <v>0.01</v>
      </c>
      <c r="R2161">
        <v>1.3146836519241201E-2</v>
      </c>
      <c r="S2161">
        <v>4.0118135511874996E-3</v>
      </c>
      <c r="T2161">
        <v>-0.01</v>
      </c>
    </row>
    <row r="2162" spans="1:20" x14ac:dyDescent="0.3">
      <c r="A2162" t="s">
        <v>151</v>
      </c>
      <c r="B2162">
        <v>2018</v>
      </c>
      <c r="C2162">
        <v>3301613</v>
      </c>
      <c r="D2162" s="1">
        <v>1.9E-2</v>
      </c>
      <c r="E2162" s="1">
        <v>0.94873106479644798</v>
      </c>
      <c r="F2162" s="1">
        <v>-1.0999999999999999E-2</v>
      </c>
      <c r="G2162" s="1">
        <f t="shared" si="66"/>
        <v>1.9000000000000006E-2</v>
      </c>
      <c r="H2162" s="1" t="str">
        <f t="shared" si="67"/>
        <v/>
      </c>
      <c r="I2162" s="1">
        <v>-4.0000000000000001E-3</v>
      </c>
      <c r="J2162" s="1">
        <f>+D2162-F2162+I2162*O2162</f>
        <v>1.9599999999999999E-2</v>
      </c>
      <c r="K2162" s="1">
        <v>3.7146836519241298E-2</v>
      </c>
      <c r="L2162" s="1">
        <f>+K2162-J2162</f>
        <v>1.7546836519241299E-2</v>
      </c>
      <c r="M2162" s="1">
        <v>1.3146836519241201E-2</v>
      </c>
      <c r="N2162" s="1">
        <f>+M2162-J2162</f>
        <v>-6.4531634807587987E-3</v>
      </c>
      <c r="O2162">
        <v>2.6</v>
      </c>
      <c r="P2162" t="s">
        <v>16</v>
      </c>
      <c r="Q2162">
        <v>0</v>
      </c>
      <c r="R2162">
        <v>1.8356642842292801E-2</v>
      </c>
      <c r="S2162">
        <v>5.5544823408129596E-4</v>
      </c>
      <c r="T2162">
        <v>0</v>
      </c>
    </row>
    <row r="2163" spans="1:20" x14ac:dyDescent="0.3">
      <c r="A2163" t="s">
        <v>151</v>
      </c>
      <c r="B2163">
        <v>2019</v>
      </c>
      <c r="C2163">
        <v>3298256</v>
      </c>
      <c r="D2163" s="1">
        <v>1.6E-2</v>
      </c>
      <c r="E2163" s="1">
        <v>0.94722098112106301</v>
      </c>
      <c r="F2163" s="1">
        <v>-1.4E-2</v>
      </c>
      <c r="G2163" s="1">
        <f t="shared" si="66"/>
        <v>5.0000000000000062E-3</v>
      </c>
      <c r="H2163" s="1" t="str">
        <f t="shared" si="67"/>
        <v/>
      </c>
      <c r="I2163" s="1">
        <v>-2E-3</v>
      </c>
      <c r="J2163" s="1">
        <f>+D2163-F2163+I2163*O2163</f>
        <v>2.4879999999999999E-2</v>
      </c>
      <c r="K2163" s="1">
        <v>3.63566428422928E-2</v>
      </c>
      <c r="L2163" s="1">
        <f>+K2163-J2163</f>
        <v>1.14766428422928E-2</v>
      </c>
      <c r="M2163" s="1">
        <v>1.8356642842292801E-2</v>
      </c>
      <c r="N2163" s="1">
        <f>+M2163-J2163</f>
        <v>-6.5233571577071985E-3</v>
      </c>
      <c r="O2163">
        <v>2.56</v>
      </c>
      <c r="P2163" t="s">
        <v>16</v>
      </c>
      <c r="Q2163">
        <v>0</v>
      </c>
      <c r="R2163">
        <v>1.10376087129115E-2</v>
      </c>
      <c r="S2163">
        <v>-7.8115817159413996E-3</v>
      </c>
      <c r="T2163">
        <v>-0.01</v>
      </c>
    </row>
    <row r="2164" spans="1:20" x14ac:dyDescent="0.3">
      <c r="A2164" t="s">
        <v>151</v>
      </c>
      <c r="B2164">
        <v>2020</v>
      </c>
      <c r="C2164">
        <v>3294344</v>
      </c>
      <c r="D2164" s="1">
        <v>8.9999999999999993E-3</v>
      </c>
      <c r="E2164" s="1">
        <v>0.95912164449691795</v>
      </c>
      <c r="F2164" s="1">
        <v>-2.4E-2</v>
      </c>
      <c r="G2164" s="1">
        <f t="shared" si="66"/>
        <v>-1.8999999999999996E-2</v>
      </c>
      <c r="H2164" s="1" t="str">
        <f t="shared" si="67"/>
        <v/>
      </c>
      <c r="I2164" s="1">
        <v>1.2E-2</v>
      </c>
      <c r="J2164" s="1">
        <f>+D2164-F2164+I2164*O2164</f>
        <v>6.3E-2</v>
      </c>
      <c r="K2164" s="1">
        <v>2.3037608712911599E-2</v>
      </c>
      <c r="L2164" s="1">
        <f>+K2164-J2164</f>
        <v>-3.9962391287088402E-2</v>
      </c>
      <c r="M2164" s="1">
        <v>1.10376087129115E-2</v>
      </c>
      <c r="N2164" s="1">
        <f>+M2164-J2164</f>
        <v>-5.1962391287088502E-2</v>
      </c>
      <c r="O2164">
        <v>2.5</v>
      </c>
      <c r="P2164" t="s">
        <v>17</v>
      </c>
      <c r="Q2164">
        <v>-0.01</v>
      </c>
      <c r="R2164">
        <v>7.2999386370181996E-2</v>
      </c>
      <c r="S2164">
        <v>2.9409773647784999E-2</v>
      </c>
      <c r="T2164">
        <v>0.02</v>
      </c>
    </row>
    <row r="2165" spans="1:20" x14ac:dyDescent="0.3">
      <c r="A2165" t="s">
        <v>151</v>
      </c>
      <c r="B2165">
        <v>2021</v>
      </c>
      <c r="C2165">
        <v>3275894</v>
      </c>
      <c r="D2165" s="1">
        <v>1.7999999999999999E-2</v>
      </c>
      <c r="E2165" s="1">
        <v>0.97312414646148704</v>
      </c>
      <c r="F2165" s="1">
        <v>4.0000000000000001E-3</v>
      </c>
      <c r="G2165" s="1">
        <f t="shared" si="66"/>
        <v>-1.4999999999999996E-2</v>
      </c>
      <c r="H2165" s="1" t="str">
        <f t="shared" si="67"/>
        <v/>
      </c>
      <c r="I2165" s="1">
        <v>1.4E-2</v>
      </c>
      <c r="J2165" s="1">
        <f>+D2165-F2165+I2165*O2165</f>
        <v>4.9139999999999996E-2</v>
      </c>
      <c r="K2165" s="1">
        <v>0.119999386370182</v>
      </c>
      <c r="L2165" s="1">
        <f>+K2165-J2165</f>
        <v>7.0859386370181993E-2</v>
      </c>
      <c r="M2165" s="1">
        <v>7.2999386370181996E-2</v>
      </c>
      <c r="N2165" s="1">
        <f>+M2165-J2165</f>
        <v>2.3859386370181999E-2</v>
      </c>
      <c r="O2165">
        <v>2.5099999999999998</v>
      </c>
      <c r="P2165" t="s">
        <v>15</v>
      </c>
      <c r="Q2165">
        <v>0.03</v>
      </c>
      <c r="R2165">
        <v>-2.43892426788807E-2</v>
      </c>
      <c r="S2165">
        <v>7.7142640948296001E-3</v>
      </c>
      <c r="T2165">
        <v>-0.03</v>
      </c>
    </row>
    <row r="2166" spans="1:20" x14ac:dyDescent="0.3">
      <c r="A2166" t="s">
        <v>151</v>
      </c>
      <c r="B2166">
        <v>2022</v>
      </c>
      <c r="C2166">
        <v>3283695</v>
      </c>
      <c r="D2166" s="1">
        <v>1.4999999999999999E-2</v>
      </c>
      <c r="E2166" s="1">
        <v>0.96039777994155895</v>
      </c>
      <c r="F2166" s="1">
        <v>-8.9999999999999993E-3</v>
      </c>
      <c r="G2166" s="1">
        <f t="shared" si="66"/>
        <v>-2.3999999999999994E-2</v>
      </c>
      <c r="H2166" s="1" t="str">
        <f t="shared" si="67"/>
        <v/>
      </c>
      <c r="I2166" s="1">
        <v>-1.2999999999999999E-2</v>
      </c>
      <c r="J2166" s="1">
        <f>+D2166-F2166+I2166*O2166</f>
        <v>-8.2399999999999973E-3</v>
      </c>
      <c r="K2166" s="1">
        <v>5.5610757321119302E-2</v>
      </c>
      <c r="L2166" s="1">
        <f>+K2166-J2166</f>
        <v>6.3850757321119306E-2</v>
      </c>
      <c r="M2166" s="1">
        <v>-2.43892426788807E-2</v>
      </c>
      <c r="N2166" s="1">
        <f>+M2166-J2166</f>
        <v>-1.6149242678880703E-2</v>
      </c>
      <c r="O2166">
        <v>2.48</v>
      </c>
      <c r="P2166" t="s">
        <v>16</v>
      </c>
      <c r="Q2166">
        <v>0.01</v>
      </c>
      <c r="R2166">
        <v>-2.67213944196701E-2</v>
      </c>
      <c r="S2166">
        <v>-7.1624666452407898E-3</v>
      </c>
      <c r="T2166">
        <v>0.01</v>
      </c>
    </row>
    <row r="2167" spans="1:20" x14ac:dyDescent="0.3">
      <c r="A2167" t="s">
        <v>152</v>
      </c>
      <c r="B2167">
        <v>2006</v>
      </c>
      <c r="C2167">
        <v>1462168</v>
      </c>
      <c r="D2167" s="1">
        <v>1E-3</v>
      </c>
      <c r="E2167" s="1">
        <v>0.95921403169632002</v>
      </c>
      <c r="F2167" s="1">
        <v>-1.2E-2</v>
      </c>
      <c r="G2167" s="1">
        <f t="shared" si="66"/>
        <v>-1.2E-2</v>
      </c>
      <c r="H2167" s="1" t="str">
        <f t="shared" si="67"/>
        <v/>
      </c>
      <c r="I2167" s="1">
        <v>4.0000000000000001E-3</v>
      </c>
      <c r="J2167" s="1">
        <f>+D2167-F2167+I2167*O2167</f>
        <v>2.18E-2</v>
      </c>
      <c r="K2167" s="1">
        <v>7.9101592302322402E-2</v>
      </c>
      <c r="L2167" s="1">
        <f>+K2167-J2167</f>
        <v>5.7301592302322402E-2</v>
      </c>
      <c r="M2167" s="1">
        <v>4.7101592302322401E-2</v>
      </c>
      <c r="N2167" s="1">
        <f>+M2167-J2167</f>
        <v>2.5301592302322401E-2</v>
      </c>
      <c r="O2167">
        <v>2.2000000000000002</v>
      </c>
      <c r="P2167" t="s">
        <v>17</v>
      </c>
      <c r="Q2167">
        <v>0.04</v>
      </c>
      <c r="R2167">
        <v>3.9103060126304601E-2</v>
      </c>
      <c r="S2167">
        <v>4.00248160585761E-2</v>
      </c>
      <c r="T2167">
        <v>-0.01</v>
      </c>
    </row>
    <row r="2168" spans="1:20" x14ac:dyDescent="0.3">
      <c r="A2168" t="s">
        <v>152</v>
      </c>
      <c r="B2168">
        <v>2007</v>
      </c>
      <c r="C2168">
        <v>1478127</v>
      </c>
      <c r="D2168" s="1">
        <v>5.0000000000000001E-3</v>
      </c>
      <c r="E2168" s="1">
        <v>0.95859658718109098</v>
      </c>
      <c r="F2168" s="1">
        <v>6.0000000000000001E-3</v>
      </c>
      <c r="G2168" s="1">
        <f t="shared" si="66"/>
        <v>-6.0000000000000001E-3</v>
      </c>
      <c r="H2168" s="1" t="str">
        <f t="shared" si="67"/>
        <v/>
      </c>
      <c r="I2168" s="1">
        <v>-1E-3</v>
      </c>
      <c r="J2168" s="1">
        <f>+D2168-F2168+I2168*O2168</f>
        <v>-3.2100000000000002E-3</v>
      </c>
      <c r="K2168" s="1">
        <v>6.8103060126304599E-2</v>
      </c>
      <c r="L2168" s="1">
        <f>+K2168-J2168</f>
        <v>7.1313060126304603E-2</v>
      </c>
      <c r="M2168" s="1">
        <v>3.9103060126304601E-2</v>
      </c>
      <c r="N2168" s="1">
        <f>+M2168-J2168</f>
        <v>4.2313060126304598E-2</v>
      </c>
      <c r="O2168">
        <v>2.21</v>
      </c>
      <c r="P2168" t="s">
        <v>17</v>
      </c>
      <c r="Q2168">
        <v>0.04</v>
      </c>
      <c r="R2168">
        <v>-5.0717418193816904E-3</v>
      </c>
      <c r="S2168">
        <v>2.4439062457531701E-2</v>
      </c>
      <c r="T2168">
        <v>0</v>
      </c>
    </row>
    <row r="2169" spans="1:20" x14ac:dyDescent="0.3">
      <c r="A2169" t="s">
        <v>152</v>
      </c>
      <c r="B2169">
        <v>2008</v>
      </c>
      <c r="C2169">
        <v>1500185</v>
      </c>
      <c r="D2169" s="1">
        <v>4.0000000000000001E-3</v>
      </c>
      <c r="E2169" s="1">
        <v>0.95529776811599698</v>
      </c>
      <c r="F2169" s="1">
        <v>-7.0000000000000001E-3</v>
      </c>
      <c r="G2169" s="1">
        <f t="shared" si="66"/>
        <v>-1.3000000000000001E-2</v>
      </c>
      <c r="H2169" s="1" t="str">
        <f t="shared" si="67"/>
        <v/>
      </c>
      <c r="I2169" s="1">
        <v>-3.0000000000000001E-3</v>
      </c>
      <c r="J2169" s="1">
        <f>+D2169-F2169+I2169*O2169</f>
        <v>4.3999999999999985E-3</v>
      </c>
      <c r="K2169" s="1">
        <v>3.29282581806183E-2</v>
      </c>
      <c r="L2169" s="1">
        <f>+K2169-J2169</f>
        <v>2.8528258180618302E-2</v>
      </c>
      <c r="M2169" s="1">
        <v>-5.0717418193816904E-3</v>
      </c>
      <c r="N2169" s="1">
        <f>+M2169-J2169</f>
        <v>-9.4717418193816898E-3</v>
      </c>
      <c r="O2169">
        <v>2.2000000000000002</v>
      </c>
      <c r="P2169" t="s">
        <v>16</v>
      </c>
      <c r="Q2169">
        <v>0.02</v>
      </c>
      <c r="R2169">
        <v>-6.2360302269458698E-2</v>
      </c>
      <c r="S2169">
        <v>-3.5793600603938103E-2</v>
      </c>
      <c r="T2169">
        <v>-0.01</v>
      </c>
    </row>
    <row r="2170" spans="1:20" x14ac:dyDescent="0.3">
      <c r="A2170" t="s">
        <v>152</v>
      </c>
      <c r="B2170">
        <v>2009</v>
      </c>
      <c r="C2170">
        <v>1518167</v>
      </c>
      <c r="D2170" s="1">
        <v>6.0000000000000001E-3</v>
      </c>
      <c r="E2170" s="1">
        <v>0.94727063179016102</v>
      </c>
      <c r="F2170" s="1">
        <v>4.8000000000000001E-2</v>
      </c>
      <c r="G2170" s="1">
        <f t="shared" si="66"/>
        <v>3.5000000000000003E-2</v>
      </c>
      <c r="H2170" s="1" t="str">
        <f t="shared" si="67"/>
        <v/>
      </c>
      <c r="I2170" s="1">
        <v>-8.0000000000000002E-3</v>
      </c>
      <c r="J2170" s="1">
        <f>+D2170-F2170+I2170*O2170</f>
        <v>-6.0400000000000002E-2</v>
      </c>
      <c r="K2170" s="1">
        <v>-6.6360302269458799E-2</v>
      </c>
      <c r="L2170" s="1">
        <f>+K2170-J2170</f>
        <v>-5.9603022694587962E-3</v>
      </c>
      <c r="M2170" s="1">
        <v>-6.2360302269458698E-2</v>
      </c>
      <c r="N2170" s="1">
        <f>+M2170-J2170</f>
        <v>-1.9603022694586955E-3</v>
      </c>
      <c r="O2170">
        <v>2.2999999999999998</v>
      </c>
      <c r="P2170" t="s">
        <v>17</v>
      </c>
      <c r="Q2170">
        <v>-0.04</v>
      </c>
      <c r="R2170">
        <v>2.76006411910057E-2</v>
      </c>
      <c r="S2170">
        <v>3.7060749949887298E-2</v>
      </c>
      <c r="T2170">
        <v>0.03</v>
      </c>
    </row>
    <row r="2171" spans="1:20" x14ac:dyDescent="0.3">
      <c r="A2171" t="s">
        <v>152</v>
      </c>
      <c r="B2171">
        <v>2010</v>
      </c>
      <c r="C2171">
        <v>1530700</v>
      </c>
      <c r="D2171" s="1">
        <v>3.0000000000000001E-3</v>
      </c>
      <c r="E2171" s="1">
        <v>0.94994378089904796</v>
      </c>
      <c r="F2171" s="1">
        <v>0.02</v>
      </c>
      <c r="G2171" s="1">
        <f t="shared" si="66"/>
        <v>5.5000000000000007E-2</v>
      </c>
      <c r="H2171" s="1" t="str">
        <f t="shared" si="67"/>
        <v/>
      </c>
      <c r="I2171" s="1">
        <v>3.0000000000000001E-3</v>
      </c>
      <c r="J2171" s="1">
        <f>+D2171-F2171+I2171*O2171</f>
        <v>-9.9500000000000005E-3</v>
      </c>
      <c r="K2171" s="1">
        <v>4.36006411910057E-2</v>
      </c>
      <c r="L2171" s="1">
        <f>+K2171-J2171</f>
        <v>5.35506411910057E-2</v>
      </c>
      <c r="M2171" s="1">
        <v>2.76006411910057E-2</v>
      </c>
      <c r="N2171" s="1">
        <f>+M2171-J2171</f>
        <v>3.75506411910057E-2</v>
      </c>
      <c r="O2171">
        <v>2.35</v>
      </c>
      <c r="P2171" t="s">
        <v>15</v>
      </c>
      <c r="Q2171">
        <v>0.04</v>
      </c>
      <c r="R2171">
        <v>1.1959910690783899E-3</v>
      </c>
      <c r="S2171">
        <v>2.2479765582829599E-2</v>
      </c>
      <c r="T2171">
        <v>0.01</v>
      </c>
    </row>
    <row r="2172" spans="1:20" x14ac:dyDescent="0.3">
      <c r="A2172" t="s">
        <v>152</v>
      </c>
      <c r="B2172">
        <v>2011</v>
      </c>
      <c r="C2172">
        <v>1551642</v>
      </c>
      <c r="D2172" s="1">
        <v>0</v>
      </c>
      <c r="E2172" s="1">
        <v>0.95361822843551602</v>
      </c>
      <c r="F2172" s="1">
        <v>2E-3</v>
      </c>
      <c r="G2172" s="1">
        <f t="shared" si="66"/>
        <v>5.7000000000000009E-2</v>
      </c>
      <c r="H2172" s="1" t="str">
        <f t="shared" si="67"/>
        <v/>
      </c>
      <c r="I2172" s="1">
        <v>4.0000000000000001E-3</v>
      </c>
      <c r="J2172" s="1">
        <f>+D2172-F2172+I2172*O2172</f>
        <v>7.4400000000000004E-3</v>
      </c>
      <c r="K2172" s="1">
        <v>3.3195991069078397E-2</v>
      </c>
      <c r="L2172" s="1">
        <f>+K2172-J2172</f>
        <v>2.5755991069078395E-2</v>
      </c>
      <c r="M2172" s="1">
        <v>1.1959910690783899E-3</v>
      </c>
      <c r="N2172" s="1">
        <f>+M2172-J2172</f>
        <v>-6.2440089309216103E-3</v>
      </c>
      <c r="O2172">
        <v>2.36</v>
      </c>
      <c r="P2172" t="s">
        <v>15</v>
      </c>
      <c r="Q2172">
        <v>0.02</v>
      </c>
      <c r="R2172">
        <v>2.17010282874107E-2</v>
      </c>
      <c r="S2172">
        <v>2.7139234356582099E-2</v>
      </c>
      <c r="T2172">
        <v>0</v>
      </c>
    </row>
    <row r="2173" spans="1:20" x14ac:dyDescent="0.3">
      <c r="A2173" t="s">
        <v>152</v>
      </c>
      <c r="B2173">
        <v>2012</v>
      </c>
      <c r="C2173">
        <v>1575622</v>
      </c>
      <c r="D2173" s="1">
        <v>1E-3</v>
      </c>
      <c r="E2173" s="1">
        <v>0.95122146606445301</v>
      </c>
      <c r="F2173" s="1">
        <v>-3.0000000000000001E-3</v>
      </c>
      <c r="G2173" s="1">
        <f t="shared" si="66"/>
        <v>5.4000000000000006E-2</v>
      </c>
      <c r="H2173" s="1" t="str">
        <f t="shared" si="67"/>
        <v/>
      </c>
      <c r="I2173" s="1">
        <v>-2E-3</v>
      </c>
      <c r="J2173" s="1">
        <f>+D2173-F2173+I2173*O2173</f>
        <v>-7.000000000000001E-4</v>
      </c>
      <c r="K2173" s="1">
        <v>4.2701028287410701E-2</v>
      </c>
      <c r="L2173" s="1">
        <f>+K2173-J2173</f>
        <v>4.3401028287410701E-2</v>
      </c>
      <c r="M2173" s="1">
        <v>2.17010282874107E-2</v>
      </c>
      <c r="N2173" s="1">
        <f>+M2173-J2173</f>
        <v>2.2401028287410699E-2</v>
      </c>
      <c r="O2173">
        <v>2.35</v>
      </c>
      <c r="P2173" t="s">
        <v>16</v>
      </c>
      <c r="Q2173">
        <v>0.03</v>
      </c>
      <c r="R2173">
        <v>2.60491414368152E-2</v>
      </c>
      <c r="S2173">
        <v>1.99223700910806E-2</v>
      </c>
      <c r="T2173">
        <v>-0.01</v>
      </c>
    </row>
    <row r="2174" spans="1:20" x14ac:dyDescent="0.3">
      <c r="A2174" t="s">
        <v>152</v>
      </c>
      <c r="B2174">
        <v>2013</v>
      </c>
      <c r="C2174">
        <v>1596186</v>
      </c>
      <c r="D2174" s="1">
        <v>1.7000000000000001E-2</v>
      </c>
      <c r="E2174" s="1">
        <v>0.95088130235671997</v>
      </c>
      <c r="F2174" s="1">
        <v>5.0000000000000001E-3</v>
      </c>
      <c r="G2174" s="1">
        <f t="shared" si="66"/>
        <v>5.9000000000000004E-2</v>
      </c>
      <c r="H2174" s="1" t="str">
        <f t="shared" si="67"/>
        <v/>
      </c>
      <c r="I2174" s="1">
        <v>0</v>
      </c>
      <c r="J2174" s="1">
        <f>+D2174-F2174+I2174*O2174</f>
        <v>1.2E-2</v>
      </c>
      <c r="K2174" s="1">
        <v>4.1049141436815297E-2</v>
      </c>
      <c r="L2174" s="1">
        <f>+K2174-J2174</f>
        <v>2.9049141436815296E-2</v>
      </c>
      <c r="M2174" s="1">
        <v>2.60491414368152E-2</v>
      </c>
      <c r="N2174" s="1">
        <f>+M2174-J2174</f>
        <v>1.40491414368152E-2</v>
      </c>
      <c r="O2174">
        <v>2.36</v>
      </c>
      <c r="P2174" t="s">
        <v>17</v>
      </c>
      <c r="Q2174">
        <v>0.02</v>
      </c>
      <c r="R2174">
        <v>2.8909887015819501E-2</v>
      </c>
      <c r="S2174">
        <v>2.6901863515377E-2</v>
      </c>
      <c r="T2174">
        <v>0</v>
      </c>
    </row>
    <row r="2175" spans="1:20" x14ac:dyDescent="0.3">
      <c r="A2175" t="s">
        <v>152</v>
      </c>
      <c r="B2175">
        <v>2014</v>
      </c>
      <c r="C2175">
        <v>1616925</v>
      </c>
      <c r="D2175" s="1">
        <v>1.7000000000000001E-2</v>
      </c>
      <c r="E2175" s="1">
        <v>0.95164978504180897</v>
      </c>
      <c r="F2175" s="1">
        <v>2.1999999999999999E-2</v>
      </c>
      <c r="G2175" s="1">
        <f t="shared" si="66"/>
        <v>8.1000000000000003E-2</v>
      </c>
      <c r="H2175" s="1" t="str">
        <f t="shared" si="67"/>
        <v/>
      </c>
      <c r="I2175" s="1">
        <v>1E-3</v>
      </c>
      <c r="J2175" s="1">
        <f>+D2175-F2175+I2175*O2175</f>
        <v>-2.5899999999999973E-3</v>
      </c>
      <c r="K2175" s="1">
        <v>4.4909887015819501E-2</v>
      </c>
      <c r="L2175" s="1">
        <f>+K2175-J2175</f>
        <v>4.7499887015819496E-2</v>
      </c>
      <c r="M2175" s="1">
        <v>2.8909887015819501E-2</v>
      </c>
      <c r="N2175" s="1">
        <f>+M2175-J2175</f>
        <v>3.1499887015819496E-2</v>
      </c>
      <c r="O2175">
        <v>2.41</v>
      </c>
      <c r="P2175" t="s">
        <v>15</v>
      </c>
      <c r="Q2175">
        <v>0.03</v>
      </c>
      <c r="R2175">
        <v>5.8913232922554001E-2</v>
      </c>
      <c r="S2175">
        <v>2.8649780899286301E-2</v>
      </c>
      <c r="T2175">
        <v>0.02</v>
      </c>
    </row>
    <row r="2176" spans="1:20" x14ac:dyDescent="0.3">
      <c r="A2176" t="s">
        <v>152</v>
      </c>
      <c r="B2176">
        <v>2015</v>
      </c>
      <c r="C2176">
        <v>1635283</v>
      </c>
      <c r="D2176" s="1">
        <v>1.4999999999999999E-2</v>
      </c>
      <c r="E2176" s="1">
        <v>0.94863784313201904</v>
      </c>
      <c r="F2176" s="1">
        <v>7.0000000000000001E-3</v>
      </c>
      <c r="G2176" s="1">
        <f t="shared" si="66"/>
        <v>8.8000000000000009E-2</v>
      </c>
      <c r="H2176" s="1" t="str">
        <f t="shared" si="67"/>
        <v/>
      </c>
      <c r="I2176" s="1">
        <v>-3.0000000000000001E-3</v>
      </c>
      <c r="J2176" s="1">
        <f>+D2176-F2176+I2176*O2176</f>
        <v>7.0999999999999969E-4</v>
      </c>
      <c r="K2176" s="1">
        <v>5.9913232922554002E-2</v>
      </c>
      <c r="L2176" s="1">
        <f>+K2176-J2176</f>
        <v>5.9203232922554E-2</v>
      </c>
      <c r="M2176" s="1">
        <v>5.8913232922554001E-2</v>
      </c>
      <c r="N2176" s="1">
        <f>+M2176-J2176</f>
        <v>5.8203232922553999E-2</v>
      </c>
      <c r="O2176">
        <v>2.4300000000000002</v>
      </c>
      <c r="P2176" t="s">
        <v>17</v>
      </c>
      <c r="Q2176">
        <v>0.03</v>
      </c>
      <c r="R2176">
        <v>-1.15931742703542E-2</v>
      </c>
      <c r="S2176">
        <v>-2.4746731272898601E-2</v>
      </c>
      <c r="T2176">
        <v>0.02</v>
      </c>
    </row>
    <row r="2177" spans="1:20" x14ac:dyDescent="0.3">
      <c r="A2177" t="s">
        <v>152</v>
      </c>
      <c r="B2177">
        <v>2016</v>
      </c>
      <c r="C2177">
        <v>1645736</v>
      </c>
      <c r="D2177" s="1">
        <v>2.1000000000000001E-2</v>
      </c>
      <c r="E2177" s="1">
        <v>0.948563992977142</v>
      </c>
      <c r="F2177" s="1">
        <v>5.0000000000000001E-3</v>
      </c>
      <c r="G2177" s="1">
        <f t="shared" si="66"/>
        <v>9.3000000000000013E-2</v>
      </c>
      <c r="H2177" s="1" t="str">
        <f t="shared" si="67"/>
        <v/>
      </c>
      <c r="I2177" s="1">
        <v>0</v>
      </c>
      <c r="J2177" s="1">
        <f>+D2177-F2177+I2177*O2177</f>
        <v>1.6E-2</v>
      </c>
      <c r="K2177" s="1">
        <v>1.40682572964579E-3</v>
      </c>
      <c r="L2177" s="1">
        <f>+K2177-J2177</f>
        <v>-1.459317427035421E-2</v>
      </c>
      <c r="M2177" s="1">
        <v>-1.15931742703542E-2</v>
      </c>
      <c r="N2177" s="1">
        <f>+M2177-J2177</f>
        <v>-2.7593174270354202E-2</v>
      </c>
      <c r="O2177">
        <v>2.44</v>
      </c>
      <c r="P2177" t="s">
        <v>17</v>
      </c>
      <c r="Q2177">
        <v>-0.02</v>
      </c>
      <c r="R2177">
        <v>-6.3709870949387997E-3</v>
      </c>
      <c r="S2177">
        <v>-9.1605605557560903E-3</v>
      </c>
      <c r="T2177">
        <v>0.01</v>
      </c>
    </row>
    <row r="2178" spans="1:20" x14ac:dyDescent="0.3">
      <c r="A2178" t="s">
        <v>152</v>
      </c>
      <c r="B2178">
        <v>2017</v>
      </c>
      <c r="C2178">
        <v>1652028</v>
      </c>
      <c r="D2178" s="1">
        <v>2.3E-2</v>
      </c>
      <c r="E2178" s="1">
        <v>0.946111440658569</v>
      </c>
      <c r="F2178" s="1">
        <v>-1.2999999999999999E-2</v>
      </c>
      <c r="G2178" s="1">
        <f t="shared" si="66"/>
        <v>8.0000000000000016E-2</v>
      </c>
      <c r="H2178" s="1" t="str">
        <f t="shared" si="67"/>
        <v/>
      </c>
      <c r="I2178" s="1">
        <v>-2E-3</v>
      </c>
      <c r="J2178" s="1">
        <f>+D2178-F2178+I2178*O2178</f>
        <v>3.1179999999999996E-2</v>
      </c>
      <c r="K2178" s="1">
        <v>1.46290129050612E-2</v>
      </c>
      <c r="L2178" s="1">
        <f>+K2178-J2178</f>
        <v>-1.6550987094938796E-2</v>
      </c>
      <c r="M2178" s="1">
        <v>-6.3709870949387997E-3</v>
      </c>
      <c r="N2178" s="1">
        <f>+M2178-J2178</f>
        <v>-3.7550987094938794E-2</v>
      </c>
      <c r="O2178">
        <v>2.41</v>
      </c>
      <c r="P2178" t="s">
        <v>16</v>
      </c>
      <c r="Q2178">
        <v>-0.01</v>
      </c>
      <c r="R2178">
        <v>1.13054963052273E-2</v>
      </c>
      <c r="S2178">
        <v>2.1704733371735001E-3</v>
      </c>
      <c r="T2178">
        <v>-0.01</v>
      </c>
    </row>
    <row r="2179" spans="1:20" x14ac:dyDescent="0.3">
      <c r="A2179" t="s">
        <v>152</v>
      </c>
      <c r="B2179">
        <v>2018</v>
      </c>
      <c r="C2179">
        <v>1653055</v>
      </c>
      <c r="D2179" s="1">
        <v>1.4E-2</v>
      </c>
      <c r="E2179" s="1">
        <v>0.94857835769653298</v>
      </c>
      <c r="F2179" s="1">
        <v>-1.2E-2</v>
      </c>
      <c r="G2179" s="1">
        <f t="shared" si="66"/>
        <v>6.8000000000000019E-2</v>
      </c>
      <c r="H2179" s="1" t="str">
        <f t="shared" si="67"/>
        <v/>
      </c>
      <c r="I2179" s="1">
        <v>2E-3</v>
      </c>
      <c r="J2179" s="1">
        <f>+D2179-F2179+I2179*O2179</f>
        <v>3.0760000000000003E-2</v>
      </c>
      <c r="K2179" s="1">
        <v>3.53054963052273E-2</v>
      </c>
      <c r="L2179" s="1">
        <f>+K2179-J2179</f>
        <v>4.5454963052272979E-3</v>
      </c>
      <c r="M2179" s="1">
        <v>1.13054963052273E-2</v>
      </c>
      <c r="N2179" s="1">
        <f>+M2179-J2179</f>
        <v>-1.9454503694772703E-2</v>
      </c>
      <c r="O2179">
        <v>2.38</v>
      </c>
      <c r="P2179" t="s">
        <v>17</v>
      </c>
      <c r="Q2179">
        <v>0</v>
      </c>
      <c r="R2179">
        <v>-5.5765722244977903E-3</v>
      </c>
      <c r="S2179">
        <v>-2.3377766832709299E-2</v>
      </c>
      <c r="T2179">
        <v>0</v>
      </c>
    </row>
    <row r="2180" spans="1:20" x14ac:dyDescent="0.3">
      <c r="A2180" t="s">
        <v>152</v>
      </c>
      <c r="B2180">
        <v>2019</v>
      </c>
      <c r="C2180">
        <v>1646510</v>
      </c>
      <c r="D2180" s="1">
        <v>1.2999999999999999E-2</v>
      </c>
      <c r="E2180" s="1">
        <v>0.94157564640045199</v>
      </c>
      <c r="F2180" s="1">
        <v>-4.0000000000000001E-3</v>
      </c>
      <c r="G2180" s="1">
        <f t="shared" si="66"/>
        <v>6.4000000000000015E-2</v>
      </c>
      <c r="H2180" s="1" t="str">
        <f t="shared" si="67"/>
        <v/>
      </c>
      <c r="I2180" s="1">
        <v>-7.0000000000000001E-3</v>
      </c>
      <c r="J2180" s="1">
        <f>+D2180-F2180+I2180*O2180</f>
        <v>4.1000000000000064E-4</v>
      </c>
      <c r="K2180" s="1">
        <v>1.24234277755022E-2</v>
      </c>
      <c r="L2180" s="1">
        <f>+K2180-J2180</f>
        <v>1.2013427775502199E-2</v>
      </c>
      <c r="M2180" s="1">
        <v>-5.5765722244977903E-3</v>
      </c>
      <c r="N2180" s="1">
        <f>+M2180-J2180</f>
        <v>-5.9865722244977909E-3</v>
      </c>
      <c r="O2180">
        <v>2.37</v>
      </c>
      <c r="P2180" t="s">
        <v>16</v>
      </c>
      <c r="Q2180">
        <v>-0.02</v>
      </c>
      <c r="R2180">
        <v>-9.92068107128143E-2</v>
      </c>
      <c r="S2180">
        <v>-0.11805600114166701</v>
      </c>
      <c r="T2180">
        <v>0</v>
      </c>
    </row>
    <row r="2181" spans="1:20" x14ac:dyDescent="0.3">
      <c r="A2181" t="s">
        <v>152</v>
      </c>
      <c r="B2181">
        <v>2020</v>
      </c>
      <c r="C2181">
        <v>1616821</v>
      </c>
      <c r="D2181" s="1">
        <v>1.6E-2</v>
      </c>
      <c r="E2181" s="1">
        <v>0.89295399188995395</v>
      </c>
      <c r="F2181" s="1">
        <v>-1.9E-2</v>
      </c>
      <c r="G2181" s="1">
        <f t="shared" si="66"/>
        <v>4.5000000000000012E-2</v>
      </c>
      <c r="H2181" s="1" t="str">
        <f t="shared" si="67"/>
        <v/>
      </c>
      <c r="I2181" s="1">
        <v>-4.9000000000000002E-2</v>
      </c>
      <c r="J2181" s="1">
        <f>+D2181-F2181+I2181*O2181</f>
        <v>-7.9170000000000004E-2</v>
      </c>
      <c r="K2181" s="1">
        <v>-8.7206810712814303E-2</v>
      </c>
      <c r="L2181" s="1">
        <f>+K2181-J2181</f>
        <v>-8.036810712814299E-3</v>
      </c>
      <c r="M2181" s="1">
        <v>-9.92068107128143E-2</v>
      </c>
      <c r="N2181" s="1">
        <f>+M2181-J2181</f>
        <v>-2.0036810712814296E-2</v>
      </c>
      <c r="O2181">
        <v>2.33</v>
      </c>
      <c r="P2181" t="s">
        <v>16</v>
      </c>
      <c r="Q2181">
        <v>-0.12</v>
      </c>
      <c r="R2181">
        <v>1.9754527390003201E-2</v>
      </c>
      <c r="S2181">
        <v>-2.3835085332393698E-2</v>
      </c>
      <c r="T2181">
        <v>0.02</v>
      </c>
    </row>
    <row r="2182" spans="1:20" x14ac:dyDescent="0.3">
      <c r="A2182" t="s">
        <v>152</v>
      </c>
      <c r="B2182">
        <v>2021</v>
      </c>
      <c r="C2182">
        <v>1552442</v>
      </c>
      <c r="D2182" s="1">
        <v>1.4999999999999999E-2</v>
      </c>
      <c r="E2182" s="1">
        <v>0.92276453971862804</v>
      </c>
      <c r="F2182" s="1">
        <v>7.0000000000000001E-3</v>
      </c>
      <c r="G2182" s="1">
        <f t="shared" si="66"/>
        <v>5.2000000000000011E-2</v>
      </c>
      <c r="H2182" s="1" t="str">
        <f t="shared" si="67"/>
        <v/>
      </c>
      <c r="I2182" s="1">
        <v>0.03</v>
      </c>
      <c r="J2182" s="1">
        <f>+D2182-F2182+I2182*O2182</f>
        <v>7.8199999999999992E-2</v>
      </c>
      <c r="K2182" s="1">
        <v>6.6754527390003204E-2</v>
      </c>
      <c r="L2182" s="1">
        <f>+K2182-J2182</f>
        <v>-1.1445472609996787E-2</v>
      </c>
      <c r="M2182" s="1">
        <v>1.9754527390003201E-2</v>
      </c>
      <c r="N2182" s="1">
        <f>+M2182-J2182</f>
        <v>-5.8445472609996788E-2</v>
      </c>
      <c r="O2182">
        <v>2.34</v>
      </c>
      <c r="P2182" t="s">
        <v>15</v>
      </c>
      <c r="Q2182">
        <v>-0.02</v>
      </c>
      <c r="R2182">
        <v>-6.35318960249424E-2</v>
      </c>
      <c r="S2182">
        <v>-3.1428389251232099E-2</v>
      </c>
      <c r="T2182">
        <v>-0.02</v>
      </c>
    </row>
    <row r="2183" spans="1:20" x14ac:dyDescent="0.3">
      <c r="A2183" t="s">
        <v>152</v>
      </c>
      <c r="B2183">
        <v>2022</v>
      </c>
      <c r="C2183">
        <v>1548070</v>
      </c>
      <c r="D2183" s="1">
        <v>1.0999999999999999E-2</v>
      </c>
      <c r="E2183" s="1">
        <v>0.93139374256134</v>
      </c>
      <c r="F2183" s="1">
        <v>-2.1000000000000001E-2</v>
      </c>
      <c r="G2183" s="1">
        <f t="shared" ref="G2183:G2246" si="68">SUMIFS(F:F,A:A,A2183,B:B,"&lt;="&amp;B2183)</f>
        <v>3.100000000000001E-2</v>
      </c>
      <c r="H2183" s="1" t="str">
        <f t="shared" ref="H2183:H2246" si="69">IFERROR(IF(ABS(G2183)&gt;0.12,AVERAGEIFS(K:K,A:A,A2183,B:B,"&gt;"&amp;B2183,B:B,"&lt;"&amp;B2183+3),""),"")</f>
        <v/>
      </c>
      <c r="I2183" s="1">
        <v>8.9999999999999993E-3</v>
      </c>
      <c r="J2183" s="1">
        <f>+D2183-F2183+I2183*O2183</f>
        <v>5.2610000000000004E-2</v>
      </c>
      <c r="K2183" s="1">
        <v>1.6468103975057598E-2</v>
      </c>
      <c r="L2183" s="1">
        <f>+K2183-J2183</f>
        <v>-3.6141896024942402E-2</v>
      </c>
      <c r="M2183" s="1">
        <v>-6.35318960249424E-2</v>
      </c>
      <c r="N2183" s="1">
        <f>+M2183-J2183</f>
        <v>-0.1161418960249424</v>
      </c>
      <c r="O2183">
        <v>2.29</v>
      </c>
      <c r="P2183" t="s">
        <v>17</v>
      </c>
      <c r="Q2183">
        <v>-0.03</v>
      </c>
      <c r="R2183">
        <v>-4.4316372167318999E-2</v>
      </c>
      <c r="S2183">
        <v>-2.47574443928897E-2</v>
      </c>
      <c r="T2183">
        <v>0</v>
      </c>
    </row>
    <row r="2184" spans="1:20" x14ac:dyDescent="0.3">
      <c r="A2184" t="s">
        <v>153</v>
      </c>
      <c r="B2184">
        <v>2006</v>
      </c>
      <c r="C2184">
        <v>1750388</v>
      </c>
      <c r="D2184" s="1">
        <v>1.2E-2</v>
      </c>
      <c r="E2184" s="1">
        <v>0.96710997819900502</v>
      </c>
      <c r="F2184" s="1">
        <v>-1.2E-2</v>
      </c>
      <c r="G2184" s="1">
        <f t="shared" si="68"/>
        <v>-1.2E-2</v>
      </c>
      <c r="H2184" s="1" t="str">
        <f t="shared" si="69"/>
        <v/>
      </c>
      <c r="I2184" s="1">
        <v>0.01</v>
      </c>
      <c r="J2184" s="1">
        <f>+D2184-F2184+I2184*O2184</f>
        <v>4.8899999999999999E-2</v>
      </c>
      <c r="K2184" s="1">
        <v>7.5464636087417603E-2</v>
      </c>
      <c r="L2184" s="1">
        <f>+K2184-J2184</f>
        <v>2.6564636087417604E-2</v>
      </c>
      <c r="M2184" s="1">
        <v>4.3464636087417602E-2</v>
      </c>
      <c r="N2184" s="1">
        <f>+M2184-J2184</f>
        <v>-5.4353639125823972E-3</v>
      </c>
      <c r="O2184">
        <v>2.4900000000000002</v>
      </c>
      <c r="P2184" t="s">
        <v>17</v>
      </c>
      <c r="Q2184">
        <v>0.04</v>
      </c>
      <c r="R2184">
        <v>4.8628433704376202E-2</v>
      </c>
      <c r="S2184">
        <v>4.9550189636647701E-2</v>
      </c>
      <c r="T2184">
        <v>-0.01</v>
      </c>
    </row>
    <row r="2185" spans="1:20" x14ac:dyDescent="0.3">
      <c r="A2185" t="s">
        <v>153</v>
      </c>
      <c r="B2185">
        <v>2007</v>
      </c>
      <c r="C2185">
        <v>1773370</v>
      </c>
      <c r="D2185" s="1">
        <v>6.0000000000000001E-3</v>
      </c>
      <c r="E2185" s="1">
        <v>0.96629685163497903</v>
      </c>
      <c r="F2185" s="1">
        <v>2.5000000000000001E-2</v>
      </c>
      <c r="G2185" s="1">
        <f t="shared" si="68"/>
        <v>1.3000000000000001E-2</v>
      </c>
      <c r="H2185" s="1" t="str">
        <f t="shared" si="69"/>
        <v/>
      </c>
      <c r="I2185" s="1">
        <v>-1E-3</v>
      </c>
      <c r="J2185" s="1">
        <f>+D2185-F2185+I2185*O2185</f>
        <v>-2.1550000000000003E-2</v>
      </c>
      <c r="K2185" s="1">
        <v>7.7628433704376207E-2</v>
      </c>
      <c r="L2185" s="1">
        <f>+K2185-J2185</f>
        <v>9.9178433704376207E-2</v>
      </c>
      <c r="M2185" s="1">
        <v>4.8628433704376202E-2</v>
      </c>
      <c r="N2185" s="1">
        <f>+M2185-J2185</f>
        <v>7.0178433704376209E-2</v>
      </c>
      <c r="O2185">
        <v>2.5499999999999998</v>
      </c>
      <c r="P2185" t="s">
        <v>17</v>
      </c>
      <c r="Q2185">
        <v>0.05</v>
      </c>
      <c r="R2185">
        <v>-2.8562290884554298E-2</v>
      </c>
      <c r="S2185">
        <v>9.4851339235901399E-4</v>
      </c>
      <c r="T2185">
        <v>0.02</v>
      </c>
    </row>
    <row r="2186" spans="1:20" x14ac:dyDescent="0.3">
      <c r="A2186" t="s">
        <v>153</v>
      </c>
      <c r="B2186">
        <v>2008</v>
      </c>
      <c r="C2186">
        <v>1801393</v>
      </c>
      <c r="D2186" s="1">
        <v>4.0000000000000001E-3</v>
      </c>
      <c r="E2186" s="1">
        <v>0.952259540557861</v>
      </c>
      <c r="F2186" s="1">
        <v>7.0000000000000001E-3</v>
      </c>
      <c r="G2186" s="1">
        <f t="shared" si="68"/>
        <v>0.02</v>
      </c>
      <c r="H2186" s="1" t="str">
        <f t="shared" si="69"/>
        <v/>
      </c>
      <c r="I2186" s="1">
        <v>-1.4E-2</v>
      </c>
      <c r="J2186" s="1">
        <f>+D2186-F2186+I2186*O2186</f>
        <v>-3.8980000000000001E-2</v>
      </c>
      <c r="K2186" s="1">
        <v>9.4377091154456104E-3</v>
      </c>
      <c r="L2186" s="1">
        <f>+K2186-J2186</f>
        <v>4.8417709115445615E-2</v>
      </c>
      <c r="M2186" s="1">
        <v>-2.8562290884554298E-2</v>
      </c>
      <c r="N2186" s="1">
        <f>+M2186-J2186</f>
        <v>1.0417709115445702E-2</v>
      </c>
      <c r="O2186">
        <v>2.57</v>
      </c>
      <c r="P2186" t="s">
        <v>17</v>
      </c>
      <c r="Q2186">
        <v>0</v>
      </c>
      <c r="R2186">
        <v>-7.9166934549808499E-2</v>
      </c>
      <c r="S2186">
        <v>-5.2600232884287799E-2</v>
      </c>
      <c r="T2186">
        <v>0.01</v>
      </c>
    </row>
    <row r="2187" spans="1:20" x14ac:dyDescent="0.3">
      <c r="A2187" t="s">
        <v>153</v>
      </c>
      <c r="B2187">
        <v>2009</v>
      </c>
      <c r="C2187">
        <v>1825334</v>
      </c>
      <c r="D2187" s="1">
        <v>-1E-3</v>
      </c>
      <c r="E2187" s="1">
        <v>0.95006632804870605</v>
      </c>
      <c r="F2187" s="1">
        <v>8.9999999999999993E-3</v>
      </c>
      <c r="G2187" s="1">
        <f t="shared" si="68"/>
        <v>2.8999999999999998E-2</v>
      </c>
      <c r="H2187" s="1" t="str">
        <f t="shared" si="69"/>
        <v/>
      </c>
      <c r="I2187" s="1">
        <v>-2E-3</v>
      </c>
      <c r="J2187" s="1">
        <f>+D2187-F2187+I2187*O2187</f>
        <v>-1.5179999999999999E-2</v>
      </c>
      <c r="K2187" s="1">
        <v>-8.3166934549808502E-2</v>
      </c>
      <c r="L2187" s="1">
        <f>+K2187-J2187</f>
        <v>-6.7986934549808503E-2</v>
      </c>
      <c r="M2187" s="1">
        <v>-7.9166934549808499E-2</v>
      </c>
      <c r="N2187" s="1">
        <f>+M2187-J2187</f>
        <v>-6.39869345498085E-2</v>
      </c>
      <c r="O2187">
        <v>2.59</v>
      </c>
      <c r="P2187" t="s">
        <v>17</v>
      </c>
      <c r="Q2187">
        <v>-0.05</v>
      </c>
      <c r="R2187">
        <v>2.9430839061737098E-2</v>
      </c>
      <c r="S2187">
        <v>3.88909478206187E-2</v>
      </c>
      <c r="T2187">
        <v>-0.01</v>
      </c>
    </row>
    <row r="2188" spans="1:20" x14ac:dyDescent="0.3">
      <c r="A2188" t="s">
        <v>153</v>
      </c>
      <c r="B2188">
        <v>2010</v>
      </c>
      <c r="C2188">
        <v>1849427</v>
      </c>
      <c r="D2188" s="1">
        <v>4.0000000000000001E-3</v>
      </c>
      <c r="E2188" s="1">
        <v>0.95676904916763295</v>
      </c>
      <c r="F2188" s="1">
        <v>4.8000000000000001E-2</v>
      </c>
      <c r="G2188" s="1">
        <f t="shared" si="68"/>
        <v>7.6999999999999999E-2</v>
      </c>
      <c r="H2188" s="1" t="str">
        <f t="shared" si="69"/>
        <v/>
      </c>
      <c r="I2188" s="1">
        <v>7.0000000000000001E-3</v>
      </c>
      <c r="J2188" s="1">
        <f>+D2188-F2188+I2188*O2188</f>
        <v>-2.4959999999999996E-2</v>
      </c>
      <c r="K2188" s="1">
        <v>4.5430839061737102E-2</v>
      </c>
      <c r="L2188" s="1">
        <f>+K2188-J2188</f>
        <v>7.0390839061737098E-2</v>
      </c>
      <c r="M2188" s="1">
        <v>2.9430839061737098E-2</v>
      </c>
      <c r="N2188" s="1">
        <f>+M2188-J2188</f>
        <v>5.4390839061737098E-2</v>
      </c>
      <c r="O2188">
        <v>2.72</v>
      </c>
      <c r="P2188" t="s">
        <v>15</v>
      </c>
      <c r="Q2188">
        <v>0.04</v>
      </c>
      <c r="R2188">
        <v>6.7844480574130997E-3</v>
      </c>
      <c r="S2188">
        <v>2.8068222571164401E-2</v>
      </c>
      <c r="T2188">
        <v>0.04</v>
      </c>
    </row>
    <row r="2189" spans="1:20" x14ac:dyDescent="0.3">
      <c r="A2189" t="s">
        <v>153</v>
      </c>
      <c r="B2189">
        <v>2011</v>
      </c>
      <c r="C2189">
        <v>1877995</v>
      </c>
      <c r="D2189" s="1">
        <v>2E-3</v>
      </c>
      <c r="E2189" s="1">
        <v>0.956351578235626</v>
      </c>
      <c r="F2189" s="1">
        <v>-8.9999999999999993E-3</v>
      </c>
      <c r="G2189" s="1">
        <f t="shared" si="68"/>
        <v>6.8000000000000005E-2</v>
      </c>
      <c r="H2189" s="1" t="str">
        <f t="shared" si="69"/>
        <v/>
      </c>
      <c r="I2189" s="1">
        <v>0</v>
      </c>
      <c r="J2189" s="1">
        <f>+D2189-F2189+I2189*O2189</f>
        <v>1.0999999999999999E-2</v>
      </c>
      <c r="K2189" s="1">
        <v>3.8784448057413101E-2</v>
      </c>
      <c r="L2189" s="1">
        <f>+K2189-J2189</f>
        <v>2.7784448057413102E-2</v>
      </c>
      <c r="M2189" s="1">
        <v>6.7844480574130997E-3</v>
      </c>
      <c r="N2189" s="1">
        <f>+M2189-J2189</f>
        <v>-4.2155519425868997E-3</v>
      </c>
      <c r="O2189">
        <v>2.69</v>
      </c>
      <c r="P2189" t="s">
        <v>16</v>
      </c>
      <c r="Q2189">
        <v>0.03</v>
      </c>
      <c r="R2189">
        <v>2.3592861086130099E-2</v>
      </c>
      <c r="S2189">
        <v>2.9031067155301502E-2</v>
      </c>
      <c r="T2189">
        <v>-0.01</v>
      </c>
    </row>
    <row r="2190" spans="1:20" x14ac:dyDescent="0.3">
      <c r="A2190" t="s">
        <v>153</v>
      </c>
      <c r="B2190">
        <v>2012</v>
      </c>
      <c r="C2190">
        <v>1907603</v>
      </c>
      <c r="D2190" s="1">
        <v>0.03</v>
      </c>
      <c r="E2190" s="1">
        <v>0.94945079088211104</v>
      </c>
      <c r="F2190" s="1">
        <v>2.5000000000000001E-2</v>
      </c>
      <c r="G2190" s="1">
        <f t="shared" si="68"/>
        <v>9.2999999999999999E-2</v>
      </c>
      <c r="H2190" s="1" t="str">
        <f t="shared" si="69"/>
        <v/>
      </c>
      <c r="I2190" s="1">
        <v>-7.0000000000000001E-3</v>
      </c>
      <c r="J2190" s="1">
        <f>+D2190-F2190+I2190*O2190</f>
        <v>-1.4320000000000003E-2</v>
      </c>
      <c r="K2190" s="1">
        <v>4.4592861086130101E-2</v>
      </c>
      <c r="L2190" s="1">
        <f>+K2190-J2190</f>
        <v>5.89128610861301E-2</v>
      </c>
      <c r="M2190" s="1">
        <v>2.3592861086130099E-2</v>
      </c>
      <c r="N2190" s="1">
        <f>+M2190-J2190</f>
        <v>3.7912861086130102E-2</v>
      </c>
      <c r="O2190">
        <v>2.76</v>
      </c>
      <c r="P2190" t="s">
        <v>17</v>
      </c>
      <c r="Q2190">
        <v>0.03</v>
      </c>
      <c r="R2190">
        <v>3.8673505783081097E-2</v>
      </c>
      <c r="S2190">
        <v>3.25467344373465E-2</v>
      </c>
      <c r="T2190">
        <v>0.02</v>
      </c>
    </row>
    <row r="2191" spans="1:20" x14ac:dyDescent="0.3">
      <c r="A2191" t="s">
        <v>153</v>
      </c>
      <c r="B2191">
        <v>2013</v>
      </c>
      <c r="C2191">
        <v>1937942</v>
      </c>
      <c r="D2191" s="1">
        <v>1.4E-2</v>
      </c>
      <c r="E2191" s="1">
        <v>0.95276355743408203</v>
      </c>
      <c r="F2191" s="1">
        <v>0</v>
      </c>
      <c r="G2191" s="1">
        <f t="shared" si="68"/>
        <v>9.2999999999999999E-2</v>
      </c>
      <c r="H2191" s="1" t="str">
        <f t="shared" si="69"/>
        <v/>
      </c>
      <c r="I2191" s="1">
        <v>3.0000000000000001E-3</v>
      </c>
      <c r="J2191" s="1">
        <f>+D2191-F2191+I2191*O2191</f>
        <v>2.2280000000000001E-2</v>
      </c>
      <c r="K2191" s="1">
        <v>5.3673505783081103E-2</v>
      </c>
      <c r="L2191" s="1">
        <f>+K2191-J2191</f>
        <v>3.1393505783081102E-2</v>
      </c>
      <c r="M2191" s="1">
        <v>3.8673505783081097E-2</v>
      </c>
      <c r="N2191" s="1">
        <f>+M2191-J2191</f>
        <v>1.6393505783081096E-2</v>
      </c>
      <c r="O2191">
        <v>2.76</v>
      </c>
      <c r="P2191" t="s">
        <v>17</v>
      </c>
      <c r="Q2191">
        <v>0.03</v>
      </c>
      <c r="R2191">
        <v>3.7243115544319201E-2</v>
      </c>
      <c r="S2191">
        <v>3.5235092043876703E-2</v>
      </c>
      <c r="T2191">
        <v>-0.01</v>
      </c>
    </row>
    <row r="2192" spans="1:20" x14ac:dyDescent="0.3">
      <c r="A2192" t="s">
        <v>153</v>
      </c>
      <c r="B2192">
        <v>2014</v>
      </c>
      <c r="C2192">
        <v>1966071</v>
      </c>
      <c r="D2192" s="1">
        <v>4.2999999999999997E-2</v>
      </c>
      <c r="E2192" s="1">
        <v>0.94970917701721203</v>
      </c>
      <c r="F2192" s="1">
        <v>-2.7E-2</v>
      </c>
      <c r="G2192" s="1">
        <f t="shared" si="68"/>
        <v>6.6000000000000003E-2</v>
      </c>
      <c r="H2192" s="1" t="str">
        <f t="shared" si="69"/>
        <v/>
      </c>
      <c r="I2192" s="1">
        <v>-3.0000000000000001E-3</v>
      </c>
      <c r="J2192" s="1">
        <f>+D2192-F2192+I2192*O2192</f>
        <v>6.1959999999999994E-2</v>
      </c>
      <c r="K2192" s="1">
        <v>5.3243115544319201E-2</v>
      </c>
      <c r="L2192" s="1">
        <f>+K2192-J2192</f>
        <v>-8.7168844556807928E-3</v>
      </c>
      <c r="M2192" s="1">
        <v>3.7243115544319201E-2</v>
      </c>
      <c r="N2192" s="1">
        <f>+M2192-J2192</f>
        <v>-2.4716884455680793E-2</v>
      </c>
      <c r="O2192">
        <v>2.68</v>
      </c>
      <c r="P2192" t="s">
        <v>16</v>
      </c>
      <c r="Q2192">
        <v>0.04</v>
      </c>
      <c r="R2192">
        <v>6.2409075140953098E-2</v>
      </c>
      <c r="S2192">
        <v>3.2145623117685401E-2</v>
      </c>
      <c r="T2192">
        <v>-0.03</v>
      </c>
    </row>
    <row r="2193" spans="1:20" x14ac:dyDescent="0.3">
      <c r="A2193" t="s">
        <v>153</v>
      </c>
      <c r="B2193">
        <v>2015</v>
      </c>
      <c r="C2193">
        <v>1990268</v>
      </c>
      <c r="D2193" s="1">
        <v>3.2000000000000001E-2</v>
      </c>
      <c r="E2193" s="1">
        <v>0.94868731498718295</v>
      </c>
      <c r="F2193" s="1">
        <v>3.4000000000000002E-2</v>
      </c>
      <c r="G2193" s="1">
        <f t="shared" si="68"/>
        <v>0.1</v>
      </c>
      <c r="H2193" s="1" t="str">
        <f t="shared" si="69"/>
        <v/>
      </c>
      <c r="I2193" s="1">
        <v>-1E-3</v>
      </c>
      <c r="J2193" s="1">
        <f>+D2193-F2193+I2193*O2193</f>
        <v>-4.7700000000000017E-3</v>
      </c>
      <c r="K2193" s="1">
        <v>6.3409075140953106E-2</v>
      </c>
      <c r="L2193" s="1">
        <f>+K2193-J2193</f>
        <v>6.8179075140953102E-2</v>
      </c>
      <c r="M2193" s="1">
        <v>6.2409075140953098E-2</v>
      </c>
      <c r="N2193" s="1">
        <f>+M2193-J2193</f>
        <v>6.7179075140953101E-2</v>
      </c>
      <c r="O2193">
        <v>2.77</v>
      </c>
      <c r="P2193" t="s">
        <v>17</v>
      </c>
      <c r="Q2193">
        <v>0.03</v>
      </c>
      <c r="R2193">
        <v>-1.7609328694641501E-2</v>
      </c>
      <c r="S2193">
        <v>-3.07628856971859E-2</v>
      </c>
      <c r="T2193">
        <v>0.04</v>
      </c>
    </row>
    <row r="2194" spans="1:20" x14ac:dyDescent="0.3">
      <c r="A2194" t="s">
        <v>153</v>
      </c>
      <c r="B2194">
        <v>2016</v>
      </c>
      <c r="C2194">
        <v>2004057</v>
      </c>
      <c r="D2194" s="1">
        <v>3.3000000000000002E-2</v>
      </c>
      <c r="E2194" s="1">
        <v>0.94022119045257602</v>
      </c>
      <c r="F2194" s="1">
        <v>-2E-3</v>
      </c>
      <c r="G2194" s="1">
        <f t="shared" si="68"/>
        <v>9.8000000000000004E-2</v>
      </c>
      <c r="H2194" s="1" t="str">
        <f t="shared" si="69"/>
        <v/>
      </c>
      <c r="I2194" s="1">
        <v>-8.0000000000000002E-3</v>
      </c>
      <c r="J2194" s="1">
        <f>+D2194-F2194+I2194*O2194</f>
        <v>1.2840000000000004E-2</v>
      </c>
      <c r="K2194" s="1">
        <v>-4.6093286946415901E-3</v>
      </c>
      <c r="L2194" s="1">
        <f>+K2194-J2194</f>
        <v>-1.7449328694641594E-2</v>
      </c>
      <c r="M2194" s="1">
        <v>-1.7609328694641501E-2</v>
      </c>
      <c r="N2194" s="1">
        <f>+M2194-J2194</f>
        <v>-3.0449328694641505E-2</v>
      </c>
      <c r="O2194">
        <v>2.77</v>
      </c>
      <c r="P2194" t="s">
        <v>16</v>
      </c>
      <c r="Q2194">
        <v>-0.03</v>
      </c>
      <c r="R2194">
        <v>1.15518958270549E-2</v>
      </c>
      <c r="S2194">
        <v>8.7623223662376994E-3</v>
      </c>
      <c r="T2194">
        <v>0</v>
      </c>
    </row>
    <row r="2195" spans="1:20" x14ac:dyDescent="0.3">
      <c r="A2195" t="s">
        <v>153</v>
      </c>
      <c r="B2195">
        <v>2017</v>
      </c>
      <c r="C2195">
        <v>2010347</v>
      </c>
      <c r="D2195" s="1">
        <v>1.0999999999999999E-2</v>
      </c>
      <c r="E2195" s="1">
        <v>0.947004914283752</v>
      </c>
      <c r="F2195" s="1">
        <v>-1.7999999999999999E-2</v>
      </c>
      <c r="G2195" s="1">
        <f t="shared" si="68"/>
        <v>0.08</v>
      </c>
      <c r="H2195" s="1" t="str">
        <f t="shared" si="69"/>
        <v/>
      </c>
      <c r="I2195" s="1">
        <v>7.0000000000000001E-3</v>
      </c>
      <c r="J2195" s="1">
        <f>+D2195-F2195+I2195*O2195</f>
        <v>4.8039999999999999E-2</v>
      </c>
      <c r="K2195" s="1">
        <v>3.2551895827054998E-2</v>
      </c>
      <c r="L2195" s="1">
        <f>+K2195-J2195</f>
        <v>-1.5488104172945001E-2</v>
      </c>
      <c r="M2195" s="1">
        <v>1.15518958270549E-2</v>
      </c>
      <c r="N2195" s="1">
        <f>+M2195-J2195</f>
        <v>-3.6488104172945096E-2</v>
      </c>
      <c r="O2195">
        <v>2.72</v>
      </c>
      <c r="P2195" t="s">
        <v>17</v>
      </c>
      <c r="Q2195">
        <v>0.01</v>
      </c>
      <c r="R2195">
        <v>1.62130708098411E-2</v>
      </c>
      <c r="S2195">
        <v>7.0780478417873998E-3</v>
      </c>
      <c r="T2195">
        <v>-0.01</v>
      </c>
    </row>
    <row r="2196" spans="1:20" x14ac:dyDescent="0.3">
      <c r="A2196" t="s">
        <v>153</v>
      </c>
      <c r="B2196">
        <v>2018</v>
      </c>
      <c r="C2196">
        <v>2011313</v>
      </c>
      <c r="D2196" s="1">
        <v>2.9000000000000001E-2</v>
      </c>
      <c r="E2196" s="1">
        <v>0.94321328401565596</v>
      </c>
      <c r="F2196" s="1">
        <v>-1.2999999999999999E-2</v>
      </c>
      <c r="G2196" s="1">
        <f t="shared" si="68"/>
        <v>6.7000000000000004E-2</v>
      </c>
      <c r="H2196" s="1" t="str">
        <f t="shared" si="69"/>
        <v/>
      </c>
      <c r="I2196" s="1">
        <v>-4.0000000000000001E-3</v>
      </c>
      <c r="J2196" s="1">
        <f>+D2196-F2196+I2196*O2196</f>
        <v>3.1280000000000002E-2</v>
      </c>
      <c r="K2196" s="1">
        <v>4.0213070809841198E-2</v>
      </c>
      <c r="L2196" s="1">
        <f>+K2196-J2196</f>
        <v>8.9330708098411954E-3</v>
      </c>
      <c r="M2196" s="1">
        <v>1.62130708098411E-2</v>
      </c>
      <c r="N2196" s="1">
        <f>+M2196-J2196</f>
        <v>-1.5066929190158902E-2</v>
      </c>
      <c r="O2196">
        <v>2.68</v>
      </c>
      <c r="P2196" t="s">
        <v>16</v>
      </c>
      <c r="Q2196">
        <v>0.01</v>
      </c>
      <c r="R2196">
        <v>7.6692599505185999E-3</v>
      </c>
      <c r="S2196">
        <v>-1.0131934657692901E-2</v>
      </c>
      <c r="T2196">
        <v>0</v>
      </c>
    </row>
    <row r="2197" spans="1:20" x14ac:dyDescent="0.3">
      <c r="A2197" t="s">
        <v>153</v>
      </c>
      <c r="B2197">
        <v>2019</v>
      </c>
      <c r="C2197">
        <v>2005045</v>
      </c>
      <c r="D2197" s="1">
        <v>0.02</v>
      </c>
      <c r="E2197" s="1">
        <v>0.939924716949463</v>
      </c>
      <c r="F2197" s="1">
        <v>-2.7E-2</v>
      </c>
      <c r="G2197" s="1">
        <f t="shared" si="68"/>
        <v>4.0000000000000008E-2</v>
      </c>
      <c r="H2197" s="1" t="str">
        <f t="shared" si="69"/>
        <v/>
      </c>
      <c r="I2197" s="1">
        <v>-3.0000000000000001E-3</v>
      </c>
      <c r="J2197" s="1">
        <f>+D2197-F2197+I2197*O2197</f>
        <v>3.9169999999999996E-2</v>
      </c>
      <c r="K2197" s="1">
        <v>2.5669259950518601E-2</v>
      </c>
      <c r="L2197" s="1">
        <f>+K2197-J2197</f>
        <v>-1.3500740049481395E-2</v>
      </c>
      <c r="M2197" s="1">
        <v>7.6692599505185999E-3</v>
      </c>
      <c r="N2197" s="1">
        <f>+M2197-J2197</f>
        <v>-3.1500740049481397E-2</v>
      </c>
      <c r="O2197">
        <v>2.61</v>
      </c>
      <c r="P2197" t="s">
        <v>16</v>
      </c>
      <c r="Q2197">
        <v>-0.01</v>
      </c>
      <c r="R2197">
        <v>-9.4665018737316101E-2</v>
      </c>
      <c r="S2197">
        <v>-0.113514209166169</v>
      </c>
      <c r="T2197">
        <v>-0.02</v>
      </c>
    </row>
    <row r="2198" spans="1:20" x14ac:dyDescent="0.3">
      <c r="A2198" t="s">
        <v>153</v>
      </c>
      <c r="B2198">
        <v>2020</v>
      </c>
      <c r="C2198">
        <v>1978195</v>
      </c>
      <c r="D2198" s="1">
        <v>2.1999999999999999E-2</v>
      </c>
      <c r="E2198" s="1">
        <v>0.90326726436615001</v>
      </c>
      <c r="F2198" s="1">
        <v>-2.4E-2</v>
      </c>
      <c r="G2198" s="1">
        <f t="shared" si="68"/>
        <v>1.6000000000000007E-2</v>
      </c>
      <c r="H2198" s="1" t="str">
        <f t="shared" si="69"/>
        <v/>
      </c>
      <c r="I2198" s="1">
        <v>-3.6999999999999998E-2</v>
      </c>
      <c r="J2198" s="1">
        <f>+D2198-F2198+I2198*O2198</f>
        <v>-4.7979999999999995E-2</v>
      </c>
      <c r="K2198" s="1">
        <v>-8.2665018737316104E-2</v>
      </c>
      <c r="L2198" s="1">
        <f>+K2198-J2198</f>
        <v>-3.4685018737316109E-2</v>
      </c>
      <c r="M2198" s="1">
        <v>-9.4665018737316101E-2</v>
      </c>
      <c r="N2198" s="1">
        <f>+M2198-J2198</f>
        <v>-4.6685018737316106E-2</v>
      </c>
      <c r="O2198">
        <v>2.54</v>
      </c>
      <c r="P2198" t="s">
        <v>16</v>
      </c>
      <c r="Q2198">
        <v>-0.11</v>
      </c>
      <c r="R2198">
        <v>3.0074863016605401E-2</v>
      </c>
      <c r="S2198">
        <v>-1.3514749705791499E-2</v>
      </c>
      <c r="T2198">
        <v>0.02</v>
      </c>
    </row>
    <row r="2199" spans="1:20" x14ac:dyDescent="0.3">
      <c r="A2199" t="s">
        <v>153</v>
      </c>
      <c r="B2199">
        <v>2021</v>
      </c>
      <c r="C2199">
        <v>1946177</v>
      </c>
      <c r="D2199" s="1">
        <v>1.9E-2</v>
      </c>
      <c r="E2199" s="1">
        <v>0.94118517637252797</v>
      </c>
      <c r="F2199" s="1">
        <v>0.03</v>
      </c>
      <c r="G2199" s="1">
        <f t="shared" si="68"/>
        <v>4.6000000000000006E-2</v>
      </c>
      <c r="H2199" s="1" t="str">
        <f t="shared" si="69"/>
        <v/>
      </c>
      <c r="I2199" s="1">
        <v>3.7999999999999999E-2</v>
      </c>
      <c r="J2199" s="1">
        <f>+D2199-F2199+I2199*O2199</f>
        <v>8.856E-2</v>
      </c>
      <c r="K2199" s="1">
        <v>7.7074863016605405E-2</v>
      </c>
      <c r="L2199" s="1">
        <f>+K2199-J2199</f>
        <v>-1.1485136983394595E-2</v>
      </c>
      <c r="M2199" s="1">
        <v>3.0074863016605401E-2</v>
      </c>
      <c r="N2199" s="1">
        <f>+M2199-J2199</f>
        <v>-5.8485136983394595E-2</v>
      </c>
      <c r="O2199">
        <v>2.62</v>
      </c>
      <c r="P2199" t="s">
        <v>15</v>
      </c>
      <c r="Q2199">
        <v>-0.01</v>
      </c>
      <c r="R2199">
        <v>-2.41817328333855E-2</v>
      </c>
      <c r="S2199">
        <v>7.9217739403247903E-3</v>
      </c>
      <c r="T2199">
        <v>0</v>
      </c>
    </row>
    <row r="2200" spans="1:20" x14ac:dyDescent="0.3">
      <c r="A2200" t="s">
        <v>153</v>
      </c>
      <c r="B2200">
        <v>2022</v>
      </c>
      <c r="C2200">
        <v>1954542</v>
      </c>
      <c r="D2200" s="1">
        <v>1.7999999999999999E-2</v>
      </c>
      <c r="E2200" s="1">
        <v>0.94377684593200695</v>
      </c>
      <c r="F2200" s="1">
        <v>-4.8000000000000001E-2</v>
      </c>
      <c r="G2200" s="1">
        <f t="shared" si="68"/>
        <v>-1.9999999999999948E-3</v>
      </c>
      <c r="H2200" s="1" t="str">
        <f t="shared" si="69"/>
        <v/>
      </c>
      <c r="I2200" s="1">
        <v>3.0000000000000001E-3</v>
      </c>
      <c r="J2200" s="1">
        <f>+D2200-F2200+I2200*O2200</f>
        <v>7.350000000000001E-2</v>
      </c>
      <c r="K2200" s="1">
        <v>5.5818267166614498E-2</v>
      </c>
      <c r="L2200" s="1">
        <f>+K2200-J2200</f>
        <v>-1.7681732833385512E-2</v>
      </c>
      <c r="M2200" s="1">
        <v>-2.41817328333855E-2</v>
      </c>
      <c r="N2200" s="1">
        <f>+M2200-J2200</f>
        <v>-9.7681732833385507E-2</v>
      </c>
      <c r="O2200">
        <v>2.5</v>
      </c>
      <c r="P2200" t="s">
        <v>17</v>
      </c>
      <c r="Q2200">
        <v>0.01</v>
      </c>
      <c r="R2200">
        <v>-3.65890234559774E-2</v>
      </c>
      <c r="S2200">
        <v>-1.7030095681548101E-2</v>
      </c>
      <c r="T2200">
        <v>-0.03</v>
      </c>
    </row>
    <row r="2201" spans="1:20" x14ac:dyDescent="0.3">
      <c r="A2201" t="s">
        <v>154</v>
      </c>
      <c r="B2201">
        <v>2006</v>
      </c>
      <c r="C2201">
        <v>408851.5</v>
      </c>
      <c r="D2201" s="1">
        <v>1E-3</v>
      </c>
      <c r="E2201" s="1">
        <v>0.96511584520339999</v>
      </c>
      <c r="F2201" s="1">
        <v>-2E-3</v>
      </c>
      <c r="G2201" s="1">
        <f t="shared" si="68"/>
        <v>-2E-3</v>
      </c>
      <c r="H2201" s="1" t="str">
        <f t="shared" si="69"/>
        <v/>
      </c>
      <c r="I2201" s="1">
        <v>7.0000000000000001E-3</v>
      </c>
      <c r="J2201" s="1">
        <f>+D2201-F2201+I2201*O2201</f>
        <v>2.2249999999999999E-2</v>
      </c>
      <c r="K2201" s="1">
        <v>5.5297549813985797E-2</v>
      </c>
      <c r="L2201" s="1">
        <f>+K2201-J2201</f>
        <v>3.3047549813985798E-2</v>
      </c>
      <c r="M2201" s="1">
        <v>2.3297549813985699E-2</v>
      </c>
      <c r="N2201" s="1">
        <f>+M2201-J2201</f>
        <v>1.0475498139857001E-3</v>
      </c>
      <c r="O2201">
        <v>2.75</v>
      </c>
      <c r="P2201" t="s">
        <v>17</v>
      </c>
      <c r="Q2201">
        <v>0.02</v>
      </c>
      <c r="R2201">
        <v>1.51138781607151E-2</v>
      </c>
      <c r="S2201">
        <v>1.6035634092986601E-2</v>
      </c>
      <c r="T2201">
        <v>0</v>
      </c>
    </row>
    <row r="2202" spans="1:20" x14ac:dyDescent="0.3">
      <c r="A2202" t="s">
        <v>154</v>
      </c>
      <c r="B2202">
        <v>2007</v>
      </c>
      <c r="C2202">
        <v>412394.28129999997</v>
      </c>
      <c r="D2202" s="1">
        <v>5.0000000000000001E-3</v>
      </c>
      <c r="E2202" s="1">
        <v>0.97049033641815197</v>
      </c>
      <c r="F2202" s="1">
        <v>-3.4000000000000002E-2</v>
      </c>
      <c r="G2202" s="1">
        <f t="shared" si="68"/>
        <v>-3.6000000000000004E-2</v>
      </c>
      <c r="H2202" s="1" t="str">
        <f t="shared" si="69"/>
        <v/>
      </c>
      <c r="I2202" s="1">
        <v>5.0000000000000001E-3</v>
      </c>
      <c r="J2202" s="1">
        <f>+D2202-F2202+I2202*O2202</f>
        <v>5.2299999999999999E-2</v>
      </c>
      <c r="K2202" s="1">
        <v>4.4113878160715103E-2</v>
      </c>
      <c r="L2202" s="1">
        <f>+K2202-J2202</f>
        <v>-8.1861218392848961E-3</v>
      </c>
      <c r="M2202" s="1">
        <v>1.51138781607151E-2</v>
      </c>
      <c r="N2202" s="1">
        <f>+M2202-J2202</f>
        <v>-3.7186121839284901E-2</v>
      </c>
      <c r="O2202">
        <v>2.66</v>
      </c>
      <c r="P2202" t="s">
        <v>17</v>
      </c>
      <c r="Q2202">
        <v>0.02</v>
      </c>
      <c r="R2202">
        <v>-2.7692172966897501E-2</v>
      </c>
      <c r="S2202">
        <v>1.8186313100158999E-3</v>
      </c>
      <c r="T2202">
        <v>-0.04</v>
      </c>
    </row>
    <row r="2203" spans="1:20" x14ac:dyDescent="0.3">
      <c r="A2203" t="s">
        <v>154</v>
      </c>
      <c r="B2203">
        <v>2008</v>
      </c>
      <c r="C2203">
        <v>417001</v>
      </c>
      <c r="D2203" s="1">
        <v>0</v>
      </c>
      <c r="E2203" s="1">
        <v>0.96247029304504395</v>
      </c>
      <c r="F2203" s="1">
        <v>1.4E-2</v>
      </c>
      <c r="G2203" s="1">
        <f t="shared" si="68"/>
        <v>-2.2000000000000006E-2</v>
      </c>
      <c r="H2203" s="1" t="str">
        <f t="shared" si="69"/>
        <v/>
      </c>
      <c r="I2203" s="1">
        <v>-8.0000000000000002E-3</v>
      </c>
      <c r="J2203" s="1">
        <f>+D2203-F2203+I2203*O2203</f>
        <v>-3.56E-2</v>
      </c>
      <c r="K2203" s="1">
        <v>1.03078270331025E-2</v>
      </c>
      <c r="L2203" s="1">
        <f>+K2203-J2203</f>
        <v>4.5907827033102498E-2</v>
      </c>
      <c r="M2203" s="1">
        <v>-2.7692172966897501E-2</v>
      </c>
      <c r="N2203" s="1">
        <f>+M2203-J2203</f>
        <v>7.9078270331024991E-3</v>
      </c>
      <c r="O2203">
        <v>2.7</v>
      </c>
      <c r="P2203" t="s">
        <v>17</v>
      </c>
      <c r="Q2203">
        <v>0</v>
      </c>
      <c r="R2203">
        <v>-5.0040718823671199E-2</v>
      </c>
      <c r="S2203">
        <v>-2.34740171581506E-2</v>
      </c>
      <c r="T2203">
        <v>0.01</v>
      </c>
    </row>
    <row r="2204" spans="1:20" x14ac:dyDescent="0.3">
      <c r="A2204" t="s">
        <v>154</v>
      </c>
      <c r="B2204">
        <v>2009</v>
      </c>
      <c r="C2204">
        <v>421367.875</v>
      </c>
      <c r="D2204" s="1">
        <v>1.2999999999999999E-2</v>
      </c>
      <c r="E2204" s="1">
        <v>0.95322036743164096</v>
      </c>
      <c r="F2204" s="1">
        <v>1.7000000000000001E-2</v>
      </c>
      <c r="G2204" s="1">
        <f t="shared" si="68"/>
        <v>-5.0000000000000044E-3</v>
      </c>
      <c r="H2204" s="1" t="str">
        <f t="shared" si="69"/>
        <v/>
      </c>
      <c r="I2204" s="1">
        <v>-8.9999999999999993E-3</v>
      </c>
      <c r="J2204" s="1">
        <f>+D2204-F2204+I2204*O2204</f>
        <v>-2.8660000000000005E-2</v>
      </c>
      <c r="K2204" s="1">
        <v>-5.4040718823671299E-2</v>
      </c>
      <c r="L2204" s="1">
        <f>+K2204-J2204</f>
        <v>-2.5380718823671294E-2</v>
      </c>
      <c r="M2204" s="1">
        <v>-5.0040718823671199E-2</v>
      </c>
      <c r="N2204" s="1">
        <f>+M2204-J2204</f>
        <v>-2.1380718823671194E-2</v>
      </c>
      <c r="O2204">
        <v>2.74</v>
      </c>
      <c r="P2204" t="s">
        <v>17</v>
      </c>
      <c r="Q2204">
        <v>-0.02</v>
      </c>
      <c r="R2204">
        <v>-7.6177969425916701E-3</v>
      </c>
      <c r="S2204">
        <v>1.8423118162900101E-3</v>
      </c>
      <c r="T2204">
        <v>0</v>
      </c>
    </row>
    <row r="2205" spans="1:20" x14ac:dyDescent="0.3">
      <c r="A2205" t="s">
        <v>154</v>
      </c>
      <c r="B2205">
        <v>2010</v>
      </c>
      <c r="C2205">
        <v>424684.28129999997</v>
      </c>
      <c r="D2205" s="1">
        <v>0</v>
      </c>
      <c r="E2205" s="1">
        <v>0.96082943677902199</v>
      </c>
      <c r="F2205" s="1">
        <v>4.9000000000000002E-2</v>
      </c>
      <c r="G2205" s="1">
        <f t="shared" si="68"/>
        <v>4.3999999999999997E-2</v>
      </c>
      <c r="H2205" s="1" t="str">
        <f t="shared" si="69"/>
        <v/>
      </c>
      <c r="I2205" s="1">
        <v>8.0000000000000002E-3</v>
      </c>
      <c r="J2205" s="1">
        <f>+D2205-F2205+I2205*O2205</f>
        <v>-2.5960000000000004E-2</v>
      </c>
      <c r="K2205" s="1">
        <v>8.3822030574083294E-3</v>
      </c>
      <c r="L2205" s="1">
        <f>+K2205-J2205</f>
        <v>3.434220305740833E-2</v>
      </c>
      <c r="M2205" s="1">
        <v>-7.6177969425916701E-3</v>
      </c>
      <c r="N2205" s="1">
        <f>+M2205-J2205</f>
        <v>1.8342203057408333E-2</v>
      </c>
      <c r="O2205">
        <v>2.88</v>
      </c>
      <c r="P2205" t="s">
        <v>15</v>
      </c>
      <c r="Q2205">
        <v>0</v>
      </c>
      <c r="R2205">
        <v>-1.9374918535351799E-2</v>
      </c>
      <c r="S2205">
        <v>1.90885597839949E-3</v>
      </c>
      <c r="T2205">
        <v>0.04</v>
      </c>
    </row>
    <row r="2206" spans="1:20" x14ac:dyDescent="0.3">
      <c r="A2206" t="s">
        <v>154</v>
      </c>
      <c r="B2206">
        <v>2011</v>
      </c>
      <c r="C2206">
        <v>426883</v>
      </c>
      <c r="D2206" s="1">
        <v>4.0000000000000001E-3</v>
      </c>
      <c r="E2206" s="1">
        <v>0.95999562740325906</v>
      </c>
      <c r="F2206" s="1">
        <v>-1.6E-2</v>
      </c>
      <c r="G2206" s="1">
        <f t="shared" si="68"/>
        <v>2.7999999999999997E-2</v>
      </c>
      <c r="H2206" s="1" t="str">
        <f t="shared" si="69"/>
        <v/>
      </c>
      <c r="I2206" s="1">
        <v>-1E-3</v>
      </c>
      <c r="J2206" s="1">
        <f>+D2206-F2206+I2206*O2206</f>
        <v>1.7170000000000001E-2</v>
      </c>
      <c r="K2206" s="1">
        <v>1.26250814646482E-2</v>
      </c>
      <c r="L2206" s="1">
        <f>+K2206-J2206</f>
        <v>-4.5449185353518013E-3</v>
      </c>
      <c r="M2206" s="1">
        <v>-1.9374918535351799E-2</v>
      </c>
      <c r="N2206" s="1">
        <f>+M2206-J2206</f>
        <v>-3.65449185353518E-2</v>
      </c>
      <c r="O2206">
        <v>2.83</v>
      </c>
      <c r="P2206" t="s">
        <v>16</v>
      </c>
      <c r="Q2206">
        <v>0</v>
      </c>
      <c r="R2206">
        <v>-4.9871153235434996E-3</v>
      </c>
      <c r="S2206">
        <v>4.5109074562789902E-4</v>
      </c>
      <c r="T2206">
        <v>-0.01</v>
      </c>
    </row>
    <row r="2207" spans="1:20" x14ac:dyDescent="0.3">
      <c r="A2207" t="s">
        <v>154</v>
      </c>
      <c r="B2207">
        <v>2012</v>
      </c>
      <c r="C2207">
        <v>431625.5</v>
      </c>
      <c r="D2207" s="1">
        <v>7.0000000000000001E-3</v>
      </c>
      <c r="E2207" s="1">
        <v>0.96066904067993197</v>
      </c>
      <c r="F2207" s="1">
        <v>-0.04</v>
      </c>
      <c r="G2207" s="1">
        <f t="shared" si="68"/>
        <v>-1.2000000000000004E-2</v>
      </c>
      <c r="H2207" s="1" t="str">
        <f t="shared" si="69"/>
        <v/>
      </c>
      <c r="I2207" s="1">
        <v>1E-3</v>
      </c>
      <c r="J2207" s="1">
        <f>+D2207-F2207+I2207*O2207</f>
        <v>4.972E-2</v>
      </c>
      <c r="K2207" s="1">
        <v>1.60128846764565E-2</v>
      </c>
      <c r="L2207" s="1">
        <f>+K2207-J2207</f>
        <v>-3.37071153235435E-2</v>
      </c>
      <c r="M2207" s="1">
        <v>-4.9871153235434996E-3</v>
      </c>
      <c r="N2207" s="1">
        <f>+M2207-J2207</f>
        <v>-5.4707115323543498E-2</v>
      </c>
      <c r="O2207">
        <v>2.72</v>
      </c>
      <c r="P2207" t="s">
        <v>17</v>
      </c>
      <c r="Q2207">
        <v>0</v>
      </c>
      <c r="R2207">
        <v>9.7183311730623008E-3</v>
      </c>
      <c r="S2207">
        <v>3.5915598273277001E-3</v>
      </c>
      <c r="T2207">
        <v>-0.04</v>
      </c>
    </row>
    <row r="2208" spans="1:20" x14ac:dyDescent="0.3">
      <c r="A2208" t="s">
        <v>154</v>
      </c>
      <c r="B2208">
        <v>2013</v>
      </c>
      <c r="C2208">
        <v>436618.90629999997</v>
      </c>
      <c r="D2208" s="1">
        <v>-5.0000000000000001E-3</v>
      </c>
      <c r="E2208" s="1">
        <v>0.96449577808380105</v>
      </c>
      <c r="F2208" s="1">
        <v>4.2000000000000003E-2</v>
      </c>
      <c r="G2208" s="1">
        <f t="shared" si="68"/>
        <v>0.03</v>
      </c>
      <c r="H2208" s="1" t="str">
        <f t="shared" si="69"/>
        <v/>
      </c>
      <c r="I2208" s="1">
        <v>4.0000000000000001E-3</v>
      </c>
      <c r="J2208" s="1">
        <f>+D2208-F2208+I2208*O2208</f>
        <v>-3.5639999999999998E-2</v>
      </c>
      <c r="K2208" s="1">
        <v>2.47183311730623E-2</v>
      </c>
      <c r="L2208" s="1">
        <f>+K2208-J2208</f>
        <v>6.0358331173062302E-2</v>
      </c>
      <c r="M2208" s="1">
        <v>9.7183311730623008E-3</v>
      </c>
      <c r="N2208" s="1">
        <f>+M2208-J2208</f>
        <v>4.5358331173062302E-2</v>
      </c>
      <c r="O2208">
        <v>2.84</v>
      </c>
      <c r="P2208" t="s">
        <v>15</v>
      </c>
      <c r="Q2208">
        <v>0</v>
      </c>
      <c r="R2208">
        <v>2.34817031919956E-2</v>
      </c>
      <c r="S2208">
        <v>2.1473679691553098E-2</v>
      </c>
      <c r="T2208">
        <v>0.03</v>
      </c>
    </row>
    <row r="2209" spans="1:20" x14ac:dyDescent="0.3">
      <c r="A2209" t="s">
        <v>154</v>
      </c>
      <c r="B2209">
        <v>2014</v>
      </c>
      <c r="C2209">
        <v>441058.40629999997</v>
      </c>
      <c r="D2209" s="1">
        <v>0</v>
      </c>
      <c r="E2209" s="1">
        <v>0.96563106775283802</v>
      </c>
      <c r="F2209" s="1">
        <v>4.8000000000000001E-2</v>
      </c>
      <c r="G2209" s="1">
        <f t="shared" si="68"/>
        <v>7.8E-2</v>
      </c>
      <c r="H2209" s="1" t="str">
        <f t="shared" si="69"/>
        <v/>
      </c>
      <c r="I2209" s="1">
        <v>1E-3</v>
      </c>
      <c r="J2209" s="1">
        <f>+D2209-F2209+I2209*O2209</f>
        <v>-4.5030000000000001E-2</v>
      </c>
      <c r="K2209" s="1">
        <v>3.94817031919956E-2</v>
      </c>
      <c r="L2209" s="1">
        <f>+K2209-J2209</f>
        <v>8.4511703191995607E-2</v>
      </c>
      <c r="M2209" s="1">
        <v>2.34817031919956E-2</v>
      </c>
      <c r="N2209" s="1">
        <f>+M2209-J2209</f>
        <v>6.8511703191995593E-2</v>
      </c>
      <c r="O2209">
        <v>2.97</v>
      </c>
      <c r="P2209" t="s">
        <v>15</v>
      </c>
      <c r="Q2209">
        <v>0.02</v>
      </c>
      <c r="R2209">
        <v>5.6215400040149702E-2</v>
      </c>
      <c r="S2209">
        <v>2.5951948016882002E-2</v>
      </c>
      <c r="T2209">
        <v>0.04</v>
      </c>
    </row>
    <row r="2210" spans="1:20" x14ac:dyDescent="0.3">
      <c r="A2210" t="s">
        <v>154</v>
      </c>
      <c r="B2210">
        <v>2015</v>
      </c>
      <c r="C2210">
        <v>444187.40629999997</v>
      </c>
      <c r="D2210" s="1">
        <v>2.8000000000000001E-2</v>
      </c>
      <c r="E2210" s="1">
        <v>0.96442341804504395</v>
      </c>
      <c r="F2210" s="1">
        <v>1.2E-2</v>
      </c>
      <c r="G2210" s="1">
        <f t="shared" si="68"/>
        <v>0.09</v>
      </c>
      <c r="H2210" s="1" t="str">
        <f t="shared" si="69"/>
        <v/>
      </c>
      <c r="I2210" s="1">
        <v>-1E-3</v>
      </c>
      <c r="J2210" s="1">
        <f>+D2210-F2210+I2210*O2210</f>
        <v>1.2990000000000002E-2</v>
      </c>
      <c r="K2210" s="1">
        <v>5.7215400040149703E-2</v>
      </c>
      <c r="L2210" s="1">
        <f>+K2210-J2210</f>
        <v>4.4225400040149701E-2</v>
      </c>
      <c r="M2210" s="1">
        <v>5.6215400040149702E-2</v>
      </c>
      <c r="N2210" s="1">
        <f>+M2210-J2210</f>
        <v>4.32254000401497E-2</v>
      </c>
      <c r="O2210">
        <v>3.01</v>
      </c>
      <c r="P2210" t="s">
        <v>17</v>
      </c>
      <c r="Q2210">
        <v>0.03</v>
      </c>
      <c r="R2210">
        <v>1.7104041099548301E-2</v>
      </c>
      <c r="S2210">
        <v>3.9504840970039003E-3</v>
      </c>
      <c r="T2210">
        <v>0.02</v>
      </c>
    </row>
    <row r="2211" spans="1:20" x14ac:dyDescent="0.3">
      <c r="A2211" t="s">
        <v>154</v>
      </c>
      <c r="B2211">
        <v>2016</v>
      </c>
      <c r="C2211">
        <v>446278.90629999997</v>
      </c>
      <c r="D2211" s="1">
        <v>1.4E-2</v>
      </c>
      <c r="E2211" s="1">
        <v>0.96374338865280196</v>
      </c>
      <c r="F2211" s="1">
        <v>-1.4E-2</v>
      </c>
      <c r="G2211" s="1">
        <f t="shared" si="68"/>
        <v>7.5999999999999998E-2</v>
      </c>
      <c r="H2211" s="1" t="str">
        <f t="shared" si="69"/>
        <v/>
      </c>
      <c r="I2211" s="1">
        <v>-1E-3</v>
      </c>
      <c r="J2211" s="1">
        <f>+D2211-F2211+I2211*O2211</f>
        <v>2.503E-2</v>
      </c>
      <c r="K2211" s="1">
        <v>3.0104041099548302E-2</v>
      </c>
      <c r="L2211" s="1">
        <f>+K2211-J2211</f>
        <v>5.0740410995483015E-3</v>
      </c>
      <c r="M2211" s="1">
        <v>1.7104041099548301E-2</v>
      </c>
      <c r="N2211" s="1">
        <f>+M2211-J2211</f>
        <v>-7.9259589004516996E-3</v>
      </c>
      <c r="O2211">
        <v>2.97</v>
      </c>
      <c r="P2211" t="s">
        <v>16</v>
      </c>
      <c r="Q2211">
        <v>0</v>
      </c>
      <c r="R2211">
        <v>1.30580306947231E-2</v>
      </c>
      <c r="S2211">
        <v>1.0268457233905799E-2</v>
      </c>
      <c r="T2211">
        <v>-0.01</v>
      </c>
    </row>
    <row r="2212" spans="1:20" x14ac:dyDescent="0.3">
      <c r="A2212" t="s">
        <v>154</v>
      </c>
      <c r="B2212">
        <v>2017</v>
      </c>
      <c r="C2212">
        <v>447258.5</v>
      </c>
      <c r="D2212" s="1">
        <v>8.0000000000000002E-3</v>
      </c>
      <c r="E2212" s="1">
        <v>0.96104675531387296</v>
      </c>
      <c r="F2212" s="1">
        <v>-3.4000000000000002E-2</v>
      </c>
      <c r="G2212" s="1">
        <f t="shared" si="68"/>
        <v>4.1999999999999996E-2</v>
      </c>
      <c r="H2212" s="1" t="str">
        <f t="shared" si="69"/>
        <v/>
      </c>
      <c r="I2212" s="1">
        <v>-3.0000000000000001E-3</v>
      </c>
      <c r="J2212" s="1">
        <f>+D2212-F2212+I2212*O2212</f>
        <v>3.3390000000000003E-2</v>
      </c>
      <c r="K2212" s="1">
        <v>3.4058030694723102E-2</v>
      </c>
      <c r="L2212" s="1">
        <f>+K2212-J2212</f>
        <v>6.6803069472309851E-4</v>
      </c>
      <c r="M2212" s="1">
        <v>1.30580306947231E-2</v>
      </c>
      <c r="N2212" s="1">
        <f>+M2212-J2212</f>
        <v>-2.0331969305276903E-2</v>
      </c>
      <c r="O2212">
        <v>2.87</v>
      </c>
      <c r="P2212" t="s">
        <v>16</v>
      </c>
      <c r="Q2212">
        <v>0.01</v>
      </c>
      <c r="R2212">
        <v>2.6874590873718299E-2</v>
      </c>
      <c r="S2212">
        <v>1.7739567905664499E-2</v>
      </c>
      <c r="T2212">
        <v>-0.03</v>
      </c>
    </row>
    <row r="2213" spans="1:20" x14ac:dyDescent="0.3">
      <c r="A2213" t="s">
        <v>154</v>
      </c>
      <c r="B2213">
        <v>2018</v>
      </c>
      <c r="C2213">
        <v>447727.375</v>
      </c>
      <c r="D2213" s="1">
        <v>1.4E-2</v>
      </c>
      <c r="E2213" s="1">
        <v>0.97030234336853005</v>
      </c>
      <c r="F2213" s="1">
        <v>1.7999999999999999E-2</v>
      </c>
      <c r="G2213" s="1">
        <f t="shared" si="68"/>
        <v>0.06</v>
      </c>
      <c r="H2213" s="1" t="str">
        <f t="shared" si="69"/>
        <v/>
      </c>
      <c r="I2213" s="1">
        <v>8.9999999999999993E-3</v>
      </c>
      <c r="J2213" s="1">
        <f>+D2213-F2213+I2213*O2213</f>
        <v>2.2280000000000001E-2</v>
      </c>
      <c r="K2213" s="1">
        <v>5.0874590873718303E-2</v>
      </c>
      <c r="L2213" s="1">
        <f>+K2213-J2213</f>
        <v>2.8594590873718302E-2</v>
      </c>
      <c r="M2213" s="1">
        <v>2.6874590873718299E-2</v>
      </c>
      <c r="N2213" s="1">
        <f>+M2213-J2213</f>
        <v>4.5945908737182982E-3</v>
      </c>
      <c r="O2213">
        <v>2.92</v>
      </c>
      <c r="P2213" t="s">
        <v>15</v>
      </c>
      <c r="Q2213">
        <v>0.02</v>
      </c>
      <c r="R2213">
        <v>2.14938327372074E-2</v>
      </c>
      <c r="S2213">
        <v>3.6926381289958902E-3</v>
      </c>
      <c r="T2213">
        <v>0.03</v>
      </c>
    </row>
    <row r="2214" spans="1:20" x14ac:dyDescent="0.3">
      <c r="A2214" t="s">
        <v>154</v>
      </c>
      <c r="B2214">
        <v>2019</v>
      </c>
      <c r="C2214">
        <v>448261.09379999997</v>
      </c>
      <c r="D2214" s="1">
        <v>0</v>
      </c>
      <c r="E2214" s="1">
        <v>0.97085744142532304</v>
      </c>
      <c r="F2214" s="1">
        <v>-4.4999999999999998E-2</v>
      </c>
      <c r="G2214" s="1">
        <f t="shared" si="68"/>
        <v>1.4999999999999999E-2</v>
      </c>
      <c r="H2214" s="1" t="str">
        <f t="shared" si="69"/>
        <v/>
      </c>
      <c r="I2214" s="1">
        <v>1E-3</v>
      </c>
      <c r="J2214" s="1">
        <f>+D2214-F2214+I2214*O2214</f>
        <v>4.7789999999999999E-2</v>
      </c>
      <c r="K2214" s="1">
        <v>3.9493832737207399E-2</v>
      </c>
      <c r="L2214" s="1">
        <f>+K2214-J2214</f>
        <v>-8.2961672627926003E-3</v>
      </c>
      <c r="M2214" s="1">
        <v>2.14938327372074E-2</v>
      </c>
      <c r="N2214" s="1">
        <f>+M2214-J2214</f>
        <v>-2.6296167262792599E-2</v>
      </c>
      <c r="O2214">
        <v>2.79</v>
      </c>
      <c r="P2214" t="s">
        <v>17</v>
      </c>
      <c r="Q2214">
        <v>0</v>
      </c>
      <c r="R2214">
        <v>3.5436079949140902E-3</v>
      </c>
      <c r="S2214">
        <v>-1.53055824339389E-2</v>
      </c>
      <c r="T2214">
        <v>-0.04</v>
      </c>
    </row>
    <row r="2215" spans="1:20" x14ac:dyDescent="0.3">
      <c r="A2215" t="s">
        <v>154</v>
      </c>
      <c r="B2215">
        <v>2020</v>
      </c>
      <c r="C2215">
        <v>445327.5</v>
      </c>
      <c r="D2215" s="1">
        <v>3.3000000000000002E-2</v>
      </c>
      <c r="E2215" s="1">
        <v>0.95684796571731601</v>
      </c>
      <c r="F2215" s="1">
        <v>-0.01</v>
      </c>
      <c r="G2215" s="1">
        <f t="shared" si="68"/>
        <v>4.9999999999999992E-3</v>
      </c>
      <c r="H2215" s="1" t="str">
        <f t="shared" si="69"/>
        <v/>
      </c>
      <c r="I2215" s="1">
        <v>-1.4E-2</v>
      </c>
      <c r="J2215" s="1">
        <f>+D2215-F2215+I2215*O2215</f>
        <v>4.3600000000000028E-3</v>
      </c>
      <c r="K2215" s="1">
        <v>1.55436079949141E-2</v>
      </c>
      <c r="L2215" s="1">
        <f>+K2215-J2215</f>
        <v>1.1183607994914097E-2</v>
      </c>
      <c r="M2215" s="1">
        <v>3.5436079949140902E-3</v>
      </c>
      <c r="N2215" s="1">
        <f>+M2215-J2215</f>
        <v>-8.1639200508591258E-4</v>
      </c>
      <c r="O2215">
        <v>2.76</v>
      </c>
      <c r="P2215" t="s">
        <v>16</v>
      </c>
      <c r="Q2215">
        <v>-0.02</v>
      </c>
      <c r="R2215">
        <v>6.3530927777289997E-2</v>
      </c>
      <c r="S2215">
        <v>1.9941315054893001E-2</v>
      </c>
      <c r="T2215">
        <v>0.03</v>
      </c>
    </row>
    <row r="2216" spans="1:20" x14ac:dyDescent="0.3">
      <c r="A2216" t="s">
        <v>154</v>
      </c>
      <c r="B2216">
        <v>2021</v>
      </c>
      <c r="C2216">
        <v>439061.71879999997</v>
      </c>
      <c r="D2216" s="1">
        <v>8.9999999999999993E-3</v>
      </c>
      <c r="E2216" s="1">
        <v>0.98079651594161998</v>
      </c>
      <c r="F2216" s="1">
        <v>6.2E-2</v>
      </c>
      <c r="G2216" s="1">
        <f t="shared" si="68"/>
        <v>6.7000000000000004E-2</v>
      </c>
      <c r="H2216" s="1" t="str">
        <f t="shared" si="69"/>
        <v/>
      </c>
      <c r="I2216" s="1">
        <v>2.4E-2</v>
      </c>
      <c r="J2216" s="1">
        <f>+D2216-F2216+I2216*O2216</f>
        <v>1.7320000000000009E-2</v>
      </c>
      <c r="K2216" s="1">
        <v>0.11053092777729</v>
      </c>
      <c r="L2216" s="1">
        <f>+K2216-J2216</f>
        <v>9.3210927777289981E-2</v>
      </c>
      <c r="M2216" s="1">
        <v>6.3530927777289997E-2</v>
      </c>
      <c r="N2216" s="1">
        <f>+M2216-J2216</f>
        <v>4.6210927777289988E-2</v>
      </c>
      <c r="O2216">
        <v>2.93</v>
      </c>
      <c r="P2216" t="s">
        <v>15</v>
      </c>
      <c r="Q2216">
        <v>0.02</v>
      </c>
      <c r="R2216">
        <v>-1.7957376241684E-2</v>
      </c>
      <c r="S2216">
        <v>1.4146130532026201E-2</v>
      </c>
      <c r="T2216">
        <v>0.03</v>
      </c>
    </row>
    <row r="2217" spans="1:20" x14ac:dyDescent="0.3">
      <c r="A2217" t="s">
        <v>154</v>
      </c>
      <c r="B2217">
        <v>2022</v>
      </c>
      <c r="C2217">
        <v>444764.3125</v>
      </c>
      <c r="D2217" s="1">
        <v>1E-3</v>
      </c>
      <c r="E2217" s="1">
        <v>0.97526675462722801</v>
      </c>
      <c r="F2217" s="1">
        <v>-7.4999999999999997E-2</v>
      </c>
      <c r="G2217" s="1">
        <f t="shared" si="68"/>
        <v>-7.9999999999999932E-3</v>
      </c>
      <c r="H2217" s="1" t="str">
        <f t="shared" si="69"/>
        <v/>
      </c>
      <c r="I2217" s="1">
        <v>-6.0000000000000001E-3</v>
      </c>
      <c r="J2217" s="1">
        <f>+D2217-F2217+I2217*O2217</f>
        <v>5.9740000000000001E-2</v>
      </c>
      <c r="K2217" s="1">
        <v>6.2042623758315998E-2</v>
      </c>
      <c r="L2217" s="1">
        <f>+K2217-J2217</f>
        <v>2.302623758315997E-3</v>
      </c>
      <c r="M2217" s="1">
        <v>-1.7957376241684E-2</v>
      </c>
      <c r="N2217" s="1">
        <f>+M2217-J2217</f>
        <v>-7.7697376241684005E-2</v>
      </c>
      <c r="O2217">
        <v>2.71</v>
      </c>
      <c r="P2217" t="s">
        <v>16</v>
      </c>
      <c r="Q2217">
        <v>0.01</v>
      </c>
      <c r="R2217">
        <v>-7.4396792650223004E-3</v>
      </c>
      <c r="S2217">
        <v>1.2119248509407E-2</v>
      </c>
      <c r="T2217">
        <v>-0.06</v>
      </c>
    </row>
    <row r="2218" spans="1:20" x14ac:dyDescent="0.3">
      <c r="A2218" t="s">
        <v>155</v>
      </c>
      <c r="B2218">
        <v>2006</v>
      </c>
      <c r="C2218">
        <v>465703.78129999997</v>
      </c>
      <c r="D2218" s="1">
        <v>5.0000000000000001E-3</v>
      </c>
      <c r="E2218" s="1">
        <v>0.96131664514541604</v>
      </c>
      <c r="F2218" s="1">
        <v>5.5E-2</v>
      </c>
      <c r="G2218" s="1">
        <f t="shared" si="68"/>
        <v>5.5E-2</v>
      </c>
      <c r="H2218" s="1" t="str">
        <f t="shared" si="69"/>
        <v/>
      </c>
      <c r="I2218" s="1">
        <v>1.7000000000000001E-2</v>
      </c>
      <c r="J2218" s="1">
        <f>+D2218-F2218+I2218*O2218</f>
        <v>-6.4799999999999996E-3</v>
      </c>
      <c r="K2218" s="1">
        <v>4.0467742830514901E-2</v>
      </c>
      <c r="L2218" s="1">
        <f>+K2218-J2218</f>
        <v>4.6947742830514901E-2</v>
      </c>
      <c r="M2218" s="1">
        <v>8.4677428305149002E-3</v>
      </c>
      <c r="N2218" s="1">
        <f>+M2218-J2218</f>
        <v>1.49477428305149E-2</v>
      </c>
      <c r="O2218">
        <v>2.56</v>
      </c>
      <c r="P2218" t="s">
        <v>15</v>
      </c>
      <c r="Q2218">
        <v>0</v>
      </c>
      <c r="R2218">
        <v>1.7003501862287499E-2</v>
      </c>
      <c r="S2218">
        <v>1.7925257794558998E-2</v>
      </c>
      <c r="T2218">
        <v>0.05</v>
      </c>
    </row>
    <row r="2219" spans="1:20" x14ac:dyDescent="0.3">
      <c r="A2219" t="s">
        <v>155</v>
      </c>
      <c r="B2219">
        <v>2007</v>
      </c>
      <c r="C2219">
        <v>468786.71879999997</v>
      </c>
      <c r="D2219" s="1">
        <v>1.9E-2</v>
      </c>
      <c r="E2219" s="1">
        <v>0.95420241355895996</v>
      </c>
      <c r="F2219" s="1">
        <v>-5.1999999999999998E-2</v>
      </c>
      <c r="G2219" s="1">
        <f t="shared" si="68"/>
        <v>3.0000000000000027E-3</v>
      </c>
      <c r="H2219" s="1" t="str">
        <f t="shared" si="69"/>
        <v/>
      </c>
      <c r="I2219" s="1">
        <v>-7.0000000000000001E-3</v>
      </c>
      <c r="J2219" s="1">
        <f>+D2219-F2219+I2219*O2219</f>
        <v>5.3989999999999996E-2</v>
      </c>
      <c r="K2219" s="1">
        <v>4.6003501862287501E-2</v>
      </c>
      <c r="L2219" s="1">
        <f>+K2219-J2219</f>
        <v>-7.9864981377124958E-3</v>
      </c>
      <c r="M2219" s="1">
        <v>1.7003501862287499E-2</v>
      </c>
      <c r="N2219" s="1">
        <f>+M2219-J2219</f>
        <v>-3.6986498137712501E-2</v>
      </c>
      <c r="O2219">
        <v>2.4300000000000002</v>
      </c>
      <c r="P2219" t="s">
        <v>16</v>
      </c>
      <c r="Q2219">
        <v>0.02</v>
      </c>
      <c r="R2219">
        <v>-3.1643262889236197E-2</v>
      </c>
      <c r="S2219">
        <v>-2.1324586123227999E-3</v>
      </c>
      <c r="T2219">
        <v>-0.05</v>
      </c>
    </row>
    <row r="2220" spans="1:20" x14ac:dyDescent="0.3">
      <c r="A2220" t="s">
        <v>155</v>
      </c>
      <c r="B2220">
        <v>2008</v>
      </c>
      <c r="C2220">
        <v>474708.1875</v>
      </c>
      <c r="D2220" s="1">
        <v>1E-3</v>
      </c>
      <c r="E2220" s="1">
        <v>0.95244455337524403</v>
      </c>
      <c r="F2220" s="1">
        <v>-2.8000000000000001E-2</v>
      </c>
      <c r="G2220" s="1">
        <f t="shared" si="68"/>
        <v>-2.4999999999999998E-2</v>
      </c>
      <c r="H2220" s="1" t="str">
        <f t="shared" si="69"/>
        <v/>
      </c>
      <c r="I2220" s="1">
        <v>-2E-3</v>
      </c>
      <c r="J2220" s="1">
        <f>+D2220-F2220+I2220*O2220</f>
        <v>2.4280000000000003E-2</v>
      </c>
      <c r="K2220" s="1">
        <v>6.35673711076379E-3</v>
      </c>
      <c r="L2220" s="1">
        <f>+K2220-J2220</f>
        <v>-1.7923262889236215E-2</v>
      </c>
      <c r="M2220" s="1">
        <v>-3.1643262889236197E-2</v>
      </c>
      <c r="N2220" s="1">
        <f>+M2220-J2220</f>
        <v>-5.59232628892362E-2</v>
      </c>
      <c r="O2220">
        <v>2.36</v>
      </c>
      <c r="P2220" t="s">
        <v>16</v>
      </c>
      <c r="Q2220">
        <v>0</v>
      </c>
      <c r="R2220">
        <v>-4.7236659288406299E-2</v>
      </c>
      <c r="S2220">
        <v>-2.0669957622885701E-2</v>
      </c>
      <c r="T2220">
        <v>-0.03</v>
      </c>
    </row>
    <row r="2221" spans="1:20" x14ac:dyDescent="0.3">
      <c r="A2221" t="s">
        <v>155</v>
      </c>
      <c r="B2221">
        <v>2009</v>
      </c>
      <c r="C2221">
        <v>480798.3125</v>
      </c>
      <c r="D2221" s="1">
        <v>3.0000000000000001E-3</v>
      </c>
      <c r="E2221" s="1">
        <v>0.948378086090088</v>
      </c>
      <c r="F2221" s="1">
        <v>5.7000000000000002E-2</v>
      </c>
      <c r="G2221" s="1">
        <f t="shared" si="68"/>
        <v>3.2000000000000001E-2</v>
      </c>
      <c r="H2221" s="1" t="str">
        <f t="shared" si="69"/>
        <v/>
      </c>
      <c r="I2221" s="1">
        <v>-4.0000000000000001E-3</v>
      </c>
      <c r="J2221" s="1">
        <f>+D2221-F2221+I2221*O2221</f>
        <v>-6.4000000000000001E-2</v>
      </c>
      <c r="K2221" s="1">
        <v>-5.12366592884064E-2</v>
      </c>
      <c r="L2221" s="1">
        <f>+K2221-J2221</f>
        <v>1.2763340711593602E-2</v>
      </c>
      <c r="M2221" s="1">
        <v>-4.7236659288406299E-2</v>
      </c>
      <c r="N2221" s="1">
        <f>+M2221-J2221</f>
        <v>1.6763340711593702E-2</v>
      </c>
      <c r="O2221">
        <v>2.5</v>
      </c>
      <c r="P2221" t="s">
        <v>17</v>
      </c>
      <c r="Q2221">
        <v>-0.02</v>
      </c>
      <c r="R2221">
        <v>-3.1709886938334E-3</v>
      </c>
      <c r="S2221">
        <v>6.2891200650482797E-3</v>
      </c>
      <c r="T2221">
        <v>0.04</v>
      </c>
    </row>
    <row r="2222" spans="1:20" x14ac:dyDescent="0.3">
      <c r="A2222" t="s">
        <v>155</v>
      </c>
      <c r="B2222">
        <v>2010</v>
      </c>
      <c r="C2222">
        <v>485246.875</v>
      </c>
      <c r="D2222" s="1">
        <v>0</v>
      </c>
      <c r="E2222" s="1">
        <v>0.94990664720535301</v>
      </c>
      <c r="F2222" s="1">
        <v>-1.4E-2</v>
      </c>
      <c r="G2222" s="1">
        <f t="shared" si="68"/>
        <v>1.8000000000000002E-2</v>
      </c>
      <c r="H2222" s="1" t="str">
        <f t="shared" si="69"/>
        <v/>
      </c>
      <c r="I2222" s="1">
        <v>2E-3</v>
      </c>
      <c r="J2222" s="1">
        <f>+D2222-F2222+I2222*O2222</f>
        <v>1.8919999999999999E-2</v>
      </c>
      <c r="K2222" s="1">
        <v>1.28290113061666E-2</v>
      </c>
      <c r="L2222" s="1">
        <f>+K2222-J2222</f>
        <v>-6.090988693833399E-3</v>
      </c>
      <c r="M2222" s="1">
        <v>-3.1709886938334E-3</v>
      </c>
      <c r="N2222" s="1">
        <f>+M2222-J2222</f>
        <v>-2.2090988693833399E-2</v>
      </c>
      <c r="O2222">
        <v>2.46</v>
      </c>
      <c r="P2222" t="s">
        <v>17</v>
      </c>
      <c r="Q2222">
        <v>0.01</v>
      </c>
      <c r="R2222">
        <v>-1.8061343923211098E-2</v>
      </c>
      <c r="S2222">
        <v>3.2224305905402002E-3</v>
      </c>
      <c r="T2222">
        <v>-0.02</v>
      </c>
    </row>
    <row r="2223" spans="1:20" x14ac:dyDescent="0.3">
      <c r="A2223" t="s">
        <v>155</v>
      </c>
      <c r="B2223">
        <v>2011</v>
      </c>
      <c r="C2223">
        <v>487565.5</v>
      </c>
      <c r="D2223" s="1">
        <v>0</v>
      </c>
      <c r="E2223" s="1">
        <v>0.95194697380065896</v>
      </c>
      <c r="F2223" s="1">
        <v>-4.0000000000000001E-3</v>
      </c>
      <c r="G2223" s="1">
        <f t="shared" si="68"/>
        <v>1.4000000000000002E-2</v>
      </c>
      <c r="H2223" s="1" t="str">
        <f t="shared" si="69"/>
        <v/>
      </c>
      <c r="I2223" s="1">
        <v>2E-3</v>
      </c>
      <c r="J2223" s="1">
        <f>+D2223-F2223+I2223*O2223</f>
        <v>8.9000000000000017E-3</v>
      </c>
      <c r="K2223" s="1">
        <v>1.3938656076788901E-2</v>
      </c>
      <c r="L2223" s="1">
        <f>+K2223-J2223</f>
        <v>5.0386560767888989E-3</v>
      </c>
      <c r="M2223" s="1">
        <v>-1.8061343923211098E-2</v>
      </c>
      <c r="N2223" s="1">
        <f>+M2223-J2223</f>
        <v>-2.69613439232111E-2</v>
      </c>
      <c r="O2223">
        <v>2.4500000000000002</v>
      </c>
      <c r="P2223" t="s">
        <v>17</v>
      </c>
      <c r="Q2223">
        <v>0</v>
      </c>
      <c r="R2223">
        <v>1.35506183803081E-2</v>
      </c>
      <c r="S2223">
        <v>1.8988824449479601E-2</v>
      </c>
      <c r="T2223">
        <v>0</v>
      </c>
    </row>
    <row r="2224" spans="1:20" x14ac:dyDescent="0.3">
      <c r="A2224" t="s">
        <v>155</v>
      </c>
      <c r="B2224">
        <v>2012</v>
      </c>
      <c r="C2224">
        <v>490377.28129999997</v>
      </c>
      <c r="D2224" s="1">
        <v>0</v>
      </c>
      <c r="E2224" s="1">
        <v>0.95859771966934204</v>
      </c>
      <c r="F2224" s="1">
        <v>4.2000000000000003E-2</v>
      </c>
      <c r="G2224" s="1">
        <f t="shared" si="68"/>
        <v>5.6000000000000008E-2</v>
      </c>
      <c r="H2224" s="1" t="str">
        <f t="shared" si="69"/>
        <v/>
      </c>
      <c r="I2224" s="1">
        <v>7.0000000000000001E-3</v>
      </c>
      <c r="J2224" s="1">
        <f>+D2224-F2224+I2224*O2224</f>
        <v>-2.4080000000000001E-2</v>
      </c>
      <c r="K2224" s="1">
        <v>3.45506183803082E-2</v>
      </c>
      <c r="L2224" s="1">
        <f>+K2224-J2224</f>
        <v>5.8630618380308197E-2</v>
      </c>
      <c r="M2224" s="1">
        <v>1.35506183803081E-2</v>
      </c>
      <c r="N2224" s="1">
        <f>+M2224-J2224</f>
        <v>3.7630618380308102E-2</v>
      </c>
      <c r="O2224">
        <v>2.56</v>
      </c>
      <c r="P2224" t="s">
        <v>15</v>
      </c>
      <c r="Q2224">
        <v>0.02</v>
      </c>
      <c r="R2224">
        <v>4.0481500923633597E-2</v>
      </c>
      <c r="S2224">
        <v>3.4354729577899E-2</v>
      </c>
      <c r="T2224">
        <v>0.04</v>
      </c>
    </row>
    <row r="2225" spans="1:20" x14ac:dyDescent="0.3">
      <c r="A2225" t="s">
        <v>155</v>
      </c>
      <c r="B2225">
        <v>2013</v>
      </c>
      <c r="C2225">
        <v>494300.90629999997</v>
      </c>
      <c r="D2225" s="1">
        <v>1E-3</v>
      </c>
      <c r="E2225" s="1">
        <v>0.95985460281372104</v>
      </c>
      <c r="F2225" s="1">
        <v>-4.2999999999999997E-2</v>
      </c>
      <c r="G2225" s="1">
        <f t="shared" si="68"/>
        <v>1.3000000000000012E-2</v>
      </c>
      <c r="H2225" s="1" t="str">
        <f t="shared" si="69"/>
        <v/>
      </c>
      <c r="I2225" s="1">
        <v>1E-3</v>
      </c>
      <c r="J2225" s="1">
        <f>+D2225-F2225+I2225*O2225</f>
        <v>4.6449999999999998E-2</v>
      </c>
      <c r="K2225" s="1">
        <v>5.5481500923633603E-2</v>
      </c>
      <c r="L2225" s="1">
        <f>+K2225-J2225</f>
        <v>9.031500923633605E-3</v>
      </c>
      <c r="M2225" s="1">
        <v>4.0481500923633597E-2</v>
      </c>
      <c r="N2225" s="1">
        <f>+M2225-J2225</f>
        <v>-5.9684990763664014E-3</v>
      </c>
      <c r="O2225">
        <v>2.4500000000000002</v>
      </c>
      <c r="P2225" t="s">
        <v>17</v>
      </c>
      <c r="Q2225">
        <v>0.03</v>
      </c>
      <c r="R2225">
        <v>4.1003650814294801E-2</v>
      </c>
      <c r="S2225">
        <v>3.8995627313852199E-2</v>
      </c>
      <c r="T2225">
        <v>-0.05</v>
      </c>
    </row>
    <row r="2226" spans="1:20" x14ac:dyDescent="0.3">
      <c r="A2226" t="s">
        <v>155</v>
      </c>
      <c r="B2226">
        <v>2014</v>
      </c>
      <c r="C2226">
        <v>498074.5</v>
      </c>
      <c r="D2226" s="1">
        <v>1.9E-2</v>
      </c>
      <c r="E2226" s="1">
        <v>0.95383667945861805</v>
      </c>
      <c r="F2226" s="1">
        <v>0</v>
      </c>
      <c r="G2226" s="1">
        <f t="shared" si="68"/>
        <v>1.3000000000000012E-2</v>
      </c>
      <c r="H2226" s="1" t="str">
        <f t="shared" si="69"/>
        <v/>
      </c>
      <c r="I2226" s="1">
        <v>-6.0000000000000001E-3</v>
      </c>
      <c r="J2226" s="1">
        <f>+D2226-F2226+I2226*O2226</f>
        <v>4.2999999999999983E-3</v>
      </c>
      <c r="K2226" s="1">
        <v>5.7003650814294801E-2</v>
      </c>
      <c r="L2226" s="1">
        <f>+K2226-J2226</f>
        <v>5.2703650814294803E-2</v>
      </c>
      <c r="M2226" s="1">
        <v>4.1003650814294801E-2</v>
      </c>
      <c r="N2226" s="1">
        <f>+M2226-J2226</f>
        <v>3.6703650814294803E-2</v>
      </c>
      <c r="O2226">
        <v>2.4500000000000002</v>
      </c>
      <c r="P2226" t="s">
        <v>16</v>
      </c>
      <c r="Q2226">
        <v>0.04</v>
      </c>
      <c r="R2226">
        <v>7.1853825986385303E-2</v>
      </c>
      <c r="S2226">
        <v>4.1590373963117599E-2</v>
      </c>
      <c r="T2226">
        <v>0</v>
      </c>
    </row>
    <row r="2227" spans="1:20" x14ac:dyDescent="0.3">
      <c r="A2227" t="s">
        <v>155</v>
      </c>
      <c r="B2227">
        <v>2015</v>
      </c>
      <c r="C2227">
        <v>500027.09379999997</v>
      </c>
      <c r="D2227" s="1">
        <v>1.2E-2</v>
      </c>
      <c r="E2227" s="1">
        <v>0.95514428615570102</v>
      </c>
      <c r="F2227" s="1">
        <v>5.8000000000000003E-2</v>
      </c>
      <c r="G2227" s="1">
        <f t="shared" si="68"/>
        <v>7.1000000000000008E-2</v>
      </c>
      <c r="H2227" s="1" t="str">
        <f t="shared" si="69"/>
        <v/>
      </c>
      <c r="I2227" s="1">
        <v>1E-3</v>
      </c>
      <c r="J2227" s="1">
        <f>+D2227-F2227+I2227*O2227</f>
        <v>-4.3409999999999997E-2</v>
      </c>
      <c r="K2227" s="1">
        <v>7.2853825986385304E-2</v>
      </c>
      <c r="L2227" s="1">
        <f>+K2227-J2227</f>
        <v>0.11626382598638529</v>
      </c>
      <c r="M2227" s="1">
        <v>7.1853825986385303E-2</v>
      </c>
      <c r="N2227" s="1">
        <f>+M2227-J2227</f>
        <v>0.11526382598638529</v>
      </c>
      <c r="O2227">
        <v>2.59</v>
      </c>
      <c r="P2227" t="s">
        <v>15</v>
      </c>
      <c r="Q2227">
        <v>0.04</v>
      </c>
      <c r="R2227">
        <v>3.0157216161489499E-2</v>
      </c>
      <c r="S2227">
        <v>1.7003659158945101E-2</v>
      </c>
      <c r="T2227">
        <v>7.0000000000000007E-2</v>
      </c>
    </row>
    <row r="2228" spans="1:20" x14ac:dyDescent="0.3">
      <c r="A2228" t="s">
        <v>155</v>
      </c>
      <c r="B2228">
        <v>2016</v>
      </c>
      <c r="C2228">
        <v>501196.1875</v>
      </c>
      <c r="D2228" s="1">
        <v>1.2E-2</v>
      </c>
      <c r="E2228" s="1">
        <v>0.95815163850784302</v>
      </c>
      <c r="F2228" s="1">
        <v>-2.5999999999999999E-2</v>
      </c>
      <c r="G2228" s="1">
        <f t="shared" si="68"/>
        <v>4.5000000000000012E-2</v>
      </c>
      <c r="H2228" s="1" t="str">
        <f t="shared" si="69"/>
        <v/>
      </c>
      <c r="I2228" s="1">
        <v>3.0000000000000001E-3</v>
      </c>
      <c r="J2228" s="1">
        <f>+D2228-F2228+I2228*O2228</f>
        <v>4.5559999999999996E-2</v>
      </c>
      <c r="K2228" s="1">
        <v>4.3157216161489501E-2</v>
      </c>
      <c r="L2228" s="1">
        <f>+K2228-J2228</f>
        <v>-2.4027838385104958E-3</v>
      </c>
      <c r="M2228" s="1">
        <v>3.0157216161489499E-2</v>
      </c>
      <c r="N2228" s="1">
        <f>+M2228-J2228</f>
        <v>-1.5402783838510497E-2</v>
      </c>
      <c r="O2228">
        <v>2.52</v>
      </c>
      <c r="P2228" t="s">
        <v>17</v>
      </c>
      <c r="Q2228">
        <v>0.02</v>
      </c>
      <c r="R2228">
        <v>3.5282602250576001E-2</v>
      </c>
      <c r="S2228">
        <v>3.2493028789758703E-2</v>
      </c>
      <c r="T2228">
        <v>-0.03</v>
      </c>
    </row>
    <row r="2229" spans="1:20" x14ac:dyDescent="0.3">
      <c r="A2229" t="s">
        <v>155</v>
      </c>
      <c r="B2229">
        <v>2017</v>
      </c>
      <c r="C2229">
        <v>499565.40629999997</v>
      </c>
      <c r="D2229" s="1">
        <v>-6.0000000000000001E-3</v>
      </c>
      <c r="E2229" s="1">
        <v>0.96868884563446001</v>
      </c>
      <c r="F2229" s="1">
        <v>0.01</v>
      </c>
      <c r="G2229" s="1">
        <f t="shared" si="68"/>
        <v>5.5000000000000014E-2</v>
      </c>
      <c r="H2229" s="1" t="str">
        <f t="shared" si="69"/>
        <v/>
      </c>
      <c r="I2229" s="1">
        <v>1.0999999999999999E-2</v>
      </c>
      <c r="J2229" s="1">
        <f>+D2229-F2229+I2229*O2229</f>
        <v>1.2049999999999995E-2</v>
      </c>
      <c r="K2229" s="1">
        <v>5.6282602250575998E-2</v>
      </c>
      <c r="L2229" s="1">
        <f>+K2229-J2229</f>
        <v>4.4232602250576E-2</v>
      </c>
      <c r="M2229" s="1">
        <v>3.5282602250576001E-2</v>
      </c>
      <c r="N2229" s="1">
        <f>+M2229-J2229</f>
        <v>2.3232602250576006E-2</v>
      </c>
      <c r="O2229">
        <v>2.5499999999999998</v>
      </c>
      <c r="P2229" t="s">
        <v>15</v>
      </c>
      <c r="Q2229">
        <v>0.03</v>
      </c>
      <c r="R2229">
        <v>-1.52488525733351E-2</v>
      </c>
      <c r="S2229">
        <v>-2.4383875541388898E-2</v>
      </c>
      <c r="T2229">
        <v>0.01</v>
      </c>
    </row>
    <row r="2230" spans="1:20" x14ac:dyDescent="0.3">
      <c r="A2230" t="s">
        <v>155</v>
      </c>
      <c r="B2230">
        <v>2018</v>
      </c>
      <c r="C2230">
        <v>494401.875</v>
      </c>
      <c r="D2230" s="1">
        <v>5.0000000000000001E-3</v>
      </c>
      <c r="E2230" s="1">
        <v>0.95335543155670199</v>
      </c>
      <c r="F2230" s="1">
        <v>-2.7E-2</v>
      </c>
      <c r="G2230" s="1">
        <f t="shared" si="68"/>
        <v>2.8000000000000014E-2</v>
      </c>
      <c r="H2230" s="1" t="str">
        <f t="shared" si="69"/>
        <v/>
      </c>
      <c r="I2230" s="1">
        <v>-1.4999999999999999E-2</v>
      </c>
      <c r="J2230" s="1">
        <f>+D2230-F2230+I2230*O2230</f>
        <v>-5.1999999999999963E-3</v>
      </c>
      <c r="K2230" s="1">
        <v>8.7511474266648293E-3</v>
      </c>
      <c r="L2230" s="1">
        <f>+K2230-J2230</f>
        <v>1.3951147426664826E-2</v>
      </c>
      <c r="M2230" s="1">
        <v>-1.52488525733351E-2</v>
      </c>
      <c r="N2230" s="1">
        <f>+M2230-J2230</f>
        <v>-1.0048852573335104E-2</v>
      </c>
      <c r="O2230">
        <v>2.48</v>
      </c>
      <c r="P2230" t="s">
        <v>16</v>
      </c>
      <c r="Q2230">
        <v>-0.02</v>
      </c>
      <c r="R2230">
        <v>-4.4375535398721898E-3</v>
      </c>
      <c r="S2230">
        <v>-2.2238748148083701E-2</v>
      </c>
      <c r="T2230">
        <v>-0.02</v>
      </c>
    </row>
    <row r="2231" spans="1:20" x14ac:dyDescent="0.3">
      <c r="A2231" t="s">
        <v>155</v>
      </c>
      <c r="B2231">
        <v>2019</v>
      </c>
      <c r="C2231">
        <v>490070.1875</v>
      </c>
      <c r="D2231" s="1">
        <v>0.02</v>
      </c>
      <c r="E2231" s="1">
        <v>0.94364285469055198</v>
      </c>
      <c r="F2231" s="1">
        <v>0.01</v>
      </c>
      <c r="G2231" s="1">
        <f t="shared" si="68"/>
        <v>3.8000000000000013E-2</v>
      </c>
      <c r="H2231" s="1" t="str">
        <f t="shared" si="69"/>
        <v/>
      </c>
      <c r="I2231" s="1">
        <v>-0.01</v>
      </c>
      <c r="J2231" s="1">
        <f>+D2231-F2231+I2231*O2231</f>
        <v>-1.5000000000000001E-2</v>
      </c>
      <c r="K2231" s="1">
        <v>1.3562446460127799E-2</v>
      </c>
      <c r="L2231" s="1">
        <f>+K2231-J2231</f>
        <v>2.8562446460127802E-2</v>
      </c>
      <c r="M2231" s="1">
        <v>-4.4375535398721898E-3</v>
      </c>
      <c r="N2231" s="1">
        <f>+M2231-J2231</f>
        <v>1.056244646012781E-2</v>
      </c>
      <c r="O2231">
        <v>2.5</v>
      </c>
      <c r="P2231" t="s">
        <v>17</v>
      </c>
      <c r="Q2231">
        <v>-0.02</v>
      </c>
      <c r="R2231">
        <v>6.7403839081526E-3</v>
      </c>
      <c r="S2231">
        <v>-1.2108806520700399E-2</v>
      </c>
      <c r="T2231">
        <v>0.02</v>
      </c>
    </row>
    <row r="2232" spans="1:20" x14ac:dyDescent="0.3">
      <c r="A2232" t="s">
        <v>155</v>
      </c>
      <c r="B2232">
        <v>2020</v>
      </c>
      <c r="C2232">
        <v>487500.6875</v>
      </c>
      <c r="D2232" s="1">
        <v>0.03</v>
      </c>
      <c r="E2232" s="1">
        <v>0.94157886505126998</v>
      </c>
      <c r="F2232" s="1">
        <v>-0.10100000000000001</v>
      </c>
      <c r="G2232" s="1">
        <f t="shared" si="68"/>
        <v>-6.3E-2</v>
      </c>
      <c r="H2232" s="1" t="str">
        <f t="shared" si="69"/>
        <v/>
      </c>
      <c r="I2232" s="1">
        <v>-2E-3</v>
      </c>
      <c r="J2232" s="1">
        <f>+D2232-F2232+I2232*O2232</f>
        <v>0.1265</v>
      </c>
      <c r="K2232" s="1">
        <v>1.8740383908152601E-2</v>
      </c>
      <c r="L2232" s="1">
        <f>+K2232-J2232</f>
        <v>-0.10775961609184739</v>
      </c>
      <c r="M2232" s="1">
        <v>6.7403839081526E-3</v>
      </c>
      <c r="N2232" s="1">
        <f>+M2232-J2232</f>
        <v>-0.1197596160918474</v>
      </c>
      <c r="O2232">
        <v>2.25</v>
      </c>
      <c r="P2232" t="s">
        <v>16</v>
      </c>
      <c r="Q2232">
        <v>-0.01</v>
      </c>
      <c r="R2232">
        <v>2.4649409830570099E-2</v>
      </c>
      <c r="S2232">
        <v>-1.8940202891826699E-2</v>
      </c>
      <c r="T2232">
        <v>-0.06</v>
      </c>
    </row>
    <row r="2233" spans="1:20" x14ac:dyDescent="0.3">
      <c r="A2233" t="s">
        <v>155</v>
      </c>
      <c r="B2233">
        <v>2021</v>
      </c>
      <c r="C2233">
        <v>484162.6875</v>
      </c>
      <c r="D2233" s="1">
        <v>3.0000000000000001E-3</v>
      </c>
      <c r="E2233" s="1">
        <v>0.97565901279449496</v>
      </c>
      <c r="F2233" s="1">
        <v>0.11899999999999999</v>
      </c>
      <c r="G2233" s="1">
        <f t="shared" si="68"/>
        <v>5.5999999999999994E-2</v>
      </c>
      <c r="H2233" s="1" t="str">
        <f t="shared" si="69"/>
        <v/>
      </c>
      <c r="I2233" s="1">
        <v>3.4000000000000002E-2</v>
      </c>
      <c r="J2233" s="1">
        <f>+D2233-F2233+I2233*O2233</f>
        <v>-3.0319999999999986E-2</v>
      </c>
      <c r="K2233" s="1">
        <v>7.1649409830570193E-2</v>
      </c>
      <c r="L2233" s="1">
        <f>+K2233-J2233</f>
        <v>0.10196940983057018</v>
      </c>
      <c r="M2233" s="1">
        <v>2.4649409830570099E-2</v>
      </c>
      <c r="N2233" s="1">
        <f>+M2233-J2233</f>
        <v>5.4969409830570082E-2</v>
      </c>
      <c r="O2233">
        <v>2.52</v>
      </c>
      <c r="P2233" t="s">
        <v>15</v>
      </c>
      <c r="Q2233">
        <v>-0.02</v>
      </c>
      <c r="R2233">
        <v>-5.7976853027939798E-2</v>
      </c>
      <c r="S2233">
        <v>-2.58733462542294E-2</v>
      </c>
      <c r="T2233">
        <v>0.09</v>
      </c>
    </row>
    <row r="2234" spans="1:20" x14ac:dyDescent="0.3">
      <c r="A2234" t="s">
        <v>155</v>
      </c>
      <c r="B2234">
        <v>2022</v>
      </c>
      <c r="C2234">
        <v>483302.625</v>
      </c>
      <c r="D2234" s="1">
        <v>1.4E-2</v>
      </c>
      <c r="E2234" s="1">
        <v>0.95669639110565197</v>
      </c>
      <c r="F2234" s="1">
        <v>-7.6999999999999999E-2</v>
      </c>
      <c r="G2234" s="1">
        <f t="shared" si="68"/>
        <v>-2.1000000000000005E-2</v>
      </c>
      <c r="H2234" s="1" t="str">
        <f t="shared" si="69"/>
        <v/>
      </c>
      <c r="I2234" s="1">
        <v>-1.9E-2</v>
      </c>
      <c r="J2234" s="1">
        <f>+D2234-F2234+I2234*O2234</f>
        <v>4.6920000000000003E-2</v>
      </c>
      <c r="K2234" s="1">
        <v>2.20231469720602E-2</v>
      </c>
      <c r="L2234" s="1">
        <f>+K2234-J2234</f>
        <v>-2.4896853027939803E-2</v>
      </c>
      <c r="M2234" s="1">
        <v>-5.7976853027939798E-2</v>
      </c>
      <c r="N2234" s="1">
        <f>+M2234-J2234</f>
        <v>-0.1048968530279398</v>
      </c>
      <c r="O2234">
        <v>2.3199999999999998</v>
      </c>
      <c r="P2234" t="s">
        <v>16</v>
      </c>
      <c r="Q2234">
        <v>-0.03</v>
      </c>
      <c r="R2234">
        <v>-2.3259603217244101E-2</v>
      </c>
      <c r="S2234">
        <v>-3.7006754428147901E-3</v>
      </c>
      <c r="T2234">
        <v>-0.06</v>
      </c>
    </row>
    <row r="2235" spans="1:20" x14ac:dyDescent="0.3">
      <c r="A2235" t="s">
        <v>156</v>
      </c>
      <c r="B2235">
        <v>2006</v>
      </c>
      <c r="C2235">
        <v>686744.0625</v>
      </c>
      <c r="D2235" s="1">
        <v>2.9000000000000001E-2</v>
      </c>
      <c r="E2235" s="1">
        <v>0.90852278470992998</v>
      </c>
      <c r="F2235" s="1">
        <v>0.111</v>
      </c>
      <c r="G2235" s="1">
        <f t="shared" si="68"/>
        <v>0.111</v>
      </c>
      <c r="H2235" s="1" t="str">
        <f t="shared" si="69"/>
        <v/>
      </c>
      <c r="I2235" s="1">
        <v>-3.1E-2</v>
      </c>
      <c r="J2235" s="1">
        <f>+D2235-F2235+I2235*O2235</f>
        <v>-0.15671000000000002</v>
      </c>
      <c r="K2235" s="1">
        <v>5.8140303939580897E-2</v>
      </c>
      <c r="L2235" s="1">
        <f>+K2235-J2235</f>
        <v>0.21485030393958091</v>
      </c>
      <c r="M2235" s="1">
        <v>2.6140303939580799E-2</v>
      </c>
      <c r="N2235" s="1">
        <f>+M2235-J2235</f>
        <v>0.18285030393958082</v>
      </c>
      <c r="O2235">
        <v>2.41</v>
      </c>
      <c r="P2235" t="s">
        <v>17</v>
      </c>
      <c r="Q2235">
        <v>0.02</v>
      </c>
      <c r="R2235">
        <v>-7.4161653369664996E-3</v>
      </c>
      <c r="S2235">
        <v>-6.4944094046950002E-3</v>
      </c>
      <c r="T2235">
        <v>0.11</v>
      </c>
    </row>
    <row r="2236" spans="1:20" x14ac:dyDescent="0.3">
      <c r="A2236" t="s">
        <v>156</v>
      </c>
      <c r="B2236">
        <v>2007</v>
      </c>
      <c r="C2236">
        <v>692782.6875</v>
      </c>
      <c r="D2236" s="1">
        <v>1.7000000000000001E-2</v>
      </c>
      <c r="E2236" s="1">
        <v>0.88404577970504805</v>
      </c>
      <c r="F2236" s="1">
        <v>-7.3999999999999996E-2</v>
      </c>
      <c r="G2236" s="1">
        <f t="shared" si="68"/>
        <v>3.7000000000000005E-2</v>
      </c>
      <c r="H2236" s="1" t="str">
        <f t="shared" si="69"/>
        <v/>
      </c>
      <c r="I2236" s="1">
        <v>-2.4E-2</v>
      </c>
      <c r="J2236" s="1">
        <f>+D2236-F2236+I2236*O2236</f>
        <v>3.7479999999999999E-2</v>
      </c>
      <c r="K2236" s="1">
        <v>2.1583834663033499E-2</v>
      </c>
      <c r="L2236" s="1">
        <f>+K2236-J2236</f>
        <v>-1.58961653369665E-2</v>
      </c>
      <c r="M2236" s="1">
        <v>-7.4161653369664996E-3</v>
      </c>
      <c r="N2236" s="1">
        <f>+M2236-J2236</f>
        <v>-4.4896165336966498E-2</v>
      </c>
      <c r="O2236">
        <v>2.23</v>
      </c>
      <c r="P2236" t="s">
        <v>16</v>
      </c>
      <c r="Q2236">
        <v>-0.01</v>
      </c>
      <c r="R2236">
        <v>-5.03403947800398E-2</v>
      </c>
      <c r="S2236">
        <v>-2.08295905031263E-2</v>
      </c>
      <c r="T2236">
        <v>-7.0000000000000007E-2</v>
      </c>
    </row>
    <row r="2237" spans="1:20" x14ac:dyDescent="0.3">
      <c r="A2237" t="s">
        <v>156</v>
      </c>
      <c r="B2237">
        <v>2008</v>
      </c>
      <c r="C2237">
        <v>696480.75</v>
      </c>
      <c r="D2237" s="1">
        <v>2E-3</v>
      </c>
      <c r="E2237" s="1">
        <v>0.89595907926559404</v>
      </c>
      <c r="F2237" s="1">
        <v>7.0000000000000001E-3</v>
      </c>
      <c r="G2237" s="1">
        <f t="shared" si="68"/>
        <v>4.4000000000000004E-2</v>
      </c>
      <c r="H2237" s="1" t="str">
        <f t="shared" si="69"/>
        <v/>
      </c>
      <c r="I2237" s="1">
        <v>1.2E-2</v>
      </c>
      <c r="J2237" s="1">
        <f>+D2237-F2237+I2237*O2237</f>
        <v>2.1880000000000004E-2</v>
      </c>
      <c r="K2237" s="1">
        <v>-1.2340394780039799E-2</v>
      </c>
      <c r="L2237" s="1">
        <f>+K2237-J2237</f>
        <v>-3.4220394780039805E-2</v>
      </c>
      <c r="M2237" s="1">
        <v>-5.03403947800398E-2</v>
      </c>
      <c r="N2237" s="1">
        <f>+M2237-J2237</f>
        <v>-7.2220394780039804E-2</v>
      </c>
      <c r="O2237">
        <v>2.2400000000000002</v>
      </c>
      <c r="P2237" t="s">
        <v>15</v>
      </c>
      <c r="Q2237">
        <v>-0.02</v>
      </c>
      <c r="R2237">
        <v>-3.9012537062168097E-2</v>
      </c>
      <c r="S2237">
        <v>-1.24458353966474E-2</v>
      </c>
      <c r="T2237">
        <v>0</v>
      </c>
    </row>
    <row r="2238" spans="1:20" x14ac:dyDescent="0.3">
      <c r="A2238" t="s">
        <v>156</v>
      </c>
      <c r="B2238">
        <v>2009</v>
      </c>
      <c r="C2238">
        <v>699263.4375</v>
      </c>
      <c r="D2238" s="1">
        <v>1.0999999999999999E-2</v>
      </c>
      <c r="E2238" s="1">
        <v>0.90063893795013406</v>
      </c>
      <c r="F2238" s="1">
        <v>1.7999999999999999E-2</v>
      </c>
      <c r="G2238" s="1">
        <f t="shared" si="68"/>
        <v>6.2E-2</v>
      </c>
      <c r="H2238" s="1" t="str">
        <f t="shared" si="69"/>
        <v/>
      </c>
      <c r="I2238" s="1">
        <v>5.0000000000000001E-3</v>
      </c>
      <c r="J2238" s="1">
        <f>+D2238-F2238+I2238*O2238</f>
        <v>4.3999999999999994E-3</v>
      </c>
      <c r="K2238" s="1">
        <v>-4.3012537062168101E-2</v>
      </c>
      <c r="L2238" s="1">
        <f>+K2238-J2238</f>
        <v>-4.7412537062168102E-2</v>
      </c>
      <c r="M2238" s="1">
        <v>-3.9012537062168097E-2</v>
      </c>
      <c r="N2238" s="1">
        <f>+M2238-J2238</f>
        <v>-4.3412537062168098E-2</v>
      </c>
      <c r="O2238">
        <v>2.2799999999999998</v>
      </c>
      <c r="P2238" t="s">
        <v>15</v>
      </c>
      <c r="Q2238">
        <v>-0.01</v>
      </c>
      <c r="R2238">
        <v>-1.822425223887E-3</v>
      </c>
      <c r="S2238">
        <v>7.6376835349946798E-3</v>
      </c>
      <c r="T2238">
        <v>0</v>
      </c>
    </row>
    <row r="2239" spans="1:20" x14ac:dyDescent="0.3">
      <c r="A2239" t="s">
        <v>156</v>
      </c>
      <c r="B2239">
        <v>2010</v>
      </c>
      <c r="C2239">
        <v>704182.9375</v>
      </c>
      <c r="D2239" s="1">
        <v>0</v>
      </c>
      <c r="E2239" s="1">
        <v>0.91767382621765103</v>
      </c>
      <c r="F2239" s="1">
        <v>-1.7000000000000001E-2</v>
      </c>
      <c r="G2239" s="1">
        <f t="shared" si="68"/>
        <v>4.4999999999999998E-2</v>
      </c>
      <c r="H2239" s="1" t="str">
        <f t="shared" si="69"/>
        <v/>
      </c>
      <c r="I2239" s="1">
        <v>1.7000000000000001E-2</v>
      </c>
      <c r="J2239" s="1">
        <f>+D2239-F2239+I2239*O2239</f>
        <v>5.5080000000000011E-2</v>
      </c>
      <c r="K2239" s="1">
        <v>1.4177574776113E-2</v>
      </c>
      <c r="L2239" s="1">
        <f>+K2239-J2239</f>
        <v>-4.0902425223887012E-2</v>
      </c>
      <c r="M2239" s="1">
        <v>-1.822425223887E-3</v>
      </c>
      <c r="N2239" s="1">
        <f>+M2239-J2239</f>
        <v>-5.6902425223887013E-2</v>
      </c>
      <c r="O2239">
        <v>2.2400000000000002</v>
      </c>
      <c r="P2239" t="s">
        <v>17</v>
      </c>
      <c r="Q2239">
        <v>0.01</v>
      </c>
      <c r="R2239">
        <v>-1.8632424406707301E-2</v>
      </c>
      <c r="S2239">
        <v>2.6513501070439898E-3</v>
      </c>
      <c r="T2239">
        <v>-0.03</v>
      </c>
    </row>
    <row r="2240" spans="1:20" x14ac:dyDescent="0.3">
      <c r="A2240" t="s">
        <v>156</v>
      </c>
      <c r="B2240">
        <v>2011</v>
      </c>
      <c r="C2240">
        <v>709920.25</v>
      </c>
      <c r="D2240" s="1">
        <v>0</v>
      </c>
      <c r="E2240" s="1">
        <v>0.92357963323593095</v>
      </c>
      <c r="F2240" s="1">
        <v>2.5999999999999999E-2</v>
      </c>
      <c r="G2240" s="1">
        <f t="shared" si="68"/>
        <v>7.0999999999999994E-2</v>
      </c>
      <c r="H2240" s="1" t="str">
        <f t="shared" si="69"/>
        <v/>
      </c>
      <c r="I2240" s="1">
        <v>6.0000000000000001E-3</v>
      </c>
      <c r="J2240" s="1">
        <f>+D2240-F2240+I2240*O2240</f>
        <v>-1.2199999999999999E-2</v>
      </c>
      <c r="K2240" s="1">
        <v>1.3367575593292699E-2</v>
      </c>
      <c r="L2240" s="1">
        <f>+K2240-J2240</f>
        <v>2.5567575593292698E-2</v>
      </c>
      <c r="M2240" s="1">
        <v>-1.8632424406707301E-2</v>
      </c>
      <c r="N2240" s="1">
        <f>+M2240-J2240</f>
        <v>-6.4324244067073023E-3</v>
      </c>
      <c r="O2240">
        <v>2.2999999999999998</v>
      </c>
      <c r="P2240" t="s">
        <v>15</v>
      </c>
      <c r="Q2240">
        <v>0</v>
      </c>
      <c r="R2240">
        <v>8.7240310013289904E-4</v>
      </c>
      <c r="S2240">
        <v>6.3106091693042998E-3</v>
      </c>
      <c r="T2240">
        <v>0.03</v>
      </c>
    </row>
    <row r="2241" spans="1:20" x14ac:dyDescent="0.3">
      <c r="A2241" t="s">
        <v>156</v>
      </c>
      <c r="B2241">
        <v>2012</v>
      </c>
      <c r="C2241">
        <v>719144.3125</v>
      </c>
      <c r="D2241" s="1">
        <v>-3.0000000000000001E-3</v>
      </c>
      <c r="E2241" s="1">
        <v>0.946253061294556</v>
      </c>
      <c r="F2241" s="1">
        <v>-3.1E-2</v>
      </c>
      <c r="G2241" s="1">
        <f t="shared" si="68"/>
        <v>3.9999999999999994E-2</v>
      </c>
      <c r="H2241" s="1" t="str">
        <f t="shared" si="69"/>
        <v/>
      </c>
      <c r="I2241" s="1">
        <v>2.3E-2</v>
      </c>
      <c r="J2241" s="1">
        <f>+D2241-F2241+I2241*O2241</f>
        <v>7.9289999999999999E-2</v>
      </c>
      <c r="K2241" s="1">
        <v>2.1872403100132901E-2</v>
      </c>
      <c r="L2241" s="1">
        <f>+K2241-J2241</f>
        <v>-5.7417596899867099E-2</v>
      </c>
      <c r="M2241" s="1">
        <v>8.7240310013289904E-4</v>
      </c>
      <c r="N2241" s="1">
        <f>+M2241-J2241</f>
        <v>-7.8417596899867104E-2</v>
      </c>
      <c r="O2241">
        <v>2.23</v>
      </c>
      <c r="P2241" t="s">
        <v>17</v>
      </c>
      <c r="Q2241">
        <v>0.01</v>
      </c>
      <c r="R2241">
        <v>1.48849418759346E-2</v>
      </c>
      <c r="S2241">
        <v>8.7581705301999994E-3</v>
      </c>
      <c r="T2241">
        <v>-0.03</v>
      </c>
    </row>
    <row r="2242" spans="1:20" x14ac:dyDescent="0.3">
      <c r="A2242" t="s">
        <v>156</v>
      </c>
      <c r="B2242">
        <v>2013</v>
      </c>
      <c r="C2242">
        <v>729906.9375</v>
      </c>
      <c r="D2242" s="1">
        <v>0</v>
      </c>
      <c r="E2242" s="1">
        <v>0.95631307363510099</v>
      </c>
      <c r="F2242" s="1">
        <v>0.06</v>
      </c>
      <c r="G2242" s="1">
        <f t="shared" si="68"/>
        <v>9.9999999999999992E-2</v>
      </c>
      <c r="H2242" s="1" t="str">
        <f t="shared" si="69"/>
        <v/>
      </c>
      <c r="I2242" s="1">
        <v>0.01</v>
      </c>
      <c r="J2242" s="1">
        <f>+D2242-F2242+I2242*O2242</f>
        <v>-3.6400000000000002E-2</v>
      </c>
      <c r="K2242" s="1">
        <v>2.9884941875934601E-2</v>
      </c>
      <c r="L2242" s="1">
        <f>+K2242-J2242</f>
        <v>6.6284941875934603E-2</v>
      </c>
      <c r="M2242" s="1">
        <v>1.48849418759346E-2</v>
      </c>
      <c r="N2242" s="1">
        <f>+M2242-J2242</f>
        <v>5.1284941875934603E-2</v>
      </c>
      <c r="O2242">
        <v>2.36</v>
      </c>
      <c r="P2242" t="s">
        <v>15</v>
      </c>
      <c r="Q2242">
        <v>0.01</v>
      </c>
      <c r="R2242">
        <v>2.08119664490223E-2</v>
      </c>
      <c r="S2242">
        <v>1.8803942948579799E-2</v>
      </c>
      <c r="T2242">
        <v>0.05</v>
      </c>
    </row>
    <row r="2243" spans="1:20" x14ac:dyDescent="0.3">
      <c r="A2243" t="s">
        <v>156</v>
      </c>
      <c r="B2243">
        <v>2014</v>
      </c>
      <c r="C2243">
        <v>744946.6875</v>
      </c>
      <c r="D2243" s="1">
        <v>2.3E-2</v>
      </c>
      <c r="E2243" s="1">
        <v>0.95402640104293801</v>
      </c>
      <c r="F2243" s="1">
        <v>-4.4999999999999998E-2</v>
      </c>
      <c r="G2243" s="1">
        <f t="shared" si="68"/>
        <v>5.4999999999999993E-2</v>
      </c>
      <c r="H2243" s="1" t="str">
        <f t="shared" si="69"/>
        <v/>
      </c>
      <c r="I2243" s="1">
        <v>-2E-3</v>
      </c>
      <c r="J2243" s="1">
        <f>+D2243-F2243+I2243*O2243</f>
        <v>6.3480000000000009E-2</v>
      </c>
      <c r="K2243" s="1">
        <v>3.68119664490223E-2</v>
      </c>
      <c r="L2243" s="1">
        <f>+K2243-J2243</f>
        <v>-2.6668033550977709E-2</v>
      </c>
      <c r="M2243" s="1">
        <v>2.08119664490223E-2</v>
      </c>
      <c r="N2243" s="1">
        <f>+M2243-J2243</f>
        <v>-4.2668033550977709E-2</v>
      </c>
      <c r="O2243">
        <v>2.2599999999999998</v>
      </c>
      <c r="P2243" t="s">
        <v>16</v>
      </c>
      <c r="Q2243">
        <v>0.02</v>
      </c>
      <c r="R2243">
        <v>4.0788745671510702E-2</v>
      </c>
      <c r="S2243">
        <v>1.0525293648243001E-2</v>
      </c>
      <c r="T2243">
        <v>-0.05</v>
      </c>
    </row>
    <row r="2244" spans="1:20" x14ac:dyDescent="0.3">
      <c r="A2244" t="s">
        <v>156</v>
      </c>
      <c r="B2244">
        <v>2015</v>
      </c>
      <c r="C2244">
        <v>763556.375</v>
      </c>
      <c r="D2244" s="1">
        <v>4.4999999999999998E-2</v>
      </c>
      <c r="E2244" s="1">
        <v>0.94623684883117698</v>
      </c>
      <c r="F2244" s="1">
        <v>3.2000000000000001E-2</v>
      </c>
      <c r="G2244" s="1">
        <f t="shared" si="68"/>
        <v>8.6999999999999994E-2</v>
      </c>
      <c r="H2244" s="1" t="str">
        <f t="shared" si="69"/>
        <v/>
      </c>
      <c r="I2244" s="1">
        <v>-8.0000000000000002E-3</v>
      </c>
      <c r="J2244" s="1">
        <f>+D2244-F2244+I2244*O2244</f>
        <v>-5.6400000000000027E-3</v>
      </c>
      <c r="K2244" s="1">
        <v>4.1788745671510703E-2</v>
      </c>
      <c r="L2244" s="1">
        <f>+K2244-J2244</f>
        <v>4.7428745671510703E-2</v>
      </c>
      <c r="M2244" s="1">
        <v>4.0788745671510702E-2</v>
      </c>
      <c r="N2244" s="1">
        <f>+M2244-J2244</f>
        <v>4.6428745671510702E-2</v>
      </c>
      <c r="O2244">
        <v>2.33</v>
      </c>
      <c r="P2244" t="s">
        <v>17</v>
      </c>
      <c r="Q2244">
        <v>0.01</v>
      </c>
      <c r="R2244">
        <v>1.8302847519517001E-3</v>
      </c>
      <c r="S2244">
        <v>-1.13232722505927E-2</v>
      </c>
      <c r="T2244">
        <v>0.04</v>
      </c>
    </row>
    <row r="2245" spans="1:20" x14ac:dyDescent="0.3">
      <c r="A2245" t="s">
        <v>156</v>
      </c>
      <c r="B2245">
        <v>2016</v>
      </c>
      <c r="C2245">
        <v>781765.375</v>
      </c>
      <c r="D2245" s="1">
        <v>8.5999999999999993E-2</v>
      </c>
      <c r="E2245" s="1">
        <v>0.92520773410797097</v>
      </c>
      <c r="F2245" s="1">
        <v>-3.1E-2</v>
      </c>
      <c r="G2245" s="1">
        <f t="shared" si="68"/>
        <v>5.5999999999999994E-2</v>
      </c>
      <c r="H2245" s="1" t="str">
        <f t="shared" si="69"/>
        <v/>
      </c>
      <c r="I2245" s="1">
        <v>-2.1000000000000001E-2</v>
      </c>
      <c r="J2245" s="1">
        <f>+D2245-F2245+I2245*O2245</f>
        <v>6.9539999999999991E-2</v>
      </c>
      <c r="K2245" s="1">
        <v>1.48302847519517E-2</v>
      </c>
      <c r="L2245" s="1">
        <f>+K2245-J2245</f>
        <v>-5.4709715248048289E-2</v>
      </c>
      <c r="M2245" s="1">
        <v>1.8302847519517001E-3</v>
      </c>
      <c r="N2245" s="1">
        <f>+M2245-J2245</f>
        <v>-6.7709715248048294E-2</v>
      </c>
      <c r="O2245">
        <v>2.2599999999999998</v>
      </c>
      <c r="P2245" t="s">
        <v>16</v>
      </c>
      <c r="Q2245">
        <v>-0.01</v>
      </c>
      <c r="R2245">
        <v>6.8365537524223002E-3</v>
      </c>
      <c r="S2245">
        <v>4.0469802916050001E-3</v>
      </c>
      <c r="T2245">
        <v>-0.03</v>
      </c>
    </row>
    <row r="2246" spans="1:20" x14ac:dyDescent="0.3">
      <c r="A2246" t="s">
        <v>156</v>
      </c>
      <c r="B2246">
        <v>2017</v>
      </c>
      <c r="C2246">
        <v>796292.4375</v>
      </c>
      <c r="D2246" s="1">
        <v>2.5000000000000001E-2</v>
      </c>
      <c r="E2246" s="1">
        <v>0.94568789005279497</v>
      </c>
      <c r="F2246" s="1">
        <v>-2.9000000000000001E-2</v>
      </c>
      <c r="G2246" s="1">
        <f t="shared" si="68"/>
        <v>2.6999999999999993E-2</v>
      </c>
      <c r="H2246" s="1" t="str">
        <f t="shared" si="69"/>
        <v/>
      </c>
      <c r="I2246" s="1">
        <v>0.02</v>
      </c>
      <c r="J2246" s="1">
        <f>+D2246-F2246+I2246*O2246</f>
        <v>9.7799999999999998E-2</v>
      </c>
      <c r="K2246" s="1">
        <v>2.7836553752422302E-2</v>
      </c>
      <c r="L2246" s="1">
        <f>+K2246-J2246</f>
        <v>-6.9963446247577693E-2</v>
      </c>
      <c r="M2246" s="1">
        <v>6.8365537524223002E-3</v>
      </c>
      <c r="N2246" s="1">
        <f>+M2246-J2246</f>
        <v>-9.0963446247577698E-2</v>
      </c>
      <c r="O2246">
        <v>2.19</v>
      </c>
      <c r="P2246" t="s">
        <v>17</v>
      </c>
      <c r="Q2246">
        <v>0</v>
      </c>
      <c r="R2246">
        <v>1.03071557581424E-2</v>
      </c>
      <c r="S2246">
        <v>1.1721327900887E-3</v>
      </c>
      <c r="T2246">
        <v>-0.03</v>
      </c>
    </row>
    <row r="2247" spans="1:20" x14ac:dyDescent="0.3">
      <c r="A2247" t="s">
        <v>156</v>
      </c>
      <c r="B2247">
        <v>2018</v>
      </c>
      <c r="C2247">
        <v>810338.375</v>
      </c>
      <c r="D2247" s="1">
        <v>6.4000000000000001E-2</v>
      </c>
      <c r="E2247" s="1">
        <v>0.92959624528884899</v>
      </c>
      <c r="F2247" s="1">
        <v>4.8000000000000001E-2</v>
      </c>
      <c r="G2247" s="1">
        <f t="shared" ref="G2247:G2310" si="70">SUMIFS(F:F,A:A,A2247,B:B,"&lt;="&amp;B2247)</f>
        <v>7.4999999999999997E-2</v>
      </c>
      <c r="H2247" s="1" t="str">
        <f t="shared" ref="H2247:H2310" si="71">IFERROR(IF(ABS(G2247)&gt;0.12,AVERAGEIFS(K:K,A:A,A2247,B:B,"&gt;"&amp;B2247,B:B,"&lt;"&amp;B2247+3),""),"")</f>
        <v/>
      </c>
      <c r="I2247" s="1">
        <v>-1.6E-2</v>
      </c>
      <c r="J2247" s="1">
        <f>+D2247-F2247+I2247*O2247</f>
        <v>-2.0799999999999999E-2</v>
      </c>
      <c r="K2247" s="1">
        <v>3.4307155758142499E-2</v>
      </c>
      <c r="L2247" s="1">
        <f>+K2247-J2247</f>
        <v>5.5107155758142498E-2</v>
      </c>
      <c r="M2247" s="1">
        <v>1.03071557581424E-2</v>
      </c>
      <c r="N2247" s="1">
        <f>+M2247-J2247</f>
        <v>3.11071557581424E-2</v>
      </c>
      <c r="O2247">
        <v>2.2999999999999998</v>
      </c>
      <c r="P2247" t="s">
        <v>17</v>
      </c>
      <c r="Q2247">
        <v>0</v>
      </c>
      <c r="R2247">
        <v>8.9505232572556007E-3</v>
      </c>
      <c r="S2247">
        <v>-8.8506713509559007E-3</v>
      </c>
      <c r="T2247">
        <v>0.06</v>
      </c>
    </row>
    <row r="2248" spans="1:20" x14ac:dyDescent="0.3">
      <c r="A2248" t="s">
        <v>156</v>
      </c>
      <c r="B2248">
        <v>2019</v>
      </c>
      <c r="C2248">
        <v>825770.625</v>
      </c>
      <c r="D2248" s="1">
        <v>8.1000000000000003E-2</v>
      </c>
      <c r="E2248" s="1">
        <v>0.89529067277908303</v>
      </c>
      <c r="F2248" s="1">
        <v>-4.7E-2</v>
      </c>
      <c r="G2248" s="1">
        <f t="shared" si="70"/>
        <v>2.7999999999999997E-2</v>
      </c>
      <c r="H2248" s="1" t="str">
        <f t="shared" si="71"/>
        <v/>
      </c>
      <c r="I2248" s="1">
        <v>-3.4000000000000002E-2</v>
      </c>
      <c r="J2248" s="1">
        <f>+D2248-F2248+I2248*O2248</f>
        <v>5.3540000000000004E-2</v>
      </c>
      <c r="K2248" s="1">
        <v>2.6950523257255599E-2</v>
      </c>
      <c r="L2248" s="1">
        <f>+K2248-J2248</f>
        <v>-2.6589476742744405E-2</v>
      </c>
      <c r="M2248" s="1">
        <v>8.9505232572556007E-3</v>
      </c>
      <c r="N2248" s="1">
        <f>+M2248-J2248</f>
        <v>-4.4589476742744404E-2</v>
      </c>
      <c r="O2248">
        <v>2.19</v>
      </c>
      <c r="P2248" t="s">
        <v>16</v>
      </c>
      <c r="Q2248">
        <v>-0.01</v>
      </c>
      <c r="R2248">
        <v>4.7246628552675002E-3</v>
      </c>
      <c r="S2248">
        <v>-1.41245275735855E-2</v>
      </c>
      <c r="T2248">
        <v>-0.04</v>
      </c>
    </row>
    <row r="2249" spans="1:20" x14ac:dyDescent="0.3">
      <c r="A2249" t="s">
        <v>156</v>
      </c>
      <c r="B2249">
        <v>2020</v>
      </c>
      <c r="C2249">
        <v>844032.25</v>
      </c>
      <c r="D2249" s="1">
        <v>7.8E-2</v>
      </c>
      <c r="E2249" s="1">
        <v>0.90556615591049205</v>
      </c>
      <c r="F2249" s="1">
        <v>-0.02</v>
      </c>
      <c r="G2249" s="1">
        <f t="shared" si="70"/>
        <v>7.9999999999999967E-3</v>
      </c>
      <c r="H2249" s="1" t="str">
        <f t="shared" si="71"/>
        <v/>
      </c>
      <c r="I2249" s="1">
        <v>0.01</v>
      </c>
      <c r="J2249" s="1">
        <f>+D2249-F2249+I2249*O2249</f>
        <v>0.11940000000000001</v>
      </c>
      <c r="K2249" s="1">
        <v>1.67246628552675E-2</v>
      </c>
      <c r="L2249" s="1">
        <f>+K2249-J2249</f>
        <v>-0.10267533714473251</v>
      </c>
      <c r="M2249" s="1">
        <v>4.7246628552675002E-3</v>
      </c>
      <c r="N2249" s="1">
        <f>+M2249-J2249</f>
        <v>-0.11467533714473251</v>
      </c>
      <c r="O2249">
        <v>2.14</v>
      </c>
      <c r="P2249" t="s">
        <v>17</v>
      </c>
      <c r="Q2249">
        <v>-0.01</v>
      </c>
      <c r="R2249">
        <v>0.19524738776683701</v>
      </c>
      <c r="S2249">
        <v>0.151657775044441</v>
      </c>
      <c r="T2249">
        <v>0.02</v>
      </c>
    </row>
    <row r="2250" spans="1:20" x14ac:dyDescent="0.3">
      <c r="A2250" t="s">
        <v>156</v>
      </c>
      <c r="B2250">
        <v>2021</v>
      </c>
      <c r="C2250">
        <v>870399.75</v>
      </c>
      <c r="D2250" s="1">
        <v>5.6000000000000001E-2</v>
      </c>
      <c r="E2250" s="1">
        <v>0.96879106760025002</v>
      </c>
      <c r="F2250" s="1">
        <v>-1.7000000000000001E-2</v>
      </c>
      <c r="G2250" s="1">
        <f t="shared" si="70"/>
        <v>-9.0000000000000045E-3</v>
      </c>
      <c r="H2250" s="1" t="str">
        <f t="shared" si="71"/>
        <v/>
      </c>
      <c r="I2250" s="1">
        <v>6.3E-2</v>
      </c>
      <c r="J2250" s="1">
        <f>+D2250-F2250+I2250*O2250</f>
        <v>0.20593</v>
      </c>
      <c r="K2250" s="1">
        <v>0.24224738776683799</v>
      </c>
      <c r="L2250" s="1">
        <f>+K2250-J2250</f>
        <v>3.6317387766837989E-2</v>
      </c>
      <c r="M2250" s="1">
        <v>0.19524738776683701</v>
      </c>
      <c r="N2250" s="1">
        <f>+M2250-J2250</f>
        <v>-1.0682612233162997E-2</v>
      </c>
      <c r="O2250">
        <v>2.11</v>
      </c>
      <c r="P2250" t="s">
        <v>17</v>
      </c>
      <c r="Q2250">
        <v>0.15</v>
      </c>
      <c r="R2250">
        <v>-5.47410509735346E-2</v>
      </c>
      <c r="S2250">
        <v>-2.2637544199824298E-2</v>
      </c>
      <c r="T2250">
        <v>-0.05</v>
      </c>
    </row>
    <row r="2251" spans="1:20" x14ac:dyDescent="0.3">
      <c r="A2251" t="s">
        <v>156</v>
      </c>
      <c r="B2251">
        <v>2022</v>
      </c>
      <c r="C2251">
        <v>900046.375</v>
      </c>
      <c r="D2251" s="1">
        <v>4.1000000000000002E-2</v>
      </c>
      <c r="E2251" s="1">
        <v>0.938318312168121</v>
      </c>
      <c r="F2251" s="1">
        <v>4.7E-2</v>
      </c>
      <c r="G2251" s="1">
        <f t="shared" si="70"/>
        <v>3.7999999999999992E-2</v>
      </c>
      <c r="H2251" s="1" t="str">
        <f t="shared" si="71"/>
        <v/>
      </c>
      <c r="I2251" s="1">
        <v>-0.03</v>
      </c>
      <c r="J2251" s="1">
        <f>+D2251-F2251+I2251*O2251</f>
        <v>-7.2300000000000003E-2</v>
      </c>
      <c r="K2251" s="1">
        <v>2.5258949026465399E-2</v>
      </c>
      <c r="L2251" s="1">
        <f>+K2251-J2251</f>
        <v>9.7558949026465405E-2</v>
      </c>
      <c r="M2251" s="1">
        <v>-5.47410509735346E-2</v>
      </c>
      <c r="N2251" s="1">
        <f>+M2251-J2251</f>
        <v>1.7558949026465404E-2</v>
      </c>
      <c r="O2251">
        <v>2.21</v>
      </c>
      <c r="P2251" t="s">
        <v>17</v>
      </c>
      <c r="Q2251">
        <v>-0.02</v>
      </c>
      <c r="R2251">
        <v>-7.2098073348403E-2</v>
      </c>
      <c r="S2251">
        <v>-5.2539145573973697E-2</v>
      </c>
      <c r="T2251">
        <v>0.06</v>
      </c>
    </row>
    <row r="2252" spans="1:20" x14ac:dyDescent="0.3">
      <c r="A2252" t="s">
        <v>157</v>
      </c>
      <c r="B2252">
        <v>2006</v>
      </c>
      <c r="C2252">
        <v>558196</v>
      </c>
      <c r="D2252" s="1">
        <v>1.4E-2</v>
      </c>
      <c r="E2252" s="1">
        <v>0.94898718595504805</v>
      </c>
      <c r="F2252" s="1">
        <v>-2.5999999999999999E-2</v>
      </c>
      <c r="G2252" s="1">
        <f t="shared" si="70"/>
        <v>-2.5999999999999999E-2</v>
      </c>
      <c r="H2252" s="1" t="str">
        <f t="shared" si="71"/>
        <v/>
      </c>
      <c r="I2252" s="1">
        <v>3.0000000000000001E-3</v>
      </c>
      <c r="J2252" s="1">
        <f>+D2252-F2252+I2252*O2252</f>
        <v>4.5999999999999999E-2</v>
      </c>
      <c r="K2252" s="1">
        <v>3.03513985127211E-2</v>
      </c>
      <c r="L2252" s="1">
        <f>+K2252-J2252</f>
        <v>-1.5648601487278899E-2</v>
      </c>
      <c r="M2252" s="1">
        <v>-1.6486014872788999E-3</v>
      </c>
      <c r="N2252" s="1">
        <f>+M2252-J2252</f>
        <v>-4.7648601487278897E-2</v>
      </c>
      <c r="O2252">
        <v>2</v>
      </c>
      <c r="P2252" t="s">
        <v>17</v>
      </c>
      <c r="Q2252">
        <v>-0.01</v>
      </c>
      <c r="R2252">
        <v>1.3369648754596899E-3</v>
      </c>
      <c r="S2252">
        <v>2.2587208077311902E-3</v>
      </c>
      <c r="T2252">
        <v>-0.03</v>
      </c>
    </row>
    <row r="2253" spans="1:20" x14ac:dyDescent="0.3">
      <c r="A2253" t="s">
        <v>157</v>
      </c>
      <c r="B2253">
        <v>2007</v>
      </c>
      <c r="C2253">
        <v>560407.3125</v>
      </c>
      <c r="D2253" s="1">
        <v>0</v>
      </c>
      <c r="E2253" s="1">
        <v>0.94663828611373901</v>
      </c>
      <c r="F2253" s="1">
        <v>7.0000000000000007E-2</v>
      </c>
      <c r="G2253" s="1">
        <f t="shared" si="70"/>
        <v>4.4000000000000011E-2</v>
      </c>
      <c r="H2253" s="1" t="str">
        <f t="shared" si="71"/>
        <v/>
      </c>
      <c r="I2253" s="1">
        <v>-2E-3</v>
      </c>
      <c r="J2253" s="1">
        <f>+D2253-F2253+I2253*O2253</f>
        <v>-7.4300000000000005E-2</v>
      </c>
      <c r="K2253" s="1">
        <v>3.0336964875459699E-2</v>
      </c>
      <c r="L2253" s="1">
        <f>+K2253-J2253</f>
        <v>0.1046369648754597</v>
      </c>
      <c r="M2253" s="1">
        <v>1.3369648754596899E-3</v>
      </c>
      <c r="N2253" s="1">
        <f>+M2253-J2253</f>
        <v>7.5636964875459692E-2</v>
      </c>
      <c r="O2253">
        <v>2.15</v>
      </c>
      <c r="P2253" t="s">
        <v>17</v>
      </c>
      <c r="Q2253">
        <v>0</v>
      </c>
      <c r="R2253">
        <v>-3.1756611831486203E-2</v>
      </c>
      <c r="S2253">
        <v>-2.2458075545728198E-3</v>
      </c>
      <c r="T2253">
        <v>7.0000000000000007E-2</v>
      </c>
    </row>
    <row r="2254" spans="1:20" x14ac:dyDescent="0.3">
      <c r="A2254" t="s">
        <v>157</v>
      </c>
      <c r="B2254">
        <v>2008</v>
      </c>
      <c r="C2254">
        <v>561918.0625</v>
      </c>
      <c r="D2254" s="1">
        <v>1E-3</v>
      </c>
      <c r="E2254" s="1">
        <v>0.93822556734085105</v>
      </c>
      <c r="F2254" s="1">
        <v>-2.4E-2</v>
      </c>
      <c r="G2254" s="1">
        <f t="shared" si="70"/>
        <v>2.0000000000000011E-2</v>
      </c>
      <c r="H2254" s="1" t="str">
        <f t="shared" si="71"/>
        <v/>
      </c>
      <c r="I2254" s="1">
        <v>-8.0000000000000002E-3</v>
      </c>
      <c r="J2254" s="1">
        <f>+D2254-F2254+I2254*O2254</f>
        <v>8.2800000000000026E-3</v>
      </c>
      <c r="K2254" s="1">
        <v>6.2433881685137697E-3</v>
      </c>
      <c r="L2254" s="1">
        <f>+K2254-J2254</f>
        <v>-2.036611831486233E-3</v>
      </c>
      <c r="M2254" s="1">
        <v>-3.1756611831486203E-2</v>
      </c>
      <c r="N2254" s="1">
        <f>+M2254-J2254</f>
        <v>-4.0036611831486206E-2</v>
      </c>
      <c r="O2254">
        <v>2.09</v>
      </c>
      <c r="P2254" t="s">
        <v>16</v>
      </c>
      <c r="Q2254">
        <v>0</v>
      </c>
      <c r="R2254">
        <v>-2.0776604026556001E-2</v>
      </c>
      <c r="S2254">
        <v>5.79009763896464E-3</v>
      </c>
      <c r="T2254">
        <v>-0.03</v>
      </c>
    </row>
    <row r="2255" spans="1:20" x14ac:dyDescent="0.3">
      <c r="A2255" t="s">
        <v>157</v>
      </c>
      <c r="B2255">
        <v>2009</v>
      </c>
      <c r="C2255">
        <v>563274.625</v>
      </c>
      <c r="D2255" s="1">
        <v>2E-3</v>
      </c>
      <c r="E2255" s="1">
        <v>0.94642442464828502</v>
      </c>
      <c r="F2255" s="1">
        <v>1.2999999999999999E-2</v>
      </c>
      <c r="G2255" s="1">
        <f t="shared" si="70"/>
        <v>3.3000000000000008E-2</v>
      </c>
      <c r="H2255" s="1" t="str">
        <f t="shared" si="71"/>
        <v/>
      </c>
      <c r="I2255" s="1">
        <v>8.0000000000000002E-3</v>
      </c>
      <c r="J2255" s="1">
        <f>+D2255-F2255+I2255*O2255</f>
        <v>5.9600000000000035E-3</v>
      </c>
      <c r="K2255" s="1">
        <v>-2.4776604026556001E-2</v>
      </c>
      <c r="L2255" s="1">
        <f>+K2255-J2255</f>
        <v>-3.0736604026556005E-2</v>
      </c>
      <c r="M2255" s="1">
        <v>-2.0776604026556001E-2</v>
      </c>
      <c r="N2255" s="1">
        <f>+M2255-J2255</f>
        <v>-2.6736604026556005E-2</v>
      </c>
      <c r="O2255">
        <v>2.12</v>
      </c>
      <c r="P2255" t="s">
        <v>15</v>
      </c>
      <c r="Q2255">
        <v>0.01</v>
      </c>
      <c r="R2255">
        <v>-1.14079675078389E-3</v>
      </c>
      <c r="S2255">
        <v>8.31931200809778E-3</v>
      </c>
      <c r="T2255">
        <v>-0.01</v>
      </c>
    </row>
    <row r="2256" spans="1:20" x14ac:dyDescent="0.3">
      <c r="A2256" t="s">
        <v>157</v>
      </c>
      <c r="B2256">
        <v>2010</v>
      </c>
      <c r="C2256">
        <v>564540.5</v>
      </c>
      <c r="D2256" s="1">
        <v>1E-3</v>
      </c>
      <c r="E2256" s="1">
        <v>0.95769798755645796</v>
      </c>
      <c r="F2256" s="1">
        <v>-1.6E-2</v>
      </c>
      <c r="G2256" s="1">
        <f t="shared" si="70"/>
        <v>1.7000000000000008E-2</v>
      </c>
      <c r="H2256" s="1" t="str">
        <f t="shared" si="71"/>
        <v/>
      </c>
      <c r="I2256" s="1">
        <v>1.0999999999999999E-2</v>
      </c>
      <c r="J2256" s="1">
        <f>+D2256-F2256+I2256*O2256</f>
        <v>3.9989999999999998E-2</v>
      </c>
      <c r="K2256" s="1">
        <v>1.4859203249216101E-2</v>
      </c>
      <c r="L2256" s="1">
        <f>+K2256-J2256</f>
        <v>-2.5130796750783897E-2</v>
      </c>
      <c r="M2256" s="1">
        <v>-1.14079675078389E-3</v>
      </c>
      <c r="N2256" s="1">
        <f>+M2256-J2256</f>
        <v>-4.1130796750783891E-2</v>
      </c>
      <c r="O2256">
        <v>2.09</v>
      </c>
      <c r="P2256" t="s">
        <v>17</v>
      </c>
      <c r="Q2256">
        <v>0.01</v>
      </c>
      <c r="R2256">
        <v>-1.89324592873454E-2</v>
      </c>
      <c r="S2256">
        <v>2.3513152264058898E-3</v>
      </c>
      <c r="T2256">
        <v>-0.02</v>
      </c>
    </row>
    <row r="2257" spans="1:20" x14ac:dyDescent="0.3">
      <c r="A2257" t="s">
        <v>157</v>
      </c>
      <c r="B2257">
        <v>2011</v>
      </c>
      <c r="C2257">
        <v>565941.3125</v>
      </c>
      <c r="D2257" s="1">
        <v>0</v>
      </c>
      <c r="E2257" s="1">
        <v>0.96146881580352805</v>
      </c>
      <c r="F2257" s="1">
        <v>3.6999999999999998E-2</v>
      </c>
      <c r="G2257" s="1">
        <f t="shared" si="70"/>
        <v>5.4000000000000006E-2</v>
      </c>
      <c r="H2257" s="1" t="str">
        <f t="shared" si="71"/>
        <v/>
      </c>
      <c r="I2257" s="1">
        <v>4.0000000000000001E-3</v>
      </c>
      <c r="J2257" s="1">
        <f>+D2257-F2257+I2257*O2257</f>
        <v>-2.8319999999999998E-2</v>
      </c>
      <c r="K2257" s="1">
        <v>1.3067540712654599E-2</v>
      </c>
      <c r="L2257" s="1">
        <f>+K2257-J2257</f>
        <v>4.1387540712654595E-2</v>
      </c>
      <c r="M2257" s="1">
        <v>-1.89324592873454E-2</v>
      </c>
      <c r="N2257" s="1">
        <f>+M2257-J2257</f>
        <v>9.3875407126545983E-3</v>
      </c>
      <c r="O2257">
        <v>2.17</v>
      </c>
      <c r="P2257" t="s">
        <v>15</v>
      </c>
      <c r="Q2257">
        <v>0</v>
      </c>
      <c r="R2257">
        <v>-6.4766046628356002E-3</v>
      </c>
      <c r="S2257">
        <v>-1.0383985936642001E-3</v>
      </c>
      <c r="T2257">
        <v>0.04</v>
      </c>
    </row>
    <row r="2258" spans="1:20" x14ac:dyDescent="0.3">
      <c r="A2258" t="s">
        <v>157</v>
      </c>
      <c r="B2258">
        <v>2012</v>
      </c>
      <c r="C2258">
        <v>566960.5625</v>
      </c>
      <c r="D2258" s="1">
        <v>0</v>
      </c>
      <c r="E2258" s="1">
        <v>0.95655727386474598</v>
      </c>
      <c r="F2258" s="1">
        <v>-7.9000000000000001E-2</v>
      </c>
      <c r="G2258" s="1">
        <f t="shared" si="70"/>
        <v>-2.4999999999999994E-2</v>
      </c>
      <c r="H2258" s="1" t="str">
        <f t="shared" si="71"/>
        <v/>
      </c>
      <c r="I2258" s="1">
        <v>-5.0000000000000001E-3</v>
      </c>
      <c r="J2258" s="1">
        <f>+D2258-F2258+I2258*O2258</f>
        <v>6.9000000000000006E-2</v>
      </c>
      <c r="K2258" s="1">
        <v>1.45233953371644E-2</v>
      </c>
      <c r="L2258" s="1">
        <f>+K2258-J2258</f>
        <v>-5.4476604662835604E-2</v>
      </c>
      <c r="M2258" s="1">
        <v>-6.4766046628356002E-3</v>
      </c>
      <c r="N2258" s="1">
        <f>+M2258-J2258</f>
        <v>-7.5476604662835609E-2</v>
      </c>
      <c r="O2258">
        <v>2</v>
      </c>
      <c r="P2258" t="s">
        <v>16</v>
      </c>
      <c r="Q2258">
        <v>0</v>
      </c>
      <c r="R2258">
        <v>9.3721865117550006E-3</v>
      </c>
      <c r="S2258">
        <v>3.2454151660203999E-3</v>
      </c>
      <c r="T2258">
        <v>-0.08</v>
      </c>
    </row>
    <row r="2259" spans="1:20" x14ac:dyDescent="0.3">
      <c r="A2259" t="s">
        <v>157</v>
      </c>
      <c r="B2259">
        <v>2013</v>
      </c>
      <c r="C2259">
        <v>566364.0625</v>
      </c>
      <c r="D2259" s="1">
        <v>2E-3</v>
      </c>
      <c r="E2259" s="1">
        <v>0.95672148466110196</v>
      </c>
      <c r="F2259" s="1">
        <v>5.0999999999999997E-2</v>
      </c>
      <c r="G2259" s="1">
        <f t="shared" si="70"/>
        <v>2.6000000000000002E-2</v>
      </c>
      <c r="H2259" s="1" t="str">
        <f t="shared" si="71"/>
        <v/>
      </c>
      <c r="I2259" s="1">
        <v>0</v>
      </c>
      <c r="J2259" s="1">
        <f>+D2259-F2259+I2259*O2259</f>
        <v>-4.8999999999999995E-2</v>
      </c>
      <c r="K2259" s="1">
        <v>2.4372186511755E-2</v>
      </c>
      <c r="L2259" s="1">
        <f>+K2259-J2259</f>
        <v>7.3372186511754992E-2</v>
      </c>
      <c r="M2259" s="1">
        <v>9.3721865117550006E-3</v>
      </c>
      <c r="N2259" s="1">
        <f>+M2259-J2259</f>
        <v>5.8372186511754992E-2</v>
      </c>
      <c r="O2259">
        <v>2.1</v>
      </c>
      <c r="P2259" t="s">
        <v>15</v>
      </c>
      <c r="Q2259">
        <v>0</v>
      </c>
      <c r="R2259">
        <v>2.7514964491128901E-3</v>
      </c>
      <c r="S2259">
        <v>7.4347294867039703E-4</v>
      </c>
      <c r="T2259">
        <v>0.04</v>
      </c>
    </row>
    <row r="2260" spans="1:20" x14ac:dyDescent="0.3">
      <c r="A2260" t="s">
        <v>157</v>
      </c>
      <c r="B2260">
        <v>2014</v>
      </c>
      <c r="C2260">
        <v>566292.5</v>
      </c>
      <c r="D2260" s="1">
        <v>3.0000000000000001E-3</v>
      </c>
      <c r="E2260" s="1">
        <v>0.95759797096252397</v>
      </c>
      <c r="F2260" s="1">
        <v>2.4E-2</v>
      </c>
      <c r="G2260" s="1">
        <f t="shared" si="70"/>
        <v>0.05</v>
      </c>
      <c r="H2260" s="1" t="str">
        <f t="shared" si="71"/>
        <v/>
      </c>
      <c r="I2260" s="1">
        <v>1E-3</v>
      </c>
      <c r="J2260" s="1">
        <f>+D2260-F2260+I2260*O2260</f>
        <v>-1.8850000000000002E-2</v>
      </c>
      <c r="K2260" s="1">
        <v>1.8751496449112899E-2</v>
      </c>
      <c r="L2260" s="1">
        <f>+K2260-J2260</f>
        <v>3.7601496449112898E-2</v>
      </c>
      <c r="M2260" s="1">
        <v>2.7514964491128901E-3</v>
      </c>
      <c r="N2260" s="1">
        <f>+M2260-J2260</f>
        <v>2.1601496449112891E-2</v>
      </c>
      <c r="O2260">
        <v>2.15</v>
      </c>
      <c r="P2260" t="s">
        <v>15</v>
      </c>
      <c r="Q2260">
        <v>0</v>
      </c>
      <c r="R2260">
        <v>3.5845572292804599E-2</v>
      </c>
      <c r="S2260">
        <v>5.5821202695369998E-3</v>
      </c>
      <c r="T2260">
        <v>0.02</v>
      </c>
    </row>
    <row r="2261" spans="1:20" x14ac:dyDescent="0.3">
      <c r="A2261" t="s">
        <v>157</v>
      </c>
      <c r="B2261">
        <v>2015</v>
      </c>
      <c r="C2261">
        <v>565385</v>
      </c>
      <c r="D2261" s="1">
        <v>1.0999999999999999E-2</v>
      </c>
      <c r="E2261" s="1">
        <v>0.951022088527679</v>
      </c>
      <c r="F2261" s="1">
        <v>3.1E-2</v>
      </c>
      <c r="G2261" s="1">
        <f t="shared" si="70"/>
        <v>8.1000000000000003E-2</v>
      </c>
      <c r="H2261" s="1" t="str">
        <f t="shared" si="71"/>
        <v/>
      </c>
      <c r="I2261" s="1">
        <v>-7.0000000000000001E-3</v>
      </c>
      <c r="J2261" s="1">
        <f>+D2261-F2261+I2261*O2261</f>
        <v>-3.5470000000000002E-2</v>
      </c>
      <c r="K2261" s="1">
        <v>3.6845572292804697E-2</v>
      </c>
      <c r="L2261" s="1">
        <f>+K2261-J2261</f>
        <v>7.2315572292804692E-2</v>
      </c>
      <c r="M2261" s="1">
        <v>3.5845572292804599E-2</v>
      </c>
      <c r="N2261" s="1">
        <f>+M2261-J2261</f>
        <v>7.1315572292804608E-2</v>
      </c>
      <c r="O2261">
        <v>2.21</v>
      </c>
      <c r="P2261" t="s">
        <v>17</v>
      </c>
      <c r="Q2261">
        <v>0.01</v>
      </c>
      <c r="R2261">
        <v>1.55377278923988E-2</v>
      </c>
      <c r="S2261">
        <v>2.3841708898543999E-3</v>
      </c>
      <c r="T2261">
        <v>0.04</v>
      </c>
    </row>
    <row r="2262" spans="1:20" x14ac:dyDescent="0.3">
      <c r="A2262" t="s">
        <v>157</v>
      </c>
      <c r="B2262">
        <v>2016</v>
      </c>
      <c r="C2262">
        <v>565304.0625</v>
      </c>
      <c r="D2262" s="1">
        <v>4.0000000000000001E-3</v>
      </c>
      <c r="E2262" s="1">
        <v>0.95921057462692305</v>
      </c>
      <c r="F2262" s="1">
        <v>-3.9E-2</v>
      </c>
      <c r="G2262" s="1">
        <f t="shared" si="70"/>
        <v>4.2000000000000003E-2</v>
      </c>
      <c r="H2262" s="1" t="str">
        <f t="shared" si="71"/>
        <v/>
      </c>
      <c r="I2262" s="1">
        <v>8.0000000000000002E-3</v>
      </c>
      <c r="J2262" s="1">
        <f>+D2262-F2262+I2262*O2262</f>
        <v>6.0039999999999996E-2</v>
      </c>
      <c r="K2262" s="1">
        <v>2.85377278923988E-2</v>
      </c>
      <c r="L2262" s="1">
        <f>+K2262-J2262</f>
        <v>-3.1502272107601197E-2</v>
      </c>
      <c r="M2262" s="1">
        <v>1.55377278923988E-2</v>
      </c>
      <c r="N2262" s="1">
        <f>+M2262-J2262</f>
        <v>-4.4502272107601194E-2</v>
      </c>
      <c r="O2262">
        <v>2.13</v>
      </c>
      <c r="P2262" t="s">
        <v>17</v>
      </c>
      <c r="Q2262">
        <v>0</v>
      </c>
      <c r="R2262">
        <v>1.9947198867797899E-2</v>
      </c>
      <c r="S2262">
        <v>1.7157625406980601E-2</v>
      </c>
      <c r="T2262">
        <v>-0.04</v>
      </c>
    </row>
    <row r="2263" spans="1:20" x14ac:dyDescent="0.3">
      <c r="A2263" t="s">
        <v>157</v>
      </c>
      <c r="B2263">
        <v>2017</v>
      </c>
      <c r="C2263">
        <v>566719.8125</v>
      </c>
      <c r="D2263" s="1">
        <v>0</v>
      </c>
      <c r="E2263" s="1">
        <v>0.95508903264999401</v>
      </c>
      <c r="F2263" s="1">
        <v>4.7E-2</v>
      </c>
      <c r="G2263" s="1">
        <f t="shared" si="70"/>
        <v>8.8999999999999996E-2</v>
      </c>
      <c r="H2263" s="1" t="str">
        <f t="shared" si="71"/>
        <v/>
      </c>
      <c r="I2263" s="1">
        <v>-4.0000000000000001E-3</v>
      </c>
      <c r="J2263" s="1">
        <f>+D2263-F2263+I2263*O2263</f>
        <v>-5.5919999999999997E-2</v>
      </c>
      <c r="K2263" s="1">
        <v>4.09471988677979E-2</v>
      </c>
      <c r="L2263" s="1">
        <f>+K2263-J2263</f>
        <v>9.6867198867797905E-2</v>
      </c>
      <c r="M2263" s="1">
        <v>1.9947198867797899E-2</v>
      </c>
      <c r="N2263" s="1">
        <f>+M2263-J2263</f>
        <v>7.58671988677979E-2</v>
      </c>
      <c r="O2263">
        <v>2.23</v>
      </c>
      <c r="P2263" t="s">
        <v>17</v>
      </c>
      <c r="Q2263">
        <v>0.02</v>
      </c>
      <c r="R2263">
        <v>-1.5187149643898E-3</v>
      </c>
      <c r="S2263">
        <v>-1.0653737932443501E-2</v>
      </c>
      <c r="T2263">
        <v>0.05</v>
      </c>
    </row>
    <row r="2264" spans="1:20" x14ac:dyDescent="0.3">
      <c r="A2264" t="s">
        <v>157</v>
      </c>
      <c r="B2264">
        <v>2018</v>
      </c>
      <c r="C2264">
        <v>567353.8125</v>
      </c>
      <c r="D2264" s="1">
        <v>3.0000000000000001E-3</v>
      </c>
      <c r="E2264" s="1">
        <v>0.95337939262390103</v>
      </c>
      <c r="F2264" s="1">
        <v>-2.7E-2</v>
      </c>
      <c r="G2264" s="1">
        <f t="shared" si="70"/>
        <v>6.2E-2</v>
      </c>
      <c r="H2264" s="1" t="str">
        <f t="shared" si="71"/>
        <v/>
      </c>
      <c r="I2264" s="1">
        <v>-2E-3</v>
      </c>
      <c r="J2264" s="1">
        <f>+D2264-F2264+I2264*O2264</f>
        <v>2.5659999999999999E-2</v>
      </c>
      <c r="K2264" s="1">
        <v>2.2481285035610199E-2</v>
      </c>
      <c r="L2264" s="1">
        <f>+K2264-J2264</f>
        <v>-3.1787149643897998E-3</v>
      </c>
      <c r="M2264" s="1">
        <v>-1.5187149643898E-3</v>
      </c>
      <c r="N2264" s="1">
        <f>+M2264-J2264</f>
        <v>-2.71787149643898E-2</v>
      </c>
      <c r="O2264">
        <v>2.17</v>
      </c>
      <c r="P2264" t="s">
        <v>16</v>
      </c>
      <c r="Q2264">
        <v>-0.01</v>
      </c>
      <c r="R2264">
        <v>-1.01178403198719E-3</v>
      </c>
      <c r="S2264">
        <v>-1.8812978640198701E-2</v>
      </c>
      <c r="T2264">
        <v>-0.02</v>
      </c>
    </row>
    <row r="2265" spans="1:20" x14ac:dyDescent="0.3">
      <c r="A2265" t="s">
        <v>157</v>
      </c>
      <c r="B2265">
        <v>2019</v>
      </c>
      <c r="C2265">
        <v>567434.0625</v>
      </c>
      <c r="D2265" s="1">
        <v>1.4E-2</v>
      </c>
      <c r="E2265" s="1">
        <v>0.94223821163177501</v>
      </c>
      <c r="F2265" s="1">
        <v>2.8000000000000001E-2</v>
      </c>
      <c r="G2265" s="1">
        <f t="shared" si="70"/>
        <v>0.09</v>
      </c>
      <c r="H2265" s="1" t="str">
        <f t="shared" si="71"/>
        <v/>
      </c>
      <c r="I2265" s="1">
        <v>-1.0999999999999999E-2</v>
      </c>
      <c r="J2265" s="1">
        <f>+D2265-F2265+I2265*O2265</f>
        <v>-3.8530000000000002E-2</v>
      </c>
      <c r="K2265" s="1">
        <v>1.6988215968012799E-2</v>
      </c>
      <c r="L2265" s="1">
        <f>+K2265-J2265</f>
        <v>5.5518215968012805E-2</v>
      </c>
      <c r="M2265" s="1">
        <v>-1.01178403198719E-3</v>
      </c>
      <c r="N2265" s="1">
        <f>+M2265-J2265</f>
        <v>3.7518215968012809E-2</v>
      </c>
      <c r="O2265">
        <v>2.23</v>
      </c>
      <c r="P2265" t="s">
        <v>17</v>
      </c>
      <c r="Q2265">
        <v>-0.02</v>
      </c>
      <c r="R2265">
        <v>6.1388993740081797E-2</v>
      </c>
      <c r="S2265">
        <v>4.2539803311228801E-2</v>
      </c>
      <c r="T2265">
        <v>0.04</v>
      </c>
    </row>
    <row r="2266" spans="1:20" x14ac:dyDescent="0.3">
      <c r="A2266" t="s">
        <v>157</v>
      </c>
      <c r="B2266">
        <v>2020</v>
      </c>
      <c r="C2266">
        <v>567122.9375</v>
      </c>
      <c r="D2266" s="1">
        <v>1.4999999999999999E-2</v>
      </c>
      <c r="E2266" s="1">
        <v>0.97476041316986095</v>
      </c>
      <c r="F2266" s="1">
        <v>-8.0000000000000002E-3</v>
      </c>
      <c r="G2266" s="1">
        <f t="shared" si="70"/>
        <v>8.199999999999999E-2</v>
      </c>
      <c r="H2266" s="1" t="str">
        <f t="shared" si="71"/>
        <v/>
      </c>
      <c r="I2266" s="1">
        <v>3.3000000000000002E-2</v>
      </c>
      <c r="J2266" s="1">
        <f>+D2266-F2266+I2266*O2266</f>
        <v>9.5930000000000015E-2</v>
      </c>
      <c r="K2266" s="1">
        <v>7.3388993740081801E-2</v>
      </c>
      <c r="L2266" s="1">
        <f>+K2266-J2266</f>
        <v>-2.2541006259918214E-2</v>
      </c>
      <c r="M2266" s="1">
        <v>6.1388993740081797E-2</v>
      </c>
      <c r="N2266" s="1">
        <f>+M2266-J2266</f>
        <v>-3.4541006259918218E-2</v>
      </c>
      <c r="O2266">
        <v>2.21</v>
      </c>
      <c r="P2266" t="s">
        <v>17</v>
      </c>
      <c r="Q2266">
        <v>0.04</v>
      </c>
      <c r="R2266">
        <v>4.8404937863349901E-2</v>
      </c>
      <c r="S2266">
        <v>4.8153251409529902E-3</v>
      </c>
      <c r="T2266">
        <v>0.03</v>
      </c>
    </row>
    <row r="2267" spans="1:20" x14ac:dyDescent="0.3">
      <c r="A2267" t="s">
        <v>157</v>
      </c>
      <c r="B2267">
        <v>2021</v>
      </c>
      <c r="C2267">
        <v>568172.3125</v>
      </c>
      <c r="D2267" s="1">
        <v>8.0000000000000002E-3</v>
      </c>
      <c r="E2267" s="1">
        <v>0.97670614719390902</v>
      </c>
      <c r="F2267" s="1">
        <v>-3.6999999999999998E-2</v>
      </c>
      <c r="G2267" s="1">
        <f t="shared" si="70"/>
        <v>4.4999999999999991E-2</v>
      </c>
      <c r="H2267" s="1" t="str">
        <f t="shared" si="71"/>
        <v/>
      </c>
      <c r="I2267" s="1">
        <v>2E-3</v>
      </c>
      <c r="J2267" s="1">
        <f>+D2267-F2267+I2267*O2267</f>
        <v>4.9259999999999998E-2</v>
      </c>
      <c r="K2267" s="1">
        <v>9.5404937863349901E-2</v>
      </c>
      <c r="L2267" s="1">
        <f>+K2267-J2267</f>
        <v>4.6144937863349902E-2</v>
      </c>
      <c r="M2267" s="1">
        <v>4.8404937863349901E-2</v>
      </c>
      <c r="N2267" s="1">
        <f>+M2267-J2267</f>
        <v>-8.5506213665009767E-4</v>
      </c>
      <c r="O2267">
        <v>2.13</v>
      </c>
      <c r="P2267" t="s">
        <v>17</v>
      </c>
      <c r="Q2267">
        <v>0</v>
      </c>
      <c r="R2267">
        <v>-6.1411058455705603E-2</v>
      </c>
      <c r="S2267">
        <v>-2.9307551681995302E-2</v>
      </c>
      <c r="T2267">
        <v>-7.0000000000000007E-2</v>
      </c>
    </row>
    <row r="2268" spans="1:20" x14ac:dyDescent="0.3">
      <c r="A2268" t="s">
        <v>157</v>
      </c>
      <c r="B2268">
        <v>2022</v>
      </c>
      <c r="C2268">
        <v>569251.5</v>
      </c>
      <c r="D2268" s="1">
        <v>4.0000000000000001E-3</v>
      </c>
      <c r="E2268" s="1">
        <v>0.959766685962677</v>
      </c>
      <c r="F2268" s="1">
        <v>1.4999999999999999E-2</v>
      </c>
      <c r="G2268" s="1">
        <f t="shared" si="70"/>
        <v>5.9999999999999991E-2</v>
      </c>
      <c r="H2268" s="1" t="str">
        <f t="shared" si="71"/>
        <v/>
      </c>
      <c r="I2268" s="1">
        <v>-1.7000000000000001E-2</v>
      </c>
      <c r="J2268" s="1">
        <f>+D2268-F2268+I2268*O2268</f>
        <v>-4.7719999999999999E-2</v>
      </c>
      <c r="K2268" s="1">
        <v>1.8588941544294399E-2</v>
      </c>
      <c r="L2268" s="1">
        <f>+K2268-J2268</f>
        <v>6.6308941544294397E-2</v>
      </c>
      <c r="M2268" s="1">
        <v>-6.1411058455705603E-2</v>
      </c>
      <c r="N2268" s="1">
        <f>+M2268-J2268</f>
        <v>-1.3691058455705604E-2</v>
      </c>
      <c r="O2268">
        <v>2.16</v>
      </c>
      <c r="P2268" t="s">
        <v>17</v>
      </c>
      <c r="Q2268">
        <v>-0.03</v>
      </c>
      <c r="R2268">
        <v>1.10599037408829E-2</v>
      </c>
      <c r="S2268">
        <v>3.0618831515312198E-2</v>
      </c>
      <c r="T2268">
        <v>0.03</v>
      </c>
    </row>
    <row r="2269" spans="1:20" x14ac:dyDescent="0.3">
      <c r="A2269" t="s">
        <v>158</v>
      </c>
      <c r="B2269">
        <v>2006</v>
      </c>
      <c r="C2269">
        <v>3268743</v>
      </c>
      <c r="D2269" s="1">
        <v>1.4E-2</v>
      </c>
      <c r="E2269" s="1">
        <v>0.94816577434539795</v>
      </c>
      <c r="F2269" s="1">
        <v>-1.0999999999999999E-2</v>
      </c>
      <c r="G2269" s="1">
        <f t="shared" si="70"/>
        <v>-1.0999999999999999E-2</v>
      </c>
      <c r="H2269" s="1" t="str">
        <f t="shared" si="71"/>
        <v/>
      </c>
      <c r="I2269" s="1">
        <v>8.0000000000000002E-3</v>
      </c>
      <c r="J2269" s="1">
        <f>+D2269-F2269+I2269*O2269</f>
        <v>4.172E-2</v>
      </c>
      <c r="K2269" s="1">
        <v>5.9914704412221902E-2</v>
      </c>
      <c r="L2269" s="1">
        <f>+K2269-J2269</f>
        <v>1.8194704412221901E-2</v>
      </c>
      <c r="M2269" s="1">
        <v>2.7914704412221901E-2</v>
      </c>
      <c r="N2269" s="1">
        <f>+M2269-J2269</f>
        <v>-1.3805295587778099E-2</v>
      </c>
      <c r="O2269">
        <v>2.09</v>
      </c>
      <c r="P2269" t="s">
        <v>17</v>
      </c>
      <c r="Q2269">
        <v>0.02</v>
      </c>
      <c r="R2269">
        <v>3.84768760800362E-2</v>
      </c>
      <c r="S2269">
        <v>3.9398632012307699E-2</v>
      </c>
      <c r="T2269">
        <v>-0.01</v>
      </c>
    </row>
    <row r="2270" spans="1:20" x14ac:dyDescent="0.3">
      <c r="A2270" t="s">
        <v>158</v>
      </c>
      <c r="B2270">
        <v>2007</v>
      </c>
      <c r="C2270">
        <v>3317089</v>
      </c>
      <c r="D2270" s="1">
        <v>6.0000000000000001E-3</v>
      </c>
      <c r="E2270" s="1">
        <v>0.949135601520538</v>
      </c>
      <c r="F2270" s="1">
        <v>1.6E-2</v>
      </c>
      <c r="G2270" s="1">
        <f t="shared" si="70"/>
        <v>5.000000000000001E-3</v>
      </c>
      <c r="H2270" s="1" t="str">
        <f t="shared" si="71"/>
        <v/>
      </c>
      <c r="I2270" s="1">
        <v>1E-3</v>
      </c>
      <c r="J2270" s="1">
        <f>+D2270-F2270+I2270*O2270</f>
        <v>-7.8700000000000003E-3</v>
      </c>
      <c r="K2270" s="1">
        <v>6.7476876080036205E-2</v>
      </c>
      <c r="L2270" s="1">
        <f>+K2270-J2270</f>
        <v>7.5346876080036207E-2</v>
      </c>
      <c r="M2270" s="1">
        <v>3.84768760800362E-2</v>
      </c>
      <c r="N2270" s="1">
        <f>+M2270-J2270</f>
        <v>4.6346876080036202E-2</v>
      </c>
      <c r="O2270">
        <v>2.13</v>
      </c>
      <c r="P2270" t="s">
        <v>15</v>
      </c>
      <c r="Q2270">
        <v>0.04</v>
      </c>
      <c r="R2270">
        <v>-1.17963546067475E-2</v>
      </c>
      <c r="S2270">
        <v>1.7714449670165801E-2</v>
      </c>
      <c r="T2270">
        <v>0.01</v>
      </c>
    </row>
    <row r="2271" spans="1:20" x14ac:dyDescent="0.3">
      <c r="A2271" t="s">
        <v>158</v>
      </c>
      <c r="B2271">
        <v>2008</v>
      </c>
      <c r="C2271">
        <v>3370124</v>
      </c>
      <c r="D2271" s="1">
        <v>1.2999999999999999E-2</v>
      </c>
      <c r="E2271" s="1">
        <v>0.93562626838684104</v>
      </c>
      <c r="F2271" s="1">
        <v>0.01</v>
      </c>
      <c r="G2271" s="1">
        <f t="shared" si="70"/>
        <v>1.5000000000000001E-2</v>
      </c>
      <c r="H2271" s="1" t="str">
        <f t="shared" si="71"/>
        <v/>
      </c>
      <c r="I2271" s="1">
        <v>-1.4E-2</v>
      </c>
      <c r="J2271" s="1">
        <f>+D2271-F2271+I2271*O2271</f>
        <v>-2.7099999999999999E-2</v>
      </c>
      <c r="K2271" s="1">
        <v>2.62036453932524E-2</v>
      </c>
      <c r="L2271" s="1">
        <f>+K2271-J2271</f>
        <v>5.33036453932524E-2</v>
      </c>
      <c r="M2271" s="1">
        <v>-1.17963546067475E-2</v>
      </c>
      <c r="N2271" s="1">
        <f>+M2271-J2271</f>
        <v>1.5303645393252499E-2</v>
      </c>
      <c r="O2271">
        <v>2.15</v>
      </c>
      <c r="P2271" t="s">
        <v>17</v>
      </c>
      <c r="Q2271">
        <v>0.02</v>
      </c>
      <c r="R2271">
        <v>-7.9571456372737895E-2</v>
      </c>
      <c r="S2271">
        <v>-5.3004754707217203E-2</v>
      </c>
      <c r="T2271">
        <v>0.01</v>
      </c>
    </row>
    <row r="2272" spans="1:20" x14ac:dyDescent="0.3">
      <c r="A2272" t="s">
        <v>158</v>
      </c>
      <c r="B2272">
        <v>2009</v>
      </c>
      <c r="C2272">
        <v>3423713</v>
      </c>
      <c r="D2272" s="1">
        <v>1.9E-2</v>
      </c>
      <c r="E2272" s="1">
        <v>0.92712789773940996</v>
      </c>
      <c r="F2272" s="1">
        <v>0.02</v>
      </c>
      <c r="G2272" s="1">
        <f t="shared" si="70"/>
        <v>3.5000000000000003E-2</v>
      </c>
      <c r="H2272" s="1" t="str">
        <f t="shared" si="71"/>
        <v/>
      </c>
      <c r="I2272" s="1">
        <v>-8.0000000000000002E-3</v>
      </c>
      <c r="J2272" s="1">
        <f>+D2272-F2272+I2272*O2272</f>
        <v>-1.8520000000000002E-2</v>
      </c>
      <c r="K2272" s="1">
        <v>-8.3571456372737898E-2</v>
      </c>
      <c r="L2272" s="1">
        <f>+K2272-J2272</f>
        <v>-6.5051456372737904E-2</v>
      </c>
      <c r="M2272" s="1">
        <v>-7.9571456372737895E-2</v>
      </c>
      <c r="N2272" s="1">
        <f>+M2272-J2272</f>
        <v>-6.1051456372737893E-2</v>
      </c>
      <c r="O2272">
        <v>2.19</v>
      </c>
      <c r="P2272" t="s">
        <v>17</v>
      </c>
      <c r="Q2272">
        <v>-0.05</v>
      </c>
      <c r="R2272">
        <v>1.01062886565924E-2</v>
      </c>
      <c r="S2272">
        <v>1.9566397415474002E-2</v>
      </c>
      <c r="T2272">
        <v>0</v>
      </c>
    </row>
    <row r="2273" spans="1:20" x14ac:dyDescent="0.3">
      <c r="A2273" t="s">
        <v>158</v>
      </c>
      <c r="B2273">
        <v>2010</v>
      </c>
      <c r="C2273">
        <v>3463686</v>
      </c>
      <c r="D2273" s="1">
        <v>1.2999999999999999E-2</v>
      </c>
      <c r="E2273" s="1">
        <v>0.93441075086593595</v>
      </c>
      <c r="F2273" s="1">
        <v>1E-3</v>
      </c>
      <c r="G2273" s="1">
        <f t="shared" si="70"/>
        <v>3.6000000000000004E-2</v>
      </c>
      <c r="H2273" s="1" t="str">
        <f t="shared" si="71"/>
        <v/>
      </c>
      <c r="I2273" s="1">
        <v>7.0000000000000001E-3</v>
      </c>
      <c r="J2273" s="1">
        <f>+D2273-F2273+I2273*O2273</f>
        <v>2.733E-2</v>
      </c>
      <c r="K2273" s="1">
        <v>2.61062886565924E-2</v>
      </c>
      <c r="L2273" s="1">
        <f>+K2273-J2273</f>
        <v>-1.2237113434075998E-3</v>
      </c>
      <c r="M2273" s="1">
        <v>1.01062886565924E-2</v>
      </c>
      <c r="N2273" s="1">
        <f>+M2273-J2273</f>
        <v>-1.72237113434076E-2</v>
      </c>
      <c r="O2273">
        <v>2.19</v>
      </c>
      <c r="P2273" t="s">
        <v>15</v>
      </c>
      <c r="Q2273">
        <v>0.02</v>
      </c>
      <c r="R2273">
        <v>-1.03663880079985E-2</v>
      </c>
      <c r="S2273">
        <v>1.09173865057527E-2</v>
      </c>
      <c r="T2273">
        <v>-0.01</v>
      </c>
    </row>
    <row r="2274" spans="1:20" x14ac:dyDescent="0.3">
      <c r="A2274" t="s">
        <v>158</v>
      </c>
      <c r="B2274">
        <v>2011</v>
      </c>
      <c r="C2274">
        <v>3519204</v>
      </c>
      <c r="D2274" s="1">
        <v>5.0000000000000001E-3</v>
      </c>
      <c r="E2274" s="1">
        <v>0.935205578804016</v>
      </c>
      <c r="F2274" s="1">
        <v>2.1000000000000001E-2</v>
      </c>
      <c r="G2274" s="1">
        <f t="shared" si="70"/>
        <v>5.7000000000000009E-2</v>
      </c>
      <c r="H2274" s="1" t="str">
        <f t="shared" si="71"/>
        <v/>
      </c>
      <c r="I2274" s="1">
        <v>1E-3</v>
      </c>
      <c r="J2274" s="1">
        <f>+D2274-F2274+I2274*O2274</f>
        <v>-1.376E-2</v>
      </c>
      <c r="K2274" s="1">
        <v>2.1633611992001499E-2</v>
      </c>
      <c r="L2274" s="1">
        <f>+K2274-J2274</f>
        <v>3.53936119920015E-2</v>
      </c>
      <c r="M2274" s="1">
        <v>-1.03663880079985E-2</v>
      </c>
      <c r="N2274" s="1">
        <f>+M2274-J2274</f>
        <v>3.3936119920014995E-3</v>
      </c>
      <c r="O2274">
        <v>2.2400000000000002</v>
      </c>
      <c r="P2274" t="s">
        <v>15</v>
      </c>
      <c r="Q2274">
        <v>0.01</v>
      </c>
      <c r="R2274">
        <v>7.5653676837682902E-3</v>
      </c>
      <c r="S2274">
        <v>1.3003573752939699E-2</v>
      </c>
      <c r="T2274">
        <v>0.02</v>
      </c>
    </row>
    <row r="2275" spans="1:20" x14ac:dyDescent="0.3">
      <c r="A2275" t="s">
        <v>158</v>
      </c>
      <c r="B2275">
        <v>2012</v>
      </c>
      <c r="C2275">
        <v>3575419</v>
      </c>
      <c r="D2275" s="1">
        <v>1.6E-2</v>
      </c>
      <c r="E2275" s="1">
        <v>0.93898940086364702</v>
      </c>
      <c r="F2275" s="1">
        <v>-8.9999999999999993E-3</v>
      </c>
      <c r="G2275" s="1">
        <f t="shared" si="70"/>
        <v>4.8000000000000008E-2</v>
      </c>
      <c r="H2275" s="1" t="str">
        <f t="shared" si="71"/>
        <v/>
      </c>
      <c r="I2275" s="1">
        <v>4.0000000000000001E-3</v>
      </c>
      <c r="J2275" s="1">
        <f>+D2275-F2275+I2275*O2275</f>
        <v>3.388E-2</v>
      </c>
      <c r="K2275" s="1">
        <v>2.85653676837683E-2</v>
      </c>
      <c r="L2275" s="1">
        <f>+K2275-J2275</f>
        <v>-5.3146323162317002E-3</v>
      </c>
      <c r="M2275" s="1">
        <v>7.5653676837682902E-3</v>
      </c>
      <c r="N2275" s="1">
        <f>+M2275-J2275</f>
        <v>-2.6314632316231712E-2</v>
      </c>
      <c r="O2275">
        <v>2.2200000000000002</v>
      </c>
      <c r="P2275" t="s">
        <v>17</v>
      </c>
      <c r="Q2275">
        <v>0.01</v>
      </c>
      <c r="R2275">
        <v>1.9203454852104201E-2</v>
      </c>
      <c r="S2275">
        <v>1.3076683506369599E-2</v>
      </c>
      <c r="T2275">
        <v>-0.01</v>
      </c>
    </row>
    <row r="2276" spans="1:20" x14ac:dyDescent="0.3">
      <c r="A2276" t="s">
        <v>158</v>
      </c>
      <c r="B2276">
        <v>2013</v>
      </c>
      <c r="C2276">
        <v>3631917</v>
      </c>
      <c r="D2276" s="1">
        <v>2.5000000000000001E-2</v>
      </c>
      <c r="E2276" s="1">
        <v>0.94386082887649503</v>
      </c>
      <c r="F2276" s="1">
        <v>3.3000000000000002E-2</v>
      </c>
      <c r="G2276" s="1">
        <f t="shared" si="70"/>
        <v>8.1000000000000016E-2</v>
      </c>
      <c r="H2276" s="1" t="str">
        <f t="shared" si="71"/>
        <v/>
      </c>
      <c r="I2276" s="1">
        <v>5.0000000000000001E-3</v>
      </c>
      <c r="J2276" s="1">
        <f>+D2276-F2276+I2276*O2276</f>
        <v>3.4499999999999999E-3</v>
      </c>
      <c r="K2276" s="1">
        <v>3.4203454852104201E-2</v>
      </c>
      <c r="L2276" s="1">
        <f>+K2276-J2276</f>
        <v>3.0753454852104199E-2</v>
      </c>
      <c r="M2276" s="1">
        <v>1.9203454852104201E-2</v>
      </c>
      <c r="N2276" s="1">
        <f>+M2276-J2276</f>
        <v>1.57534548521042E-2</v>
      </c>
      <c r="O2276">
        <v>2.29</v>
      </c>
      <c r="P2276" t="s">
        <v>15</v>
      </c>
      <c r="Q2276">
        <v>0.01</v>
      </c>
      <c r="R2276">
        <v>1.29264116436242E-2</v>
      </c>
      <c r="S2276">
        <v>1.09183881431817E-2</v>
      </c>
      <c r="T2276">
        <v>0.02</v>
      </c>
    </row>
    <row r="2277" spans="1:20" x14ac:dyDescent="0.3">
      <c r="A2277" t="s">
        <v>158</v>
      </c>
      <c r="B2277">
        <v>2014</v>
      </c>
      <c r="C2277">
        <v>3696714</v>
      </c>
      <c r="D2277" s="1">
        <v>3.7999999999999999E-2</v>
      </c>
      <c r="E2277" s="1">
        <v>0.93678915500640902</v>
      </c>
      <c r="F2277" s="1">
        <v>-2.4E-2</v>
      </c>
      <c r="G2277" s="1">
        <f t="shared" si="70"/>
        <v>5.7000000000000016E-2</v>
      </c>
      <c r="H2277" s="1" t="str">
        <f t="shared" si="71"/>
        <v/>
      </c>
      <c r="I2277" s="1">
        <v>-7.0000000000000001E-3</v>
      </c>
      <c r="J2277" s="1">
        <f>+D2277-F2277+I2277*O2277</f>
        <v>4.6390000000000001E-2</v>
      </c>
      <c r="K2277" s="1">
        <v>2.8926411643624299E-2</v>
      </c>
      <c r="L2277" s="1">
        <f>+K2277-J2277</f>
        <v>-1.7463588356375702E-2</v>
      </c>
      <c r="M2277" s="1">
        <v>1.29264116436242E-2</v>
      </c>
      <c r="N2277" s="1">
        <f>+M2277-J2277</f>
        <v>-3.3463588356375799E-2</v>
      </c>
      <c r="O2277">
        <v>2.23</v>
      </c>
      <c r="P2277" t="s">
        <v>16</v>
      </c>
      <c r="Q2277">
        <v>0.01</v>
      </c>
      <c r="R2277">
        <v>6.2517726957798003E-2</v>
      </c>
      <c r="S2277">
        <v>3.22542749345303E-2</v>
      </c>
      <c r="T2277">
        <v>-0.03</v>
      </c>
    </row>
    <row r="2278" spans="1:20" x14ac:dyDescent="0.3">
      <c r="A2278" t="s">
        <v>158</v>
      </c>
      <c r="B2278">
        <v>2015</v>
      </c>
      <c r="C2278">
        <v>3765469</v>
      </c>
      <c r="D2278" s="1">
        <v>3.7999999999999999E-2</v>
      </c>
      <c r="E2278" s="1">
        <v>0.93954551219940197</v>
      </c>
      <c r="F2278" s="1">
        <v>2.1999999999999999E-2</v>
      </c>
      <c r="G2278" s="1">
        <f t="shared" si="70"/>
        <v>7.9000000000000015E-2</v>
      </c>
      <c r="H2278" s="1" t="str">
        <f t="shared" si="71"/>
        <v/>
      </c>
      <c r="I2278" s="1">
        <v>3.0000000000000001E-3</v>
      </c>
      <c r="J2278" s="1">
        <f>+D2278-F2278+I2278*O2278</f>
        <v>2.2839999999999999E-2</v>
      </c>
      <c r="K2278" s="1">
        <v>6.3517726957798004E-2</v>
      </c>
      <c r="L2278" s="1">
        <f>+K2278-J2278</f>
        <v>4.0677726957798005E-2</v>
      </c>
      <c r="M2278" s="1">
        <v>6.2517726957798003E-2</v>
      </c>
      <c r="N2278" s="1">
        <f>+M2278-J2278</f>
        <v>3.9677726957798004E-2</v>
      </c>
      <c r="O2278">
        <v>2.2799999999999998</v>
      </c>
      <c r="P2278" t="s">
        <v>15</v>
      </c>
      <c r="Q2278">
        <v>0.03</v>
      </c>
      <c r="R2278">
        <v>3.0733868747949599E-2</v>
      </c>
      <c r="S2278">
        <v>1.7580311745405201E-2</v>
      </c>
      <c r="T2278">
        <v>0.03</v>
      </c>
    </row>
    <row r="2279" spans="1:20" x14ac:dyDescent="0.3">
      <c r="A2279" t="s">
        <v>158</v>
      </c>
      <c r="B2279">
        <v>2016</v>
      </c>
      <c r="C2279">
        <v>3842287</v>
      </c>
      <c r="D2279" s="1">
        <v>3.4000000000000002E-2</v>
      </c>
      <c r="E2279" s="1">
        <v>0.94176477193832397</v>
      </c>
      <c r="F2279" s="1">
        <v>-0.01</v>
      </c>
      <c r="G2279" s="1">
        <f t="shared" si="70"/>
        <v>6.900000000000002E-2</v>
      </c>
      <c r="H2279" s="1" t="str">
        <f t="shared" si="71"/>
        <v/>
      </c>
      <c r="I2279" s="1">
        <v>2E-3</v>
      </c>
      <c r="J2279" s="1">
        <f>+D2279-F2279+I2279*O2279</f>
        <v>4.8520000000000008E-2</v>
      </c>
      <c r="K2279" s="1">
        <v>4.37338687479496E-2</v>
      </c>
      <c r="L2279" s="1">
        <f>+K2279-J2279</f>
        <v>-4.7861312520504073E-3</v>
      </c>
      <c r="M2279" s="1">
        <v>3.0733868747949599E-2</v>
      </c>
      <c r="N2279" s="1">
        <f>+M2279-J2279</f>
        <v>-1.7786131252050408E-2</v>
      </c>
      <c r="O2279">
        <v>2.2599999999999998</v>
      </c>
      <c r="P2279" t="s">
        <v>17</v>
      </c>
      <c r="Q2279">
        <v>0.02</v>
      </c>
      <c r="R2279">
        <v>5.20599791407589E-3</v>
      </c>
      <c r="S2279">
        <v>2.4164244532585998E-3</v>
      </c>
      <c r="T2279">
        <v>-0.01</v>
      </c>
    </row>
    <row r="2280" spans="1:20" x14ac:dyDescent="0.3">
      <c r="A2280" t="s">
        <v>158</v>
      </c>
      <c r="B2280">
        <v>2017</v>
      </c>
      <c r="C2280">
        <v>3906911</v>
      </c>
      <c r="D2280" s="1">
        <v>3.1E-2</v>
      </c>
      <c r="E2280" s="1">
        <v>0.93624937534332298</v>
      </c>
      <c r="F2280" s="1">
        <v>-6.0000000000000001E-3</v>
      </c>
      <c r="G2280" s="1">
        <f t="shared" si="70"/>
        <v>6.3000000000000014E-2</v>
      </c>
      <c r="H2280" s="1" t="str">
        <f t="shared" si="71"/>
        <v/>
      </c>
      <c r="I2280" s="1">
        <v>-6.0000000000000001E-3</v>
      </c>
      <c r="J2280" s="1">
        <f>+D2280-F2280+I2280*O2280</f>
        <v>2.35E-2</v>
      </c>
      <c r="K2280" s="1">
        <v>2.62059979140759E-2</v>
      </c>
      <c r="L2280" s="1">
        <f>+K2280-J2280</f>
        <v>2.7059979140759E-3</v>
      </c>
      <c r="M2280" s="1">
        <v>5.20599791407589E-3</v>
      </c>
      <c r="N2280" s="1">
        <f>+M2280-J2280</f>
        <v>-1.8294002085924112E-2</v>
      </c>
      <c r="O2280">
        <v>2.25</v>
      </c>
      <c r="P2280" t="s">
        <v>16</v>
      </c>
      <c r="Q2280">
        <v>0</v>
      </c>
      <c r="R2280">
        <v>8.2188511490821903E-3</v>
      </c>
      <c r="S2280">
        <v>-9.16171818971599E-4</v>
      </c>
      <c r="T2280">
        <v>0</v>
      </c>
    </row>
    <row r="2281" spans="1:20" x14ac:dyDescent="0.3">
      <c r="A2281" t="s">
        <v>158</v>
      </c>
      <c r="B2281">
        <v>2018</v>
      </c>
      <c r="C2281">
        <v>3954196</v>
      </c>
      <c r="D2281" s="1">
        <v>3.3000000000000002E-2</v>
      </c>
      <c r="E2281" s="1">
        <v>0.93571639060974099</v>
      </c>
      <c r="F2281" s="1">
        <v>1.2999999999999999E-2</v>
      </c>
      <c r="G2281" s="1">
        <f t="shared" si="70"/>
        <v>7.6000000000000012E-2</v>
      </c>
      <c r="H2281" s="1" t="str">
        <f t="shared" si="71"/>
        <v/>
      </c>
      <c r="I2281" s="1">
        <v>-1E-3</v>
      </c>
      <c r="J2281" s="1">
        <f>+D2281-F2281+I2281*O2281</f>
        <v>1.7720000000000003E-2</v>
      </c>
      <c r="K2281" s="1">
        <v>3.2218851149082198E-2</v>
      </c>
      <c r="L2281" s="1">
        <f>+K2281-J2281</f>
        <v>1.4498851149082195E-2</v>
      </c>
      <c r="M2281" s="1">
        <v>8.2188511490821903E-3</v>
      </c>
      <c r="N2281" s="1">
        <f>+M2281-J2281</f>
        <v>-9.5011488509178128E-3</v>
      </c>
      <c r="O2281">
        <v>2.2799999999999998</v>
      </c>
      <c r="P2281" t="s">
        <v>17</v>
      </c>
      <c r="Q2281">
        <v>0</v>
      </c>
      <c r="R2281">
        <v>2.97545671164989E-2</v>
      </c>
      <c r="S2281">
        <v>1.19533725082873E-2</v>
      </c>
      <c r="T2281">
        <v>0.02</v>
      </c>
    </row>
    <row r="2282" spans="1:20" x14ac:dyDescent="0.3">
      <c r="A2282" t="s">
        <v>158</v>
      </c>
      <c r="B2282">
        <v>2019</v>
      </c>
      <c r="C2282">
        <v>3996570</v>
      </c>
      <c r="D2282" s="1">
        <v>3.5999999999999997E-2</v>
      </c>
      <c r="E2282" s="1">
        <v>0.93953669071197499</v>
      </c>
      <c r="F2282" s="1">
        <v>-2.9000000000000001E-2</v>
      </c>
      <c r="G2282" s="1">
        <f t="shared" si="70"/>
        <v>4.7000000000000014E-2</v>
      </c>
      <c r="H2282" s="1" t="str">
        <f t="shared" si="71"/>
        <v/>
      </c>
      <c r="I2282" s="1">
        <v>4.0000000000000001E-3</v>
      </c>
      <c r="J2282" s="1">
        <f>+D2282-F2282+I2282*O2282</f>
        <v>7.3840000000000003E-2</v>
      </c>
      <c r="K2282" s="1">
        <v>4.7754567116498899E-2</v>
      </c>
      <c r="L2282" s="1">
        <f>+K2282-J2282</f>
        <v>-2.6085432883501104E-2</v>
      </c>
      <c r="M2282" s="1">
        <v>2.97545671164989E-2</v>
      </c>
      <c r="N2282" s="1">
        <f>+M2282-J2282</f>
        <v>-4.4085432883501099E-2</v>
      </c>
      <c r="O2282">
        <v>2.21</v>
      </c>
      <c r="P2282" t="s">
        <v>17</v>
      </c>
      <c r="Q2282">
        <v>0.01</v>
      </c>
      <c r="R2282">
        <v>-3.2613824948668498E-2</v>
      </c>
      <c r="S2282">
        <v>-5.1463015377521501E-2</v>
      </c>
      <c r="T2282">
        <v>-0.02</v>
      </c>
    </row>
    <row r="2283" spans="1:20" x14ac:dyDescent="0.3">
      <c r="A2283" t="s">
        <v>158</v>
      </c>
      <c r="B2283">
        <v>2020</v>
      </c>
      <c r="C2283">
        <v>4025161</v>
      </c>
      <c r="D2283" s="1">
        <v>2.3E-2</v>
      </c>
      <c r="E2283" s="1">
        <v>0.92797535657882702</v>
      </c>
      <c r="F2283" s="1">
        <v>-1.7000000000000001E-2</v>
      </c>
      <c r="G2283" s="1">
        <f t="shared" si="70"/>
        <v>3.0000000000000013E-2</v>
      </c>
      <c r="H2283" s="1" t="str">
        <f t="shared" si="71"/>
        <v/>
      </c>
      <c r="I2283" s="1">
        <v>-1.2E-2</v>
      </c>
      <c r="J2283" s="1">
        <f>+D2283-F2283+I2283*O2283</f>
        <v>1.396E-2</v>
      </c>
      <c r="K2283" s="1">
        <v>-2.0613824948668501E-2</v>
      </c>
      <c r="L2283" s="1">
        <f>+K2283-J2283</f>
        <v>-3.4573824948668501E-2</v>
      </c>
      <c r="M2283" s="1">
        <v>-3.2613824948668498E-2</v>
      </c>
      <c r="N2283" s="1">
        <f>+M2283-J2283</f>
        <v>-4.6573824948668498E-2</v>
      </c>
      <c r="O2283">
        <v>2.17</v>
      </c>
      <c r="P2283" t="s">
        <v>16</v>
      </c>
      <c r="Q2283">
        <v>-0.05</v>
      </c>
      <c r="R2283">
        <v>5.3791238248348E-2</v>
      </c>
      <c r="S2283">
        <v>1.0201625525951E-2</v>
      </c>
      <c r="T2283">
        <v>0.02</v>
      </c>
    </row>
    <row r="2284" spans="1:20" x14ac:dyDescent="0.3">
      <c r="A2284" t="s">
        <v>158</v>
      </c>
      <c r="B2284">
        <v>2021</v>
      </c>
      <c r="C2284">
        <v>4022038</v>
      </c>
      <c r="D2284" s="1">
        <v>3.1E-2</v>
      </c>
      <c r="E2284" s="1">
        <v>0.94576162099838301</v>
      </c>
      <c r="F2284" s="1">
        <v>0</v>
      </c>
      <c r="G2284" s="1">
        <f t="shared" si="70"/>
        <v>3.0000000000000013E-2</v>
      </c>
      <c r="H2284" s="1" t="str">
        <f t="shared" si="71"/>
        <v/>
      </c>
      <c r="I2284" s="1">
        <v>1.7999999999999999E-2</v>
      </c>
      <c r="J2284" s="1">
        <f>+D2284-F2284+I2284*O2284</f>
        <v>7.0059999999999997E-2</v>
      </c>
      <c r="K2284" s="1">
        <v>0.100791238248348</v>
      </c>
      <c r="L2284" s="1">
        <f>+K2284-J2284</f>
        <v>3.0731238248348003E-2</v>
      </c>
      <c r="M2284" s="1">
        <v>5.3791238248348E-2</v>
      </c>
      <c r="N2284" s="1">
        <f>+M2284-J2284</f>
        <v>-1.6268761751651997E-2</v>
      </c>
      <c r="O2284">
        <v>2.17</v>
      </c>
      <c r="P2284" t="s">
        <v>17</v>
      </c>
      <c r="Q2284">
        <v>0.01</v>
      </c>
      <c r="R2284">
        <v>-5.4269853904843297E-2</v>
      </c>
      <c r="S2284">
        <v>-2.2166347131133E-2</v>
      </c>
      <c r="T2284">
        <v>-0.03</v>
      </c>
    </row>
    <row r="2285" spans="1:20" x14ac:dyDescent="0.3">
      <c r="A2285" t="s">
        <v>158</v>
      </c>
      <c r="B2285">
        <v>2022</v>
      </c>
      <c r="C2285">
        <v>4049034</v>
      </c>
      <c r="D2285" s="1">
        <v>3.1E-2</v>
      </c>
      <c r="E2285" s="1">
        <v>0.93437194824218806</v>
      </c>
      <c r="F2285" s="1">
        <v>-2.4E-2</v>
      </c>
      <c r="G2285" s="1">
        <f t="shared" si="70"/>
        <v>6.0000000000000123E-3</v>
      </c>
      <c r="H2285" s="1" t="str">
        <f t="shared" si="71"/>
        <v/>
      </c>
      <c r="I2285" s="1">
        <v>-1.0999999999999999E-2</v>
      </c>
      <c r="J2285" s="1">
        <f>+D2285-F2285+I2285*O2285</f>
        <v>3.168E-2</v>
      </c>
      <c r="K2285" s="1">
        <v>2.5730146095156701E-2</v>
      </c>
      <c r="L2285" s="1">
        <f>+K2285-J2285</f>
        <v>-5.949853904843299E-3</v>
      </c>
      <c r="M2285" s="1">
        <v>-5.4269853904843297E-2</v>
      </c>
      <c r="N2285" s="1">
        <f>+M2285-J2285</f>
        <v>-8.5949853904843304E-2</v>
      </c>
      <c r="O2285">
        <v>2.12</v>
      </c>
      <c r="P2285" t="s">
        <v>16</v>
      </c>
      <c r="Q2285">
        <v>-0.02</v>
      </c>
      <c r="R2285">
        <v>-2.8300872802734401E-2</v>
      </c>
      <c r="S2285">
        <v>-8.7419450283050901E-3</v>
      </c>
      <c r="T2285">
        <v>-0.01</v>
      </c>
    </row>
    <row r="2286" spans="1:20" x14ac:dyDescent="0.3">
      <c r="A2286" t="s">
        <v>159</v>
      </c>
      <c r="B2286">
        <v>2006</v>
      </c>
      <c r="C2286">
        <v>430988.71879999997</v>
      </c>
      <c r="D2286" s="1">
        <v>2.8000000000000001E-2</v>
      </c>
      <c r="E2286" s="1">
        <v>0.92538404464721702</v>
      </c>
      <c r="F2286" s="1">
        <v>-7.8E-2</v>
      </c>
      <c r="G2286" s="1">
        <f t="shared" si="70"/>
        <v>-7.8E-2</v>
      </c>
      <c r="H2286" s="1" t="str">
        <f t="shared" si="71"/>
        <v/>
      </c>
      <c r="I2286" s="1">
        <v>-1.2E-2</v>
      </c>
      <c r="J2286" s="1">
        <f>+D2286-F2286+I2286*O2286</f>
        <v>7.8640000000000002E-2</v>
      </c>
      <c r="K2286" s="1">
        <v>6.1207000166177701E-2</v>
      </c>
      <c r="L2286" s="1">
        <f>+K2286-J2286</f>
        <v>-1.7432999833822301E-2</v>
      </c>
      <c r="M2286" s="1">
        <v>2.92070001661777E-2</v>
      </c>
      <c r="N2286" s="1">
        <f>+M2286-J2286</f>
        <v>-4.9432999833822301E-2</v>
      </c>
      <c r="O2286">
        <v>2.2799999999999998</v>
      </c>
      <c r="P2286" t="s">
        <v>16</v>
      </c>
      <c r="Q2286">
        <v>0.02</v>
      </c>
      <c r="R2286">
        <v>-1.9795288294554001E-3</v>
      </c>
      <c r="S2286">
        <v>-1.0577728971839001E-3</v>
      </c>
      <c r="T2286">
        <v>-0.08</v>
      </c>
    </row>
    <row r="2287" spans="1:20" x14ac:dyDescent="0.3">
      <c r="A2287" t="s">
        <v>159</v>
      </c>
      <c r="B2287">
        <v>2007</v>
      </c>
      <c r="C2287">
        <v>432020.90629999997</v>
      </c>
      <c r="D2287" s="1">
        <v>1.7999999999999999E-2</v>
      </c>
      <c r="E2287" s="1">
        <v>0.90903627872466997</v>
      </c>
      <c r="F2287" s="1">
        <v>8.4000000000000005E-2</v>
      </c>
      <c r="G2287" s="1">
        <f t="shared" si="70"/>
        <v>6.0000000000000053E-3</v>
      </c>
      <c r="H2287" s="1" t="str">
        <f t="shared" si="71"/>
        <v/>
      </c>
      <c r="I2287" s="1">
        <v>-1.6E-2</v>
      </c>
      <c r="J2287" s="1">
        <f>+D2287-F2287+I2287*O2287</f>
        <v>-0.10552</v>
      </c>
      <c r="K2287" s="1">
        <v>2.70204711705446E-2</v>
      </c>
      <c r="L2287" s="1">
        <f>+K2287-J2287</f>
        <v>0.1325404711705446</v>
      </c>
      <c r="M2287" s="1">
        <v>-1.9795288294554001E-3</v>
      </c>
      <c r="N2287" s="1">
        <f>+M2287-J2287</f>
        <v>0.1035404711705446</v>
      </c>
      <c r="O2287">
        <v>2.4700000000000002</v>
      </c>
      <c r="P2287" t="s">
        <v>17</v>
      </c>
      <c r="Q2287">
        <v>0</v>
      </c>
      <c r="R2287">
        <v>-5.1798431493341901E-2</v>
      </c>
      <c r="S2287">
        <v>-2.22876272164284E-2</v>
      </c>
      <c r="T2287">
        <v>0.08</v>
      </c>
    </row>
    <row r="2288" spans="1:20" x14ac:dyDescent="0.3">
      <c r="A2288" t="s">
        <v>159</v>
      </c>
      <c r="B2288">
        <v>2008</v>
      </c>
      <c r="C2288">
        <v>434217.71879999997</v>
      </c>
      <c r="D2288" s="1">
        <v>4.0000000000000001E-3</v>
      </c>
      <c r="E2288" s="1">
        <v>0.90287524461746205</v>
      </c>
      <c r="F2288" s="1">
        <v>-8.1000000000000003E-2</v>
      </c>
      <c r="G2288" s="1">
        <f t="shared" si="70"/>
        <v>-7.4999999999999997E-2</v>
      </c>
      <c r="H2288" s="1" t="str">
        <f t="shared" si="71"/>
        <v/>
      </c>
      <c r="I2288" s="1">
        <v>-6.0000000000000001E-3</v>
      </c>
      <c r="J2288" s="1">
        <f>+D2288-F2288+I2288*O2288</f>
        <v>7.1379999999999999E-2</v>
      </c>
      <c r="K2288" s="1">
        <v>-1.37984314933419E-2</v>
      </c>
      <c r="L2288" s="1">
        <f>+K2288-J2288</f>
        <v>-8.5178431493341894E-2</v>
      </c>
      <c r="M2288" s="1">
        <v>-5.1798431493341901E-2</v>
      </c>
      <c r="N2288" s="1">
        <f>+M2288-J2288</f>
        <v>-0.1231784314933419</v>
      </c>
      <c r="O2288">
        <v>2.27</v>
      </c>
      <c r="P2288" t="s">
        <v>16</v>
      </c>
      <c r="Q2288">
        <v>-0.02</v>
      </c>
      <c r="R2288">
        <v>-2.79005139172076E-2</v>
      </c>
      <c r="S2288">
        <v>-1.3338122516870401E-3</v>
      </c>
      <c r="T2288">
        <v>-0.08</v>
      </c>
    </row>
    <row r="2289" spans="1:20" x14ac:dyDescent="0.3">
      <c r="A2289" t="s">
        <v>159</v>
      </c>
      <c r="B2289">
        <v>2009</v>
      </c>
      <c r="C2289">
        <v>437294.71879999997</v>
      </c>
      <c r="D2289" s="1">
        <v>3.3000000000000002E-2</v>
      </c>
      <c r="E2289" s="1">
        <v>0.90930372476577803</v>
      </c>
      <c r="F2289" s="1">
        <v>-7.3999999999999996E-2</v>
      </c>
      <c r="G2289" s="1">
        <f t="shared" si="70"/>
        <v>-0.14899999999999999</v>
      </c>
      <c r="H2289" s="1">
        <f t="shared" si="71"/>
        <v>9.1316353064030201E-3</v>
      </c>
      <c r="I2289" s="1">
        <v>6.0000000000000001E-3</v>
      </c>
      <c r="J2289" s="1">
        <f>+D2289-F2289+I2289*O2289</f>
        <v>0.1196</v>
      </c>
      <c r="K2289" s="1">
        <v>-3.1900513917207697E-2</v>
      </c>
      <c r="L2289" s="1">
        <f>+K2289-J2289</f>
        <v>-0.1515005139172077</v>
      </c>
      <c r="M2289" s="1">
        <v>-2.79005139172076E-2</v>
      </c>
      <c r="N2289" s="1">
        <f>+M2289-J2289</f>
        <v>-0.14750051391720759</v>
      </c>
      <c r="O2289">
        <v>2.1</v>
      </c>
      <c r="P2289" t="s">
        <v>17</v>
      </c>
      <c r="Q2289">
        <v>0</v>
      </c>
      <c r="R2289">
        <v>-8.3153356648981592E-3</v>
      </c>
      <c r="S2289">
        <v>1.1447730939835199E-3</v>
      </c>
      <c r="T2289">
        <v>-0.09</v>
      </c>
    </row>
    <row r="2290" spans="1:20" x14ac:dyDescent="0.3">
      <c r="A2290" t="s">
        <v>159</v>
      </c>
      <c r="B2290">
        <v>2010</v>
      </c>
      <c r="C2290">
        <v>442143</v>
      </c>
      <c r="D2290" s="1">
        <v>0</v>
      </c>
      <c r="E2290" s="1">
        <v>0.92001223564147905</v>
      </c>
      <c r="F2290" s="1">
        <v>0.11899999999999999</v>
      </c>
      <c r="G2290" s="1">
        <f t="shared" si="70"/>
        <v>-0.03</v>
      </c>
      <c r="H2290" s="1" t="str">
        <f t="shared" si="71"/>
        <v/>
      </c>
      <c r="I2290" s="1">
        <v>1.0999999999999999E-2</v>
      </c>
      <c r="J2290" s="1">
        <f>+D2290-F2290+I2290*O2290</f>
        <v>-9.3149999999999997E-2</v>
      </c>
      <c r="K2290" s="1">
        <v>7.6846643351018403E-3</v>
      </c>
      <c r="L2290" s="1">
        <f>+K2290-J2290</f>
        <v>0.10083466433510184</v>
      </c>
      <c r="M2290" s="1">
        <v>-8.3153356648981592E-3</v>
      </c>
      <c r="N2290" s="1">
        <f>+M2290-J2290</f>
        <v>8.4834664335101839E-2</v>
      </c>
      <c r="O2290">
        <v>2.35</v>
      </c>
      <c r="P2290" t="s">
        <v>15</v>
      </c>
      <c r="Q2290">
        <v>0</v>
      </c>
      <c r="R2290">
        <v>-2.14213937222958E-2</v>
      </c>
      <c r="S2290">
        <v>-1.3761920854449901E-4</v>
      </c>
      <c r="T2290">
        <v>0.11</v>
      </c>
    </row>
    <row r="2291" spans="1:20" x14ac:dyDescent="0.3">
      <c r="A2291" t="s">
        <v>159</v>
      </c>
      <c r="B2291">
        <v>2011</v>
      </c>
      <c r="C2291">
        <v>445844.09379999997</v>
      </c>
      <c r="D2291" s="1">
        <v>0</v>
      </c>
      <c r="E2291" s="1">
        <v>0.91883939504623402</v>
      </c>
      <c r="F2291" s="1">
        <v>-4.7E-2</v>
      </c>
      <c r="G2291" s="1">
        <f t="shared" si="70"/>
        <v>-7.6999999999999999E-2</v>
      </c>
      <c r="H2291" s="1" t="str">
        <f t="shared" si="71"/>
        <v/>
      </c>
      <c r="I2291" s="1">
        <v>-1E-3</v>
      </c>
      <c r="J2291" s="1">
        <f>+D2291-F2291+I2291*O2291</f>
        <v>4.4760000000000001E-2</v>
      </c>
      <c r="K2291" s="1">
        <v>1.0578606277704201E-2</v>
      </c>
      <c r="L2291" s="1">
        <f>+K2291-J2291</f>
        <v>-3.4181393722295797E-2</v>
      </c>
      <c r="M2291" s="1">
        <v>-2.14213937222958E-2</v>
      </c>
      <c r="N2291" s="1">
        <f>+M2291-J2291</f>
        <v>-6.6181393722295798E-2</v>
      </c>
      <c r="O2291">
        <v>2.2400000000000002</v>
      </c>
      <c r="P2291" t="s">
        <v>16</v>
      </c>
      <c r="Q2291">
        <v>0</v>
      </c>
      <c r="R2291">
        <v>-1.25652135387063E-2</v>
      </c>
      <c r="S2291">
        <v>-7.1270074695349E-3</v>
      </c>
      <c r="T2291">
        <v>-0.05</v>
      </c>
    </row>
    <row r="2292" spans="1:20" x14ac:dyDescent="0.3">
      <c r="A2292" t="s">
        <v>159</v>
      </c>
      <c r="B2292">
        <v>2012</v>
      </c>
      <c r="C2292">
        <v>447894.40629999997</v>
      </c>
      <c r="D2292" s="1">
        <v>0</v>
      </c>
      <c r="E2292" s="1">
        <v>0.91057544946670499</v>
      </c>
      <c r="F2292" s="1">
        <v>5.0000000000000001E-3</v>
      </c>
      <c r="G2292" s="1">
        <f t="shared" si="70"/>
        <v>-7.1999999999999995E-2</v>
      </c>
      <c r="H2292" s="1" t="str">
        <f t="shared" si="71"/>
        <v/>
      </c>
      <c r="I2292" s="1">
        <v>-8.0000000000000002E-3</v>
      </c>
      <c r="J2292" s="1">
        <f>+D2292-F2292+I2292*O2292</f>
        <v>-2.3000000000000003E-2</v>
      </c>
      <c r="K2292" s="1">
        <v>8.4347864612937008E-3</v>
      </c>
      <c r="L2292" s="1">
        <f>+K2292-J2292</f>
        <v>3.1434786461293704E-2</v>
      </c>
      <c r="M2292" s="1">
        <v>-1.25652135387063E-2</v>
      </c>
      <c r="N2292" s="1">
        <f>+M2292-J2292</f>
        <v>1.0434786461293703E-2</v>
      </c>
      <c r="O2292">
        <v>2.25</v>
      </c>
      <c r="P2292" t="s">
        <v>17</v>
      </c>
      <c r="Q2292">
        <v>-0.01</v>
      </c>
      <c r="R2292">
        <v>-4.1324865072969898E-4</v>
      </c>
      <c r="S2292">
        <v>-6.5400199964642898E-3</v>
      </c>
      <c r="T2292">
        <v>0</v>
      </c>
    </row>
    <row r="2293" spans="1:20" x14ac:dyDescent="0.3">
      <c r="A2293" t="s">
        <v>159</v>
      </c>
      <c r="B2293">
        <v>2013</v>
      </c>
      <c r="C2293">
        <v>446147.71879999997</v>
      </c>
      <c r="D2293" s="1">
        <v>2.1000000000000001E-2</v>
      </c>
      <c r="E2293" s="1">
        <v>0.90498006343841597</v>
      </c>
      <c r="F2293" s="1">
        <v>2.5999999999999999E-2</v>
      </c>
      <c r="G2293" s="1">
        <f t="shared" si="70"/>
        <v>-4.5999999999999999E-2</v>
      </c>
      <c r="H2293" s="1" t="str">
        <f t="shared" si="71"/>
        <v/>
      </c>
      <c r="I2293" s="1">
        <v>-6.0000000000000001E-3</v>
      </c>
      <c r="J2293" s="1">
        <f>+D2293-F2293+I2293*O2293</f>
        <v>-1.8859999999999998E-2</v>
      </c>
      <c r="K2293" s="1">
        <v>1.45867513492703E-2</v>
      </c>
      <c r="L2293" s="1">
        <f>+K2293-J2293</f>
        <v>3.3446751349270297E-2</v>
      </c>
      <c r="M2293" s="1">
        <v>-4.1324865072969898E-4</v>
      </c>
      <c r="N2293" s="1">
        <f>+M2293-J2293</f>
        <v>1.8446751349270301E-2</v>
      </c>
      <c r="O2293">
        <v>2.31</v>
      </c>
      <c r="P2293" t="s">
        <v>17</v>
      </c>
      <c r="Q2293">
        <v>-0.01</v>
      </c>
      <c r="R2293">
        <v>-1.1576614513993199E-2</v>
      </c>
      <c r="S2293">
        <v>-1.35846380144357E-2</v>
      </c>
      <c r="T2293">
        <v>0.02</v>
      </c>
    </row>
    <row r="2294" spans="1:20" x14ac:dyDescent="0.3">
      <c r="A2294" t="s">
        <v>159</v>
      </c>
      <c r="B2294">
        <v>2014</v>
      </c>
      <c r="C2294">
        <v>444382.59379999997</v>
      </c>
      <c r="D2294" s="1">
        <v>0.01</v>
      </c>
      <c r="E2294" s="1">
        <v>0.90604323148727395</v>
      </c>
      <c r="F2294" s="1">
        <v>3.9E-2</v>
      </c>
      <c r="G2294" s="1">
        <f t="shared" si="70"/>
        <v>-6.9999999999999993E-3</v>
      </c>
      <c r="H2294" s="1" t="str">
        <f t="shared" si="71"/>
        <v/>
      </c>
      <c r="I2294" s="1">
        <v>1E-3</v>
      </c>
      <c r="J2294" s="1">
        <f>+D2294-F2294+I2294*O2294</f>
        <v>-2.6599999999999999E-2</v>
      </c>
      <c r="K2294" s="1">
        <v>4.4233854860067402E-3</v>
      </c>
      <c r="L2294" s="1">
        <f>+K2294-J2294</f>
        <v>3.1023385486006739E-2</v>
      </c>
      <c r="M2294" s="1">
        <v>-1.1576614513993199E-2</v>
      </c>
      <c r="N2294" s="1">
        <f>+M2294-J2294</f>
        <v>1.5023385486006799E-2</v>
      </c>
      <c r="O2294">
        <v>2.4</v>
      </c>
      <c r="P2294" t="s">
        <v>15</v>
      </c>
      <c r="Q2294">
        <v>-0.01</v>
      </c>
      <c r="R2294">
        <v>8.9439835175871805E-3</v>
      </c>
      <c r="S2294">
        <v>-2.1319468505680499E-2</v>
      </c>
      <c r="T2294">
        <v>0.03</v>
      </c>
    </row>
    <row r="2295" spans="1:20" x14ac:dyDescent="0.3">
      <c r="A2295" t="s">
        <v>159</v>
      </c>
      <c r="B2295">
        <v>2015</v>
      </c>
      <c r="C2295">
        <v>443112.90629999997</v>
      </c>
      <c r="D2295" s="1">
        <v>1.4E-2</v>
      </c>
      <c r="E2295" s="1">
        <v>0.90293586254119895</v>
      </c>
      <c r="F2295" s="1">
        <v>-2.1000000000000001E-2</v>
      </c>
      <c r="G2295" s="1">
        <f t="shared" si="70"/>
        <v>-2.8000000000000001E-2</v>
      </c>
      <c r="H2295" s="1" t="str">
        <f t="shared" si="71"/>
        <v/>
      </c>
      <c r="I2295" s="1">
        <v>-3.0000000000000001E-3</v>
      </c>
      <c r="J2295" s="1">
        <f>+D2295-F2295+I2295*O2295</f>
        <v>2.7950000000000003E-2</v>
      </c>
      <c r="K2295" s="1">
        <v>9.9439835175871797E-3</v>
      </c>
      <c r="L2295" s="1">
        <f>+K2295-J2295</f>
        <v>-1.8006016482412825E-2</v>
      </c>
      <c r="M2295" s="1">
        <v>8.9439835175871805E-3</v>
      </c>
      <c r="N2295" s="1">
        <f>+M2295-J2295</f>
        <v>-1.9006016482412822E-2</v>
      </c>
      <c r="O2295">
        <v>2.35</v>
      </c>
      <c r="P2295" t="s">
        <v>16</v>
      </c>
      <c r="Q2295">
        <v>-0.02</v>
      </c>
      <c r="R2295">
        <v>-5.1240275725722203E-3</v>
      </c>
      <c r="S2295">
        <v>-1.82775845751166E-2</v>
      </c>
      <c r="T2295">
        <v>-0.01</v>
      </c>
    </row>
    <row r="2296" spans="1:20" x14ac:dyDescent="0.3">
      <c r="A2296" t="s">
        <v>159</v>
      </c>
      <c r="B2296">
        <v>2016</v>
      </c>
      <c r="C2296">
        <v>440690.5</v>
      </c>
      <c r="D2296" s="1">
        <v>3.0000000000000001E-3</v>
      </c>
      <c r="E2296" s="1">
        <v>0.89193284511566195</v>
      </c>
      <c r="F2296" s="1">
        <v>-0.08</v>
      </c>
      <c r="G2296" s="1">
        <f t="shared" si="70"/>
        <v>-0.108</v>
      </c>
      <c r="H2296" s="1" t="str">
        <f t="shared" si="71"/>
        <v/>
      </c>
      <c r="I2296" s="1">
        <v>-1.0999999999999999E-2</v>
      </c>
      <c r="J2296" s="1">
        <f>+D2296-F2296+I2296*O2296</f>
        <v>5.9240000000000001E-2</v>
      </c>
      <c r="K2296" s="1">
        <v>7.8759724274277704E-3</v>
      </c>
      <c r="L2296" s="1">
        <f>+K2296-J2296</f>
        <v>-5.1364027572572232E-2</v>
      </c>
      <c r="M2296" s="1">
        <v>-5.1240275725722203E-3</v>
      </c>
      <c r="N2296" s="1">
        <f>+M2296-J2296</f>
        <v>-6.4364027572572216E-2</v>
      </c>
      <c r="O2296">
        <v>2.16</v>
      </c>
      <c r="P2296" t="s">
        <v>16</v>
      </c>
      <c r="Q2296">
        <v>-0.02</v>
      </c>
      <c r="R2296">
        <v>-3.0732083171605999E-3</v>
      </c>
      <c r="S2296">
        <v>-5.8627817779778896E-3</v>
      </c>
      <c r="T2296">
        <v>-0.08</v>
      </c>
    </row>
    <row r="2297" spans="1:20" x14ac:dyDescent="0.3">
      <c r="A2297" t="s">
        <v>159</v>
      </c>
      <c r="B2297">
        <v>2017</v>
      </c>
      <c r="C2297">
        <v>438111.59379999997</v>
      </c>
      <c r="D2297" s="1">
        <v>-1E-3</v>
      </c>
      <c r="E2297" s="1">
        <v>0.89362281560897805</v>
      </c>
      <c r="F2297" s="1">
        <v>3.2000000000000001E-2</v>
      </c>
      <c r="G2297" s="1">
        <f t="shared" si="70"/>
        <v>-7.5999999999999998E-2</v>
      </c>
      <c r="H2297" s="1" t="str">
        <f t="shared" si="71"/>
        <v/>
      </c>
      <c r="I2297" s="1">
        <v>2E-3</v>
      </c>
      <c r="J2297" s="1">
        <f>+D2297-F2297+I2297*O2297</f>
        <v>-2.8540000000000003E-2</v>
      </c>
      <c r="K2297" s="1">
        <v>1.7926791682839401E-2</v>
      </c>
      <c r="L2297" s="1">
        <f>+K2297-J2297</f>
        <v>4.6466791682839403E-2</v>
      </c>
      <c r="M2297" s="1">
        <v>-3.0732083171605999E-3</v>
      </c>
      <c r="N2297" s="1">
        <f>+M2297-J2297</f>
        <v>2.5466791682839402E-2</v>
      </c>
      <c r="O2297">
        <v>2.23</v>
      </c>
      <c r="P2297" t="s">
        <v>15</v>
      </c>
      <c r="Q2297">
        <v>-0.01</v>
      </c>
      <c r="R2297">
        <v>-1.3124195635319E-3</v>
      </c>
      <c r="S2297">
        <v>-1.04474425315856E-2</v>
      </c>
      <c r="T2297">
        <v>0.03</v>
      </c>
    </row>
    <row r="2298" spans="1:20" x14ac:dyDescent="0.3">
      <c r="A2298" t="s">
        <v>159</v>
      </c>
      <c r="B2298">
        <v>2018</v>
      </c>
      <c r="C2298">
        <v>434805.5</v>
      </c>
      <c r="D2298" s="1">
        <v>0</v>
      </c>
      <c r="E2298" s="1">
        <v>0.89039146900177002</v>
      </c>
      <c r="F2298" s="1">
        <v>-1.4999999999999999E-2</v>
      </c>
      <c r="G2298" s="1">
        <f t="shared" si="70"/>
        <v>-9.0999999999999998E-2</v>
      </c>
      <c r="H2298" s="1" t="str">
        <f t="shared" si="71"/>
        <v/>
      </c>
      <c r="I2298" s="1">
        <v>-3.0000000000000001E-3</v>
      </c>
      <c r="J2298" s="1">
        <f>+D2298-F2298+I2298*O2298</f>
        <v>8.3999999999999977E-3</v>
      </c>
      <c r="K2298" s="1">
        <v>2.26875804364681E-2</v>
      </c>
      <c r="L2298" s="1">
        <f>+K2298-J2298</f>
        <v>1.4287580436468102E-2</v>
      </c>
      <c r="M2298" s="1">
        <v>-1.3124195635319E-3</v>
      </c>
      <c r="N2298" s="1">
        <f>+M2298-J2298</f>
        <v>-9.7124195635318981E-3</v>
      </c>
      <c r="O2298">
        <v>2.2000000000000002</v>
      </c>
      <c r="P2298" t="s">
        <v>16</v>
      </c>
      <c r="Q2298">
        <v>-0.01</v>
      </c>
      <c r="R2298">
        <v>-5.2205178141589905E-4</v>
      </c>
      <c r="S2298">
        <v>-1.8323246389627401E-2</v>
      </c>
      <c r="T2298">
        <v>0</v>
      </c>
    </row>
    <row r="2299" spans="1:20" x14ac:dyDescent="0.3">
      <c r="A2299" t="s">
        <v>159</v>
      </c>
      <c r="B2299">
        <v>2019</v>
      </c>
      <c r="C2299">
        <v>431829.71879999997</v>
      </c>
      <c r="D2299" s="1">
        <v>3.0000000000000001E-3</v>
      </c>
      <c r="E2299" s="1">
        <v>0.88040810823440596</v>
      </c>
      <c r="F2299" s="1">
        <v>2.9000000000000001E-2</v>
      </c>
      <c r="G2299" s="1">
        <f t="shared" si="70"/>
        <v>-6.2E-2</v>
      </c>
      <c r="H2299" s="1" t="str">
        <f t="shared" si="71"/>
        <v/>
      </c>
      <c r="I2299" s="1">
        <v>-0.01</v>
      </c>
      <c r="J2299" s="1">
        <f>+D2299-F2299+I2299*O2299</f>
        <v>-4.8600000000000004E-2</v>
      </c>
      <c r="K2299" s="1">
        <v>1.7477948218584099E-2</v>
      </c>
      <c r="L2299" s="1">
        <f>+K2299-J2299</f>
        <v>6.6077948218584107E-2</v>
      </c>
      <c r="M2299" s="1">
        <v>-5.2205178141589905E-4</v>
      </c>
      <c r="N2299" s="1">
        <f>+M2299-J2299</f>
        <v>4.8077948218584105E-2</v>
      </c>
      <c r="O2299">
        <v>2.2599999999999998</v>
      </c>
      <c r="P2299" t="s">
        <v>17</v>
      </c>
      <c r="Q2299">
        <v>-0.02</v>
      </c>
      <c r="R2299">
        <v>3.6044767230749099E-2</v>
      </c>
      <c r="S2299">
        <v>1.7195576801896099E-2</v>
      </c>
      <c r="T2299">
        <v>0.04</v>
      </c>
    </row>
    <row r="2300" spans="1:20" x14ac:dyDescent="0.3">
      <c r="A2300" t="s">
        <v>159</v>
      </c>
      <c r="B2300">
        <v>2020</v>
      </c>
      <c r="C2300">
        <v>428277</v>
      </c>
      <c r="D2300" s="1">
        <v>0</v>
      </c>
      <c r="E2300" s="1">
        <v>0.90696525573730502</v>
      </c>
      <c r="F2300" s="1">
        <v>-7.1999999999999995E-2</v>
      </c>
      <c r="G2300" s="1">
        <f t="shared" si="70"/>
        <v>-0.13400000000000001</v>
      </c>
      <c r="H2300" s="1">
        <f t="shared" si="71"/>
        <v>6.0731086879968643E-2</v>
      </c>
      <c r="I2300" s="1">
        <v>2.7E-2</v>
      </c>
      <c r="J2300" s="1">
        <f>+D2300-F2300+I2300*O2300</f>
        <v>0.12869999999999998</v>
      </c>
      <c r="K2300" s="1">
        <v>4.8044767230749102E-2</v>
      </c>
      <c r="L2300" s="1">
        <f>+K2300-J2300</f>
        <v>-8.0655232769250879E-2</v>
      </c>
      <c r="M2300" s="1">
        <v>3.6044767230749099E-2</v>
      </c>
      <c r="N2300" s="1">
        <f>+M2300-J2300</f>
        <v>-9.2655232769250889E-2</v>
      </c>
      <c r="O2300">
        <v>2.1</v>
      </c>
      <c r="P2300" t="s">
        <v>17</v>
      </c>
      <c r="Q2300">
        <v>0.02</v>
      </c>
      <c r="R2300">
        <v>3.3935746431350597E-2</v>
      </c>
      <c r="S2300">
        <v>-9.6538662910462102E-3</v>
      </c>
      <c r="T2300">
        <v>-0.03</v>
      </c>
    </row>
    <row r="2301" spans="1:20" x14ac:dyDescent="0.3">
      <c r="A2301" t="s">
        <v>159</v>
      </c>
      <c r="B2301">
        <v>2021</v>
      </c>
      <c r="C2301">
        <v>423844.90629999997</v>
      </c>
      <c r="D2301" s="1">
        <v>-7.0000000000000001E-3</v>
      </c>
      <c r="E2301" s="1">
        <v>0.91404891014099099</v>
      </c>
      <c r="F2301" s="1">
        <v>4.9000000000000002E-2</v>
      </c>
      <c r="G2301" s="1">
        <f t="shared" si="70"/>
        <v>-8.5000000000000006E-2</v>
      </c>
      <c r="H2301" s="1" t="str">
        <f t="shared" si="71"/>
        <v/>
      </c>
      <c r="I2301" s="1">
        <v>7.0000000000000001E-3</v>
      </c>
      <c r="J2301" s="1">
        <f>+D2301-F2301+I2301*O2301</f>
        <v>-4.0599999999999997E-2</v>
      </c>
      <c r="K2301" s="1">
        <v>8.0935746431350694E-2</v>
      </c>
      <c r="L2301" s="1">
        <f>+K2301-J2301</f>
        <v>0.12153574643135069</v>
      </c>
      <c r="M2301" s="1">
        <v>3.3935746431350597E-2</v>
      </c>
      <c r="N2301" s="1">
        <f>+M2301-J2301</f>
        <v>7.4535746431350594E-2</v>
      </c>
      <c r="O2301">
        <v>2.2000000000000002</v>
      </c>
      <c r="P2301" t="s">
        <v>15</v>
      </c>
      <c r="Q2301">
        <v>-0.01</v>
      </c>
      <c r="R2301">
        <v>-3.9473572671413402E-2</v>
      </c>
      <c r="S2301">
        <v>-7.3700658977030997E-3</v>
      </c>
      <c r="T2301">
        <v>0.02</v>
      </c>
    </row>
    <row r="2302" spans="1:20" x14ac:dyDescent="0.3">
      <c r="A2302" t="s">
        <v>159</v>
      </c>
      <c r="B2302">
        <v>2022</v>
      </c>
      <c r="C2302">
        <v>420498.40629999997</v>
      </c>
      <c r="D2302" s="1">
        <v>1.2E-2</v>
      </c>
      <c r="E2302" s="1">
        <v>0.86465358734130904</v>
      </c>
      <c r="F2302" s="1">
        <v>-4.1000000000000002E-2</v>
      </c>
      <c r="G2302" s="1">
        <f t="shared" si="70"/>
        <v>-0.126</v>
      </c>
      <c r="H2302" s="1" t="str">
        <f t="shared" si="71"/>
        <v/>
      </c>
      <c r="I2302" s="1">
        <v>-4.9000000000000002E-2</v>
      </c>
      <c r="J2302" s="1">
        <f>+D2302-F2302+I2302*O2302</f>
        <v>-5.038999999999999E-2</v>
      </c>
      <c r="K2302" s="1">
        <v>4.0526427328586599E-2</v>
      </c>
      <c r="L2302" s="1">
        <f>+K2302-J2302</f>
        <v>9.0916427328586596E-2</v>
      </c>
      <c r="M2302" s="1">
        <v>-3.9473572671413402E-2</v>
      </c>
      <c r="N2302" s="1">
        <f>+M2302-J2302</f>
        <v>1.0916427328586588E-2</v>
      </c>
      <c r="O2302">
        <v>2.11</v>
      </c>
      <c r="P2302" t="s">
        <v>16</v>
      </c>
      <c r="Q2302">
        <v>-0.01</v>
      </c>
      <c r="R2302">
        <v>-1.3442023456096601E-2</v>
      </c>
      <c r="S2302">
        <v>6.1169043183326999E-3</v>
      </c>
      <c r="T2302">
        <v>-0.02</v>
      </c>
    </row>
    <row r="2303" spans="1:20" x14ac:dyDescent="0.3">
      <c r="A2303" t="s">
        <v>160</v>
      </c>
      <c r="B2303">
        <v>2006</v>
      </c>
      <c r="C2303">
        <v>504903.8125</v>
      </c>
      <c r="D2303" s="1">
        <v>2.9000000000000001E-2</v>
      </c>
      <c r="E2303" s="1">
        <v>0.94005113840103105</v>
      </c>
      <c r="F2303" s="1">
        <v>-1.2E-2</v>
      </c>
      <c r="G2303" s="1">
        <f t="shared" si="70"/>
        <v>-1.2E-2</v>
      </c>
      <c r="H2303" s="1" t="str">
        <f t="shared" si="71"/>
        <v/>
      </c>
      <c r="I2303" s="1">
        <v>2E-3</v>
      </c>
      <c r="J2303" s="1">
        <f>+D2303-F2303+I2303*O2303</f>
        <v>4.514E-2</v>
      </c>
      <c r="K2303" s="1">
        <v>6.0911312699317897E-2</v>
      </c>
      <c r="L2303" s="1">
        <f>+K2303-J2303</f>
        <v>1.5771312699317898E-2</v>
      </c>
      <c r="M2303" s="1">
        <v>2.89113126993178E-2</v>
      </c>
      <c r="N2303" s="1">
        <f>+M2303-J2303</f>
        <v>-1.62286873006822E-2</v>
      </c>
      <c r="O2303">
        <v>2.0699999999999998</v>
      </c>
      <c r="P2303" t="s">
        <v>17</v>
      </c>
      <c r="Q2303">
        <v>0.02</v>
      </c>
      <c r="R2303">
        <v>2.3756424993276602E-2</v>
      </c>
      <c r="S2303">
        <v>2.4678180925548101E-2</v>
      </c>
      <c r="T2303">
        <v>-0.01</v>
      </c>
    </row>
    <row r="2304" spans="1:20" x14ac:dyDescent="0.3">
      <c r="A2304" t="s">
        <v>160</v>
      </c>
      <c r="B2304">
        <v>2007</v>
      </c>
      <c r="C2304">
        <v>513685.90629999997</v>
      </c>
      <c r="D2304" s="1">
        <v>4.0000000000000001E-3</v>
      </c>
      <c r="E2304" s="1">
        <v>0.94819056987762496</v>
      </c>
      <c r="F2304" s="1">
        <v>3.1E-2</v>
      </c>
      <c r="G2304" s="1">
        <f t="shared" si="70"/>
        <v>1.9E-2</v>
      </c>
      <c r="H2304" s="1" t="str">
        <f t="shared" si="71"/>
        <v/>
      </c>
      <c r="I2304" s="1">
        <v>8.0000000000000002E-3</v>
      </c>
      <c r="J2304" s="1">
        <f>+D2304-F2304+I2304*O2304</f>
        <v>-9.8799999999999999E-3</v>
      </c>
      <c r="K2304" s="1">
        <v>5.2756424993276603E-2</v>
      </c>
      <c r="L2304" s="1">
        <f>+K2304-J2304</f>
        <v>6.2636424993276596E-2</v>
      </c>
      <c r="M2304" s="1">
        <v>2.3756424993276602E-2</v>
      </c>
      <c r="N2304" s="1">
        <f>+M2304-J2304</f>
        <v>3.3636424993276598E-2</v>
      </c>
      <c r="O2304">
        <v>2.14</v>
      </c>
      <c r="P2304" t="s">
        <v>15</v>
      </c>
      <c r="Q2304">
        <v>0.02</v>
      </c>
      <c r="R2304">
        <v>-2.9440692916512402E-2</v>
      </c>
      <c r="S2304">
        <v>7.0111360400915105E-5</v>
      </c>
      <c r="T2304">
        <v>0.03</v>
      </c>
    </row>
    <row r="2305" spans="1:20" x14ac:dyDescent="0.3">
      <c r="A2305" t="s">
        <v>160</v>
      </c>
      <c r="B2305">
        <v>2008</v>
      </c>
      <c r="C2305">
        <v>520213.0625</v>
      </c>
      <c r="D2305" s="1">
        <v>3.4000000000000002E-2</v>
      </c>
      <c r="E2305" s="1">
        <v>0.94327026605606101</v>
      </c>
      <c r="F2305" s="1">
        <v>1.7000000000000001E-2</v>
      </c>
      <c r="G2305" s="1">
        <f t="shared" si="70"/>
        <v>3.6000000000000004E-2</v>
      </c>
      <c r="H2305" s="1" t="str">
        <f t="shared" si="71"/>
        <v/>
      </c>
      <c r="I2305" s="1">
        <v>-5.0000000000000001E-3</v>
      </c>
      <c r="J2305" s="1">
        <f>+D2305-F2305+I2305*O2305</f>
        <v>6.150000000000001E-3</v>
      </c>
      <c r="K2305" s="1">
        <v>8.5593070834875107E-3</v>
      </c>
      <c r="L2305" s="1">
        <f>+K2305-J2305</f>
        <v>2.4093070834875097E-3</v>
      </c>
      <c r="M2305" s="1">
        <v>-2.9440692916512402E-2</v>
      </c>
      <c r="N2305" s="1">
        <f>+M2305-J2305</f>
        <v>-3.5590692916512401E-2</v>
      </c>
      <c r="O2305">
        <v>2.17</v>
      </c>
      <c r="P2305" t="s">
        <v>17</v>
      </c>
      <c r="Q2305">
        <v>0</v>
      </c>
      <c r="R2305">
        <v>-6.5994248449802395E-2</v>
      </c>
      <c r="S2305">
        <v>-3.9427546784281703E-2</v>
      </c>
      <c r="T2305">
        <v>0.02</v>
      </c>
    </row>
    <row r="2306" spans="1:20" x14ac:dyDescent="0.3">
      <c r="A2306" t="s">
        <v>160</v>
      </c>
      <c r="B2306">
        <v>2009</v>
      </c>
      <c r="C2306">
        <v>525860.125</v>
      </c>
      <c r="D2306" s="1">
        <v>5.0999999999999997E-2</v>
      </c>
      <c r="E2306" s="1">
        <v>0.91906511783599898</v>
      </c>
      <c r="F2306" s="1">
        <v>3.5999999999999997E-2</v>
      </c>
      <c r="G2306" s="1">
        <f t="shared" si="70"/>
        <v>7.2000000000000008E-2</v>
      </c>
      <c r="H2306" s="1" t="str">
        <f t="shared" si="71"/>
        <v/>
      </c>
      <c r="I2306" s="1">
        <v>-2.4E-2</v>
      </c>
      <c r="J2306" s="1">
        <f>+D2306-F2306+I2306*O2306</f>
        <v>-3.9E-2</v>
      </c>
      <c r="K2306" s="1">
        <v>-6.9994248449802399E-2</v>
      </c>
      <c r="L2306" s="1">
        <f>+K2306-J2306</f>
        <v>-3.0994248449802399E-2</v>
      </c>
      <c r="M2306" s="1">
        <v>-6.5994248449802395E-2</v>
      </c>
      <c r="N2306" s="1">
        <f>+M2306-J2306</f>
        <v>-2.6994248449802395E-2</v>
      </c>
      <c r="O2306">
        <v>2.25</v>
      </c>
      <c r="P2306" t="s">
        <v>17</v>
      </c>
      <c r="Q2306">
        <v>-0.04</v>
      </c>
      <c r="R2306">
        <v>-6.3707029297947904E-3</v>
      </c>
      <c r="S2306">
        <v>3.0894058290868902E-3</v>
      </c>
      <c r="T2306">
        <v>0.02</v>
      </c>
    </row>
    <row r="2307" spans="1:20" x14ac:dyDescent="0.3">
      <c r="A2307" t="s">
        <v>160</v>
      </c>
      <c r="B2307">
        <v>2010</v>
      </c>
      <c r="C2307">
        <v>529501.5625</v>
      </c>
      <c r="D2307" s="1">
        <v>2E-3</v>
      </c>
      <c r="E2307" s="1">
        <v>0.93579506874084495</v>
      </c>
      <c r="F2307" s="1">
        <v>1.0999999999999999E-2</v>
      </c>
      <c r="G2307" s="1">
        <f t="shared" si="70"/>
        <v>8.3000000000000004E-2</v>
      </c>
      <c r="H2307" s="1" t="str">
        <f t="shared" si="71"/>
        <v/>
      </c>
      <c r="I2307" s="1">
        <v>1.7000000000000001E-2</v>
      </c>
      <c r="J2307" s="1">
        <f>+D2307-F2307+I2307*O2307</f>
        <v>2.9590000000000005E-2</v>
      </c>
      <c r="K2307" s="1">
        <v>9.6292970702052099E-3</v>
      </c>
      <c r="L2307" s="1">
        <f>+K2307-J2307</f>
        <v>-1.9960702929794794E-2</v>
      </c>
      <c r="M2307" s="1">
        <v>-6.3707029297947904E-3</v>
      </c>
      <c r="N2307" s="1">
        <f>+M2307-J2307</f>
        <v>-3.5960702929794794E-2</v>
      </c>
      <c r="O2307">
        <v>2.27</v>
      </c>
      <c r="P2307" t="s">
        <v>15</v>
      </c>
      <c r="Q2307">
        <v>0</v>
      </c>
      <c r="R2307">
        <v>-2.08984598219395E-2</v>
      </c>
      <c r="S2307">
        <v>3.853146918118E-4</v>
      </c>
      <c r="T2307">
        <v>0</v>
      </c>
    </row>
    <row r="2308" spans="1:20" x14ac:dyDescent="0.3">
      <c r="A2308" t="s">
        <v>160</v>
      </c>
      <c r="B2308">
        <v>2011</v>
      </c>
      <c r="C2308">
        <v>532243.875</v>
      </c>
      <c r="D2308" s="1">
        <v>0</v>
      </c>
      <c r="E2308" s="1">
        <v>0.93475091457366899</v>
      </c>
      <c r="F2308" s="1">
        <v>-3.9E-2</v>
      </c>
      <c r="G2308" s="1">
        <f t="shared" si="70"/>
        <v>4.4000000000000004E-2</v>
      </c>
      <c r="H2308" s="1" t="str">
        <f t="shared" si="71"/>
        <v/>
      </c>
      <c r="I2308" s="1">
        <v>-1E-3</v>
      </c>
      <c r="J2308" s="1">
        <f>+D2308-F2308+I2308*O2308</f>
        <v>3.6810000000000002E-2</v>
      </c>
      <c r="K2308" s="1">
        <v>1.11015401780605E-2</v>
      </c>
      <c r="L2308" s="1">
        <f>+K2308-J2308</f>
        <v>-2.5708459821939502E-2</v>
      </c>
      <c r="M2308" s="1">
        <v>-2.08984598219395E-2</v>
      </c>
      <c r="N2308" s="1">
        <f>+M2308-J2308</f>
        <v>-5.7708459821939506E-2</v>
      </c>
      <c r="O2308">
        <v>2.19</v>
      </c>
      <c r="P2308" t="s">
        <v>16</v>
      </c>
      <c r="Q2308">
        <v>0</v>
      </c>
      <c r="R2308">
        <v>-1.0358720369637E-2</v>
      </c>
      <c r="S2308">
        <v>-4.9205143004656003E-3</v>
      </c>
      <c r="T2308">
        <v>-0.04</v>
      </c>
    </row>
    <row r="2309" spans="1:20" x14ac:dyDescent="0.3">
      <c r="A2309" t="s">
        <v>160</v>
      </c>
      <c r="B2309">
        <v>2012</v>
      </c>
      <c r="C2309">
        <v>535802.6875</v>
      </c>
      <c r="D2309" s="1">
        <v>1.2999999999999999E-2</v>
      </c>
      <c r="E2309" s="1">
        <v>0.93676811456680298</v>
      </c>
      <c r="F2309" s="1">
        <v>2.4E-2</v>
      </c>
      <c r="G2309" s="1">
        <f t="shared" si="70"/>
        <v>6.8000000000000005E-2</v>
      </c>
      <c r="H2309" s="1" t="str">
        <f t="shared" si="71"/>
        <v/>
      </c>
      <c r="I2309" s="1">
        <v>2E-3</v>
      </c>
      <c r="J2309" s="1">
        <f>+D2309-F2309+I2309*O2309</f>
        <v>-6.5200000000000006E-3</v>
      </c>
      <c r="K2309" s="1">
        <v>1.0641279630363E-2</v>
      </c>
      <c r="L2309" s="1">
        <f>+K2309-J2309</f>
        <v>1.7161279630362999E-2</v>
      </c>
      <c r="M2309" s="1">
        <v>-1.0358720369637E-2</v>
      </c>
      <c r="N2309" s="1">
        <f>+M2309-J2309</f>
        <v>-3.8387203696369993E-3</v>
      </c>
      <c r="O2309">
        <v>2.2400000000000002</v>
      </c>
      <c r="P2309" t="s">
        <v>15</v>
      </c>
      <c r="Q2309">
        <v>-0.01</v>
      </c>
      <c r="R2309">
        <v>8.6704554408788999E-3</v>
      </c>
      <c r="S2309">
        <v>2.5436840951442901E-3</v>
      </c>
      <c r="T2309">
        <v>0.02</v>
      </c>
    </row>
    <row r="2310" spans="1:20" x14ac:dyDescent="0.3">
      <c r="A2310" t="s">
        <v>160</v>
      </c>
      <c r="B2310">
        <v>2013</v>
      </c>
      <c r="C2310">
        <v>540106.8125</v>
      </c>
      <c r="D2310" s="1">
        <v>3.5999999999999997E-2</v>
      </c>
      <c r="E2310" s="1">
        <v>0.93941807746887196</v>
      </c>
      <c r="F2310" s="1">
        <v>-8.0000000000000002E-3</v>
      </c>
      <c r="G2310" s="1">
        <f t="shared" si="70"/>
        <v>6.0000000000000005E-2</v>
      </c>
      <c r="H2310" s="1" t="str">
        <f t="shared" si="71"/>
        <v/>
      </c>
      <c r="I2310" s="1">
        <v>3.0000000000000001E-3</v>
      </c>
      <c r="J2310" s="1">
        <f>+D2310-F2310+I2310*O2310</f>
        <v>5.0659999999999997E-2</v>
      </c>
      <c r="K2310" s="1">
        <v>2.3670455440878899E-2</v>
      </c>
      <c r="L2310" s="1">
        <f>+K2310-J2310</f>
        <v>-2.6989544559121097E-2</v>
      </c>
      <c r="M2310" s="1">
        <v>8.6704554408788999E-3</v>
      </c>
      <c r="N2310" s="1">
        <f>+M2310-J2310</f>
        <v>-4.19895445591211E-2</v>
      </c>
      <c r="O2310">
        <v>2.2200000000000002</v>
      </c>
      <c r="P2310" t="s">
        <v>17</v>
      </c>
      <c r="Q2310">
        <v>0</v>
      </c>
      <c r="R2310">
        <v>2.5446143150329999E-3</v>
      </c>
      <c r="S2310">
        <v>5.3659081459049899E-4</v>
      </c>
      <c r="T2310">
        <v>-0.02</v>
      </c>
    </row>
    <row r="2311" spans="1:20" x14ac:dyDescent="0.3">
      <c r="A2311" t="s">
        <v>160</v>
      </c>
      <c r="B2311">
        <v>2014</v>
      </c>
      <c r="C2311">
        <v>546514.25</v>
      </c>
      <c r="D2311" s="1">
        <v>2.1000000000000001E-2</v>
      </c>
      <c r="E2311" s="1">
        <v>0.93716722726821899</v>
      </c>
      <c r="F2311" s="1">
        <v>8.5000000000000006E-2</v>
      </c>
      <c r="G2311" s="1">
        <f t="shared" ref="G2311:G2374" si="72">SUMIFS(F:F,A:A,A2311,B:B,"&lt;="&amp;B2311)</f>
        <v>0.14500000000000002</v>
      </c>
      <c r="H2311" s="1">
        <f t="shared" ref="H2311:H2374" si="73">IFERROR(IF(ABS(G2311)&gt;0.12,AVERAGEIFS(K:K,A:A,A2311,B:B,"&gt;"&amp;B2311,B:B,"&lt;"&amp;B2311+3),""),"")</f>
        <v>3.3292664214968654E-2</v>
      </c>
      <c r="I2311" s="1">
        <v>-2E-3</v>
      </c>
      <c r="J2311" s="1">
        <f>+D2311-F2311+I2311*O2311</f>
        <v>-6.8820000000000006E-2</v>
      </c>
      <c r="K2311" s="1">
        <v>1.8544614315033001E-2</v>
      </c>
      <c r="L2311" s="1">
        <f>+K2311-J2311</f>
        <v>8.7364614315033007E-2</v>
      </c>
      <c r="M2311" s="1">
        <v>2.5446143150329999E-3</v>
      </c>
      <c r="N2311" s="1">
        <f>+M2311-J2311</f>
        <v>7.1364614315033006E-2</v>
      </c>
      <c r="O2311">
        <v>2.41</v>
      </c>
      <c r="P2311" t="s">
        <v>17</v>
      </c>
      <c r="Q2311">
        <v>0</v>
      </c>
      <c r="R2311">
        <v>3.2166985958814599E-2</v>
      </c>
      <c r="S2311">
        <v>1.9035339355468999E-3</v>
      </c>
      <c r="T2311">
        <v>0.08</v>
      </c>
    </row>
    <row r="2312" spans="1:20" x14ac:dyDescent="0.3">
      <c r="A2312" t="s">
        <v>160</v>
      </c>
      <c r="B2312">
        <v>2015</v>
      </c>
      <c r="C2312">
        <v>554439</v>
      </c>
      <c r="D2312" s="1">
        <v>1.2999999999999999E-2</v>
      </c>
      <c r="E2312" s="1">
        <v>0.94828397035598799</v>
      </c>
      <c r="F2312" s="1">
        <v>-3.3000000000000002E-2</v>
      </c>
      <c r="G2312" s="1">
        <f t="shared" si="72"/>
        <v>0.11200000000000002</v>
      </c>
      <c r="H2312" s="1" t="str">
        <f t="shared" si="73"/>
        <v/>
      </c>
      <c r="I2312" s="1">
        <v>1.0999999999999999E-2</v>
      </c>
      <c r="J2312" s="1">
        <f>+D2312-F2312+I2312*O2312</f>
        <v>7.1629999999999999E-2</v>
      </c>
      <c r="K2312" s="1">
        <v>3.31669859588146E-2</v>
      </c>
      <c r="L2312" s="1">
        <f>+K2312-J2312</f>
        <v>-3.8463014041185399E-2</v>
      </c>
      <c r="M2312" s="1">
        <v>3.2166985958814599E-2</v>
      </c>
      <c r="N2312" s="1">
        <f>+M2312-J2312</f>
        <v>-3.94630140411854E-2</v>
      </c>
      <c r="O2312">
        <v>2.33</v>
      </c>
      <c r="P2312" t="s">
        <v>17</v>
      </c>
      <c r="Q2312">
        <v>0</v>
      </c>
      <c r="R2312">
        <v>2.0418342471122699E-2</v>
      </c>
      <c r="S2312">
        <v>7.2647854685782996E-3</v>
      </c>
      <c r="T2312">
        <v>-0.02</v>
      </c>
    </row>
    <row r="2313" spans="1:20" x14ac:dyDescent="0.3">
      <c r="A2313" t="s">
        <v>160</v>
      </c>
      <c r="B2313">
        <v>2016</v>
      </c>
      <c r="C2313">
        <v>564620</v>
      </c>
      <c r="D2313" s="1">
        <v>2.7E-2</v>
      </c>
      <c r="E2313" s="1">
        <v>0.95172625780105602</v>
      </c>
      <c r="F2313" s="1">
        <v>3.1E-2</v>
      </c>
      <c r="G2313" s="1">
        <f t="shared" si="72"/>
        <v>0.14300000000000002</v>
      </c>
      <c r="H2313" s="1">
        <f t="shared" si="73"/>
        <v>3.5440056584775448E-2</v>
      </c>
      <c r="I2313" s="1">
        <v>3.0000000000000001E-3</v>
      </c>
      <c r="J2313" s="1">
        <f>+D2313-F2313+I2313*O2313</f>
        <v>3.1999999999999997E-3</v>
      </c>
      <c r="K2313" s="1">
        <v>3.34183424711227E-2</v>
      </c>
      <c r="L2313" s="1">
        <f>+K2313-J2313</f>
        <v>3.0218342471122699E-2</v>
      </c>
      <c r="M2313" s="1">
        <v>2.0418342471122699E-2</v>
      </c>
      <c r="N2313" s="1">
        <f>+M2313-J2313</f>
        <v>1.7218342471122701E-2</v>
      </c>
      <c r="O2313">
        <v>2.4</v>
      </c>
      <c r="P2313" t="s">
        <v>15</v>
      </c>
      <c r="Q2313">
        <v>0.01</v>
      </c>
      <c r="R2313">
        <v>1.92603484690189E-2</v>
      </c>
      <c r="S2313">
        <v>1.6470775008201599E-2</v>
      </c>
      <c r="T2313">
        <v>0.03</v>
      </c>
    </row>
    <row r="2314" spans="1:20" x14ac:dyDescent="0.3">
      <c r="A2314" t="s">
        <v>160</v>
      </c>
      <c r="B2314">
        <v>2017</v>
      </c>
      <c r="C2314">
        <v>574911.0625</v>
      </c>
      <c r="D2314" s="1">
        <v>3.1E-2</v>
      </c>
      <c r="E2314" s="1">
        <v>0.94493883848190297</v>
      </c>
      <c r="F2314" s="1">
        <v>-5.8999999999999997E-2</v>
      </c>
      <c r="G2314" s="1">
        <f t="shared" si="72"/>
        <v>8.4000000000000019E-2</v>
      </c>
      <c r="H2314" s="1" t="str">
        <f t="shared" si="73"/>
        <v/>
      </c>
      <c r="I2314" s="1">
        <v>-7.0000000000000001E-3</v>
      </c>
      <c r="J2314" s="1">
        <f>+D2314-F2314+I2314*O2314</f>
        <v>7.4179999999999996E-2</v>
      </c>
      <c r="K2314" s="1">
        <v>4.0260348469018901E-2</v>
      </c>
      <c r="L2314" s="1">
        <f>+K2314-J2314</f>
        <v>-3.3919651530981094E-2</v>
      </c>
      <c r="M2314" s="1">
        <v>1.92603484690189E-2</v>
      </c>
      <c r="N2314" s="1">
        <f>+M2314-J2314</f>
        <v>-5.4919651530981092E-2</v>
      </c>
      <c r="O2314">
        <v>2.2599999999999998</v>
      </c>
      <c r="P2314" t="s">
        <v>16</v>
      </c>
      <c r="Q2314">
        <v>0.02</v>
      </c>
      <c r="R2314">
        <v>6.6197647005319998E-3</v>
      </c>
      <c r="S2314">
        <v>-2.5152582675217901E-3</v>
      </c>
      <c r="T2314">
        <v>-0.06</v>
      </c>
    </row>
    <row r="2315" spans="1:20" x14ac:dyDescent="0.3">
      <c r="A2315" t="s">
        <v>160</v>
      </c>
      <c r="B2315">
        <v>2018</v>
      </c>
      <c r="C2315">
        <v>584921.875</v>
      </c>
      <c r="D2315" s="1">
        <v>3.7999999999999999E-2</v>
      </c>
      <c r="E2315" s="1">
        <v>0.94033414125442505</v>
      </c>
      <c r="F2315" s="1">
        <v>0.02</v>
      </c>
      <c r="G2315" s="1">
        <f t="shared" si="72"/>
        <v>0.10400000000000002</v>
      </c>
      <c r="H2315" s="1" t="str">
        <f t="shared" si="73"/>
        <v/>
      </c>
      <c r="I2315" s="1">
        <v>-5.0000000000000001E-3</v>
      </c>
      <c r="J2315" s="1">
        <f>+D2315-F2315+I2315*O2315</f>
        <v>6.4999999999999988E-3</v>
      </c>
      <c r="K2315" s="1">
        <v>3.0619764700532001E-2</v>
      </c>
      <c r="L2315" s="1">
        <f>+K2315-J2315</f>
        <v>2.4119764700532002E-2</v>
      </c>
      <c r="M2315" s="1">
        <v>6.6197647005319998E-3</v>
      </c>
      <c r="N2315" s="1">
        <f>+M2315-J2315</f>
        <v>1.1976470053200097E-4</v>
      </c>
      <c r="O2315">
        <v>2.2999999999999998</v>
      </c>
      <c r="P2315" t="s">
        <v>17</v>
      </c>
      <c r="Q2315">
        <v>0</v>
      </c>
      <c r="R2315">
        <v>2.90108464360237E-2</v>
      </c>
      <c r="S2315">
        <v>1.1209651827812099E-2</v>
      </c>
      <c r="T2315">
        <v>0.03</v>
      </c>
    </row>
    <row r="2316" spans="1:20" x14ac:dyDescent="0.3">
      <c r="A2316" t="s">
        <v>160</v>
      </c>
      <c r="B2316">
        <v>2019</v>
      </c>
      <c r="C2316">
        <v>595017.1875</v>
      </c>
      <c r="D2316" s="1">
        <v>1.2999999999999999E-2</v>
      </c>
      <c r="E2316" s="1">
        <v>0.95392143726348899</v>
      </c>
      <c r="F2316" s="1">
        <v>4.0000000000000001E-3</v>
      </c>
      <c r="G2316" s="1">
        <f t="shared" si="72"/>
        <v>0.10800000000000003</v>
      </c>
      <c r="H2316" s="1" t="str">
        <f t="shared" si="73"/>
        <v/>
      </c>
      <c r="I2316" s="1">
        <v>1.4E-2</v>
      </c>
      <c r="J2316" s="1">
        <f>+D2316-F2316+I2316*O2316</f>
        <v>4.1340000000000002E-2</v>
      </c>
      <c r="K2316" s="1">
        <v>4.7010846436023698E-2</v>
      </c>
      <c r="L2316" s="1">
        <f>+K2316-J2316</f>
        <v>5.6708464360236965E-3</v>
      </c>
      <c r="M2316" s="1">
        <v>2.90108464360237E-2</v>
      </c>
      <c r="N2316" s="1">
        <f>+M2316-J2316</f>
        <v>-1.2329153563976302E-2</v>
      </c>
      <c r="O2316">
        <v>2.31</v>
      </c>
      <c r="P2316" t="s">
        <v>15</v>
      </c>
      <c r="Q2316">
        <v>0.01</v>
      </c>
      <c r="R2316">
        <v>3.7861826002597798E-2</v>
      </c>
      <c r="S2316">
        <v>1.9012635573744701E-2</v>
      </c>
      <c r="T2316">
        <v>0.01</v>
      </c>
    </row>
    <row r="2317" spans="1:20" x14ac:dyDescent="0.3">
      <c r="A2317" t="s">
        <v>160</v>
      </c>
      <c r="B2317">
        <v>2020</v>
      </c>
      <c r="C2317">
        <v>602715</v>
      </c>
      <c r="D2317" s="1">
        <v>3.4000000000000002E-2</v>
      </c>
      <c r="E2317" s="1">
        <v>0.957294762134552</v>
      </c>
      <c r="F2317" s="1">
        <v>-8.2000000000000003E-2</v>
      </c>
      <c r="G2317" s="1">
        <f t="shared" si="72"/>
        <v>2.6000000000000023E-2</v>
      </c>
      <c r="H2317" s="1" t="str">
        <f t="shared" si="73"/>
        <v/>
      </c>
      <c r="I2317" s="1">
        <v>3.0000000000000001E-3</v>
      </c>
      <c r="J2317" s="1">
        <f>+D2317-F2317+I2317*O2317</f>
        <v>0.12236000000000001</v>
      </c>
      <c r="K2317" s="1">
        <v>4.9861826002597802E-2</v>
      </c>
      <c r="L2317" s="1">
        <f>+K2317-J2317</f>
        <v>-7.2498173997402215E-2</v>
      </c>
      <c r="M2317" s="1">
        <v>3.7861826002597798E-2</v>
      </c>
      <c r="N2317" s="1">
        <f>+M2317-J2317</f>
        <v>-8.4498173997402212E-2</v>
      </c>
      <c r="O2317">
        <v>2.12</v>
      </c>
      <c r="P2317" t="s">
        <v>17</v>
      </c>
      <c r="Q2317">
        <v>0.02</v>
      </c>
      <c r="R2317">
        <v>4.97171266674995E-2</v>
      </c>
      <c r="S2317">
        <v>6.1275139451025902E-3</v>
      </c>
      <c r="T2317">
        <v>-0.04</v>
      </c>
    </row>
    <row r="2318" spans="1:20" x14ac:dyDescent="0.3">
      <c r="A2318" t="s">
        <v>160</v>
      </c>
      <c r="B2318">
        <v>2021</v>
      </c>
      <c r="C2318">
        <v>608223</v>
      </c>
      <c r="D2318" s="1">
        <v>2.9000000000000001E-2</v>
      </c>
      <c r="E2318" s="1">
        <v>0.94719707965850797</v>
      </c>
      <c r="F2318" s="1">
        <v>3.9E-2</v>
      </c>
      <c r="G2318" s="1">
        <f t="shared" si="72"/>
        <v>6.500000000000003E-2</v>
      </c>
      <c r="H2318" s="1" t="str">
        <f t="shared" si="73"/>
        <v/>
      </c>
      <c r="I2318" s="1">
        <v>-0.01</v>
      </c>
      <c r="J2318" s="1">
        <f>+D2318-F2318+I2318*O2318</f>
        <v>-3.2000000000000001E-2</v>
      </c>
      <c r="K2318" s="1">
        <v>9.6717126667499501E-2</v>
      </c>
      <c r="L2318" s="1">
        <f>+K2318-J2318</f>
        <v>0.12871712666749952</v>
      </c>
      <c r="M2318" s="1">
        <v>4.97171266674995E-2</v>
      </c>
      <c r="N2318" s="1">
        <f>+M2318-J2318</f>
        <v>8.1717126667499501E-2</v>
      </c>
      <c r="O2318">
        <v>2.2000000000000002</v>
      </c>
      <c r="P2318" t="s">
        <v>17</v>
      </c>
      <c r="Q2318">
        <v>0.01</v>
      </c>
      <c r="R2318">
        <v>-5.2884114831686001E-2</v>
      </c>
      <c r="S2318">
        <v>-2.07806080579757E-2</v>
      </c>
      <c r="T2318">
        <v>0.01</v>
      </c>
    </row>
    <row r="2319" spans="1:20" x14ac:dyDescent="0.3">
      <c r="A2319" t="s">
        <v>160</v>
      </c>
      <c r="B2319">
        <v>2022</v>
      </c>
      <c r="C2319">
        <v>613074.25</v>
      </c>
      <c r="D2319" s="1">
        <v>2.3E-2</v>
      </c>
      <c r="E2319" s="1">
        <v>0.94005495309829701</v>
      </c>
      <c r="F2319" s="1">
        <v>-2.1000000000000001E-2</v>
      </c>
      <c r="G2319" s="1">
        <f t="shared" si="72"/>
        <v>4.4000000000000025E-2</v>
      </c>
      <c r="H2319" s="1" t="str">
        <f t="shared" si="73"/>
        <v/>
      </c>
      <c r="I2319" s="1">
        <v>-7.0000000000000001E-3</v>
      </c>
      <c r="J2319" s="1">
        <f>+D2319-F2319+I2319*O2319</f>
        <v>2.8879999999999996E-2</v>
      </c>
      <c r="K2319" s="1">
        <v>2.7115885168314001E-2</v>
      </c>
      <c r="L2319" s="1">
        <f>+K2319-J2319</f>
        <v>-1.764114831685995E-3</v>
      </c>
      <c r="M2319" s="1">
        <v>-5.2884114831686001E-2</v>
      </c>
      <c r="N2319" s="1">
        <f>+M2319-J2319</f>
        <v>-8.1764114831685997E-2</v>
      </c>
      <c r="O2319">
        <v>2.16</v>
      </c>
      <c r="P2319" t="s">
        <v>16</v>
      </c>
      <c r="Q2319">
        <v>-0.02</v>
      </c>
      <c r="R2319">
        <v>-2.9250266760587701E-2</v>
      </c>
      <c r="S2319">
        <v>-9.6913389861583901E-3</v>
      </c>
      <c r="T2319">
        <v>0</v>
      </c>
    </row>
    <row r="2320" spans="1:20" x14ac:dyDescent="0.3">
      <c r="A2320" t="s">
        <v>161</v>
      </c>
      <c r="B2320">
        <v>2006</v>
      </c>
      <c r="C2320">
        <v>617716.1875</v>
      </c>
      <c r="D2320" s="1">
        <v>1E-3</v>
      </c>
      <c r="E2320" s="1">
        <v>0.95312958955764804</v>
      </c>
      <c r="F2320" s="1">
        <v>3.5000000000000003E-2</v>
      </c>
      <c r="G2320" s="1">
        <f t="shared" si="72"/>
        <v>3.5000000000000003E-2</v>
      </c>
      <c r="H2320" s="1" t="str">
        <f t="shared" si="73"/>
        <v/>
      </c>
      <c r="I2320" s="1">
        <v>-8.0000000000000002E-3</v>
      </c>
      <c r="J2320" s="1">
        <f>+D2320-F2320+I2320*O2320</f>
        <v>-5.1200000000000002E-2</v>
      </c>
      <c r="K2320" s="1">
        <v>3.0470831319689799E-2</v>
      </c>
      <c r="L2320" s="1">
        <f>+K2320-J2320</f>
        <v>8.1670831319689802E-2</v>
      </c>
      <c r="M2320" s="1">
        <v>-1.5291686803101999E-3</v>
      </c>
      <c r="N2320" s="1">
        <f>+M2320-J2320</f>
        <v>4.9670831319689801E-2</v>
      </c>
      <c r="O2320">
        <v>2.15</v>
      </c>
      <c r="P2320" t="s">
        <v>17</v>
      </c>
      <c r="Q2320">
        <v>-0.01</v>
      </c>
      <c r="R2320">
        <v>2.5202437341212999E-3</v>
      </c>
      <c r="S2320">
        <v>3.4419996663928002E-3</v>
      </c>
      <c r="T2320">
        <v>0.03</v>
      </c>
    </row>
    <row r="2321" spans="1:20" x14ac:dyDescent="0.3">
      <c r="A2321" t="s">
        <v>161</v>
      </c>
      <c r="B2321">
        <v>2007</v>
      </c>
      <c r="C2321">
        <v>618619.875</v>
      </c>
      <c r="D2321" s="1">
        <v>1E-3</v>
      </c>
      <c r="E2321" s="1">
        <v>0.94769263267517101</v>
      </c>
      <c r="F2321" s="1">
        <v>-1.7000000000000001E-2</v>
      </c>
      <c r="G2321" s="1">
        <f t="shared" si="72"/>
        <v>1.8000000000000002E-2</v>
      </c>
      <c r="H2321" s="1" t="str">
        <f t="shared" si="73"/>
        <v/>
      </c>
      <c r="I2321" s="1">
        <v>-5.0000000000000001E-3</v>
      </c>
      <c r="J2321" s="1">
        <f>+D2321-F2321+I2321*O2321</f>
        <v>7.4500000000000018E-3</v>
      </c>
      <c r="K2321" s="1">
        <v>3.1520243734121302E-2</v>
      </c>
      <c r="L2321" s="1">
        <f>+K2321-J2321</f>
        <v>2.40702437341213E-2</v>
      </c>
      <c r="M2321" s="1">
        <v>2.5202437341212999E-3</v>
      </c>
      <c r="N2321" s="1">
        <f>+M2321-J2321</f>
        <v>-4.9297562658787014E-3</v>
      </c>
      <c r="O2321">
        <v>2.11</v>
      </c>
      <c r="P2321" t="s">
        <v>16</v>
      </c>
      <c r="Q2321">
        <v>0</v>
      </c>
      <c r="R2321">
        <v>-2.9580915637314301E-2</v>
      </c>
      <c r="S2321">
        <v>-7.0111360400915105E-5</v>
      </c>
      <c r="T2321">
        <v>-0.02</v>
      </c>
    </row>
    <row r="2322" spans="1:20" x14ac:dyDescent="0.3">
      <c r="A2322" t="s">
        <v>161</v>
      </c>
      <c r="B2322">
        <v>2008</v>
      </c>
      <c r="C2322">
        <v>619949.125</v>
      </c>
      <c r="D2322" s="1">
        <v>0</v>
      </c>
      <c r="E2322" s="1">
        <v>0.95519381761550903</v>
      </c>
      <c r="F2322" s="1">
        <v>4.7E-2</v>
      </c>
      <c r="G2322" s="1">
        <f t="shared" si="72"/>
        <v>6.5000000000000002E-2</v>
      </c>
      <c r="H2322" s="1" t="str">
        <f t="shared" si="73"/>
        <v/>
      </c>
      <c r="I2322" s="1">
        <v>8.0000000000000002E-3</v>
      </c>
      <c r="J2322" s="1">
        <f>+D2322-F2322+I2322*O2322</f>
        <v>-2.9319999999999999E-2</v>
      </c>
      <c r="K2322" s="1">
        <v>8.4190843626856804E-3</v>
      </c>
      <c r="L2322" s="1">
        <f>+K2322-J2322</f>
        <v>3.7739084362685679E-2</v>
      </c>
      <c r="M2322" s="1">
        <v>-2.9580915637314301E-2</v>
      </c>
      <c r="N2322" s="1">
        <f>+M2322-J2322</f>
        <v>-2.6091563731430248E-4</v>
      </c>
      <c r="O2322">
        <v>2.21</v>
      </c>
      <c r="P2322" t="s">
        <v>15</v>
      </c>
      <c r="Q2322">
        <v>0</v>
      </c>
      <c r="R2322">
        <v>-2.38908666223288E-2</v>
      </c>
      <c r="S2322">
        <v>2.6758350431918499E-3</v>
      </c>
      <c r="T2322">
        <v>0.04</v>
      </c>
    </row>
    <row r="2323" spans="1:20" x14ac:dyDescent="0.3">
      <c r="A2323" t="s">
        <v>161</v>
      </c>
      <c r="B2323">
        <v>2009</v>
      </c>
      <c r="C2323">
        <v>621463.3125</v>
      </c>
      <c r="D2323" s="1">
        <v>0</v>
      </c>
      <c r="E2323" s="1">
        <v>0.95604556798934903</v>
      </c>
      <c r="F2323" s="1">
        <v>-0.03</v>
      </c>
      <c r="G2323" s="1">
        <f t="shared" si="72"/>
        <v>3.5000000000000003E-2</v>
      </c>
      <c r="H2323" s="1" t="str">
        <f t="shared" si="73"/>
        <v/>
      </c>
      <c r="I2323" s="1">
        <v>1E-3</v>
      </c>
      <c r="J2323" s="1">
        <f>+D2323-F2323+I2323*O2323</f>
        <v>3.2140000000000002E-2</v>
      </c>
      <c r="K2323" s="1">
        <v>-2.78908666223288E-2</v>
      </c>
      <c r="L2323" s="1">
        <f>+K2323-J2323</f>
        <v>-6.0030866622328802E-2</v>
      </c>
      <c r="M2323" s="1">
        <v>-2.38908666223288E-2</v>
      </c>
      <c r="N2323" s="1">
        <f>+M2323-J2323</f>
        <v>-5.6030866622328798E-2</v>
      </c>
      <c r="O2323">
        <v>2.14</v>
      </c>
      <c r="P2323" t="s">
        <v>17</v>
      </c>
      <c r="Q2323">
        <v>0</v>
      </c>
      <c r="R2323">
        <v>1.5229553133249E-3</v>
      </c>
      <c r="S2323">
        <v>1.09830640722065E-2</v>
      </c>
      <c r="T2323">
        <v>-0.05</v>
      </c>
    </row>
    <row r="2324" spans="1:20" x14ac:dyDescent="0.3">
      <c r="A2324" t="s">
        <v>161</v>
      </c>
      <c r="B2324">
        <v>2010</v>
      </c>
      <c r="C2324">
        <v>624408.625</v>
      </c>
      <c r="D2324" s="1">
        <v>0</v>
      </c>
      <c r="E2324" s="1">
        <v>0.95756238698959395</v>
      </c>
      <c r="F2324" s="1">
        <v>3.5999999999999997E-2</v>
      </c>
      <c r="G2324" s="1">
        <f t="shared" si="72"/>
        <v>7.1000000000000008E-2</v>
      </c>
      <c r="H2324" s="1" t="str">
        <f t="shared" si="73"/>
        <v/>
      </c>
      <c r="I2324" s="1">
        <v>2E-3</v>
      </c>
      <c r="J2324" s="1">
        <f>+D2324-F2324+I2324*O2324</f>
        <v>-3.1559999999999998E-2</v>
      </c>
      <c r="K2324" s="1">
        <v>1.7522955313324901E-2</v>
      </c>
      <c r="L2324" s="1">
        <f>+K2324-J2324</f>
        <v>4.9082955313324898E-2</v>
      </c>
      <c r="M2324" s="1">
        <v>1.5229553133249E-3</v>
      </c>
      <c r="N2324" s="1">
        <f>+M2324-J2324</f>
        <v>3.3082955313324898E-2</v>
      </c>
      <c r="O2324">
        <v>2.2200000000000002</v>
      </c>
      <c r="P2324" t="s">
        <v>15</v>
      </c>
      <c r="Q2324">
        <v>0.01</v>
      </c>
      <c r="R2324">
        <v>-1.9621374428272199E-2</v>
      </c>
      <c r="S2324">
        <v>1.6624000854791E-3</v>
      </c>
      <c r="T2324">
        <v>0.03</v>
      </c>
    </row>
    <row r="2325" spans="1:20" x14ac:dyDescent="0.3">
      <c r="A2325" t="s">
        <v>161</v>
      </c>
      <c r="B2325">
        <v>2011</v>
      </c>
      <c r="C2325">
        <v>626918</v>
      </c>
      <c r="D2325" s="1">
        <v>-1E-3</v>
      </c>
      <c r="E2325" s="1">
        <v>0.96024519205093395</v>
      </c>
      <c r="F2325" s="1">
        <v>-8.0000000000000002E-3</v>
      </c>
      <c r="G2325" s="1">
        <f t="shared" si="72"/>
        <v>6.3E-2</v>
      </c>
      <c r="H2325" s="1" t="str">
        <f t="shared" si="73"/>
        <v/>
      </c>
      <c r="I2325" s="1">
        <v>3.0000000000000001E-3</v>
      </c>
      <c r="J2325" s="1">
        <f>+D2325-F2325+I2325*O2325</f>
        <v>1.3600000000000001E-2</v>
      </c>
      <c r="K2325" s="1">
        <v>1.23786255717278E-2</v>
      </c>
      <c r="L2325" s="1">
        <f>+K2325-J2325</f>
        <v>-1.2213744282722015E-3</v>
      </c>
      <c r="M2325" s="1">
        <v>-1.9621374428272199E-2</v>
      </c>
      <c r="N2325" s="1">
        <f>+M2325-J2325</f>
        <v>-3.32213744282722E-2</v>
      </c>
      <c r="O2325">
        <v>2.2000000000000002</v>
      </c>
      <c r="P2325" t="s">
        <v>17</v>
      </c>
      <c r="Q2325">
        <v>0</v>
      </c>
      <c r="R2325">
        <v>-2.4475774765015E-3</v>
      </c>
      <c r="S2325">
        <v>2.9906285926698901E-3</v>
      </c>
      <c r="T2325">
        <v>-0.01</v>
      </c>
    </row>
    <row r="2326" spans="1:20" x14ac:dyDescent="0.3">
      <c r="A2326" t="s">
        <v>161</v>
      </c>
      <c r="B2326">
        <v>2012</v>
      </c>
      <c r="C2326">
        <v>628354.625</v>
      </c>
      <c r="D2326" s="1">
        <v>-2E-3</v>
      </c>
      <c r="E2326" s="1">
        <v>0.95796471834182695</v>
      </c>
      <c r="F2326" s="1">
        <v>1.7999999999999999E-2</v>
      </c>
      <c r="G2326" s="1">
        <f t="shared" si="72"/>
        <v>8.1000000000000003E-2</v>
      </c>
      <c r="H2326" s="1" t="str">
        <f t="shared" si="73"/>
        <v/>
      </c>
      <c r="I2326" s="1">
        <v>-2E-3</v>
      </c>
      <c r="J2326" s="1">
        <f>+D2326-F2326+I2326*O2326</f>
        <v>-2.4479999999999998E-2</v>
      </c>
      <c r="K2326" s="1">
        <v>1.85524225234985E-2</v>
      </c>
      <c r="L2326" s="1">
        <f>+K2326-J2326</f>
        <v>4.3032422523498495E-2</v>
      </c>
      <c r="M2326" s="1">
        <v>-2.4475774765015E-3</v>
      </c>
      <c r="N2326" s="1">
        <f>+M2326-J2326</f>
        <v>2.2032422523498497E-2</v>
      </c>
      <c r="O2326">
        <v>2.2400000000000002</v>
      </c>
      <c r="P2326" t="s">
        <v>17</v>
      </c>
      <c r="Q2326">
        <v>0</v>
      </c>
      <c r="R2326">
        <v>1.0698376819491401E-2</v>
      </c>
      <c r="S2326">
        <v>4.5716054737567997E-3</v>
      </c>
      <c r="T2326">
        <v>0.01</v>
      </c>
    </row>
    <row r="2327" spans="1:20" x14ac:dyDescent="0.3">
      <c r="A2327" t="s">
        <v>161</v>
      </c>
      <c r="B2327">
        <v>2013</v>
      </c>
      <c r="C2327">
        <v>629885.1875</v>
      </c>
      <c r="D2327" s="1">
        <v>-1E-3</v>
      </c>
      <c r="E2327" s="1">
        <v>0.95833206176757801</v>
      </c>
      <c r="F2327" s="1">
        <v>2.9000000000000001E-2</v>
      </c>
      <c r="G2327" s="1">
        <f t="shared" si="72"/>
        <v>0.11</v>
      </c>
      <c r="H2327" s="1" t="str">
        <f t="shared" si="73"/>
        <v/>
      </c>
      <c r="I2327" s="1">
        <v>0</v>
      </c>
      <c r="J2327" s="1">
        <f>+D2327-F2327+I2327*O2327</f>
        <v>-3.0000000000000002E-2</v>
      </c>
      <c r="K2327" s="1">
        <v>2.56983768194914E-2</v>
      </c>
      <c r="L2327" s="1">
        <f>+K2327-J2327</f>
        <v>5.5698376819491399E-2</v>
      </c>
      <c r="M2327" s="1">
        <v>1.0698376819491401E-2</v>
      </c>
      <c r="N2327" s="1">
        <f>+M2327-J2327</f>
        <v>4.06983768194914E-2</v>
      </c>
      <c r="O2327">
        <v>2.31</v>
      </c>
      <c r="P2327" t="s">
        <v>15</v>
      </c>
      <c r="Q2327">
        <v>0</v>
      </c>
      <c r="R2327">
        <v>4.6715427339076897E-3</v>
      </c>
      <c r="S2327">
        <v>2.6635192334651899E-3</v>
      </c>
      <c r="T2327">
        <v>0.02</v>
      </c>
    </row>
    <row r="2328" spans="1:20" x14ac:dyDescent="0.3">
      <c r="A2328" t="s">
        <v>161</v>
      </c>
      <c r="B2328">
        <v>2014</v>
      </c>
      <c r="C2328">
        <v>631391.8125</v>
      </c>
      <c r="D2328" s="1">
        <v>0</v>
      </c>
      <c r="E2328" s="1">
        <v>0.95941674709320102</v>
      </c>
      <c r="F2328" s="1">
        <v>-1.9E-2</v>
      </c>
      <c r="G2328" s="1">
        <f t="shared" si="72"/>
        <v>9.0999999999999998E-2</v>
      </c>
      <c r="H2328" s="1" t="str">
        <f t="shared" si="73"/>
        <v/>
      </c>
      <c r="I2328" s="1">
        <v>1E-3</v>
      </c>
      <c r="J2328" s="1">
        <f>+D2328-F2328+I2328*O2328</f>
        <v>2.1260000000000001E-2</v>
      </c>
      <c r="K2328" s="1">
        <v>2.06715427339077E-2</v>
      </c>
      <c r="L2328" s="1">
        <f>+K2328-J2328</f>
        <v>-5.8845726609230153E-4</v>
      </c>
      <c r="M2328" s="1">
        <v>4.6715427339076897E-3</v>
      </c>
      <c r="N2328" s="1">
        <f>+M2328-J2328</f>
        <v>-1.6588457266092312E-2</v>
      </c>
      <c r="O2328">
        <v>2.2599999999999998</v>
      </c>
      <c r="P2328" t="s">
        <v>17</v>
      </c>
      <c r="Q2328">
        <v>0</v>
      </c>
      <c r="R2328">
        <v>2.1979628294706299E-2</v>
      </c>
      <c r="S2328">
        <v>-8.2838237285613892E-3</v>
      </c>
      <c r="T2328">
        <v>-0.02</v>
      </c>
    </row>
    <row r="2329" spans="1:20" x14ac:dyDescent="0.3">
      <c r="A2329" t="s">
        <v>161</v>
      </c>
      <c r="B2329">
        <v>2015</v>
      </c>
      <c r="C2329">
        <v>631014.5</v>
      </c>
      <c r="D2329" s="1">
        <v>8.0000000000000002E-3</v>
      </c>
      <c r="E2329" s="1">
        <v>0.95957022905349698</v>
      </c>
      <c r="F2329" s="1">
        <v>-0.01</v>
      </c>
      <c r="G2329" s="1">
        <f t="shared" si="72"/>
        <v>8.1000000000000003E-2</v>
      </c>
      <c r="H2329" s="1" t="str">
        <f t="shared" si="73"/>
        <v/>
      </c>
      <c r="I2329" s="1">
        <v>0</v>
      </c>
      <c r="J2329" s="1">
        <f>+D2329-F2329+I2329*O2329</f>
        <v>1.8000000000000002E-2</v>
      </c>
      <c r="K2329" s="1">
        <v>2.29796282947063E-2</v>
      </c>
      <c r="L2329" s="1">
        <f>+K2329-J2329</f>
        <v>4.9796282947062974E-3</v>
      </c>
      <c r="M2329" s="1">
        <v>2.1979628294706299E-2</v>
      </c>
      <c r="N2329" s="1">
        <f>+M2329-J2329</f>
        <v>3.9796282947062965E-3</v>
      </c>
      <c r="O2329">
        <v>2.2400000000000002</v>
      </c>
      <c r="P2329" t="s">
        <v>17</v>
      </c>
      <c r="Q2329">
        <v>-0.01</v>
      </c>
      <c r="R2329">
        <v>1.6437270015478098E-2</v>
      </c>
      <c r="S2329">
        <v>3.2837130129336999E-3</v>
      </c>
      <c r="T2329">
        <v>0</v>
      </c>
    </row>
    <row r="2330" spans="1:20" x14ac:dyDescent="0.3">
      <c r="A2330" t="s">
        <v>161</v>
      </c>
      <c r="B2330">
        <v>2016</v>
      </c>
      <c r="C2330">
        <v>630543</v>
      </c>
      <c r="D2330" s="1">
        <v>1E-3</v>
      </c>
      <c r="E2330" s="1">
        <v>0.96751952171325695</v>
      </c>
      <c r="F2330" s="1">
        <v>0</v>
      </c>
      <c r="G2330" s="1">
        <f t="shared" si="72"/>
        <v>8.1000000000000003E-2</v>
      </c>
      <c r="H2330" s="1" t="str">
        <f t="shared" si="73"/>
        <v/>
      </c>
      <c r="I2330" s="1">
        <v>8.0000000000000002E-3</v>
      </c>
      <c r="J2330" s="1">
        <f>+D2330-F2330+I2330*O2330</f>
        <v>1.8920000000000003E-2</v>
      </c>
      <c r="K2330" s="1">
        <v>2.9437270015478099E-2</v>
      </c>
      <c r="L2330" s="1">
        <f>+K2330-J2330</f>
        <v>1.0517270015478097E-2</v>
      </c>
      <c r="M2330" s="1">
        <v>1.6437270015478098E-2</v>
      </c>
      <c r="N2330" s="1">
        <f>+M2330-J2330</f>
        <v>-2.4827299845219045E-3</v>
      </c>
      <c r="O2330">
        <v>2.2400000000000002</v>
      </c>
      <c r="P2330" t="s">
        <v>15</v>
      </c>
      <c r="Q2330">
        <v>0</v>
      </c>
      <c r="R2330">
        <v>-3.1580618023870001E-4</v>
      </c>
      <c r="S2330">
        <v>-3.1053796410559901E-3</v>
      </c>
      <c r="T2330">
        <v>0</v>
      </c>
    </row>
    <row r="2331" spans="1:20" x14ac:dyDescent="0.3">
      <c r="A2331" t="s">
        <v>161</v>
      </c>
      <c r="B2331">
        <v>2017</v>
      </c>
      <c r="C2331">
        <v>630207.0625</v>
      </c>
      <c r="D2331" s="1">
        <v>6.0000000000000001E-3</v>
      </c>
      <c r="E2331" s="1">
        <v>0.97305589914321899</v>
      </c>
      <c r="F2331" s="1">
        <v>0.01</v>
      </c>
      <c r="G2331" s="1">
        <f t="shared" si="72"/>
        <v>9.0999999999999998E-2</v>
      </c>
      <c r="H2331" s="1" t="str">
        <f t="shared" si="73"/>
        <v/>
      </c>
      <c r="I2331" s="1">
        <v>6.0000000000000001E-3</v>
      </c>
      <c r="J2331" s="1">
        <f>+D2331-F2331+I2331*O2331</f>
        <v>9.5599999999999991E-3</v>
      </c>
      <c r="K2331" s="1">
        <v>2.0684193819761301E-2</v>
      </c>
      <c r="L2331" s="1">
        <f>+K2331-J2331</f>
        <v>1.1124193819761301E-2</v>
      </c>
      <c r="M2331" s="1">
        <v>-3.1580618023870001E-4</v>
      </c>
      <c r="N2331" s="1">
        <f>+M2331-J2331</f>
        <v>-9.8758061802386998E-3</v>
      </c>
      <c r="O2331">
        <v>2.2599999999999998</v>
      </c>
      <c r="P2331" t="s">
        <v>15</v>
      </c>
      <c r="Q2331">
        <v>0</v>
      </c>
      <c r="R2331">
        <v>2.37387122809887E-2</v>
      </c>
      <c r="S2331">
        <v>1.46036893129349E-2</v>
      </c>
      <c r="T2331">
        <v>0.01</v>
      </c>
    </row>
    <row r="2332" spans="1:20" x14ac:dyDescent="0.3">
      <c r="A2332" t="s">
        <v>161</v>
      </c>
      <c r="B2332">
        <v>2018</v>
      </c>
      <c r="C2332">
        <v>630351</v>
      </c>
      <c r="D2332" s="1">
        <v>0.01</v>
      </c>
      <c r="E2332" s="1">
        <v>0.97275865077972401</v>
      </c>
      <c r="F2332" s="1">
        <v>-4.3999999999999997E-2</v>
      </c>
      <c r="G2332" s="1">
        <f t="shared" si="72"/>
        <v>4.7E-2</v>
      </c>
      <c r="H2332" s="1" t="str">
        <f t="shared" si="73"/>
        <v/>
      </c>
      <c r="I2332" s="1">
        <v>0</v>
      </c>
      <c r="J2332" s="1">
        <f>+D2332-F2332+I2332*O2332</f>
        <v>5.3999999999999999E-2</v>
      </c>
      <c r="K2332" s="1">
        <v>4.77387122809887E-2</v>
      </c>
      <c r="L2332" s="1">
        <f>+K2332-J2332</f>
        <v>-6.2612877190112992E-3</v>
      </c>
      <c r="M2332" s="1">
        <v>2.37387122809887E-2</v>
      </c>
      <c r="N2332" s="1">
        <f>+M2332-J2332</f>
        <v>-3.02612877190113E-2</v>
      </c>
      <c r="O2332">
        <v>2.16</v>
      </c>
      <c r="P2332" t="s">
        <v>16</v>
      </c>
      <c r="Q2332">
        <v>0.01</v>
      </c>
      <c r="R2332">
        <v>6.6136933565140001E-3</v>
      </c>
      <c r="S2332">
        <v>-1.11875012516975E-2</v>
      </c>
      <c r="T2332">
        <v>-0.03</v>
      </c>
    </row>
    <row r="2333" spans="1:20" x14ac:dyDescent="0.3">
      <c r="A2333" t="s">
        <v>161</v>
      </c>
      <c r="B2333">
        <v>2019</v>
      </c>
      <c r="C2333">
        <v>628780.375</v>
      </c>
      <c r="D2333" s="1">
        <v>7.0000000000000001E-3</v>
      </c>
      <c r="E2333" s="1">
        <v>0.96427899599075295</v>
      </c>
      <c r="F2333" s="1">
        <v>-2.1000000000000001E-2</v>
      </c>
      <c r="G2333" s="1">
        <f t="shared" si="72"/>
        <v>2.5999999999999999E-2</v>
      </c>
      <c r="H2333" s="1" t="str">
        <f t="shared" si="73"/>
        <v/>
      </c>
      <c r="I2333" s="1">
        <v>-8.0000000000000002E-3</v>
      </c>
      <c r="J2333" s="1">
        <f>+D2333-F2333+I2333*O2333</f>
        <v>1.1120000000000001E-2</v>
      </c>
      <c r="K2333" s="1">
        <v>2.4613693356514001E-2</v>
      </c>
      <c r="L2333" s="1">
        <f>+K2333-J2333</f>
        <v>1.3493693356514E-2</v>
      </c>
      <c r="M2333" s="1">
        <v>6.6136933565140001E-3</v>
      </c>
      <c r="N2333" s="1">
        <f>+M2333-J2333</f>
        <v>-4.5063066434860013E-3</v>
      </c>
      <c r="O2333">
        <v>2.11</v>
      </c>
      <c r="P2333" t="s">
        <v>16</v>
      </c>
      <c r="Q2333">
        <v>-0.01</v>
      </c>
      <c r="R2333">
        <v>2.7492204785346998E-2</v>
      </c>
      <c r="S2333">
        <v>8.6430143564939898E-3</v>
      </c>
      <c r="T2333">
        <v>-0.01</v>
      </c>
    </row>
    <row r="2334" spans="1:20" x14ac:dyDescent="0.3">
      <c r="A2334" t="s">
        <v>161</v>
      </c>
      <c r="B2334">
        <v>2020</v>
      </c>
      <c r="C2334">
        <v>616135.0625</v>
      </c>
      <c r="D2334" s="1">
        <v>1E-3</v>
      </c>
      <c r="E2334" s="1">
        <v>0.97754782438278198</v>
      </c>
      <c r="F2334" s="1">
        <v>-1.2E-2</v>
      </c>
      <c r="G2334" s="1">
        <f t="shared" si="72"/>
        <v>1.3999999999999999E-2</v>
      </c>
      <c r="H2334" s="1" t="str">
        <f t="shared" si="73"/>
        <v/>
      </c>
      <c r="I2334" s="1">
        <v>1.2999999999999999E-2</v>
      </c>
      <c r="J2334" s="1">
        <f>+D2334-F2334+I2334*O2334</f>
        <v>4.0169999999999997E-2</v>
      </c>
      <c r="K2334" s="1">
        <v>3.9492204785346999E-2</v>
      </c>
      <c r="L2334" s="1">
        <f>+K2334-J2334</f>
        <v>-6.7779521465299863E-4</v>
      </c>
      <c r="M2334" s="1">
        <v>2.7492204785346998E-2</v>
      </c>
      <c r="N2334" s="1">
        <f>+M2334-J2334</f>
        <v>-1.2677795214652999E-2</v>
      </c>
      <c r="O2334">
        <v>2.09</v>
      </c>
      <c r="P2334" t="s">
        <v>17</v>
      </c>
      <c r="Q2334">
        <v>0.01</v>
      </c>
      <c r="R2334">
        <v>1.1950833976268799E-2</v>
      </c>
      <c r="S2334">
        <v>-3.1638778746128103E-2</v>
      </c>
      <c r="T2334">
        <v>0.03</v>
      </c>
    </row>
    <row r="2335" spans="1:20" x14ac:dyDescent="0.3">
      <c r="A2335" t="s">
        <v>161</v>
      </c>
      <c r="B2335">
        <v>2021</v>
      </c>
      <c r="C2335">
        <v>627351.6875</v>
      </c>
      <c r="D2335" s="1">
        <v>6.0000000000000001E-3</v>
      </c>
      <c r="E2335" s="1">
        <v>0.97841960191726696</v>
      </c>
      <c r="F2335" s="1">
        <v>2.5999999999999999E-2</v>
      </c>
      <c r="G2335" s="1">
        <f t="shared" si="72"/>
        <v>3.9999999999999994E-2</v>
      </c>
      <c r="H2335" s="1" t="str">
        <f t="shared" si="73"/>
        <v/>
      </c>
      <c r="I2335" s="1">
        <v>1E-3</v>
      </c>
      <c r="J2335" s="1">
        <f>+D2335-F2335+I2335*O2335</f>
        <v>-1.7859999999999997E-2</v>
      </c>
      <c r="K2335" s="1">
        <v>5.8950833976268803E-2</v>
      </c>
      <c r="L2335" s="1">
        <f>+K2335-J2335</f>
        <v>7.6810833976268797E-2</v>
      </c>
      <c r="M2335" s="1">
        <v>1.1950833976268799E-2</v>
      </c>
      <c r="N2335" s="1">
        <f>+M2335-J2335</f>
        <v>2.9810833976268797E-2</v>
      </c>
      <c r="O2335">
        <v>2.14</v>
      </c>
      <c r="P2335" t="s">
        <v>15</v>
      </c>
      <c r="Q2335">
        <v>-0.03</v>
      </c>
      <c r="R2335">
        <v>-2.04611364006996E-2</v>
      </c>
      <c r="S2335">
        <v>1.1642370373010601E-2</v>
      </c>
      <c r="T2335">
        <v>0</v>
      </c>
    </row>
    <row r="2336" spans="1:20" x14ac:dyDescent="0.3">
      <c r="A2336" t="s">
        <v>161</v>
      </c>
      <c r="B2336">
        <v>2022</v>
      </c>
      <c r="C2336">
        <v>626967.75</v>
      </c>
      <c r="D2336" s="1">
        <v>2E-3</v>
      </c>
      <c r="E2336" s="1">
        <v>0.97706264257430997</v>
      </c>
      <c r="F2336" s="1">
        <v>-0.05</v>
      </c>
      <c r="G2336" s="1">
        <f t="shared" si="72"/>
        <v>-1.0000000000000009E-2</v>
      </c>
      <c r="H2336" s="1" t="str">
        <f t="shared" si="73"/>
        <v/>
      </c>
      <c r="I2336" s="1">
        <v>-1E-3</v>
      </c>
      <c r="J2336" s="1">
        <f>+D2336-F2336+I2336*O2336</f>
        <v>4.9960000000000004E-2</v>
      </c>
      <c r="K2336" s="1">
        <v>5.9538863599300398E-2</v>
      </c>
      <c r="L2336" s="1">
        <f>+K2336-J2336</f>
        <v>9.578863599300394E-3</v>
      </c>
      <c r="M2336" s="1">
        <v>-2.04611364006996E-2</v>
      </c>
      <c r="N2336" s="1">
        <f>+M2336-J2336</f>
        <v>-7.0421136400699608E-2</v>
      </c>
      <c r="O2336">
        <v>2.04</v>
      </c>
      <c r="P2336" t="s">
        <v>16</v>
      </c>
      <c r="Q2336">
        <v>0.01</v>
      </c>
      <c r="R2336">
        <v>1.39501217901706E-2</v>
      </c>
      <c r="S2336">
        <v>3.3509049564599998E-2</v>
      </c>
      <c r="T2336">
        <v>-0.03</v>
      </c>
    </row>
    <row r="2337" spans="1:20" x14ac:dyDescent="0.3">
      <c r="A2337" t="s">
        <v>162</v>
      </c>
      <c r="B2337">
        <v>2006</v>
      </c>
      <c r="C2337">
        <v>416082.09379999997</v>
      </c>
      <c r="D2337" s="1">
        <v>6.7000000000000004E-2</v>
      </c>
      <c r="E2337" s="1">
        <v>0.93745321035385099</v>
      </c>
      <c r="F2337" s="1">
        <v>1.7000000000000001E-2</v>
      </c>
      <c r="G2337" s="1">
        <f t="shared" si="72"/>
        <v>1.7000000000000001E-2</v>
      </c>
      <c r="H2337" s="1" t="str">
        <f t="shared" si="73"/>
        <v/>
      </c>
      <c r="I2337" s="1">
        <v>1E-3</v>
      </c>
      <c r="J2337" s="1">
        <f>+D2337-F2337+I2337*O2337</f>
        <v>5.2160000000000005E-2</v>
      </c>
      <c r="K2337" s="1">
        <v>1.9835401326417899E-2</v>
      </c>
      <c r="L2337" s="1">
        <f>+K2337-J2337</f>
        <v>-3.2324598673582103E-2</v>
      </c>
      <c r="M2337" s="1">
        <v>-1.21645986735821E-2</v>
      </c>
      <c r="N2337" s="1">
        <f>+M2337-J2337</f>
        <v>-6.4324598673582103E-2</v>
      </c>
      <c r="O2337">
        <v>2.16</v>
      </c>
      <c r="P2337" t="s">
        <v>15</v>
      </c>
      <c r="Q2337">
        <v>-0.02</v>
      </c>
      <c r="R2337">
        <v>-9.5958289653063009E-3</v>
      </c>
      <c r="S2337">
        <v>-8.6740730330347997E-3</v>
      </c>
      <c r="T2337">
        <v>0.02</v>
      </c>
    </row>
    <row r="2338" spans="1:20" x14ac:dyDescent="0.3">
      <c r="A2338" t="s">
        <v>162</v>
      </c>
      <c r="B2338">
        <v>2007</v>
      </c>
      <c r="C2338">
        <v>424664.71879999997</v>
      </c>
      <c r="D2338" s="1">
        <v>7.3999999999999996E-2</v>
      </c>
      <c r="E2338" s="1">
        <v>0.92825585603714</v>
      </c>
      <c r="F2338" s="1">
        <v>-4.5999999999999999E-2</v>
      </c>
      <c r="G2338" s="1">
        <f t="shared" si="72"/>
        <v>-2.8999999999999998E-2</v>
      </c>
      <c r="H2338" s="1" t="str">
        <f t="shared" si="73"/>
        <v/>
      </c>
      <c r="I2338" s="1">
        <v>-8.9999999999999993E-3</v>
      </c>
      <c r="J2338" s="1">
        <f>+D2338-F2338+I2338*O2338</f>
        <v>0.10137</v>
      </c>
      <c r="K2338" s="1">
        <v>1.9404171034693701E-2</v>
      </c>
      <c r="L2338" s="1">
        <f>+K2338-J2338</f>
        <v>-8.1965828965306298E-2</v>
      </c>
      <c r="M2338" s="1">
        <v>-9.5958289653063009E-3</v>
      </c>
      <c r="N2338" s="1">
        <f>+M2338-J2338</f>
        <v>-0.1109658289653063</v>
      </c>
      <c r="O2338">
        <v>2.0699999999999998</v>
      </c>
      <c r="P2338" t="s">
        <v>16</v>
      </c>
      <c r="Q2338">
        <v>-0.01</v>
      </c>
      <c r="R2338">
        <v>-2.2904516488313698E-2</v>
      </c>
      <c r="S2338">
        <v>6.6062877885997E-3</v>
      </c>
      <c r="T2338">
        <v>-0.05</v>
      </c>
    </row>
    <row r="2339" spans="1:20" x14ac:dyDescent="0.3">
      <c r="A2339" t="s">
        <v>162</v>
      </c>
      <c r="B2339">
        <v>2008</v>
      </c>
      <c r="C2339">
        <v>430540</v>
      </c>
      <c r="D2339" s="1">
        <v>5.6000000000000001E-2</v>
      </c>
      <c r="E2339" s="1">
        <v>0.94385057687759399</v>
      </c>
      <c r="F2339" s="1">
        <v>0.114</v>
      </c>
      <c r="G2339" s="1">
        <f t="shared" si="72"/>
        <v>8.5000000000000006E-2</v>
      </c>
      <c r="H2339" s="1" t="str">
        <f t="shared" si="73"/>
        <v/>
      </c>
      <c r="I2339" s="1">
        <v>1.6E-2</v>
      </c>
      <c r="J2339" s="1">
        <f>+D2339-F2339+I2339*O2339</f>
        <v>-2.1200000000000004E-2</v>
      </c>
      <c r="K2339" s="1">
        <v>1.5095483511686301E-2</v>
      </c>
      <c r="L2339" s="1">
        <f>+K2339-J2339</f>
        <v>3.6295483511686308E-2</v>
      </c>
      <c r="M2339" s="1">
        <v>-2.2904516488313698E-2</v>
      </c>
      <c r="N2339" s="1">
        <f>+M2339-J2339</f>
        <v>-1.7045164883136947E-3</v>
      </c>
      <c r="O2339">
        <v>2.2999999999999998</v>
      </c>
      <c r="P2339" t="s">
        <v>15</v>
      </c>
      <c r="Q2339">
        <v>0.01</v>
      </c>
      <c r="R2339">
        <v>-1.56040030568838E-2</v>
      </c>
      <c r="S2339">
        <v>1.0962698608636801E-2</v>
      </c>
      <c r="T2339">
        <v>0.11</v>
      </c>
    </row>
    <row r="2340" spans="1:20" x14ac:dyDescent="0.3">
      <c r="A2340" t="s">
        <v>162</v>
      </c>
      <c r="B2340">
        <v>2009</v>
      </c>
      <c r="C2340">
        <v>435040.3125</v>
      </c>
      <c r="D2340" s="1">
        <v>2.4E-2</v>
      </c>
      <c r="E2340" s="1">
        <v>0.94093763828277599</v>
      </c>
      <c r="F2340" s="1">
        <v>-0.08</v>
      </c>
      <c r="G2340" s="1">
        <f t="shared" si="72"/>
        <v>5.0000000000000044E-3</v>
      </c>
      <c r="H2340" s="1" t="str">
        <f t="shared" si="73"/>
        <v/>
      </c>
      <c r="I2340" s="1">
        <v>-3.0000000000000001E-3</v>
      </c>
      <c r="J2340" s="1">
        <f>+D2340-F2340+I2340*O2340</f>
        <v>9.7640000000000005E-2</v>
      </c>
      <c r="K2340" s="1">
        <v>-1.9604003056883802E-2</v>
      </c>
      <c r="L2340" s="1">
        <f>+K2340-J2340</f>
        <v>-0.1172440030568838</v>
      </c>
      <c r="M2340" s="1">
        <v>-1.56040030568838E-2</v>
      </c>
      <c r="N2340" s="1">
        <f>+M2340-J2340</f>
        <v>-0.1132440030568838</v>
      </c>
      <c r="O2340">
        <v>2.12</v>
      </c>
      <c r="P2340" t="s">
        <v>16</v>
      </c>
      <c r="Q2340">
        <v>0.01</v>
      </c>
      <c r="R2340">
        <v>-1.72574878055602E-2</v>
      </c>
      <c r="S2340">
        <v>-7.7973790466785396E-3</v>
      </c>
      <c r="T2340">
        <v>-0.1</v>
      </c>
    </row>
    <row r="2341" spans="1:20" x14ac:dyDescent="0.3">
      <c r="A2341" t="s">
        <v>162</v>
      </c>
      <c r="B2341">
        <v>2010</v>
      </c>
      <c r="C2341">
        <v>438222.28129999997</v>
      </c>
      <c r="D2341" s="1">
        <v>1.6E-2</v>
      </c>
      <c r="E2341" s="1">
        <v>0.92502528429031405</v>
      </c>
      <c r="F2341" s="1">
        <v>5.6000000000000001E-2</v>
      </c>
      <c r="G2341" s="1">
        <f t="shared" si="72"/>
        <v>6.1000000000000006E-2</v>
      </c>
      <c r="H2341" s="1" t="str">
        <f t="shared" si="73"/>
        <v/>
      </c>
      <c r="I2341" s="1">
        <v>-1.6E-2</v>
      </c>
      <c r="J2341" s="1">
        <f>+D2341-F2341+I2341*O2341</f>
        <v>-7.5840000000000005E-2</v>
      </c>
      <c r="K2341" s="1">
        <v>-1.2574878055602299E-3</v>
      </c>
      <c r="L2341" s="1">
        <f>+K2341-J2341</f>
        <v>7.4582512194439773E-2</v>
      </c>
      <c r="M2341" s="1">
        <v>-1.72574878055602E-2</v>
      </c>
      <c r="N2341" s="1">
        <f>+M2341-J2341</f>
        <v>5.8582512194439801E-2</v>
      </c>
      <c r="O2341">
        <v>2.2400000000000002</v>
      </c>
      <c r="P2341" t="s">
        <v>17</v>
      </c>
      <c r="Q2341">
        <v>-0.01</v>
      </c>
      <c r="R2341">
        <v>-2.3078168153762801E-2</v>
      </c>
      <c r="S2341">
        <v>-1.7943936400115199E-3</v>
      </c>
      <c r="T2341">
        <v>0.05</v>
      </c>
    </row>
    <row r="2342" spans="1:20" x14ac:dyDescent="0.3">
      <c r="A2342" t="s">
        <v>162</v>
      </c>
      <c r="B2342">
        <v>2011</v>
      </c>
      <c r="C2342">
        <v>441633.59379999997</v>
      </c>
      <c r="D2342" s="1">
        <v>1E-3</v>
      </c>
      <c r="E2342" s="1">
        <v>0.93335872888565097</v>
      </c>
      <c r="F2342" s="1">
        <v>-1.4999999999999999E-2</v>
      </c>
      <c r="G2342" s="1">
        <f t="shared" si="72"/>
        <v>4.6000000000000006E-2</v>
      </c>
      <c r="H2342" s="1" t="str">
        <f t="shared" si="73"/>
        <v/>
      </c>
      <c r="I2342" s="1">
        <v>8.0000000000000002E-3</v>
      </c>
      <c r="J2342" s="1">
        <f>+D2342-F2342+I2342*O2342</f>
        <v>3.3600000000000005E-2</v>
      </c>
      <c r="K2342" s="1">
        <v>8.9218318462371791E-3</v>
      </c>
      <c r="L2342" s="1">
        <f>+K2342-J2342</f>
        <v>-2.4678168153762826E-2</v>
      </c>
      <c r="M2342" s="1">
        <v>-2.3078168153762801E-2</v>
      </c>
      <c r="N2342" s="1">
        <f>+M2342-J2342</f>
        <v>-5.6678168153762809E-2</v>
      </c>
      <c r="O2342">
        <v>2.2000000000000002</v>
      </c>
      <c r="P2342" t="s">
        <v>17</v>
      </c>
      <c r="Q2342">
        <v>0</v>
      </c>
      <c r="R2342">
        <v>-1.14799684882164E-2</v>
      </c>
      <c r="S2342">
        <v>-6.0417624190450001E-3</v>
      </c>
      <c r="T2342">
        <v>-0.01</v>
      </c>
    </row>
    <row r="2343" spans="1:20" x14ac:dyDescent="0.3">
      <c r="A2343" t="s">
        <v>162</v>
      </c>
      <c r="B2343">
        <v>2012</v>
      </c>
      <c r="C2343">
        <v>445805</v>
      </c>
      <c r="D2343" s="1">
        <v>0</v>
      </c>
      <c r="E2343" s="1">
        <v>0.94206058979034402</v>
      </c>
      <c r="F2343" s="1">
        <v>-8.9999999999999993E-3</v>
      </c>
      <c r="G2343" s="1">
        <f t="shared" si="72"/>
        <v>3.7000000000000005E-2</v>
      </c>
      <c r="H2343" s="1" t="str">
        <f t="shared" si="73"/>
        <v/>
      </c>
      <c r="I2343" s="1">
        <v>8.9999999999999993E-3</v>
      </c>
      <c r="J2343" s="1">
        <f>+D2343-F2343+I2343*O2343</f>
        <v>2.862E-2</v>
      </c>
      <c r="K2343" s="1">
        <v>9.5200315117835999E-3</v>
      </c>
      <c r="L2343" s="1">
        <f>+K2343-J2343</f>
        <v>-1.90999684882164E-2</v>
      </c>
      <c r="M2343" s="1">
        <v>-1.14799684882164E-2</v>
      </c>
      <c r="N2343" s="1">
        <f>+M2343-J2343</f>
        <v>-4.0099968488216398E-2</v>
      </c>
      <c r="O2343">
        <v>2.1800000000000002</v>
      </c>
      <c r="P2343" t="s">
        <v>17</v>
      </c>
      <c r="Q2343">
        <v>-0.01</v>
      </c>
      <c r="R2343">
        <v>-1.9830626994370901E-3</v>
      </c>
      <c r="S2343">
        <v>-8.1098340451716995E-3</v>
      </c>
      <c r="T2343">
        <v>-0.01</v>
      </c>
    </row>
    <row r="2344" spans="1:20" x14ac:dyDescent="0.3">
      <c r="A2344" t="s">
        <v>162</v>
      </c>
      <c r="B2344">
        <v>2013</v>
      </c>
      <c r="C2344">
        <v>449762.3125</v>
      </c>
      <c r="D2344" s="1">
        <v>2E-3</v>
      </c>
      <c r="E2344" s="1">
        <v>0.93958026170730602</v>
      </c>
      <c r="F2344" s="1">
        <v>4.3999999999999997E-2</v>
      </c>
      <c r="G2344" s="1">
        <f t="shared" si="72"/>
        <v>8.1000000000000003E-2</v>
      </c>
      <c r="H2344" s="1" t="str">
        <f t="shared" si="73"/>
        <v/>
      </c>
      <c r="I2344" s="1">
        <v>-2E-3</v>
      </c>
      <c r="J2344" s="1">
        <f>+D2344-F2344+I2344*O2344</f>
        <v>-4.6559999999999997E-2</v>
      </c>
      <c r="K2344" s="1">
        <v>1.30169373005629E-2</v>
      </c>
      <c r="L2344" s="1">
        <f>+K2344-J2344</f>
        <v>5.9576937300562897E-2</v>
      </c>
      <c r="M2344" s="1">
        <v>-1.9830626994370901E-3</v>
      </c>
      <c r="N2344" s="1">
        <f>+M2344-J2344</f>
        <v>4.4576937300562905E-2</v>
      </c>
      <c r="O2344">
        <v>2.2799999999999998</v>
      </c>
      <c r="P2344" t="s">
        <v>17</v>
      </c>
      <c r="Q2344">
        <v>-0.01</v>
      </c>
      <c r="R2344">
        <v>-3.8640612587333002E-3</v>
      </c>
      <c r="S2344">
        <v>-5.8720847591758E-3</v>
      </c>
      <c r="T2344">
        <v>0.04</v>
      </c>
    </row>
    <row r="2345" spans="1:20" x14ac:dyDescent="0.3">
      <c r="A2345" t="s">
        <v>162</v>
      </c>
      <c r="B2345">
        <v>2014</v>
      </c>
      <c r="C2345">
        <v>453326.1875</v>
      </c>
      <c r="D2345" s="1">
        <v>4.0000000000000001E-3</v>
      </c>
      <c r="E2345" s="1">
        <v>0.94142460823059104</v>
      </c>
      <c r="F2345" s="1">
        <v>-5.0000000000000001E-3</v>
      </c>
      <c r="G2345" s="1">
        <f t="shared" si="72"/>
        <v>7.5999999999999998E-2</v>
      </c>
      <c r="H2345" s="1" t="str">
        <f t="shared" si="73"/>
        <v/>
      </c>
      <c r="I2345" s="1">
        <v>2E-3</v>
      </c>
      <c r="J2345" s="1">
        <f>+D2345-F2345+I2345*O2345</f>
        <v>1.354E-2</v>
      </c>
      <c r="K2345" s="1">
        <v>1.21359387412667E-2</v>
      </c>
      <c r="L2345" s="1">
        <f>+K2345-J2345</f>
        <v>-1.4040612587333003E-3</v>
      </c>
      <c r="M2345" s="1">
        <v>-3.8640612587333002E-3</v>
      </c>
      <c r="N2345" s="1">
        <f>+M2345-J2345</f>
        <v>-1.7404061258733301E-2</v>
      </c>
      <c r="O2345">
        <v>2.27</v>
      </c>
      <c r="P2345" t="s">
        <v>17</v>
      </c>
      <c r="Q2345">
        <v>-0.01</v>
      </c>
      <c r="R2345">
        <v>2.5876162737608E-2</v>
      </c>
      <c r="S2345">
        <v>-4.3872892856596903E-3</v>
      </c>
      <c r="T2345">
        <v>-0.01</v>
      </c>
    </row>
    <row r="2346" spans="1:20" x14ac:dyDescent="0.3">
      <c r="A2346" t="s">
        <v>162</v>
      </c>
      <c r="B2346">
        <v>2015</v>
      </c>
      <c r="C2346">
        <v>457080.1875</v>
      </c>
      <c r="D2346" s="1">
        <v>8.9999999999999993E-3</v>
      </c>
      <c r="E2346" s="1">
        <v>0.94652885198593095</v>
      </c>
      <c r="F2346" s="1">
        <v>8.0000000000000002E-3</v>
      </c>
      <c r="G2346" s="1">
        <f t="shared" si="72"/>
        <v>8.3999999999999991E-2</v>
      </c>
      <c r="H2346" s="1" t="str">
        <f t="shared" si="73"/>
        <v/>
      </c>
      <c r="I2346" s="1">
        <v>5.0000000000000001E-3</v>
      </c>
      <c r="J2346" s="1">
        <f>+D2346-F2346+I2346*O2346</f>
        <v>1.2449999999999999E-2</v>
      </c>
      <c r="K2346" s="1">
        <v>2.6876162737608001E-2</v>
      </c>
      <c r="L2346" s="1">
        <f>+K2346-J2346</f>
        <v>1.4426162737608002E-2</v>
      </c>
      <c r="M2346" s="1">
        <v>2.5876162737608E-2</v>
      </c>
      <c r="N2346" s="1">
        <f>+M2346-J2346</f>
        <v>1.3426162737608001E-2</v>
      </c>
      <c r="O2346">
        <v>2.29</v>
      </c>
      <c r="P2346" t="s">
        <v>15</v>
      </c>
      <c r="Q2346">
        <v>0</v>
      </c>
      <c r="R2346">
        <v>1.6360659420490298E-2</v>
      </c>
      <c r="S2346">
        <v>3.2071024179459E-3</v>
      </c>
      <c r="T2346">
        <v>0.02</v>
      </c>
    </row>
    <row r="2347" spans="1:20" x14ac:dyDescent="0.3">
      <c r="A2347" t="s">
        <v>162</v>
      </c>
      <c r="B2347">
        <v>2016</v>
      </c>
      <c r="C2347">
        <v>460103.59379999997</v>
      </c>
      <c r="D2347" s="1">
        <v>8.0000000000000002E-3</v>
      </c>
      <c r="E2347" s="1">
        <v>0.94164985418319702</v>
      </c>
      <c r="F2347" s="1">
        <v>-2.9000000000000001E-2</v>
      </c>
      <c r="G2347" s="1">
        <f t="shared" si="72"/>
        <v>5.4999999999999993E-2</v>
      </c>
      <c r="H2347" s="1" t="str">
        <f t="shared" si="73"/>
        <v/>
      </c>
      <c r="I2347" s="1">
        <v>-5.0000000000000001E-3</v>
      </c>
      <c r="J2347" s="1">
        <f>+D2347-F2347+I2347*O2347</f>
        <v>2.5900000000000006E-2</v>
      </c>
      <c r="K2347" s="1">
        <v>2.93606594204903E-2</v>
      </c>
      <c r="L2347" s="1">
        <f>+K2347-J2347</f>
        <v>3.4606594204902932E-3</v>
      </c>
      <c r="M2347" s="1">
        <v>1.6360659420490298E-2</v>
      </c>
      <c r="N2347" s="1">
        <f>+M2347-J2347</f>
        <v>-9.5393405795097079E-3</v>
      </c>
      <c r="O2347">
        <v>2.2200000000000002</v>
      </c>
      <c r="P2347" t="s">
        <v>16</v>
      </c>
      <c r="Q2347">
        <v>0</v>
      </c>
      <c r="R2347">
        <v>8.0587686598299698E-4</v>
      </c>
      <c r="S2347">
        <v>-1.9836965948342999E-3</v>
      </c>
      <c r="T2347">
        <v>-0.03</v>
      </c>
    </row>
    <row r="2348" spans="1:20" x14ac:dyDescent="0.3">
      <c r="A2348" t="s">
        <v>162</v>
      </c>
      <c r="B2348">
        <v>2017</v>
      </c>
      <c r="C2348">
        <v>464471.59379999997</v>
      </c>
      <c r="D2348" s="1">
        <v>2.1000000000000001E-2</v>
      </c>
      <c r="E2348" s="1">
        <v>0.93554365634918202</v>
      </c>
      <c r="F2348" s="1">
        <v>-7.4999999999999997E-2</v>
      </c>
      <c r="G2348" s="1">
        <f t="shared" si="72"/>
        <v>-2.0000000000000004E-2</v>
      </c>
      <c r="H2348" s="1" t="str">
        <f t="shared" si="73"/>
        <v/>
      </c>
      <c r="I2348" s="1">
        <v>-6.0000000000000001E-3</v>
      </c>
      <c r="J2348" s="1">
        <f>+D2348-F2348+I2348*O2348</f>
        <v>8.3699999999999997E-2</v>
      </c>
      <c r="K2348" s="1">
        <v>2.1805876865982999E-2</v>
      </c>
      <c r="L2348" s="1">
        <f>+K2348-J2348</f>
        <v>-6.1894123134017001E-2</v>
      </c>
      <c r="M2348" s="1">
        <v>8.0587686598299698E-4</v>
      </c>
      <c r="N2348" s="1">
        <f>+M2348-J2348</f>
        <v>-8.2894123134017006E-2</v>
      </c>
      <c r="O2348">
        <v>2.0499999999999998</v>
      </c>
      <c r="P2348" t="s">
        <v>16</v>
      </c>
      <c r="Q2348">
        <v>0</v>
      </c>
      <c r="R2348">
        <v>1.03276431560498E-4</v>
      </c>
      <c r="S2348">
        <v>-9.0317465364932892E-3</v>
      </c>
      <c r="T2348">
        <v>-7.0000000000000007E-2</v>
      </c>
    </row>
    <row r="2349" spans="1:20" x14ac:dyDescent="0.3">
      <c r="A2349" t="s">
        <v>162</v>
      </c>
      <c r="B2349">
        <v>2018</v>
      </c>
      <c r="C2349">
        <v>468854.875</v>
      </c>
      <c r="D2349" s="1">
        <v>0.03</v>
      </c>
      <c r="E2349" s="1">
        <v>0.94825220108032204</v>
      </c>
      <c r="F2349" s="1">
        <v>5.7000000000000002E-2</v>
      </c>
      <c r="G2349" s="1">
        <f t="shared" si="72"/>
        <v>3.6999999999999998E-2</v>
      </c>
      <c r="H2349" s="1" t="str">
        <f t="shared" si="73"/>
        <v/>
      </c>
      <c r="I2349" s="1">
        <v>1.2999999999999999E-2</v>
      </c>
      <c r="J2349" s="1">
        <f>+D2349-F2349+I2349*O2349</f>
        <v>1.2099999999999958E-3</v>
      </c>
      <c r="K2349" s="1">
        <v>2.4103276431560499E-2</v>
      </c>
      <c r="L2349" s="1">
        <f>+K2349-J2349</f>
        <v>2.2893276431560503E-2</v>
      </c>
      <c r="M2349" s="1">
        <v>1.03276431560498E-4</v>
      </c>
      <c r="N2349" s="1">
        <f>+M2349-J2349</f>
        <v>-1.1067235684394977E-3</v>
      </c>
      <c r="O2349">
        <v>2.17</v>
      </c>
      <c r="P2349" t="s">
        <v>15</v>
      </c>
      <c r="Q2349">
        <v>-0.01</v>
      </c>
      <c r="R2349">
        <v>9.2566322237252995E-3</v>
      </c>
      <c r="S2349">
        <v>-8.5445623844862002E-3</v>
      </c>
      <c r="T2349">
        <v>7.0000000000000007E-2</v>
      </c>
    </row>
    <row r="2350" spans="1:20" x14ac:dyDescent="0.3">
      <c r="A2350" t="s">
        <v>162</v>
      </c>
      <c r="B2350">
        <v>2019</v>
      </c>
      <c r="C2350">
        <v>473242.3125</v>
      </c>
      <c r="D2350" s="1">
        <v>1.4E-2</v>
      </c>
      <c r="E2350" s="1">
        <v>0.94569313526153598</v>
      </c>
      <c r="F2350" s="1">
        <v>-6.4000000000000001E-2</v>
      </c>
      <c r="G2350" s="1">
        <f t="shared" si="72"/>
        <v>-2.7000000000000003E-2</v>
      </c>
      <c r="H2350" s="1" t="str">
        <f t="shared" si="73"/>
        <v/>
      </c>
      <c r="I2350" s="1">
        <v>-3.0000000000000001E-3</v>
      </c>
      <c r="J2350" s="1">
        <f>+D2350-F2350+I2350*O2350</f>
        <v>7.1910000000000002E-2</v>
      </c>
      <c r="K2350" s="1">
        <v>2.7256632223725302E-2</v>
      </c>
      <c r="L2350" s="1">
        <f>+K2350-J2350</f>
        <v>-4.4653367776274697E-2</v>
      </c>
      <c r="M2350" s="1">
        <v>9.2566322237252995E-3</v>
      </c>
      <c r="N2350" s="1">
        <f>+M2350-J2350</f>
        <v>-6.2653367776274699E-2</v>
      </c>
      <c r="O2350">
        <v>2.0299999999999998</v>
      </c>
      <c r="P2350" t="s">
        <v>16</v>
      </c>
      <c r="Q2350">
        <v>-0.01</v>
      </c>
      <c r="R2350">
        <v>2.0427925616502699E-2</v>
      </c>
      <c r="S2350">
        <v>1.57873518764979E-3</v>
      </c>
      <c r="T2350">
        <v>-0.06</v>
      </c>
    </row>
    <row r="2351" spans="1:20" x14ac:dyDescent="0.3">
      <c r="A2351" t="s">
        <v>162</v>
      </c>
      <c r="B2351">
        <v>2020</v>
      </c>
      <c r="C2351">
        <v>477712.5</v>
      </c>
      <c r="D2351" s="1">
        <v>1.0999999999999999E-2</v>
      </c>
      <c r="E2351" s="1">
        <v>0.96214109659194902</v>
      </c>
      <c r="F2351" s="1">
        <v>-5.8999999999999997E-2</v>
      </c>
      <c r="G2351" s="1">
        <f t="shared" si="72"/>
        <v>-8.5999999999999993E-2</v>
      </c>
      <c r="H2351" s="1" t="str">
        <f t="shared" si="73"/>
        <v/>
      </c>
      <c r="I2351" s="1">
        <v>1.6E-2</v>
      </c>
      <c r="J2351" s="1">
        <f>+D2351-F2351+I2351*O2351</f>
        <v>0.10056</v>
      </c>
      <c r="K2351" s="1">
        <v>3.2427925616502797E-2</v>
      </c>
      <c r="L2351" s="1">
        <f>+K2351-J2351</f>
        <v>-6.8132074383497193E-2</v>
      </c>
      <c r="M2351" s="1">
        <v>2.0427925616502699E-2</v>
      </c>
      <c r="N2351" s="1">
        <f>+M2351-J2351</f>
        <v>-8.0132074383497301E-2</v>
      </c>
      <c r="O2351">
        <v>1.91</v>
      </c>
      <c r="P2351" t="s">
        <v>17</v>
      </c>
      <c r="Q2351">
        <v>0</v>
      </c>
      <c r="R2351">
        <v>2.13034509420395E-2</v>
      </c>
      <c r="S2351">
        <v>-2.2286161780357399E-2</v>
      </c>
      <c r="T2351">
        <v>-0.02</v>
      </c>
    </row>
    <row r="2352" spans="1:20" x14ac:dyDescent="0.3">
      <c r="A2352" t="s">
        <v>162</v>
      </c>
      <c r="B2352">
        <v>2021</v>
      </c>
      <c r="C2352">
        <v>482994.1875</v>
      </c>
      <c r="D2352" s="1">
        <v>2.1000000000000001E-2</v>
      </c>
      <c r="E2352" s="1">
        <v>0.96902358531951904</v>
      </c>
      <c r="F2352" s="1">
        <v>2.4E-2</v>
      </c>
      <c r="G2352" s="1">
        <f t="shared" si="72"/>
        <v>-6.1999999999999993E-2</v>
      </c>
      <c r="H2352" s="1" t="str">
        <f t="shared" si="73"/>
        <v/>
      </c>
      <c r="I2352" s="1">
        <v>7.0000000000000001E-3</v>
      </c>
      <c r="J2352" s="1">
        <f>+D2352-F2352+I2352*O2352</f>
        <v>1.072E-2</v>
      </c>
      <c r="K2352" s="1">
        <v>6.8303450942039504E-2</v>
      </c>
      <c r="L2352" s="1">
        <f>+K2352-J2352</f>
        <v>5.7583450942039503E-2</v>
      </c>
      <c r="M2352" s="1">
        <v>2.13034509420395E-2</v>
      </c>
      <c r="N2352" s="1">
        <f>+M2352-J2352</f>
        <v>1.05834509420395E-2</v>
      </c>
      <c r="O2352">
        <v>1.96</v>
      </c>
      <c r="P2352" t="s">
        <v>15</v>
      </c>
      <c r="Q2352">
        <v>-0.02</v>
      </c>
      <c r="R2352">
        <v>-1.6160832643508899E-2</v>
      </c>
      <c r="S2352">
        <v>1.5942674130201399E-2</v>
      </c>
      <c r="T2352">
        <v>0</v>
      </c>
    </row>
    <row r="2353" spans="1:20" x14ac:dyDescent="0.3">
      <c r="A2353" t="s">
        <v>162</v>
      </c>
      <c r="B2353">
        <v>2022</v>
      </c>
      <c r="C2353">
        <v>488169.90629999997</v>
      </c>
      <c r="D2353" s="1">
        <v>8.0000000000000002E-3</v>
      </c>
      <c r="E2353" s="1">
        <v>0.96200513839721702</v>
      </c>
      <c r="F2353" s="1">
        <v>4.7E-2</v>
      </c>
      <c r="G2353" s="1">
        <f t="shared" si="72"/>
        <v>-1.4999999999999993E-2</v>
      </c>
      <c r="H2353" s="1" t="str">
        <f t="shared" si="73"/>
        <v/>
      </c>
      <c r="I2353" s="1">
        <v>-7.0000000000000001E-3</v>
      </c>
      <c r="J2353" s="1">
        <f>+D2353-F2353+I2353*O2353</f>
        <v>-5.3350000000000002E-2</v>
      </c>
      <c r="K2353" s="1">
        <v>6.3839167356491103E-2</v>
      </c>
      <c r="L2353" s="1">
        <f>+K2353-J2353</f>
        <v>0.1171891673564911</v>
      </c>
      <c r="M2353" s="1">
        <v>-1.6160832643508899E-2</v>
      </c>
      <c r="N2353" s="1">
        <f>+M2353-J2353</f>
        <v>3.7189167356491103E-2</v>
      </c>
      <c r="O2353">
        <v>2.0499999999999998</v>
      </c>
      <c r="P2353" t="s">
        <v>17</v>
      </c>
      <c r="Q2353">
        <v>0.02</v>
      </c>
      <c r="R2353">
        <v>-1.47653713673353E-2</v>
      </c>
      <c r="S2353">
        <v>4.793556407094E-3</v>
      </c>
      <c r="T2353">
        <v>0.06</v>
      </c>
    </row>
    <row r="2354" spans="1:20" x14ac:dyDescent="0.3">
      <c r="A2354" t="s">
        <v>163</v>
      </c>
      <c r="B2354">
        <v>2006</v>
      </c>
      <c r="C2354">
        <v>182544</v>
      </c>
      <c r="D2354" s="1">
        <v>0</v>
      </c>
      <c r="E2354" s="1">
        <v>0.91269320249557495</v>
      </c>
      <c r="F2354" s="1">
        <v>0.214</v>
      </c>
      <c r="G2354" s="1">
        <f t="shared" si="72"/>
        <v>0.214</v>
      </c>
      <c r="H2354" s="1">
        <f t="shared" si="73"/>
        <v>1.8336104694753899E-2</v>
      </c>
      <c r="I2354" s="1">
        <v>1.2E-2</v>
      </c>
      <c r="J2354" s="1">
        <f>+D2354-F2354+I2354*O2354</f>
        <v>-0.18448000000000001</v>
      </c>
      <c r="K2354" s="1">
        <v>2.14341934770346E-2</v>
      </c>
      <c r="L2354" s="1">
        <f>+K2354-J2354</f>
        <v>0.2059141934770346</v>
      </c>
      <c r="M2354" s="1">
        <v>-1.0565806522965401E-2</v>
      </c>
      <c r="N2354" s="1">
        <f>+M2354-J2354</f>
        <v>0.1739141934770346</v>
      </c>
      <c r="O2354">
        <v>2.46</v>
      </c>
      <c r="P2354" t="s">
        <v>15</v>
      </c>
      <c r="Q2354">
        <v>-0.02</v>
      </c>
      <c r="R2354">
        <v>-7.7992741912603003E-3</v>
      </c>
      <c r="S2354">
        <v>-6.8775182589888E-3</v>
      </c>
      <c r="T2354">
        <v>0.21</v>
      </c>
    </row>
    <row r="2355" spans="1:20" x14ac:dyDescent="0.3">
      <c r="A2355" t="s">
        <v>163</v>
      </c>
      <c r="B2355">
        <v>2007</v>
      </c>
      <c r="C2355">
        <v>185074</v>
      </c>
      <c r="D2355" s="1">
        <v>1.2E-2</v>
      </c>
      <c r="E2355" s="1">
        <v>0.91483402252197299</v>
      </c>
      <c r="F2355" s="1">
        <v>-0.24299999999999999</v>
      </c>
      <c r="G2355" s="1">
        <f t="shared" si="72"/>
        <v>-2.8999999999999998E-2</v>
      </c>
      <c r="H2355" s="1" t="str">
        <f t="shared" si="73"/>
        <v/>
      </c>
      <c r="I2355" s="1">
        <v>2E-3</v>
      </c>
      <c r="J2355" s="1">
        <f>+D2355-F2355+I2355*O2355</f>
        <v>0.25872000000000001</v>
      </c>
      <c r="K2355" s="1">
        <v>2.12007258087397E-2</v>
      </c>
      <c r="L2355" s="1">
        <f>+K2355-J2355</f>
        <v>-0.23751927419126032</v>
      </c>
      <c r="M2355" s="1">
        <v>-7.7992741912603003E-3</v>
      </c>
      <c r="N2355" s="1">
        <f>+M2355-J2355</f>
        <v>-0.26651927419126031</v>
      </c>
      <c r="O2355">
        <v>1.86</v>
      </c>
      <c r="P2355" t="s">
        <v>17</v>
      </c>
      <c r="Q2355">
        <v>-0.01</v>
      </c>
      <c r="R2355">
        <v>-2.25285164192318E-2</v>
      </c>
      <c r="S2355">
        <v>6.9822878576814998E-3</v>
      </c>
      <c r="T2355">
        <v>-0.24</v>
      </c>
    </row>
    <row r="2356" spans="1:20" x14ac:dyDescent="0.3">
      <c r="A2356" t="s">
        <v>163</v>
      </c>
      <c r="B2356">
        <v>2008</v>
      </c>
      <c r="C2356">
        <v>186916.70310000001</v>
      </c>
      <c r="D2356" s="1">
        <v>1.6E-2</v>
      </c>
      <c r="E2356" s="1">
        <v>0.92843210697174094</v>
      </c>
      <c r="F2356" s="1">
        <v>0.122</v>
      </c>
      <c r="G2356" s="1">
        <f t="shared" si="72"/>
        <v>9.2999999999999999E-2</v>
      </c>
      <c r="H2356" s="1" t="str">
        <f t="shared" si="73"/>
        <v/>
      </c>
      <c r="I2356" s="1">
        <v>1.4E-2</v>
      </c>
      <c r="J2356" s="1">
        <f>+D2356-F2356+I2356*O2356</f>
        <v>-7.6740000000000003E-2</v>
      </c>
      <c r="K2356" s="1">
        <v>1.54714835807681E-2</v>
      </c>
      <c r="L2356" s="1">
        <f>+K2356-J2356</f>
        <v>9.2211483580768097E-2</v>
      </c>
      <c r="M2356" s="1">
        <v>-2.25285164192318E-2</v>
      </c>
      <c r="N2356" s="1">
        <f>+M2356-J2356</f>
        <v>5.4211483580768202E-2</v>
      </c>
      <c r="O2356">
        <v>2.09</v>
      </c>
      <c r="P2356" t="s">
        <v>15</v>
      </c>
      <c r="Q2356">
        <v>0.01</v>
      </c>
      <c r="R2356">
        <v>-1.9481350392103199E-2</v>
      </c>
      <c r="S2356">
        <v>7.0853512734174503E-3</v>
      </c>
      <c r="T2356">
        <v>0.12</v>
      </c>
    </row>
    <row r="2357" spans="1:20" x14ac:dyDescent="0.3">
      <c r="A2357" t="s">
        <v>163</v>
      </c>
      <c r="B2357">
        <v>2009</v>
      </c>
      <c r="C2357">
        <v>188386.79689999999</v>
      </c>
      <c r="D2357" s="1">
        <v>0.02</v>
      </c>
      <c r="E2357" s="1">
        <v>0.92325234413146995</v>
      </c>
      <c r="F2357" s="1">
        <v>7.2999999999999995E-2</v>
      </c>
      <c r="G2357" s="1">
        <f t="shared" si="72"/>
        <v>0.16599999999999998</v>
      </c>
      <c r="H2357" s="1">
        <f t="shared" si="73"/>
        <v>4.2122420272789896E-3</v>
      </c>
      <c r="I2357" s="1">
        <v>-5.0000000000000001E-3</v>
      </c>
      <c r="J2357" s="1">
        <f>+D2357-F2357+I2357*O2357</f>
        <v>-6.4199999999999993E-2</v>
      </c>
      <c r="K2357" s="1">
        <v>-2.3481350392103199E-2</v>
      </c>
      <c r="L2357" s="1">
        <f>+K2357-J2357</f>
        <v>4.0718649607896798E-2</v>
      </c>
      <c r="M2357" s="1">
        <v>-1.9481350392103199E-2</v>
      </c>
      <c r="N2357" s="1">
        <f>+M2357-J2357</f>
        <v>4.4718649607896795E-2</v>
      </c>
      <c r="O2357">
        <v>2.2400000000000002</v>
      </c>
      <c r="P2357" t="s">
        <v>17</v>
      </c>
      <c r="Q2357">
        <v>0.01</v>
      </c>
      <c r="R2357">
        <v>-1.4951974441297301E-2</v>
      </c>
      <c r="S2357">
        <v>-5.4918656824156599E-3</v>
      </c>
      <c r="T2357">
        <v>0.05</v>
      </c>
    </row>
    <row r="2358" spans="1:20" x14ac:dyDescent="0.3">
      <c r="A2358" t="s">
        <v>163</v>
      </c>
      <c r="B2358">
        <v>2010</v>
      </c>
      <c r="C2358">
        <v>189304.9063</v>
      </c>
      <c r="D2358" s="1">
        <v>1.6E-2</v>
      </c>
      <c r="E2358" s="1">
        <v>0.92448264360427901</v>
      </c>
      <c r="F2358" s="1">
        <v>-0.121</v>
      </c>
      <c r="G2358" s="1">
        <f t="shared" si="72"/>
        <v>4.4999999999999984E-2</v>
      </c>
      <c r="H2358" s="1" t="str">
        <f t="shared" si="73"/>
        <v/>
      </c>
      <c r="I2358" s="1">
        <v>1E-3</v>
      </c>
      <c r="J2358" s="1">
        <f>+D2358-F2358+I2358*O2358</f>
        <v>0.13897000000000001</v>
      </c>
      <c r="K2358" s="1">
        <v>1.0480255587026501E-3</v>
      </c>
      <c r="L2358" s="1">
        <f>+K2358-J2358</f>
        <v>-0.13792197444129736</v>
      </c>
      <c r="M2358" s="1">
        <v>-1.4951974441297301E-2</v>
      </c>
      <c r="N2358" s="1">
        <f>+M2358-J2358</f>
        <v>-0.15392197444129732</v>
      </c>
      <c r="O2358">
        <v>1.97</v>
      </c>
      <c r="P2358" t="s">
        <v>17</v>
      </c>
      <c r="Q2358">
        <v>-0.01</v>
      </c>
      <c r="R2358">
        <v>-2.46235415041446E-2</v>
      </c>
      <c r="S2358">
        <v>-3.3397669903933599E-3</v>
      </c>
      <c r="T2358">
        <v>-0.13</v>
      </c>
    </row>
    <row r="2359" spans="1:20" x14ac:dyDescent="0.3">
      <c r="A2359" t="s">
        <v>163</v>
      </c>
      <c r="B2359">
        <v>2011</v>
      </c>
      <c r="C2359">
        <v>189746.70310000001</v>
      </c>
      <c r="D2359" s="1">
        <v>0</v>
      </c>
      <c r="E2359" s="1">
        <v>0.93423676490783703</v>
      </c>
      <c r="F2359" s="1">
        <v>0.17899999999999999</v>
      </c>
      <c r="G2359" s="1">
        <f t="shared" si="72"/>
        <v>0.22399999999999998</v>
      </c>
      <c r="H2359" s="1" t="str">
        <f t="shared" si="73"/>
        <v/>
      </c>
      <c r="I2359" s="1">
        <v>0.01</v>
      </c>
      <c r="J2359" s="1">
        <f>+D2359-F2359+I2359*O2359</f>
        <v>-0.15579999999999999</v>
      </c>
      <c r="K2359" s="1">
        <v>7.3764584958553297E-3</v>
      </c>
      <c r="L2359" s="1">
        <f>+K2359-J2359</f>
        <v>0.16317645849585533</v>
      </c>
      <c r="M2359" s="1">
        <v>-2.46235415041446E-2</v>
      </c>
      <c r="N2359" s="1">
        <f>+M2359-J2359</f>
        <v>0.13117645849585541</v>
      </c>
      <c r="O2359">
        <v>2.3199999999999998</v>
      </c>
      <c r="P2359" t="s">
        <v>15</v>
      </c>
      <c r="Q2359">
        <v>0</v>
      </c>
      <c r="R2359">
        <v>-4.1624510586261702E-2</v>
      </c>
      <c r="S2359">
        <v>-3.6186304517090297E-2</v>
      </c>
      <c r="T2359">
        <v>0.18</v>
      </c>
    </row>
    <row r="2360" spans="1:20" x14ac:dyDescent="0.3">
      <c r="A2360" t="s">
        <v>163</v>
      </c>
      <c r="B2360">
        <v>2022</v>
      </c>
      <c r="C2360">
        <v>202477.0938</v>
      </c>
      <c r="D2360" s="1">
        <v>8.9999999999999993E-3</v>
      </c>
      <c r="E2360" s="1">
        <v>0.97145748138427701</v>
      </c>
      <c r="F2360" s="1">
        <v>-0.128</v>
      </c>
      <c r="G2360" s="1">
        <f t="shared" si="72"/>
        <v>9.5999999999999974E-2</v>
      </c>
      <c r="H2360" s="1" t="str">
        <f t="shared" si="73"/>
        <v/>
      </c>
      <c r="I2360" s="1">
        <v>3.6999999999999998E-2</v>
      </c>
      <c r="J2360" s="1">
        <f>+D2360-F2360+I2360*O2360</f>
        <v>0.21174000000000001</v>
      </c>
      <c r="K2360" s="1">
        <v>3.8375489413738299E-2</v>
      </c>
      <c r="L2360" s="1">
        <f>+K2360-J2360</f>
        <v>-0.17336451058626171</v>
      </c>
      <c r="M2360" s="1">
        <v>-4.1624510586261702E-2</v>
      </c>
      <c r="N2360" s="1">
        <f>+M2360-J2360</f>
        <v>-0.25336451058626169</v>
      </c>
      <c r="O2360">
        <v>2.02</v>
      </c>
      <c r="P2360" t="s">
        <v>17</v>
      </c>
      <c r="Q2360">
        <v>-0.01</v>
      </c>
      <c r="R2360">
        <v>-9.6563350260257998E-3</v>
      </c>
      <c r="S2360">
        <v>9.9025927484035006E-3</v>
      </c>
      <c r="T2360">
        <v>-0.11</v>
      </c>
    </row>
    <row r="2361" spans="1:20" x14ac:dyDescent="0.3">
      <c r="A2361" t="s">
        <v>164</v>
      </c>
      <c r="B2361">
        <v>2006</v>
      </c>
      <c r="C2361">
        <v>896514.5</v>
      </c>
      <c r="D2361" s="1">
        <v>0</v>
      </c>
      <c r="E2361" s="1">
        <v>0.95318150520324696</v>
      </c>
      <c r="F2361" s="1">
        <v>-1.2999999999999999E-2</v>
      </c>
      <c r="G2361" s="1">
        <f t="shared" si="72"/>
        <v>-1.2999999999999999E-2</v>
      </c>
      <c r="H2361" s="1" t="str">
        <f t="shared" si="73"/>
        <v/>
      </c>
      <c r="I2361" s="1">
        <v>1.9E-2</v>
      </c>
      <c r="J2361" s="1">
        <f>+D2361-F2361+I2361*O2361</f>
        <v>5.4800000000000001E-2</v>
      </c>
      <c r="K2361" s="1">
        <v>2.1104006096720699E-2</v>
      </c>
      <c r="L2361" s="1">
        <f>+K2361-J2361</f>
        <v>-3.3695993903279306E-2</v>
      </c>
      <c r="M2361" s="1">
        <v>-1.08959939032793E-2</v>
      </c>
      <c r="N2361" s="1">
        <f>+M2361-J2361</f>
        <v>-6.5695993903279307E-2</v>
      </c>
      <c r="O2361">
        <v>2.2000000000000002</v>
      </c>
      <c r="P2361" t="s">
        <v>17</v>
      </c>
      <c r="Q2361">
        <v>-0.02</v>
      </c>
      <c r="R2361">
        <v>-7.3977139741182004E-3</v>
      </c>
      <c r="S2361">
        <v>-6.4759580418467001E-3</v>
      </c>
      <c r="T2361">
        <v>-0.01</v>
      </c>
    </row>
    <row r="2362" spans="1:20" x14ac:dyDescent="0.3">
      <c r="A2362" t="s">
        <v>164</v>
      </c>
      <c r="B2362">
        <v>2007</v>
      </c>
      <c r="C2362">
        <v>899073.5</v>
      </c>
      <c r="D2362" s="1">
        <v>2.1999999999999999E-2</v>
      </c>
      <c r="E2362" s="1">
        <v>0.93785017728805498</v>
      </c>
      <c r="F2362" s="1">
        <v>4.0000000000000001E-3</v>
      </c>
      <c r="G2362" s="1">
        <f t="shared" si="72"/>
        <v>-8.9999999999999993E-3</v>
      </c>
      <c r="H2362" s="1" t="str">
        <f t="shared" si="73"/>
        <v/>
      </c>
      <c r="I2362" s="1">
        <v>-1.4999999999999999E-2</v>
      </c>
      <c r="J2362" s="1">
        <f>+D2362-F2362+I2362*O2362</f>
        <v>-1.515E-2</v>
      </c>
      <c r="K2362" s="1">
        <v>2.1602286025881798E-2</v>
      </c>
      <c r="L2362" s="1">
        <f>+K2362-J2362</f>
        <v>3.6752286025881799E-2</v>
      </c>
      <c r="M2362" s="1">
        <v>-7.3977139741182004E-3</v>
      </c>
      <c r="N2362" s="1">
        <f>+M2362-J2362</f>
        <v>7.7522860258817999E-3</v>
      </c>
      <c r="O2362">
        <v>2.21</v>
      </c>
      <c r="P2362" t="s">
        <v>17</v>
      </c>
      <c r="Q2362">
        <v>-0.01</v>
      </c>
      <c r="R2362">
        <v>-4.3999835208058301E-2</v>
      </c>
      <c r="S2362">
        <v>-1.4489030931144901E-2</v>
      </c>
      <c r="T2362">
        <v>0</v>
      </c>
    </row>
    <row r="2363" spans="1:20" x14ac:dyDescent="0.3">
      <c r="A2363" t="s">
        <v>164</v>
      </c>
      <c r="B2363">
        <v>2008</v>
      </c>
      <c r="C2363">
        <v>905511.75</v>
      </c>
      <c r="D2363" s="1">
        <v>1.2E-2</v>
      </c>
      <c r="E2363" s="1">
        <v>0.93264716863632202</v>
      </c>
      <c r="F2363" s="1">
        <v>8.8999999999999996E-2</v>
      </c>
      <c r="G2363" s="1">
        <f t="shared" si="72"/>
        <v>0.08</v>
      </c>
      <c r="H2363" s="1" t="str">
        <f t="shared" si="73"/>
        <v/>
      </c>
      <c r="I2363" s="1">
        <v>-5.0000000000000001E-3</v>
      </c>
      <c r="J2363" s="1">
        <f>+D2363-F2363+I2363*O2363</f>
        <v>-8.8999999999999996E-2</v>
      </c>
      <c r="K2363" s="1">
        <v>-5.9998352080583598E-3</v>
      </c>
      <c r="L2363" s="1">
        <f>+K2363-J2363</f>
        <v>8.3000164791941639E-2</v>
      </c>
      <c r="M2363" s="1">
        <v>-4.3999835208058301E-2</v>
      </c>
      <c r="N2363" s="1">
        <f>+M2363-J2363</f>
        <v>4.5000164791941695E-2</v>
      </c>
      <c r="O2363">
        <v>2.4</v>
      </c>
      <c r="P2363" t="s">
        <v>17</v>
      </c>
      <c r="Q2363">
        <v>-0.01</v>
      </c>
      <c r="R2363">
        <v>-5.0992128163575998E-2</v>
      </c>
      <c r="S2363">
        <v>-2.4425426498055399E-2</v>
      </c>
      <c r="T2363">
        <v>0.09</v>
      </c>
    </row>
    <row r="2364" spans="1:20" x14ac:dyDescent="0.3">
      <c r="A2364" t="s">
        <v>164</v>
      </c>
      <c r="B2364">
        <v>2009</v>
      </c>
      <c r="C2364">
        <v>912806</v>
      </c>
      <c r="D2364" s="1">
        <v>2.1000000000000001E-2</v>
      </c>
      <c r="E2364" s="1">
        <v>0.93869113922119096</v>
      </c>
      <c r="F2364" s="1">
        <v>-5.2999999999999999E-2</v>
      </c>
      <c r="G2364" s="1">
        <f t="shared" si="72"/>
        <v>2.7000000000000003E-2</v>
      </c>
      <c r="H2364" s="1" t="str">
        <f t="shared" si="73"/>
        <v/>
      </c>
      <c r="I2364" s="1">
        <v>6.0000000000000001E-3</v>
      </c>
      <c r="J2364" s="1">
        <f>+D2364-F2364+I2364*O2364</f>
        <v>8.7679999999999994E-2</v>
      </c>
      <c r="K2364" s="1">
        <v>-5.4992128163576098E-2</v>
      </c>
      <c r="L2364" s="1">
        <f>+K2364-J2364</f>
        <v>-0.14267212816357611</v>
      </c>
      <c r="M2364" s="1">
        <v>-5.0992128163575998E-2</v>
      </c>
      <c r="N2364" s="1">
        <f>+M2364-J2364</f>
        <v>-0.13867212816357599</v>
      </c>
      <c r="O2364">
        <v>2.2799999999999998</v>
      </c>
      <c r="P2364" t="s">
        <v>17</v>
      </c>
      <c r="Q2364">
        <v>-0.02</v>
      </c>
      <c r="R2364">
        <v>-3.6346345990895998E-3</v>
      </c>
      <c r="S2364">
        <v>5.8254741597920804E-3</v>
      </c>
      <c r="T2364">
        <v>-7.0000000000000007E-2</v>
      </c>
    </row>
    <row r="2365" spans="1:20" x14ac:dyDescent="0.3">
      <c r="A2365" t="s">
        <v>164</v>
      </c>
      <c r="B2365">
        <v>2010</v>
      </c>
      <c r="C2365">
        <v>922296.375</v>
      </c>
      <c r="D2365" s="1">
        <v>4.1000000000000002E-2</v>
      </c>
      <c r="E2365" s="1">
        <v>0.93842345476150502</v>
      </c>
      <c r="F2365" s="1">
        <v>5.8000000000000003E-2</v>
      </c>
      <c r="G2365" s="1">
        <f t="shared" si="72"/>
        <v>8.5000000000000006E-2</v>
      </c>
      <c r="H2365" s="1" t="str">
        <f t="shared" si="73"/>
        <v/>
      </c>
      <c r="I2365" s="1">
        <v>0</v>
      </c>
      <c r="J2365" s="1">
        <f>+D2365-F2365+I2365*O2365</f>
        <v>-1.7000000000000001E-2</v>
      </c>
      <c r="K2365" s="1">
        <v>1.23653654009104E-2</v>
      </c>
      <c r="L2365" s="1">
        <f>+K2365-J2365</f>
        <v>2.93653654009104E-2</v>
      </c>
      <c r="M2365" s="1">
        <v>-3.6346345990895998E-3</v>
      </c>
      <c r="N2365" s="1">
        <f>+M2365-J2365</f>
        <v>1.3365365400910401E-2</v>
      </c>
      <c r="O2365">
        <v>2.41</v>
      </c>
      <c r="P2365" t="s">
        <v>17</v>
      </c>
      <c r="Q2365">
        <v>0.01</v>
      </c>
      <c r="R2365">
        <v>-2.61401011310517E-2</v>
      </c>
      <c r="S2365">
        <v>-4.8563266173004696E-3</v>
      </c>
      <c r="T2365">
        <v>0.05</v>
      </c>
    </row>
    <row r="2366" spans="1:20" x14ac:dyDescent="0.3">
      <c r="A2366" t="s">
        <v>164</v>
      </c>
      <c r="B2366">
        <v>2011</v>
      </c>
      <c r="C2366">
        <v>931935.4375</v>
      </c>
      <c r="D2366" s="1">
        <v>7.5999999999999998E-2</v>
      </c>
      <c r="E2366" s="1">
        <v>0.92640328407287598</v>
      </c>
      <c r="F2366" s="1">
        <v>-8.2000000000000003E-2</v>
      </c>
      <c r="G2366" s="1">
        <f t="shared" si="72"/>
        <v>3.0000000000000027E-3</v>
      </c>
      <c r="H2366" s="1" t="str">
        <f t="shared" si="73"/>
        <v/>
      </c>
      <c r="I2366" s="1">
        <v>-1.2E-2</v>
      </c>
      <c r="J2366" s="1">
        <f>+D2366-F2366+I2366*O2366</f>
        <v>0.13148000000000001</v>
      </c>
      <c r="K2366" s="1">
        <v>5.8598988689482203E-3</v>
      </c>
      <c r="L2366" s="1">
        <f>+K2366-J2366</f>
        <v>-0.12562010113105179</v>
      </c>
      <c r="M2366" s="1">
        <v>-2.61401011310517E-2</v>
      </c>
      <c r="N2366" s="1">
        <f>+M2366-J2366</f>
        <v>-0.15762010113105171</v>
      </c>
      <c r="O2366">
        <v>2.21</v>
      </c>
      <c r="P2366" t="s">
        <v>16</v>
      </c>
      <c r="Q2366">
        <v>0</v>
      </c>
      <c r="R2366">
        <v>-8.8931213170290006E-3</v>
      </c>
      <c r="S2366">
        <v>-3.4549152478576001E-3</v>
      </c>
      <c r="T2366">
        <v>-0.08</v>
      </c>
    </row>
    <row r="2367" spans="1:20" x14ac:dyDescent="0.3">
      <c r="A2367" t="s">
        <v>164</v>
      </c>
      <c r="B2367">
        <v>2012</v>
      </c>
      <c r="C2367">
        <v>940069.0625</v>
      </c>
      <c r="D2367" s="1">
        <v>2.5999999999999999E-2</v>
      </c>
      <c r="E2367" s="1">
        <v>0.93379276990890503</v>
      </c>
      <c r="F2367" s="1">
        <v>9.5000000000000001E-2</v>
      </c>
      <c r="G2367" s="1">
        <f t="shared" si="72"/>
        <v>9.8000000000000004E-2</v>
      </c>
      <c r="H2367" s="1" t="str">
        <f t="shared" si="73"/>
        <v/>
      </c>
      <c r="I2367" s="1">
        <v>7.0000000000000001E-3</v>
      </c>
      <c r="J2367" s="1">
        <f>+D2367-F2367+I2367*O2367</f>
        <v>-5.2060000000000009E-2</v>
      </c>
      <c r="K2367" s="1">
        <v>1.2106878682971001E-2</v>
      </c>
      <c r="L2367" s="1">
        <f>+K2367-J2367</f>
        <v>6.416687868297101E-2</v>
      </c>
      <c r="M2367" s="1">
        <v>-8.8931213170290006E-3</v>
      </c>
      <c r="N2367" s="1">
        <f>+M2367-J2367</f>
        <v>4.3166878682971005E-2</v>
      </c>
      <c r="O2367">
        <v>2.42</v>
      </c>
      <c r="P2367" t="s">
        <v>15</v>
      </c>
      <c r="Q2367">
        <v>0</v>
      </c>
      <c r="R2367">
        <v>8.2322160154581006E-3</v>
      </c>
      <c r="S2367">
        <v>2.1054446697234999E-3</v>
      </c>
      <c r="T2367">
        <v>0.09</v>
      </c>
    </row>
    <row r="2368" spans="1:20" x14ac:dyDescent="0.3">
      <c r="A2368" t="s">
        <v>164</v>
      </c>
      <c r="B2368">
        <v>2013</v>
      </c>
      <c r="C2368">
        <v>946088.9375</v>
      </c>
      <c r="D2368" s="1">
        <v>6.9000000000000006E-2</v>
      </c>
      <c r="E2368" s="1">
        <v>0.92397862672805797</v>
      </c>
      <c r="F2368" s="1">
        <v>-2E-3</v>
      </c>
      <c r="G2368" s="1">
        <f t="shared" si="72"/>
        <v>9.6000000000000002E-2</v>
      </c>
      <c r="H2368" s="1" t="str">
        <f t="shared" si="73"/>
        <v/>
      </c>
      <c r="I2368" s="1">
        <v>-0.01</v>
      </c>
      <c r="J2368" s="1">
        <f>+D2368-F2368+I2368*O2368</f>
        <v>4.6800000000000008E-2</v>
      </c>
      <c r="K2368" s="1">
        <v>2.32322160154581E-2</v>
      </c>
      <c r="L2368" s="1">
        <f>+K2368-J2368</f>
        <v>-2.3567783984541908E-2</v>
      </c>
      <c r="M2368" s="1">
        <v>8.2322160154581006E-3</v>
      </c>
      <c r="N2368" s="1">
        <f>+M2368-J2368</f>
        <v>-3.8567783984541908E-2</v>
      </c>
      <c r="O2368">
        <v>2.42</v>
      </c>
      <c r="P2368" t="s">
        <v>16</v>
      </c>
      <c r="Q2368">
        <v>0</v>
      </c>
      <c r="R2368">
        <v>7.8656600415709995E-4</v>
      </c>
      <c r="S2368">
        <v>-1.2214574962853999E-3</v>
      </c>
      <c r="T2368">
        <v>-0.01</v>
      </c>
    </row>
    <row r="2369" spans="1:20" x14ac:dyDescent="0.3">
      <c r="A2369" t="s">
        <v>164</v>
      </c>
      <c r="B2369">
        <v>2014</v>
      </c>
      <c r="C2369">
        <v>951034.1875</v>
      </c>
      <c r="D2369" s="1">
        <v>9.1999999999999998E-2</v>
      </c>
      <c r="E2369" s="1">
        <v>0.899602830410004</v>
      </c>
      <c r="F2369" s="1">
        <v>1.2E-2</v>
      </c>
      <c r="G2369" s="1">
        <f t="shared" si="72"/>
        <v>0.108</v>
      </c>
      <c r="H2369" s="1" t="str">
        <f t="shared" si="73"/>
        <v/>
      </c>
      <c r="I2369" s="1">
        <v>-2.4E-2</v>
      </c>
      <c r="J2369" s="1">
        <f>+D2369-F2369+I2369*O2369</f>
        <v>2.1440000000000001E-2</v>
      </c>
      <c r="K2369" s="1">
        <v>1.6786566004157101E-2</v>
      </c>
      <c r="L2369" s="1">
        <f>+K2369-J2369</f>
        <v>-4.6534339958428997E-3</v>
      </c>
      <c r="M2369" s="1">
        <v>7.8656600415709995E-4</v>
      </c>
      <c r="N2369" s="1">
        <f>+M2369-J2369</f>
        <v>-2.06534339958429E-2</v>
      </c>
      <c r="O2369">
        <v>2.44</v>
      </c>
      <c r="P2369" t="s">
        <v>17</v>
      </c>
      <c r="Q2369">
        <v>0</v>
      </c>
      <c r="R2369">
        <v>2.2317402228713E-2</v>
      </c>
      <c r="S2369">
        <v>-7.9460497945546896E-3</v>
      </c>
      <c r="T2369">
        <v>0.01</v>
      </c>
    </row>
    <row r="2370" spans="1:20" x14ac:dyDescent="0.3">
      <c r="A2370" t="s">
        <v>164</v>
      </c>
      <c r="B2370">
        <v>2015</v>
      </c>
      <c r="C2370">
        <v>952905.1875</v>
      </c>
      <c r="D2370" s="1">
        <v>5.1999999999999998E-2</v>
      </c>
      <c r="E2370" s="1">
        <v>0.90994411706924405</v>
      </c>
      <c r="F2370" s="1">
        <v>-0.02</v>
      </c>
      <c r="G2370" s="1">
        <f t="shared" si="72"/>
        <v>8.7999999999999995E-2</v>
      </c>
      <c r="H2370" s="1" t="str">
        <f t="shared" si="73"/>
        <v/>
      </c>
      <c r="I2370" s="1">
        <v>0.01</v>
      </c>
      <c r="J2370" s="1">
        <f>+D2370-F2370+I2370*O2370</f>
        <v>9.5899999999999999E-2</v>
      </c>
      <c r="K2370" s="1">
        <v>2.3317402228713001E-2</v>
      </c>
      <c r="L2370" s="1">
        <f>+K2370-J2370</f>
        <v>-7.2582597771287005E-2</v>
      </c>
      <c r="M2370" s="1">
        <v>2.2317402228713E-2</v>
      </c>
      <c r="N2370" s="1">
        <f>+M2370-J2370</f>
        <v>-7.3582597771287006E-2</v>
      </c>
      <c r="O2370">
        <v>2.39</v>
      </c>
      <c r="P2370" t="s">
        <v>17</v>
      </c>
      <c r="Q2370">
        <v>-0.01</v>
      </c>
      <c r="R2370">
        <v>2.5267072841525001E-3</v>
      </c>
      <c r="S2370">
        <v>-1.06268497183918E-2</v>
      </c>
      <c r="T2370">
        <v>-0.01</v>
      </c>
    </row>
    <row r="2371" spans="1:20" x14ac:dyDescent="0.3">
      <c r="A2371" t="s">
        <v>164</v>
      </c>
      <c r="B2371">
        <v>2016</v>
      </c>
      <c r="C2371">
        <v>953941</v>
      </c>
      <c r="D2371" s="1">
        <v>4.8000000000000001E-2</v>
      </c>
      <c r="E2371" s="1">
        <v>0.92147815227508501</v>
      </c>
      <c r="F2371" s="1">
        <v>-1.2999999999999999E-2</v>
      </c>
      <c r="G2371" s="1">
        <f t="shared" si="72"/>
        <v>7.4999999999999997E-2</v>
      </c>
      <c r="H2371" s="1" t="str">
        <f t="shared" si="73"/>
        <v/>
      </c>
      <c r="I2371" s="1">
        <v>1.2E-2</v>
      </c>
      <c r="J2371" s="1">
        <f>+D2371-F2371+I2371*O2371</f>
        <v>8.9319999999999997E-2</v>
      </c>
      <c r="K2371" s="1">
        <v>1.5526707284152501E-2</v>
      </c>
      <c r="L2371" s="1">
        <f>+K2371-J2371</f>
        <v>-7.3793292715847503E-2</v>
      </c>
      <c r="M2371" s="1">
        <v>2.5267072841525001E-3</v>
      </c>
      <c r="N2371" s="1">
        <f>+M2371-J2371</f>
        <v>-8.67932927158475E-2</v>
      </c>
      <c r="O2371">
        <v>2.36</v>
      </c>
      <c r="P2371" t="s">
        <v>17</v>
      </c>
      <c r="Q2371">
        <v>-0.01</v>
      </c>
      <c r="R2371">
        <v>-2.4656712114811E-3</v>
      </c>
      <c r="S2371">
        <v>-5.2552446722984002E-3</v>
      </c>
      <c r="T2371">
        <v>-0.01</v>
      </c>
    </row>
    <row r="2372" spans="1:20" x14ac:dyDescent="0.3">
      <c r="A2372" t="s">
        <v>164</v>
      </c>
      <c r="B2372">
        <v>2017</v>
      </c>
      <c r="C2372">
        <v>954906.625</v>
      </c>
      <c r="D2372" s="1">
        <v>2.1999999999999999E-2</v>
      </c>
      <c r="E2372" s="1">
        <v>0.94184553623199496</v>
      </c>
      <c r="F2372" s="1">
        <v>4.2000000000000003E-2</v>
      </c>
      <c r="G2372" s="1">
        <f t="shared" si="72"/>
        <v>0.11699999999999999</v>
      </c>
      <c r="H2372" s="1" t="str">
        <f t="shared" si="73"/>
        <v/>
      </c>
      <c r="I2372" s="1">
        <v>0.02</v>
      </c>
      <c r="J2372" s="1">
        <f>+D2372-F2372+I2372*O2372</f>
        <v>2.9199999999999997E-2</v>
      </c>
      <c r="K2372" s="1">
        <v>1.8534328788518899E-2</v>
      </c>
      <c r="L2372" s="1">
        <f>+K2372-J2372</f>
        <v>-1.0665671211481098E-2</v>
      </c>
      <c r="M2372" s="1">
        <v>-2.4656712114811E-3</v>
      </c>
      <c r="N2372" s="1">
        <f>+M2372-J2372</f>
        <v>-3.1665671211481096E-2</v>
      </c>
      <c r="O2372">
        <v>2.46</v>
      </c>
      <c r="P2372" t="s">
        <v>15</v>
      </c>
      <c r="Q2372">
        <v>-0.01</v>
      </c>
      <c r="R2372">
        <v>2.6546066999439798E-4</v>
      </c>
      <c r="S2372">
        <v>-8.8695622980593906E-3</v>
      </c>
      <c r="T2372">
        <v>0.04</v>
      </c>
    </row>
    <row r="2373" spans="1:20" x14ac:dyDescent="0.3">
      <c r="A2373" t="s">
        <v>164</v>
      </c>
      <c r="B2373">
        <v>2018</v>
      </c>
      <c r="C2373">
        <v>957042.8125</v>
      </c>
      <c r="D2373" s="1">
        <v>7.5999999999999998E-2</v>
      </c>
      <c r="E2373" s="1">
        <v>0.92826110124588002</v>
      </c>
      <c r="F2373" s="1">
        <v>-3.0000000000000001E-3</v>
      </c>
      <c r="G2373" s="1">
        <f t="shared" si="72"/>
        <v>0.11399999999999999</v>
      </c>
      <c r="H2373" s="1" t="str">
        <f t="shared" si="73"/>
        <v/>
      </c>
      <c r="I2373" s="1">
        <v>-1.4E-2</v>
      </c>
      <c r="J2373" s="1">
        <f>+D2373-F2373+I2373*O2373</f>
        <v>4.4560000000000002E-2</v>
      </c>
      <c r="K2373" s="1">
        <v>2.4265460669994399E-2</v>
      </c>
      <c r="L2373" s="1">
        <f>+K2373-J2373</f>
        <v>-2.0294539330005603E-2</v>
      </c>
      <c r="M2373" s="1">
        <v>2.6546066999439798E-4</v>
      </c>
      <c r="N2373" s="1">
        <f>+M2373-J2373</f>
        <v>-4.4294539330005607E-2</v>
      </c>
      <c r="O2373">
        <v>2.46</v>
      </c>
      <c r="P2373" t="s">
        <v>16</v>
      </c>
      <c r="Q2373">
        <v>-0.01</v>
      </c>
      <c r="R2373">
        <v>6.2357887327671004E-3</v>
      </c>
      <c r="S2373">
        <v>-1.15654058754444E-2</v>
      </c>
      <c r="T2373">
        <v>0.01</v>
      </c>
    </row>
    <row r="2374" spans="1:20" x14ac:dyDescent="0.3">
      <c r="A2374" t="s">
        <v>164</v>
      </c>
      <c r="B2374">
        <v>2019</v>
      </c>
      <c r="C2374">
        <v>957427.625</v>
      </c>
      <c r="D2374" s="1">
        <v>6.2E-2</v>
      </c>
      <c r="E2374" s="1">
        <v>0.91785860061645497</v>
      </c>
      <c r="F2374" s="1">
        <v>-4.5999999999999999E-2</v>
      </c>
      <c r="G2374" s="1">
        <f t="shared" si="72"/>
        <v>6.7999999999999991E-2</v>
      </c>
      <c r="H2374" s="1" t="str">
        <f t="shared" si="73"/>
        <v/>
      </c>
      <c r="I2374" s="1">
        <v>-0.01</v>
      </c>
      <c r="J2374" s="1">
        <f>+D2374-F2374+I2374*O2374</f>
        <v>8.4599999999999995E-2</v>
      </c>
      <c r="K2374" s="1">
        <v>2.4235788732767102E-2</v>
      </c>
      <c r="L2374" s="1">
        <f>+K2374-J2374</f>
        <v>-6.036421126723289E-2</v>
      </c>
      <c r="M2374" s="1">
        <v>6.2357887327671004E-3</v>
      </c>
      <c r="N2374" s="1">
        <f>+M2374-J2374</f>
        <v>-7.8364211267232892E-2</v>
      </c>
      <c r="O2374">
        <v>2.34</v>
      </c>
      <c r="P2374" t="s">
        <v>16</v>
      </c>
      <c r="Q2374">
        <v>-0.01</v>
      </c>
      <c r="R2374">
        <v>8.4696208238601994E-3</v>
      </c>
      <c r="S2374">
        <v>-1.0379569604992801E-2</v>
      </c>
      <c r="T2374">
        <v>-0.04</v>
      </c>
    </row>
    <row r="2375" spans="1:20" x14ac:dyDescent="0.3">
      <c r="A2375" t="s">
        <v>164</v>
      </c>
      <c r="B2375">
        <v>2020</v>
      </c>
      <c r="C2375">
        <v>952591.3125</v>
      </c>
      <c r="D2375" s="1">
        <v>2.5999999999999999E-2</v>
      </c>
      <c r="E2375" s="1">
        <v>0.94192945957183805</v>
      </c>
      <c r="F2375" s="1">
        <v>-2.7E-2</v>
      </c>
      <c r="G2375" s="1">
        <f t="shared" ref="G2375:G2438" si="74">SUMIFS(F:F,A:A,A2375,B:B,"&lt;="&amp;B2375)</f>
        <v>4.0999999999999995E-2</v>
      </c>
      <c r="H2375" s="1" t="str">
        <f t="shared" ref="H2375:H2438" si="75">IFERROR(IF(ABS(G2375)&gt;0.12,AVERAGEIFS(K:K,A:A,A2375,B:B,"&gt;"&amp;B2375,B:B,"&lt;"&amp;B2375+3),""),"")</f>
        <v/>
      </c>
      <c r="I2375" s="1">
        <v>2.4E-2</v>
      </c>
      <c r="J2375" s="1">
        <f>+D2375-F2375+I2375*O2375</f>
        <v>0.10772</v>
      </c>
      <c r="K2375" s="1">
        <v>2.04696208238602E-2</v>
      </c>
      <c r="L2375" s="1">
        <f>+K2375-J2375</f>
        <v>-8.72503791761398E-2</v>
      </c>
      <c r="M2375" s="1">
        <v>8.4696208238601994E-3</v>
      </c>
      <c r="N2375" s="1">
        <f>+M2375-J2375</f>
        <v>-9.9250379176139797E-2</v>
      </c>
      <c r="O2375">
        <v>2.2799999999999998</v>
      </c>
      <c r="P2375" t="s">
        <v>17</v>
      </c>
      <c r="Q2375">
        <v>-0.01</v>
      </c>
      <c r="R2375">
        <v>1.2492118656635199E-2</v>
      </c>
      <c r="S2375">
        <v>-3.1097494065761601E-2</v>
      </c>
      <c r="T2375">
        <v>0.01</v>
      </c>
    </row>
    <row r="2376" spans="1:20" x14ac:dyDescent="0.3">
      <c r="A2376" t="s">
        <v>164</v>
      </c>
      <c r="B2376">
        <v>2021</v>
      </c>
      <c r="C2376">
        <v>958922.8125</v>
      </c>
      <c r="D2376" s="1">
        <v>5.7000000000000002E-2</v>
      </c>
      <c r="E2376" s="1">
        <v>0.95205986499786399</v>
      </c>
      <c r="F2376" s="1">
        <v>0</v>
      </c>
      <c r="G2376" s="1">
        <f t="shared" si="74"/>
        <v>4.0999999999999995E-2</v>
      </c>
      <c r="H2376" s="1" t="str">
        <f t="shared" si="75"/>
        <v/>
      </c>
      <c r="I2376" s="1">
        <v>0.01</v>
      </c>
      <c r="J2376" s="1">
        <f>+D2376-F2376+I2376*O2376</f>
        <v>7.9799999999999996E-2</v>
      </c>
      <c r="K2376" s="1">
        <v>5.9492118656635298E-2</v>
      </c>
      <c r="L2376" s="1">
        <f>+K2376-J2376</f>
        <v>-2.0307881343364698E-2</v>
      </c>
      <c r="M2376" s="1">
        <v>1.2492118656635199E-2</v>
      </c>
      <c r="N2376" s="1">
        <f>+M2376-J2376</f>
        <v>-6.7307881343364795E-2</v>
      </c>
      <c r="O2376">
        <v>2.2799999999999998</v>
      </c>
      <c r="P2376" t="s">
        <v>15</v>
      </c>
      <c r="Q2376">
        <v>-0.03</v>
      </c>
      <c r="R2376">
        <v>-3.6485114991664902E-2</v>
      </c>
      <c r="S2376">
        <v>-4.3816082179546001E-3</v>
      </c>
      <c r="T2376">
        <v>-0.03</v>
      </c>
    </row>
    <row r="2377" spans="1:20" x14ac:dyDescent="0.3">
      <c r="A2377" t="s">
        <v>164</v>
      </c>
      <c r="B2377">
        <v>2022</v>
      </c>
      <c r="C2377">
        <v>962239.3125</v>
      </c>
      <c r="D2377" s="1">
        <v>3.4000000000000002E-2</v>
      </c>
      <c r="E2377" s="1">
        <v>0.93499296903610196</v>
      </c>
      <c r="F2377" s="1">
        <v>-1.9E-2</v>
      </c>
      <c r="G2377" s="1">
        <f t="shared" si="74"/>
        <v>2.1999999999999995E-2</v>
      </c>
      <c r="H2377" s="1" t="str">
        <f t="shared" si="75"/>
        <v/>
      </c>
      <c r="I2377" s="1">
        <v>-1.7000000000000001E-2</v>
      </c>
      <c r="J2377" s="1">
        <f>+D2377-F2377+I2377*O2377</f>
        <v>1.4919999999999996E-2</v>
      </c>
      <c r="K2377" s="1">
        <v>4.35148850083351E-2</v>
      </c>
      <c r="L2377" s="1">
        <f>+K2377-J2377</f>
        <v>2.8594885008335104E-2</v>
      </c>
      <c r="M2377" s="1">
        <v>-3.6485114991664902E-2</v>
      </c>
      <c r="N2377" s="1">
        <f>+M2377-J2377</f>
        <v>-5.1405114991664898E-2</v>
      </c>
      <c r="O2377">
        <v>2.2400000000000002</v>
      </c>
      <c r="P2377" t="s">
        <v>16</v>
      </c>
      <c r="Q2377">
        <v>0</v>
      </c>
      <c r="R2377">
        <v>-2.2167709454894099E-2</v>
      </c>
      <c r="S2377">
        <v>-2.6087816804648001E-3</v>
      </c>
      <c r="T2377">
        <v>0</v>
      </c>
    </row>
    <row r="2378" spans="1:20" x14ac:dyDescent="0.3">
      <c r="A2378" t="s">
        <v>165</v>
      </c>
      <c r="B2378">
        <v>2006</v>
      </c>
      <c r="C2378">
        <v>664091.625</v>
      </c>
      <c r="D2378" s="1">
        <v>1.4999999999999999E-2</v>
      </c>
      <c r="E2378" s="1">
        <v>0.95033800601959195</v>
      </c>
      <c r="F2378" s="1">
        <v>0.05</v>
      </c>
      <c r="G2378" s="1">
        <f t="shared" si="74"/>
        <v>0.05</v>
      </c>
      <c r="H2378" s="1" t="str">
        <f t="shared" si="75"/>
        <v/>
      </c>
      <c r="I2378" s="1">
        <v>5.0000000000000001E-3</v>
      </c>
      <c r="J2378" s="1">
        <f>+D2378-F2378+I2378*O2378</f>
        <v>-1.9550000000000005E-2</v>
      </c>
      <c r="K2378" s="1">
        <v>4.44526597857475E-2</v>
      </c>
      <c r="L2378" s="1">
        <f>+K2378-J2378</f>
        <v>6.4002659785747512E-2</v>
      </c>
      <c r="M2378" s="1">
        <v>1.24526597857475E-2</v>
      </c>
      <c r="N2378" s="1">
        <f>+M2378-J2378</f>
        <v>3.2002659785747505E-2</v>
      </c>
      <c r="O2378">
        <v>3.09</v>
      </c>
      <c r="P2378" t="s">
        <v>15</v>
      </c>
      <c r="Q2378">
        <v>0.01</v>
      </c>
      <c r="R2378">
        <v>1.1770195364951899E-3</v>
      </c>
      <c r="S2378">
        <v>2.0987754687666902E-3</v>
      </c>
      <c r="T2378">
        <v>0.05</v>
      </c>
    </row>
    <row r="2379" spans="1:20" x14ac:dyDescent="0.3">
      <c r="A2379" t="s">
        <v>165</v>
      </c>
      <c r="B2379">
        <v>2007</v>
      </c>
      <c r="C2379">
        <v>668978.5625</v>
      </c>
      <c r="D2379" s="1">
        <v>8.0000000000000002E-3</v>
      </c>
      <c r="E2379" s="1">
        <v>0.95006972551345803</v>
      </c>
      <c r="F2379" s="1">
        <v>-3.5999999999999997E-2</v>
      </c>
      <c r="G2379" s="1">
        <f t="shared" si="74"/>
        <v>1.4000000000000005E-2</v>
      </c>
      <c r="H2379" s="1" t="str">
        <f t="shared" si="75"/>
        <v/>
      </c>
      <c r="I2379" s="1">
        <v>0</v>
      </c>
      <c r="J2379" s="1">
        <f>+D2379-F2379+I2379*O2379</f>
        <v>4.3999999999999997E-2</v>
      </c>
      <c r="K2379" s="1">
        <v>3.0177019536495198E-2</v>
      </c>
      <c r="L2379" s="1">
        <f>+K2379-J2379</f>
        <v>-1.3822980463504799E-2</v>
      </c>
      <c r="M2379" s="1">
        <v>1.1770195364951899E-3</v>
      </c>
      <c r="N2379" s="1">
        <f>+M2379-J2379</f>
        <v>-4.2822980463504808E-2</v>
      </c>
      <c r="O2379">
        <v>2.98</v>
      </c>
      <c r="P2379" t="s">
        <v>16</v>
      </c>
      <c r="Q2379">
        <v>0</v>
      </c>
      <c r="R2379">
        <v>-2.82839167043566E-2</v>
      </c>
      <c r="S2379">
        <v>1.22688757255673E-3</v>
      </c>
      <c r="T2379">
        <v>-0.04</v>
      </c>
    </row>
    <row r="2380" spans="1:20" x14ac:dyDescent="0.3">
      <c r="A2380" t="s">
        <v>165</v>
      </c>
      <c r="B2380">
        <v>2008</v>
      </c>
      <c r="C2380">
        <v>673231.625</v>
      </c>
      <c r="D2380" s="1">
        <v>2E-3</v>
      </c>
      <c r="E2380" s="1">
        <v>0.94547247886657704</v>
      </c>
      <c r="F2380" s="1">
        <v>0.02</v>
      </c>
      <c r="G2380" s="1">
        <f t="shared" si="74"/>
        <v>3.4000000000000002E-2</v>
      </c>
      <c r="H2380" s="1" t="str">
        <f t="shared" si="75"/>
        <v/>
      </c>
      <c r="I2380" s="1">
        <v>-5.0000000000000001E-3</v>
      </c>
      <c r="J2380" s="1">
        <f>+D2380-F2380+I2380*O2380</f>
        <v>-3.3149999999999999E-2</v>
      </c>
      <c r="K2380" s="1">
        <v>9.7160832956433296E-3</v>
      </c>
      <c r="L2380" s="1">
        <f>+K2380-J2380</f>
        <v>4.2866083295643329E-2</v>
      </c>
      <c r="M2380" s="1">
        <v>-2.82839167043566E-2</v>
      </c>
      <c r="N2380" s="1">
        <f>+M2380-J2380</f>
        <v>4.8660832956433989E-3</v>
      </c>
      <c r="O2380">
        <v>3.03</v>
      </c>
      <c r="P2380" t="s">
        <v>17</v>
      </c>
      <c r="Q2380">
        <v>0</v>
      </c>
      <c r="R2380">
        <v>-5.0841268807649498E-2</v>
      </c>
      <c r="S2380">
        <v>-2.4274567142128899E-2</v>
      </c>
      <c r="T2380">
        <v>0.02</v>
      </c>
    </row>
    <row r="2381" spans="1:20" x14ac:dyDescent="0.3">
      <c r="A2381" t="s">
        <v>165</v>
      </c>
      <c r="B2381">
        <v>2009</v>
      </c>
      <c r="C2381">
        <v>680202.0625</v>
      </c>
      <c r="D2381" s="1">
        <v>0</v>
      </c>
      <c r="E2381" s="1">
        <v>0.939860880374908</v>
      </c>
      <c r="F2381" s="1">
        <v>-1.0999999999999999E-2</v>
      </c>
      <c r="G2381" s="1">
        <f t="shared" si="74"/>
        <v>2.3000000000000003E-2</v>
      </c>
      <c r="H2381" s="1" t="str">
        <f t="shared" si="75"/>
        <v/>
      </c>
      <c r="I2381" s="1">
        <v>-6.0000000000000001E-3</v>
      </c>
      <c r="J2381" s="1">
        <f>+D2381-F2381+I2381*O2381</f>
        <v>-7.0000000000000027E-3</v>
      </c>
      <c r="K2381" s="1">
        <v>-5.4841268807649599E-2</v>
      </c>
      <c r="L2381" s="1">
        <f>+K2381-J2381</f>
        <v>-4.7841268807649592E-2</v>
      </c>
      <c r="M2381" s="1">
        <v>-5.0841268807649498E-2</v>
      </c>
      <c r="N2381" s="1">
        <f>+M2381-J2381</f>
        <v>-4.3841268807649492E-2</v>
      </c>
      <c r="O2381">
        <v>3</v>
      </c>
      <c r="P2381" t="s">
        <v>16</v>
      </c>
      <c r="Q2381">
        <v>-0.02</v>
      </c>
      <c r="R2381">
        <v>-2.22840642929079E-3</v>
      </c>
      <c r="S2381">
        <v>7.2317023295908802E-3</v>
      </c>
      <c r="T2381">
        <v>-0.03</v>
      </c>
    </row>
    <row r="2382" spans="1:20" x14ac:dyDescent="0.3">
      <c r="A2382" t="s">
        <v>165</v>
      </c>
      <c r="B2382">
        <v>2010</v>
      </c>
      <c r="C2382">
        <v>689548.875</v>
      </c>
      <c r="D2382" s="1">
        <v>0</v>
      </c>
      <c r="E2382" s="1">
        <v>0.94539535045623802</v>
      </c>
      <c r="F2382" s="1">
        <v>6.7000000000000004E-2</v>
      </c>
      <c r="G2382" s="1">
        <f t="shared" si="74"/>
        <v>9.0000000000000011E-2</v>
      </c>
      <c r="H2382" s="1" t="str">
        <f t="shared" si="75"/>
        <v/>
      </c>
      <c r="I2382" s="1">
        <v>6.0000000000000001E-3</v>
      </c>
      <c r="J2382" s="1">
        <f>+D2382-F2382+I2382*O2382</f>
        <v>-4.7800000000000002E-2</v>
      </c>
      <c r="K2382" s="1">
        <v>1.3771593570709201E-2</v>
      </c>
      <c r="L2382" s="1">
        <f>+K2382-J2382</f>
        <v>6.1571593570709203E-2</v>
      </c>
      <c r="M2382" s="1">
        <v>-2.22840642929079E-3</v>
      </c>
      <c r="N2382" s="1">
        <f>+M2382-J2382</f>
        <v>4.557159357070921E-2</v>
      </c>
      <c r="O2382">
        <v>3.2</v>
      </c>
      <c r="P2382" t="s">
        <v>15</v>
      </c>
      <c r="Q2382">
        <v>0.01</v>
      </c>
      <c r="R2382">
        <v>-2.0883656449616001E-2</v>
      </c>
      <c r="S2382">
        <v>4.0011806413529899E-4</v>
      </c>
      <c r="T2382">
        <v>0.06</v>
      </c>
    </row>
    <row r="2383" spans="1:20" x14ac:dyDescent="0.3">
      <c r="A2383" t="s">
        <v>165</v>
      </c>
      <c r="B2383">
        <v>2011</v>
      </c>
      <c r="C2383">
        <v>697354.6875</v>
      </c>
      <c r="D2383" s="1">
        <v>1E-3</v>
      </c>
      <c r="E2383" s="1">
        <v>0.93482851982116699</v>
      </c>
      <c r="F2383" s="1">
        <v>-4.5999999999999999E-2</v>
      </c>
      <c r="G2383" s="1">
        <f t="shared" si="74"/>
        <v>4.4000000000000011E-2</v>
      </c>
      <c r="H2383" s="1" t="str">
        <f t="shared" si="75"/>
        <v/>
      </c>
      <c r="I2383" s="1">
        <v>-1.0999999999999999E-2</v>
      </c>
      <c r="J2383" s="1">
        <f>+D2383-F2383+I2383*O2383</f>
        <v>1.3450000000000004E-2</v>
      </c>
      <c r="K2383" s="1">
        <v>1.1116343550384E-2</v>
      </c>
      <c r="L2383" s="1">
        <f>+K2383-J2383</f>
        <v>-2.3336564496160041E-3</v>
      </c>
      <c r="M2383" s="1">
        <v>-2.0883656449616001E-2</v>
      </c>
      <c r="N2383" s="1">
        <f>+M2383-J2383</f>
        <v>-3.4333656449616001E-2</v>
      </c>
      <c r="O2383">
        <v>3.05</v>
      </c>
      <c r="P2383" t="s">
        <v>16</v>
      </c>
      <c r="Q2383">
        <v>0</v>
      </c>
      <c r="R2383">
        <v>-1.1448273718357001E-2</v>
      </c>
      <c r="S2383">
        <v>-6.0100676491856896E-3</v>
      </c>
      <c r="T2383">
        <v>-0.04</v>
      </c>
    </row>
    <row r="2384" spans="1:20" x14ac:dyDescent="0.3">
      <c r="A2384" t="s">
        <v>165</v>
      </c>
      <c r="B2384">
        <v>2012</v>
      </c>
      <c r="C2384">
        <v>703148.375</v>
      </c>
      <c r="D2384" s="1">
        <v>-2E-3</v>
      </c>
      <c r="E2384" s="1">
        <v>0.93673932552337602</v>
      </c>
      <c r="F2384" s="1">
        <v>2.5000000000000001E-2</v>
      </c>
      <c r="G2384" s="1">
        <f t="shared" si="74"/>
        <v>6.9000000000000006E-2</v>
      </c>
      <c r="H2384" s="1" t="str">
        <f t="shared" si="75"/>
        <v/>
      </c>
      <c r="I2384" s="1">
        <v>2E-3</v>
      </c>
      <c r="J2384" s="1">
        <f>+D2384-F2384+I2384*O2384</f>
        <v>-2.0740000000000001E-2</v>
      </c>
      <c r="K2384" s="1">
        <v>9.5517262816429103E-3</v>
      </c>
      <c r="L2384" s="1">
        <f>+K2384-J2384</f>
        <v>3.0291726281642912E-2</v>
      </c>
      <c r="M2384" s="1">
        <v>-1.1448273718357001E-2</v>
      </c>
      <c r="N2384" s="1">
        <f>+M2384-J2384</f>
        <v>9.2917262816430007E-3</v>
      </c>
      <c r="O2384">
        <v>3.13</v>
      </c>
      <c r="P2384" t="s">
        <v>15</v>
      </c>
      <c r="Q2384">
        <v>-0.01</v>
      </c>
      <c r="R2384">
        <v>1.18341619521378E-2</v>
      </c>
      <c r="S2384">
        <v>5.7073906064032901E-3</v>
      </c>
      <c r="T2384">
        <v>0.02</v>
      </c>
    </row>
    <row r="2385" spans="1:20" x14ac:dyDescent="0.3">
      <c r="A2385" t="s">
        <v>165</v>
      </c>
      <c r="B2385">
        <v>2013</v>
      </c>
      <c r="C2385">
        <v>708431.0625</v>
      </c>
      <c r="D2385" s="1">
        <v>-1E-3</v>
      </c>
      <c r="E2385" s="1">
        <v>0.94546115398407005</v>
      </c>
      <c r="F2385" s="1">
        <v>-8.0000000000000002E-3</v>
      </c>
      <c r="G2385" s="1">
        <f t="shared" si="74"/>
        <v>6.1000000000000006E-2</v>
      </c>
      <c r="H2385" s="1" t="str">
        <f t="shared" si="75"/>
        <v/>
      </c>
      <c r="I2385" s="1">
        <v>8.9999999999999993E-3</v>
      </c>
      <c r="J2385" s="1">
        <f>+D2385-F2385+I2385*O2385</f>
        <v>3.49E-2</v>
      </c>
      <c r="K2385" s="1">
        <v>2.6834161952137899E-2</v>
      </c>
      <c r="L2385" s="1">
        <f>+K2385-J2385</f>
        <v>-8.065838047862102E-3</v>
      </c>
      <c r="M2385" s="1">
        <v>1.18341619521378E-2</v>
      </c>
      <c r="N2385" s="1">
        <f>+M2385-J2385</f>
        <v>-2.3065838047862199E-2</v>
      </c>
      <c r="O2385">
        <v>3.1</v>
      </c>
      <c r="P2385" t="s">
        <v>17</v>
      </c>
      <c r="Q2385">
        <v>0.01</v>
      </c>
      <c r="R2385">
        <v>1.45546708405017E-2</v>
      </c>
      <c r="S2385">
        <v>1.2546647340059201E-2</v>
      </c>
      <c r="T2385">
        <v>-0.02</v>
      </c>
    </row>
    <row r="2386" spans="1:20" x14ac:dyDescent="0.3">
      <c r="A2386" t="s">
        <v>165</v>
      </c>
      <c r="B2386">
        <v>2014</v>
      </c>
      <c r="C2386">
        <v>719484.3125</v>
      </c>
      <c r="D2386" s="1">
        <v>0</v>
      </c>
      <c r="E2386" s="1">
        <v>0.95429825782775901</v>
      </c>
      <c r="F2386" s="1">
        <v>-1.4E-2</v>
      </c>
      <c r="G2386" s="1">
        <f t="shared" si="74"/>
        <v>4.7000000000000007E-2</v>
      </c>
      <c r="H2386" s="1" t="str">
        <f t="shared" si="75"/>
        <v/>
      </c>
      <c r="I2386" s="1">
        <v>8.9999999999999993E-3</v>
      </c>
      <c r="J2386" s="1">
        <f>+D2386-F2386+I2386*O2386</f>
        <v>4.1540000000000001E-2</v>
      </c>
      <c r="K2386" s="1">
        <v>3.0554670840501799E-2</v>
      </c>
      <c r="L2386" s="1">
        <f>+K2386-J2386</f>
        <v>-1.0985329159498201E-2</v>
      </c>
      <c r="M2386" s="1">
        <v>1.45546708405017E-2</v>
      </c>
      <c r="N2386" s="1">
        <f>+M2386-J2386</f>
        <v>-2.6985329159498299E-2</v>
      </c>
      <c r="O2386">
        <v>3.06</v>
      </c>
      <c r="P2386" t="s">
        <v>17</v>
      </c>
      <c r="Q2386">
        <v>0.01</v>
      </c>
      <c r="R2386">
        <v>8.3369629621505695E-2</v>
      </c>
      <c r="S2386">
        <v>5.3106177598237998E-2</v>
      </c>
      <c r="T2386">
        <v>-0.02</v>
      </c>
    </row>
    <row r="2387" spans="1:20" x14ac:dyDescent="0.3">
      <c r="A2387" t="s">
        <v>165</v>
      </c>
      <c r="B2387">
        <v>2015</v>
      </c>
      <c r="C2387">
        <v>731310.3125</v>
      </c>
      <c r="D2387" s="1">
        <v>0</v>
      </c>
      <c r="E2387" s="1">
        <v>0.96113854646682695</v>
      </c>
      <c r="F2387" s="1">
        <v>0</v>
      </c>
      <c r="G2387" s="1">
        <f t="shared" si="74"/>
        <v>4.7000000000000007E-2</v>
      </c>
      <c r="H2387" s="1" t="str">
        <f t="shared" si="75"/>
        <v/>
      </c>
      <c r="I2387" s="1">
        <v>7.0000000000000001E-3</v>
      </c>
      <c r="J2387" s="1">
        <f>+D2387-F2387+I2387*O2387</f>
        <v>2.1420000000000002E-2</v>
      </c>
      <c r="K2387" s="1">
        <v>8.4369629621505696E-2</v>
      </c>
      <c r="L2387" s="1">
        <f>+K2387-J2387</f>
        <v>6.2949629621505687E-2</v>
      </c>
      <c r="M2387" s="1">
        <v>8.3369629621505695E-2</v>
      </c>
      <c r="N2387" s="1">
        <f>+M2387-J2387</f>
        <v>6.1949629621505693E-2</v>
      </c>
      <c r="O2387">
        <v>3.06</v>
      </c>
      <c r="P2387" t="s">
        <v>17</v>
      </c>
      <c r="Q2387">
        <v>0.05</v>
      </c>
      <c r="R2387">
        <v>5.2689101815223599E-2</v>
      </c>
      <c r="S2387">
        <v>3.9535544812679298E-2</v>
      </c>
      <c r="T2387">
        <v>0.01</v>
      </c>
    </row>
    <row r="2388" spans="1:20" x14ac:dyDescent="0.3">
      <c r="A2388" t="s">
        <v>165</v>
      </c>
      <c r="B2388">
        <v>2016</v>
      </c>
      <c r="C2388">
        <v>743292.8125</v>
      </c>
      <c r="D2388" s="1">
        <v>0</v>
      </c>
      <c r="E2388" s="1">
        <v>0.96379011869430498</v>
      </c>
      <c r="F2388" s="1">
        <v>-2E-3</v>
      </c>
      <c r="G2388" s="1">
        <f t="shared" si="74"/>
        <v>4.5000000000000005E-2</v>
      </c>
      <c r="H2388" s="1" t="str">
        <f t="shared" si="75"/>
        <v/>
      </c>
      <c r="I2388" s="1">
        <v>3.0000000000000001E-3</v>
      </c>
      <c r="J2388" s="1">
        <f>+D2388-F2388+I2388*O2388</f>
        <v>1.115E-2</v>
      </c>
      <c r="K2388" s="1">
        <v>6.5689101815223694E-2</v>
      </c>
      <c r="L2388" s="1">
        <f>+K2388-J2388</f>
        <v>5.4539101815223694E-2</v>
      </c>
      <c r="M2388" s="1">
        <v>5.2689101815223599E-2</v>
      </c>
      <c r="N2388" s="1">
        <f>+M2388-J2388</f>
        <v>4.1539101815223599E-2</v>
      </c>
      <c r="O2388">
        <v>3.05</v>
      </c>
      <c r="P2388" t="s">
        <v>17</v>
      </c>
      <c r="Q2388">
        <v>0.04</v>
      </c>
      <c r="R2388">
        <v>2.8843691289424898E-2</v>
      </c>
      <c r="S2388">
        <v>2.6054117828607601E-2</v>
      </c>
      <c r="T2388">
        <v>0</v>
      </c>
    </row>
    <row r="2389" spans="1:20" x14ac:dyDescent="0.3">
      <c r="A2389" t="s">
        <v>165</v>
      </c>
      <c r="B2389">
        <v>2017</v>
      </c>
      <c r="C2389">
        <v>754781.9375</v>
      </c>
      <c r="D2389" s="1">
        <v>1.2999999999999999E-2</v>
      </c>
      <c r="E2389" s="1">
        <v>0.95761376619339</v>
      </c>
      <c r="F2389" s="1">
        <v>-0.02</v>
      </c>
      <c r="G2389" s="1">
        <f t="shared" si="74"/>
        <v>2.5000000000000005E-2</v>
      </c>
      <c r="H2389" s="1" t="str">
        <f t="shared" si="75"/>
        <v/>
      </c>
      <c r="I2389" s="1">
        <v>-6.0000000000000001E-3</v>
      </c>
      <c r="J2389" s="1">
        <f>+D2389-F2389+I2389*O2389</f>
        <v>1.506E-2</v>
      </c>
      <c r="K2389" s="1">
        <v>4.9843691289424903E-2</v>
      </c>
      <c r="L2389" s="1">
        <f>+K2389-J2389</f>
        <v>3.4783691289424906E-2</v>
      </c>
      <c r="M2389" s="1">
        <v>2.8843691289424898E-2</v>
      </c>
      <c r="N2389" s="1">
        <f>+M2389-J2389</f>
        <v>1.3783691289424898E-2</v>
      </c>
      <c r="O2389">
        <v>2.99</v>
      </c>
      <c r="P2389" t="s">
        <v>16</v>
      </c>
      <c r="Q2389">
        <v>0.03</v>
      </c>
      <c r="R2389">
        <v>1.5664331823587299E-2</v>
      </c>
      <c r="S2389">
        <v>6.5293088555335999E-3</v>
      </c>
      <c r="T2389">
        <v>-0.02</v>
      </c>
    </row>
    <row r="2390" spans="1:20" x14ac:dyDescent="0.3">
      <c r="A2390" t="s">
        <v>165</v>
      </c>
      <c r="B2390">
        <v>2018</v>
      </c>
      <c r="C2390">
        <v>765204.25</v>
      </c>
      <c r="D2390" s="1">
        <v>2.4E-2</v>
      </c>
      <c r="E2390" s="1">
        <v>0.95880526304244995</v>
      </c>
      <c r="F2390" s="1">
        <v>2.7E-2</v>
      </c>
      <c r="G2390" s="1">
        <f t="shared" si="74"/>
        <v>5.2000000000000005E-2</v>
      </c>
      <c r="H2390" s="1" t="str">
        <f t="shared" si="75"/>
        <v/>
      </c>
      <c r="I2390" s="1">
        <v>1E-3</v>
      </c>
      <c r="J2390" s="1">
        <f>+D2390-F2390+I2390*O2390</f>
        <v>7.0000000000000617E-5</v>
      </c>
      <c r="K2390" s="1">
        <v>3.9664331823587397E-2</v>
      </c>
      <c r="L2390" s="1">
        <f>+K2390-J2390</f>
        <v>3.9594331823587396E-2</v>
      </c>
      <c r="M2390" s="1">
        <v>1.5664331823587299E-2</v>
      </c>
      <c r="N2390" s="1">
        <f>+M2390-J2390</f>
        <v>1.5594331823587299E-2</v>
      </c>
      <c r="O2390">
        <v>3.07</v>
      </c>
      <c r="P2390" t="s">
        <v>15</v>
      </c>
      <c r="Q2390">
        <v>0.01</v>
      </c>
      <c r="R2390">
        <v>4.2557693243026697E-2</v>
      </c>
      <c r="S2390">
        <v>2.4756498634815199E-2</v>
      </c>
      <c r="T2390">
        <v>0.04</v>
      </c>
    </row>
    <row r="2391" spans="1:20" x14ac:dyDescent="0.3">
      <c r="A2391" t="s">
        <v>165</v>
      </c>
      <c r="B2391">
        <v>2019</v>
      </c>
      <c r="C2391">
        <v>775080.0625</v>
      </c>
      <c r="D2391" s="1">
        <v>1.4E-2</v>
      </c>
      <c r="E2391" s="1">
        <v>0.95664685964584395</v>
      </c>
      <c r="F2391" s="1">
        <v>2.5000000000000001E-2</v>
      </c>
      <c r="G2391" s="1">
        <f t="shared" si="74"/>
        <v>7.7000000000000013E-2</v>
      </c>
      <c r="H2391" s="1" t="str">
        <f t="shared" si="75"/>
        <v/>
      </c>
      <c r="I2391" s="1">
        <v>-2E-3</v>
      </c>
      <c r="J2391" s="1">
        <f>+D2391-F2391+I2391*O2391</f>
        <v>-1.7300000000000003E-2</v>
      </c>
      <c r="K2391" s="1">
        <v>6.0557693243026699E-2</v>
      </c>
      <c r="L2391" s="1">
        <f>+K2391-J2391</f>
        <v>7.7857693243026702E-2</v>
      </c>
      <c r="M2391" s="1">
        <v>4.2557693243026697E-2</v>
      </c>
      <c r="N2391" s="1">
        <f>+M2391-J2391</f>
        <v>5.9857693243026699E-2</v>
      </c>
      <c r="O2391">
        <v>3.15</v>
      </c>
      <c r="P2391" t="s">
        <v>17</v>
      </c>
      <c r="Q2391">
        <v>0.02</v>
      </c>
      <c r="R2391">
        <v>3.20630652010441E-2</v>
      </c>
      <c r="S2391">
        <v>1.32138747721911E-2</v>
      </c>
      <c r="T2391">
        <v>0.03</v>
      </c>
    </row>
    <row r="2392" spans="1:20" x14ac:dyDescent="0.3">
      <c r="A2392" t="s">
        <v>165</v>
      </c>
      <c r="B2392">
        <v>2020</v>
      </c>
      <c r="C2392">
        <v>782506.4375</v>
      </c>
      <c r="D2392" s="1">
        <v>2.4E-2</v>
      </c>
      <c r="E2392" s="1">
        <v>0.97315794229507402</v>
      </c>
      <c r="F2392" s="1">
        <v>-4.9000000000000002E-2</v>
      </c>
      <c r="G2392" s="1">
        <f t="shared" si="74"/>
        <v>2.8000000000000011E-2</v>
      </c>
      <c r="H2392" s="1" t="str">
        <f t="shared" si="75"/>
        <v/>
      </c>
      <c r="I2392" s="1">
        <v>1.7000000000000001E-2</v>
      </c>
      <c r="J2392" s="1">
        <f>+D2392-F2392+I2392*O2392</f>
        <v>0.12383000000000002</v>
      </c>
      <c r="K2392" s="1">
        <v>4.4063065201044103E-2</v>
      </c>
      <c r="L2392" s="1">
        <f>+K2392-J2392</f>
        <v>-7.9766934798955913E-2</v>
      </c>
      <c r="M2392" s="1">
        <v>3.20630652010441E-2</v>
      </c>
      <c r="N2392" s="1">
        <f>+M2392-J2392</f>
        <v>-9.1766934798955924E-2</v>
      </c>
      <c r="O2392">
        <v>2.99</v>
      </c>
      <c r="P2392" t="s">
        <v>17</v>
      </c>
      <c r="Q2392">
        <v>0.01</v>
      </c>
      <c r="R2392">
        <v>3.6252638578414903E-2</v>
      </c>
      <c r="S2392">
        <v>-7.3369741439820004E-3</v>
      </c>
      <c r="T2392">
        <v>-0.01</v>
      </c>
    </row>
    <row r="2393" spans="1:20" x14ac:dyDescent="0.3">
      <c r="A2393" t="s">
        <v>165</v>
      </c>
      <c r="B2393">
        <v>2021</v>
      </c>
      <c r="C2393">
        <v>789866.5625</v>
      </c>
      <c r="D2393" s="1">
        <v>2.3E-2</v>
      </c>
      <c r="E2393" s="1">
        <v>0.96388083696365401</v>
      </c>
      <c r="F2393" s="1">
        <v>6.7000000000000004E-2</v>
      </c>
      <c r="G2393" s="1">
        <f t="shared" si="74"/>
        <v>9.5000000000000015E-2</v>
      </c>
      <c r="H2393" s="1" t="str">
        <f t="shared" si="75"/>
        <v/>
      </c>
      <c r="I2393" s="1">
        <v>-8.9999999999999993E-3</v>
      </c>
      <c r="J2393" s="1">
        <f>+D2393-F2393+I2393*O2393</f>
        <v>-7.2800000000000004E-2</v>
      </c>
      <c r="K2393" s="1">
        <v>8.3252638578414903E-2</v>
      </c>
      <c r="L2393" s="1">
        <f>+K2393-J2393</f>
        <v>0.15605263857841489</v>
      </c>
      <c r="M2393" s="1">
        <v>3.6252638578414903E-2</v>
      </c>
      <c r="N2393" s="1">
        <f>+M2393-J2393</f>
        <v>0.10905263857841491</v>
      </c>
      <c r="O2393">
        <v>3.2</v>
      </c>
      <c r="P2393" t="s">
        <v>17</v>
      </c>
      <c r="Q2393">
        <v>-0.01</v>
      </c>
      <c r="R2393">
        <v>-6.4606069512665301E-2</v>
      </c>
      <c r="S2393">
        <v>-3.2502562738955E-2</v>
      </c>
      <c r="T2393">
        <v>0.04</v>
      </c>
    </row>
    <row r="2394" spans="1:20" x14ac:dyDescent="0.3">
      <c r="A2394" t="s">
        <v>165</v>
      </c>
      <c r="B2394">
        <v>2022</v>
      </c>
      <c r="C2394">
        <v>798242.8125</v>
      </c>
      <c r="D2394" s="1">
        <v>2.1999999999999999E-2</v>
      </c>
      <c r="E2394" s="1">
        <v>0.94008123874664296</v>
      </c>
      <c r="F2394" s="1">
        <v>-8.3000000000000004E-2</v>
      </c>
      <c r="G2394" s="1">
        <f t="shared" si="74"/>
        <v>1.2000000000000011E-2</v>
      </c>
      <c r="H2394" s="1" t="str">
        <f t="shared" si="75"/>
        <v/>
      </c>
      <c r="I2394" s="1">
        <v>-2.4E-2</v>
      </c>
      <c r="J2394" s="1">
        <f>+D2394-F2394+I2394*O2394</f>
        <v>3.4680000000000002E-2</v>
      </c>
      <c r="K2394" s="1">
        <v>1.53939304873347E-2</v>
      </c>
      <c r="L2394" s="1">
        <f>+K2394-J2394</f>
        <v>-1.9286069512665302E-2</v>
      </c>
      <c r="M2394" s="1">
        <v>-6.4606069512665301E-2</v>
      </c>
      <c r="N2394" s="1">
        <f>+M2394-J2394</f>
        <v>-9.9286069512665304E-2</v>
      </c>
      <c r="O2394">
        <v>2.93</v>
      </c>
      <c r="P2394" t="s">
        <v>16</v>
      </c>
      <c r="Q2394">
        <v>-0.03</v>
      </c>
      <c r="R2394">
        <v>-2.8766752950847099E-2</v>
      </c>
      <c r="S2394">
        <v>-9.2078251764177999E-3</v>
      </c>
      <c r="T2394">
        <v>-7.0000000000000007E-2</v>
      </c>
    </row>
    <row r="2395" spans="1:20" x14ac:dyDescent="0.3">
      <c r="A2395" t="s">
        <v>166</v>
      </c>
      <c r="B2395">
        <v>2006</v>
      </c>
      <c r="C2395">
        <v>655506.125</v>
      </c>
      <c r="D2395" s="1">
        <v>0</v>
      </c>
      <c r="E2395" s="1">
        <v>0.93800926208496105</v>
      </c>
      <c r="F2395" s="1">
        <v>-5.8999999999999997E-2</v>
      </c>
      <c r="G2395" s="1">
        <f t="shared" si="74"/>
        <v>-5.8999999999999997E-2</v>
      </c>
      <c r="H2395" s="1" t="str">
        <f t="shared" si="75"/>
        <v/>
      </c>
      <c r="I2395" s="1">
        <v>3.0000000000000001E-3</v>
      </c>
      <c r="J2395" s="1">
        <f>+D2395-F2395+I2395*O2395</f>
        <v>6.5000000000000002E-2</v>
      </c>
      <c r="K2395" s="1">
        <v>3.0516335740685501E-2</v>
      </c>
      <c r="L2395" s="1">
        <f>+K2395-J2395</f>
        <v>-3.4483664259314498E-2</v>
      </c>
      <c r="M2395" s="1">
        <v>-1.48366425931449E-3</v>
      </c>
      <c r="N2395" s="1">
        <f>+M2395-J2395</f>
        <v>-6.6483664259314498E-2</v>
      </c>
      <c r="O2395">
        <v>2</v>
      </c>
      <c r="P2395" t="s">
        <v>17</v>
      </c>
      <c r="Q2395">
        <v>-0.01</v>
      </c>
      <c r="R2395">
        <v>2.4501523971558001E-3</v>
      </c>
      <c r="S2395">
        <v>3.3719083294273E-3</v>
      </c>
      <c r="T2395">
        <v>-0.06</v>
      </c>
    </row>
    <row r="2396" spans="1:20" x14ac:dyDescent="0.3">
      <c r="A2396" t="s">
        <v>166</v>
      </c>
      <c r="B2396">
        <v>2007</v>
      </c>
      <c r="C2396">
        <v>656880.625</v>
      </c>
      <c r="D2396" s="1">
        <v>0</v>
      </c>
      <c r="E2396" s="1">
        <v>0.93333733081817605</v>
      </c>
      <c r="F2396" s="1">
        <v>7.2999999999999995E-2</v>
      </c>
      <c r="G2396" s="1">
        <f t="shared" si="74"/>
        <v>1.3999999999999999E-2</v>
      </c>
      <c r="H2396" s="1" t="str">
        <f t="shared" si="75"/>
        <v/>
      </c>
      <c r="I2396" s="1">
        <v>-5.0000000000000001E-3</v>
      </c>
      <c r="J2396" s="1">
        <f>+D2396-F2396+I2396*O2396</f>
        <v>-8.3749999999999991E-2</v>
      </c>
      <c r="K2396" s="1">
        <v>3.1450152397155803E-2</v>
      </c>
      <c r="L2396" s="1">
        <f>+K2396-J2396</f>
        <v>0.11520015239715579</v>
      </c>
      <c r="M2396" s="1">
        <v>2.4501523971558001E-3</v>
      </c>
      <c r="N2396" s="1">
        <f>+M2396-J2396</f>
        <v>8.6200152397155796E-2</v>
      </c>
      <c r="O2396">
        <v>2.15</v>
      </c>
      <c r="P2396" t="s">
        <v>17</v>
      </c>
      <c r="Q2396">
        <v>0</v>
      </c>
      <c r="R2396">
        <v>-3.1169575463980401E-2</v>
      </c>
      <c r="S2396">
        <v>-1.6587711870670299E-3</v>
      </c>
      <c r="T2396">
        <v>7.0000000000000007E-2</v>
      </c>
    </row>
    <row r="2397" spans="1:20" x14ac:dyDescent="0.3">
      <c r="A2397" t="s">
        <v>166</v>
      </c>
      <c r="B2397">
        <v>2008</v>
      </c>
      <c r="C2397">
        <v>659427</v>
      </c>
      <c r="D2397" s="1">
        <v>5.0000000000000001E-3</v>
      </c>
      <c r="E2397" s="1">
        <v>0.93609827756881703</v>
      </c>
      <c r="F2397" s="1">
        <v>-5.8999999999999997E-2</v>
      </c>
      <c r="G2397" s="1">
        <f t="shared" si="74"/>
        <v>-4.4999999999999998E-2</v>
      </c>
      <c r="H2397" s="1" t="str">
        <f t="shared" si="75"/>
        <v/>
      </c>
      <c r="I2397" s="1">
        <v>3.0000000000000001E-3</v>
      </c>
      <c r="J2397" s="1">
        <f>+D2397-F2397+I2397*O2397</f>
        <v>7.0059999999999997E-2</v>
      </c>
      <c r="K2397" s="1">
        <v>6.8304245360195602E-3</v>
      </c>
      <c r="L2397" s="1">
        <f>+K2397-J2397</f>
        <v>-6.3229575463980434E-2</v>
      </c>
      <c r="M2397" s="1">
        <v>-3.1169575463980401E-2</v>
      </c>
      <c r="N2397" s="1">
        <f>+M2397-J2397</f>
        <v>-0.1012295754639804</v>
      </c>
      <c r="O2397">
        <v>2.02</v>
      </c>
      <c r="P2397" t="s">
        <v>17</v>
      </c>
      <c r="Q2397">
        <v>0</v>
      </c>
      <c r="R2397">
        <v>-2.35017917156219E-2</v>
      </c>
      <c r="S2397">
        <v>3.0649099498987501E-3</v>
      </c>
      <c r="T2397">
        <v>-0.06</v>
      </c>
    </row>
    <row r="2398" spans="1:20" x14ac:dyDescent="0.3">
      <c r="A2398" t="s">
        <v>166</v>
      </c>
      <c r="B2398">
        <v>2009</v>
      </c>
      <c r="C2398">
        <v>661563.4375</v>
      </c>
      <c r="D2398" s="1">
        <v>1E-3</v>
      </c>
      <c r="E2398" s="1">
        <v>0.94362920522689797</v>
      </c>
      <c r="F2398" s="1">
        <v>3.7999999999999999E-2</v>
      </c>
      <c r="G2398" s="1">
        <f t="shared" si="74"/>
        <v>-6.9999999999999993E-3</v>
      </c>
      <c r="H2398" s="1" t="str">
        <f t="shared" si="75"/>
        <v/>
      </c>
      <c r="I2398" s="1">
        <v>8.0000000000000002E-3</v>
      </c>
      <c r="J2398" s="1">
        <f>+D2398-F2398+I2398*O2398</f>
        <v>-2.0199999999999996E-2</v>
      </c>
      <c r="K2398" s="1">
        <v>-2.75017917156219E-2</v>
      </c>
      <c r="L2398" s="1">
        <f>+K2398-J2398</f>
        <v>-7.3017917156219039E-3</v>
      </c>
      <c r="M2398" s="1">
        <v>-2.35017917156219E-2</v>
      </c>
      <c r="N2398" s="1">
        <f>+M2398-J2398</f>
        <v>-3.3017917156219038E-3</v>
      </c>
      <c r="O2398">
        <v>2.1</v>
      </c>
      <c r="P2398" t="s">
        <v>15</v>
      </c>
      <c r="Q2398">
        <v>0</v>
      </c>
      <c r="R2398">
        <v>2.38953918218598E-4</v>
      </c>
      <c r="S2398">
        <v>9.69906267710028E-3</v>
      </c>
      <c r="T2398">
        <v>0.02</v>
      </c>
    </row>
    <row r="2399" spans="1:20" x14ac:dyDescent="0.3">
      <c r="A2399" t="s">
        <v>166</v>
      </c>
      <c r="B2399">
        <v>2010</v>
      </c>
      <c r="C2399">
        <v>663776.5</v>
      </c>
      <c r="D2399" s="1">
        <v>0</v>
      </c>
      <c r="E2399" s="1">
        <v>0.94516116380691495</v>
      </c>
      <c r="F2399" s="1">
        <v>-1.0999999999999999E-2</v>
      </c>
      <c r="G2399" s="1">
        <f t="shared" si="74"/>
        <v>-1.7999999999999999E-2</v>
      </c>
      <c r="H2399" s="1" t="str">
        <f t="shared" si="75"/>
        <v/>
      </c>
      <c r="I2399" s="1">
        <v>2E-3</v>
      </c>
      <c r="J2399" s="1">
        <f>+D2399-F2399+I2399*O2399</f>
        <v>1.5139999999999999E-2</v>
      </c>
      <c r="K2399" s="1">
        <v>1.6238953918218599E-2</v>
      </c>
      <c r="L2399" s="1">
        <f>+K2399-J2399</f>
        <v>1.0989539182185998E-3</v>
      </c>
      <c r="M2399" s="1">
        <v>2.38953918218598E-4</v>
      </c>
      <c r="N2399" s="1">
        <f>+M2399-J2399</f>
        <v>-1.49010460817814E-2</v>
      </c>
      <c r="O2399">
        <v>2.0699999999999998</v>
      </c>
      <c r="P2399" t="s">
        <v>17</v>
      </c>
      <c r="Q2399">
        <v>0.01</v>
      </c>
      <c r="R2399">
        <v>-2.08802692294121E-2</v>
      </c>
      <c r="S2399">
        <v>4.0350528433919902E-4</v>
      </c>
      <c r="T2399">
        <v>-0.02</v>
      </c>
    </row>
    <row r="2400" spans="1:20" x14ac:dyDescent="0.3">
      <c r="A2400" t="s">
        <v>166</v>
      </c>
      <c r="B2400">
        <v>2011</v>
      </c>
      <c r="C2400">
        <v>664408.5</v>
      </c>
      <c r="D2400" s="1">
        <v>0</v>
      </c>
      <c r="E2400" s="1">
        <v>0.94815987348556496</v>
      </c>
      <c r="F2400" s="1">
        <v>4.2999999999999997E-2</v>
      </c>
      <c r="G2400" s="1">
        <f t="shared" si="74"/>
        <v>2.4999999999999998E-2</v>
      </c>
      <c r="H2400" s="1" t="str">
        <f t="shared" si="75"/>
        <v/>
      </c>
      <c r="I2400" s="1">
        <v>3.0000000000000001E-3</v>
      </c>
      <c r="J2400" s="1">
        <f>+D2400-F2400+I2400*O2400</f>
        <v>-3.6519999999999997E-2</v>
      </c>
      <c r="K2400" s="1">
        <v>1.11197307705879E-2</v>
      </c>
      <c r="L2400" s="1">
        <f>+K2400-J2400</f>
        <v>4.7639730770587897E-2</v>
      </c>
      <c r="M2400" s="1">
        <v>-2.08802692294121E-2</v>
      </c>
      <c r="N2400" s="1">
        <f>+M2400-J2400</f>
        <v>1.5639730770587897E-2</v>
      </c>
      <c r="O2400">
        <v>2.16</v>
      </c>
      <c r="P2400" t="s">
        <v>15</v>
      </c>
      <c r="Q2400">
        <v>0</v>
      </c>
      <c r="R2400">
        <v>-9.7596126645802996E-3</v>
      </c>
      <c r="S2400">
        <v>-4.3214065954089E-3</v>
      </c>
      <c r="T2400">
        <v>0.04</v>
      </c>
    </row>
    <row r="2401" spans="1:20" x14ac:dyDescent="0.3">
      <c r="A2401" t="s">
        <v>166</v>
      </c>
      <c r="B2401">
        <v>2012</v>
      </c>
      <c r="C2401">
        <v>665097.25</v>
      </c>
      <c r="D2401" s="1">
        <v>1.2999999999999999E-2</v>
      </c>
      <c r="E2401" s="1">
        <v>0.94994741678237904</v>
      </c>
      <c r="F2401" s="1">
        <v>-3.7999999999999999E-2</v>
      </c>
      <c r="G2401" s="1">
        <f t="shared" si="74"/>
        <v>-1.3000000000000001E-2</v>
      </c>
      <c r="H2401" s="1" t="str">
        <f t="shared" si="75"/>
        <v/>
      </c>
      <c r="I2401" s="1">
        <v>2E-3</v>
      </c>
      <c r="J2401" s="1">
        <f>+D2401-F2401+I2401*O2401</f>
        <v>5.5160000000000001E-2</v>
      </c>
      <c r="K2401" s="1">
        <v>1.12403873354197E-2</v>
      </c>
      <c r="L2401" s="1">
        <f>+K2401-J2401</f>
        <v>-4.3919612664580304E-2</v>
      </c>
      <c r="M2401" s="1">
        <v>-9.7596126645802996E-3</v>
      </c>
      <c r="N2401" s="1">
        <f>+M2401-J2401</f>
        <v>-6.4919612664580295E-2</v>
      </c>
      <c r="O2401">
        <v>2.08</v>
      </c>
      <c r="P2401" t="s">
        <v>17</v>
      </c>
      <c r="Q2401">
        <v>0</v>
      </c>
      <c r="R2401">
        <v>1.6364926844835001E-3</v>
      </c>
      <c r="S2401">
        <v>-4.4902786612510898E-3</v>
      </c>
      <c r="T2401">
        <v>-0.04</v>
      </c>
    </row>
    <row r="2402" spans="1:20" x14ac:dyDescent="0.3">
      <c r="A2402" t="s">
        <v>166</v>
      </c>
      <c r="B2402">
        <v>2013</v>
      </c>
      <c r="C2402">
        <v>666803.25</v>
      </c>
      <c r="D2402" s="1">
        <v>5.0000000000000001E-3</v>
      </c>
      <c r="E2402" s="1">
        <v>0.94576406478881803</v>
      </c>
      <c r="F2402" s="1">
        <v>3.3000000000000002E-2</v>
      </c>
      <c r="G2402" s="1">
        <f t="shared" si="74"/>
        <v>0.02</v>
      </c>
      <c r="H2402" s="1" t="str">
        <f t="shared" si="75"/>
        <v/>
      </c>
      <c r="I2402" s="1">
        <v>-4.0000000000000001E-3</v>
      </c>
      <c r="J2402" s="1">
        <f>+D2402-F2402+I2402*O2402</f>
        <v>-3.6600000000000001E-2</v>
      </c>
      <c r="K2402" s="1">
        <v>1.66364926844835E-2</v>
      </c>
      <c r="L2402" s="1">
        <f>+K2402-J2402</f>
        <v>5.3236492684483501E-2</v>
      </c>
      <c r="M2402" s="1">
        <v>1.6364926844835001E-3</v>
      </c>
      <c r="N2402" s="1">
        <f>+M2402-J2402</f>
        <v>3.8236492684483502E-2</v>
      </c>
      <c r="O2402">
        <v>2.15</v>
      </c>
      <c r="P2402" t="s">
        <v>17</v>
      </c>
      <c r="Q2402">
        <v>0</v>
      </c>
      <c r="R2402">
        <v>-3.6749375835060999E-3</v>
      </c>
      <c r="S2402">
        <v>-5.6829610839486001E-3</v>
      </c>
      <c r="T2402">
        <v>0.02</v>
      </c>
    </row>
    <row r="2403" spans="1:20" x14ac:dyDescent="0.3">
      <c r="A2403" t="s">
        <v>166</v>
      </c>
      <c r="B2403">
        <v>2014</v>
      </c>
      <c r="C2403">
        <v>666530.875</v>
      </c>
      <c r="D2403" s="1">
        <v>7.0000000000000001E-3</v>
      </c>
      <c r="E2403" s="1">
        <v>0.94502502679824796</v>
      </c>
      <c r="F2403" s="1">
        <v>-1E-3</v>
      </c>
      <c r="G2403" s="1">
        <f t="shared" si="74"/>
        <v>1.9E-2</v>
      </c>
      <c r="H2403" s="1" t="str">
        <f t="shared" si="75"/>
        <v/>
      </c>
      <c r="I2403" s="1">
        <v>-1E-3</v>
      </c>
      <c r="J2403" s="1">
        <f>+D2403-F2403+I2403*O2403</f>
        <v>5.8500000000000002E-3</v>
      </c>
      <c r="K2403" s="1">
        <v>1.23250624164939E-2</v>
      </c>
      <c r="L2403" s="1">
        <f>+K2403-J2403</f>
        <v>6.4750624164938994E-3</v>
      </c>
      <c r="M2403" s="1">
        <v>-3.6749375835060999E-3</v>
      </c>
      <c r="N2403" s="1">
        <f>+M2403-J2403</f>
        <v>-9.5249375835061E-3</v>
      </c>
      <c r="O2403">
        <v>2.15</v>
      </c>
      <c r="P2403" t="s">
        <v>16</v>
      </c>
      <c r="Q2403">
        <v>-0.01</v>
      </c>
      <c r="R2403">
        <v>2.6992932125926E-2</v>
      </c>
      <c r="S2403">
        <v>-3.27051989734169E-3</v>
      </c>
      <c r="T2403">
        <v>0</v>
      </c>
    </row>
    <row r="2404" spans="1:20" x14ac:dyDescent="0.3">
      <c r="A2404" t="s">
        <v>166</v>
      </c>
      <c r="B2404">
        <v>2015</v>
      </c>
      <c r="C2404">
        <v>665290.5625</v>
      </c>
      <c r="D2404" s="1">
        <v>-3.0000000000000001E-3</v>
      </c>
      <c r="E2404" s="1">
        <v>0.95325392484664895</v>
      </c>
      <c r="F2404" s="1">
        <v>8.0000000000000002E-3</v>
      </c>
      <c r="G2404" s="1">
        <f t="shared" si="74"/>
        <v>2.7E-2</v>
      </c>
      <c r="H2404" s="1" t="str">
        <f t="shared" si="75"/>
        <v/>
      </c>
      <c r="I2404" s="1">
        <v>8.0000000000000002E-3</v>
      </c>
      <c r="J2404" s="1">
        <f>+D2404-F2404+I2404*O2404</f>
        <v>6.2800000000000009E-3</v>
      </c>
      <c r="K2404" s="1">
        <v>2.7992932125926E-2</v>
      </c>
      <c r="L2404" s="1">
        <f>+K2404-J2404</f>
        <v>2.1712932125926E-2</v>
      </c>
      <c r="M2404" s="1">
        <v>2.6992932125926E-2</v>
      </c>
      <c r="N2404" s="1">
        <f>+M2404-J2404</f>
        <v>2.0712932125925999E-2</v>
      </c>
      <c r="O2404">
        <v>2.16</v>
      </c>
      <c r="P2404" t="s">
        <v>15</v>
      </c>
      <c r="Q2404">
        <v>0</v>
      </c>
      <c r="R2404">
        <v>1.42351428866386E-2</v>
      </c>
      <c r="S2404">
        <v>1.0815858840941999E-3</v>
      </c>
      <c r="T2404">
        <v>0.02</v>
      </c>
    </row>
    <row r="2405" spans="1:20" x14ac:dyDescent="0.3">
      <c r="A2405" t="s">
        <v>166</v>
      </c>
      <c r="B2405">
        <v>2016</v>
      </c>
      <c r="C2405">
        <v>663500.5</v>
      </c>
      <c r="D2405" s="1">
        <v>8.9999999999999993E-3</v>
      </c>
      <c r="E2405" s="1">
        <v>0.950331211090088</v>
      </c>
      <c r="F2405" s="1">
        <v>-3.3000000000000002E-2</v>
      </c>
      <c r="G2405" s="1">
        <f t="shared" si="74"/>
        <v>-6.0000000000000019E-3</v>
      </c>
      <c r="H2405" s="1" t="str">
        <f t="shared" si="75"/>
        <v/>
      </c>
      <c r="I2405" s="1">
        <v>-3.0000000000000001E-3</v>
      </c>
      <c r="J2405" s="1">
        <f>+D2405-F2405+I2405*O2405</f>
        <v>3.5730000000000005E-2</v>
      </c>
      <c r="K2405" s="1">
        <v>2.72351428866386E-2</v>
      </c>
      <c r="L2405" s="1">
        <f>+K2405-J2405</f>
        <v>-8.4948571133614051E-3</v>
      </c>
      <c r="M2405" s="1">
        <v>1.42351428866386E-2</v>
      </c>
      <c r="N2405" s="1">
        <f>+M2405-J2405</f>
        <v>-2.1494857113361403E-2</v>
      </c>
      <c r="O2405">
        <v>2.09</v>
      </c>
      <c r="P2405" t="s">
        <v>16</v>
      </c>
      <c r="Q2405">
        <v>0</v>
      </c>
      <c r="R2405">
        <v>-8.7637345343828006E-3</v>
      </c>
      <c r="S2405">
        <v>-1.1553307995199999E-2</v>
      </c>
      <c r="T2405">
        <v>-0.03</v>
      </c>
    </row>
    <row r="2406" spans="1:20" x14ac:dyDescent="0.3">
      <c r="A2406" t="s">
        <v>166</v>
      </c>
      <c r="B2406">
        <v>2017</v>
      </c>
      <c r="C2406">
        <v>662416.3125</v>
      </c>
      <c r="D2406" s="1">
        <v>2.5000000000000001E-2</v>
      </c>
      <c r="E2406" s="1">
        <v>0.93342351913452104</v>
      </c>
      <c r="F2406" s="1">
        <v>2.5999999999999999E-2</v>
      </c>
      <c r="G2406" s="1">
        <f t="shared" si="74"/>
        <v>1.9999999999999997E-2</v>
      </c>
      <c r="H2406" s="1" t="str">
        <f t="shared" si="75"/>
        <v/>
      </c>
      <c r="I2406" s="1">
        <v>-1.7000000000000001E-2</v>
      </c>
      <c r="J2406" s="1">
        <f>+D2406-F2406+I2406*O2406</f>
        <v>-3.7379999999999997E-2</v>
      </c>
      <c r="K2406" s="1">
        <v>1.2236265465617201E-2</v>
      </c>
      <c r="L2406" s="1">
        <f>+K2406-J2406</f>
        <v>4.9616265465617197E-2</v>
      </c>
      <c r="M2406" s="1">
        <v>-8.7637345343828006E-3</v>
      </c>
      <c r="N2406" s="1">
        <f>+M2406-J2406</f>
        <v>2.8616265465617196E-2</v>
      </c>
      <c r="O2406">
        <v>2.14</v>
      </c>
      <c r="P2406" t="s">
        <v>17</v>
      </c>
      <c r="Q2406">
        <v>-0.01</v>
      </c>
      <c r="R2406">
        <v>-1.7856413125990101E-4</v>
      </c>
      <c r="S2406">
        <v>-9.3135870993136909E-3</v>
      </c>
      <c r="T2406">
        <v>0.03</v>
      </c>
    </row>
    <row r="2407" spans="1:20" x14ac:dyDescent="0.3">
      <c r="A2407" t="s">
        <v>166</v>
      </c>
      <c r="B2407">
        <v>2018</v>
      </c>
      <c r="C2407">
        <v>662907.3125</v>
      </c>
      <c r="D2407" s="1">
        <v>6.0000000000000001E-3</v>
      </c>
      <c r="E2407" s="1">
        <v>0.94161605834960904</v>
      </c>
      <c r="F2407" s="1">
        <v>3.5000000000000003E-2</v>
      </c>
      <c r="G2407" s="1">
        <f t="shared" si="74"/>
        <v>5.5E-2</v>
      </c>
      <c r="H2407" s="1" t="str">
        <f t="shared" si="75"/>
        <v/>
      </c>
      <c r="I2407" s="1">
        <v>8.0000000000000002E-3</v>
      </c>
      <c r="J2407" s="1">
        <f>+D2407-F2407+I2407*O2407</f>
        <v>-1.1240000000000003E-2</v>
      </c>
      <c r="K2407" s="1">
        <v>2.3821435868740099E-2</v>
      </c>
      <c r="L2407" s="1">
        <f>+K2407-J2407</f>
        <v>3.5061435868740103E-2</v>
      </c>
      <c r="M2407" s="1">
        <v>-1.7856413125990101E-4</v>
      </c>
      <c r="N2407" s="1">
        <f>+M2407-J2407</f>
        <v>1.1061435868740102E-2</v>
      </c>
      <c r="O2407">
        <v>2.2200000000000002</v>
      </c>
      <c r="P2407" t="s">
        <v>15</v>
      </c>
      <c r="Q2407">
        <v>-0.01</v>
      </c>
      <c r="R2407">
        <v>1.0442762792110399E-2</v>
      </c>
      <c r="S2407">
        <v>-7.3584318161011002E-3</v>
      </c>
      <c r="T2407">
        <v>0.04</v>
      </c>
    </row>
    <row r="2408" spans="1:20" x14ac:dyDescent="0.3">
      <c r="A2408" t="s">
        <v>166</v>
      </c>
      <c r="B2408">
        <v>2019</v>
      </c>
      <c r="C2408">
        <v>662428.3125</v>
      </c>
      <c r="D2408" s="1">
        <v>1E-3</v>
      </c>
      <c r="E2408" s="1">
        <v>0.94938534498214699</v>
      </c>
      <c r="F2408" s="1">
        <v>-7.0999999999999994E-2</v>
      </c>
      <c r="G2408" s="1">
        <f t="shared" si="74"/>
        <v>-1.5999999999999993E-2</v>
      </c>
      <c r="H2408" s="1" t="str">
        <f t="shared" si="75"/>
        <v/>
      </c>
      <c r="I2408" s="1">
        <v>8.0000000000000002E-3</v>
      </c>
      <c r="J2408" s="1">
        <f>+D2408-F2408+I2408*O2408</f>
        <v>8.8480000000000003E-2</v>
      </c>
      <c r="K2408" s="1">
        <v>2.8442762792110401E-2</v>
      </c>
      <c r="L2408" s="1">
        <f>+K2408-J2408</f>
        <v>-6.0037237207889602E-2</v>
      </c>
      <c r="M2408" s="1">
        <v>1.0442762792110399E-2</v>
      </c>
      <c r="N2408" s="1">
        <f>+M2408-J2408</f>
        <v>-7.8037237207889604E-2</v>
      </c>
      <c r="O2408">
        <v>2.06</v>
      </c>
      <c r="P2408" t="s">
        <v>17</v>
      </c>
      <c r="Q2408">
        <v>-0.01</v>
      </c>
      <c r="R2408">
        <v>2.37589982450007E-2</v>
      </c>
      <c r="S2408">
        <v>4.9098078161477904E-3</v>
      </c>
      <c r="T2408">
        <v>-0.06</v>
      </c>
    </row>
    <row r="2409" spans="1:20" x14ac:dyDescent="0.3">
      <c r="A2409" t="s">
        <v>166</v>
      </c>
      <c r="B2409">
        <v>2020</v>
      </c>
      <c r="C2409">
        <v>659036.3125</v>
      </c>
      <c r="D2409" s="1">
        <v>1.9E-2</v>
      </c>
      <c r="E2409" s="1">
        <v>0.950281202793121</v>
      </c>
      <c r="F2409" s="1">
        <v>-2.5000000000000001E-2</v>
      </c>
      <c r="G2409" s="1">
        <f t="shared" si="74"/>
        <v>-4.0999999999999995E-2</v>
      </c>
      <c r="H2409" s="1" t="str">
        <f t="shared" si="75"/>
        <v/>
      </c>
      <c r="I2409" s="1">
        <v>1E-3</v>
      </c>
      <c r="J2409" s="1">
        <f>+D2409-F2409+I2409*O2409</f>
        <v>4.6009999999999995E-2</v>
      </c>
      <c r="K2409" s="1">
        <v>3.5758998245000798E-2</v>
      </c>
      <c r="L2409" s="1">
        <f>+K2409-J2409</f>
        <v>-1.0251001754999198E-2</v>
      </c>
      <c r="M2409" s="1">
        <v>2.37589982450007E-2</v>
      </c>
      <c r="N2409" s="1">
        <f>+M2409-J2409</f>
        <v>-2.2251001754999295E-2</v>
      </c>
      <c r="O2409">
        <v>2.0099999999999998</v>
      </c>
      <c r="P2409" t="s">
        <v>17</v>
      </c>
      <c r="Q2409">
        <v>0</v>
      </c>
      <c r="R2409">
        <v>4.9079789519309996E-3</v>
      </c>
      <c r="S2409">
        <v>-3.8681633770465899E-2</v>
      </c>
      <c r="T2409">
        <v>0.01</v>
      </c>
    </row>
    <row r="2410" spans="1:20" x14ac:dyDescent="0.3">
      <c r="A2410" t="s">
        <v>166</v>
      </c>
      <c r="B2410">
        <v>2021</v>
      </c>
      <c r="C2410">
        <v>656783.375</v>
      </c>
      <c r="D2410" s="1">
        <v>6.0000000000000001E-3</v>
      </c>
      <c r="E2410" s="1">
        <v>0.95619726181030296</v>
      </c>
      <c r="F2410" s="1">
        <v>1.4E-2</v>
      </c>
      <c r="G2410" s="1">
        <f t="shared" si="74"/>
        <v>-2.6999999999999996E-2</v>
      </c>
      <c r="H2410" s="1" t="str">
        <f t="shared" si="75"/>
        <v/>
      </c>
      <c r="I2410" s="1">
        <v>6.0000000000000001E-3</v>
      </c>
      <c r="J2410" s="1">
        <f>+D2410-F2410+I2410*O2410</f>
        <v>4.2400000000000007E-3</v>
      </c>
      <c r="K2410" s="1">
        <v>5.1907978951931E-2</v>
      </c>
      <c r="L2410" s="1">
        <f>+K2410-J2410</f>
        <v>4.7667978951930999E-2</v>
      </c>
      <c r="M2410" s="1">
        <v>4.9079789519309996E-3</v>
      </c>
      <c r="N2410" s="1">
        <f>+M2410-J2410</f>
        <v>6.6797895193099893E-4</v>
      </c>
      <c r="O2410">
        <v>2.04</v>
      </c>
      <c r="P2410" t="s">
        <v>15</v>
      </c>
      <c r="Q2410">
        <v>-0.04</v>
      </c>
      <c r="R2410">
        <v>-1.4969201683998E-2</v>
      </c>
      <c r="S2410">
        <v>1.7134305089712198E-2</v>
      </c>
      <c r="T2410">
        <v>-0.02</v>
      </c>
    </row>
    <row r="2411" spans="1:20" x14ac:dyDescent="0.3">
      <c r="A2411" t="s">
        <v>166</v>
      </c>
      <c r="B2411">
        <v>2022</v>
      </c>
      <c r="C2411">
        <v>655151.1875</v>
      </c>
      <c r="D2411" s="1">
        <v>8.9999999999999993E-3</v>
      </c>
      <c r="E2411" s="1">
        <v>0.94395375251769997</v>
      </c>
      <c r="F2411" s="1">
        <v>-5.5E-2</v>
      </c>
      <c r="G2411" s="1">
        <f t="shared" si="74"/>
        <v>-8.199999999999999E-2</v>
      </c>
      <c r="H2411" s="1" t="str">
        <f t="shared" si="75"/>
        <v/>
      </c>
      <c r="I2411" s="1">
        <v>-1.2E-2</v>
      </c>
      <c r="J2411" s="1">
        <f>+D2411-F2411+I2411*O2411</f>
        <v>4.0840000000000001E-2</v>
      </c>
      <c r="K2411" s="1">
        <v>6.5030798316001906E-2</v>
      </c>
      <c r="L2411" s="1">
        <f>+K2411-J2411</f>
        <v>2.4190798316001905E-2</v>
      </c>
      <c r="M2411" s="1">
        <v>-1.4969201683998E-2</v>
      </c>
      <c r="N2411" s="1">
        <f>+M2411-J2411</f>
        <v>-5.5809201683998E-2</v>
      </c>
      <c r="O2411">
        <v>1.93</v>
      </c>
      <c r="P2411" t="s">
        <v>16</v>
      </c>
      <c r="Q2411">
        <v>0.02</v>
      </c>
      <c r="R2411">
        <v>1.3975207895040399E-2</v>
      </c>
      <c r="S2411">
        <v>3.3534135669469799E-2</v>
      </c>
      <c r="T2411">
        <v>-0.04</v>
      </c>
    </row>
    <row r="2412" spans="1:20" x14ac:dyDescent="0.3">
      <c r="A2412" t="s">
        <v>167</v>
      </c>
      <c r="B2412">
        <v>2006</v>
      </c>
      <c r="C2412">
        <v>352254.40629999997</v>
      </c>
      <c r="D2412" s="1">
        <v>5.3999999999999999E-2</v>
      </c>
      <c r="E2412" s="1">
        <v>0.89903068542480502</v>
      </c>
      <c r="F2412" s="1">
        <v>-2.1000000000000001E-2</v>
      </c>
      <c r="G2412" s="1">
        <f t="shared" si="74"/>
        <v>-2.1000000000000001E-2</v>
      </c>
      <c r="H2412" s="1" t="str">
        <f t="shared" si="75"/>
        <v/>
      </c>
      <c r="I2412" s="1">
        <v>-1.0999999999999999E-2</v>
      </c>
      <c r="J2412" s="1">
        <f>+D2412-F2412+I2412*O2412</f>
        <v>5.1570000000000005E-2</v>
      </c>
      <c r="K2412" s="1">
        <v>5.4364014416933101E-2</v>
      </c>
      <c r="L2412" s="1">
        <f>+K2412-J2412</f>
        <v>2.7940144169330966E-3</v>
      </c>
      <c r="M2412" s="1">
        <v>2.2364014416933101E-2</v>
      </c>
      <c r="N2412" s="1">
        <f>+M2412-J2412</f>
        <v>-2.9205985583066904E-2</v>
      </c>
      <c r="O2412">
        <v>2.13</v>
      </c>
      <c r="P2412" t="s">
        <v>16</v>
      </c>
      <c r="Q2412">
        <v>0.02</v>
      </c>
      <c r="R2412">
        <v>-2.5799673944711999E-3</v>
      </c>
      <c r="S2412">
        <v>-1.6582114621997001E-3</v>
      </c>
      <c r="T2412">
        <v>-0.02</v>
      </c>
    </row>
    <row r="2413" spans="1:20" x14ac:dyDescent="0.3">
      <c r="A2413" t="s">
        <v>167</v>
      </c>
      <c r="B2413">
        <v>2007</v>
      </c>
      <c r="C2413">
        <v>358324.875</v>
      </c>
      <c r="D2413" s="1">
        <v>1.2E-2</v>
      </c>
      <c r="E2413" s="1">
        <v>0.87683683633804299</v>
      </c>
      <c r="F2413" s="1">
        <v>-1.0999999999999999E-2</v>
      </c>
      <c r="G2413" s="1">
        <f t="shared" si="74"/>
        <v>-3.2000000000000001E-2</v>
      </c>
      <c r="H2413" s="1" t="str">
        <f t="shared" si="75"/>
        <v/>
      </c>
      <c r="I2413" s="1">
        <v>-2.1999999999999999E-2</v>
      </c>
      <c r="J2413" s="1">
        <f>+D2413-F2413+I2413*O2413</f>
        <v>-2.3419999999999996E-2</v>
      </c>
      <c r="K2413" s="1">
        <v>2.64200326055288E-2</v>
      </c>
      <c r="L2413" s="1">
        <f>+K2413-J2413</f>
        <v>4.98400326055288E-2</v>
      </c>
      <c r="M2413" s="1">
        <v>-2.5799673944711999E-3</v>
      </c>
      <c r="N2413" s="1">
        <f>+M2413-J2413</f>
        <v>2.0840032605528795E-2</v>
      </c>
      <c r="O2413">
        <v>2.11</v>
      </c>
      <c r="P2413" t="s">
        <v>16</v>
      </c>
      <c r="Q2413">
        <v>0</v>
      </c>
      <c r="R2413">
        <v>-5.1319332152605097E-2</v>
      </c>
      <c r="S2413">
        <v>-2.18085278756916E-2</v>
      </c>
      <c r="T2413">
        <v>-0.01</v>
      </c>
    </row>
    <row r="2414" spans="1:20" x14ac:dyDescent="0.3">
      <c r="A2414" t="s">
        <v>167</v>
      </c>
      <c r="B2414">
        <v>2008</v>
      </c>
      <c r="C2414">
        <v>362116.40629999997</v>
      </c>
      <c r="D2414" s="1">
        <v>3.9E-2</v>
      </c>
      <c r="E2414" s="1">
        <v>0.86095976829528797</v>
      </c>
      <c r="F2414" s="1">
        <v>5.6000000000000001E-2</v>
      </c>
      <c r="G2414" s="1">
        <f t="shared" si="74"/>
        <v>2.4E-2</v>
      </c>
      <c r="H2414" s="1" t="str">
        <f t="shared" si="75"/>
        <v/>
      </c>
      <c r="I2414" s="1">
        <v>-1.6E-2</v>
      </c>
      <c r="J2414" s="1">
        <f>+D2414-F2414+I2414*O2414</f>
        <v>-5.2520000000000004E-2</v>
      </c>
      <c r="K2414" s="1">
        <v>-1.33193321526051E-2</v>
      </c>
      <c r="L2414" s="1">
        <f>+K2414-J2414</f>
        <v>3.9200667847394906E-2</v>
      </c>
      <c r="M2414" s="1">
        <v>-5.1319332152605097E-2</v>
      </c>
      <c r="N2414" s="1">
        <f>+M2414-J2414</f>
        <v>1.2006678473949067E-3</v>
      </c>
      <c r="O2414">
        <v>2.2200000000000002</v>
      </c>
      <c r="P2414" t="s">
        <v>17</v>
      </c>
      <c r="Q2414">
        <v>-0.02</v>
      </c>
      <c r="R2414">
        <v>-2.2919145137071599E-2</v>
      </c>
      <c r="S2414">
        <v>3.6475565284490499E-3</v>
      </c>
      <c r="T2414">
        <v>0.05</v>
      </c>
    </row>
    <row r="2415" spans="1:20" x14ac:dyDescent="0.3">
      <c r="A2415" t="s">
        <v>167</v>
      </c>
      <c r="B2415">
        <v>2009</v>
      </c>
      <c r="C2415">
        <v>365848.6875</v>
      </c>
      <c r="D2415" s="1">
        <v>2E-3</v>
      </c>
      <c r="E2415" s="1">
        <v>0.86731880903243996</v>
      </c>
      <c r="F2415" s="1">
        <v>-3.4000000000000002E-2</v>
      </c>
      <c r="G2415" s="1">
        <f t="shared" si="74"/>
        <v>-1.0000000000000002E-2</v>
      </c>
      <c r="H2415" s="1" t="str">
        <f t="shared" si="75"/>
        <v/>
      </c>
      <c r="I2415" s="1">
        <v>6.0000000000000001E-3</v>
      </c>
      <c r="J2415" s="1">
        <f>+D2415-F2415+I2415*O2415</f>
        <v>4.8900000000000006E-2</v>
      </c>
      <c r="K2415" s="1">
        <v>-2.6919145137071599E-2</v>
      </c>
      <c r="L2415" s="1">
        <f>+K2415-J2415</f>
        <v>-7.5819145137071609E-2</v>
      </c>
      <c r="M2415" s="1">
        <v>-2.2919145137071599E-2</v>
      </c>
      <c r="N2415" s="1">
        <f>+M2415-J2415</f>
        <v>-7.1819145137071605E-2</v>
      </c>
      <c r="O2415">
        <v>2.15</v>
      </c>
      <c r="P2415" t="s">
        <v>17</v>
      </c>
      <c r="Q2415">
        <v>0</v>
      </c>
      <c r="R2415">
        <v>-5.38665445894E-3</v>
      </c>
      <c r="S2415">
        <v>4.0734542999416798E-3</v>
      </c>
      <c r="T2415">
        <v>-0.05</v>
      </c>
    </row>
    <row r="2416" spans="1:20" x14ac:dyDescent="0.3">
      <c r="A2416" t="s">
        <v>167</v>
      </c>
      <c r="B2416">
        <v>2010</v>
      </c>
      <c r="C2416">
        <v>369608.3125</v>
      </c>
      <c r="D2416" s="1">
        <v>1.4999999999999999E-2</v>
      </c>
      <c r="E2416" s="1">
        <v>0.87470632791519198</v>
      </c>
      <c r="F2416" s="1">
        <v>7.0000000000000001E-3</v>
      </c>
      <c r="G2416" s="1">
        <f t="shared" si="74"/>
        <v>-3.0000000000000018E-3</v>
      </c>
      <c r="H2416" s="1" t="str">
        <f t="shared" si="75"/>
        <v/>
      </c>
      <c r="I2416" s="1">
        <v>7.0000000000000001E-3</v>
      </c>
      <c r="J2416" s="1">
        <f>+D2416-F2416+I2416*O2416</f>
        <v>2.3120000000000002E-2</v>
      </c>
      <c r="K2416" s="1">
        <v>1.061334554106E-2</v>
      </c>
      <c r="L2416" s="1">
        <f>+K2416-J2416</f>
        <v>-1.2506654458940001E-2</v>
      </c>
      <c r="M2416" s="1">
        <v>-5.38665445894E-3</v>
      </c>
      <c r="N2416" s="1">
        <f>+M2416-J2416</f>
        <v>-2.8506654458940003E-2</v>
      </c>
      <c r="O2416">
        <v>2.16</v>
      </c>
      <c r="P2416" t="s">
        <v>15</v>
      </c>
      <c r="Q2416">
        <v>0</v>
      </c>
      <c r="R2416">
        <v>-1.6579953365027801E-2</v>
      </c>
      <c r="S2416">
        <v>4.7038211487234003E-3</v>
      </c>
      <c r="T2416">
        <v>0</v>
      </c>
    </row>
    <row r="2417" spans="1:20" x14ac:dyDescent="0.3">
      <c r="A2417" t="s">
        <v>168</v>
      </c>
      <c r="B2417">
        <v>2006</v>
      </c>
      <c r="C2417">
        <v>2706494</v>
      </c>
      <c r="D2417" s="1">
        <v>0.01</v>
      </c>
      <c r="E2417" s="1">
        <v>0.935269474983215</v>
      </c>
      <c r="F2417" s="1">
        <v>-1E-3</v>
      </c>
      <c r="G2417" s="1">
        <f t="shared" si="74"/>
        <v>-1E-3</v>
      </c>
      <c r="H2417" s="1" t="str">
        <f t="shared" si="75"/>
        <v/>
      </c>
      <c r="I2417" s="1">
        <v>-3.0000000000000001E-3</v>
      </c>
      <c r="J2417" s="1">
        <f>+D2417-F2417+I2417*O2417</f>
        <v>4.5499999999999994E-3</v>
      </c>
      <c r="K2417" s="1">
        <v>6.0061920434236499E-2</v>
      </c>
      <c r="L2417" s="1">
        <f>+K2417-J2417</f>
        <v>5.55119204342365E-2</v>
      </c>
      <c r="M2417" s="1">
        <v>2.8061920434236401E-2</v>
      </c>
      <c r="N2417" s="1">
        <f>+M2417-J2417</f>
        <v>2.3511920434236402E-2</v>
      </c>
      <c r="O2417">
        <v>2.15</v>
      </c>
      <c r="P2417" t="s">
        <v>16</v>
      </c>
      <c r="Q2417">
        <v>0.02</v>
      </c>
      <c r="R2417">
        <v>-7.0819416046143E-3</v>
      </c>
      <c r="S2417">
        <v>-6.1601856723427998E-3</v>
      </c>
      <c r="T2417">
        <v>0</v>
      </c>
    </row>
    <row r="2418" spans="1:20" x14ac:dyDescent="0.3">
      <c r="A2418" t="s">
        <v>168</v>
      </c>
      <c r="B2418">
        <v>2007</v>
      </c>
      <c r="C2418">
        <v>2731812</v>
      </c>
      <c r="D2418" s="1">
        <v>1.2999999999999999E-2</v>
      </c>
      <c r="E2418" s="1">
        <v>0.91248285770416304</v>
      </c>
      <c r="F2418" s="1">
        <v>1.2E-2</v>
      </c>
      <c r="G2418" s="1">
        <f t="shared" si="74"/>
        <v>1.0999999999999999E-2</v>
      </c>
      <c r="H2418" s="1" t="str">
        <f t="shared" si="75"/>
        <v/>
      </c>
      <c r="I2418" s="1">
        <v>-2.3E-2</v>
      </c>
      <c r="J2418" s="1">
        <f>+D2418-F2418+I2418*O2418</f>
        <v>-4.9140000000000003E-2</v>
      </c>
      <c r="K2418" s="1">
        <v>2.1918058395385701E-2</v>
      </c>
      <c r="L2418" s="1">
        <f>+K2418-J2418</f>
        <v>7.1058058395385704E-2</v>
      </c>
      <c r="M2418" s="1">
        <v>-7.0819416046143E-3</v>
      </c>
      <c r="N2418" s="1">
        <f>+M2418-J2418</f>
        <v>4.2058058395385706E-2</v>
      </c>
      <c r="O2418">
        <v>2.1800000000000002</v>
      </c>
      <c r="P2418" t="s">
        <v>17</v>
      </c>
      <c r="Q2418">
        <v>-0.01</v>
      </c>
      <c r="R2418">
        <v>-5.03753435909748E-2</v>
      </c>
      <c r="S2418">
        <v>-2.0864539314061299E-2</v>
      </c>
      <c r="T2418">
        <v>0.01</v>
      </c>
    </row>
    <row r="2419" spans="1:20" x14ac:dyDescent="0.3">
      <c r="A2419" t="s">
        <v>168</v>
      </c>
      <c r="B2419">
        <v>2008</v>
      </c>
      <c r="C2419">
        <v>2751337</v>
      </c>
      <c r="D2419" s="1">
        <v>1.6E-2</v>
      </c>
      <c r="E2419" s="1">
        <v>0.90057963132858299</v>
      </c>
      <c r="F2419" s="1">
        <v>8.9999999999999993E-3</v>
      </c>
      <c r="G2419" s="1">
        <f t="shared" si="74"/>
        <v>1.9999999999999997E-2</v>
      </c>
      <c r="H2419" s="1" t="str">
        <f t="shared" si="75"/>
        <v/>
      </c>
      <c r="I2419" s="1">
        <v>-1.2E-2</v>
      </c>
      <c r="J2419" s="1">
        <f>+D2419-F2419+I2419*O2419</f>
        <v>-1.9400000000000001E-2</v>
      </c>
      <c r="K2419" s="1">
        <v>-1.2375343590974801E-2</v>
      </c>
      <c r="L2419" s="1">
        <f>+K2419-J2419</f>
        <v>7.0246564090251998E-3</v>
      </c>
      <c r="M2419" s="1">
        <v>-5.03753435909748E-2</v>
      </c>
      <c r="N2419" s="1">
        <f>+M2419-J2419</f>
        <v>-3.0975343590974799E-2</v>
      </c>
      <c r="O2419">
        <v>2.2000000000000002</v>
      </c>
      <c r="P2419" t="s">
        <v>17</v>
      </c>
      <c r="Q2419">
        <v>-0.02</v>
      </c>
      <c r="R2419">
        <v>-2.4344321995973601E-2</v>
      </c>
      <c r="S2419">
        <v>2.2223796695470398E-3</v>
      </c>
      <c r="T2419">
        <v>0.01</v>
      </c>
    </row>
    <row r="2420" spans="1:20" x14ac:dyDescent="0.3">
      <c r="A2420" t="s">
        <v>168</v>
      </c>
      <c r="B2420">
        <v>2009</v>
      </c>
      <c r="C2420">
        <v>2769874</v>
      </c>
      <c r="D2420" s="1">
        <v>1.4E-2</v>
      </c>
      <c r="E2420" s="1">
        <v>0.90401774644851696</v>
      </c>
      <c r="F2420" s="1">
        <v>1.7000000000000001E-2</v>
      </c>
      <c r="G2420" s="1">
        <f t="shared" si="74"/>
        <v>3.6999999999999998E-2</v>
      </c>
      <c r="H2420" s="1" t="str">
        <f t="shared" si="75"/>
        <v/>
      </c>
      <c r="I2420" s="1">
        <v>3.0000000000000001E-3</v>
      </c>
      <c r="J2420" s="1">
        <f>+D2420-F2420+I2420*O2420</f>
        <v>3.7200000000000002E-3</v>
      </c>
      <c r="K2420" s="1">
        <v>-2.8344321995973601E-2</v>
      </c>
      <c r="L2420" s="1">
        <f>+K2420-J2420</f>
        <v>-3.2064321995973602E-2</v>
      </c>
      <c r="M2420" s="1">
        <v>-2.4344321995973601E-2</v>
      </c>
      <c r="N2420" s="1">
        <f>+M2420-J2420</f>
        <v>-2.8064321995973602E-2</v>
      </c>
      <c r="O2420">
        <v>2.2400000000000002</v>
      </c>
      <c r="P2420" t="s">
        <v>15</v>
      </c>
      <c r="Q2420">
        <v>0</v>
      </c>
      <c r="R2420">
        <v>-1.17000166177749E-2</v>
      </c>
      <c r="S2420">
        <v>-2.2399078588932701E-3</v>
      </c>
      <c r="T2420">
        <v>0</v>
      </c>
    </row>
    <row r="2421" spans="1:20" x14ac:dyDescent="0.3">
      <c r="A2421" t="s">
        <v>168</v>
      </c>
      <c r="B2421">
        <v>2010</v>
      </c>
      <c r="C2421">
        <v>2791902</v>
      </c>
      <c r="D2421" s="1">
        <v>5.0000000000000001E-3</v>
      </c>
      <c r="E2421" s="1">
        <v>0.91115814447402999</v>
      </c>
      <c r="F2421" s="1">
        <v>-2.8000000000000001E-2</v>
      </c>
      <c r="G2421" s="1">
        <f t="shared" si="74"/>
        <v>8.9999999999999976E-3</v>
      </c>
      <c r="H2421" s="1" t="str">
        <f t="shared" si="75"/>
        <v/>
      </c>
      <c r="I2421" s="1">
        <v>7.0000000000000001E-3</v>
      </c>
      <c r="J2421" s="1">
        <f>+D2421-F2421+I2421*O2421</f>
        <v>4.8190000000000004E-2</v>
      </c>
      <c r="K2421" s="1">
        <v>4.2999833822250401E-3</v>
      </c>
      <c r="L2421" s="1">
        <f>+K2421-J2421</f>
        <v>-4.389001661777496E-2</v>
      </c>
      <c r="M2421" s="1">
        <v>-1.17000166177749E-2</v>
      </c>
      <c r="N2421" s="1">
        <f>+M2421-J2421</f>
        <v>-5.9890016617774905E-2</v>
      </c>
      <c r="O2421">
        <v>2.17</v>
      </c>
      <c r="P2421" t="s">
        <v>17</v>
      </c>
      <c r="Q2421">
        <v>0</v>
      </c>
      <c r="R2421">
        <v>-2.0327783532440701E-2</v>
      </c>
      <c r="S2421">
        <v>9.5599098131059896E-4</v>
      </c>
      <c r="T2421">
        <v>-0.04</v>
      </c>
    </row>
    <row r="2422" spans="1:20" x14ac:dyDescent="0.3">
      <c r="A2422" t="s">
        <v>168</v>
      </c>
      <c r="B2422">
        <v>2011</v>
      </c>
      <c r="C2422">
        <v>2812190</v>
      </c>
      <c r="D2422" s="1">
        <v>4.0000000000000001E-3</v>
      </c>
      <c r="E2422" s="1">
        <v>0.91173899173736594</v>
      </c>
      <c r="F2422" s="1">
        <v>2.1000000000000001E-2</v>
      </c>
      <c r="G2422" s="1">
        <f t="shared" si="74"/>
        <v>0.03</v>
      </c>
      <c r="H2422" s="1" t="str">
        <f t="shared" si="75"/>
        <v/>
      </c>
      <c r="I2422" s="1">
        <v>1E-3</v>
      </c>
      <c r="J2422" s="1">
        <f>+D2422-F2422+I2422*O2422</f>
        <v>-1.4780000000000001E-2</v>
      </c>
      <c r="K2422" s="1">
        <v>1.1672216467559299E-2</v>
      </c>
      <c r="L2422" s="1">
        <f>+K2422-J2422</f>
        <v>2.6452216467559301E-2</v>
      </c>
      <c r="M2422" s="1">
        <v>-2.0327783532440701E-2</v>
      </c>
      <c r="N2422" s="1">
        <f>+M2422-J2422</f>
        <v>-5.5477835324406997E-3</v>
      </c>
      <c r="O2422">
        <v>2.2200000000000002</v>
      </c>
      <c r="P2422" t="s">
        <v>15</v>
      </c>
      <c r="Q2422">
        <v>0</v>
      </c>
      <c r="R2422">
        <v>-2.1936859041452E-3</v>
      </c>
      <c r="S2422">
        <v>3.2445201650262E-3</v>
      </c>
      <c r="T2422">
        <v>0.02</v>
      </c>
    </row>
    <row r="2423" spans="1:20" x14ac:dyDescent="0.3">
      <c r="A2423" t="s">
        <v>168</v>
      </c>
      <c r="B2423">
        <v>2012</v>
      </c>
      <c r="C2423">
        <v>2838855</v>
      </c>
      <c r="D2423" s="1">
        <v>8.9999999999999993E-3</v>
      </c>
      <c r="E2423" s="1">
        <v>0.92773365974426303</v>
      </c>
      <c r="F2423" s="1">
        <v>3.0000000000000001E-3</v>
      </c>
      <c r="G2423" s="1">
        <f t="shared" si="74"/>
        <v>3.3000000000000002E-2</v>
      </c>
      <c r="H2423" s="1" t="str">
        <f t="shared" si="75"/>
        <v/>
      </c>
      <c r="I2423" s="1">
        <v>1.6E-2</v>
      </c>
      <c r="J2423" s="1">
        <f>+D2423-F2423+I2423*O2423</f>
        <v>4.1680000000000002E-2</v>
      </c>
      <c r="K2423" s="1">
        <v>1.8806314095854801E-2</v>
      </c>
      <c r="L2423" s="1">
        <f>+K2423-J2423</f>
        <v>-2.2873685904145201E-2</v>
      </c>
      <c r="M2423" s="1">
        <v>-2.1936859041452E-3</v>
      </c>
      <c r="N2423" s="1">
        <f>+M2423-J2423</f>
        <v>-4.3873685904145199E-2</v>
      </c>
      <c r="O2423">
        <v>2.23</v>
      </c>
      <c r="P2423" t="s">
        <v>15</v>
      </c>
      <c r="Q2423">
        <v>0</v>
      </c>
      <c r="R2423">
        <v>8.9125471562147007E-3</v>
      </c>
      <c r="S2423">
        <v>2.7857758104801E-3</v>
      </c>
      <c r="T2423">
        <v>0</v>
      </c>
    </row>
    <row r="2424" spans="1:20" x14ac:dyDescent="0.3">
      <c r="A2424" t="s">
        <v>168</v>
      </c>
      <c r="B2424">
        <v>2013</v>
      </c>
      <c r="C2424">
        <v>2872194</v>
      </c>
      <c r="D2424" s="1">
        <v>1.0999999999999999E-2</v>
      </c>
      <c r="E2424" s="1">
        <v>0.93367671966552701</v>
      </c>
      <c r="F2424" s="1">
        <v>8.9999999999999993E-3</v>
      </c>
      <c r="G2424" s="1">
        <f t="shared" si="74"/>
        <v>4.2000000000000003E-2</v>
      </c>
      <c r="H2424" s="1" t="str">
        <f t="shared" si="75"/>
        <v/>
      </c>
      <c r="I2424" s="1">
        <v>6.0000000000000001E-3</v>
      </c>
      <c r="J2424" s="1">
        <f>+D2424-F2424+I2424*O2424</f>
        <v>1.55E-2</v>
      </c>
      <c r="K2424" s="1">
        <v>2.39125471562147E-2</v>
      </c>
      <c r="L2424" s="1">
        <f>+K2424-J2424</f>
        <v>8.4125471562147003E-3</v>
      </c>
      <c r="M2424" s="1">
        <v>8.9125471562147007E-3</v>
      </c>
      <c r="N2424" s="1">
        <f>+M2424-J2424</f>
        <v>-6.5874528437852992E-3</v>
      </c>
      <c r="O2424">
        <v>2.25</v>
      </c>
      <c r="P2424" t="s">
        <v>15</v>
      </c>
      <c r="Q2424">
        <v>0</v>
      </c>
      <c r="R2424">
        <v>8.0073129534720903E-3</v>
      </c>
      <c r="S2424">
        <v>5.9992894530295901E-3</v>
      </c>
      <c r="T2424">
        <v>0</v>
      </c>
    </row>
    <row r="2425" spans="1:20" x14ac:dyDescent="0.3">
      <c r="A2425" t="s">
        <v>168</v>
      </c>
      <c r="B2425">
        <v>2014</v>
      </c>
      <c r="C2425">
        <v>2916133</v>
      </c>
      <c r="D2425" s="1">
        <v>3.2000000000000001E-2</v>
      </c>
      <c r="E2425" s="1">
        <v>0.93070226907730103</v>
      </c>
      <c r="F2425" s="1">
        <v>1.2E-2</v>
      </c>
      <c r="G2425" s="1">
        <f t="shared" si="74"/>
        <v>5.4000000000000006E-2</v>
      </c>
      <c r="H2425" s="1" t="str">
        <f t="shared" si="75"/>
        <v/>
      </c>
      <c r="I2425" s="1">
        <v>-3.0000000000000001E-3</v>
      </c>
      <c r="J2425" s="1">
        <f>+D2425-F2425+I2425*O2425</f>
        <v>1.319E-2</v>
      </c>
      <c r="K2425" s="1">
        <v>2.4007312953472099E-2</v>
      </c>
      <c r="L2425" s="1">
        <f>+K2425-J2425</f>
        <v>1.0817312953472099E-2</v>
      </c>
      <c r="M2425" s="1">
        <v>8.0073129534720903E-3</v>
      </c>
      <c r="N2425" s="1">
        <f>+M2425-J2425</f>
        <v>-5.1826870465279101E-3</v>
      </c>
      <c r="O2425">
        <v>2.27</v>
      </c>
      <c r="P2425" t="s">
        <v>17</v>
      </c>
      <c r="Q2425">
        <v>0.01</v>
      </c>
      <c r="R2425">
        <v>5.7815889060497297E-2</v>
      </c>
      <c r="S2425">
        <v>2.75524370372296E-2</v>
      </c>
      <c r="T2425">
        <v>0.01</v>
      </c>
    </row>
    <row r="2426" spans="1:20" x14ac:dyDescent="0.3">
      <c r="A2426" t="s">
        <v>168</v>
      </c>
      <c r="B2426">
        <v>2015</v>
      </c>
      <c r="C2426">
        <v>2969158</v>
      </c>
      <c r="D2426" s="1">
        <v>1.4999999999999999E-2</v>
      </c>
      <c r="E2426" s="1">
        <v>0.94159430265426602</v>
      </c>
      <c r="F2426" s="1">
        <v>-1.2999999999999999E-2</v>
      </c>
      <c r="G2426" s="1">
        <f t="shared" si="74"/>
        <v>4.1000000000000009E-2</v>
      </c>
      <c r="H2426" s="1" t="str">
        <f t="shared" si="75"/>
        <v/>
      </c>
      <c r="I2426" s="1">
        <v>1.0999999999999999E-2</v>
      </c>
      <c r="J2426" s="1">
        <f>+D2426-F2426+I2426*O2426</f>
        <v>5.2639999999999999E-2</v>
      </c>
      <c r="K2426" s="1">
        <v>5.8815889060497298E-2</v>
      </c>
      <c r="L2426" s="1">
        <f>+K2426-J2426</f>
        <v>6.1758890604972985E-3</v>
      </c>
      <c r="M2426" s="1">
        <v>5.7815889060497297E-2</v>
      </c>
      <c r="N2426" s="1">
        <f>+M2426-J2426</f>
        <v>5.1758890604972976E-3</v>
      </c>
      <c r="O2426">
        <v>2.2400000000000002</v>
      </c>
      <c r="P2426" t="s">
        <v>17</v>
      </c>
      <c r="Q2426">
        <v>0.03</v>
      </c>
      <c r="R2426">
        <v>2.1015204757452E-2</v>
      </c>
      <c r="S2426">
        <v>7.8616477549075994E-3</v>
      </c>
      <c r="T2426">
        <v>0</v>
      </c>
    </row>
    <row r="2427" spans="1:20" x14ac:dyDescent="0.3">
      <c r="A2427" t="s">
        <v>168</v>
      </c>
      <c r="B2427">
        <v>2016</v>
      </c>
      <c r="C2427">
        <v>3027638</v>
      </c>
      <c r="D2427" s="1">
        <v>1.9E-2</v>
      </c>
      <c r="E2427" s="1">
        <v>0.93210846185684204</v>
      </c>
      <c r="F2427" s="1">
        <v>1.4E-2</v>
      </c>
      <c r="G2427" s="1">
        <f t="shared" si="74"/>
        <v>5.5000000000000007E-2</v>
      </c>
      <c r="H2427" s="1" t="str">
        <f t="shared" si="75"/>
        <v/>
      </c>
      <c r="I2427" s="1">
        <v>-8.9999999999999993E-3</v>
      </c>
      <c r="J2427" s="1">
        <f>+D2427-F2427+I2427*O2427</f>
        <v>-1.5519999999999997E-2</v>
      </c>
      <c r="K2427" s="1">
        <v>3.4015204757451997E-2</v>
      </c>
      <c r="L2427" s="1">
        <f>+K2427-J2427</f>
        <v>4.9535204757451996E-2</v>
      </c>
      <c r="M2427" s="1">
        <v>2.1015204757452E-2</v>
      </c>
      <c r="N2427" s="1">
        <f>+M2427-J2427</f>
        <v>3.6535204757451999E-2</v>
      </c>
      <c r="O2427">
        <v>2.2799999999999998</v>
      </c>
      <c r="P2427" t="s">
        <v>17</v>
      </c>
      <c r="Q2427">
        <v>0.01</v>
      </c>
      <c r="R2427">
        <v>1.51132584512234E-2</v>
      </c>
      <c r="S2427">
        <v>1.2323684990406101E-2</v>
      </c>
      <c r="T2427">
        <v>0.02</v>
      </c>
    </row>
    <row r="2428" spans="1:20" x14ac:dyDescent="0.3">
      <c r="A2428" t="s">
        <v>168</v>
      </c>
      <c r="B2428">
        <v>2017</v>
      </c>
      <c r="C2428">
        <v>3077673</v>
      </c>
      <c r="D2428" s="1">
        <v>2.1000000000000001E-2</v>
      </c>
      <c r="E2428" s="1">
        <v>0.93424057960510298</v>
      </c>
      <c r="F2428" s="1">
        <v>-3.0000000000000001E-3</v>
      </c>
      <c r="G2428" s="1">
        <f t="shared" si="74"/>
        <v>5.2000000000000005E-2</v>
      </c>
      <c r="H2428" s="1" t="str">
        <f t="shared" si="75"/>
        <v/>
      </c>
      <c r="I2428" s="1">
        <v>2E-3</v>
      </c>
      <c r="J2428" s="1">
        <f>+D2428-F2428+I2428*O2428</f>
        <v>2.8539999999999999E-2</v>
      </c>
      <c r="K2428" s="1">
        <v>3.6113258451223401E-2</v>
      </c>
      <c r="L2428" s="1">
        <f>+K2428-J2428</f>
        <v>7.5732584512234018E-3</v>
      </c>
      <c r="M2428" s="1">
        <v>1.51132584512234E-2</v>
      </c>
      <c r="N2428" s="1">
        <f>+M2428-J2428</f>
        <v>-1.34267415487766E-2</v>
      </c>
      <c r="O2428">
        <v>2.27</v>
      </c>
      <c r="P2428" t="s">
        <v>17</v>
      </c>
      <c r="Q2428">
        <v>0.01</v>
      </c>
      <c r="R2428">
        <v>1.87542142570018E-2</v>
      </c>
      <c r="S2428">
        <v>9.6191912889481007E-3</v>
      </c>
      <c r="T2428">
        <v>0</v>
      </c>
    </row>
    <row r="2429" spans="1:20" x14ac:dyDescent="0.3">
      <c r="A2429" t="s">
        <v>168</v>
      </c>
      <c r="B2429">
        <v>2018</v>
      </c>
      <c r="C2429">
        <v>3118283</v>
      </c>
      <c r="D2429" s="1">
        <v>4.1000000000000002E-2</v>
      </c>
      <c r="E2429" s="1">
        <v>0.92607516050338701</v>
      </c>
      <c r="F2429" s="1">
        <v>-1.4999999999999999E-2</v>
      </c>
      <c r="G2429" s="1">
        <f t="shared" si="74"/>
        <v>3.7000000000000005E-2</v>
      </c>
      <c r="H2429" s="1" t="str">
        <f t="shared" si="75"/>
        <v/>
      </c>
      <c r="I2429" s="1">
        <v>-8.0000000000000002E-3</v>
      </c>
      <c r="J2429" s="1">
        <f>+D2429-F2429+I2429*O2429</f>
        <v>3.8159999999999999E-2</v>
      </c>
      <c r="K2429" s="1">
        <v>4.2754214257001898E-2</v>
      </c>
      <c r="L2429" s="1">
        <f>+K2429-J2429</f>
        <v>4.5942142570018982E-3</v>
      </c>
      <c r="M2429" s="1">
        <v>1.87542142570018E-2</v>
      </c>
      <c r="N2429" s="1">
        <f>+M2429-J2429</f>
        <v>-1.9405785742998199E-2</v>
      </c>
      <c r="O2429">
        <v>2.23</v>
      </c>
      <c r="P2429" t="s">
        <v>16</v>
      </c>
      <c r="Q2429">
        <v>0.01</v>
      </c>
      <c r="R2429">
        <v>2.5216079473495499E-2</v>
      </c>
      <c r="S2429">
        <v>7.4148848652839904E-3</v>
      </c>
      <c r="T2429">
        <v>-0.01</v>
      </c>
    </row>
    <row r="2430" spans="1:20" x14ac:dyDescent="0.3">
      <c r="A2430" t="s">
        <v>168</v>
      </c>
      <c r="B2430">
        <v>2019</v>
      </c>
      <c r="C2430">
        <v>3154971</v>
      </c>
      <c r="D2430" s="1">
        <v>2.1000000000000001E-2</v>
      </c>
      <c r="E2430" s="1">
        <v>0.93442994356155396</v>
      </c>
      <c r="F2430" s="1">
        <v>-2.5999999999999999E-2</v>
      </c>
      <c r="G2430" s="1">
        <f t="shared" si="74"/>
        <v>1.1000000000000006E-2</v>
      </c>
      <c r="H2430" s="1" t="str">
        <f t="shared" si="75"/>
        <v/>
      </c>
      <c r="I2430" s="1">
        <v>8.0000000000000002E-3</v>
      </c>
      <c r="J2430" s="1">
        <f>+D2430-F2430+I2430*O2430</f>
        <v>6.4439999999999997E-2</v>
      </c>
      <c r="K2430" s="1">
        <v>4.3216079473495497E-2</v>
      </c>
      <c r="L2430" s="1">
        <f>+K2430-J2430</f>
        <v>-2.12239205265045E-2</v>
      </c>
      <c r="M2430" s="1">
        <v>2.5216079473495499E-2</v>
      </c>
      <c r="N2430" s="1">
        <f>+M2430-J2430</f>
        <v>-3.9223920526504502E-2</v>
      </c>
      <c r="O2430">
        <v>2.1800000000000002</v>
      </c>
      <c r="P2430" t="s">
        <v>17</v>
      </c>
      <c r="Q2430">
        <v>0.01</v>
      </c>
      <c r="R2430">
        <v>3.4898305416107098E-2</v>
      </c>
      <c r="S2430">
        <v>1.6049114987254101E-2</v>
      </c>
      <c r="T2430">
        <v>-0.02</v>
      </c>
    </row>
    <row r="2431" spans="1:20" x14ac:dyDescent="0.3">
      <c r="A2431" t="s">
        <v>168</v>
      </c>
      <c r="B2431">
        <v>2020</v>
      </c>
      <c r="C2431">
        <v>3198518</v>
      </c>
      <c r="D2431" s="1">
        <v>3.4000000000000002E-2</v>
      </c>
      <c r="E2431" s="1">
        <v>0.93915766477584794</v>
      </c>
      <c r="F2431" s="1">
        <v>-6.8000000000000005E-2</v>
      </c>
      <c r="G2431" s="1">
        <f t="shared" si="74"/>
        <v>-5.6999999999999995E-2</v>
      </c>
      <c r="H2431" s="1" t="str">
        <f t="shared" si="75"/>
        <v/>
      </c>
      <c r="I2431" s="1">
        <v>5.0000000000000001E-3</v>
      </c>
      <c r="J2431" s="1">
        <f>+D2431-F2431+I2431*O2431</f>
        <v>0.11215</v>
      </c>
      <c r="K2431" s="1">
        <v>4.6898305416107199E-2</v>
      </c>
      <c r="L2431" s="1">
        <f>+K2431-J2431</f>
        <v>-6.5251694583892794E-2</v>
      </c>
      <c r="M2431" s="1">
        <v>3.4898305416107098E-2</v>
      </c>
      <c r="N2431" s="1">
        <f>+M2431-J2431</f>
        <v>-7.7251694583892902E-2</v>
      </c>
      <c r="O2431">
        <v>2.0299999999999998</v>
      </c>
      <c r="P2431" t="s">
        <v>17</v>
      </c>
      <c r="Q2431">
        <v>0.02</v>
      </c>
      <c r="R2431">
        <v>0.153397446751595</v>
      </c>
      <c r="S2431">
        <v>0.109807834029198</v>
      </c>
      <c r="T2431">
        <v>-0.03</v>
      </c>
    </row>
    <row r="2432" spans="1:20" x14ac:dyDescent="0.3">
      <c r="A2432" t="s">
        <v>168</v>
      </c>
      <c r="B2432">
        <v>2021</v>
      </c>
      <c r="C2432">
        <v>3248773</v>
      </c>
      <c r="D2432" s="1">
        <v>3.2000000000000001E-2</v>
      </c>
      <c r="E2432" s="1">
        <v>0.95384776592254605</v>
      </c>
      <c r="F2432" s="1">
        <v>5.5E-2</v>
      </c>
      <c r="G2432" s="1">
        <f t="shared" si="74"/>
        <v>-1.9999999999999948E-3</v>
      </c>
      <c r="H2432" s="1" t="str">
        <f t="shared" si="75"/>
        <v/>
      </c>
      <c r="I2432" s="1">
        <v>1.4999999999999999E-2</v>
      </c>
      <c r="J2432" s="1">
        <f>+D2432-F2432+I2432*O2432</f>
        <v>9.1000000000000039E-3</v>
      </c>
      <c r="K2432" s="1">
        <v>0.20039744675159499</v>
      </c>
      <c r="L2432" s="1">
        <f>+K2432-J2432</f>
        <v>0.19129744675159499</v>
      </c>
      <c r="M2432" s="1">
        <v>0.153397446751595</v>
      </c>
      <c r="N2432" s="1">
        <f>+M2432-J2432</f>
        <v>0.144297446751595</v>
      </c>
      <c r="O2432">
        <v>2.14</v>
      </c>
      <c r="P2432" t="s">
        <v>15</v>
      </c>
      <c r="Q2432">
        <v>0.11</v>
      </c>
      <c r="R2432">
        <v>-4.4343097060918803E-2</v>
      </c>
      <c r="S2432">
        <v>-1.22395902872085E-2</v>
      </c>
      <c r="T2432">
        <v>0.03</v>
      </c>
    </row>
    <row r="2433" spans="1:20" x14ac:dyDescent="0.3">
      <c r="A2433" t="s">
        <v>168</v>
      </c>
      <c r="B2433">
        <v>2022</v>
      </c>
      <c r="C2433">
        <v>3322632</v>
      </c>
      <c r="D2433" s="1">
        <v>3.9E-2</v>
      </c>
      <c r="E2433" s="1">
        <v>0.92432147264480602</v>
      </c>
      <c r="F2433" s="1">
        <v>3.7999999999999999E-2</v>
      </c>
      <c r="G2433" s="1">
        <f t="shared" si="74"/>
        <v>3.6000000000000004E-2</v>
      </c>
      <c r="H2433" s="1" t="str">
        <f t="shared" si="75"/>
        <v/>
      </c>
      <c r="I2433" s="1">
        <v>-0.03</v>
      </c>
      <c r="J2433" s="1">
        <f>+D2433-F2433+I2433*O2433</f>
        <v>-6.5600000000000006E-2</v>
      </c>
      <c r="K2433" s="1">
        <v>3.5656902939081199E-2</v>
      </c>
      <c r="L2433" s="1">
        <f>+K2433-J2433</f>
        <v>0.10125690293908121</v>
      </c>
      <c r="M2433" s="1">
        <v>-4.4343097060918803E-2</v>
      </c>
      <c r="N2433" s="1">
        <f>+M2433-J2433</f>
        <v>2.1256902939081203E-2</v>
      </c>
      <c r="O2433">
        <v>2.2200000000000002</v>
      </c>
      <c r="P2433" t="s">
        <v>17</v>
      </c>
      <c r="Q2433">
        <v>-0.01</v>
      </c>
      <c r="R2433">
        <v>-5.0073721244931202E-2</v>
      </c>
      <c r="S2433">
        <v>-3.05147934705019E-2</v>
      </c>
      <c r="T2433">
        <v>0.05</v>
      </c>
    </row>
    <row r="2434" spans="1:20" x14ac:dyDescent="0.3">
      <c r="A2434" t="s">
        <v>169</v>
      </c>
      <c r="B2434">
        <v>2006</v>
      </c>
      <c r="C2434">
        <v>614292.9375</v>
      </c>
      <c r="D2434" s="1">
        <v>1.6E-2</v>
      </c>
      <c r="E2434" s="1">
        <v>0.91230827569961503</v>
      </c>
      <c r="F2434" s="1">
        <v>1.7000000000000001E-2</v>
      </c>
      <c r="G2434" s="1">
        <f t="shared" si="74"/>
        <v>1.7000000000000001E-2</v>
      </c>
      <c r="H2434" s="1" t="str">
        <f t="shared" si="75"/>
        <v/>
      </c>
      <c r="I2434" s="1">
        <v>8.9999999999999993E-3</v>
      </c>
      <c r="J2434" s="1">
        <f>+D2434-F2434+I2434*O2434</f>
        <v>1.7539999999999997E-2</v>
      </c>
      <c r="K2434" s="1">
        <v>1.9228665158152601E-2</v>
      </c>
      <c r="L2434" s="1">
        <f>+K2434-J2434</f>
        <v>1.6886651581526045E-3</v>
      </c>
      <c r="M2434" s="1">
        <v>-1.27713348418474E-2</v>
      </c>
      <c r="N2434" s="1">
        <f>+M2434-J2434</f>
        <v>-3.0311334841847396E-2</v>
      </c>
      <c r="O2434">
        <v>2.06</v>
      </c>
      <c r="P2434" t="s">
        <v>15</v>
      </c>
      <c r="Q2434">
        <v>-0.02</v>
      </c>
      <c r="R2434">
        <v>-6.9676161706447998E-3</v>
      </c>
      <c r="S2434">
        <v>-6.04586023837329E-3</v>
      </c>
      <c r="T2434">
        <v>0.01</v>
      </c>
    </row>
    <row r="2435" spans="1:20" x14ac:dyDescent="0.3">
      <c r="A2435" t="s">
        <v>169</v>
      </c>
      <c r="B2435">
        <v>2007</v>
      </c>
      <c r="C2435">
        <v>613162.1875</v>
      </c>
      <c r="D2435" s="1">
        <v>0</v>
      </c>
      <c r="E2435" s="1">
        <v>0.91775029897689797</v>
      </c>
      <c r="F2435" s="1">
        <v>-7.0000000000000001E-3</v>
      </c>
      <c r="G2435" s="1">
        <f t="shared" si="74"/>
        <v>1.0000000000000002E-2</v>
      </c>
      <c r="H2435" s="1" t="str">
        <f t="shared" si="75"/>
        <v/>
      </c>
      <c r="I2435" s="1">
        <v>5.0000000000000001E-3</v>
      </c>
      <c r="J2435" s="1">
        <f>+D2435-F2435+I2435*O2435</f>
        <v>1.7249999999999998E-2</v>
      </c>
      <c r="K2435" s="1">
        <v>2.2032383829355202E-2</v>
      </c>
      <c r="L2435" s="1">
        <f>+K2435-J2435</f>
        <v>4.7823838293552037E-3</v>
      </c>
      <c r="M2435" s="1">
        <v>-6.9676161706447998E-3</v>
      </c>
      <c r="N2435" s="1">
        <f>+M2435-J2435</f>
        <v>-2.4217616170644798E-2</v>
      </c>
      <c r="O2435">
        <v>2.0499999999999998</v>
      </c>
      <c r="P2435" t="s">
        <v>17</v>
      </c>
      <c r="Q2435">
        <v>-0.01</v>
      </c>
      <c r="R2435">
        <v>-2.56779280602931E-2</v>
      </c>
      <c r="S2435">
        <v>3.8328762166201999E-3</v>
      </c>
      <c r="T2435">
        <v>-0.01</v>
      </c>
    </row>
    <row r="2436" spans="1:20" x14ac:dyDescent="0.3">
      <c r="A2436" t="s">
        <v>169</v>
      </c>
      <c r="B2436">
        <v>2008</v>
      </c>
      <c r="C2436">
        <v>611682.5</v>
      </c>
      <c r="D2436" s="1">
        <v>8.9999999999999993E-3</v>
      </c>
      <c r="E2436" s="1">
        <v>0.91469889879226696</v>
      </c>
      <c r="F2436" s="1">
        <v>0.03</v>
      </c>
      <c r="G2436" s="1">
        <f t="shared" si="74"/>
        <v>0.04</v>
      </c>
      <c r="H2436" s="1" t="str">
        <f t="shared" si="75"/>
        <v/>
      </c>
      <c r="I2436" s="1">
        <v>-3.0000000000000001E-3</v>
      </c>
      <c r="J2436" s="1">
        <f>+D2436-F2436+I2436*O2436</f>
        <v>-2.7329999999999997E-2</v>
      </c>
      <c r="K2436" s="1">
        <v>1.2322071939706801E-2</v>
      </c>
      <c r="L2436" s="1">
        <f>+K2436-J2436</f>
        <v>3.9652071939706796E-2</v>
      </c>
      <c r="M2436" s="1">
        <v>-2.56779280602931E-2</v>
      </c>
      <c r="N2436" s="1">
        <f>+M2436-J2436</f>
        <v>1.6520719397068971E-3</v>
      </c>
      <c r="O2436">
        <v>2.11</v>
      </c>
      <c r="P2436" t="s">
        <v>17</v>
      </c>
      <c r="Q2436">
        <v>0</v>
      </c>
      <c r="R2436">
        <v>-1.7012296900153202E-2</v>
      </c>
      <c r="S2436">
        <v>9.5544047653674403E-3</v>
      </c>
      <c r="T2436">
        <v>0.03</v>
      </c>
    </row>
    <row r="2437" spans="1:20" x14ac:dyDescent="0.3">
      <c r="A2437" t="s">
        <v>169</v>
      </c>
      <c r="B2437">
        <v>2009</v>
      </c>
      <c r="C2437">
        <v>610627.3125</v>
      </c>
      <c r="D2437" s="1">
        <v>1.2E-2</v>
      </c>
      <c r="E2437" s="1">
        <v>0.90299063920974698</v>
      </c>
      <c r="F2437" s="1">
        <v>1.7000000000000001E-2</v>
      </c>
      <c r="G2437" s="1">
        <f t="shared" si="74"/>
        <v>5.7000000000000002E-2</v>
      </c>
      <c r="H2437" s="1" t="str">
        <f t="shared" si="75"/>
        <v/>
      </c>
      <c r="I2437" s="1">
        <v>-1.2E-2</v>
      </c>
      <c r="J2437" s="1">
        <f>+D2437-F2437+I2437*O2437</f>
        <v>-3.0800000000000001E-2</v>
      </c>
      <c r="K2437" s="1">
        <v>-2.1012296900153202E-2</v>
      </c>
      <c r="L2437" s="1">
        <f>+K2437-J2437</f>
        <v>9.7877030998467993E-3</v>
      </c>
      <c r="M2437" s="1">
        <v>-1.7012296900153202E-2</v>
      </c>
      <c r="N2437" s="1">
        <f>+M2437-J2437</f>
        <v>1.3787703099846799E-2</v>
      </c>
      <c r="O2437">
        <v>2.15</v>
      </c>
      <c r="P2437" t="s">
        <v>17</v>
      </c>
      <c r="Q2437">
        <v>0.01</v>
      </c>
      <c r="R2437">
        <v>-1.3328517027199199E-2</v>
      </c>
      <c r="S2437">
        <v>-3.8684082683175798E-3</v>
      </c>
      <c r="T2437">
        <v>0</v>
      </c>
    </row>
    <row r="2438" spans="1:20" x14ac:dyDescent="0.3">
      <c r="A2438" t="s">
        <v>169</v>
      </c>
      <c r="B2438">
        <v>2010</v>
      </c>
      <c r="C2438">
        <v>610011.75</v>
      </c>
      <c r="D2438" s="1">
        <v>0</v>
      </c>
      <c r="E2438" s="1">
        <v>0.91109281778335605</v>
      </c>
      <c r="F2438" s="1">
        <v>5.0000000000000001E-3</v>
      </c>
      <c r="G2438" s="1">
        <f t="shared" si="74"/>
        <v>6.2E-2</v>
      </c>
      <c r="H2438" s="1" t="str">
        <f t="shared" si="75"/>
        <v/>
      </c>
      <c r="I2438" s="1">
        <v>8.0000000000000002E-3</v>
      </c>
      <c r="J2438" s="1">
        <f>+D2438-F2438+I2438*O2438</f>
        <v>1.2279999999999999E-2</v>
      </c>
      <c r="K2438" s="1">
        <v>2.6714829728007299E-3</v>
      </c>
      <c r="L2438" s="1">
        <f>+K2438-J2438</f>
        <v>-9.6085170271992693E-3</v>
      </c>
      <c r="M2438" s="1">
        <v>-1.3328517027199199E-2</v>
      </c>
      <c r="N2438" s="1">
        <f>+M2438-J2438</f>
        <v>-2.5608517027199199E-2</v>
      </c>
      <c r="O2438">
        <v>2.16</v>
      </c>
      <c r="P2438" t="s">
        <v>15</v>
      </c>
      <c r="Q2438">
        <v>0</v>
      </c>
      <c r="R2438">
        <v>-2.5962553329765801E-2</v>
      </c>
      <c r="S2438">
        <v>-4.6787788160144997E-3</v>
      </c>
      <c r="T2438">
        <v>0</v>
      </c>
    </row>
    <row r="2439" spans="1:20" x14ac:dyDescent="0.3">
      <c r="A2439" t="s">
        <v>169</v>
      </c>
      <c r="B2439">
        <v>2011</v>
      </c>
      <c r="C2439">
        <v>609245.8125</v>
      </c>
      <c r="D2439" s="1">
        <v>1.2999999999999999E-2</v>
      </c>
      <c r="E2439" s="1">
        <v>0.915277719497681</v>
      </c>
      <c r="F2439" s="1">
        <v>6.2E-2</v>
      </c>
      <c r="G2439" s="1">
        <f t="shared" ref="G2439:G2502" si="76">SUMIFS(F:F,A:A,A2439,B:B,"&lt;="&amp;B2439)</f>
        <v>0.124</v>
      </c>
      <c r="H2439" s="1">
        <f t="shared" ref="H2439:H2502" si="77">IFERROR(IF(ABS(G2439)&gt;0.12,AVERAGEIFS(K:K,A:A,A2439,B:B,"&gt;"&amp;B2439,B:B,"&lt;"&amp;B2439+3),""),"")</f>
        <v>1.4372358098626099E-2</v>
      </c>
      <c r="I2439" s="1">
        <v>4.0000000000000001E-3</v>
      </c>
      <c r="J2439" s="1">
        <f>+D2439-F2439+I2439*O2439</f>
        <v>-3.984E-2</v>
      </c>
      <c r="K2439" s="1">
        <v>6.0374466702341999E-3</v>
      </c>
      <c r="L2439" s="1">
        <f>+K2439-J2439</f>
        <v>4.5877446670234204E-2</v>
      </c>
      <c r="M2439" s="1">
        <v>-2.5962553329765801E-2</v>
      </c>
      <c r="N2439" s="1">
        <f>+M2439-J2439</f>
        <v>1.38774466702342E-2</v>
      </c>
      <c r="O2439">
        <v>2.29</v>
      </c>
      <c r="P2439" t="s">
        <v>15</v>
      </c>
      <c r="Q2439">
        <v>0</v>
      </c>
      <c r="R2439">
        <v>-9.7676797807217004E-3</v>
      </c>
      <c r="S2439">
        <v>-4.3294737115502999E-3</v>
      </c>
      <c r="T2439">
        <v>0.06</v>
      </c>
    </row>
    <row r="2440" spans="1:20" x14ac:dyDescent="0.3">
      <c r="A2440" t="s">
        <v>169</v>
      </c>
      <c r="B2440">
        <v>2012</v>
      </c>
      <c r="C2440">
        <v>608790.375</v>
      </c>
      <c r="D2440" s="1">
        <v>5.0000000000000001E-3</v>
      </c>
      <c r="E2440" s="1">
        <v>0.92314356565475497</v>
      </c>
      <c r="F2440" s="1">
        <v>-6.9000000000000006E-2</v>
      </c>
      <c r="G2440" s="1">
        <f t="shared" si="76"/>
        <v>5.4999999999999993E-2</v>
      </c>
      <c r="H2440" s="1" t="str">
        <f t="shared" si="77"/>
        <v/>
      </c>
      <c r="I2440" s="1">
        <v>8.0000000000000002E-3</v>
      </c>
      <c r="J2440" s="1">
        <f>+D2440-F2440+I2440*O2440</f>
        <v>9.104000000000001E-2</v>
      </c>
      <c r="K2440" s="1">
        <v>1.1232320219278299E-2</v>
      </c>
      <c r="L2440" s="1">
        <f>+K2440-J2440</f>
        <v>-7.9807679780721716E-2</v>
      </c>
      <c r="M2440" s="1">
        <v>-9.7676797807217004E-3</v>
      </c>
      <c r="N2440" s="1">
        <f>+M2440-J2440</f>
        <v>-0.10080767978072171</v>
      </c>
      <c r="O2440">
        <v>2.13</v>
      </c>
      <c r="P2440" t="s">
        <v>17</v>
      </c>
      <c r="Q2440">
        <v>0</v>
      </c>
      <c r="R2440">
        <v>2.5123959779738999E-3</v>
      </c>
      <c r="S2440">
        <v>-3.6143753677606999E-3</v>
      </c>
      <c r="T2440">
        <v>-7.0000000000000007E-2</v>
      </c>
    </row>
    <row r="2441" spans="1:20" x14ac:dyDescent="0.3">
      <c r="A2441" t="s">
        <v>169</v>
      </c>
      <c r="B2441">
        <v>2013</v>
      </c>
      <c r="C2441">
        <v>608830.0625</v>
      </c>
      <c r="D2441" s="1">
        <v>0</v>
      </c>
      <c r="E2441" s="1">
        <v>0.92523354291915905</v>
      </c>
      <c r="F2441" s="1">
        <v>-3.4000000000000002E-2</v>
      </c>
      <c r="G2441" s="1">
        <f t="shared" si="76"/>
        <v>2.0999999999999991E-2</v>
      </c>
      <c r="H2441" s="1" t="str">
        <f t="shared" si="77"/>
        <v/>
      </c>
      <c r="I2441" s="1">
        <v>2E-3</v>
      </c>
      <c r="J2441" s="1">
        <f>+D2441-F2441+I2441*O2441</f>
        <v>3.8120000000000001E-2</v>
      </c>
      <c r="K2441" s="1">
        <v>1.75123959779739E-2</v>
      </c>
      <c r="L2441" s="1">
        <f>+K2441-J2441</f>
        <v>-2.0607604022026101E-2</v>
      </c>
      <c r="M2441" s="1">
        <v>2.5123959779738999E-3</v>
      </c>
      <c r="N2441" s="1">
        <f>+M2441-J2441</f>
        <v>-3.5607604022026104E-2</v>
      </c>
      <c r="O2441">
        <v>2.06</v>
      </c>
      <c r="P2441" t="s">
        <v>17</v>
      </c>
      <c r="Q2441">
        <v>0</v>
      </c>
      <c r="R2441">
        <v>-9.0263557471334903E-3</v>
      </c>
      <c r="S2441">
        <v>-1.1034379247575899E-2</v>
      </c>
      <c r="T2441">
        <v>-0.04</v>
      </c>
    </row>
    <row r="2442" spans="1:20" x14ac:dyDescent="0.3">
      <c r="A2442" t="s">
        <v>169</v>
      </c>
      <c r="B2442">
        <v>2014</v>
      </c>
      <c r="C2442">
        <v>608338.8125</v>
      </c>
      <c r="D2442" s="1">
        <v>0</v>
      </c>
      <c r="E2442" s="1">
        <v>0.92777186632156405</v>
      </c>
      <c r="F2442" s="1">
        <v>3.3000000000000002E-2</v>
      </c>
      <c r="G2442" s="1">
        <f t="shared" si="76"/>
        <v>5.3999999999999992E-2</v>
      </c>
      <c r="H2442" s="1" t="str">
        <f t="shared" si="77"/>
        <v/>
      </c>
      <c r="I2442" s="1">
        <v>3.0000000000000001E-3</v>
      </c>
      <c r="J2442" s="1">
        <f>+D2442-F2442+I2442*O2442</f>
        <v>-2.6610000000000002E-2</v>
      </c>
      <c r="K2442" s="1">
        <v>6.97364425286651E-3</v>
      </c>
      <c r="L2442" s="1">
        <f>+K2442-J2442</f>
        <v>3.3583644252866515E-2</v>
      </c>
      <c r="M2442" s="1">
        <v>-9.0263557471334903E-3</v>
      </c>
      <c r="N2442" s="1">
        <f>+M2442-J2442</f>
        <v>1.7583644252866511E-2</v>
      </c>
      <c r="O2442">
        <v>2.13</v>
      </c>
      <c r="P2442" t="s">
        <v>15</v>
      </c>
      <c r="Q2442">
        <v>-0.01</v>
      </c>
      <c r="R2442">
        <v>3.7982663303613599E-2</v>
      </c>
      <c r="S2442">
        <v>7.719211280346E-3</v>
      </c>
      <c r="T2442">
        <v>0.03</v>
      </c>
    </row>
    <row r="2443" spans="1:20" x14ac:dyDescent="0.3">
      <c r="A2443" t="s">
        <v>169</v>
      </c>
      <c r="B2443">
        <v>2015</v>
      </c>
      <c r="C2443">
        <v>607922.1875</v>
      </c>
      <c r="D2443" s="1">
        <v>6.0000000000000001E-3</v>
      </c>
      <c r="E2443" s="1">
        <v>0.92934513092041005</v>
      </c>
      <c r="F2443" s="1">
        <v>-4.0000000000000001E-3</v>
      </c>
      <c r="G2443" s="1">
        <f t="shared" si="76"/>
        <v>4.9999999999999989E-2</v>
      </c>
      <c r="H2443" s="1" t="str">
        <f t="shared" si="77"/>
        <v/>
      </c>
      <c r="I2443" s="1">
        <v>2E-3</v>
      </c>
      <c r="J2443" s="1">
        <f>+D2443-F2443+I2443*O2443</f>
        <v>1.4240000000000001E-2</v>
      </c>
      <c r="K2443" s="1">
        <v>3.8982663303613697E-2</v>
      </c>
      <c r="L2443" s="1">
        <f>+K2443-J2443</f>
        <v>2.4742663303613695E-2</v>
      </c>
      <c r="M2443" s="1">
        <v>3.7982663303613599E-2</v>
      </c>
      <c r="N2443" s="1">
        <f>+M2443-J2443</f>
        <v>2.3742663303613597E-2</v>
      </c>
      <c r="O2443">
        <v>2.12</v>
      </c>
      <c r="P2443" t="s">
        <v>17</v>
      </c>
      <c r="Q2443">
        <v>0.01</v>
      </c>
      <c r="R2443">
        <v>4.6131743937731003E-3</v>
      </c>
      <c r="S2443">
        <v>-8.5403826087712999E-3</v>
      </c>
      <c r="T2443">
        <v>0.01</v>
      </c>
    </row>
    <row r="2444" spans="1:20" x14ac:dyDescent="0.3">
      <c r="A2444" t="s">
        <v>169</v>
      </c>
      <c r="B2444">
        <v>2016</v>
      </c>
      <c r="C2444">
        <v>607998</v>
      </c>
      <c r="D2444" s="1">
        <v>0</v>
      </c>
      <c r="E2444" s="1">
        <v>0.92521667480468806</v>
      </c>
      <c r="F2444" s="1">
        <v>2.5999999999999999E-2</v>
      </c>
      <c r="G2444" s="1">
        <f t="shared" si="76"/>
        <v>7.5999999999999984E-2</v>
      </c>
      <c r="H2444" s="1" t="str">
        <f t="shared" si="77"/>
        <v/>
      </c>
      <c r="I2444" s="1">
        <v>-4.0000000000000001E-3</v>
      </c>
      <c r="J2444" s="1">
        <f>+D2444-F2444+I2444*O2444</f>
        <v>-3.4720000000000001E-2</v>
      </c>
      <c r="K2444" s="1">
        <v>1.76131743937731E-2</v>
      </c>
      <c r="L2444" s="1">
        <f>+K2444-J2444</f>
        <v>5.2333174393773101E-2</v>
      </c>
      <c r="M2444" s="1">
        <v>4.6131743937731003E-3</v>
      </c>
      <c r="N2444" s="1">
        <f>+M2444-J2444</f>
        <v>3.9333174393773103E-2</v>
      </c>
      <c r="O2444">
        <v>2.1800000000000002</v>
      </c>
      <c r="P2444" t="s">
        <v>17</v>
      </c>
      <c r="Q2444">
        <v>-0.01</v>
      </c>
      <c r="R2444">
        <v>7.1171277165412898E-3</v>
      </c>
      <c r="S2444">
        <v>4.3275542557240001E-3</v>
      </c>
      <c r="T2444">
        <v>0.03</v>
      </c>
    </row>
    <row r="2445" spans="1:20" x14ac:dyDescent="0.3">
      <c r="A2445" t="s">
        <v>169</v>
      </c>
      <c r="B2445">
        <v>2017</v>
      </c>
      <c r="C2445">
        <v>607230.3125</v>
      </c>
      <c r="D2445" s="1">
        <v>2.4E-2</v>
      </c>
      <c r="E2445" s="1">
        <v>0.92946749925613403</v>
      </c>
      <c r="F2445" s="1">
        <v>-1.4999999999999999E-2</v>
      </c>
      <c r="G2445" s="1">
        <f t="shared" si="76"/>
        <v>6.0999999999999985E-2</v>
      </c>
      <c r="H2445" s="1" t="str">
        <f t="shared" si="77"/>
        <v/>
      </c>
      <c r="I2445" s="1">
        <v>4.0000000000000001E-3</v>
      </c>
      <c r="J2445" s="1">
        <f>+D2445-F2445+I2445*O2445</f>
        <v>4.7559999999999998E-2</v>
      </c>
      <c r="K2445" s="1">
        <v>2.8117127716541301E-2</v>
      </c>
      <c r="L2445" s="1">
        <f>+K2445-J2445</f>
        <v>-1.9442872283458697E-2</v>
      </c>
      <c r="M2445" s="1">
        <v>7.1171277165412898E-3</v>
      </c>
      <c r="N2445" s="1">
        <f>+M2445-J2445</f>
        <v>-4.0442872283458706E-2</v>
      </c>
      <c r="O2445">
        <v>2.14</v>
      </c>
      <c r="P2445" t="s">
        <v>17</v>
      </c>
      <c r="Q2445">
        <v>0</v>
      </c>
      <c r="R2445">
        <v>8.2221443057059994E-3</v>
      </c>
      <c r="S2445">
        <v>-9.1287866234779304E-4</v>
      </c>
      <c r="T2445">
        <v>-0.01</v>
      </c>
    </row>
    <row r="2446" spans="1:20" x14ac:dyDescent="0.3">
      <c r="A2446" t="s">
        <v>169</v>
      </c>
      <c r="B2446">
        <v>2018</v>
      </c>
      <c r="C2446">
        <v>606502.375</v>
      </c>
      <c r="D2446" s="1">
        <v>1.0999999999999999E-2</v>
      </c>
      <c r="E2446" s="1">
        <v>0.93481647968292203</v>
      </c>
      <c r="F2446" s="1">
        <v>2.8000000000000001E-2</v>
      </c>
      <c r="G2446" s="1">
        <f t="shared" si="76"/>
        <v>8.8999999999999982E-2</v>
      </c>
      <c r="H2446" s="1" t="str">
        <f t="shared" si="77"/>
        <v/>
      </c>
      <c r="I2446" s="1">
        <v>5.0000000000000001E-3</v>
      </c>
      <c r="J2446" s="1">
        <f>+D2446-F2446+I2446*O2446</f>
        <v>-6.0000000000000001E-3</v>
      </c>
      <c r="K2446" s="1">
        <v>3.2222144305706003E-2</v>
      </c>
      <c r="L2446" s="1">
        <f>+K2446-J2446</f>
        <v>3.8222144305706002E-2</v>
      </c>
      <c r="M2446" s="1">
        <v>8.2221443057059994E-3</v>
      </c>
      <c r="N2446" s="1">
        <f>+M2446-J2446</f>
        <v>1.4222144305706E-2</v>
      </c>
      <c r="O2446">
        <v>2.2000000000000002</v>
      </c>
      <c r="P2446" t="s">
        <v>15</v>
      </c>
      <c r="Q2446">
        <v>0</v>
      </c>
      <c r="R2446">
        <v>7.8750654757022993E-3</v>
      </c>
      <c r="S2446">
        <v>-9.9261291325092003E-3</v>
      </c>
      <c r="T2446">
        <v>0.04</v>
      </c>
    </row>
    <row r="2447" spans="1:20" x14ac:dyDescent="0.3">
      <c r="A2447" t="s">
        <v>169</v>
      </c>
      <c r="B2447">
        <v>2019</v>
      </c>
      <c r="C2447">
        <v>606270.8125</v>
      </c>
      <c r="D2447" s="1">
        <v>4.0000000000000001E-3</v>
      </c>
      <c r="E2447" s="1">
        <v>0.93888628482818604</v>
      </c>
      <c r="F2447" s="1">
        <v>-2.8000000000000001E-2</v>
      </c>
      <c r="G2447" s="1">
        <f t="shared" si="76"/>
        <v>6.0999999999999985E-2</v>
      </c>
      <c r="H2447" s="1" t="str">
        <f t="shared" si="77"/>
        <v/>
      </c>
      <c r="I2447" s="1">
        <v>4.0000000000000001E-3</v>
      </c>
      <c r="J2447" s="1">
        <f>+D2447-F2447+I2447*O2447</f>
        <v>4.0559999999999999E-2</v>
      </c>
      <c r="K2447" s="1">
        <v>2.58750654757023E-2</v>
      </c>
      <c r="L2447" s="1">
        <f>+K2447-J2447</f>
        <v>-1.4684934524297699E-2</v>
      </c>
      <c r="M2447" s="1">
        <v>7.8750654757022993E-3</v>
      </c>
      <c r="N2447" s="1">
        <f>+M2447-J2447</f>
        <v>-3.2684934524297701E-2</v>
      </c>
      <c r="O2447">
        <v>2.14</v>
      </c>
      <c r="P2447" t="s">
        <v>17</v>
      </c>
      <c r="Q2447">
        <v>-0.01</v>
      </c>
      <c r="R2447">
        <v>2.7577305316925E-2</v>
      </c>
      <c r="S2447">
        <v>8.728114888072E-3</v>
      </c>
      <c r="T2447">
        <v>-0.02</v>
      </c>
    </row>
    <row r="2448" spans="1:20" x14ac:dyDescent="0.3">
      <c r="A2448" t="s">
        <v>169</v>
      </c>
      <c r="B2448">
        <v>2020</v>
      </c>
      <c r="C2448">
        <v>604907.5</v>
      </c>
      <c r="D2448" s="1">
        <v>1.6E-2</v>
      </c>
      <c r="E2448" s="1">
        <v>0.94801557064056396</v>
      </c>
      <c r="F2448" s="1">
        <v>-5.8000000000000003E-2</v>
      </c>
      <c r="G2448" s="1">
        <f t="shared" si="76"/>
        <v>2.9999999999999818E-3</v>
      </c>
      <c r="H2448" s="1" t="str">
        <f t="shared" si="77"/>
        <v/>
      </c>
      <c r="I2448" s="1">
        <v>8.9999999999999993E-3</v>
      </c>
      <c r="J2448" s="1">
        <f>+D2448-F2448+I2448*O2448</f>
        <v>9.2180000000000012E-2</v>
      </c>
      <c r="K2448" s="1">
        <v>3.9577305316925E-2</v>
      </c>
      <c r="L2448" s="1">
        <f>+K2448-J2448</f>
        <v>-5.2602694683075012E-2</v>
      </c>
      <c r="M2448" s="1">
        <v>2.7577305316925E-2</v>
      </c>
      <c r="N2448" s="1">
        <f>+M2448-J2448</f>
        <v>-6.4602694683075015E-2</v>
      </c>
      <c r="O2448">
        <v>2.02</v>
      </c>
      <c r="P2448" t="s">
        <v>17</v>
      </c>
      <c r="Q2448">
        <v>0.01</v>
      </c>
      <c r="R2448">
        <v>2.5642758488655101E-2</v>
      </c>
      <c r="S2448">
        <v>-1.7946854233741798E-2</v>
      </c>
      <c r="T2448">
        <v>-0.02</v>
      </c>
    </row>
    <row r="2449" spans="1:20" x14ac:dyDescent="0.3">
      <c r="A2449" t="s">
        <v>169</v>
      </c>
      <c r="B2449">
        <v>2021</v>
      </c>
      <c r="C2449">
        <v>601912.125</v>
      </c>
      <c r="D2449" s="1">
        <v>1.4999999999999999E-2</v>
      </c>
      <c r="E2449" s="1">
        <v>0.95190519094467196</v>
      </c>
      <c r="F2449" s="1">
        <v>-3.6999999999999998E-2</v>
      </c>
      <c r="G2449" s="1">
        <f t="shared" si="76"/>
        <v>-3.4000000000000016E-2</v>
      </c>
      <c r="H2449" s="1" t="str">
        <f t="shared" si="77"/>
        <v/>
      </c>
      <c r="I2449" s="1">
        <v>4.0000000000000001E-3</v>
      </c>
      <c r="J2449" s="1">
        <f>+D2449-F2449+I2449*O2449</f>
        <v>5.9759999999999994E-2</v>
      </c>
      <c r="K2449" s="1">
        <v>7.2642758488655104E-2</v>
      </c>
      <c r="L2449" s="1">
        <f>+K2449-J2449</f>
        <v>1.2882758488655111E-2</v>
      </c>
      <c r="M2449" s="1">
        <v>2.5642758488655101E-2</v>
      </c>
      <c r="N2449" s="1">
        <f>+M2449-J2449</f>
        <v>-3.411724151134489E-2</v>
      </c>
      <c r="O2449">
        <v>1.94</v>
      </c>
      <c r="P2449" t="s">
        <v>17</v>
      </c>
      <c r="Q2449">
        <v>-0.02</v>
      </c>
      <c r="R2449">
        <v>-3.02806402742863E-2</v>
      </c>
      <c r="S2449">
        <v>1.822866499424E-3</v>
      </c>
      <c r="T2449">
        <v>-7.0000000000000007E-2</v>
      </c>
    </row>
    <row r="2450" spans="1:20" x14ac:dyDescent="0.3">
      <c r="A2450" t="s">
        <v>169</v>
      </c>
      <c r="B2450">
        <v>2022</v>
      </c>
      <c r="C2450">
        <v>600935.75</v>
      </c>
      <c r="D2450" s="1">
        <v>0.01</v>
      </c>
      <c r="E2450" s="1">
        <v>0.93894296884536699</v>
      </c>
      <c r="F2450" s="1">
        <v>0.02</v>
      </c>
      <c r="G2450" s="1">
        <f t="shared" si="76"/>
        <v>-1.4000000000000016E-2</v>
      </c>
      <c r="H2450" s="1" t="str">
        <f t="shared" si="77"/>
        <v/>
      </c>
      <c r="I2450" s="1">
        <v>-1.2999999999999999E-2</v>
      </c>
      <c r="J2450" s="1">
        <f>+D2450-F2450+I2450*O2450</f>
        <v>-3.5740000000000001E-2</v>
      </c>
      <c r="K2450" s="1">
        <v>4.9719359725713702E-2</v>
      </c>
      <c r="L2450" s="1">
        <f>+K2450-J2450</f>
        <v>8.5459359725713696E-2</v>
      </c>
      <c r="M2450" s="1">
        <v>-3.02806402742863E-2</v>
      </c>
      <c r="N2450" s="1">
        <f>+M2450-J2450</f>
        <v>5.4593597257137014E-3</v>
      </c>
      <c r="O2450">
        <v>1.98</v>
      </c>
      <c r="P2450" t="s">
        <v>17</v>
      </c>
      <c r="Q2450">
        <v>0</v>
      </c>
      <c r="R2450">
        <v>-1.7567670702934302E-2</v>
      </c>
      <c r="S2450">
        <v>1.9912570714950002E-3</v>
      </c>
      <c r="T2450">
        <v>0.04</v>
      </c>
    </row>
    <row r="2451" spans="1:20" x14ac:dyDescent="0.3">
      <c r="A2451" t="s">
        <v>170</v>
      </c>
      <c r="B2451">
        <v>2006</v>
      </c>
      <c r="C2451">
        <v>362881.59379999997</v>
      </c>
      <c r="D2451" s="1">
        <v>0</v>
      </c>
      <c r="E2451" s="1">
        <v>0.95150321722030595</v>
      </c>
      <c r="F2451" s="1">
        <v>6.0999999999999999E-2</v>
      </c>
      <c r="G2451" s="1">
        <f t="shared" si="76"/>
        <v>6.0999999999999999E-2</v>
      </c>
      <c r="H2451" s="1" t="str">
        <f t="shared" si="77"/>
        <v/>
      </c>
      <c r="I2451" s="1">
        <v>2.4E-2</v>
      </c>
      <c r="J2451" s="1">
        <f>+D2451-F2451+I2451*O2451</f>
        <v>-5.5599999999999955E-3</v>
      </c>
      <c r="K2451" s="1">
        <v>3.5952068865299197E-2</v>
      </c>
      <c r="L2451" s="1">
        <f>+K2451-J2451</f>
        <v>4.1512068865299193E-2</v>
      </c>
      <c r="M2451" s="1">
        <v>3.9520688652991904E-3</v>
      </c>
      <c r="N2451" s="1">
        <f>+M2451-J2451</f>
        <v>9.512068865299185E-3</v>
      </c>
      <c r="O2451">
        <v>2.31</v>
      </c>
      <c r="P2451" t="s">
        <v>15</v>
      </c>
      <c r="Q2451">
        <v>0</v>
      </c>
      <c r="R2451">
        <v>8.7384573221206997E-3</v>
      </c>
      <c r="S2451">
        <v>9.6602132543922008E-3</v>
      </c>
      <c r="T2451">
        <v>0.06</v>
      </c>
    </row>
    <row r="2452" spans="1:20" x14ac:dyDescent="0.3">
      <c r="A2452" t="s">
        <v>170</v>
      </c>
      <c r="B2452">
        <v>2007</v>
      </c>
      <c r="C2452">
        <v>363343.40629999997</v>
      </c>
      <c r="D2452" s="1">
        <v>0</v>
      </c>
      <c r="E2452" s="1">
        <v>0.95484012365341198</v>
      </c>
      <c r="F2452" s="1">
        <v>1.4999999999999999E-2</v>
      </c>
      <c r="G2452" s="1">
        <f t="shared" si="76"/>
        <v>7.5999999999999998E-2</v>
      </c>
      <c r="H2452" s="1" t="str">
        <f t="shared" si="77"/>
        <v/>
      </c>
      <c r="I2452" s="1">
        <v>3.0000000000000001E-3</v>
      </c>
      <c r="J2452" s="1">
        <f>+D2452-F2452+I2452*O2452</f>
        <v>-7.980000000000001E-3</v>
      </c>
      <c r="K2452" s="1">
        <v>3.7738457322120701E-2</v>
      </c>
      <c r="L2452" s="1">
        <f>+K2452-J2452</f>
        <v>4.5718457322120702E-2</v>
      </c>
      <c r="M2452" s="1">
        <v>8.7384573221206997E-3</v>
      </c>
      <c r="N2452" s="1">
        <f>+M2452-J2452</f>
        <v>1.6718457322120701E-2</v>
      </c>
      <c r="O2452">
        <v>2.34</v>
      </c>
      <c r="P2452" t="s">
        <v>15</v>
      </c>
      <c r="Q2452">
        <v>0.01</v>
      </c>
      <c r="R2452">
        <v>-3.3351675897836601E-2</v>
      </c>
      <c r="S2452">
        <v>-3.8408716209232798E-3</v>
      </c>
      <c r="T2452">
        <v>0.01</v>
      </c>
    </row>
    <row r="2453" spans="1:20" x14ac:dyDescent="0.3">
      <c r="A2453" t="s">
        <v>170</v>
      </c>
      <c r="B2453">
        <v>2008</v>
      </c>
      <c r="C2453">
        <v>364451.6875</v>
      </c>
      <c r="D2453" s="1">
        <v>0</v>
      </c>
      <c r="E2453" s="1">
        <v>0.95591288805007901</v>
      </c>
      <c r="F2453" s="1">
        <v>-0.03</v>
      </c>
      <c r="G2453" s="1">
        <f t="shared" si="76"/>
        <v>4.5999999999999999E-2</v>
      </c>
      <c r="H2453" s="1" t="str">
        <f t="shared" si="77"/>
        <v/>
      </c>
      <c r="I2453" s="1">
        <v>1E-3</v>
      </c>
      <c r="J2453" s="1">
        <f>+D2453-F2453+I2453*O2453</f>
        <v>3.227E-2</v>
      </c>
      <c r="K2453" s="1">
        <v>4.6483241021633096E-3</v>
      </c>
      <c r="L2453" s="1">
        <f>+K2453-J2453</f>
        <v>-2.7621675897836692E-2</v>
      </c>
      <c r="M2453" s="1">
        <v>-3.3351675897836601E-2</v>
      </c>
      <c r="N2453" s="1">
        <f>+M2453-J2453</f>
        <v>-6.5621675897836601E-2</v>
      </c>
      <c r="O2453">
        <v>2.27</v>
      </c>
      <c r="P2453" t="s">
        <v>17</v>
      </c>
      <c r="Q2453">
        <v>0</v>
      </c>
      <c r="R2453">
        <v>-2.4250632807612301E-2</v>
      </c>
      <c r="S2453">
        <v>2.3160688579082502E-3</v>
      </c>
      <c r="T2453">
        <v>-0.03</v>
      </c>
    </row>
    <row r="2454" spans="1:20" x14ac:dyDescent="0.3">
      <c r="A2454" t="s">
        <v>170</v>
      </c>
      <c r="B2454">
        <v>2009</v>
      </c>
      <c r="C2454">
        <v>366116.90629999997</v>
      </c>
      <c r="D2454" s="1">
        <v>-1E-3</v>
      </c>
      <c r="E2454" s="1">
        <v>0.95582216978073098</v>
      </c>
      <c r="F2454" s="1">
        <v>-1.9E-2</v>
      </c>
      <c r="G2454" s="1">
        <f t="shared" si="76"/>
        <v>2.7E-2</v>
      </c>
      <c r="H2454" s="1" t="str">
        <f t="shared" si="77"/>
        <v/>
      </c>
      <c r="I2454" s="1">
        <v>0</v>
      </c>
      <c r="J2454" s="1">
        <f>+D2454-F2454+I2454*O2454</f>
        <v>1.7999999999999999E-2</v>
      </c>
      <c r="K2454" s="1">
        <v>-2.8250632807612398E-2</v>
      </c>
      <c r="L2454" s="1">
        <f>+K2454-J2454</f>
        <v>-4.6250632807612393E-2</v>
      </c>
      <c r="M2454" s="1">
        <v>-2.4250632807612301E-2</v>
      </c>
      <c r="N2454" s="1">
        <f>+M2454-J2454</f>
        <v>-4.22506328076123E-2</v>
      </c>
      <c r="O2454">
        <v>2.23</v>
      </c>
      <c r="P2454" t="s">
        <v>16</v>
      </c>
      <c r="Q2454">
        <v>0</v>
      </c>
      <c r="R2454">
        <v>-4.4181308150290002E-4</v>
      </c>
      <c r="S2454">
        <v>9.0182956773787806E-3</v>
      </c>
      <c r="T2454">
        <v>-0.04</v>
      </c>
    </row>
    <row r="2455" spans="1:20" x14ac:dyDescent="0.3">
      <c r="A2455" t="s">
        <v>170</v>
      </c>
      <c r="B2455">
        <v>2010</v>
      </c>
      <c r="C2455">
        <v>368639.3125</v>
      </c>
      <c r="D2455" s="1">
        <v>0</v>
      </c>
      <c r="E2455" s="1">
        <v>0.95631450414657604</v>
      </c>
      <c r="F2455" s="1">
        <v>6.9000000000000006E-2</v>
      </c>
      <c r="G2455" s="1">
        <f t="shared" si="76"/>
        <v>9.6000000000000002E-2</v>
      </c>
      <c r="H2455" s="1" t="str">
        <f t="shared" si="77"/>
        <v/>
      </c>
      <c r="I2455" s="1">
        <v>0</v>
      </c>
      <c r="J2455" s="1">
        <f>+D2455-F2455+I2455*O2455</f>
        <v>-6.9000000000000006E-2</v>
      </c>
      <c r="K2455" s="1">
        <v>1.5558186918497099E-2</v>
      </c>
      <c r="L2455" s="1">
        <f>+K2455-J2455</f>
        <v>8.4558186918497105E-2</v>
      </c>
      <c r="M2455" s="1">
        <v>-4.4181308150290002E-4</v>
      </c>
      <c r="N2455" s="1">
        <f>+M2455-J2455</f>
        <v>6.8558186918497105E-2</v>
      </c>
      <c r="O2455">
        <v>2.38</v>
      </c>
      <c r="P2455" t="s">
        <v>15</v>
      </c>
      <c r="Q2455">
        <v>0.01</v>
      </c>
      <c r="R2455">
        <v>-1.6962870366871399E-2</v>
      </c>
      <c r="S2455">
        <v>4.3209041468799001E-3</v>
      </c>
      <c r="T2455">
        <v>0.06</v>
      </c>
    </row>
    <row r="2456" spans="1:20" x14ac:dyDescent="0.3">
      <c r="A2456" t="s">
        <v>170</v>
      </c>
      <c r="B2456">
        <v>2011</v>
      </c>
      <c r="C2456">
        <v>370637.90629999997</v>
      </c>
      <c r="D2456" s="1">
        <v>0</v>
      </c>
      <c r="E2456" s="1">
        <v>0.95817071199417103</v>
      </c>
      <c r="F2456" s="1">
        <v>-1.7000000000000001E-2</v>
      </c>
      <c r="G2456" s="1">
        <f t="shared" si="76"/>
        <v>7.9000000000000001E-2</v>
      </c>
      <c r="H2456" s="1" t="str">
        <f t="shared" si="77"/>
        <v/>
      </c>
      <c r="I2456" s="1">
        <v>2E-3</v>
      </c>
      <c r="J2456" s="1">
        <f>+D2456-F2456+I2456*O2456</f>
        <v>2.1680000000000001E-2</v>
      </c>
      <c r="K2456" s="1">
        <v>1.50371296331286E-2</v>
      </c>
      <c r="L2456" s="1">
        <f>+K2456-J2456</f>
        <v>-6.6428703668714017E-3</v>
      </c>
      <c r="M2456" s="1">
        <v>-1.6962870366871399E-2</v>
      </c>
      <c r="N2456" s="1">
        <f>+M2456-J2456</f>
        <v>-3.8642870366871404E-2</v>
      </c>
      <c r="O2456">
        <v>2.34</v>
      </c>
      <c r="P2456" t="s">
        <v>17</v>
      </c>
      <c r="Q2456">
        <v>0</v>
      </c>
      <c r="R2456">
        <v>-8.5395623967052005E-3</v>
      </c>
      <c r="S2456">
        <v>-3.1013563275338E-3</v>
      </c>
      <c r="T2456">
        <v>-0.02</v>
      </c>
    </row>
    <row r="2457" spans="1:20" x14ac:dyDescent="0.3">
      <c r="A2457" t="s">
        <v>170</v>
      </c>
      <c r="B2457">
        <v>2012</v>
      </c>
      <c r="C2457">
        <v>373794.90629999997</v>
      </c>
      <c r="D2457" s="1">
        <v>5.0000000000000001E-3</v>
      </c>
      <c r="E2457" s="1">
        <v>0.95820796489715598</v>
      </c>
      <c r="F2457" s="1">
        <v>-1.0999999999999999E-2</v>
      </c>
      <c r="G2457" s="1">
        <f t="shared" si="76"/>
        <v>6.8000000000000005E-2</v>
      </c>
      <c r="H2457" s="1" t="str">
        <f t="shared" si="77"/>
        <v/>
      </c>
      <c r="I2457" s="1">
        <v>0</v>
      </c>
      <c r="J2457" s="1">
        <f>+D2457-F2457+I2457*O2457</f>
        <v>1.6E-2</v>
      </c>
      <c r="K2457" s="1">
        <v>1.2460437603294801E-2</v>
      </c>
      <c r="L2457" s="1">
        <f>+K2457-J2457</f>
        <v>-3.5395623967051995E-3</v>
      </c>
      <c r="M2457" s="1">
        <v>-8.5395623967052005E-3</v>
      </c>
      <c r="N2457" s="1">
        <f>+M2457-J2457</f>
        <v>-2.4539562396705201E-2</v>
      </c>
      <c r="O2457">
        <v>2.3199999999999998</v>
      </c>
      <c r="P2457" t="s">
        <v>17</v>
      </c>
      <c r="Q2457">
        <v>0</v>
      </c>
      <c r="R2457">
        <v>7.5095264613628003E-3</v>
      </c>
      <c r="S2457">
        <v>1.3827551156282E-3</v>
      </c>
      <c r="T2457">
        <v>-0.01</v>
      </c>
    </row>
    <row r="2458" spans="1:20" x14ac:dyDescent="0.3">
      <c r="A2458" t="s">
        <v>170</v>
      </c>
      <c r="B2458">
        <v>2013</v>
      </c>
      <c r="C2458">
        <v>376261.40629999997</v>
      </c>
      <c r="D2458" s="1">
        <v>4.0000000000000001E-3</v>
      </c>
      <c r="E2458" s="1">
        <v>0.96003717184066795</v>
      </c>
      <c r="F2458" s="1">
        <v>0.1</v>
      </c>
      <c r="G2458" s="1">
        <f t="shared" si="76"/>
        <v>0.16800000000000001</v>
      </c>
      <c r="H2458" s="1">
        <f t="shared" si="77"/>
        <v>2.3631474003195749E-2</v>
      </c>
      <c r="I2458" s="1">
        <v>2E-3</v>
      </c>
      <c r="J2458" s="1">
        <f>+D2458-F2458+I2458*O2458</f>
        <v>-9.0900000000000009E-2</v>
      </c>
      <c r="K2458" s="1">
        <v>2.2509526461362801E-2</v>
      </c>
      <c r="L2458" s="1">
        <f>+K2458-J2458</f>
        <v>0.11340952646136281</v>
      </c>
      <c r="M2458" s="1">
        <v>7.5095264613628003E-3</v>
      </c>
      <c r="N2458" s="1">
        <f>+M2458-J2458</f>
        <v>9.8409526461362806E-2</v>
      </c>
      <c r="O2458">
        <v>2.5499999999999998</v>
      </c>
      <c r="P2458" t="s">
        <v>15</v>
      </c>
      <c r="Q2458">
        <v>0</v>
      </c>
      <c r="R2458">
        <v>-5.9061235189439905E-4</v>
      </c>
      <c r="S2458">
        <v>-2.5986358523369E-3</v>
      </c>
      <c r="T2458">
        <v>0.09</v>
      </c>
    </row>
    <row r="2459" spans="1:20" x14ac:dyDescent="0.3">
      <c r="A2459" t="s">
        <v>170</v>
      </c>
      <c r="B2459">
        <v>2014</v>
      </c>
      <c r="C2459">
        <v>377697.21879999997</v>
      </c>
      <c r="D2459" s="1">
        <v>2.9000000000000001E-2</v>
      </c>
      <c r="E2459" s="1">
        <v>0.95299202203750599</v>
      </c>
      <c r="F2459" s="1">
        <v>-5.1999999999999998E-2</v>
      </c>
      <c r="G2459" s="1">
        <f t="shared" si="76"/>
        <v>0.11600000000000002</v>
      </c>
      <c r="H2459" s="1" t="str">
        <f t="shared" si="77"/>
        <v/>
      </c>
      <c r="I2459" s="1">
        <v>-7.0000000000000001E-3</v>
      </c>
      <c r="J2459" s="1">
        <f>+D2459-F2459+I2459*O2459</f>
        <v>6.4060000000000006E-2</v>
      </c>
      <c r="K2459" s="1">
        <v>1.5409387648105601E-2</v>
      </c>
      <c r="L2459" s="1">
        <f>+K2459-J2459</f>
        <v>-4.8650612351894405E-2</v>
      </c>
      <c r="M2459" s="1">
        <v>-5.9061235189439905E-4</v>
      </c>
      <c r="N2459" s="1">
        <f>+M2459-J2459</f>
        <v>-6.4650612351894399E-2</v>
      </c>
      <c r="O2459">
        <v>2.42</v>
      </c>
      <c r="P2459" t="s">
        <v>16</v>
      </c>
      <c r="Q2459">
        <v>0</v>
      </c>
      <c r="R2459">
        <v>3.0853560358285799E-2</v>
      </c>
      <c r="S2459">
        <v>5.9010833501819905E-4</v>
      </c>
      <c r="T2459">
        <v>-0.06</v>
      </c>
    </row>
    <row r="2460" spans="1:20" x14ac:dyDescent="0.3">
      <c r="A2460" t="s">
        <v>170</v>
      </c>
      <c r="B2460">
        <v>2015</v>
      </c>
      <c r="C2460">
        <v>378977.6875</v>
      </c>
      <c r="D2460" s="1">
        <v>2.5999999999999999E-2</v>
      </c>
      <c r="E2460" s="1">
        <v>0.94536858797073398</v>
      </c>
      <c r="F2460" s="1">
        <v>-3.6999999999999998E-2</v>
      </c>
      <c r="G2460" s="1">
        <f t="shared" si="76"/>
        <v>7.9000000000000015E-2</v>
      </c>
      <c r="H2460" s="1" t="str">
        <f t="shared" si="77"/>
        <v/>
      </c>
      <c r="I2460" s="1">
        <v>-8.0000000000000002E-3</v>
      </c>
      <c r="J2460" s="1">
        <f>+D2460-F2460+I2460*O2460</f>
        <v>4.4359999999999997E-2</v>
      </c>
      <c r="K2460" s="1">
        <v>3.1853560358285897E-2</v>
      </c>
      <c r="L2460" s="1">
        <f>+K2460-J2460</f>
        <v>-1.25064396417141E-2</v>
      </c>
      <c r="M2460" s="1">
        <v>3.0853560358285799E-2</v>
      </c>
      <c r="N2460" s="1">
        <f>+M2460-J2460</f>
        <v>-1.3506439641714198E-2</v>
      </c>
      <c r="O2460">
        <v>2.33</v>
      </c>
      <c r="P2460" t="s">
        <v>16</v>
      </c>
      <c r="Q2460">
        <v>0</v>
      </c>
      <c r="R2460">
        <v>4.8325176239013903E-3</v>
      </c>
      <c r="S2460">
        <v>-8.3210393786429995E-3</v>
      </c>
      <c r="T2460">
        <v>-0.03</v>
      </c>
    </row>
    <row r="2461" spans="1:20" x14ac:dyDescent="0.3">
      <c r="A2461" t="s">
        <v>170</v>
      </c>
      <c r="B2461">
        <v>2016</v>
      </c>
      <c r="C2461">
        <v>380855.71879999997</v>
      </c>
      <c r="D2461" s="1">
        <v>3.7999999999999999E-2</v>
      </c>
      <c r="E2461" s="1">
        <v>0.94222348928451505</v>
      </c>
      <c r="F2461" s="1">
        <v>2.5000000000000001E-2</v>
      </c>
      <c r="G2461" s="1">
        <f t="shared" si="76"/>
        <v>0.10400000000000001</v>
      </c>
      <c r="H2461" s="1" t="str">
        <f t="shared" si="77"/>
        <v/>
      </c>
      <c r="I2461" s="1">
        <v>-3.0000000000000001E-3</v>
      </c>
      <c r="J2461" s="1">
        <f>+D2461-F2461+I2461*O2461</f>
        <v>5.8299999999999975E-3</v>
      </c>
      <c r="K2461" s="1">
        <v>1.7832517623901398E-2</v>
      </c>
      <c r="L2461" s="1">
        <f>+K2461-J2461</f>
        <v>1.20025176239014E-2</v>
      </c>
      <c r="M2461" s="1">
        <v>4.8325176239013903E-3</v>
      </c>
      <c r="N2461" s="1">
        <f>+M2461-J2461</f>
        <v>-9.9748237609860717E-4</v>
      </c>
      <c r="O2461">
        <v>2.39</v>
      </c>
      <c r="P2461" t="s">
        <v>17</v>
      </c>
      <c r="Q2461">
        <v>-0.01</v>
      </c>
      <c r="R2461">
        <v>-1.07686326876283E-2</v>
      </c>
      <c r="S2461">
        <v>-1.3558206148445599E-2</v>
      </c>
      <c r="T2461">
        <v>0.03</v>
      </c>
    </row>
    <row r="2462" spans="1:20" x14ac:dyDescent="0.3">
      <c r="A2462" t="s">
        <v>170</v>
      </c>
      <c r="B2462">
        <v>2017</v>
      </c>
      <c r="C2462">
        <v>383283.125</v>
      </c>
      <c r="D2462" s="1">
        <v>2.1999999999999999E-2</v>
      </c>
      <c r="E2462" s="1">
        <v>0.95589447021484397</v>
      </c>
      <c r="F2462" s="1">
        <v>4.0000000000000001E-3</v>
      </c>
      <c r="G2462" s="1">
        <f t="shared" si="76"/>
        <v>0.10800000000000001</v>
      </c>
      <c r="H2462" s="1" t="str">
        <f t="shared" si="77"/>
        <v/>
      </c>
      <c r="I2462" s="1">
        <v>1.4E-2</v>
      </c>
      <c r="J2462" s="1">
        <f>+D2462-F2462+I2462*O2462</f>
        <v>5.1599999999999993E-2</v>
      </c>
      <c r="K2462" s="1">
        <v>1.02313673123717E-2</v>
      </c>
      <c r="L2462" s="1">
        <f>+K2462-J2462</f>
        <v>-4.136863268762829E-2</v>
      </c>
      <c r="M2462" s="1">
        <v>-1.07686326876283E-2</v>
      </c>
      <c r="N2462" s="1">
        <f>+M2462-J2462</f>
        <v>-6.2368632687628295E-2</v>
      </c>
      <c r="O2462">
        <v>2.4</v>
      </c>
      <c r="P2462" t="s">
        <v>15</v>
      </c>
      <c r="Q2462">
        <v>-0.01</v>
      </c>
      <c r="R2462">
        <v>8.2791934013366902E-3</v>
      </c>
      <c r="S2462">
        <v>-8.5582956671709904E-4</v>
      </c>
      <c r="T2462">
        <v>0.01</v>
      </c>
    </row>
    <row r="2463" spans="1:20" x14ac:dyDescent="0.3">
      <c r="A2463" t="s">
        <v>170</v>
      </c>
      <c r="B2463">
        <v>2018</v>
      </c>
      <c r="C2463">
        <v>385240.5</v>
      </c>
      <c r="D2463" s="1">
        <v>1.2999999999999999E-2</v>
      </c>
      <c r="E2463" s="1">
        <v>0.95725816488266002</v>
      </c>
      <c r="F2463" s="1">
        <v>-1.6E-2</v>
      </c>
      <c r="G2463" s="1">
        <f t="shared" si="76"/>
        <v>9.2000000000000012E-2</v>
      </c>
      <c r="H2463" s="1" t="str">
        <f t="shared" si="77"/>
        <v/>
      </c>
      <c r="I2463" s="1">
        <v>1E-3</v>
      </c>
      <c r="J2463" s="1">
        <f>+D2463-F2463+I2463*O2463</f>
        <v>3.1359999999999999E-2</v>
      </c>
      <c r="K2463" s="1">
        <v>3.2279193401336698E-2</v>
      </c>
      <c r="L2463" s="1">
        <f>+K2463-J2463</f>
        <v>9.1919340133669869E-4</v>
      </c>
      <c r="M2463" s="1">
        <v>8.2791934013366902E-3</v>
      </c>
      <c r="N2463" s="1">
        <f>+M2463-J2463</f>
        <v>-2.3080806598663309E-2</v>
      </c>
      <c r="O2463">
        <v>2.36</v>
      </c>
      <c r="P2463" t="s">
        <v>17</v>
      </c>
      <c r="Q2463">
        <v>0</v>
      </c>
      <c r="R2463">
        <v>2.3223477572202701E-2</v>
      </c>
      <c r="S2463">
        <v>5.4222829639911999E-3</v>
      </c>
      <c r="T2463">
        <v>-0.01</v>
      </c>
    </row>
    <row r="2464" spans="1:20" x14ac:dyDescent="0.3">
      <c r="A2464" t="s">
        <v>170</v>
      </c>
      <c r="B2464">
        <v>2019</v>
      </c>
      <c r="C2464">
        <v>386574</v>
      </c>
      <c r="D2464" s="1">
        <v>3.0000000000000001E-3</v>
      </c>
      <c r="E2464" s="1">
        <v>0.96674156188964799</v>
      </c>
      <c r="F2464" s="1">
        <v>-5.1999999999999998E-2</v>
      </c>
      <c r="G2464" s="1">
        <f t="shared" si="76"/>
        <v>4.0000000000000015E-2</v>
      </c>
      <c r="H2464" s="1" t="str">
        <f t="shared" si="77"/>
        <v/>
      </c>
      <c r="I2464" s="1">
        <v>8.9999999999999993E-3</v>
      </c>
      <c r="J2464" s="1">
        <f>+D2464-F2464+I2464*O2464</f>
        <v>7.5069999999999998E-2</v>
      </c>
      <c r="K2464" s="1">
        <v>4.1223477572202703E-2</v>
      </c>
      <c r="L2464" s="1">
        <f>+K2464-J2464</f>
        <v>-3.3846522427797295E-2</v>
      </c>
      <c r="M2464" s="1">
        <v>2.3223477572202701E-2</v>
      </c>
      <c r="N2464" s="1">
        <f>+M2464-J2464</f>
        <v>-5.1846522427797297E-2</v>
      </c>
      <c r="O2464">
        <v>2.23</v>
      </c>
      <c r="P2464" t="s">
        <v>17</v>
      </c>
      <c r="Q2464">
        <v>0.01</v>
      </c>
      <c r="R2464">
        <v>1.34314504563807E-2</v>
      </c>
      <c r="S2464">
        <v>-5.4177399724722004E-3</v>
      </c>
      <c r="T2464">
        <v>-0.04</v>
      </c>
    </row>
    <row r="2465" spans="1:20" x14ac:dyDescent="0.3">
      <c r="A2465" t="s">
        <v>170</v>
      </c>
      <c r="B2465">
        <v>2020</v>
      </c>
      <c r="C2465">
        <v>385414.625</v>
      </c>
      <c r="D2465" s="1">
        <v>2.9000000000000001E-2</v>
      </c>
      <c r="E2465" s="1">
        <v>0.97057187557220503</v>
      </c>
      <c r="F2465" s="1">
        <v>-3.6999999999999998E-2</v>
      </c>
      <c r="G2465" s="1">
        <f t="shared" si="76"/>
        <v>3.0000000000000165E-3</v>
      </c>
      <c r="H2465" s="1" t="str">
        <f t="shared" si="77"/>
        <v/>
      </c>
      <c r="I2465" s="1">
        <v>4.0000000000000001E-3</v>
      </c>
      <c r="J2465" s="1">
        <f>+D2465-F2465+I2465*O2465</f>
        <v>7.46E-2</v>
      </c>
      <c r="K2465" s="1">
        <v>2.5431450456380799E-2</v>
      </c>
      <c r="L2465" s="1">
        <f>+K2465-J2465</f>
        <v>-4.9168549543619197E-2</v>
      </c>
      <c r="M2465" s="1">
        <v>1.34314504563807E-2</v>
      </c>
      <c r="N2465" s="1">
        <f>+M2465-J2465</f>
        <v>-6.1168549543619298E-2</v>
      </c>
      <c r="O2465">
        <v>2.15</v>
      </c>
      <c r="P2465" t="s">
        <v>17</v>
      </c>
      <c r="Q2465">
        <v>-0.01</v>
      </c>
      <c r="R2465">
        <v>2.5745583951473101E-2</v>
      </c>
      <c r="S2465">
        <v>-1.7844028770923701E-2</v>
      </c>
      <c r="T2465">
        <v>0</v>
      </c>
    </row>
    <row r="2466" spans="1:20" x14ac:dyDescent="0.3">
      <c r="A2466" t="s">
        <v>170</v>
      </c>
      <c r="B2466">
        <v>2021</v>
      </c>
      <c r="C2466">
        <v>382129.59379999997</v>
      </c>
      <c r="D2466" s="1">
        <v>6.9000000000000006E-2</v>
      </c>
      <c r="E2466" s="1">
        <v>0.92916005849838301</v>
      </c>
      <c r="F2466" s="1">
        <v>5.8000000000000003E-2</v>
      </c>
      <c r="G2466" s="1">
        <f t="shared" si="76"/>
        <v>6.1000000000000019E-2</v>
      </c>
      <c r="H2466" s="1" t="str">
        <f t="shared" si="77"/>
        <v/>
      </c>
      <c r="I2466" s="1">
        <v>-4.1000000000000002E-2</v>
      </c>
      <c r="J2466" s="1">
        <f>+D2466-F2466+I2466*O2466</f>
        <v>-8.2479999999999998E-2</v>
      </c>
      <c r="K2466" s="1">
        <v>7.2745583951473194E-2</v>
      </c>
      <c r="L2466" s="1">
        <f>+K2466-J2466</f>
        <v>0.15522558395147318</v>
      </c>
      <c r="M2466" s="1">
        <v>2.5745583951473101E-2</v>
      </c>
      <c r="N2466" s="1">
        <f>+M2466-J2466</f>
        <v>0.10822558395147309</v>
      </c>
      <c r="O2466">
        <v>2.2799999999999998</v>
      </c>
      <c r="P2466" t="s">
        <v>17</v>
      </c>
      <c r="Q2466">
        <v>-0.02</v>
      </c>
      <c r="R2466">
        <v>-4.7584789991379E-3</v>
      </c>
      <c r="S2466">
        <v>2.73450277745723E-2</v>
      </c>
      <c r="T2466">
        <v>0.03</v>
      </c>
    </row>
    <row r="2467" spans="1:20" x14ac:dyDescent="0.3">
      <c r="A2467" t="s">
        <v>170</v>
      </c>
      <c r="B2467">
        <v>2022</v>
      </c>
      <c r="C2467">
        <v>383128.375</v>
      </c>
      <c r="D2467" s="1">
        <v>2E-3</v>
      </c>
      <c r="E2467" s="1">
        <v>0.97027939558029197</v>
      </c>
      <c r="F2467" s="1">
        <v>8.9999999999999993E-3</v>
      </c>
      <c r="G2467" s="1">
        <f t="shared" si="76"/>
        <v>7.0000000000000021E-2</v>
      </c>
      <c r="H2467" s="1" t="str">
        <f t="shared" si="77"/>
        <v/>
      </c>
      <c r="I2467" s="1">
        <v>4.1000000000000002E-2</v>
      </c>
      <c r="J2467" s="1">
        <f>+D2467-F2467+I2467*O2467</f>
        <v>8.7299999999999989E-2</v>
      </c>
      <c r="K2467" s="1">
        <v>7.5241521000862094E-2</v>
      </c>
      <c r="L2467" s="1">
        <f>+K2467-J2467</f>
        <v>-1.2058478999137895E-2</v>
      </c>
      <c r="M2467" s="1">
        <v>-4.7584789991379E-3</v>
      </c>
      <c r="N2467" s="1">
        <f>+M2467-J2467</f>
        <v>-9.2058478999137883E-2</v>
      </c>
      <c r="O2467">
        <v>2.2999999999999998</v>
      </c>
      <c r="P2467" t="s">
        <v>15</v>
      </c>
      <c r="Q2467">
        <v>0.03</v>
      </c>
      <c r="R2467">
        <v>-1.7491982117295302E-2</v>
      </c>
      <c r="S2467">
        <v>2.0669456571340001E-3</v>
      </c>
      <c r="T2467">
        <v>0.03</v>
      </c>
    </row>
    <row r="2468" spans="1:20" x14ac:dyDescent="0.3">
      <c r="A2468" t="s">
        <v>171</v>
      </c>
      <c r="B2468">
        <v>2006</v>
      </c>
      <c r="C2468">
        <v>944611.5625</v>
      </c>
      <c r="D2468" s="1">
        <v>2E-3</v>
      </c>
      <c r="E2468" s="1">
        <v>0.93765270709991499</v>
      </c>
      <c r="F2468" s="1">
        <v>-2.4E-2</v>
      </c>
      <c r="G2468" s="1">
        <f t="shared" si="76"/>
        <v>-2.4E-2</v>
      </c>
      <c r="H2468" s="1" t="str">
        <f t="shared" si="77"/>
        <v/>
      </c>
      <c r="I2468" s="1">
        <v>7.0000000000000001E-3</v>
      </c>
      <c r="J2468" s="1">
        <f>+D2468-F2468+I2468*O2468</f>
        <v>4.147E-2</v>
      </c>
      <c r="K2468" s="1">
        <v>3.97190451622009E-2</v>
      </c>
      <c r="L2468" s="1">
        <f>+K2468-J2468</f>
        <v>-1.7509548377990999E-3</v>
      </c>
      <c r="M2468" s="1">
        <v>7.7190451622008898E-3</v>
      </c>
      <c r="N2468" s="1">
        <f>+M2468-J2468</f>
        <v>-3.3750954837799108E-2</v>
      </c>
      <c r="O2468">
        <v>2.21</v>
      </c>
      <c r="P2468" t="s">
        <v>17</v>
      </c>
      <c r="Q2468">
        <v>0</v>
      </c>
      <c r="R2468">
        <v>1.9349372982978899E-3</v>
      </c>
      <c r="S2468">
        <v>2.85669323056939E-3</v>
      </c>
      <c r="T2468">
        <v>-0.03</v>
      </c>
    </row>
    <row r="2469" spans="1:20" x14ac:dyDescent="0.3">
      <c r="A2469" t="s">
        <v>171</v>
      </c>
      <c r="B2469">
        <v>2007</v>
      </c>
      <c r="C2469">
        <v>958839.875</v>
      </c>
      <c r="D2469" s="1">
        <v>3.0000000000000001E-3</v>
      </c>
      <c r="E2469" s="1">
        <v>0.92300206422805797</v>
      </c>
      <c r="F2469" s="1">
        <v>-2.4E-2</v>
      </c>
      <c r="G2469" s="1">
        <f t="shared" si="76"/>
        <v>-4.8000000000000001E-2</v>
      </c>
      <c r="H2469" s="1" t="str">
        <f t="shared" si="77"/>
        <v/>
      </c>
      <c r="I2469" s="1">
        <v>-1.4999999999999999E-2</v>
      </c>
      <c r="J2469" s="1">
        <f>+D2469-F2469+I2469*O2469</f>
        <v>-5.3999999999999986E-3</v>
      </c>
      <c r="K2469" s="1">
        <v>3.0934937298297899E-2</v>
      </c>
      <c r="L2469" s="1">
        <f>+K2469-J2469</f>
        <v>3.6334937298297898E-2</v>
      </c>
      <c r="M2469" s="1">
        <v>1.9349372982978899E-3</v>
      </c>
      <c r="N2469" s="1">
        <f>+M2469-J2469</f>
        <v>7.3349372982978887E-3</v>
      </c>
      <c r="O2469">
        <v>2.16</v>
      </c>
      <c r="P2469" t="s">
        <v>16</v>
      </c>
      <c r="Q2469">
        <v>0</v>
      </c>
      <c r="R2469">
        <v>-3.47953742016106E-2</v>
      </c>
      <c r="S2469">
        <v>-5.2845699246972704E-3</v>
      </c>
      <c r="T2469">
        <v>-0.03</v>
      </c>
    </row>
    <row r="2470" spans="1:20" x14ac:dyDescent="0.3">
      <c r="A2470" t="s">
        <v>171</v>
      </c>
      <c r="B2470">
        <v>2008</v>
      </c>
      <c r="C2470">
        <v>969769.6875</v>
      </c>
      <c r="D2470" s="1">
        <v>5.0000000000000001E-3</v>
      </c>
      <c r="E2470" s="1">
        <v>0.899918913841248</v>
      </c>
      <c r="F2470" s="1">
        <v>8.9999999999999993E-3</v>
      </c>
      <c r="G2470" s="1">
        <f t="shared" si="76"/>
        <v>-3.9E-2</v>
      </c>
      <c r="H2470" s="1" t="str">
        <f t="shared" si="77"/>
        <v/>
      </c>
      <c r="I2470" s="1">
        <v>-2.3E-2</v>
      </c>
      <c r="J2470" s="1">
        <f>+D2470-F2470+I2470*O2470</f>
        <v>-5.4140000000000001E-2</v>
      </c>
      <c r="K2470" s="1">
        <v>3.2046257983893199E-3</v>
      </c>
      <c r="L2470" s="1">
        <f>+K2470-J2470</f>
        <v>5.7344625798389323E-2</v>
      </c>
      <c r="M2470" s="1">
        <v>-3.47953742016106E-2</v>
      </c>
      <c r="N2470" s="1">
        <f>+M2470-J2470</f>
        <v>1.93446257983894E-2</v>
      </c>
      <c r="O2470">
        <v>2.1800000000000002</v>
      </c>
      <c r="P2470" t="s">
        <v>17</v>
      </c>
      <c r="Q2470">
        <v>-0.01</v>
      </c>
      <c r="R2470">
        <v>-2.6526122078299501E-2</v>
      </c>
      <c r="S2470">
        <v>4.0579587221149099E-5</v>
      </c>
      <c r="T2470">
        <v>0.01</v>
      </c>
    </row>
    <row r="2471" spans="1:20" x14ac:dyDescent="0.3">
      <c r="A2471" t="s">
        <v>171</v>
      </c>
      <c r="B2471">
        <v>2009</v>
      </c>
      <c r="C2471">
        <v>977065.5</v>
      </c>
      <c r="D2471" s="1">
        <v>2E-3</v>
      </c>
      <c r="E2471" s="1">
        <v>0.88779026269912698</v>
      </c>
      <c r="F2471" s="1">
        <v>2.3E-2</v>
      </c>
      <c r="G2471" s="1">
        <f t="shared" si="76"/>
        <v>-1.6E-2</v>
      </c>
      <c r="H2471" s="1" t="str">
        <f t="shared" si="77"/>
        <v/>
      </c>
      <c r="I2471" s="1">
        <v>-1.2E-2</v>
      </c>
      <c r="J2471" s="1">
        <f>+D2471-F2471+I2471*O2471</f>
        <v>-4.7759999999999997E-2</v>
      </c>
      <c r="K2471" s="1">
        <v>-3.0526122078299502E-2</v>
      </c>
      <c r="L2471" s="1">
        <f>+K2471-J2471</f>
        <v>1.7233877921700495E-2</v>
      </c>
      <c r="M2471" s="1">
        <v>-2.6526122078299501E-2</v>
      </c>
      <c r="N2471" s="1">
        <f>+M2471-J2471</f>
        <v>2.1233877921700495E-2</v>
      </c>
      <c r="O2471">
        <v>2.23</v>
      </c>
      <c r="P2471" t="s">
        <v>17</v>
      </c>
      <c r="Q2471">
        <v>0</v>
      </c>
      <c r="R2471">
        <v>-1.09309211224317E-2</v>
      </c>
      <c r="S2471">
        <v>-1.47081236355007E-3</v>
      </c>
      <c r="T2471">
        <v>0</v>
      </c>
    </row>
    <row r="2472" spans="1:20" x14ac:dyDescent="0.3">
      <c r="A2472" t="s">
        <v>171</v>
      </c>
      <c r="B2472">
        <v>2010</v>
      </c>
      <c r="C2472">
        <v>982638.6875</v>
      </c>
      <c r="D2472" s="1">
        <v>1E-3</v>
      </c>
      <c r="E2472" s="1">
        <v>0.89389896392822299</v>
      </c>
      <c r="F2472" s="1">
        <v>1.4999999999999999E-2</v>
      </c>
      <c r="G2472" s="1">
        <f t="shared" si="76"/>
        <v>-1.0000000000000009E-3</v>
      </c>
      <c r="H2472" s="1" t="str">
        <f t="shared" si="77"/>
        <v/>
      </c>
      <c r="I2472" s="1">
        <v>6.0000000000000001E-3</v>
      </c>
      <c r="J2472" s="1">
        <f>+D2472-F2472+I2472*O2472</f>
        <v>-4.3999999999999942E-4</v>
      </c>
      <c r="K2472" s="1">
        <v>5.0690788775682397E-3</v>
      </c>
      <c r="L2472" s="1">
        <f>+K2472-J2472</f>
        <v>5.5090788775682391E-3</v>
      </c>
      <c r="M2472" s="1">
        <v>-1.09309211224317E-2</v>
      </c>
      <c r="N2472" s="1">
        <f>+M2472-J2472</f>
        <v>-1.04909211224317E-2</v>
      </c>
      <c r="O2472">
        <v>2.2599999999999998</v>
      </c>
      <c r="P2472" t="s">
        <v>15</v>
      </c>
      <c r="Q2472">
        <v>0</v>
      </c>
      <c r="R2472">
        <v>-2.0894741982221601E-2</v>
      </c>
      <c r="S2472">
        <v>3.8903253152969898E-4</v>
      </c>
      <c r="T2472">
        <v>0.01</v>
      </c>
    </row>
    <row r="2473" spans="1:20" x14ac:dyDescent="0.3">
      <c r="A2473" t="s">
        <v>171</v>
      </c>
      <c r="B2473">
        <v>2011</v>
      </c>
      <c r="C2473">
        <v>987303.3125</v>
      </c>
      <c r="D2473" s="1">
        <v>8.9999999999999993E-3</v>
      </c>
      <c r="E2473" s="1">
        <v>0.89641988277435303</v>
      </c>
      <c r="F2473" s="1">
        <v>4.2000000000000003E-2</v>
      </c>
      <c r="G2473" s="1">
        <f t="shared" si="76"/>
        <v>4.1000000000000002E-2</v>
      </c>
      <c r="H2473" s="1" t="str">
        <f t="shared" si="77"/>
        <v/>
      </c>
      <c r="I2473" s="1">
        <v>3.0000000000000001E-3</v>
      </c>
      <c r="J2473" s="1">
        <f>+D2473-F2473+I2473*O2473</f>
        <v>-2.5920000000000002E-2</v>
      </c>
      <c r="K2473" s="1">
        <v>1.11052580177784E-2</v>
      </c>
      <c r="L2473" s="1">
        <f>+K2473-J2473</f>
        <v>3.7025258017778402E-2</v>
      </c>
      <c r="M2473" s="1">
        <v>-2.0894741982221601E-2</v>
      </c>
      <c r="N2473" s="1">
        <f>+M2473-J2473</f>
        <v>5.0252580177784015E-3</v>
      </c>
      <c r="O2473">
        <v>2.36</v>
      </c>
      <c r="P2473" t="s">
        <v>15</v>
      </c>
      <c r="Q2473">
        <v>0</v>
      </c>
      <c r="R2473">
        <v>-1.68559656515717E-2</v>
      </c>
      <c r="S2473">
        <v>-1.1417759582400299E-2</v>
      </c>
      <c r="T2473">
        <v>0.04</v>
      </c>
    </row>
    <row r="2474" spans="1:20" x14ac:dyDescent="0.3">
      <c r="A2474" t="s">
        <v>171</v>
      </c>
      <c r="B2474">
        <v>2012</v>
      </c>
      <c r="C2474">
        <v>990459.4375</v>
      </c>
      <c r="D2474" s="1">
        <v>5.0000000000000001E-3</v>
      </c>
      <c r="E2474" s="1">
        <v>0.90360969305038497</v>
      </c>
      <c r="F2474" s="1">
        <v>-5.0999999999999997E-2</v>
      </c>
      <c r="G2474" s="1">
        <f t="shared" si="76"/>
        <v>-9.999999999999995E-3</v>
      </c>
      <c r="H2474" s="1" t="str">
        <f t="shared" si="77"/>
        <v/>
      </c>
      <c r="I2474" s="1">
        <v>7.0000000000000001E-3</v>
      </c>
      <c r="J2474" s="1">
        <f>+D2474-F2474+I2474*O2474</f>
        <v>7.1609999999999993E-2</v>
      </c>
      <c r="K2474" s="1">
        <v>4.1440343484282502E-3</v>
      </c>
      <c r="L2474" s="1">
        <f>+K2474-J2474</f>
        <v>-6.7465965651571744E-2</v>
      </c>
      <c r="M2474" s="1">
        <v>-1.68559656515717E-2</v>
      </c>
      <c r="N2474" s="1">
        <f>+M2474-J2474</f>
        <v>-8.8465965651571693E-2</v>
      </c>
      <c r="O2474">
        <v>2.23</v>
      </c>
      <c r="P2474" t="s">
        <v>17</v>
      </c>
      <c r="Q2474">
        <v>-0.01</v>
      </c>
      <c r="R2474">
        <v>7.0467019826173996E-3</v>
      </c>
      <c r="S2474">
        <v>9.19930636882799E-4</v>
      </c>
      <c r="T2474">
        <v>-0.05</v>
      </c>
    </row>
    <row r="2475" spans="1:20" x14ac:dyDescent="0.3">
      <c r="A2475" t="s">
        <v>171</v>
      </c>
      <c r="B2475">
        <v>2013</v>
      </c>
      <c r="C2475">
        <v>993667.75</v>
      </c>
      <c r="D2475" s="1">
        <v>1.2E-2</v>
      </c>
      <c r="E2475" s="1">
        <v>0.89945256710052501</v>
      </c>
      <c r="F2475" s="1">
        <v>1.6E-2</v>
      </c>
      <c r="G2475" s="1">
        <f t="shared" si="76"/>
        <v>6.0000000000000053E-3</v>
      </c>
      <c r="H2475" s="1" t="str">
        <f t="shared" si="77"/>
        <v/>
      </c>
      <c r="I2475" s="1">
        <v>-4.0000000000000001E-3</v>
      </c>
      <c r="J2475" s="1">
        <f>+D2475-F2475+I2475*O2475</f>
        <v>-1.308E-2</v>
      </c>
      <c r="K2475" s="1">
        <v>2.2046701982617399E-2</v>
      </c>
      <c r="L2475" s="1">
        <f>+K2475-J2475</f>
        <v>3.51267019826174E-2</v>
      </c>
      <c r="M2475" s="1">
        <v>7.0467019826173996E-3</v>
      </c>
      <c r="N2475" s="1">
        <f>+M2475-J2475</f>
        <v>2.0126701982617401E-2</v>
      </c>
      <c r="O2475">
        <v>2.27</v>
      </c>
      <c r="P2475" t="s">
        <v>17</v>
      </c>
      <c r="Q2475">
        <v>0</v>
      </c>
      <c r="R2475">
        <v>-8.1754673123359701E-3</v>
      </c>
      <c r="S2475">
        <v>-1.01834908127784E-2</v>
      </c>
      <c r="T2475">
        <v>0.01</v>
      </c>
    </row>
    <row r="2476" spans="1:20" x14ac:dyDescent="0.3">
      <c r="A2476" t="s">
        <v>171</v>
      </c>
      <c r="B2476">
        <v>2014</v>
      </c>
      <c r="C2476">
        <v>998826.125</v>
      </c>
      <c r="D2476" s="1">
        <v>1.2E-2</v>
      </c>
      <c r="E2476" s="1">
        <v>0.90014272928237904</v>
      </c>
      <c r="F2476" s="1">
        <v>3.0000000000000001E-3</v>
      </c>
      <c r="G2476" s="1">
        <f t="shared" si="76"/>
        <v>9.0000000000000045E-3</v>
      </c>
      <c r="H2476" s="1" t="str">
        <f t="shared" si="77"/>
        <v/>
      </c>
      <c r="I2476" s="1">
        <v>1E-3</v>
      </c>
      <c r="J2476" s="1">
        <f>+D2476-F2476+I2476*O2476</f>
        <v>1.1280000000000002E-2</v>
      </c>
      <c r="K2476" s="1">
        <v>7.8245326876640302E-3</v>
      </c>
      <c r="L2476" s="1">
        <f>+K2476-J2476</f>
        <v>-3.4554673123359716E-3</v>
      </c>
      <c r="M2476" s="1">
        <v>-8.1754673123359701E-3</v>
      </c>
      <c r="N2476" s="1">
        <f>+M2476-J2476</f>
        <v>-1.9455467312335974E-2</v>
      </c>
      <c r="O2476">
        <v>2.2799999999999998</v>
      </c>
      <c r="P2476" t="s">
        <v>15</v>
      </c>
      <c r="Q2476">
        <v>-0.01</v>
      </c>
      <c r="R2476">
        <v>3.09889262318611E-2</v>
      </c>
      <c r="S2476">
        <v>7.2547420859340301E-4</v>
      </c>
      <c r="T2476">
        <v>0</v>
      </c>
    </row>
    <row r="2477" spans="1:20" x14ac:dyDescent="0.3">
      <c r="A2477" t="s">
        <v>171</v>
      </c>
      <c r="B2477">
        <v>2015</v>
      </c>
      <c r="C2477">
        <v>1002831</v>
      </c>
      <c r="D2477" s="1">
        <v>6.0000000000000001E-3</v>
      </c>
      <c r="E2477" s="1">
        <v>0.90851044654846203</v>
      </c>
      <c r="F2477" s="1">
        <v>-2E-3</v>
      </c>
      <c r="G2477" s="1">
        <f t="shared" si="76"/>
        <v>7.0000000000000045E-3</v>
      </c>
      <c r="H2477" s="1" t="str">
        <f t="shared" si="77"/>
        <v/>
      </c>
      <c r="I2477" s="1">
        <v>8.0000000000000002E-3</v>
      </c>
      <c r="J2477" s="1">
        <f>+D2477-F2477+I2477*O2477</f>
        <v>2.6159999999999999E-2</v>
      </c>
      <c r="K2477" s="1">
        <v>3.1988926231861101E-2</v>
      </c>
      <c r="L2477" s="1">
        <f>+K2477-J2477</f>
        <v>5.8289262318611014E-3</v>
      </c>
      <c r="M2477" s="1">
        <v>3.09889262318611E-2</v>
      </c>
      <c r="N2477" s="1">
        <f>+M2477-J2477</f>
        <v>4.8289262318611005E-3</v>
      </c>
      <c r="O2477">
        <v>2.27</v>
      </c>
      <c r="P2477" t="s">
        <v>17</v>
      </c>
      <c r="Q2477">
        <v>0</v>
      </c>
      <c r="R2477">
        <v>3.37883981764317E-2</v>
      </c>
      <c r="S2477">
        <v>2.0634841173887301E-2</v>
      </c>
      <c r="T2477">
        <v>0.01</v>
      </c>
    </row>
    <row r="2478" spans="1:20" x14ac:dyDescent="0.3">
      <c r="A2478" t="s">
        <v>171</v>
      </c>
      <c r="B2478">
        <v>2016</v>
      </c>
      <c r="C2478">
        <v>1009541</v>
      </c>
      <c r="D2478" s="1">
        <v>6.0000000000000001E-3</v>
      </c>
      <c r="E2478" s="1">
        <v>0.91851907968521096</v>
      </c>
      <c r="F2478" s="1">
        <v>-6.0000000000000001E-3</v>
      </c>
      <c r="G2478" s="1">
        <f t="shared" si="76"/>
        <v>1.0000000000000044E-3</v>
      </c>
      <c r="H2478" s="1" t="str">
        <f t="shared" si="77"/>
        <v/>
      </c>
      <c r="I2478" s="1">
        <v>0.01</v>
      </c>
      <c r="J2478" s="1">
        <f>+D2478-F2478+I2478*O2478</f>
        <v>3.4599999999999999E-2</v>
      </c>
      <c r="K2478" s="1">
        <v>4.6788398176431698E-2</v>
      </c>
      <c r="L2478" s="1">
        <f>+K2478-J2478</f>
        <v>1.2188398176431699E-2</v>
      </c>
      <c r="M2478" s="1">
        <v>3.37883981764317E-2</v>
      </c>
      <c r="N2478" s="1">
        <f>+M2478-J2478</f>
        <v>-8.1160182356829896E-4</v>
      </c>
      <c r="O2478">
        <v>2.2599999999999998</v>
      </c>
      <c r="P2478" t="s">
        <v>17</v>
      </c>
      <c r="Q2478">
        <v>0.02</v>
      </c>
      <c r="R2478">
        <v>2.3813834130763999E-2</v>
      </c>
      <c r="S2478">
        <v>2.1024260669946698E-2</v>
      </c>
      <c r="T2478">
        <v>-0.01</v>
      </c>
    </row>
    <row r="2479" spans="1:20" x14ac:dyDescent="0.3">
      <c r="A2479" t="s">
        <v>171</v>
      </c>
      <c r="B2479">
        <v>2017</v>
      </c>
      <c r="C2479">
        <v>1018135</v>
      </c>
      <c r="D2479" s="1">
        <v>0</v>
      </c>
      <c r="E2479" s="1">
        <v>0.93057495355606101</v>
      </c>
      <c r="F2479" s="1">
        <v>3.0000000000000001E-3</v>
      </c>
      <c r="G2479" s="1">
        <f t="shared" si="76"/>
        <v>4.0000000000000044E-3</v>
      </c>
      <c r="H2479" s="1" t="str">
        <f t="shared" si="77"/>
        <v/>
      </c>
      <c r="I2479" s="1">
        <v>1.2E-2</v>
      </c>
      <c r="J2479" s="1">
        <f>+D2479-F2479+I2479*O2479</f>
        <v>2.4240000000000001E-2</v>
      </c>
      <c r="K2479" s="1">
        <v>4.4813834130764001E-2</v>
      </c>
      <c r="L2479" s="1">
        <f>+K2479-J2479</f>
        <v>2.0573834130764E-2</v>
      </c>
      <c r="M2479" s="1">
        <v>2.3813834130763999E-2</v>
      </c>
      <c r="N2479" s="1">
        <f>+M2479-J2479</f>
        <v>-4.261658692360018E-4</v>
      </c>
      <c r="O2479">
        <v>2.27</v>
      </c>
      <c r="P2479" t="s">
        <v>15</v>
      </c>
      <c r="Q2479">
        <v>0.02</v>
      </c>
      <c r="R2479">
        <v>3.7498392373323398E-2</v>
      </c>
      <c r="S2479">
        <v>2.8363369405269599E-2</v>
      </c>
      <c r="T2479">
        <v>0.01</v>
      </c>
    </row>
    <row r="2480" spans="1:20" x14ac:dyDescent="0.3">
      <c r="A2480" t="s">
        <v>171</v>
      </c>
      <c r="B2480">
        <v>2018</v>
      </c>
      <c r="C2480">
        <v>1027405</v>
      </c>
      <c r="D2480" s="1">
        <v>4.0000000000000001E-3</v>
      </c>
      <c r="E2480" s="1">
        <v>0.93539535999298096</v>
      </c>
      <c r="F2480" s="1">
        <v>1E-3</v>
      </c>
      <c r="G2480" s="1">
        <f t="shared" si="76"/>
        <v>5.0000000000000044E-3</v>
      </c>
      <c r="H2480" s="1" t="str">
        <f t="shared" si="77"/>
        <v/>
      </c>
      <c r="I2480" s="1">
        <v>5.0000000000000001E-3</v>
      </c>
      <c r="J2480" s="1">
        <f>+D2480-F2480+I2480*O2480</f>
        <v>1.4350000000000002E-2</v>
      </c>
      <c r="K2480" s="1">
        <v>6.1498392373323399E-2</v>
      </c>
      <c r="L2480" s="1">
        <f>+K2480-J2480</f>
        <v>4.7148392373323397E-2</v>
      </c>
      <c r="M2480" s="1">
        <v>3.7498392373323398E-2</v>
      </c>
      <c r="N2480" s="1">
        <f>+M2480-J2480</f>
        <v>2.3148392373323397E-2</v>
      </c>
      <c r="O2480">
        <v>2.27</v>
      </c>
      <c r="P2480" t="s">
        <v>15</v>
      </c>
      <c r="Q2480">
        <v>0.03</v>
      </c>
      <c r="R2480">
        <v>3.86597878932953E-2</v>
      </c>
      <c r="S2480">
        <v>2.0858593285083701E-2</v>
      </c>
      <c r="T2480">
        <v>0.01</v>
      </c>
    </row>
    <row r="2481" spans="1:20" x14ac:dyDescent="0.3">
      <c r="A2481" t="s">
        <v>171</v>
      </c>
      <c r="B2481">
        <v>2019</v>
      </c>
      <c r="C2481">
        <v>1037720.938</v>
      </c>
      <c r="D2481" s="1">
        <v>7.0000000000000001E-3</v>
      </c>
      <c r="E2481" s="1">
        <v>0.93169033527374301</v>
      </c>
      <c r="F2481" s="1">
        <v>-8.0000000000000002E-3</v>
      </c>
      <c r="G2481" s="1">
        <f t="shared" si="76"/>
        <v>-2.9999999999999957E-3</v>
      </c>
      <c r="H2481" s="1" t="str">
        <f t="shared" si="77"/>
        <v/>
      </c>
      <c r="I2481" s="1">
        <v>-4.0000000000000001E-3</v>
      </c>
      <c r="J2481" s="1">
        <f>+D2481-F2481+I2481*O2481</f>
        <v>5.9999999999999984E-3</v>
      </c>
      <c r="K2481" s="1">
        <v>5.6659787893295302E-2</v>
      </c>
      <c r="L2481" s="1">
        <f>+K2481-J2481</f>
        <v>5.0659787893295304E-2</v>
      </c>
      <c r="M2481" s="1">
        <v>3.86597878932953E-2</v>
      </c>
      <c r="N2481" s="1">
        <f>+M2481-J2481</f>
        <v>3.2659787893295301E-2</v>
      </c>
      <c r="O2481">
        <v>2.25</v>
      </c>
      <c r="P2481" t="s">
        <v>16</v>
      </c>
      <c r="Q2481">
        <v>0.02</v>
      </c>
      <c r="R2481">
        <v>4.95042112767696E-2</v>
      </c>
      <c r="S2481">
        <v>3.06550208479166E-2</v>
      </c>
      <c r="T2481">
        <v>0</v>
      </c>
    </row>
    <row r="2482" spans="1:20" x14ac:dyDescent="0.3">
      <c r="A2482" t="s">
        <v>171</v>
      </c>
      <c r="B2482">
        <v>2020</v>
      </c>
      <c r="C2482">
        <v>1046157.938</v>
      </c>
      <c r="D2482" s="1">
        <v>2E-3</v>
      </c>
      <c r="E2482" s="1">
        <v>0.94937503337860096</v>
      </c>
      <c r="F2482" s="1">
        <v>-6.5000000000000002E-2</v>
      </c>
      <c r="G2482" s="1">
        <f t="shared" si="76"/>
        <v>-6.8000000000000005E-2</v>
      </c>
      <c r="H2482" s="1" t="str">
        <f t="shared" si="77"/>
        <v/>
      </c>
      <c r="I2482" s="1">
        <v>1.7999999999999999E-2</v>
      </c>
      <c r="J2482" s="1">
        <f>+D2482-F2482+I2482*O2482</f>
        <v>0.1048</v>
      </c>
      <c r="K2482" s="1">
        <v>6.1504211276769603E-2</v>
      </c>
      <c r="L2482" s="1">
        <f>+K2482-J2482</f>
        <v>-4.3295788723230401E-2</v>
      </c>
      <c r="M2482" s="1">
        <v>4.95042112767696E-2</v>
      </c>
      <c r="N2482" s="1">
        <f>+M2482-J2482</f>
        <v>-5.5295788723230405E-2</v>
      </c>
      <c r="O2482">
        <v>2.1</v>
      </c>
      <c r="P2482" t="s">
        <v>17</v>
      </c>
      <c r="Q2482">
        <v>0.03</v>
      </c>
      <c r="R2482">
        <v>0.112343421459198</v>
      </c>
      <c r="S2482">
        <v>6.8753808736800995E-2</v>
      </c>
      <c r="T2482">
        <v>-0.03</v>
      </c>
    </row>
    <row r="2483" spans="1:20" x14ac:dyDescent="0.3">
      <c r="A2483" t="s">
        <v>171</v>
      </c>
      <c r="B2483">
        <v>2021</v>
      </c>
      <c r="C2483">
        <v>1051432</v>
      </c>
      <c r="D2483" s="1">
        <v>1.7999999999999999E-2</v>
      </c>
      <c r="E2483" s="1">
        <v>0.94702059030532804</v>
      </c>
      <c r="F2483" s="1">
        <v>0.06</v>
      </c>
      <c r="G2483" s="1">
        <f t="shared" si="76"/>
        <v>-8.0000000000000071E-3</v>
      </c>
      <c r="H2483" s="1" t="str">
        <f t="shared" si="77"/>
        <v/>
      </c>
      <c r="I2483" s="1">
        <v>-2E-3</v>
      </c>
      <c r="J2483" s="1">
        <f>+D2483-F2483+I2483*O2483</f>
        <v>-4.6459999999999994E-2</v>
      </c>
      <c r="K2483" s="1">
        <v>0.159343421459198</v>
      </c>
      <c r="L2483" s="1">
        <f>+K2483-J2483</f>
        <v>0.205803421459198</v>
      </c>
      <c r="M2483" s="1">
        <v>0.112343421459198</v>
      </c>
      <c r="N2483" s="1">
        <f>+M2483-J2483</f>
        <v>0.15880342145919799</v>
      </c>
      <c r="O2483">
        <v>2.23</v>
      </c>
      <c r="P2483" t="s">
        <v>17</v>
      </c>
      <c r="Q2483">
        <v>7.0000000000000007E-2</v>
      </c>
      <c r="R2483">
        <v>-3.9776047617196997E-2</v>
      </c>
      <c r="S2483">
        <v>-7.6725408434867E-3</v>
      </c>
      <c r="T2483">
        <v>0.03</v>
      </c>
    </row>
    <row r="2484" spans="1:20" x14ac:dyDescent="0.3">
      <c r="A2484" t="s">
        <v>171</v>
      </c>
      <c r="B2484">
        <v>2022</v>
      </c>
      <c r="C2484">
        <v>1061512</v>
      </c>
      <c r="D2484" s="1">
        <v>3.0000000000000001E-3</v>
      </c>
      <c r="E2484" s="1">
        <v>0.91515266895294201</v>
      </c>
      <c r="F2484" s="1">
        <v>-5.3999999999999999E-2</v>
      </c>
      <c r="G2484" s="1">
        <f t="shared" si="76"/>
        <v>-6.2000000000000006E-2</v>
      </c>
      <c r="H2484" s="1" t="str">
        <f t="shared" si="77"/>
        <v/>
      </c>
      <c r="I2484" s="1">
        <v>-3.2000000000000001E-2</v>
      </c>
      <c r="J2484" s="1">
        <f>+D2484-F2484+I2484*O2484</f>
        <v>-1.0519999999999995E-2</v>
      </c>
      <c r="K2484" s="1">
        <v>4.0223952382802998E-2</v>
      </c>
      <c r="L2484" s="1">
        <f>+K2484-J2484</f>
        <v>5.0743952382802993E-2</v>
      </c>
      <c r="M2484" s="1">
        <v>-3.9776047617196997E-2</v>
      </c>
      <c r="N2484" s="1">
        <f>+M2484-J2484</f>
        <v>-2.9256047617197002E-2</v>
      </c>
      <c r="O2484">
        <v>2.11</v>
      </c>
      <c r="P2484" t="s">
        <v>16</v>
      </c>
      <c r="Q2484">
        <v>-0.01</v>
      </c>
      <c r="R2484">
        <v>-2.89434686154127E-2</v>
      </c>
      <c r="S2484">
        <v>-9.3845408409833908E-3</v>
      </c>
      <c r="T2484">
        <v>-0.04</v>
      </c>
    </row>
    <row r="2485" spans="1:20" x14ac:dyDescent="0.3">
      <c r="A2485" t="s">
        <v>172</v>
      </c>
      <c r="B2485">
        <v>2006</v>
      </c>
      <c r="C2485">
        <v>197070.0938</v>
      </c>
      <c r="D2485" s="1">
        <v>8.9999999999999993E-3</v>
      </c>
      <c r="E2485" s="1">
        <v>0.94855546951293901</v>
      </c>
      <c r="F2485" s="1">
        <v>8.6999999999999994E-2</v>
      </c>
      <c r="G2485" s="1">
        <f t="shared" si="76"/>
        <v>8.6999999999999994E-2</v>
      </c>
      <c r="H2485" s="1" t="str">
        <f t="shared" si="77"/>
        <v/>
      </c>
      <c r="I2485" s="1">
        <v>1.6E-2</v>
      </c>
      <c r="J2485" s="1">
        <f>+D2485-F2485+I2485*O2485</f>
        <v>-3.8640000000000001E-2</v>
      </c>
      <c r="K2485" s="1">
        <v>4.3380089104175602E-2</v>
      </c>
      <c r="L2485" s="1">
        <f>+K2485-J2485</f>
        <v>8.2020089104175603E-2</v>
      </c>
      <c r="M2485" s="1">
        <v>1.13800891041756E-2</v>
      </c>
      <c r="N2485" s="1">
        <f>+M2485-J2485</f>
        <v>5.0020089104175602E-2</v>
      </c>
      <c r="O2485">
        <v>2.46</v>
      </c>
      <c r="P2485" t="s">
        <v>15</v>
      </c>
      <c r="Q2485">
        <v>0.01</v>
      </c>
      <c r="R2485">
        <v>9.6108234524726992E-3</v>
      </c>
      <c r="S2485">
        <v>1.05325793847442E-2</v>
      </c>
      <c r="T2485">
        <v>0.09</v>
      </c>
    </row>
    <row r="2486" spans="1:20" x14ac:dyDescent="0.3">
      <c r="A2486" t="s">
        <v>172</v>
      </c>
      <c r="B2486">
        <v>2007</v>
      </c>
      <c r="C2486">
        <v>200779.20310000001</v>
      </c>
      <c r="D2486" s="1">
        <v>7.0000000000000007E-2</v>
      </c>
      <c r="E2486" s="1">
        <v>0.91910290718078602</v>
      </c>
      <c r="F2486" s="1">
        <v>-0.03</v>
      </c>
      <c r="G2486" s="1">
        <f t="shared" si="76"/>
        <v>5.6999999999999995E-2</v>
      </c>
      <c r="H2486" s="1" t="str">
        <f t="shared" si="77"/>
        <v/>
      </c>
      <c r="I2486" s="1">
        <v>-2.9000000000000001E-2</v>
      </c>
      <c r="J2486" s="1">
        <f>+D2486-F2486+I2486*O2486</f>
        <v>3.0689999999999995E-2</v>
      </c>
      <c r="K2486" s="1">
        <v>3.8610823452472701E-2</v>
      </c>
      <c r="L2486" s="1">
        <f>+K2486-J2486</f>
        <v>7.9208234524727056E-3</v>
      </c>
      <c r="M2486" s="1">
        <v>9.6108234524726992E-3</v>
      </c>
      <c r="N2486" s="1">
        <f>+M2486-J2486</f>
        <v>-2.1079176547527296E-2</v>
      </c>
      <c r="O2486">
        <v>2.39</v>
      </c>
      <c r="P2486" t="s">
        <v>16</v>
      </c>
      <c r="Q2486">
        <v>0.01</v>
      </c>
      <c r="R2486">
        <v>-2.4273196525871801E-2</v>
      </c>
      <c r="S2486">
        <v>5.2376077510415996E-3</v>
      </c>
      <c r="T2486">
        <v>-0.03</v>
      </c>
    </row>
    <row r="2487" spans="1:20" x14ac:dyDescent="0.3">
      <c r="A2487" t="s">
        <v>172</v>
      </c>
      <c r="B2487">
        <v>2008</v>
      </c>
      <c r="C2487">
        <v>204233.70310000001</v>
      </c>
      <c r="D2487" s="1">
        <v>8.2000000000000003E-2</v>
      </c>
      <c r="E2487" s="1">
        <v>0.90506064891815197</v>
      </c>
      <c r="F2487" s="1">
        <v>-5.0000000000000001E-3</v>
      </c>
      <c r="G2487" s="1">
        <f t="shared" si="76"/>
        <v>5.1999999999999998E-2</v>
      </c>
      <c r="H2487" s="1" t="str">
        <f t="shared" si="77"/>
        <v/>
      </c>
      <c r="I2487" s="1">
        <v>-1.4E-2</v>
      </c>
      <c r="J2487" s="1">
        <f>+D2487-F2487+I2487*O2487</f>
        <v>5.3680000000000005E-2</v>
      </c>
      <c r="K2487" s="1">
        <v>1.3726803474128199E-2</v>
      </c>
      <c r="L2487" s="1">
        <f>+K2487-J2487</f>
        <v>-3.9953196525871808E-2</v>
      </c>
      <c r="M2487" s="1">
        <v>-2.4273196525871801E-2</v>
      </c>
      <c r="N2487" s="1">
        <f>+M2487-J2487</f>
        <v>-7.7953196525871807E-2</v>
      </c>
      <c r="O2487">
        <v>2.38</v>
      </c>
      <c r="P2487" t="s">
        <v>16</v>
      </c>
      <c r="Q2487">
        <v>0.01</v>
      </c>
      <c r="R2487">
        <v>-7.6627141833304898E-3</v>
      </c>
      <c r="S2487">
        <v>1.8903987482190101E-2</v>
      </c>
      <c r="T2487">
        <v>-0.01</v>
      </c>
    </row>
    <row r="2488" spans="1:20" x14ac:dyDescent="0.3">
      <c r="A2488" t="s">
        <v>172</v>
      </c>
      <c r="B2488">
        <v>2009</v>
      </c>
      <c r="C2488">
        <v>207938.0938</v>
      </c>
      <c r="D2488" s="1">
        <v>5.8000000000000003E-2</v>
      </c>
      <c r="E2488" s="1">
        <v>0.90200632810592696</v>
      </c>
      <c r="F2488" s="1">
        <v>-2.4E-2</v>
      </c>
      <c r="G2488" s="1">
        <f t="shared" si="76"/>
        <v>2.7999999999999997E-2</v>
      </c>
      <c r="H2488" s="1" t="str">
        <f t="shared" si="77"/>
        <v/>
      </c>
      <c r="I2488" s="1">
        <v>-3.0000000000000001E-3</v>
      </c>
      <c r="J2488" s="1">
        <f>+D2488-F2488+I2488*O2488</f>
        <v>7.5040000000000009E-2</v>
      </c>
      <c r="K2488" s="1">
        <v>-1.1662714183330499E-2</v>
      </c>
      <c r="L2488" s="1">
        <f>+K2488-J2488</f>
        <v>-8.6702714183330504E-2</v>
      </c>
      <c r="M2488" s="1">
        <v>-7.6627141833304898E-3</v>
      </c>
      <c r="N2488" s="1">
        <f>+M2488-J2488</f>
        <v>-8.27027141833305E-2</v>
      </c>
      <c r="O2488">
        <v>2.3199999999999998</v>
      </c>
      <c r="P2488" t="s">
        <v>16</v>
      </c>
      <c r="Q2488">
        <v>0.02</v>
      </c>
      <c r="R2488">
        <v>-1.0266356807202099E-2</v>
      </c>
      <c r="S2488">
        <v>-8.06248048320416E-4</v>
      </c>
      <c r="T2488">
        <v>-0.04</v>
      </c>
    </row>
    <row r="2489" spans="1:20" x14ac:dyDescent="0.3">
      <c r="A2489" t="s">
        <v>172</v>
      </c>
      <c r="B2489">
        <v>2010</v>
      </c>
      <c r="C2489">
        <v>210923.0938</v>
      </c>
      <c r="D2489" s="1">
        <v>1.2E-2</v>
      </c>
      <c r="E2489" s="1">
        <v>0.90791314840316795</v>
      </c>
      <c r="F2489" s="1">
        <v>-1.2E-2</v>
      </c>
      <c r="G2489" s="1">
        <f t="shared" si="76"/>
        <v>1.5999999999999997E-2</v>
      </c>
      <c r="H2489" s="1" t="str">
        <f t="shared" si="77"/>
        <v/>
      </c>
      <c r="I2489" s="1">
        <v>6.0000000000000001E-3</v>
      </c>
      <c r="J2489" s="1">
        <f>+D2489-F2489+I2489*O2489</f>
        <v>3.7740000000000003E-2</v>
      </c>
      <c r="K2489" s="1">
        <v>5.7336431927979001E-3</v>
      </c>
      <c r="L2489" s="1">
        <f>+K2489-J2489</f>
        <v>-3.2006356807202103E-2</v>
      </c>
      <c r="M2489" s="1">
        <v>-1.0266356807202099E-2</v>
      </c>
      <c r="N2489" s="1">
        <f>+M2489-J2489</f>
        <v>-4.8006356807202104E-2</v>
      </c>
      <c r="O2489">
        <v>2.29</v>
      </c>
      <c r="P2489" t="s">
        <v>17</v>
      </c>
      <c r="Q2489">
        <v>0</v>
      </c>
      <c r="R2489">
        <v>-1.49001277685165E-2</v>
      </c>
      <c r="S2489">
        <v>6.3836467452347999E-3</v>
      </c>
      <c r="T2489">
        <v>-0.02</v>
      </c>
    </row>
    <row r="2490" spans="1:20" x14ac:dyDescent="0.3">
      <c r="A2490" t="s">
        <v>172</v>
      </c>
      <c r="B2490">
        <v>2011</v>
      </c>
      <c r="C2490">
        <v>213014.0938</v>
      </c>
      <c r="D2490" s="1">
        <v>1.2E-2</v>
      </c>
      <c r="E2490" s="1">
        <v>0.90966552495956399</v>
      </c>
      <c r="F2490" s="1">
        <v>3.1E-2</v>
      </c>
      <c r="G2490" s="1">
        <f t="shared" si="76"/>
        <v>4.7E-2</v>
      </c>
      <c r="H2490" s="1" t="str">
        <f t="shared" si="77"/>
        <v/>
      </c>
      <c r="I2490" s="1">
        <v>2E-3</v>
      </c>
      <c r="J2490" s="1">
        <f>+D2490-F2490+I2490*O2490</f>
        <v>-1.4279999999999999E-2</v>
      </c>
      <c r="K2490" s="1">
        <v>1.7099872231483501E-2</v>
      </c>
      <c r="L2490" s="1">
        <f>+K2490-J2490</f>
        <v>3.1379872231483502E-2</v>
      </c>
      <c r="M2490" s="1">
        <v>-1.49001277685165E-2</v>
      </c>
      <c r="N2490" s="1">
        <f>+M2490-J2490</f>
        <v>-6.2012776851650027E-4</v>
      </c>
      <c r="O2490">
        <v>2.36</v>
      </c>
      <c r="P2490" t="s">
        <v>15</v>
      </c>
      <c r="Q2490">
        <v>0.01</v>
      </c>
      <c r="R2490">
        <v>1.2824656069279901E-4</v>
      </c>
      <c r="S2490">
        <v>5.5664526298642002E-3</v>
      </c>
      <c r="T2490">
        <v>0.03</v>
      </c>
    </row>
    <row r="2491" spans="1:20" x14ac:dyDescent="0.3">
      <c r="A2491" t="s">
        <v>172</v>
      </c>
      <c r="B2491">
        <v>2012</v>
      </c>
      <c r="C2491">
        <v>214827.60939999999</v>
      </c>
      <c r="D2491" s="1">
        <v>4.0000000000000001E-3</v>
      </c>
      <c r="E2491" s="1">
        <v>0.907675981521606</v>
      </c>
      <c r="F2491" s="1">
        <v>2.7E-2</v>
      </c>
      <c r="G2491" s="1">
        <f t="shared" si="76"/>
        <v>7.3999999999999996E-2</v>
      </c>
      <c r="H2491" s="1" t="str">
        <f t="shared" si="77"/>
        <v/>
      </c>
      <c r="I2491" s="1">
        <v>-2E-3</v>
      </c>
      <c r="J2491" s="1">
        <f>+D2491-F2491+I2491*O2491</f>
        <v>-2.784E-2</v>
      </c>
      <c r="K2491" s="1">
        <v>2.1128246560692801E-2</v>
      </c>
      <c r="L2491" s="1">
        <f>+K2491-J2491</f>
        <v>4.8968246560692805E-2</v>
      </c>
      <c r="M2491" s="1">
        <v>1.2824656069279901E-4</v>
      </c>
      <c r="N2491" s="1">
        <f>+M2491-J2491</f>
        <v>2.79682465606928E-2</v>
      </c>
      <c r="O2491">
        <v>2.42</v>
      </c>
      <c r="P2491" t="s">
        <v>17</v>
      </c>
      <c r="Q2491">
        <v>0.01</v>
      </c>
      <c r="R2491">
        <v>-6.58932734280824E-3</v>
      </c>
      <c r="S2491">
        <v>-1.2716098688542799E-2</v>
      </c>
      <c r="T2491">
        <v>0.02</v>
      </c>
    </row>
    <row r="2492" spans="1:20" x14ac:dyDescent="0.3">
      <c r="A2492" t="s">
        <v>172</v>
      </c>
      <c r="B2492">
        <v>2013</v>
      </c>
      <c r="C2492">
        <v>216676.5</v>
      </c>
      <c r="D2492" s="1">
        <v>2.5000000000000001E-2</v>
      </c>
      <c r="E2492" s="1">
        <v>0.903830707073212</v>
      </c>
      <c r="F2492" s="1">
        <v>-2.1999999999999999E-2</v>
      </c>
      <c r="G2492" s="1">
        <f t="shared" si="76"/>
        <v>5.1999999999999998E-2</v>
      </c>
      <c r="H2492" s="1" t="str">
        <f t="shared" si="77"/>
        <v/>
      </c>
      <c r="I2492" s="1">
        <v>-4.0000000000000001E-3</v>
      </c>
      <c r="J2492" s="1">
        <f>+D2492-F2492+I2492*O2492</f>
        <v>3.7519999999999998E-2</v>
      </c>
      <c r="K2492" s="1">
        <v>8.4106726571917499E-3</v>
      </c>
      <c r="L2492" s="1">
        <f>+K2492-J2492</f>
        <v>-2.9109327342808248E-2</v>
      </c>
      <c r="M2492" s="1">
        <v>-6.58932734280824E-3</v>
      </c>
      <c r="N2492" s="1">
        <f>+M2492-J2492</f>
        <v>-4.4109327342808237E-2</v>
      </c>
      <c r="O2492">
        <v>2.37</v>
      </c>
      <c r="P2492" t="s">
        <v>16</v>
      </c>
      <c r="Q2492">
        <v>-0.01</v>
      </c>
      <c r="R2492">
        <v>-1.7928631827235E-3</v>
      </c>
      <c r="S2492">
        <v>-3.8008866831660002E-3</v>
      </c>
      <c r="T2492">
        <v>-0.03</v>
      </c>
    </row>
    <row r="2493" spans="1:20" x14ac:dyDescent="0.3">
      <c r="A2493" t="s">
        <v>172</v>
      </c>
      <c r="B2493">
        <v>2014</v>
      </c>
      <c r="C2493">
        <v>219605.39060000001</v>
      </c>
      <c r="D2493" s="1">
        <v>2E-3</v>
      </c>
      <c r="E2493" s="1">
        <v>0.920010685920715</v>
      </c>
      <c r="F2493" s="1">
        <v>8.9999999999999993E-3</v>
      </c>
      <c r="G2493" s="1">
        <f t="shared" si="76"/>
        <v>6.0999999999999999E-2</v>
      </c>
      <c r="H2493" s="1" t="str">
        <f t="shared" si="77"/>
        <v/>
      </c>
      <c r="I2493" s="1">
        <v>1.6E-2</v>
      </c>
      <c r="J2493" s="1">
        <f>+D2493-F2493+I2493*O2493</f>
        <v>3.1240000000000004E-2</v>
      </c>
      <c r="K2493" s="1">
        <v>1.42071368172765E-2</v>
      </c>
      <c r="L2493" s="1">
        <f>+K2493-J2493</f>
        <v>-1.7032863182723505E-2</v>
      </c>
      <c r="M2493" s="1">
        <v>-1.7928631827235E-3</v>
      </c>
      <c r="N2493" s="1">
        <f>+M2493-J2493</f>
        <v>-3.3032863182723506E-2</v>
      </c>
      <c r="O2493">
        <v>2.39</v>
      </c>
      <c r="P2493" t="s">
        <v>15</v>
      </c>
      <c r="Q2493">
        <v>0</v>
      </c>
      <c r="R2493">
        <v>2.7379039838910098E-2</v>
      </c>
      <c r="S2493">
        <v>-2.8844121843575898E-3</v>
      </c>
      <c r="T2493">
        <v>0</v>
      </c>
    </row>
    <row r="2494" spans="1:20" x14ac:dyDescent="0.3">
      <c r="A2494" t="s">
        <v>172</v>
      </c>
      <c r="B2494">
        <v>2015</v>
      </c>
      <c r="C2494">
        <v>222179.9063</v>
      </c>
      <c r="D2494" s="1">
        <v>1.4999999999999999E-2</v>
      </c>
      <c r="E2494" s="1">
        <v>0.914775371551514</v>
      </c>
      <c r="F2494" s="1">
        <v>-3.2000000000000001E-2</v>
      </c>
      <c r="G2494" s="1">
        <f t="shared" si="76"/>
        <v>2.8999999999999998E-2</v>
      </c>
      <c r="H2494" s="1" t="str">
        <f t="shared" si="77"/>
        <v/>
      </c>
      <c r="I2494" s="1">
        <v>-5.0000000000000001E-3</v>
      </c>
      <c r="J2494" s="1">
        <f>+D2494-F2494+I2494*O2494</f>
        <v>3.5449999999999995E-2</v>
      </c>
      <c r="K2494" s="1">
        <v>2.8379039838910099E-2</v>
      </c>
      <c r="L2494" s="1">
        <f>+K2494-J2494</f>
        <v>-7.070960161089896E-3</v>
      </c>
      <c r="M2494" s="1">
        <v>2.7379039838910098E-2</v>
      </c>
      <c r="N2494" s="1">
        <f>+M2494-J2494</f>
        <v>-8.0709601610898969E-3</v>
      </c>
      <c r="O2494">
        <v>2.31</v>
      </c>
      <c r="P2494" t="s">
        <v>16</v>
      </c>
      <c r="Q2494">
        <v>0</v>
      </c>
      <c r="R2494">
        <v>-1.40673359502106E-2</v>
      </c>
      <c r="S2494">
        <v>-2.7220892952755E-2</v>
      </c>
      <c r="T2494">
        <v>-0.02</v>
      </c>
    </row>
    <row r="2495" spans="1:20" x14ac:dyDescent="0.3">
      <c r="A2495" t="s">
        <v>172</v>
      </c>
      <c r="B2495">
        <v>2016</v>
      </c>
      <c r="C2495">
        <v>224563.70310000001</v>
      </c>
      <c r="D2495" s="1">
        <v>2.5000000000000001E-2</v>
      </c>
      <c r="E2495" s="1">
        <v>0.90346783399581898</v>
      </c>
      <c r="F2495" s="1">
        <v>0.06</v>
      </c>
      <c r="G2495" s="1">
        <f t="shared" si="76"/>
        <v>8.8999999999999996E-2</v>
      </c>
      <c r="H2495" s="1" t="str">
        <f t="shared" si="77"/>
        <v/>
      </c>
      <c r="I2495" s="1">
        <v>-1.0999999999999999E-2</v>
      </c>
      <c r="J2495" s="1">
        <f>+D2495-F2495+I2495*O2495</f>
        <v>-6.1949999999999998E-2</v>
      </c>
      <c r="K2495" s="1">
        <v>-1.0673359502106901E-3</v>
      </c>
      <c r="L2495" s="1">
        <f>+K2495-J2495</f>
        <v>6.0882664049789308E-2</v>
      </c>
      <c r="M2495" s="1">
        <v>-1.40673359502106E-2</v>
      </c>
      <c r="N2495" s="1">
        <f>+M2495-J2495</f>
        <v>4.78826640497894E-2</v>
      </c>
      <c r="O2495">
        <v>2.4500000000000002</v>
      </c>
      <c r="P2495" t="s">
        <v>17</v>
      </c>
      <c r="Q2495">
        <v>-0.03</v>
      </c>
      <c r="R2495">
        <v>8.27384898066519E-3</v>
      </c>
      <c r="S2495">
        <v>5.4842755198479002E-3</v>
      </c>
      <c r="T2495">
        <v>0.06</v>
      </c>
    </row>
    <row r="2496" spans="1:20" x14ac:dyDescent="0.3">
      <c r="A2496" t="s">
        <v>172</v>
      </c>
      <c r="B2496">
        <v>2017</v>
      </c>
      <c r="C2496">
        <v>226542.20310000001</v>
      </c>
      <c r="D2496" s="1">
        <v>1.2999999999999999E-2</v>
      </c>
      <c r="E2496" s="1">
        <v>0.90128433704376198</v>
      </c>
      <c r="F2496" s="1">
        <v>8.9999999999999993E-3</v>
      </c>
      <c r="G2496" s="1">
        <f t="shared" si="76"/>
        <v>9.799999999999999E-2</v>
      </c>
      <c r="H2496" s="1" t="str">
        <f t="shared" si="77"/>
        <v/>
      </c>
      <c r="I2496" s="1">
        <v>-2E-3</v>
      </c>
      <c r="J2496" s="1">
        <f>+D2496-F2496+I2496*O2496</f>
        <v>-9.5999999999999992E-4</v>
      </c>
      <c r="K2496" s="1">
        <v>2.92738489806652E-2</v>
      </c>
      <c r="L2496" s="1">
        <f>+K2496-J2496</f>
        <v>3.0233848980665199E-2</v>
      </c>
      <c r="M2496" s="1">
        <v>8.27384898066519E-3</v>
      </c>
      <c r="N2496" s="1">
        <f>+M2496-J2496</f>
        <v>9.2338489806651908E-3</v>
      </c>
      <c r="O2496">
        <v>2.48</v>
      </c>
      <c r="P2496" t="s">
        <v>17</v>
      </c>
      <c r="Q2496">
        <v>0.01</v>
      </c>
      <c r="R2496">
        <v>2.5038995057344401E-2</v>
      </c>
      <c r="S2496">
        <v>1.5903972089290602E-2</v>
      </c>
      <c r="T2496">
        <v>0.01</v>
      </c>
    </row>
    <row r="2497" spans="1:20" x14ac:dyDescent="0.3">
      <c r="A2497" t="s">
        <v>172</v>
      </c>
      <c r="B2497">
        <v>2018</v>
      </c>
      <c r="C2497">
        <v>229153.3125</v>
      </c>
      <c r="D2497" s="1">
        <v>1.4999999999999999E-2</v>
      </c>
      <c r="E2497" s="1">
        <v>0.91638898849487305</v>
      </c>
      <c r="F2497" s="1">
        <v>-4.8000000000000001E-2</v>
      </c>
      <c r="G2497" s="1">
        <f t="shared" si="76"/>
        <v>4.9999999999999989E-2</v>
      </c>
      <c r="H2497" s="1" t="str">
        <f t="shared" si="77"/>
        <v/>
      </c>
      <c r="I2497" s="1">
        <v>1.4999999999999999E-2</v>
      </c>
      <c r="J2497" s="1">
        <f>+D2497-F2497+I2497*O2497</f>
        <v>9.8399999999999987E-2</v>
      </c>
      <c r="K2497" s="1">
        <v>4.9038995057344402E-2</v>
      </c>
      <c r="L2497" s="1">
        <f>+K2497-J2497</f>
        <v>-4.9361004942655586E-2</v>
      </c>
      <c r="M2497" s="1">
        <v>2.5038995057344401E-2</v>
      </c>
      <c r="N2497" s="1">
        <f>+M2497-J2497</f>
        <v>-7.3361004942655586E-2</v>
      </c>
      <c r="O2497">
        <v>2.36</v>
      </c>
      <c r="P2497" t="s">
        <v>17</v>
      </c>
      <c r="Q2497">
        <v>0.02</v>
      </c>
      <c r="R2497">
        <v>9.5569502264260999E-3</v>
      </c>
      <c r="S2497">
        <v>-8.2442443817853997E-3</v>
      </c>
      <c r="T2497">
        <v>-0.04</v>
      </c>
    </row>
    <row r="2498" spans="1:20" x14ac:dyDescent="0.3">
      <c r="A2498" t="s">
        <v>172</v>
      </c>
      <c r="B2498">
        <v>2019</v>
      </c>
      <c r="C2498">
        <v>232045.20310000001</v>
      </c>
      <c r="D2498" s="1">
        <v>2.5000000000000001E-2</v>
      </c>
      <c r="E2498" s="1">
        <v>0.909742832183838</v>
      </c>
      <c r="F2498" s="1">
        <v>-3.5999999999999997E-2</v>
      </c>
      <c r="G2498" s="1">
        <f t="shared" si="76"/>
        <v>1.3999999999999992E-2</v>
      </c>
      <c r="H2498" s="1" t="str">
        <f t="shared" si="77"/>
        <v/>
      </c>
      <c r="I2498" s="1">
        <v>-7.0000000000000001E-3</v>
      </c>
      <c r="J2498" s="1">
        <f>+D2498-F2498+I2498*O2498</f>
        <v>4.5109999999999997E-2</v>
      </c>
      <c r="K2498" s="1">
        <v>2.75569502264261E-2</v>
      </c>
      <c r="L2498" s="1">
        <f>+K2498-J2498</f>
        <v>-1.7553049773573897E-2</v>
      </c>
      <c r="M2498" s="1">
        <v>9.5569502264260999E-3</v>
      </c>
      <c r="N2498" s="1">
        <f>+M2498-J2498</f>
        <v>-3.5553049773573896E-2</v>
      </c>
      <c r="O2498">
        <v>2.27</v>
      </c>
      <c r="P2498" t="s">
        <v>16</v>
      </c>
      <c r="Q2498">
        <v>-0.01</v>
      </c>
      <c r="R2498">
        <v>2.92133708596229E-2</v>
      </c>
      <c r="S2498">
        <v>1.03641804307699E-2</v>
      </c>
      <c r="T2498">
        <v>-0.03</v>
      </c>
    </row>
    <row r="2499" spans="1:20" x14ac:dyDescent="0.3">
      <c r="A2499" t="s">
        <v>172</v>
      </c>
      <c r="B2499">
        <v>2020</v>
      </c>
      <c r="C2499">
        <v>234944.10939999999</v>
      </c>
      <c r="D2499" s="1">
        <v>1.4999999999999999E-2</v>
      </c>
      <c r="E2499" s="1">
        <v>0.93168306350707997</v>
      </c>
      <c r="F2499" s="1">
        <v>0.192</v>
      </c>
      <c r="G2499" s="1">
        <f t="shared" si="76"/>
        <v>0.20599999999999999</v>
      </c>
      <c r="H2499" s="1">
        <f t="shared" si="77"/>
        <v>7.3503930121660052E-2</v>
      </c>
      <c r="I2499" s="1">
        <v>2.1999999999999999E-2</v>
      </c>
      <c r="J2499" s="1">
        <f>+D2499-F2499+I2499*O2499</f>
        <v>-0.11738</v>
      </c>
      <c r="K2499" s="1">
        <v>4.1213370859622997E-2</v>
      </c>
      <c r="L2499" s="1">
        <f>+K2499-J2499</f>
        <v>0.158593370859623</v>
      </c>
      <c r="M2499" s="1">
        <v>2.92133708596229E-2</v>
      </c>
      <c r="N2499" s="1">
        <f>+M2499-J2499</f>
        <v>0.1465933708596229</v>
      </c>
      <c r="O2499">
        <v>2.71</v>
      </c>
      <c r="P2499" t="s">
        <v>15</v>
      </c>
      <c r="Q2499">
        <v>0.01</v>
      </c>
      <c r="R2499">
        <v>6.0250869274139002E-2</v>
      </c>
      <c r="S2499">
        <v>1.6661256551741999E-2</v>
      </c>
      <c r="T2499">
        <v>0.23</v>
      </c>
    </row>
    <row r="2500" spans="1:20" x14ac:dyDescent="0.3">
      <c r="A2500" t="s">
        <v>172</v>
      </c>
      <c r="B2500">
        <v>2021</v>
      </c>
      <c r="C2500">
        <v>238413.79689999999</v>
      </c>
      <c r="D2500" s="1">
        <v>5.0000000000000001E-3</v>
      </c>
      <c r="E2500" s="1">
        <v>0.95298886299133301</v>
      </c>
      <c r="F2500" s="1">
        <v>-0.153</v>
      </c>
      <c r="G2500" s="1">
        <f t="shared" si="76"/>
        <v>5.2999999999999992E-2</v>
      </c>
      <c r="H2500" s="1" t="str">
        <f t="shared" si="77"/>
        <v/>
      </c>
      <c r="I2500" s="1">
        <v>2.1000000000000001E-2</v>
      </c>
      <c r="J2500" s="1">
        <f>+D2500-F2500+I2500*O2500</f>
        <v>0.20609</v>
      </c>
      <c r="K2500" s="1">
        <v>0.107250869274139</v>
      </c>
      <c r="L2500" s="1">
        <f>+K2500-J2500</f>
        <v>-9.8839130725860994E-2</v>
      </c>
      <c r="M2500" s="1">
        <v>6.0250869274139002E-2</v>
      </c>
      <c r="N2500" s="1">
        <f>+M2500-J2500</f>
        <v>-0.14583913072586099</v>
      </c>
      <c r="O2500">
        <v>2.29</v>
      </c>
      <c r="P2500" t="s">
        <v>17</v>
      </c>
      <c r="Q2500">
        <v>0.02</v>
      </c>
      <c r="R2500">
        <v>-4.0243009030818899E-2</v>
      </c>
      <c r="S2500">
        <v>-8.1395022571085895E-3</v>
      </c>
      <c r="T2500">
        <v>-0.18</v>
      </c>
    </row>
    <row r="2501" spans="1:20" x14ac:dyDescent="0.3">
      <c r="A2501" t="s">
        <v>172</v>
      </c>
      <c r="B2501">
        <v>2022</v>
      </c>
      <c r="C2501">
        <v>243131.5</v>
      </c>
      <c r="D2501" s="1">
        <v>2.3E-2</v>
      </c>
      <c r="E2501" s="1">
        <v>0.92418074607849099</v>
      </c>
      <c r="F2501" s="1">
        <v>8.9999999999999993E-3</v>
      </c>
      <c r="G2501" s="1">
        <f t="shared" si="76"/>
        <v>6.1999999999999993E-2</v>
      </c>
      <c r="H2501" s="1" t="str">
        <f t="shared" si="77"/>
        <v/>
      </c>
      <c r="I2501" s="1">
        <v>-2.9000000000000001E-2</v>
      </c>
      <c r="J2501" s="1">
        <f>+D2501-F2501+I2501*O2501</f>
        <v>-5.3279999999999994E-2</v>
      </c>
      <c r="K2501" s="1">
        <v>3.9756990969181102E-2</v>
      </c>
      <c r="L2501" s="1">
        <f>+K2501-J2501</f>
        <v>9.3036990969181096E-2</v>
      </c>
      <c r="M2501" s="1">
        <v>-4.0243009030818899E-2</v>
      </c>
      <c r="N2501" s="1">
        <f>+M2501-J2501</f>
        <v>1.3036990969181095E-2</v>
      </c>
      <c r="O2501">
        <v>2.3199999999999998</v>
      </c>
      <c r="P2501" t="s">
        <v>17</v>
      </c>
      <c r="Q2501">
        <v>-0.01</v>
      </c>
      <c r="R2501">
        <v>-3.5177498854696697E-2</v>
      </c>
      <c r="S2501">
        <v>-1.56185710802674E-2</v>
      </c>
      <c r="T2501">
        <v>0.03</v>
      </c>
    </row>
    <row r="2502" spans="1:20" x14ac:dyDescent="0.3">
      <c r="A2502" t="s">
        <v>173</v>
      </c>
      <c r="B2502">
        <v>2006</v>
      </c>
      <c r="C2502">
        <v>408339.28129999997</v>
      </c>
      <c r="D2502" s="1">
        <v>3.5000000000000003E-2</v>
      </c>
      <c r="E2502" s="1">
        <v>0.93856155872345004</v>
      </c>
      <c r="F2502" s="1">
        <v>7.4999999999999997E-2</v>
      </c>
      <c r="G2502" s="1">
        <f t="shared" si="76"/>
        <v>7.4999999999999997E-2</v>
      </c>
      <c r="H2502" s="1" t="str">
        <f t="shared" si="77"/>
        <v/>
      </c>
      <c r="I2502" s="1">
        <v>-2E-3</v>
      </c>
      <c r="J2502" s="1">
        <f>+D2502-F2502+I2502*O2502</f>
        <v>-4.5499999999999992E-2</v>
      </c>
      <c r="K2502" s="1">
        <v>3.2373189926147503E-2</v>
      </c>
      <c r="L2502" s="1">
        <f>+K2502-J2502</f>
        <v>7.7873189926147501E-2</v>
      </c>
      <c r="M2502" s="1">
        <v>3.7318992614750098E-4</v>
      </c>
      <c r="N2502" s="1">
        <f>+M2502-J2502</f>
        <v>4.5873189926147494E-2</v>
      </c>
      <c r="O2502">
        <v>2.75</v>
      </c>
      <c r="P2502" t="s">
        <v>17</v>
      </c>
      <c r="Q2502">
        <v>-0.01</v>
      </c>
      <c r="R2502">
        <v>4.3259850144389901E-4</v>
      </c>
      <c r="S2502">
        <v>1.3543544337154001E-3</v>
      </c>
      <c r="T2502">
        <v>7.0000000000000007E-2</v>
      </c>
    </row>
    <row r="2503" spans="1:20" x14ac:dyDescent="0.3">
      <c r="A2503" t="s">
        <v>173</v>
      </c>
      <c r="B2503">
        <v>2007</v>
      </c>
      <c r="C2503">
        <v>408422.5</v>
      </c>
      <c r="D2503" s="1">
        <v>0</v>
      </c>
      <c r="E2503" s="1">
        <v>0.94468969106674205</v>
      </c>
      <c r="F2503" s="1">
        <v>-1.9E-2</v>
      </c>
      <c r="G2503" s="1">
        <f t="shared" ref="G2503:G2566" si="78">SUMIFS(F:F,A:A,A2503,B:B,"&lt;="&amp;B2503)</f>
        <v>5.5999999999999994E-2</v>
      </c>
      <c r="H2503" s="1" t="str">
        <f t="shared" ref="H2503:H2566" si="79">IFERROR(IF(ABS(G2503)&gt;0.12,AVERAGEIFS(K:K,A:A,A2503,B:B,"&gt;"&amp;B2503,B:B,"&lt;"&amp;B2503+3),""),"")</f>
        <v/>
      </c>
      <c r="I2503" s="1">
        <v>6.0000000000000001E-3</v>
      </c>
      <c r="J2503" s="1">
        <f>+D2503-F2503+I2503*O2503</f>
        <v>3.5200000000000002E-2</v>
      </c>
      <c r="K2503" s="1">
        <v>2.9432598501443901E-2</v>
      </c>
      <c r="L2503" s="1">
        <f>+K2503-J2503</f>
        <v>-5.767401498556101E-3</v>
      </c>
      <c r="M2503" s="1">
        <v>4.3259850144389901E-4</v>
      </c>
      <c r="N2503" s="1">
        <f>+M2503-J2503</f>
        <v>-3.4767401498556103E-2</v>
      </c>
      <c r="O2503">
        <v>2.7</v>
      </c>
      <c r="P2503" t="s">
        <v>17</v>
      </c>
      <c r="Q2503">
        <v>0</v>
      </c>
      <c r="R2503">
        <v>-2.59799792543054E-2</v>
      </c>
      <c r="S2503">
        <v>3.5308250226080001E-3</v>
      </c>
      <c r="T2503">
        <v>-0.02</v>
      </c>
    </row>
    <row r="2504" spans="1:20" x14ac:dyDescent="0.3">
      <c r="A2504" t="s">
        <v>173</v>
      </c>
      <c r="B2504">
        <v>2008</v>
      </c>
      <c r="C2504">
        <v>409318.90629999997</v>
      </c>
      <c r="D2504" s="1">
        <v>0</v>
      </c>
      <c r="E2504" s="1">
        <v>0.94111508131027199</v>
      </c>
      <c r="F2504" s="1">
        <v>-0.01</v>
      </c>
      <c r="G2504" s="1">
        <f t="shared" si="78"/>
        <v>4.5999999999999992E-2</v>
      </c>
      <c r="H2504" s="1" t="str">
        <f t="shared" si="79"/>
        <v/>
      </c>
      <c r="I2504" s="1">
        <v>-4.0000000000000001E-3</v>
      </c>
      <c r="J2504" s="1">
        <f>+D2504-F2504+I2504*O2504</f>
        <v>-7.2000000000000015E-4</v>
      </c>
      <c r="K2504" s="1">
        <v>1.2020020745694599E-2</v>
      </c>
      <c r="L2504" s="1">
        <f>+K2504-J2504</f>
        <v>1.2740020745694599E-2</v>
      </c>
      <c r="M2504" s="1">
        <v>-2.59799792543054E-2</v>
      </c>
      <c r="N2504" s="1">
        <f>+M2504-J2504</f>
        <v>-2.5259979254305398E-2</v>
      </c>
      <c r="O2504">
        <v>2.68</v>
      </c>
      <c r="P2504" t="s">
        <v>16</v>
      </c>
      <c r="Q2504">
        <v>0</v>
      </c>
      <c r="R2504">
        <v>-5.0941039532423002E-2</v>
      </c>
      <c r="S2504">
        <v>-2.4374337866902299E-2</v>
      </c>
      <c r="T2504">
        <v>-0.01</v>
      </c>
    </row>
    <row r="2505" spans="1:20" x14ac:dyDescent="0.3">
      <c r="A2505" t="s">
        <v>173</v>
      </c>
      <c r="B2505">
        <v>2009</v>
      </c>
      <c r="C2505">
        <v>411273.71879999997</v>
      </c>
      <c r="D2505" s="1">
        <v>0</v>
      </c>
      <c r="E2505" s="1">
        <v>0.92538225650787398</v>
      </c>
      <c r="F2505" s="1">
        <v>1.7999999999999999E-2</v>
      </c>
      <c r="G2505" s="1">
        <f t="shared" si="78"/>
        <v>6.3999999999999987E-2</v>
      </c>
      <c r="H2505" s="1" t="str">
        <f t="shared" si="79"/>
        <v/>
      </c>
      <c r="I2505" s="1">
        <v>-1.6E-2</v>
      </c>
      <c r="J2505" s="1">
        <f>+D2505-F2505+I2505*O2505</f>
        <v>-6.1520000000000005E-2</v>
      </c>
      <c r="K2505" s="1">
        <v>-5.4941039532422999E-2</v>
      </c>
      <c r="L2505" s="1">
        <f>+K2505-J2505</f>
        <v>6.5789604675770066E-3</v>
      </c>
      <c r="M2505" s="1">
        <v>-5.0941039532423002E-2</v>
      </c>
      <c r="N2505" s="1">
        <f>+M2505-J2505</f>
        <v>1.0578960467577003E-2</v>
      </c>
      <c r="O2505">
        <v>2.72</v>
      </c>
      <c r="P2505" t="s">
        <v>17</v>
      </c>
      <c r="Q2505">
        <v>-0.02</v>
      </c>
      <c r="R2505">
        <v>-1.36998646743595E-2</v>
      </c>
      <c r="S2505">
        <v>-4.2397559154778702E-3</v>
      </c>
      <c r="T2505">
        <v>0</v>
      </c>
    </row>
    <row r="2506" spans="1:20" x14ac:dyDescent="0.3">
      <c r="A2506" t="s">
        <v>173</v>
      </c>
      <c r="B2506">
        <v>2010</v>
      </c>
      <c r="C2506">
        <v>414880.3125</v>
      </c>
      <c r="D2506" s="1">
        <v>0</v>
      </c>
      <c r="E2506" s="1">
        <v>0.935954630374908</v>
      </c>
      <c r="F2506" s="1">
        <v>4.2999999999999997E-2</v>
      </c>
      <c r="G2506" s="1">
        <f t="shared" si="78"/>
        <v>0.10699999999999998</v>
      </c>
      <c r="H2506" s="1" t="str">
        <f t="shared" si="79"/>
        <v/>
      </c>
      <c r="I2506" s="1">
        <v>1.0999999999999999E-2</v>
      </c>
      <c r="J2506" s="1">
        <f>+D2506-F2506+I2506*O2506</f>
        <v>-1.176E-2</v>
      </c>
      <c r="K2506" s="1">
        <v>2.30013532564044E-3</v>
      </c>
      <c r="L2506" s="1">
        <f>+K2506-J2506</f>
        <v>1.406013532564044E-2</v>
      </c>
      <c r="M2506" s="1">
        <v>-1.36998646743595E-2</v>
      </c>
      <c r="N2506" s="1">
        <f>+M2506-J2506</f>
        <v>-1.9398646743595E-3</v>
      </c>
      <c r="O2506">
        <v>2.84</v>
      </c>
      <c r="P2506" t="s">
        <v>15</v>
      </c>
      <c r="Q2506">
        <v>0</v>
      </c>
      <c r="R2506">
        <v>-1.6264066442847301E-2</v>
      </c>
      <c r="S2506">
        <v>5.0197080709039896E-3</v>
      </c>
      <c r="T2506">
        <v>0.03</v>
      </c>
    </row>
    <row r="2507" spans="1:20" x14ac:dyDescent="0.3">
      <c r="A2507" t="s">
        <v>173</v>
      </c>
      <c r="B2507">
        <v>2011</v>
      </c>
      <c r="C2507">
        <v>418047.90629999997</v>
      </c>
      <c r="D2507" s="1">
        <v>0</v>
      </c>
      <c r="E2507" s="1">
        <v>0.93572252988815297</v>
      </c>
      <c r="F2507" s="1">
        <v>-0.04</v>
      </c>
      <c r="G2507" s="1">
        <f t="shared" si="78"/>
        <v>6.6999999999999976E-2</v>
      </c>
      <c r="H2507" s="1" t="str">
        <f t="shared" si="79"/>
        <v/>
      </c>
      <c r="I2507" s="1">
        <v>0</v>
      </c>
      <c r="J2507" s="1">
        <f>+D2507-F2507+I2507*O2507</f>
        <v>0.04</v>
      </c>
      <c r="K2507" s="1">
        <v>1.57359335571527E-2</v>
      </c>
      <c r="L2507" s="1">
        <f>+K2507-J2507</f>
        <v>-2.4264066442847301E-2</v>
      </c>
      <c r="M2507" s="1">
        <v>-1.6264066442847301E-2</v>
      </c>
      <c r="N2507" s="1">
        <f>+M2507-J2507</f>
        <v>-5.6264066442847302E-2</v>
      </c>
      <c r="O2507">
        <v>2.73</v>
      </c>
      <c r="P2507" t="s">
        <v>16</v>
      </c>
      <c r="Q2507">
        <v>0.01</v>
      </c>
      <c r="R2507">
        <v>-3.5022127479314999E-3</v>
      </c>
      <c r="S2507">
        <v>1.9359933212398899E-3</v>
      </c>
      <c r="T2507">
        <v>-0.04</v>
      </c>
    </row>
    <row r="2508" spans="1:20" x14ac:dyDescent="0.3">
      <c r="A2508" t="s">
        <v>173</v>
      </c>
      <c r="B2508">
        <v>2012</v>
      </c>
      <c r="C2508">
        <v>422199.1875</v>
      </c>
      <c r="D2508" s="1">
        <v>0</v>
      </c>
      <c r="E2508" s="1">
        <v>0.94011998176574696</v>
      </c>
      <c r="F2508" s="1">
        <v>7.0000000000000001E-3</v>
      </c>
      <c r="G2508" s="1">
        <f t="shared" si="78"/>
        <v>7.3999999999999982E-2</v>
      </c>
      <c r="H2508" s="1" t="str">
        <f t="shared" si="79"/>
        <v/>
      </c>
      <c r="I2508" s="1">
        <v>4.0000000000000001E-3</v>
      </c>
      <c r="J2508" s="1">
        <f>+D2508-F2508+I2508*O2508</f>
        <v>3.9600000000000008E-3</v>
      </c>
      <c r="K2508" s="1">
        <v>1.7497787252068499E-2</v>
      </c>
      <c r="L2508" s="1">
        <f>+K2508-J2508</f>
        <v>1.3537787252068497E-2</v>
      </c>
      <c r="M2508" s="1">
        <v>-3.5022127479314999E-3</v>
      </c>
      <c r="N2508" s="1">
        <f>+M2508-J2508</f>
        <v>-7.4622127479315008E-3</v>
      </c>
      <c r="O2508">
        <v>2.74</v>
      </c>
      <c r="P2508" t="s">
        <v>15</v>
      </c>
      <c r="Q2508">
        <v>0</v>
      </c>
      <c r="R2508">
        <v>1.70642292499542E-2</v>
      </c>
      <c r="S2508">
        <v>1.09374579042196E-2</v>
      </c>
      <c r="T2508">
        <v>0</v>
      </c>
    </row>
    <row r="2509" spans="1:20" x14ac:dyDescent="0.3">
      <c r="A2509" t="s">
        <v>173</v>
      </c>
      <c r="B2509">
        <v>2013</v>
      </c>
      <c r="C2509">
        <v>427077.5</v>
      </c>
      <c r="D2509" s="1">
        <v>0</v>
      </c>
      <c r="E2509" s="1">
        <v>0.94822746515274003</v>
      </c>
      <c r="F2509" s="1">
        <v>-2.5000000000000001E-2</v>
      </c>
      <c r="G2509" s="1">
        <f t="shared" si="78"/>
        <v>4.8999999999999981E-2</v>
      </c>
      <c r="H2509" s="1" t="str">
        <f t="shared" si="79"/>
        <v/>
      </c>
      <c r="I2509" s="1">
        <v>8.0000000000000002E-3</v>
      </c>
      <c r="J2509" s="1">
        <f>+D2509-F2509+I2509*O2509</f>
        <v>4.6440000000000002E-2</v>
      </c>
      <c r="K2509" s="1">
        <v>3.2064229249954203E-2</v>
      </c>
      <c r="L2509" s="1">
        <f>+K2509-J2509</f>
        <v>-1.4375770750045799E-2</v>
      </c>
      <c r="M2509" s="1">
        <v>1.70642292499542E-2</v>
      </c>
      <c r="N2509" s="1">
        <f>+M2509-J2509</f>
        <v>-2.9375770750045802E-2</v>
      </c>
      <c r="O2509">
        <v>2.68</v>
      </c>
      <c r="P2509" t="s">
        <v>17</v>
      </c>
      <c r="Q2509">
        <v>0.01</v>
      </c>
      <c r="R2509">
        <v>2.3665002375841099E-2</v>
      </c>
      <c r="S2509">
        <v>2.1656978875398501E-2</v>
      </c>
      <c r="T2509">
        <v>-0.03</v>
      </c>
    </row>
    <row r="2510" spans="1:20" x14ac:dyDescent="0.3">
      <c r="A2510" t="s">
        <v>173</v>
      </c>
      <c r="B2510">
        <v>2014</v>
      </c>
      <c r="C2510">
        <v>432838.59379999997</v>
      </c>
      <c r="D2510" s="1">
        <v>0</v>
      </c>
      <c r="E2510" s="1">
        <v>0.95200192928314198</v>
      </c>
      <c r="F2510" s="1">
        <v>7.5999999999999998E-2</v>
      </c>
      <c r="G2510" s="1">
        <f t="shared" si="78"/>
        <v>0.12499999999999997</v>
      </c>
      <c r="H2510" s="1">
        <f t="shared" si="79"/>
        <v>8.762813732027995E-2</v>
      </c>
      <c r="I2510" s="1">
        <v>4.0000000000000001E-3</v>
      </c>
      <c r="J2510" s="1">
        <f>+D2510-F2510+I2510*O2510</f>
        <v>-6.4479999999999996E-2</v>
      </c>
      <c r="K2510" s="1">
        <v>3.9665002375841099E-2</v>
      </c>
      <c r="L2510" s="1">
        <f>+K2510-J2510</f>
        <v>0.10414500237584109</v>
      </c>
      <c r="M2510" s="1">
        <v>2.3665002375841099E-2</v>
      </c>
      <c r="N2510" s="1">
        <f>+M2510-J2510</f>
        <v>8.8145002375841094E-2</v>
      </c>
      <c r="O2510">
        <v>2.88</v>
      </c>
      <c r="P2510" t="s">
        <v>15</v>
      </c>
      <c r="Q2510">
        <v>0.02</v>
      </c>
      <c r="R2510">
        <v>0.10509310865402199</v>
      </c>
      <c r="S2510">
        <v>7.4829656630754304E-2</v>
      </c>
      <c r="T2510">
        <v>7.0000000000000007E-2</v>
      </c>
    </row>
    <row r="2511" spans="1:20" x14ac:dyDescent="0.3">
      <c r="A2511" t="s">
        <v>173</v>
      </c>
      <c r="B2511">
        <v>2015</v>
      </c>
      <c r="C2511">
        <v>438088.90629999997</v>
      </c>
      <c r="D2511" s="1">
        <v>1.0999999999999999E-2</v>
      </c>
      <c r="E2511" s="1">
        <v>0.95513761043548595</v>
      </c>
      <c r="F2511" s="1">
        <v>-5.0999999999999997E-2</v>
      </c>
      <c r="G2511" s="1">
        <f t="shared" si="78"/>
        <v>7.3999999999999982E-2</v>
      </c>
      <c r="H2511" s="1" t="str">
        <f t="shared" si="79"/>
        <v/>
      </c>
      <c r="I2511" s="1">
        <v>3.0000000000000001E-3</v>
      </c>
      <c r="J2511" s="1">
        <f>+D2511-F2511+I2511*O2511</f>
        <v>7.0190000000000002E-2</v>
      </c>
      <c r="K2511" s="1">
        <v>0.10609310865402199</v>
      </c>
      <c r="L2511" s="1">
        <f>+K2511-J2511</f>
        <v>3.5903108654021992E-2</v>
      </c>
      <c r="M2511" s="1">
        <v>0.10509310865402199</v>
      </c>
      <c r="N2511" s="1">
        <f>+M2511-J2511</f>
        <v>3.4903108654021991E-2</v>
      </c>
      <c r="O2511">
        <v>2.73</v>
      </c>
      <c r="P2511" t="s">
        <v>17</v>
      </c>
      <c r="Q2511">
        <v>7.0000000000000007E-2</v>
      </c>
      <c r="R2511">
        <v>5.6163165986537901E-2</v>
      </c>
      <c r="S2511">
        <v>4.3009608983993503E-2</v>
      </c>
      <c r="T2511">
        <v>-0.04</v>
      </c>
    </row>
    <row r="2512" spans="1:20" x14ac:dyDescent="0.3">
      <c r="A2512" t="s">
        <v>173</v>
      </c>
      <c r="B2512">
        <v>2016</v>
      </c>
      <c r="C2512">
        <v>443999.21879999997</v>
      </c>
      <c r="D2512" s="1">
        <v>1.2999999999999999E-2</v>
      </c>
      <c r="E2512" s="1">
        <v>0.95088237524032604</v>
      </c>
      <c r="F2512" s="1">
        <v>7.0999999999999994E-2</v>
      </c>
      <c r="G2512" s="1">
        <f t="shared" si="78"/>
        <v>0.14499999999999996</v>
      </c>
      <c r="H2512" s="1">
        <f t="shared" si="79"/>
        <v>4.6395223587751347E-2</v>
      </c>
      <c r="I2512" s="1">
        <v>-4.0000000000000001E-3</v>
      </c>
      <c r="J2512" s="1">
        <f>+D2512-F2512+I2512*O2512</f>
        <v>-6.9720000000000004E-2</v>
      </c>
      <c r="K2512" s="1">
        <v>6.9163165986537906E-2</v>
      </c>
      <c r="L2512" s="1">
        <f>+K2512-J2512</f>
        <v>0.13888316598653791</v>
      </c>
      <c r="M2512" s="1">
        <v>5.6163165986537901E-2</v>
      </c>
      <c r="N2512" s="1">
        <f>+M2512-J2512</f>
        <v>0.1258831659865379</v>
      </c>
      <c r="O2512">
        <v>2.93</v>
      </c>
      <c r="P2512" t="s">
        <v>17</v>
      </c>
      <c r="Q2512">
        <v>0.04</v>
      </c>
      <c r="R2512">
        <v>1.9007267147302599E-2</v>
      </c>
      <c r="S2512">
        <v>1.6217693686485301E-2</v>
      </c>
      <c r="T2512">
        <v>7.0000000000000007E-2</v>
      </c>
    </row>
    <row r="2513" spans="1:20" x14ac:dyDescent="0.3">
      <c r="A2513" t="s">
        <v>173</v>
      </c>
      <c r="B2513">
        <v>2017</v>
      </c>
      <c r="C2513">
        <v>448726.5</v>
      </c>
      <c r="D2513" s="1">
        <v>2.5000000000000001E-2</v>
      </c>
      <c r="E2513" s="1">
        <v>0.95287746191024802</v>
      </c>
      <c r="F2513" s="1">
        <v>-5.3999999999999999E-2</v>
      </c>
      <c r="G2513" s="1">
        <f t="shared" si="78"/>
        <v>9.099999999999997E-2</v>
      </c>
      <c r="H2513" s="1" t="str">
        <f t="shared" si="79"/>
        <v/>
      </c>
      <c r="I2513" s="1">
        <v>2E-3</v>
      </c>
      <c r="J2513" s="1">
        <f>+D2513-F2513+I2513*O2513</f>
        <v>8.4540000000000004E-2</v>
      </c>
      <c r="K2513" s="1">
        <v>4.00072671473026E-2</v>
      </c>
      <c r="L2513" s="1">
        <f>+K2513-J2513</f>
        <v>-4.4532732852697404E-2</v>
      </c>
      <c r="M2513" s="1">
        <v>1.9007267147302599E-2</v>
      </c>
      <c r="N2513" s="1">
        <f>+M2513-J2513</f>
        <v>-6.5532732852697409E-2</v>
      </c>
      <c r="O2513">
        <v>2.77</v>
      </c>
      <c r="P2513" t="s">
        <v>17</v>
      </c>
      <c r="Q2513">
        <v>0.02</v>
      </c>
      <c r="R2513">
        <v>2.87831800282001E-2</v>
      </c>
      <c r="S2513">
        <v>1.9648157060146301E-2</v>
      </c>
      <c r="T2513">
        <v>-0.05</v>
      </c>
    </row>
    <row r="2514" spans="1:20" x14ac:dyDescent="0.3">
      <c r="A2514" t="s">
        <v>173</v>
      </c>
      <c r="B2514">
        <v>2018</v>
      </c>
      <c r="C2514">
        <v>451481.6875</v>
      </c>
      <c r="D2514" s="1">
        <v>1E-3</v>
      </c>
      <c r="E2514" s="1">
        <v>0.95214968919753995</v>
      </c>
      <c r="F2514" s="1">
        <v>-5.0999999999999997E-2</v>
      </c>
      <c r="G2514" s="1">
        <f t="shared" si="78"/>
        <v>3.9999999999999973E-2</v>
      </c>
      <c r="H2514" s="1" t="str">
        <f t="shared" si="79"/>
        <v/>
      </c>
      <c r="I2514" s="1">
        <v>-1E-3</v>
      </c>
      <c r="J2514" s="1">
        <f>+D2514-F2514+I2514*O2514</f>
        <v>4.9369999999999997E-2</v>
      </c>
      <c r="K2514" s="1">
        <v>5.2783180028200101E-2</v>
      </c>
      <c r="L2514" s="1">
        <f>+K2514-J2514</f>
        <v>3.4131800282001037E-3</v>
      </c>
      <c r="M2514" s="1">
        <v>2.87831800282001E-2</v>
      </c>
      <c r="N2514" s="1">
        <f>+M2514-J2514</f>
        <v>-2.0586819971799897E-2</v>
      </c>
      <c r="O2514">
        <v>2.63</v>
      </c>
      <c r="P2514" t="s">
        <v>16</v>
      </c>
      <c r="Q2514">
        <v>0.02</v>
      </c>
      <c r="R2514">
        <v>2.3435755789279901E-2</v>
      </c>
      <c r="S2514">
        <v>5.6345611810683996E-3</v>
      </c>
      <c r="T2514">
        <v>-0.04</v>
      </c>
    </row>
    <row r="2515" spans="1:20" x14ac:dyDescent="0.3">
      <c r="A2515" t="s">
        <v>173</v>
      </c>
      <c r="B2515">
        <v>2019</v>
      </c>
      <c r="C2515">
        <v>453266.125</v>
      </c>
      <c r="D2515" s="1">
        <v>1E-3</v>
      </c>
      <c r="E2515" s="1">
        <v>0.95143198966980003</v>
      </c>
      <c r="F2515" s="1">
        <v>-0.02</v>
      </c>
      <c r="G2515" s="1">
        <f t="shared" si="78"/>
        <v>1.9999999999999973E-2</v>
      </c>
      <c r="H2515" s="1" t="str">
        <f t="shared" si="79"/>
        <v/>
      </c>
      <c r="I2515" s="1">
        <v>-1E-3</v>
      </c>
      <c r="J2515" s="1">
        <f>+D2515-F2515+I2515*O2515</f>
        <v>1.8430000000000002E-2</v>
      </c>
      <c r="K2515" s="1">
        <v>4.1435755789279903E-2</v>
      </c>
      <c r="L2515" s="1">
        <f>+K2515-J2515</f>
        <v>2.3005755789279901E-2</v>
      </c>
      <c r="M2515" s="1">
        <v>2.3435755789279901E-2</v>
      </c>
      <c r="N2515" s="1">
        <f>+M2515-J2515</f>
        <v>5.005755789279899E-3</v>
      </c>
      <c r="O2515">
        <v>2.57</v>
      </c>
      <c r="P2515" t="s">
        <v>16</v>
      </c>
      <c r="Q2515">
        <v>0.01</v>
      </c>
      <c r="R2515">
        <v>4.1440481424331599E-2</v>
      </c>
      <c r="S2515">
        <v>2.2591290995478599E-2</v>
      </c>
      <c r="T2515">
        <v>-0.01</v>
      </c>
    </row>
    <row r="2516" spans="1:20" x14ac:dyDescent="0.3">
      <c r="A2516" t="s">
        <v>173</v>
      </c>
      <c r="B2516">
        <v>2020</v>
      </c>
      <c r="C2516">
        <v>452355.8125</v>
      </c>
      <c r="D2516" s="1">
        <v>1.4E-2</v>
      </c>
      <c r="E2516" s="1">
        <v>0.96533882617950395</v>
      </c>
      <c r="F2516" s="1">
        <v>1.2999999999999999E-2</v>
      </c>
      <c r="G2516" s="1">
        <f t="shared" si="78"/>
        <v>3.2999999999999974E-2</v>
      </c>
      <c r="H2516" s="1" t="str">
        <f t="shared" si="79"/>
        <v/>
      </c>
      <c r="I2516" s="1">
        <v>1.4E-2</v>
      </c>
      <c r="J2516" s="1">
        <f>+D2516-F2516+I2516*O2516</f>
        <v>3.7539999999999997E-2</v>
      </c>
      <c r="K2516" s="1">
        <v>5.34404814243317E-2</v>
      </c>
      <c r="L2516" s="1">
        <f>+K2516-J2516</f>
        <v>1.5900481424331703E-2</v>
      </c>
      <c r="M2516" s="1">
        <v>4.1440481424331599E-2</v>
      </c>
      <c r="N2516" s="1">
        <f>+M2516-J2516</f>
        <v>3.9004814243316019E-3</v>
      </c>
      <c r="O2516">
        <v>2.61</v>
      </c>
      <c r="P2516" t="s">
        <v>15</v>
      </c>
      <c r="Q2516">
        <v>0.02</v>
      </c>
      <c r="R2516">
        <v>2.2015815854072598E-2</v>
      </c>
      <c r="S2516">
        <v>-2.1573796868324301E-2</v>
      </c>
      <c r="T2516">
        <v>0.05</v>
      </c>
    </row>
    <row r="2517" spans="1:20" x14ac:dyDescent="0.3">
      <c r="A2517" t="s">
        <v>173</v>
      </c>
      <c r="B2517">
        <v>2021</v>
      </c>
      <c r="C2517">
        <v>450445.1875</v>
      </c>
      <c r="D2517" s="1">
        <v>0</v>
      </c>
      <c r="E2517" s="1">
        <v>0.96620190143585205</v>
      </c>
      <c r="F2517" s="1">
        <v>0.08</v>
      </c>
      <c r="G2517" s="1">
        <f t="shared" si="78"/>
        <v>0.11299999999999998</v>
      </c>
      <c r="H2517" s="1" t="str">
        <f t="shared" si="79"/>
        <v/>
      </c>
      <c r="I2517" s="1">
        <v>1E-3</v>
      </c>
      <c r="J2517" s="1">
        <f>+D2517-F2517+I2517*O2517</f>
        <v>-7.7179999999999999E-2</v>
      </c>
      <c r="K2517" s="1">
        <v>6.9015815854072599E-2</v>
      </c>
      <c r="L2517" s="1">
        <f>+K2517-J2517</f>
        <v>0.1461958158540726</v>
      </c>
      <c r="M2517" s="1">
        <v>2.2015815854072598E-2</v>
      </c>
      <c r="N2517" s="1">
        <f>+M2517-J2517</f>
        <v>9.9195815854072597E-2</v>
      </c>
      <c r="O2517">
        <v>2.82</v>
      </c>
      <c r="P2517" t="s">
        <v>15</v>
      </c>
      <c r="Q2517">
        <v>-0.02</v>
      </c>
      <c r="R2517">
        <v>-7.4221393950283501E-2</v>
      </c>
      <c r="S2517">
        <v>-4.21178871765732E-2</v>
      </c>
      <c r="T2517">
        <v>0.05</v>
      </c>
    </row>
    <row r="2518" spans="1:20" x14ac:dyDescent="0.3">
      <c r="A2518" t="s">
        <v>173</v>
      </c>
      <c r="B2518">
        <v>2022</v>
      </c>
      <c r="C2518">
        <v>449976.59379999997</v>
      </c>
      <c r="D2518" s="1">
        <v>2.5000000000000001E-2</v>
      </c>
      <c r="E2518" s="1">
        <v>0.93593436479568504</v>
      </c>
      <c r="F2518" s="1">
        <v>-3.3000000000000002E-2</v>
      </c>
      <c r="G2518" s="1">
        <f t="shared" si="78"/>
        <v>7.9999999999999974E-2</v>
      </c>
      <c r="H2518" s="1" t="str">
        <f t="shared" si="79"/>
        <v/>
      </c>
      <c r="I2518" s="1">
        <v>-0.03</v>
      </c>
      <c r="J2518" s="1">
        <f>+D2518-F2518+I2518*O2518</f>
        <v>-2.3600000000000003E-2</v>
      </c>
      <c r="K2518" s="1">
        <v>5.77860604971647E-3</v>
      </c>
      <c r="L2518" s="1">
        <f>+K2518-J2518</f>
        <v>2.9378606049716472E-2</v>
      </c>
      <c r="M2518" s="1">
        <v>-7.4221393950283501E-2</v>
      </c>
      <c r="N2518" s="1">
        <f>+M2518-J2518</f>
        <v>-5.0621393950283498E-2</v>
      </c>
      <c r="O2518">
        <v>2.72</v>
      </c>
      <c r="P2518" t="s">
        <v>16</v>
      </c>
      <c r="Q2518">
        <v>-0.04</v>
      </c>
      <c r="R2518">
        <v>-3.3828515358269202E-2</v>
      </c>
      <c r="S2518">
        <v>-1.42695875838399E-2</v>
      </c>
      <c r="T2518">
        <v>-0.02</v>
      </c>
    </row>
    <row r="2519" spans="1:20" x14ac:dyDescent="0.3">
      <c r="A2519" t="s">
        <v>174</v>
      </c>
      <c r="B2519">
        <v>2006</v>
      </c>
      <c r="C2519">
        <v>798599</v>
      </c>
      <c r="D2519" s="1">
        <v>8.9999999999999993E-3</v>
      </c>
      <c r="E2519" s="1">
        <v>0.959098219871521</v>
      </c>
      <c r="F2519" s="1">
        <v>2E-3</v>
      </c>
      <c r="G2519" s="1">
        <f t="shared" si="78"/>
        <v>2E-3</v>
      </c>
      <c r="H2519" s="1" t="str">
        <f t="shared" si="79"/>
        <v/>
      </c>
      <c r="I2519" s="1">
        <v>5.0000000000000001E-3</v>
      </c>
      <c r="J2519" s="1">
        <f>+D2519-F2519+I2519*O2519</f>
        <v>2.0899999999999998E-2</v>
      </c>
      <c r="K2519" s="1">
        <v>5.7945344597101198E-2</v>
      </c>
      <c r="L2519" s="1">
        <f>+K2519-J2519</f>
        <v>3.7045344597101196E-2</v>
      </c>
      <c r="M2519" s="1">
        <v>2.59453445971011E-2</v>
      </c>
      <c r="N2519" s="1">
        <f>+M2519-J2519</f>
        <v>5.0453445971011014E-3</v>
      </c>
      <c r="O2519">
        <v>2.78</v>
      </c>
      <c r="P2519" t="s">
        <v>15</v>
      </c>
      <c r="Q2519">
        <v>0.02</v>
      </c>
      <c r="R2519">
        <v>2.8674482405185902E-3</v>
      </c>
      <c r="S2519">
        <v>3.78920417279009E-3</v>
      </c>
      <c r="T2519">
        <v>0</v>
      </c>
    </row>
    <row r="2520" spans="1:20" x14ac:dyDescent="0.3">
      <c r="A2520" t="s">
        <v>174</v>
      </c>
      <c r="B2520">
        <v>2007</v>
      </c>
      <c r="C2520">
        <v>801603.1875</v>
      </c>
      <c r="D2520" s="1">
        <v>2.1000000000000001E-2</v>
      </c>
      <c r="E2520" s="1">
        <v>0.94410091638565097</v>
      </c>
      <c r="F2520" s="1">
        <v>-5.0000000000000001E-3</v>
      </c>
      <c r="G2520" s="1">
        <f t="shared" si="78"/>
        <v>-3.0000000000000001E-3</v>
      </c>
      <c r="H2520" s="1" t="str">
        <f t="shared" si="79"/>
        <v/>
      </c>
      <c r="I2520" s="1">
        <v>-1.4999999999999999E-2</v>
      </c>
      <c r="J2520" s="1">
        <f>+D2520-F2520+I2520*O2520</f>
        <v>-1.539999999999999E-2</v>
      </c>
      <c r="K2520" s="1">
        <v>3.1867448240518598E-2</v>
      </c>
      <c r="L2520" s="1">
        <f>+K2520-J2520</f>
        <v>4.7267448240518588E-2</v>
      </c>
      <c r="M2520" s="1">
        <v>2.8674482405185902E-3</v>
      </c>
      <c r="N2520" s="1">
        <f>+M2520-J2520</f>
        <v>1.8267448240518579E-2</v>
      </c>
      <c r="O2520">
        <v>2.76</v>
      </c>
      <c r="P2520" t="s">
        <v>16</v>
      </c>
      <c r="Q2520">
        <v>0</v>
      </c>
      <c r="R2520">
        <v>-4.5925889454782001E-2</v>
      </c>
      <c r="S2520">
        <v>-1.6415085177868601E-2</v>
      </c>
      <c r="T2520">
        <v>-0.01</v>
      </c>
    </row>
    <row r="2521" spans="1:20" x14ac:dyDescent="0.3">
      <c r="A2521" t="s">
        <v>174</v>
      </c>
      <c r="B2521">
        <v>2008</v>
      </c>
      <c r="C2521">
        <v>808581.625</v>
      </c>
      <c r="D2521" s="1">
        <v>1.4999999999999999E-2</v>
      </c>
      <c r="E2521" s="1">
        <v>0.93920749425888095</v>
      </c>
      <c r="F2521" s="1">
        <v>6.2E-2</v>
      </c>
      <c r="G2521" s="1">
        <f t="shared" si="78"/>
        <v>5.8999999999999997E-2</v>
      </c>
      <c r="H2521" s="1" t="str">
        <f t="shared" si="79"/>
        <v/>
      </c>
      <c r="I2521" s="1">
        <v>-5.0000000000000001E-3</v>
      </c>
      <c r="J2521" s="1">
        <f>+D2521-F2521+I2521*O2521</f>
        <v>-6.1699999999999998E-2</v>
      </c>
      <c r="K2521" s="1">
        <v>-7.9258894547820109E-3</v>
      </c>
      <c r="L2521" s="1">
        <f>+K2521-J2521</f>
        <v>5.3774110545217989E-2</v>
      </c>
      <c r="M2521" s="1">
        <v>-4.5925889454782001E-2</v>
      </c>
      <c r="N2521" s="1">
        <f>+M2521-J2521</f>
        <v>1.5774110545217997E-2</v>
      </c>
      <c r="O2521">
        <v>2.94</v>
      </c>
      <c r="P2521" t="s">
        <v>17</v>
      </c>
      <c r="Q2521">
        <v>-0.02</v>
      </c>
      <c r="R2521">
        <v>-4.7614809781312897E-2</v>
      </c>
      <c r="S2521">
        <v>-2.1048108115792202E-2</v>
      </c>
      <c r="T2521">
        <v>0.06</v>
      </c>
    </row>
    <row r="2522" spans="1:20" x14ac:dyDescent="0.3">
      <c r="A2522" t="s">
        <v>174</v>
      </c>
      <c r="B2522">
        <v>2009</v>
      </c>
      <c r="C2522">
        <v>817695.3125</v>
      </c>
      <c r="D2522" s="1">
        <v>0</v>
      </c>
      <c r="E2522" s="1">
        <v>0.94282084703445401</v>
      </c>
      <c r="F2522" s="1">
        <v>2E-3</v>
      </c>
      <c r="G2522" s="1">
        <f t="shared" si="78"/>
        <v>6.0999999999999999E-2</v>
      </c>
      <c r="H2522" s="1" t="str">
        <f t="shared" si="79"/>
        <v/>
      </c>
      <c r="I2522" s="1">
        <v>4.0000000000000001E-3</v>
      </c>
      <c r="J2522" s="1">
        <f>+D2522-F2522+I2522*O2522</f>
        <v>9.7599999999999996E-3</v>
      </c>
      <c r="K2522" s="1">
        <v>-5.1614809781312901E-2</v>
      </c>
      <c r="L2522" s="1">
        <f>+K2522-J2522</f>
        <v>-6.1374809781312899E-2</v>
      </c>
      <c r="M2522" s="1">
        <v>-4.7614809781312897E-2</v>
      </c>
      <c r="N2522" s="1">
        <f>+M2522-J2522</f>
        <v>-5.7374809781312895E-2</v>
      </c>
      <c r="O2522">
        <v>2.94</v>
      </c>
      <c r="P2522" t="s">
        <v>15</v>
      </c>
      <c r="Q2522">
        <v>-0.02</v>
      </c>
      <c r="R2522">
        <v>-1.7743252068757899E-3</v>
      </c>
      <c r="S2522">
        <v>7.6857835520058801E-3</v>
      </c>
      <c r="T2522">
        <v>-0.02</v>
      </c>
    </row>
    <row r="2523" spans="1:20" x14ac:dyDescent="0.3">
      <c r="A2523" t="s">
        <v>174</v>
      </c>
      <c r="B2523">
        <v>2010</v>
      </c>
      <c r="C2523">
        <v>826438.4375</v>
      </c>
      <c r="D2523" s="1">
        <v>3.0000000000000001E-3</v>
      </c>
      <c r="E2523" s="1">
        <v>0.94147163629531905</v>
      </c>
      <c r="F2523" s="1">
        <v>-1.2E-2</v>
      </c>
      <c r="G2523" s="1">
        <f t="shared" si="78"/>
        <v>4.9000000000000002E-2</v>
      </c>
      <c r="H2523" s="1" t="str">
        <f t="shared" si="79"/>
        <v/>
      </c>
      <c r="I2523" s="1">
        <v>-1E-3</v>
      </c>
      <c r="J2523" s="1">
        <f>+D2523-F2523+I2523*O2523</f>
        <v>1.209E-2</v>
      </c>
      <c r="K2523" s="1">
        <v>1.4225674793124201E-2</v>
      </c>
      <c r="L2523" s="1">
        <f>+K2523-J2523</f>
        <v>2.1356747931242006E-3</v>
      </c>
      <c r="M2523" s="1">
        <v>-1.7743252068757899E-3</v>
      </c>
      <c r="N2523" s="1">
        <f>+M2523-J2523</f>
        <v>-1.3864325206875789E-2</v>
      </c>
      <c r="O2523">
        <v>2.91</v>
      </c>
      <c r="P2523" t="s">
        <v>16</v>
      </c>
      <c r="Q2523">
        <v>0.01</v>
      </c>
      <c r="R2523">
        <v>-1.3592612341046299E-2</v>
      </c>
      <c r="S2523">
        <v>7.6911621727050001E-3</v>
      </c>
      <c r="T2523">
        <v>-0.02</v>
      </c>
    </row>
    <row r="2524" spans="1:20" x14ac:dyDescent="0.3">
      <c r="A2524" t="s">
        <v>174</v>
      </c>
      <c r="B2524">
        <v>2011</v>
      </c>
      <c r="C2524">
        <v>830888.3125</v>
      </c>
      <c r="D2524" s="1">
        <v>0</v>
      </c>
      <c r="E2524" s="1">
        <v>0.94537675380706798</v>
      </c>
      <c r="F2524" s="1">
        <v>-2.5000000000000001E-2</v>
      </c>
      <c r="G2524" s="1">
        <f t="shared" si="78"/>
        <v>2.4E-2</v>
      </c>
      <c r="H2524" s="1" t="str">
        <f t="shared" si="79"/>
        <v/>
      </c>
      <c r="I2524" s="1">
        <v>4.0000000000000001E-3</v>
      </c>
      <c r="J2524" s="1">
        <f>+D2524-F2524+I2524*O2524</f>
        <v>3.6360000000000003E-2</v>
      </c>
      <c r="K2524" s="1">
        <v>1.8407387658953701E-2</v>
      </c>
      <c r="L2524" s="1">
        <f>+K2524-J2524</f>
        <v>-1.7952612341046302E-2</v>
      </c>
      <c r="M2524" s="1">
        <v>-1.3592612341046299E-2</v>
      </c>
      <c r="N2524" s="1">
        <f>+M2524-J2524</f>
        <v>-4.9952612341046303E-2</v>
      </c>
      <c r="O2524">
        <v>2.84</v>
      </c>
      <c r="P2524" t="s">
        <v>17</v>
      </c>
      <c r="Q2524">
        <v>0.01</v>
      </c>
      <c r="R2524">
        <v>1.13541238903998E-2</v>
      </c>
      <c r="S2524">
        <v>1.6792329959571299E-2</v>
      </c>
      <c r="T2524">
        <v>-0.02</v>
      </c>
    </row>
    <row r="2525" spans="1:20" x14ac:dyDescent="0.3">
      <c r="A2525" t="s">
        <v>174</v>
      </c>
      <c r="B2525">
        <v>2012</v>
      </c>
      <c r="C2525">
        <v>834758.625</v>
      </c>
      <c r="D2525" s="1">
        <v>-2E-3</v>
      </c>
      <c r="E2525" s="1">
        <v>0.95389401912689198</v>
      </c>
      <c r="F2525" s="1">
        <v>3.1E-2</v>
      </c>
      <c r="G2525" s="1">
        <f t="shared" si="78"/>
        <v>5.5E-2</v>
      </c>
      <c r="H2525" s="1" t="str">
        <f t="shared" si="79"/>
        <v/>
      </c>
      <c r="I2525" s="1">
        <v>8.9999999999999993E-3</v>
      </c>
      <c r="J2525" s="1">
        <f>+D2525-F2525+I2525*O2525</f>
        <v>-6.7200000000000037E-3</v>
      </c>
      <c r="K2525" s="1">
        <v>3.2354123890399898E-2</v>
      </c>
      <c r="L2525" s="1">
        <f>+K2525-J2525</f>
        <v>3.9074123890399902E-2</v>
      </c>
      <c r="M2525" s="1">
        <v>1.13541238903998E-2</v>
      </c>
      <c r="N2525" s="1">
        <f>+M2525-J2525</f>
        <v>1.8074123890399803E-2</v>
      </c>
      <c r="O2525">
        <v>2.92</v>
      </c>
      <c r="P2525" t="s">
        <v>15</v>
      </c>
      <c r="Q2525">
        <v>0.02</v>
      </c>
      <c r="R2525">
        <v>2.1804538220167199E-2</v>
      </c>
      <c r="S2525">
        <v>1.5677766874432598E-2</v>
      </c>
      <c r="T2525">
        <v>0.03</v>
      </c>
    </row>
    <row r="2526" spans="1:20" x14ac:dyDescent="0.3">
      <c r="A2526" t="s">
        <v>174</v>
      </c>
      <c r="B2526">
        <v>2013</v>
      </c>
      <c r="C2526">
        <v>839192.3125</v>
      </c>
      <c r="D2526" s="1">
        <v>1.6E-2</v>
      </c>
      <c r="E2526" s="1">
        <v>0.95707535743713401</v>
      </c>
      <c r="F2526" s="1">
        <v>7.0000000000000007E-2</v>
      </c>
      <c r="G2526" s="1">
        <f t="shared" si="78"/>
        <v>0.125</v>
      </c>
      <c r="H2526" s="1">
        <f t="shared" si="79"/>
        <v>5.6086717173457153E-2</v>
      </c>
      <c r="I2526" s="1">
        <v>3.0000000000000001E-3</v>
      </c>
      <c r="J2526" s="1">
        <f>+D2526-F2526+I2526*O2526</f>
        <v>-4.4610000000000011E-2</v>
      </c>
      <c r="K2526" s="1">
        <v>3.6804538220167202E-2</v>
      </c>
      <c r="L2526" s="1">
        <f>+K2526-J2526</f>
        <v>8.1414538220167212E-2</v>
      </c>
      <c r="M2526" s="1">
        <v>2.1804538220167199E-2</v>
      </c>
      <c r="N2526" s="1">
        <f>+M2526-J2526</f>
        <v>6.6414538220167213E-2</v>
      </c>
      <c r="O2526">
        <v>3.13</v>
      </c>
      <c r="P2526" t="s">
        <v>15</v>
      </c>
      <c r="Q2526">
        <v>0.02</v>
      </c>
      <c r="R2526">
        <v>3.0551618725061399E-2</v>
      </c>
      <c r="S2526">
        <v>2.8543595224618901E-2</v>
      </c>
      <c r="T2526">
        <v>0.06</v>
      </c>
    </row>
    <row r="2527" spans="1:20" x14ac:dyDescent="0.3">
      <c r="A2527" t="s">
        <v>174</v>
      </c>
      <c r="B2527">
        <v>2014</v>
      </c>
      <c r="C2527">
        <v>843563</v>
      </c>
      <c r="D2527" s="1">
        <v>1.9E-2</v>
      </c>
      <c r="E2527" s="1">
        <v>0.95534288883209195</v>
      </c>
      <c r="F2527" s="1">
        <v>-7.1999999999999995E-2</v>
      </c>
      <c r="G2527" s="1">
        <f t="shared" si="78"/>
        <v>5.3000000000000005E-2</v>
      </c>
      <c r="H2527" s="1" t="str">
        <f t="shared" si="79"/>
        <v/>
      </c>
      <c r="I2527" s="1">
        <v>-2E-3</v>
      </c>
      <c r="J2527" s="1">
        <f>+D2527-F2527+I2527*O2527</f>
        <v>8.5199999999999998E-2</v>
      </c>
      <c r="K2527" s="1">
        <v>4.6551618725061403E-2</v>
      </c>
      <c r="L2527" s="1">
        <f>+K2527-J2527</f>
        <v>-3.8648381274938595E-2</v>
      </c>
      <c r="M2527" s="1">
        <v>3.0551618725061399E-2</v>
      </c>
      <c r="N2527" s="1">
        <f>+M2527-J2527</f>
        <v>-5.4648381274938596E-2</v>
      </c>
      <c r="O2527">
        <v>2.9</v>
      </c>
      <c r="P2527" t="s">
        <v>16</v>
      </c>
      <c r="Q2527">
        <v>0.03</v>
      </c>
      <c r="R2527">
        <v>6.4621815621852902E-2</v>
      </c>
      <c r="S2527">
        <v>3.4358363598585198E-2</v>
      </c>
      <c r="T2527">
        <v>-0.08</v>
      </c>
    </row>
    <row r="2528" spans="1:20" x14ac:dyDescent="0.3">
      <c r="A2528" t="s">
        <v>174</v>
      </c>
      <c r="B2528">
        <v>2015</v>
      </c>
      <c r="C2528">
        <v>846570.9375</v>
      </c>
      <c r="D2528" s="1">
        <v>0</v>
      </c>
      <c r="E2528" s="1">
        <v>0.96122848987579301</v>
      </c>
      <c r="F2528" s="1">
        <v>2.3E-2</v>
      </c>
      <c r="G2528" s="1">
        <f t="shared" si="78"/>
        <v>7.6000000000000012E-2</v>
      </c>
      <c r="H2528" s="1" t="str">
        <f t="shared" si="79"/>
        <v/>
      </c>
      <c r="I2528" s="1">
        <v>6.0000000000000001E-3</v>
      </c>
      <c r="J2528" s="1">
        <f>+D2528-F2528+I2528*O2528</f>
        <v>-5.1799999999999971E-3</v>
      </c>
      <c r="K2528" s="1">
        <v>6.5621815621852903E-2</v>
      </c>
      <c r="L2528" s="1">
        <f>+K2528-J2528</f>
        <v>7.0801815621852893E-2</v>
      </c>
      <c r="M2528" s="1">
        <v>6.4621815621852902E-2</v>
      </c>
      <c r="N2528" s="1">
        <f>+M2528-J2528</f>
        <v>6.9801815621852892E-2</v>
      </c>
      <c r="O2528">
        <v>2.97</v>
      </c>
      <c r="P2528" t="s">
        <v>15</v>
      </c>
      <c r="Q2528">
        <v>0.03</v>
      </c>
      <c r="R2528">
        <v>2.2877637565136E-2</v>
      </c>
      <c r="S2528">
        <v>9.7240805625915996E-3</v>
      </c>
      <c r="T2528">
        <v>0.03</v>
      </c>
    </row>
    <row r="2529" spans="1:20" x14ac:dyDescent="0.3">
      <c r="A2529" t="s">
        <v>174</v>
      </c>
      <c r="B2529">
        <v>2016</v>
      </c>
      <c r="C2529">
        <v>848069.1875</v>
      </c>
      <c r="D2529" s="1">
        <v>8.0000000000000002E-3</v>
      </c>
      <c r="E2529" s="1">
        <v>0.96122157573699996</v>
      </c>
      <c r="F2529" s="1">
        <v>-4.2999999999999997E-2</v>
      </c>
      <c r="G2529" s="1">
        <f t="shared" si="78"/>
        <v>3.3000000000000015E-2</v>
      </c>
      <c r="H2529" s="1" t="str">
        <f t="shared" si="79"/>
        <v/>
      </c>
      <c r="I2529" s="1">
        <v>0</v>
      </c>
      <c r="J2529" s="1">
        <f>+D2529-F2529+I2529*O2529</f>
        <v>5.0999999999999997E-2</v>
      </c>
      <c r="K2529" s="1">
        <v>3.5877637565135997E-2</v>
      </c>
      <c r="L2529" s="1">
        <f>+K2529-J2529</f>
        <v>-1.5122362434863999E-2</v>
      </c>
      <c r="M2529" s="1">
        <v>2.2877637565136E-2</v>
      </c>
      <c r="N2529" s="1">
        <f>+M2529-J2529</f>
        <v>-2.8122362434863997E-2</v>
      </c>
      <c r="O2529">
        <v>2.84</v>
      </c>
      <c r="P2529" t="s">
        <v>16</v>
      </c>
      <c r="Q2529">
        <v>0.01</v>
      </c>
      <c r="R2529">
        <v>1.9342669934034201E-2</v>
      </c>
      <c r="S2529">
        <v>1.6553096473217E-2</v>
      </c>
      <c r="T2529">
        <v>-0.04</v>
      </c>
    </row>
    <row r="2530" spans="1:20" x14ac:dyDescent="0.3">
      <c r="A2530" t="s">
        <v>174</v>
      </c>
      <c r="B2530">
        <v>2017</v>
      </c>
      <c r="C2530">
        <v>848905</v>
      </c>
      <c r="D2530" s="1">
        <v>-3.0000000000000001E-3</v>
      </c>
      <c r="E2530" s="1">
        <v>0.96167850494384799</v>
      </c>
      <c r="F2530" s="1">
        <v>1.7000000000000001E-2</v>
      </c>
      <c r="G2530" s="1">
        <f t="shared" si="78"/>
        <v>5.0000000000000017E-2</v>
      </c>
      <c r="H2530" s="1" t="str">
        <f t="shared" si="79"/>
        <v/>
      </c>
      <c r="I2530" s="1">
        <v>0</v>
      </c>
      <c r="J2530" s="1">
        <f>+D2530-F2530+I2530*O2530</f>
        <v>-0.02</v>
      </c>
      <c r="K2530" s="1">
        <v>4.0342669934034299E-2</v>
      </c>
      <c r="L2530" s="1">
        <f>+K2530-J2530</f>
        <v>6.0342669934034296E-2</v>
      </c>
      <c r="M2530" s="1">
        <v>1.9342669934034201E-2</v>
      </c>
      <c r="N2530" s="1">
        <f>+M2530-J2530</f>
        <v>3.9342669934034201E-2</v>
      </c>
      <c r="O2530">
        <v>2.89</v>
      </c>
      <c r="P2530" t="s">
        <v>15</v>
      </c>
      <c r="Q2530">
        <v>0.02</v>
      </c>
      <c r="R2530">
        <v>1.4584444671869199E-2</v>
      </c>
      <c r="S2530">
        <v>5.4494217038155001E-3</v>
      </c>
      <c r="T2530">
        <v>0.02</v>
      </c>
    </row>
    <row r="2531" spans="1:20" x14ac:dyDescent="0.3">
      <c r="A2531" t="s">
        <v>174</v>
      </c>
      <c r="B2531">
        <v>2018</v>
      </c>
      <c r="C2531">
        <v>847462.8125</v>
      </c>
      <c r="D2531" s="1">
        <v>3.2000000000000001E-2</v>
      </c>
      <c r="E2531" s="1">
        <v>0.94894617795944203</v>
      </c>
      <c r="F2531" s="1">
        <v>4.0000000000000001E-3</v>
      </c>
      <c r="G2531" s="1">
        <f t="shared" si="78"/>
        <v>5.400000000000002E-2</v>
      </c>
      <c r="H2531" s="1" t="str">
        <f t="shared" si="79"/>
        <v/>
      </c>
      <c r="I2531" s="1">
        <v>-1.2999999999999999E-2</v>
      </c>
      <c r="J2531" s="1">
        <f>+D2531-F2531+I2531*O2531</f>
        <v>-9.6999999999999968E-3</v>
      </c>
      <c r="K2531" s="1">
        <v>3.8584444671869299E-2</v>
      </c>
      <c r="L2531" s="1">
        <f>+K2531-J2531</f>
        <v>4.8284444671869292E-2</v>
      </c>
      <c r="M2531" s="1">
        <v>1.4584444671869199E-2</v>
      </c>
      <c r="N2531" s="1">
        <f>+M2531-J2531</f>
        <v>2.4284444671869194E-2</v>
      </c>
      <c r="O2531">
        <v>2.9</v>
      </c>
      <c r="P2531" t="s">
        <v>17</v>
      </c>
      <c r="Q2531">
        <v>0.01</v>
      </c>
      <c r="R2531">
        <v>1.32288030982018E-2</v>
      </c>
      <c r="S2531">
        <v>-4.5723915100096997E-3</v>
      </c>
      <c r="T2531">
        <v>0.01</v>
      </c>
    </row>
    <row r="2532" spans="1:20" x14ac:dyDescent="0.3">
      <c r="A2532" t="s">
        <v>174</v>
      </c>
      <c r="B2532">
        <v>2019</v>
      </c>
      <c r="C2532">
        <v>844914.4375</v>
      </c>
      <c r="D2532" s="1">
        <v>2.5000000000000001E-2</v>
      </c>
      <c r="E2532" s="1">
        <v>0.94253695011138905</v>
      </c>
      <c r="F2532" s="1">
        <v>-1.4E-2</v>
      </c>
      <c r="G2532" s="1">
        <f t="shared" si="78"/>
        <v>4.0000000000000022E-2</v>
      </c>
      <c r="H2532" s="1" t="str">
        <f t="shared" si="79"/>
        <v/>
      </c>
      <c r="I2532" s="1">
        <v>-6.0000000000000001E-3</v>
      </c>
      <c r="J2532" s="1">
        <f>+D2532-F2532+I2532*O2532</f>
        <v>2.1840000000000002E-2</v>
      </c>
      <c r="K2532" s="1">
        <v>3.12288030982018E-2</v>
      </c>
      <c r="L2532" s="1">
        <f>+K2532-J2532</f>
        <v>9.3888030982017985E-3</v>
      </c>
      <c r="M2532" s="1">
        <v>1.32288030982018E-2</v>
      </c>
      <c r="N2532" s="1">
        <f>+M2532-J2532</f>
        <v>-8.6111969017982019E-3</v>
      </c>
      <c r="O2532">
        <v>2.86</v>
      </c>
      <c r="P2532" t="s">
        <v>16</v>
      </c>
      <c r="Q2532">
        <v>0</v>
      </c>
      <c r="R2532">
        <v>4.1285352885723103E-2</v>
      </c>
      <c r="S2532">
        <v>2.24361624568701E-2</v>
      </c>
      <c r="T2532">
        <v>-0.01</v>
      </c>
    </row>
    <row r="2533" spans="1:20" x14ac:dyDescent="0.3">
      <c r="A2533" t="s">
        <v>174</v>
      </c>
      <c r="B2533">
        <v>2020</v>
      </c>
      <c r="C2533">
        <v>842831.75</v>
      </c>
      <c r="D2533" s="1">
        <v>1.0999999999999999E-2</v>
      </c>
      <c r="E2533" s="1">
        <v>0.96556127071380604</v>
      </c>
      <c r="F2533" s="1">
        <v>-4.4999999999999998E-2</v>
      </c>
      <c r="G2533" s="1">
        <f t="shared" si="78"/>
        <v>-4.9999999999999767E-3</v>
      </c>
      <c r="H2533" s="1" t="str">
        <f t="shared" si="79"/>
        <v/>
      </c>
      <c r="I2533" s="1">
        <v>2.3E-2</v>
      </c>
      <c r="J2533" s="1">
        <f>+D2533-F2533+I2533*O2533</f>
        <v>0.11878999999999999</v>
      </c>
      <c r="K2533" s="1">
        <v>5.32853528857231E-2</v>
      </c>
      <c r="L2533" s="1">
        <f>+K2533-J2533</f>
        <v>-6.5504647114276893E-2</v>
      </c>
      <c r="M2533" s="1">
        <v>4.1285352885723103E-2</v>
      </c>
      <c r="N2533" s="1">
        <f>+M2533-J2533</f>
        <v>-7.7504647114276889E-2</v>
      </c>
      <c r="O2533">
        <v>2.73</v>
      </c>
      <c r="P2533" t="s">
        <v>17</v>
      </c>
      <c r="Q2533">
        <v>0.02</v>
      </c>
      <c r="R2533">
        <v>7.8489354133605999E-2</v>
      </c>
      <c r="S2533">
        <v>3.48997414112091E-2</v>
      </c>
      <c r="T2533">
        <v>-0.01</v>
      </c>
    </row>
    <row r="2534" spans="1:20" x14ac:dyDescent="0.3">
      <c r="A2534" t="s">
        <v>174</v>
      </c>
      <c r="B2534">
        <v>2021</v>
      </c>
      <c r="C2534">
        <v>838578.625</v>
      </c>
      <c r="D2534" s="1">
        <v>3.0000000000000001E-3</v>
      </c>
      <c r="E2534" s="1">
        <v>0.971233069896698</v>
      </c>
      <c r="F2534" s="1">
        <v>0.02</v>
      </c>
      <c r="G2534" s="1">
        <f t="shared" si="78"/>
        <v>1.5000000000000024E-2</v>
      </c>
      <c r="H2534" s="1" t="str">
        <f t="shared" si="79"/>
        <v/>
      </c>
      <c r="I2534" s="1">
        <v>6.0000000000000001E-3</v>
      </c>
      <c r="J2534" s="1">
        <f>+D2534-F2534+I2534*O2534</f>
        <v>-2.5999999999999981E-4</v>
      </c>
      <c r="K2534" s="1">
        <v>0.12548935413360601</v>
      </c>
      <c r="L2534" s="1">
        <f>+K2534-J2534</f>
        <v>0.12574935413360602</v>
      </c>
      <c r="M2534" s="1">
        <v>7.8489354133605999E-2</v>
      </c>
      <c r="N2534" s="1">
        <f>+M2534-J2534</f>
        <v>7.8749354133605995E-2</v>
      </c>
      <c r="O2534">
        <v>2.79</v>
      </c>
      <c r="P2534" t="s">
        <v>15</v>
      </c>
      <c r="Q2534">
        <v>0.03</v>
      </c>
      <c r="R2534">
        <v>-7.1867247968912099E-2</v>
      </c>
      <c r="S2534">
        <v>-3.9763741195201797E-2</v>
      </c>
      <c r="T2534">
        <v>-0.01</v>
      </c>
    </row>
    <row r="2535" spans="1:20" x14ac:dyDescent="0.3">
      <c r="A2535" t="s">
        <v>174</v>
      </c>
      <c r="B2535">
        <v>2022</v>
      </c>
      <c r="C2535">
        <v>834390.6875</v>
      </c>
      <c r="D2535" s="1">
        <v>1.7999999999999999E-2</v>
      </c>
      <c r="E2535" s="1">
        <v>0.95633798837661699</v>
      </c>
      <c r="F2535" s="1">
        <v>1.2E-2</v>
      </c>
      <c r="G2535" s="1">
        <f t="shared" si="78"/>
        <v>2.7000000000000024E-2</v>
      </c>
      <c r="H2535" s="1" t="str">
        <f t="shared" si="79"/>
        <v/>
      </c>
      <c r="I2535" s="1">
        <v>-1.4999999999999999E-2</v>
      </c>
      <c r="J2535" s="1">
        <f>+D2535-F2535+I2535*O2535</f>
        <v>-3.6299999999999999E-2</v>
      </c>
      <c r="K2535" s="1">
        <v>8.1327520310878806E-3</v>
      </c>
      <c r="L2535" s="1">
        <f>+K2535-J2535</f>
        <v>4.4432752031087881E-2</v>
      </c>
      <c r="M2535" s="1">
        <v>-7.1867247968912099E-2</v>
      </c>
      <c r="N2535" s="1">
        <f>+M2535-J2535</f>
        <v>-3.55672479689121E-2</v>
      </c>
      <c r="O2535">
        <v>2.82</v>
      </c>
      <c r="P2535" t="s">
        <v>17</v>
      </c>
      <c r="Q2535">
        <v>-0.04</v>
      </c>
      <c r="R2535">
        <v>-1.1951423048973101E-2</v>
      </c>
      <c r="S2535">
        <v>7.6075047254561996E-3</v>
      </c>
      <c r="T2535">
        <v>0.03</v>
      </c>
    </row>
    <row r="2536" spans="1:20" x14ac:dyDescent="0.3">
      <c r="A2536" t="s">
        <v>175</v>
      </c>
      <c r="B2536">
        <v>2006</v>
      </c>
      <c r="C2536">
        <v>242897.29689999999</v>
      </c>
      <c r="D2536" s="1">
        <v>1.0999999999999999E-2</v>
      </c>
      <c r="E2536" s="1">
        <v>0.94048142433166504</v>
      </c>
      <c r="F2536" s="1">
        <v>-8.0000000000000002E-3</v>
      </c>
      <c r="G2536" s="1">
        <f t="shared" si="78"/>
        <v>-8.0000000000000002E-3</v>
      </c>
      <c r="H2536" s="1" t="str">
        <f t="shared" si="79"/>
        <v/>
      </c>
      <c r="I2536" s="1">
        <v>1.2999999999999999E-2</v>
      </c>
      <c r="J2536" s="1">
        <f>+D2536-F2536+I2536*O2536</f>
        <v>4.8119999999999996E-2</v>
      </c>
      <c r="K2536" s="1">
        <v>3.8542948663234697E-2</v>
      </c>
      <c r="L2536" s="1">
        <f>+K2536-J2536</f>
        <v>-9.5770513367652993E-3</v>
      </c>
      <c r="M2536" s="1">
        <v>6.5429486632346901E-3</v>
      </c>
      <c r="N2536" s="1">
        <f>+M2536-J2536</f>
        <v>-4.1577051336765307E-2</v>
      </c>
      <c r="O2536">
        <v>2.2400000000000002</v>
      </c>
      <c r="P2536" t="s">
        <v>17</v>
      </c>
      <c r="Q2536">
        <v>0</v>
      </c>
      <c r="R2536">
        <v>1.32317832708358E-2</v>
      </c>
      <c r="S2536">
        <v>1.41535392031073E-2</v>
      </c>
      <c r="T2536">
        <v>-0.01</v>
      </c>
    </row>
    <row r="2537" spans="1:20" x14ac:dyDescent="0.3">
      <c r="A2537" t="s">
        <v>175</v>
      </c>
      <c r="B2537">
        <v>2007</v>
      </c>
      <c r="C2537">
        <v>245021.89060000001</v>
      </c>
      <c r="D2537" s="1">
        <v>2E-3</v>
      </c>
      <c r="E2537" s="1">
        <v>0.93872851133346602</v>
      </c>
      <c r="F2537" s="1">
        <v>6.7000000000000004E-2</v>
      </c>
      <c r="G2537" s="1">
        <f t="shared" si="78"/>
        <v>5.9000000000000004E-2</v>
      </c>
      <c r="H2537" s="1" t="str">
        <f t="shared" si="79"/>
        <v/>
      </c>
      <c r="I2537" s="1">
        <v>-2E-3</v>
      </c>
      <c r="J2537" s="1">
        <f>+D2537-F2537+I2537*O2537</f>
        <v>-6.9780000000000009E-2</v>
      </c>
      <c r="K2537" s="1">
        <v>4.2231783270835897E-2</v>
      </c>
      <c r="L2537" s="1">
        <f>+K2537-J2537</f>
        <v>0.11201178327083591</v>
      </c>
      <c r="M2537" s="1">
        <v>1.32317832708358E-2</v>
      </c>
      <c r="N2537" s="1">
        <f>+M2537-J2537</f>
        <v>8.3011783270835804E-2</v>
      </c>
      <c r="O2537">
        <v>2.39</v>
      </c>
      <c r="P2537" t="s">
        <v>17</v>
      </c>
      <c r="Q2537">
        <v>0.01</v>
      </c>
      <c r="R2537">
        <v>-2.89957004711031E-2</v>
      </c>
      <c r="S2537">
        <v>5.1510380581021298E-4</v>
      </c>
      <c r="T2537">
        <v>7.0000000000000007E-2</v>
      </c>
    </row>
    <row r="2538" spans="1:20" x14ac:dyDescent="0.3">
      <c r="A2538" t="s">
        <v>175</v>
      </c>
      <c r="B2538">
        <v>2008</v>
      </c>
      <c r="C2538">
        <v>247422</v>
      </c>
      <c r="D2538" s="1">
        <v>5.0000000000000001E-3</v>
      </c>
      <c r="E2538" s="1">
        <v>0.93209856748580899</v>
      </c>
      <c r="F2538" s="1">
        <v>-2.5999999999999999E-2</v>
      </c>
      <c r="G2538" s="1">
        <f t="shared" si="78"/>
        <v>3.3000000000000002E-2</v>
      </c>
      <c r="H2538" s="1" t="str">
        <f t="shared" si="79"/>
        <v/>
      </c>
      <c r="I2538" s="1">
        <v>-7.0000000000000001E-3</v>
      </c>
      <c r="J2538" s="1">
        <f>+D2538-F2538+I2538*O2538</f>
        <v>1.4689999999999998E-2</v>
      </c>
      <c r="K2538" s="1">
        <v>9.0042995288968104E-3</v>
      </c>
      <c r="L2538" s="1">
        <f>+K2538-J2538</f>
        <v>-5.6857004711031878E-3</v>
      </c>
      <c r="M2538" s="1">
        <v>-2.89957004711031E-2</v>
      </c>
      <c r="N2538" s="1">
        <f>+M2538-J2538</f>
        <v>-4.3685700471103095E-2</v>
      </c>
      <c r="O2538">
        <v>2.33</v>
      </c>
      <c r="P2538" t="s">
        <v>16</v>
      </c>
      <c r="Q2538">
        <v>0</v>
      </c>
      <c r="R2538">
        <v>-2.9442530781030599E-2</v>
      </c>
      <c r="S2538">
        <v>-2.8758291155100398E-3</v>
      </c>
      <c r="T2538">
        <v>-0.03</v>
      </c>
    </row>
    <row r="2539" spans="1:20" x14ac:dyDescent="0.3">
      <c r="A2539" t="s">
        <v>175</v>
      </c>
      <c r="B2539">
        <v>2009</v>
      </c>
      <c r="C2539">
        <v>250553.70310000001</v>
      </c>
      <c r="D2539" s="1">
        <v>2.1999999999999999E-2</v>
      </c>
      <c r="E2539" s="1">
        <v>0.91208773851394698</v>
      </c>
      <c r="F2539" s="1">
        <v>2.1000000000000001E-2</v>
      </c>
      <c r="G2539" s="1">
        <f t="shared" si="78"/>
        <v>5.4000000000000006E-2</v>
      </c>
      <c r="H2539" s="1" t="str">
        <f t="shared" si="79"/>
        <v/>
      </c>
      <c r="I2539" s="1">
        <v>-0.02</v>
      </c>
      <c r="J2539" s="1">
        <f>+D2539-F2539+I2539*O2539</f>
        <v>-4.6600000000000003E-2</v>
      </c>
      <c r="K2539" s="1">
        <v>-3.3442530781030697E-2</v>
      </c>
      <c r="L2539" s="1">
        <f>+K2539-J2539</f>
        <v>1.3157469218969306E-2</v>
      </c>
      <c r="M2539" s="1">
        <v>-2.9442530781030599E-2</v>
      </c>
      <c r="N2539" s="1">
        <f>+M2539-J2539</f>
        <v>1.7157469218969403E-2</v>
      </c>
      <c r="O2539">
        <v>2.38</v>
      </c>
      <c r="P2539" t="s">
        <v>17</v>
      </c>
      <c r="Q2539">
        <v>0</v>
      </c>
      <c r="R2539">
        <v>-1.1380184147506901E-2</v>
      </c>
      <c r="S2539">
        <v>-1.92007538862526E-3</v>
      </c>
      <c r="T2539">
        <v>0</v>
      </c>
    </row>
    <row r="2540" spans="1:20" x14ac:dyDescent="0.3">
      <c r="A2540" t="s">
        <v>175</v>
      </c>
      <c r="B2540">
        <v>2010</v>
      </c>
      <c r="C2540">
        <v>254340.1875</v>
      </c>
      <c r="D2540" s="1">
        <v>1.4E-2</v>
      </c>
      <c r="E2540" s="1">
        <v>0.91164964437484697</v>
      </c>
      <c r="F2540" s="1">
        <v>1.9E-2</v>
      </c>
      <c r="G2540" s="1">
        <f t="shared" si="78"/>
        <v>7.3000000000000009E-2</v>
      </c>
      <c r="H2540" s="1" t="str">
        <f t="shared" si="79"/>
        <v/>
      </c>
      <c r="I2540" s="1">
        <v>0</v>
      </c>
      <c r="J2540" s="1">
        <f>+D2540-F2540+I2540*O2540</f>
        <v>-4.9999999999999992E-3</v>
      </c>
      <c r="K2540" s="1">
        <v>4.6198158524930503E-3</v>
      </c>
      <c r="L2540" s="1">
        <f>+K2540-J2540</f>
        <v>9.6198158524930487E-3</v>
      </c>
      <c r="M2540" s="1">
        <v>-1.1380184147506901E-2</v>
      </c>
      <c r="N2540" s="1">
        <f>+M2540-J2540</f>
        <v>-6.3801841475069013E-3</v>
      </c>
      <c r="O2540">
        <v>2.42</v>
      </c>
      <c r="P2540" t="s">
        <v>17</v>
      </c>
      <c r="Q2540">
        <v>0</v>
      </c>
      <c r="R2540">
        <v>-2.0420812413096401E-2</v>
      </c>
      <c r="S2540">
        <v>8.6296210065489902E-4</v>
      </c>
      <c r="T2540">
        <v>0.01</v>
      </c>
    </row>
    <row r="2541" spans="1:20" x14ac:dyDescent="0.3">
      <c r="A2541" t="s">
        <v>175</v>
      </c>
      <c r="B2541">
        <v>2011</v>
      </c>
      <c r="C2541">
        <v>256154.9063</v>
      </c>
      <c r="D2541" s="1">
        <v>5.0000000000000001E-3</v>
      </c>
      <c r="E2541" s="1">
        <v>0.91176509857177701</v>
      </c>
      <c r="F2541" s="1">
        <v>4.2000000000000003E-2</v>
      </c>
      <c r="G2541" s="1">
        <f t="shared" si="78"/>
        <v>0.11500000000000002</v>
      </c>
      <c r="H2541" s="1" t="str">
        <f t="shared" si="79"/>
        <v/>
      </c>
      <c r="I2541" s="1">
        <v>0</v>
      </c>
      <c r="J2541" s="1">
        <f>+D2541-F2541+I2541*O2541</f>
        <v>-3.7000000000000005E-2</v>
      </c>
      <c r="K2541" s="1">
        <v>1.15791875869036E-2</v>
      </c>
      <c r="L2541" s="1">
        <f>+K2541-J2541</f>
        <v>4.8579187586903605E-2</v>
      </c>
      <c r="M2541" s="1">
        <v>-2.0420812413096401E-2</v>
      </c>
      <c r="N2541" s="1">
        <f>+M2541-J2541</f>
        <v>1.6579187586903604E-2</v>
      </c>
      <c r="O2541">
        <v>2.52</v>
      </c>
      <c r="P2541" t="s">
        <v>15</v>
      </c>
      <c r="Q2541">
        <v>0</v>
      </c>
      <c r="R2541">
        <v>-6.4579325765370997E-3</v>
      </c>
      <c r="S2541">
        <v>-1.0197265073656999E-3</v>
      </c>
      <c r="T2541">
        <v>0.04</v>
      </c>
    </row>
    <row r="2542" spans="1:20" x14ac:dyDescent="0.3">
      <c r="A2542" t="s">
        <v>175</v>
      </c>
      <c r="B2542">
        <v>2012</v>
      </c>
      <c r="C2542">
        <v>257662.20310000001</v>
      </c>
      <c r="D2542" s="1">
        <v>8.9999999999999993E-3</v>
      </c>
      <c r="E2542" s="1">
        <v>0.91543841361999501</v>
      </c>
      <c r="F2542" s="1">
        <v>-2.4E-2</v>
      </c>
      <c r="G2542" s="1">
        <f t="shared" si="78"/>
        <v>9.1000000000000025E-2</v>
      </c>
      <c r="H2542" s="1" t="str">
        <f t="shared" si="79"/>
        <v/>
      </c>
      <c r="I2542" s="1">
        <v>4.0000000000000001E-3</v>
      </c>
      <c r="J2542" s="1">
        <f>+D2542-F2542+I2542*O2542</f>
        <v>4.2840000000000003E-2</v>
      </c>
      <c r="K2542" s="1">
        <v>1.4542067423462901E-2</v>
      </c>
      <c r="L2542" s="1">
        <f>+K2542-J2542</f>
        <v>-2.8297932576537101E-2</v>
      </c>
      <c r="M2542" s="1">
        <v>-6.4579325765370997E-3</v>
      </c>
      <c r="N2542" s="1">
        <f>+M2542-J2542</f>
        <v>-4.9297932576537105E-2</v>
      </c>
      <c r="O2542">
        <v>2.46</v>
      </c>
      <c r="P2542" t="s">
        <v>17</v>
      </c>
      <c r="Q2542">
        <v>0</v>
      </c>
      <c r="R2542">
        <v>2.4107477068900998E-3</v>
      </c>
      <c r="S2542">
        <v>-3.7160236388445E-3</v>
      </c>
      <c r="T2542">
        <v>-0.03</v>
      </c>
    </row>
    <row r="2543" spans="1:20" x14ac:dyDescent="0.3">
      <c r="A2543" t="s">
        <v>175</v>
      </c>
      <c r="B2543">
        <v>2013</v>
      </c>
      <c r="C2543">
        <v>259469.7813</v>
      </c>
      <c r="D2543" s="1">
        <v>1.9E-2</v>
      </c>
      <c r="E2543" s="1">
        <v>0.91114693880081199</v>
      </c>
      <c r="F2543" s="1">
        <v>-0.08</v>
      </c>
      <c r="G2543" s="1">
        <f t="shared" si="78"/>
        <v>1.1000000000000024E-2</v>
      </c>
      <c r="H2543" s="1" t="str">
        <f t="shared" si="79"/>
        <v/>
      </c>
      <c r="I2543" s="1">
        <v>-4.0000000000000001E-3</v>
      </c>
      <c r="J2543" s="1">
        <f>+D2543-F2543+I2543*O2543</f>
        <v>8.992E-2</v>
      </c>
      <c r="K2543" s="1">
        <v>1.7410747706890099E-2</v>
      </c>
      <c r="L2543" s="1">
        <f>+K2543-J2543</f>
        <v>-7.2509252293109894E-2</v>
      </c>
      <c r="M2543" s="1">
        <v>2.4107477068900998E-3</v>
      </c>
      <c r="N2543" s="1">
        <f>+M2543-J2543</f>
        <v>-8.7509252293109907E-2</v>
      </c>
      <c r="O2543">
        <v>2.27</v>
      </c>
      <c r="P2543" t="s">
        <v>16</v>
      </c>
      <c r="Q2543">
        <v>0</v>
      </c>
      <c r="R2543">
        <v>9.7422495633363998E-3</v>
      </c>
      <c r="S2543">
        <v>7.73422606289389E-3</v>
      </c>
      <c r="T2543">
        <v>-0.09</v>
      </c>
    </row>
    <row r="2544" spans="1:20" x14ac:dyDescent="0.3">
      <c r="A2544" t="s">
        <v>175</v>
      </c>
      <c r="B2544">
        <v>2014</v>
      </c>
      <c r="C2544">
        <v>261453.89060000001</v>
      </c>
      <c r="D2544" s="1">
        <v>8.9999999999999993E-3</v>
      </c>
      <c r="E2544" s="1">
        <v>0.91417098045349099</v>
      </c>
      <c r="F2544" s="1">
        <v>3.7999999999999999E-2</v>
      </c>
      <c r="G2544" s="1">
        <f t="shared" si="78"/>
        <v>4.9000000000000023E-2</v>
      </c>
      <c r="H2544" s="1" t="str">
        <f t="shared" si="79"/>
        <v/>
      </c>
      <c r="I2544" s="1">
        <v>3.0000000000000001E-3</v>
      </c>
      <c r="J2544" s="1">
        <f>+D2544-F2544+I2544*O2544</f>
        <v>-2.1949999999999997E-2</v>
      </c>
      <c r="K2544" s="1">
        <v>2.57422495633364E-2</v>
      </c>
      <c r="L2544" s="1">
        <f>+K2544-J2544</f>
        <v>4.7692249563336397E-2</v>
      </c>
      <c r="M2544" s="1">
        <v>9.7422495633363998E-3</v>
      </c>
      <c r="N2544" s="1">
        <f>+M2544-J2544</f>
        <v>3.1692249563336397E-2</v>
      </c>
      <c r="O2544">
        <v>2.35</v>
      </c>
      <c r="P2544" t="s">
        <v>15</v>
      </c>
      <c r="Q2544">
        <v>0.01</v>
      </c>
      <c r="R2544">
        <v>2.12744643688202E-2</v>
      </c>
      <c r="S2544">
        <v>-8.9889876544474896E-3</v>
      </c>
      <c r="T2544">
        <v>0.03</v>
      </c>
    </row>
    <row r="2545" spans="1:20" x14ac:dyDescent="0.3">
      <c r="A2545" t="s">
        <v>175</v>
      </c>
      <c r="B2545">
        <v>2015</v>
      </c>
      <c r="C2545">
        <v>263803.8125</v>
      </c>
      <c r="D2545" s="1">
        <v>0.04</v>
      </c>
      <c r="E2545" s="1">
        <v>0.89114469289779696</v>
      </c>
      <c r="F2545" s="1">
        <v>-2.7E-2</v>
      </c>
      <c r="G2545" s="1">
        <f t="shared" si="78"/>
        <v>2.2000000000000023E-2</v>
      </c>
      <c r="H2545" s="1" t="str">
        <f t="shared" si="79"/>
        <v/>
      </c>
      <c r="I2545" s="1">
        <v>-2.3E-2</v>
      </c>
      <c r="J2545" s="1">
        <f>+D2545-F2545+I2545*O2545</f>
        <v>1.4330000000000002E-2</v>
      </c>
      <c r="K2545" s="1">
        <v>2.2274464368820201E-2</v>
      </c>
      <c r="L2545" s="1">
        <f>+K2545-J2545</f>
        <v>7.9444643688201984E-3</v>
      </c>
      <c r="M2545" s="1">
        <v>2.12744643688202E-2</v>
      </c>
      <c r="N2545" s="1">
        <f>+M2545-J2545</f>
        <v>6.9444643688201975E-3</v>
      </c>
      <c r="O2545">
        <v>2.29</v>
      </c>
      <c r="P2545" t="s">
        <v>16</v>
      </c>
      <c r="Q2545">
        <v>-0.01</v>
      </c>
      <c r="R2545">
        <v>1.16048774570227E-2</v>
      </c>
      <c r="S2545">
        <v>-1.54867954552169E-3</v>
      </c>
      <c r="T2545">
        <v>-0.02</v>
      </c>
    </row>
    <row r="2546" spans="1:20" x14ac:dyDescent="0.3">
      <c r="A2546" t="s">
        <v>175</v>
      </c>
      <c r="B2546">
        <v>2016</v>
      </c>
      <c r="C2546">
        <v>266583.3125</v>
      </c>
      <c r="D2546" s="1">
        <v>1.4E-2</v>
      </c>
      <c r="E2546" s="1">
        <v>0.90893101692199696</v>
      </c>
      <c r="F2546" s="1">
        <v>0.10199999999999999</v>
      </c>
      <c r="G2546" s="1">
        <f t="shared" si="78"/>
        <v>0.12400000000000001</v>
      </c>
      <c r="H2546" s="1">
        <f t="shared" si="79"/>
        <v>2.0301659591495949E-2</v>
      </c>
      <c r="I2546" s="1">
        <v>1.7999999999999999E-2</v>
      </c>
      <c r="J2546" s="1">
        <f>+D2546-F2546+I2546*O2546</f>
        <v>-4.2639999999999997E-2</v>
      </c>
      <c r="K2546" s="1">
        <v>2.4604877457022702E-2</v>
      </c>
      <c r="L2546" s="1">
        <f>+K2546-J2546</f>
        <v>6.7244877457022706E-2</v>
      </c>
      <c r="M2546" s="1">
        <v>1.16048774570227E-2</v>
      </c>
      <c r="N2546" s="1">
        <f>+M2546-J2546</f>
        <v>5.4244877457022694E-2</v>
      </c>
      <c r="O2546">
        <v>2.52</v>
      </c>
      <c r="P2546" t="s">
        <v>15</v>
      </c>
      <c r="Q2546">
        <v>0</v>
      </c>
      <c r="R2546">
        <v>-2.2005876898770199E-4</v>
      </c>
      <c r="S2546">
        <v>-3.0096322298049901E-3</v>
      </c>
      <c r="T2546">
        <v>0.1</v>
      </c>
    </row>
    <row r="2547" spans="1:20" x14ac:dyDescent="0.3">
      <c r="A2547" t="s">
        <v>175</v>
      </c>
      <c r="B2547">
        <v>2017</v>
      </c>
      <c r="C2547">
        <v>270387.09379999997</v>
      </c>
      <c r="D2547" s="1">
        <v>4.7E-2</v>
      </c>
      <c r="E2547" s="1">
        <v>0.90743970870971702</v>
      </c>
      <c r="F2547" s="1">
        <v>-8.5999999999999993E-2</v>
      </c>
      <c r="G2547" s="1">
        <f t="shared" si="78"/>
        <v>3.800000000000002E-2</v>
      </c>
      <c r="H2547" s="1" t="str">
        <f t="shared" si="79"/>
        <v/>
      </c>
      <c r="I2547" s="1">
        <v>-1E-3</v>
      </c>
      <c r="J2547" s="1">
        <f>+D2547-F2547+I2547*O2547</f>
        <v>0.13070000000000001</v>
      </c>
      <c r="K2547" s="1">
        <v>2.0779941231012299E-2</v>
      </c>
      <c r="L2547" s="1">
        <f>+K2547-J2547</f>
        <v>-0.10992005876898771</v>
      </c>
      <c r="M2547" s="1">
        <v>-2.2005876898770199E-4</v>
      </c>
      <c r="N2547" s="1">
        <f>+M2547-J2547</f>
        <v>-0.13092005876898771</v>
      </c>
      <c r="O2547">
        <v>2.2999999999999998</v>
      </c>
      <c r="P2547" t="s">
        <v>16</v>
      </c>
      <c r="Q2547">
        <v>0</v>
      </c>
      <c r="R2547">
        <v>-4.1766220480203998E-3</v>
      </c>
      <c r="S2547">
        <v>-1.3311645016074101E-2</v>
      </c>
      <c r="T2547">
        <v>-0.08</v>
      </c>
    </row>
    <row r="2548" spans="1:20" x14ac:dyDescent="0.3">
      <c r="A2548" t="s">
        <v>175</v>
      </c>
      <c r="B2548">
        <v>2018</v>
      </c>
      <c r="C2548">
        <v>273054.6875</v>
      </c>
      <c r="D2548" s="1">
        <v>2.4E-2</v>
      </c>
      <c r="E2548" s="1">
        <v>0.90457677841186501</v>
      </c>
      <c r="F2548" s="1">
        <v>8.4000000000000005E-2</v>
      </c>
      <c r="G2548" s="1">
        <f t="shared" si="78"/>
        <v>0.12200000000000003</v>
      </c>
      <c r="H2548" s="1">
        <f t="shared" si="79"/>
        <v>3.7184206768870354E-2</v>
      </c>
      <c r="I2548" s="1">
        <v>-3.0000000000000001E-3</v>
      </c>
      <c r="J2548" s="1">
        <f>+D2548-F2548+I2548*O2548</f>
        <v>-6.7500000000000004E-2</v>
      </c>
      <c r="K2548" s="1">
        <v>1.9823377951979599E-2</v>
      </c>
      <c r="L2548" s="1">
        <f>+K2548-J2548</f>
        <v>8.73233779519796E-2</v>
      </c>
      <c r="M2548" s="1">
        <v>-4.1766220480203998E-3</v>
      </c>
      <c r="N2548" s="1">
        <f>+M2548-J2548</f>
        <v>6.3323377951979606E-2</v>
      </c>
      <c r="O2548">
        <v>2.5</v>
      </c>
      <c r="P2548" t="s">
        <v>17</v>
      </c>
      <c r="Q2548">
        <v>-0.01</v>
      </c>
      <c r="R2548">
        <v>2.1189055562019301E-2</v>
      </c>
      <c r="S2548">
        <v>3.38786095380779E-3</v>
      </c>
      <c r="T2548">
        <v>0.09</v>
      </c>
    </row>
    <row r="2549" spans="1:20" x14ac:dyDescent="0.3">
      <c r="A2549" t="s">
        <v>175</v>
      </c>
      <c r="B2549">
        <v>2019</v>
      </c>
      <c r="C2549">
        <v>276082.78129999997</v>
      </c>
      <c r="D2549" s="1">
        <v>2E-3</v>
      </c>
      <c r="E2549" s="1">
        <v>0.93207645416259799</v>
      </c>
      <c r="F2549" s="1">
        <v>-5.0999999999999997E-2</v>
      </c>
      <c r="G2549" s="1">
        <f t="shared" si="78"/>
        <v>7.1000000000000035E-2</v>
      </c>
      <c r="H2549" s="1" t="str">
        <f t="shared" si="79"/>
        <v/>
      </c>
      <c r="I2549" s="1">
        <v>2.7E-2</v>
      </c>
      <c r="J2549" s="1">
        <f>+D2549-F2549+I2549*O2549</f>
        <v>0.11699000000000001</v>
      </c>
      <c r="K2549" s="1">
        <v>3.91890555620193E-2</v>
      </c>
      <c r="L2549" s="1">
        <f>+K2549-J2549</f>
        <v>-7.7800944437980718E-2</v>
      </c>
      <c r="M2549" s="1">
        <v>2.1189055562019301E-2</v>
      </c>
      <c r="N2549" s="1">
        <f>+M2549-J2549</f>
        <v>-9.5800944437980706E-2</v>
      </c>
      <c r="O2549">
        <v>2.37</v>
      </c>
      <c r="P2549" t="s">
        <v>17</v>
      </c>
      <c r="Q2549">
        <v>0</v>
      </c>
      <c r="R2549">
        <v>2.3179357975721401E-2</v>
      </c>
      <c r="S2549">
        <v>4.3301675468683997E-3</v>
      </c>
      <c r="T2549">
        <v>-0.04</v>
      </c>
    </row>
    <row r="2550" spans="1:20" x14ac:dyDescent="0.3">
      <c r="A2550" t="s">
        <v>175</v>
      </c>
      <c r="B2550">
        <v>2020</v>
      </c>
      <c r="C2550">
        <v>278822.6875</v>
      </c>
      <c r="D2550" s="1">
        <v>4.2999999999999997E-2</v>
      </c>
      <c r="E2550" s="1">
        <v>0.938004910945892</v>
      </c>
      <c r="F2550" s="1">
        <v>-7.1999999999999995E-2</v>
      </c>
      <c r="G2550" s="1">
        <f t="shared" si="78"/>
        <v>-9.9999999999995925E-4</v>
      </c>
      <c r="H2550" s="1" t="str">
        <f t="shared" si="79"/>
        <v/>
      </c>
      <c r="I2550" s="1">
        <v>6.0000000000000001E-3</v>
      </c>
      <c r="J2550" s="1">
        <f>+D2550-F2550+I2550*O2550</f>
        <v>0.12819999999999998</v>
      </c>
      <c r="K2550" s="1">
        <v>3.5179357975721401E-2</v>
      </c>
      <c r="L2550" s="1">
        <f>+K2550-J2550</f>
        <v>-9.302064202427858E-2</v>
      </c>
      <c r="M2550" s="1">
        <v>2.3179357975721401E-2</v>
      </c>
      <c r="N2550" s="1">
        <f>+M2550-J2550</f>
        <v>-0.10502064202427858</v>
      </c>
      <c r="O2550">
        <v>2.2000000000000002</v>
      </c>
      <c r="P2550" t="s">
        <v>17</v>
      </c>
      <c r="Q2550">
        <v>0</v>
      </c>
      <c r="R2550">
        <v>5.8536743998527999E-2</v>
      </c>
      <c r="S2550">
        <v>1.4947131276131001E-2</v>
      </c>
      <c r="T2550">
        <v>-0.03</v>
      </c>
    </row>
    <row r="2551" spans="1:20" x14ac:dyDescent="0.3">
      <c r="A2551" t="s">
        <v>175</v>
      </c>
      <c r="B2551">
        <v>2021</v>
      </c>
      <c r="C2551">
        <v>281388.5</v>
      </c>
      <c r="D2551" s="1">
        <v>5.0000000000000001E-3</v>
      </c>
      <c r="E2551" s="1">
        <v>0.95202231407165505</v>
      </c>
      <c r="F2551" s="1">
        <v>4.2000000000000003E-2</v>
      </c>
      <c r="G2551" s="1">
        <f t="shared" si="78"/>
        <v>4.1000000000000043E-2</v>
      </c>
      <c r="H2551" s="1" t="str">
        <f t="shared" si="79"/>
        <v/>
      </c>
      <c r="I2551" s="1">
        <v>1.4E-2</v>
      </c>
      <c r="J2551" s="1">
        <f>+D2551-F2551+I2551*O2551</f>
        <v>-4.9400000000000069E-3</v>
      </c>
      <c r="K2551" s="1">
        <v>0.105536743998528</v>
      </c>
      <c r="L2551" s="1">
        <f>+K2551-J2551</f>
        <v>0.110476743998528</v>
      </c>
      <c r="M2551" s="1">
        <v>5.8536743998527999E-2</v>
      </c>
      <c r="N2551" s="1">
        <f>+M2551-J2551</f>
        <v>6.3476743998528012E-2</v>
      </c>
      <c r="O2551">
        <v>2.29</v>
      </c>
      <c r="P2551" t="s">
        <v>15</v>
      </c>
      <c r="Q2551">
        <v>0.01</v>
      </c>
      <c r="R2551">
        <v>-6.6480952501296996E-3</v>
      </c>
      <c r="S2551">
        <v>2.54554115235806E-2</v>
      </c>
      <c r="T2551">
        <v>0.01</v>
      </c>
    </row>
    <row r="2552" spans="1:20" x14ac:dyDescent="0.3">
      <c r="A2552" t="s">
        <v>175</v>
      </c>
      <c r="B2552">
        <v>2022</v>
      </c>
      <c r="C2552">
        <v>283969.59379999997</v>
      </c>
      <c r="D2552" s="1">
        <v>1.7999999999999999E-2</v>
      </c>
      <c r="E2552" s="1">
        <v>0.92840337753295898</v>
      </c>
      <c r="F2552" s="1">
        <v>1.7000000000000001E-2</v>
      </c>
      <c r="G2552" s="1">
        <f t="shared" si="78"/>
        <v>5.8000000000000045E-2</v>
      </c>
      <c r="H2552" s="1" t="str">
        <f t="shared" si="79"/>
        <v/>
      </c>
      <c r="I2552" s="1">
        <v>-2.4E-2</v>
      </c>
      <c r="J2552" s="1">
        <f>+D2552-F2552+I2552*O2552</f>
        <v>-5.492000000000001E-2</v>
      </c>
      <c r="K2552" s="1">
        <v>7.33519047498703E-2</v>
      </c>
      <c r="L2552" s="1">
        <f>+K2552-J2552</f>
        <v>0.12827190474987032</v>
      </c>
      <c r="M2552" s="1">
        <v>-6.6480952501296996E-3</v>
      </c>
      <c r="N2552" s="1">
        <f>+M2552-J2552</f>
        <v>4.8271904749870309E-2</v>
      </c>
      <c r="O2552">
        <v>2.33</v>
      </c>
      <c r="P2552" t="s">
        <v>17</v>
      </c>
      <c r="Q2552">
        <v>0.03</v>
      </c>
      <c r="R2552">
        <v>-3.2166693158447703E-2</v>
      </c>
      <c r="S2552">
        <v>-1.26077653840184E-2</v>
      </c>
      <c r="T2552">
        <v>0.03</v>
      </c>
    </row>
    <row r="2553" spans="1:20" x14ac:dyDescent="0.3">
      <c r="A2553" t="s">
        <v>176</v>
      </c>
      <c r="B2553">
        <v>2006</v>
      </c>
      <c r="C2553">
        <v>5332093</v>
      </c>
      <c r="D2553" s="1">
        <v>0.01</v>
      </c>
      <c r="E2553" s="1">
        <v>0.93249446153640703</v>
      </c>
      <c r="F2553" s="1">
        <v>7.0000000000000001E-3</v>
      </c>
      <c r="G2553" s="1">
        <f t="shared" si="78"/>
        <v>7.0000000000000001E-3</v>
      </c>
      <c r="H2553" s="1" t="str">
        <f t="shared" si="79"/>
        <v/>
      </c>
      <c r="I2553" s="1">
        <v>-3.0000000000000001E-3</v>
      </c>
      <c r="J2553" s="1">
        <f>+D2553-F2553+I2553*O2553</f>
        <v>-3.6899999999999997E-3</v>
      </c>
      <c r="K2553" s="1">
        <v>5.1938604563474697E-2</v>
      </c>
      <c r="L2553" s="1">
        <f>+K2553-J2553</f>
        <v>5.5628604563474696E-2</v>
      </c>
      <c r="M2553" s="1">
        <v>1.9938604563474599E-2</v>
      </c>
      <c r="N2553" s="1">
        <f>+M2553-J2553</f>
        <v>2.3628604563474598E-2</v>
      </c>
      <c r="O2553">
        <v>2.23</v>
      </c>
      <c r="P2553" t="s">
        <v>17</v>
      </c>
      <c r="Q2553">
        <v>0.01</v>
      </c>
      <c r="R2553">
        <v>1.4660588562488501E-2</v>
      </c>
      <c r="S2553">
        <v>1.558234449476E-2</v>
      </c>
      <c r="T2553">
        <v>0</v>
      </c>
    </row>
    <row r="2554" spans="1:20" x14ac:dyDescent="0.3">
      <c r="A2554" t="s">
        <v>176</v>
      </c>
      <c r="B2554">
        <v>2007</v>
      </c>
      <c r="C2554">
        <v>5390914</v>
      </c>
      <c r="D2554" s="1">
        <v>0.02</v>
      </c>
      <c r="E2554" s="1">
        <v>0.93271058797836304</v>
      </c>
      <c r="F2554" s="1">
        <v>-1.7000000000000001E-2</v>
      </c>
      <c r="G2554" s="1">
        <f t="shared" si="78"/>
        <v>-1.0000000000000002E-2</v>
      </c>
      <c r="H2554" s="1" t="str">
        <f t="shared" si="79"/>
        <v/>
      </c>
      <c r="I2554" s="1">
        <v>0</v>
      </c>
      <c r="J2554" s="1">
        <f>+D2554-F2554+I2554*O2554</f>
        <v>3.7000000000000005E-2</v>
      </c>
      <c r="K2554" s="1">
        <v>4.3660588562488598E-2</v>
      </c>
      <c r="L2554" s="1">
        <f>+K2554-J2554</f>
        <v>6.6605885624885924E-3</v>
      </c>
      <c r="M2554" s="1">
        <v>1.4660588562488501E-2</v>
      </c>
      <c r="N2554" s="1">
        <f>+M2554-J2554</f>
        <v>-2.2339411437511503E-2</v>
      </c>
      <c r="O2554">
        <v>2.19</v>
      </c>
      <c r="P2554" t="s">
        <v>17</v>
      </c>
      <c r="Q2554">
        <v>0.02</v>
      </c>
      <c r="R2554">
        <v>-1.60090022832154E-2</v>
      </c>
      <c r="S2554">
        <v>1.3501801993697901E-2</v>
      </c>
      <c r="T2554">
        <v>-0.02</v>
      </c>
    </row>
    <row r="2555" spans="1:20" x14ac:dyDescent="0.3">
      <c r="A2555" t="s">
        <v>176</v>
      </c>
      <c r="B2555">
        <v>2008</v>
      </c>
      <c r="C2555">
        <v>5471019</v>
      </c>
      <c r="D2555" s="1">
        <v>0.02</v>
      </c>
      <c r="E2555" s="1">
        <v>0.92830795049667403</v>
      </c>
      <c r="F2555" s="1">
        <v>1.4999999999999999E-2</v>
      </c>
      <c r="G2555" s="1">
        <f t="shared" si="78"/>
        <v>4.9999999999999975E-3</v>
      </c>
      <c r="H2555" s="1" t="str">
        <f t="shared" si="79"/>
        <v/>
      </c>
      <c r="I2555" s="1">
        <v>-4.0000000000000001E-3</v>
      </c>
      <c r="J2555" s="1">
        <f>+D2555-F2555+I2555*O2555</f>
        <v>-3.9199999999999999E-3</v>
      </c>
      <c r="K2555" s="1">
        <v>2.1990997716784502E-2</v>
      </c>
      <c r="L2555" s="1">
        <f>+K2555-J2555</f>
        <v>2.5910997716784501E-2</v>
      </c>
      <c r="M2555" s="1">
        <v>-1.60090022832154E-2</v>
      </c>
      <c r="N2555" s="1">
        <f>+M2555-J2555</f>
        <v>-1.2089002283215401E-2</v>
      </c>
      <c r="O2555">
        <v>2.23</v>
      </c>
      <c r="P2555" t="s">
        <v>17</v>
      </c>
      <c r="Q2555">
        <v>0.01</v>
      </c>
      <c r="R2555">
        <v>1.2086223155259999E-2</v>
      </c>
      <c r="S2555">
        <v>3.8652924820780699E-2</v>
      </c>
      <c r="T2555">
        <v>0.01</v>
      </c>
    </row>
    <row r="2556" spans="1:20" x14ac:dyDescent="0.3">
      <c r="A2556" t="s">
        <v>176</v>
      </c>
      <c r="B2556">
        <v>2009</v>
      </c>
      <c r="C2556">
        <v>5578041</v>
      </c>
      <c r="D2556" s="1">
        <v>1.7999999999999999E-2</v>
      </c>
      <c r="E2556" s="1">
        <v>0.93262761831283603</v>
      </c>
      <c r="F2556" s="1">
        <v>2.1999999999999999E-2</v>
      </c>
      <c r="G2556" s="1">
        <f t="shared" si="78"/>
        <v>2.6999999999999996E-2</v>
      </c>
      <c r="H2556" s="1" t="str">
        <f t="shared" si="79"/>
        <v/>
      </c>
      <c r="I2556" s="1">
        <v>4.0000000000000001E-3</v>
      </c>
      <c r="J2556" s="1">
        <f>+D2556-F2556+I2556*O2556</f>
        <v>5.1199999999999996E-3</v>
      </c>
      <c r="K2556" s="1">
        <v>8.0862231552600895E-3</v>
      </c>
      <c r="L2556" s="1">
        <f>+K2556-J2556</f>
        <v>2.96622315526009E-3</v>
      </c>
      <c r="M2556" s="1">
        <v>1.2086223155259999E-2</v>
      </c>
      <c r="N2556" s="1">
        <f>+M2556-J2556</f>
        <v>6.9662231552599999E-3</v>
      </c>
      <c r="O2556">
        <v>2.2799999999999998</v>
      </c>
      <c r="P2556" t="s">
        <v>15</v>
      </c>
      <c r="Q2556">
        <v>0.04</v>
      </c>
      <c r="R2556">
        <v>3.3822781234979601E-2</v>
      </c>
      <c r="S2556">
        <v>4.32828899938612E-2</v>
      </c>
      <c r="T2556">
        <v>0</v>
      </c>
    </row>
    <row r="2557" spans="1:20" x14ac:dyDescent="0.3">
      <c r="A2557" t="s">
        <v>176</v>
      </c>
      <c r="B2557">
        <v>2010</v>
      </c>
      <c r="C2557">
        <v>5695154</v>
      </c>
      <c r="D2557" s="1">
        <v>1.2E-2</v>
      </c>
      <c r="E2557" s="1">
        <v>0.93962049484252896</v>
      </c>
      <c r="F2557" s="1">
        <v>2.3E-2</v>
      </c>
      <c r="G2557" s="1">
        <f t="shared" si="78"/>
        <v>4.9999999999999996E-2</v>
      </c>
      <c r="H2557" s="1" t="str">
        <f t="shared" si="79"/>
        <v/>
      </c>
      <c r="I2557" s="1">
        <v>7.0000000000000001E-3</v>
      </c>
      <c r="J2557" s="1">
        <f>+D2557-F2557+I2557*O2557</f>
        <v>5.3100000000000022E-3</v>
      </c>
      <c r="K2557" s="1">
        <v>4.9822781234979602E-2</v>
      </c>
      <c r="L2557" s="1">
        <f>+K2557-J2557</f>
        <v>4.45127812349796E-2</v>
      </c>
      <c r="M2557" s="1">
        <v>3.3822781234979601E-2</v>
      </c>
      <c r="N2557" s="1">
        <f>+M2557-J2557</f>
        <v>2.8512781234979599E-2</v>
      </c>
      <c r="O2557">
        <v>2.33</v>
      </c>
      <c r="P2557" t="s">
        <v>15</v>
      </c>
      <c r="Q2557">
        <v>0.04</v>
      </c>
      <c r="R2557">
        <v>-1.55612699389458E-2</v>
      </c>
      <c r="S2557">
        <v>5.7225045748054903E-3</v>
      </c>
      <c r="T2557">
        <v>0.01</v>
      </c>
    </row>
    <row r="2558" spans="1:20" x14ac:dyDescent="0.3">
      <c r="A2558" t="s">
        <v>176</v>
      </c>
      <c r="B2558">
        <v>2011</v>
      </c>
      <c r="C2558">
        <v>5804092</v>
      </c>
      <c r="D2558" s="1">
        <v>1.0999999999999999E-2</v>
      </c>
      <c r="E2558" s="1">
        <v>0.93738430738449097</v>
      </c>
      <c r="F2558" s="1">
        <v>8.9999999999999993E-3</v>
      </c>
      <c r="G2558" s="1">
        <f t="shared" si="78"/>
        <v>5.8999999999999997E-2</v>
      </c>
      <c r="H2558" s="1" t="str">
        <f t="shared" si="79"/>
        <v/>
      </c>
      <c r="I2558" s="1">
        <v>-2E-3</v>
      </c>
      <c r="J2558" s="1">
        <f>+D2558-F2558+I2558*O2558</f>
        <v>-2.7000000000000001E-3</v>
      </c>
      <c r="K2558" s="1">
        <v>1.6438730061054199E-2</v>
      </c>
      <c r="L2558" s="1">
        <f>+K2558-J2558</f>
        <v>1.91387300610542E-2</v>
      </c>
      <c r="M2558" s="1">
        <v>-1.55612699389458E-2</v>
      </c>
      <c r="N2558" s="1">
        <f>+M2558-J2558</f>
        <v>-1.2861269938945801E-2</v>
      </c>
      <c r="O2558">
        <v>2.35</v>
      </c>
      <c r="P2558" t="s">
        <v>17</v>
      </c>
      <c r="Q2558">
        <v>0.01</v>
      </c>
      <c r="R2558">
        <v>-1.747926980257E-3</v>
      </c>
      <c r="S2558">
        <v>3.69027908891439E-3</v>
      </c>
      <c r="T2558">
        <v>0.01</v>
      </c>
    </row>
    <row r="2559" spans="1:20" x14ac:dyDescent="0.3">
      <c r="A2559" t="s">
        <v>176</v>
      </c>
      <c r="B2559">
        <v>2012</v>
      </c>
      <c r="C2559">
        <v>5905618</v>
      </c>
      <c r="D2559" s="1">
        <v>1.6E-2</v>
      </c>
      <c r="E2559" s="1">
        <v>0.94085669517517101</v>
      </c>
      <c r="F2559" s="1">
        <v>7.0000000000000001E-3</v>
      </c>
      <c r="G2559" s="1">
        <f t="shared" si="78"/>
        <v>6.6000000000000003E-2</v>
      </c>
      <c r="H2559" s="1" t="str">
        <f t="shared" si="79"/>
        <v/>
      </c>
      <c r="I2559" s="1">
        <v>3.0000000000000001E-3</v>
      </c>
      <c r="J2559" s="1">
        <f>+D2559-F2559+I2559*O2559</f>
        <v>1.6110000000000003E-2</v>
      </c>
      <c r="K2559" s="1">
        <v>1.9252073019743E-2</v>
      </c>
      <c r="L2559" s="1">
        <f>+K2559-J2559</f>
        <v>3.1420730197429976E-3</v>
      </c>
      <c r="M2559" s="1">
        <v>-1.747926980257E-3</v>
      </c>
      <c r="N2559" s="1">
        <f>+M2559-J2559</f>
        <v>-1.7857926980257004E-2</v>
      </c>
      <c r="O2559">
        <v>2.37</v>
      </c>
      <c r="P2559" t="s">
        <v>15</v>
      </c>
      <c r="Q2559">
        <v>0</v>
      </c>
      <c r="R2559">
        <v>-2.17067018151279E-3</v>
      </c>
      <c r="S2559">
        <v>-8.2974415272473994E-3</v>
      </c>
      <c r="T2559">
        <v>0</v>
      </c>
    </row>
    <row r="2560" spans="1:20" x14ac:dyDescent="0.3">
      <c r="A2560" t="s">
        <v>176</v>
      </c>
      <c r="B2560">
        <v>2013</v>
      </c>
      <c r="C2560">
        <v>5992500</v>
      </c>
      <c r="D2560" s="1">
        <v>2.5999999999999999E-2</v>
      </c>
      <c r="E2560" s="1">
        <v>0.93428289890289296</v>
      </c>
      <c r="F2560" s="1">
        <v>2.3E-2</v>
      </c>
      <c r="G2560" s="1">
        <f t="shared" si="78"/>
        <v>8.8999999999999996E-2</v>
      </c>
      <c r="H2560" s="1" t="str">
        <f t="shared" si="79"/>
        <v/>
      </c>
      <c r="I2560" s="1">
        <v>-7.0000000000000001E-3</v>
      </c>
      <c r="J2560" s="1">
        <f>+D2560-F2560+I2560*O2560</f>
        <v>-1.3940000000000001E-2</v>
      </c>
      <c r="K2560" s="1">
        <v>1.28293298184872E-2</v>
      </c>
      <c r="L2560" s="1">
        <f>+K2560-J2560</f>
        <v>2.6769329818487203E-2</v>
      </c>
      <c r="M2560" s="1">
        <v>-2.17067018151279E-3</v>
      </c>
      <c r="N2560" s="1">
        <f>+M2560-J2560</f>
        <v>1.1769329818487211E-2</v>
      </c>
      <c r="O2560">
        <v>2.42</v>
      </c>
      <c r="P2560" t="s">
        <v>17</v>
      </c>
      <c r="Q2560">
        <v>-0.01</v>
      </c>
      <c r="R2560">
        <v>-6.4832784086465804E-3</v>
      </c>
      <c r="S2560">
        <v>-8.4913019090890798E-3</v>
      </c>
      <c r="T2560">
        <v>0.02</v>
      </c>
    </row>
    <row r="2561" spans="1:20" x14ac:dyDescent="0.3">
      <c r="A2561" t="s">
        <v>176</v>
      </c>
      <c r="B2561">
        <v>2014</v>
      </c>
      <c r="C2561">
        <v>6067520</v>
      </c>
      <c r="D2561" s="1">
        <v>3.5000000000000003E-2</v>
      </c>
      <c r="E2561" s="1">
        <v>0.92696225643158003</v>
      </c>
      <c r="F2561" s="1">
        <v>-2.3E-2</v>
      </c>
      <c r="G2561" s="1">
        <f t="shared" si="78"/>
        <v>6.6000000000000003E-2</v>
      </c>
      <c r="H2561" s="1" t="str">
        <f t="shared" si="79"/>
        <v/>
      </c>
      <c r="I2561" s="1">
        <v>-7.0000000000000001E-3</v>
      </c>
      <c r="J2561" s="1">
        <f>+D2561-F2561+I2561*O2561</f>
        <v>4.1410000000000002E-2</v>
      </c>
      <c r="K2561" s="1">
        <v>9.5167215913534199E-3</v>
      </c>
      <c r="L2561" s="1">
        <f>+K2561-J2561</f>
        <v>-3.1893278408646586E-2</v>
      </c>
      <c r="M2561" s="1">
        <v>-6.4832784086465804E-3</v>
      </c>
      <c r="N2561" s="1">
        <f>+M2561-J2561</f>
        <v>-4.7893278408646586E-2</v>
      </c>
      <c r="O2561">
        <v>2.37</v>
      </c>
      <c r="P2561" t="s">
        <v>16</v>
      </c>
      <c r="Q2561">
        <v>-0.01</v>
      </c>
      <c r="R2561">
        <v>3.6021175026893601E-2</v>
      </c>
      <c r="S2561">
        <v>5.7577230036259001E-3</v>
      </c>
      <c r="T2561">
        <v>-0.03</v>
      </c>
    </row>
    <row r="2562" spans="1:20" x14ac:dyDescent="0.3">
      <c r="A2562" t="s">
        <v>176</v>
      </c>
      <c r="B2562">
        <v>2015</v>
      </c>
      <c r="C2562">
        <v>6134479</v>
      </c>
      <c r="D2562" s="1">
        <v>2.7E-2</v>
      </c>
      <c r="E2562" s="1">
        <v>0.932883620262146</v>
      </c>
      <c r="F2562" s="1">
        <v>1.7999999999999999E-2</v>
      </c>
      <c r="G2562" s="1">
        <f t="shared" si="78"/>
        <v>8.4000000000000005E-2</v>
      </c>
      <c r="H2562" s="1" t="str">
        <f t="shared" si="79"/>
        <v/>
      </c>
      <c r="I2562" s="1">
        <v>6.0000000000000001E-3</v>
      </c>
      <c r="J2562" s="1">
        <f>+D2562-F2562+I2562*O2562</f>
        <v>2.3460000000000002E-2</v>
      </c>
      <c r="K2562" s="1">
        <v>3.7021175026893602E-2</v>
      </c>
      <c r="L2562" s="1">
        <f>+K2562-J2562</f>
        <v>1.35611750268936E-2</v>
      </c>
      <c r="M2562" s="1">
        <v>3.6021175026893601E-2</v>
      </c>
      <c r="N2562" s="1">
        <f>+M2562-J2562</f>
        <v>1.2561175026893599E-2</v>
      </c>
      <c r="O2562">
        <v>2.41</v>
      </c>
      <c r="P2562" t="s">
        <v>15</v>
      </c>
      <c r="Q2562">
        <v>0.01</v>
      </c>
      <c r="R2562">
        <v>5.604068636894E-4</v>
      </c>
      <c r="S2562">
        <v>-1.2593150138855E-2</v>
      </c>
      <c r="T2562">
        <v>0.03</v>
      </c>
    </row>
    <row r="2563" spans="1:20" x14ac:dyDescent="0.3">
      <c r="A2563" t="s">
        <v>176</v>
      </c>
      <c r="B2563">
        <v>2016</v>
      </c>
      <c r="C2563">
        <v>6198826</v>
      </c>
      <c r="D2563" s="1">
        <v>2.5000000000000001E-2</v>
      </c>
      <c r="E2563" s="1">
        <v>0.93265259265899703</v>
      </c>
      <c r="F2563" s="1">
        <v>-2.9000000000000001E-2</v>
      </c>
      <c r="G2563" s="1">
        <f t="shared" si="78"/>
        <v>5.5000000000000007E-2</v>
      </c>
      <c r="H2563" s="1" t="str">
        <f t="shared" si="79"/>
        <v/>
      </c>
      <c r="I2563" s="1">
        <v>0</v>
      </c>
      <c r="J2563" s="1">
        <f>+D2563-F2563+I2563*O2563</f>
        <v>5.4000000000000006E-2</v>
      </c>
      <c r="K2563" s="1">
        <v>1.35604068636894E-2</v>
      </c>
      <c r="L2563" s="1">
        <f>+K2563-J2563</f>
        <v>-4.0439593136310605E-2</v>
      </c>
      <c r="M2563" s="1">
        <v>5.604068636894E-4</v>
      </c>
      <c r="N2563" s="1">
        <f>+M2563-J2563</f>
        <v>-5.3439593136310609E-2</v>
      </c>
      <c r="O2563">
        <v>2.34</v>
      </c>
      <c r="P2563" t="s">
        <v>16</v>
      </c>
      <c r="Q2563">
        <v>-0.01</v>
      </c>
      <c r="R2563">
        <v>-8.1728150174021994E-3</v>
      </c>
      <c r="S2563">
        <v>-1.09623884782194E-2</v>
      </c>
      <c r="T2563">
        <v>-0.03</v>
      </c>
    </row>
    <row r="2564" spans="1:20" x14ac:dyDescent="0.3">
      <c r="A2564" t="s">
        <v>176</v>
      </c>
      <c r="B2564">
        <v>2017</v>
      </c>
      <c r="C2564">
        <v>6261232</v>
      </c>
      <c r="D2564" s="1">
        <v>2.4E-2</v>
      </c>
      <c r="E2564" s="1">
        <v>0.93150818347930897</v>
      </c>
      <c r="F2564" s="1">
        <v>6.0000000000000001E-3</v>
      </c>
      <c r="G2564" s="1">
        <f t="shared" si="78"/>
        <v>6.1000000000000006E-2</v>
      </c>
      <c r="H2564" s="1" t="str">
        <f t="shared" si="79"/>
        <v/>
      </c>
      <c r="I2564" s="1">
        <v>-1E-3</v>
      </c>
      <c r="J2564" s="1">
        <f>+D2564-F2564+I2564*O2564</f>
        <v>1.5650000000000001E-2</v>
      </c>
      <c r="K2564" s="1">
        <v>1.28271849825978E-2</v>
      </c>
      <c r="L2564" s="1">
        <f>+K2564-J2564</f>
        <v>-2.8228150174022006E-3</v>
      </c>
      <c r="M2564" s="1">
        <v>-8.1728150174021994E-3</v>
      </c>
      <c r="N2564" s="1">
        <f>+M2564-J2564</f>
        <v>-2.3822815017402202E-2</v>
      </c>
      <c r="O2564">
        <v>2.35</v>
      </c>
      <c r="P2564" t="s">
        <v>17</v>
      </c>
      <c r="Q2564">
        <v>-0.01</v>
      </c>
      <c r="R2564">
        <v>6.7635311037302004E-3</v>
      </c>
      <c r="S2564">
        <v>-2.37149186432359E-3</v>
      </c>
      <c r="T2564">
        <v>0.01</v>
      </c>
    </row>
    <row r="2565" spans="1:20" x14ac:dyDescent="0.3">
      <c r="A2565" t="s">
        <v>176</v>
      </c>
      <c r="B2565">
        <v>2018</v>
      </c>
      <c r="C2565">
        <v>6306497</v>
      </c>
      <c r="D2565" s="1">
        <v>2.3E-2</v>
      </c>
      <c r="E2565" s="1">
        <v>0.93617630004882801</v>
      </c>
      <c r="F2565" s="1">
        <v>-2E-3</v>
      </c>
      <c r="G2565" s="1">
        <f t="shared" si="78"/>
        <v>5.9000000000000004E-2</v>
      </c>
      <c r="H2565" s="1" t="str">
        <f t="shared" si="79"/>
        <v/>
      </c>
      <c r="I2565" s="1">
        <v>5.0000000000000001E-3</v>
      </c>
      <c r="J2565" s="1">
        <f>+D2565-F2565+I2565*O2565</f>
        <v>3.6750000000000005E-2</v>
      </c>
      <c r="K2565" s="1">
        <v>3.0763531103730202E-2</v>
      </c>
      <c r="L2565" s="1">
        <f>+K2565-J2565</f>
        <v>-5.9864688962698032E-3</v>
      </c>
      <c r="M2565" s="1">
        <v>6.7635311037302004E-3</v>
      </c>
      <c r="N2565" s="1">
        <f>+M2565-J2565</f>
        <v>-2.9986468896269804E-2</v>
      </c>
      <c r="O2565">
        <v>2.35</v>
      </c>
      <c r="P2565" t="s">
        <v>17</v>
      </c>
      <c r="Q2565">
        <v>0</v>
      </c>
      <c r="R2565">
        <v>1.39160781800747E-2</v>
      </c>
      <c r="S2565">
        <v>-3.8851164281368E-3</v>
      </c>
      <c r="T2565">
        <v>0.01</v>
      </c>
    </row>
    <row r="2566" spans="1:20" x14ac:dyDescent="0.3">
      <c r="A2566" t="s">
        <v>176</v>
      </c>
      <c r="B2566">
        <v>2019</v>
      </c>
      <c r="C2566">
        <v>6352307</v>
      </c>
      <c r="D2566" s="1">
        <v>2.5999999999999999E-2</v>
      </c>
      <c r="E2566" s="1">
        <v>0.93469268083572399</v>
      </c>
      <c r="F2566" s="1">
        <v>-2.3E-2</v>
      </c>
      <c r="G2566" s="1">
        <f t="shared" si="78"/>
        <v>3.6000000000000004E-2</v>
      </c>
      <c r="H2566" s="1" t="str">
        <f t="shared" si="79"/>
        <v/>
      </c>
      <c r="I2566" s="1">
        <v>-1E-3</v>
      </c>
      <c r="J2566" s="1">
        <f>+D2566-F2566+I2566*O2566</f>
        <v>4.6710000000000002E-2</v>
      </c>
      <c r="K2566" s="1">
        <v>3.1916078180074699E-2</v>
      </c>
      <c r="L2566" s="1">
        <f>+K2566-J2566</f>
        <v>-1.4793921819925303E-2</v>
      </c>
      <c r="M2566" s="1">
        <v>1.39160781800747E-2</v>
      </c>
      <c r="N2566" s="1">
        <f>+M2566-J2566</f>
        <v>-3.2793921819925298E-2</v>
      </c>
      <c r="O2566">
        <v>2.29</v>
      </c>
      <c r="P2566" t="s">
        <v>16</v>
      </c>
      <c r="Q2566">
        <v>0</v>
      </c>
      <c r="R2566">
        <v>-4.45871780514717E-2</v>
      </c>
      <c r="S2566">
        <v>-6.3436368480324704E-2</v>
      </c>
      <c r="T2566">
        <v>-0.02</v>
      </c>
    </row>
    <row r="2567" spans="1:20" x14ac:dyDescent="0.3">
      <c r="A2567" t="s">
        <v>176</v>
      </c>
      <c r="B2567">
        <v>2020</v>
      </c>
      <c r="C2567">
        <v>6353219</v>
      </c>
      <c r="D2567" s="1">
        <v>2.9000000000000001E-2</v>
      </c>
      <c r="E2567" s="1">
        <v>0.91495418548583995</v>
      </c>
      <c r="F2567" s="1">
        <v>-0.02</v>
      </c>
      <c r="G2567" s="1">
        <f t="shared" ref="G2567:G2630" si="80">SUMIFS(F:F,A:A,A2567,B:B,"&lt;="&amp;B2567)</f>
        <v>1.6000000000000004E-2</v>
      </c>
      <c r="H2567" s="1" t="str">
        <f t="shared" ref="H2567:H2630" si="81">IFERROR(IF(ABS(G2567)&gt;0.12,AVERAGEIFS(K:K,A:A,A2567,B:B,"&gt;"&amp;B2567,B:B,"&lt;"&amp;B2567+3),""),"")</f>
        <v/>
      </c>
      <c r="I2567" s="1">
        <v>-0.02</v>
      </c>
      <c r="J2567" s="1">
        <f>+D2567-F2567+I2567*O2567</f>
        <v>4.0000000000000036E-3</v>
      </c>
      <c r="K2567" s="1">
        <v>-3.2587178051471703E-2</v>
      </c>
      <c r="L2567" s="1">
        <f>+K2567-J2567</f>
        <v>-3.6587178051471707E-2</v>
      </c>
      <c r="M2567" s="1">
        <v>-4.45871780514717E-2</v>
      </c>
      <c r="N2567" s="1">
        <f>+M2567-J2567</f>
        <v>-4.8587178051471704E-2</v>
      </c>
      <c r="O2567">
        <v>2.25</v>
      </c>
      <c r="P2567" t="s">
        <v>16</v>
      </c>
      <c r="Q2567">
        <v>-0.06</v>
      </c>
      <c r="R2567">
        <v>4.6110829591751099E-2</v>
      </c>
      <c r="S2567">
        <v>2.5212168693541899E-3</v>
      </c>
      <c r="T2567">
        <v>0.02</v>
      </c>
    </row>
    <row r="2568" spans="1:20" x14ac:dyDescent="0.3">
      <c r="A2568" t="s">
        <v>176</v>
      </c>
      <c r="B2568">
        <v>2021</v>
      </c>
      <c r="C2568">
        <v>6359818</v>
      </c>
      <c r="D2568" s="1">
        <v>2.7E-2</v>
      </c>
      <c r="E2568" s="1">
        <v>0.93495827913284302</v>
      </c>
      <c r="F2568" s="1">
        <v>-6.0000000000000001E-3</v>
      </c>
      <c r="G2568" s="1">
        <f t="shared" si="80"/>
        <v>1.0000000000000004E-2</v>
      </c>
      <c r="H2568" s="1" t="str">
        <f t="shared" si="81"/>
        <v/>
      </c>
      <c r="I2568" s="1">
        <v>0.02</v>
      </c>
      <c r="J2568" s="1">
        <f>+D2568-F2568+I2568*O2568</f>
        <v>7.7800000000000008E-2</v>
      </c>
      <c r="K2568" s="1">
        <v>9.3110829591751099E-2</v>
      </c>
      <c r="L2568" s="1">
        <f>+K2568-J2568</f>
        <v>1.5310829591751091E-2</v>
      </c>
      <c r="M2568" s="1">
        <v>4.6110829591751099E-2</v>
      </c>
      <c r="N2568" s="1">
        <f>+M2568-J2568</f>
        <v>-3.168917040824891E-2</v>
      </c>
      <c r="O2568">
        <v>2.2400000000000002</v>
      </c>
      <c r="P2568" t="s">
        <v>17</v>
      </c>
      <c r="Q2568">
        <v>0</v>
      </c>
      <c r="R2568">
        <v>-5.1628503873944298E-2</v>
      </c>
      <c r="S2568">
        <v>-1.95249971002339E-2</v>
      </c>
      <c r="T2568">
        <v>-0.03</v>
      </c>
    </row>
    <row r="2569" spans="1:20" x14ac:dyDescent="0.3">
      <c r="A2569" t="s">
        <v>176</v>
      </c>
      <c r="B2569">
        <v>2022</v>
      </c>
      <c r="C2569">
        <v>6397366</v>
      </c>
      <c r="D2569" s="1">
        <v>2.3E-2</v>
      </c>
      <c r="E2569" s="1">
        <v>0.929479479789734</v>
      </c>
      <c r="F2569" s="1">
        <v>-6.0000000000000001E-3</v>
      </c>
      <c r="G2569" s="1">
        <f t="shared" si="80"/>
        <v>4.0000000000000036E-3</v>
      </c>
      <c r="H2569" s="1" t="str">
        <f t="shared" si="81"/>
        <v/>
      </c>
      <c r="I2569" s="1">
        <v>-5.0000000000000001E-3</v>
      </c>
      <c r="J2569" s="1">
        <f>+D2569-F2569+I2569*O2569</f>
        <v>1.7899999999999999E-2</v>
      </c>
      <c r="K2569" s="1">
        <v>2.83714961260557E-2</v>
      </c>
      <c r="L2569" s="1">
        <f>+K2569-J2569</f>
        <v>1.0471496126055701E-2</v>
      </c>
      <c r="M2569" s="1">
        <v>-5.1628503873944298E-2</v>
      </c>
      <c r="N2569" s="1">
        <f>+M2569-J2569</f>
        <v>-6.9528503873944297E-2</v>
      </c>
      <c r="O2569">
        <v>2.2200000000000002</v>
      </c>
      <c r="P2569" t="s">
        <v>16</v>
      </c>
      <c r="Q2569">
        <v>-0.02</v>
      </c>
      <c r="R2569">
        <v>-9.8985105603933005E-3</v>
      </c>
      <c r="S2569">
        <v>9.660417214036E-3</v>
      </c>
      <c r="T2569">
        <v>0.01</v>
      </c>
    </row>
    <row r="2570" spans="1:20" x14ac:dyDescent="0.3">
      <c r="A2570" t="s">
        <v>177</v>
      </c>
      <c r="B2570">
        <v>2006</v>
      </c>
      <c r="C2570">
        <v>603295.75</v>
      </c>
      <c r="D2570" s="1">
        <v>1.4999999999999999E-2</v>
      </c>
      <c r="E2570" s="1">
        <v>0.90207767486572299</v>
      </c>
      <c r="F2570" s="1">
        <v>-1.2E-2</v>
      </c>
      <c r="G2570" s="1">
        <f t="shared" si="80"/>
        <v>-1.2E-2</v>
      </c>
      <c r="H2570" s="1" t="str">
        <f t="shared" si="81"/>
        <v/>
      </c>
      <c r="I2570" s="1">
        <v>1.2E-2</v>
      </c>
      <c r="J2570" s="1">
        <f>+D2570-F2570+I2570*O2570</f>
        <v>5.3159999999999999E-2</v>
      </c>
      <c r="K2570" s="1">
        <v>1.45683363080025E-2</v>
      </c>
      <c r="L2570" s="1">
        <f>+K2570-J2570</f>
        <v>-3.8591663691997499E-2</v>
      </c>
      <c r="M2570" s="1">
        <v>-1.7431663691997501E-2</v>
      </c>
      <c r="N2570" s="1">
        <f>+M2570-J2570</f>
        <v>-7.05916636919975E-2</v>
      </c>
      <c r="O2570">
        <v>2.1800000000000002</v>
      </c>
      <c r="P2570" t="s">
        <v>17</v>
      </c>
      <c r="Q2570">
        <v>-0.02</v>
      </c>
      <c r="R2570">
        <v>-2.9886447787285E-3</v>
      </c>
      <c r="S2570">
        <v>-2.0668888464569898E-3</v>
      </c>
      <c r="T2570">
        <v>-0.01</v>
      </c>
    </row>
    <row r="2571" spans="1:20" x14ac:dyDescent="0.3">
      <c r="A2571" t="s">
        <v>177</v>
      </c>
      <c r="B2571">
        <v>2007</v>
      </c>
      <c r="C2571">
        <v>610893.375</v>
      </c>
      <c r="D2571" s="1">
        <v>6.0000000000000001E-3</v>
      </c>
      <c r="E2571" s="1">
        <v>0.90081048011779796</v>
      </c>
      <c r="F2571" s="1">
        <v>5.0000000000000001E-3</v>
      </c>
      <c r="G2571" s="1">
        <f t="shared" si="80"/>
        <v>-7.0000000000000001E-3</v>
      </c>
      <c r="H2571" s="1" t="str">
        <f t="shared" si="81"/>
        <v/>
      </c>
      <c r="I2571" s="1">
        <v>-1E-3</v>
      </c>
      <c r="J2571" s="1">
        <f>+D2571-F2571+I2571*O2571</f>
        <v>-1.1900000000000001E-3</v>
      </c>
      <c r="K2571" s="1">
        <v>2.6011355221271501E-2</v>
      </c>
      <c r="L2571" s="1">
        <f>+K2571-J2571</f>
        <v>2.7201355221271501E-2</v>
      </c>
      <c r="M2571" s="1">
        <v>-2.9886447787285E-3</v>
      </c>
      <c r="N2571" s="1">
        <f>+M2571-J2571</f>
        <v>-1.7986447787284999E-3</v>
      </c>
      <c r="O2571">
        <v>2.19</v>
      </c>
      <c r="P2571" t="s">
        <v>17</v>
      </c>
      <c r="Q2571">
        <v>0</v>
      </c>
      <c r="R2571">
        <v>-2.0905542477965399E-2</v>
      </c>
      <c r="S2571">
        <v>8.6052617989479992E-3</v>
      </c>
      <c r="T2571">
        <v>0</v>
      </c>
    </row>
    <row r="2572" spans="1:20" x14ac:dyDescent="0.3">
      <c r="A2572" t="s">
        <v>177</v>
      </c>
      <c r="B2572">
        <v>2008</v>
      </c>
      <c r="C2572">
        <v>619686.5625</v>
      </c>
      <c r="D2572" s="1">
        <v>0</v>
      </c>
      <c r="E2572" s="1">
        <v>0.93047428131103505</v>
      </c>
      <c r="F2572" s="1">
        <v>-3.2000000000000001E-2</v>
      </c>
      <c r="G2572" s="1">
        <f t="shared" si="80"/>
        <v>-3.9E-2</v>
      </c>
      <c r="H2572" s="1" t="str">
        <f t="shared" si="81"/>
        <v/>
      </c>
      <c r="I2572" s="1">
        <v>0.03</v>
      </c>
      <c r="J2572" s="1">
        <f>+D2572-F2572+I2572*O2572</f>
        <v>9.5600000000000004E-2</v>
      </c>
      <c r="K2572" s="1">
        <v>1.70944575220346E-2</v>
      </c>
      <c r="L2572" s="1">
        <f>+K2572-J2572</f>
        <v>-7.8505542477965401E-2</v>
      </c>
      <c r="M2572" s="1">
        <v>-2.0905542477965399E-2</v>
      </c>
      <c r="N2572" s="1">
        <f>+M2572-J2572</f>
        <v>-0.11650554247796541</v>
      </c>
      <c r="O2572">
        <v>2.12</v>
      </c>
      <c r="P2572" t="s">
        <v>17</v>
      </c>
      <c r="Q2572">
        <v>0.01</v>
      </c>
      <c r="R2572">
        <v>-1.63022267669439E-2</v>
      </c>
      <c r="S2572">
        <v>1.02644748985767E-2</v>
      </c>
      <c r="T2572">
        <v>-0.03</v>
      </c>
    </row>
    <row r="2573" spans="1:20" x14ac:dyDescent="0.3">
      <c r="A2573" t="s">
        <v>177</v>
      </c>
      <c r="B2573">
        <v>2009</v>
      </c>
      <c r="C2573">
        <v>628421.875</v>
      </c>
      <c r="D2573" s="1">
        <v>2.1000000000000001E-2</v>
      </c>
      <c r="E2573" s="1">
        <v>0.92078882455825795</v>
      </c>
      <c r="F2573" s="1">
        <v>0.03</v>
      </c>
      <c r="G2573" s="1">
        <f t="shared" si="80"/>
        <v>-9.0000000000000011E-3</v>
      </c>
      <c r="H2573" s="1" t="str">
        <f t="shared" si="81"/>
        <v/>
      </c>
      <c r="I2573" s="1">
        <v>-0.01</v>
      </c>
      <c r="J2573" s="1">
        <f>+D2573-F2573+I2573*O2573</f>
        <v>-3.0800000000000001E-2</v>
      </c>
      <c r="K2573" s="1">
        <v>-2.03022267669439E-2</v>
      </c>
      <c r="L2573" s="1">
        <f>+K2573-J2573</f>
        <v>1.0497773233056101E-2</v>
      </c>
      <c r="M2573" s="1">
        <v>-1.63022267669439E-2</v>
      </c>
      <c r="N2573" s="1">
        <f>+M2573-J2573</f>
        <v>1.4497773233056101E-2</v>
      </c>
      <c r="O2573">
        <v>2.1800000000000002</v>
      </c>
      <c r="P2573" t="s">
        <v>17</v>
      </c>
      <c r="Q2573">
        <v>0.01</v>
      </c>
      <c r="R2573">
        <v>-1.6096957985078899E-2</v>
      </c>
      <c r="S2573">
        <v>-6.6368492261972296E-3</v>
      </c>
      <c r="T2573">
        <v>0.01</v>
      </c>
    </row>
    <row r="2574" spans="1:20" x14ac:dyDescent="0.3">
      <c r="A2574" t="s">
        <v>177</v>
      </c>
      <c r="B2574">
        <v>2010</v>
      </c>
      <c r="C2574">
        <v>632410.5</v>
      </c>
      <c r="D2574" s="1">
        <v>3.0000000000000001E-3</v>
      </c>
      <c r="E2574" s="1">
        <v>0.91440987586975098</v>
      </c>
      <c r="F2574" s="1">
        <v>-2.5999999999999999E-2</v>
      </c>
      <c r="G2574" s="1">
        <f t="shared" si="80"/>
        <v>-3.5000000000000003E-2</v>
      </c>
      <c r="H2574" s="1" t="str">
        <f t="shared" si="81"/>
        <v/>
      </c>
      <c r="I2574" s="1">
        <v>-6.0000000000000001E-3</v>
      </c>
      <c r="J2574" s="1">
        <f>+D2574-F2574+I2574*O2574</f>
        <v>1.6219999999999998E-2</v>
      </c>
      <c r="K2574" s="1">
        <v>-9.6957985078915994E-5</v>
      </c>
      <c r="L2574" s="1">
        <f>+K2574-J2574</f>
        <v>-1.6316957985078914E-2</v>
      </c>
      <c r="M2574" s="1">
        <v>-1.6096957985078899E-2</v>
      </c>
      <c r="N2574" s="1">
        <f>+M2574-J2574</f>
        <v>-3.2316957985078901E-2</v>
      </c>
      <c r="O2574">
        <v>2.13</v>
      </c>
      <c r="P2574" t="s">
        <v>16</v>
      </c>
      <c r="Q2574">
        <v>-0.01</v>
      </c>
      <c r="R2574">
        <v>-2.21766143739223E-2</v>
      </c>
      <c r="S2574">
        <v>-8.9283986017104798E-4</v>
      </c>
      <c r="T2574">
        <v>-0.03</v>
      </c>
    </row>
    <row r="2575" spans="1:20" x14ac:dyDescent="0.3">
      <c r="A2575" t="s">
        <v>177</v>
      </c>
      <c r="B2575">
        <v>2011</v>
      </c>
      <c r="C2575">
        <v>634669.9375</v>
      </c>
      <c r="D2575" s="1">
        <v>0</v>
      </c>
      <c r="E2575" s="1">
        <v>0.91630047559738204</v>
      </c>
      <c r="F2575" s="1">
        <v>6.0000000000000001E-3</v>
      </c>
      <c r="G2575" s="1">
        <f t="shared" si="80"/>
        <v>-2.9000000000000005E-2</v>
      </c>
      <c r="H2575" s="1" t="str">
        <f t="shared" si="81"/>
        <v/>
      </c>
      <c r="I2575" s="1">
        <v>2E-3</v>
      </c>
      <c r="J2575" s="1">
        <f>+D2575-F2575+I2575*O2575</f>
        <v>-1.7200000000000002E-3</v>
      </c>
      <c r="K2575" s="1">
        <v>9.8233856260776502E-3</v>
      </c>
      <c r="L2575" s="1">
        <f>+K2575-J2575</f>
        <v>1.1543385626077651E-2</v>
      </c>
      <c r="M2575" s="1">
        <v>-2.21766143739223E-2</v>
      </c>
      <c r="N2575" s="1">
        <f>+M2575-J2575</f>
        <v>-2.0456614373922301E-2</v>
      </c>
      <c r="O2575">
        <v>2.14</v>
      </c>
      <c r="P2575" t="s">
        <v>15</v>
      </c>
      <c r="Q2575">
        <v>0</v>
      </c>
      <c r="R2575">
        <v>-7.8187056854366992E-3</v>
      </c>
      <c r="S2575">
        <v>-2.3804996162653E-3</v>
      </c>
      <c r="T2575">
        <v>0.01</v>
      </c>
    </row>
    <row r="2576" spans="1:20" x14ac:dyDescent="0.3">
      <c r="A2576" t="s">
        <v>177</v>
      </c>
      <c r="B2576">
        <v>2012</v>
      </c>
      <c r="C2576">
        <v>637894.5625</v>
      </c>
      <c r="D2576" s="1">
        <v>4.0000000000000001E-3</v>
      </c>
      <c r="E2576" s="1">
        <v>0.92145460844039895</v>
      </c>
      <c r="F2576" s="1">
        <v>7.0000000000000007E-2</v>
      </c>
      <c r="G2576" s="1">
        <f t="shared" si="80"/>
        <v>4.1000000000000002E-2</v>
      </c>
      <c r="H2576" s="1" t="str">
        <f t="shared" si="81"/>
        <v/>
      </c>
      <c r="I2576" s="1">
        <v>5.0000000000000001E-3</v>
      </c>
      <c r="J2576" s="1">
        <f>+D2576-F2576+I2576*O2576</f>
        <v>-5.4550000000000001E-2</v>
      </c>
      <c r="K2576" s="1">
        <v>1.31812943145633E-2</v>
      </c>
      <c r="L2576" s="1">
        <f>+K2576-J2576</f>
        <v>6.7731294314563303E-2</v>
      </c>
      <c r="M2576" s="1">
        <v>-7.8187056854366992E-3</v>
      </c>
      <c r="N2576" s="1">
        <f>+M2576-J2576</f>
        <v>4.6731294314563299E-2</v>
      </c>
      <c r="O2576">
        <v>2.29</v>
      </c>
      <c r="P2576" t="s">
        <v>15</v>
      </c>
      <c r="Q2576">
        <v>0</v>
      </c>
      <c r="R2576">
        <v>5.5883514136075996E-3</v>
      </c>
      <c r="S2576">
        <v>-5.3841993212699803E-4</v>
      </c>
      <c r="T2576">
        <v>7.0000000000000007E-2</v>
      </c>
    </row>
    <row r="2577" spans="1:20" x14ac:dyDescent="0.3">
      <c r="A2577" t="s">
        <v>177</v>
      </c>
      <c r="B2577">
        <v>2013</v>
      </c>
      <c r="C2577">
        <v>640549.6875</v>
      </c>
      <c r="D2577" s="1">
        <v>1.4999999999999999E-2</v>
      </c>
      <c r="E2577" s="1">
        <v>0.92402893304824796</v>
      </c>
      <c r="F2577" s="1">
        <v>-6.0000000000000001E-3</v>
      </c>
      <c r="G2577" s="1">
        <f t="shared" si="80"/>
        <v>3.5000000000000003E-2</v>
      </c>
      <c r="H2577" s="1" t="str">
        <f t="shared" si="81"/>
        <v/>
      </c>
      <c r="I2577" s="1">
        <v>3.0000000000000001E-3</v>
      </c>
      <c r="J2577" s="1">
        <f>+D2577-F2577+I2577*O2577</f>
        <v>2.7809999999999998E-2</v>
      </c>
      <c r="K2577" s="1">
        <v>2.0588351413607601E-2</v>
      </c>
      <c r="L2577" s="1">
        <f>+K2577-J2577</f>
        <v>-7.2216485863923971E-3</v>
      </c>
      <c r="M2577" s="1">
        <v>5.5883514136075996E-3</v>
      </c>
      <c r="N2577" s="1">
        <f>+M2577-J2577</f>
        <v>-2.2221648586392397E-2</v>
      </c>
      <c r="O2577">
        <v>2.27</v>
      </c>
      <c r="P2577" t="s">
        <v>17</v>
      </c>
      <c r="Q2577">
        <v>0</v>
      </c>
      <c r="R2577">
        <v>-1.22153572123497E-2</v>
      </c>
      <c r="S2577">
        <v>-1.4223380712792199E-2</v>
      </c>
      <c r="T2577">
        <v>-0.01</v>
      </c>
    </row>
    <row r="2578" spans="1:20" x14ac:dyDescent="0.3">
      <c r="A2578" t="s">
        <v>177</v>
      </c>
      <c r="B2578">
        <v>2014</v>
      </c>
      <c r="C2578">
        <v>643545.875</v>
      </c>
      <c r="D2578" s="1">
        <v>1.7000000000000001E-2</v>
      </c>
      <c r="E2578" s="1">
        <v>0.92248952388763406</v>
      </c>
      <c r="F2578" s="1">
        <v>6.0999999999999999E-2</v>
      </c>
      <c r="G2578" s="1">
        <f t="shared" si="80"/>
        <v>9.6000000000000002E-2</v>
      </c>
      <c r="H2578" s="1" t="str">
        <f t="shared" si="81"/>
        <v/>
      </c>
      <c r="I2578" s="1">
        <v>-2E-3</v>
      </c>
      <c r="J2578" s="1">
        <f>+D2578-F2578+I2578*O2578</f>
        <v>-4.8819999999999995E-2</v>
      </c>
      <c r="K2578" s="1">
        <v>3.7846427876502301E-3</v>
      </c>
      <c r="L2578" s="1">
        <f>+K2578-J2578</f>
        <v>5.2604642787650223E-2</v>
      </c>
      <c r="M2578" s="1">
        <v>-1.22153572123497E-2</v>
      </c>
      <c r="N2578" s="1">
        <f>+M2578-J2578</f>
        <v>3.6604642787650299E-2</v>
      </c>
      <c r="O2578">
        <v>2.41</v>
      </c>
      <c r="P2578" t="s">
        <v>17</v>
      </c>
      <c r="Q2578">
        <v>-0.01</v>
      </c>
      <c r="R2578">
        <v>2.4068541988730398E-2</v>
      </c>
      <c r="S2578">
        <v>-6.1949100345372902E-3</v>
      </c>
      <c r="T2578">
        <v>0.06</v>
      </c>
    </row>
    <row r="2579" spans="1:20" x14ac:dyDescent="0.3">
      <c r="A2579" t="s">
        <v>177</v>
      </c>
      <c r="B2579">
        <v>2015</v>
      </c>
      <c r="C2579">
        <v>646528.3125</v>
      </c>
      <c r="D2579" s="1">
        <v>2.1999999999999999E-2</v>
      </c>
      <c r="E2579" s="1">
        <v>0.91194623708724998</v>
      </c>
      <c r="F2579" s="1">
        <v>-7.3999999999999996E-2</v>
      </c>
      <c r="G2579" s="1">
        <f t="shared" si="80"/>
        <v>2.2000000000000006E-2</v>
      </c>
      <c r="H2579" s="1" t="str">
        <f t="shared" si="81"/>
        <v/>
      </c>
      <c r="I2579" s="1">
        <v>-1.0999999999999999E-2</v>
      </c>
      <c r="J2579" s="1">
        <f>+D2579-F2579+I2579*O2579</f>
        <v>7.1470000000000006E-2</v>
      </c>
      <c r="K2579" s="1">
        <v>2.5068541988730399E-2</v>
      </c>
      <c r="L2579" s="1">
        <f>+K2579-J2579</f>
        <v>-4.6401458011269603E-2</v>
      </c>
      <c r="M2579" s="1">
        <v>2.4068541988730398E-2</v>
      </c>
      <c r="N2579" s="1">
        <f>+M2579-J2579</f>
        <v>-4.7401458011269604E-2</v>
      </c>
      <c r="O2579">
        <v>2.23</v>
      </c>
      <c r="P2579" t="s">
        <v>16</v>
      </c>
      <c r="Q2579">
        <v>-0.01</v>
      </c>
      <c r="R2579">
        <v>-4.6246691718697403E-3</v>
      </c>
      <c r="S2579">
        <v>-1.7778226174414099E-2</v>
      </c>
      <c r="T2579">
        <v>-0.06</v>
      </c>
    </row>
    <row r="2580" spans="1:20" x14ac:dyDescent="0.3">
      <c r="A2580" t="s">
        <v>177</v>
      </c>
      <c r="B2580">
        <v>2016</v>
      </c>
      <c r="C2580">
        <v>648473.8125</v>
      </c>
      <c r="D2580" s="1">
        <v>0.02</v>
      </c>
      <c r="E2580" s="1">
        <v>0.89516043663024902</v>
      </c>
      <c r="F2580" s="1">
        <v>1.2999999999999999E-2</v>
      </c>
      <c r="G2580" s="1">
        <f t="shared" si="80"/>
        <v>3.5000000000000003E-2</v>
      </c>
      <c r="H2580" s="1" t="str">
        <f t="shared" si="81"/>
        <v/>
      </c>
      <c r="I2580" s="1">
        <v>-1.7000000000000001E-2</v>
      </c>
      <c r="J2580" s="1">
        <f>+D2580-F2580+I2580*O2580</f>
        <v>-3.1419999999999997E-2</v>
      </c>
      <c r="K2580" s="1">
        <v>8.3753308281302504E-3</v>
      </c>
      <c r="L2580" s="1">
        <f>+K2580-J2580</f>
        <v>3.9795330828130249E-2</v>
      </c>
      <c r="M2580" s="1">
        <v>-4.6246691718697403E-3</v>
      </c>
      <c r="N2580" s="1">
        <f>+M2580-J2580</f>
        <v>2.6795330828130258E-2</v>
      </c>
      <c r="O2580">
        <v>2.2599999999999998</v>
      </c>
      <c r="P2580" t="s">
        <v>17</v>
      </c>
      <c r="Q2580">
        <v>-0.02</v>
      </c>
      <c r="R2580">
        <v>-9.3267609402536995E-3</v>
      </c>
      <c r="S2580">
        <v>-1.21163344010709E-2</v>
      </c>
      <c r="T2580">
        <v>0.01</v>
      </c>
    </row>
    <row r="2581" spans="1:20" x14ac:dyDescent="0.3">
      <c r="A2581" t="s">
        <v>177</v>
      </c>
      <c r="B2581">
        <v>2017</v>
      </c>
      <c r="C2581">
        <v>648724.5</v>
      </c>
      <c r="D2581" s="1">
        <v>2.1999999999999999E-2</v>
      </c>
      <c r="E2581" s="1">
        <v>0.89163529872894298</v>
      </c>
      <c r="F2581" s="1">
        <v>7.1999999999999995E-2</v>
      </c>
      <c r="G2581" s="1">
        <f t="shared" si="80"/>
        <v>0.107</v>
      </c>
      <c r="H2581" s="1" t="str">
        <f t="shared" si="81"/>
        <v/>
      </c>
      <c r="I2581" s="1">
        <v>-4.0000000000000001E-3</v>
      </c>
      <c r="J2581" s="1">
        <f>+D2581-F2581+I2581*O2581</f>
        <v>-5.9719999999999995E-2</v>
      </c>
      <c r="K2581" s="1">
        <v>1.16732390597463E-2</v>
      </c>
      <c r="L2581" s="1">
        <f>+K2581-J2581</f>
        <v>7.1393239059746288E-2</v>
      </c>
      <c r="M2581" s="1">
        <v>-9.3267609402536995E-3</v>
      </c>
      <c r="N2581" s="1">
        <f>+M2581-J2581</f>
        <v>5.0393239059746298E-2</v>
      </c>
      <c r="O2581">
        <v>2.4300000000000002</v>
      </c>
      <c r="P2581" t="s">
        <v>17</v>
      </c>
      <c r="Q2581">
        <v>-0.01</v>
      </c>
      <c r="R2581">
        <v>-3.4887769967317998E-3</v>
      </c>
      <c r="S2581">
        <v>-1.26237999647855E-2</v>
      </c>
      <c r="T2581">
        <v>7.0000000000000007E-2</v>
      </c>
    </row>
    <row r="2582" spans="1:20" x14ac:dyDescent="0.3">
      <c r="A2582" t="s">
        <v>177</v>
      </c>
      <c r="B2582">
        <v>2018</v>
      </c>
      <c r="C2582">
        <v>649856.0625</v>
      </c>
      <c r="D2582" s="1">
        <v>2.1000000000000001E-2</v>
      </c>
      <c r="E2582" s="1">
        <v>0.90729647874832198</v>
      </c>
      <c r="F2582" s="1">
        <v>-6.2E-2</v>
      </c>
      <c r="G2582" s="1">
        <f t="shared" si="80"/>
        <v>4.4999999999999998E-2</v>
      </c>
      <c r="H2582" s="1" t="str">
        <f t="shared" si="81"/>
        <v/>
      </c>
      <c r="I2582" s="1">
        <v>1.6E-2</v>
      </c>
      <c r="J2582" s="1">
        <f>+D2582-F2582+I2582*O2582</f>
        <v>0.11948</v>
      </c>
      <c r="K2582" s="1">
        <v>2.05112230032682E-2</v>
      </c>
      <c r="L2582" s="1">
        <f>+K2582-J2582</f>
        <v>-9.8968776996731803E-2</v>
      </c>
      <c r="M2582" s="1">
        <v>-3.4887769967317998E-3</v>
      </c>
      <c r="N2582" s="1">
        <f>+M2582-J2582</f>
        <v>-0.1229687769967318</v>
      </c>
      <c r="O2582">
        <v>2.2799999999999998</v>
      </c>
      <c r="P2582" t="s">
        <v>17</v>
      </c>
      <c r="Q2582">
        <v>-0.01</v>
      </c>
      <c r="R2582">
        <v>1.5392671495676E-2</v>
      </c>
      <c r="S2582">
        <v>-2.4085231125355001E-3</v>
      </c>
      <c r="T2582">
        <v>-0.05</v>
      </c>
    </row>
    <row r="2583" spans="1:20" x14ac:dyDescent="0.3">
      <c r="A2583" t="s">
        <v>177</v>
      </c>
      <c r="B2583">
        <v>2019</v>
      </c>
      <c r="C2583">
        <v>653167.8125</v>
      </c>
      <c r="D2583" s="1">
        <v>3.5000000000000003E-2</v>
      </c>
      <c r="E2583" s="1">
        <v>0.90902692079544101</v>
      </c>
      <c r="F2583" s="1">
        <v>-4.0000000000000001E-3</v>
      </c>
      <c r="G2583" s="1">
        <f t="shared" si="80"/>
        <v>4.0999999999999995E-2</v>
      </c>
      <c r="H2583" s="1" t="str">
        <f t="shared" si="81"/>
        <v/>
      </c>
      <c r="I2583" s="1">
        <v>2E-3</v>
      </c>
      <c r="J2583" s="1">
        <f>+D2583-F2583+I2583*O2583</f>
        <v>4.3540000000000009E-2</v>
      </c>
      <c r="K2583" s="1">
        <v>3.3392671495675999E-2</v>
      </c>
      <c r="L2583" s="1">
        <f>+K2583-J2583</f>
        <v>-1.014732850432401E-2</v>
      </c>
      <c r="M2583" s="1">
        <v>1.5392671495676E-2</v>
      </c>
      <c r="N2583" s="1">
        <f>+M2583-J2583</f>
        <v>-2.8147328504324009E-2</v>
      </c>
      <c r="O2583">
        <v>2.27</v>
      </c>
      <c r="P2583" t="s">
        <v>17</v>
      </c>
      <c r="Q2583">
        <v>0</v>
      </c>
      <c r="R2583">
        <v>1.51180719137192E-2</v>
      </c>
      <c r="S2583">
        <v>-3.7311185151337901E-3</v>
      </c>
      <c r="T2583">
        <v>0</v>
      </c>
    </row>
    <row r="2584" spans="1:20" x14ac:dyDescent="0.3">
      <c r="A2584" t="s">
        <v>177</v>
      </c>
      <c r="B2584">
        <v>2020</v>
      </c>
      <c r="C2584">
        <v>655920.125</v>
      </c>
      <c r="D2584" s="1">
        <v>0</v>
      </c>
      <c r="E2584" s="1">
        <v>0.91682052612304699</v>
      </c>
      <c r="F2584" s="1">
        <v>-3.5000000000000003E-2</v>
      </c>
      <c r="G2584" s="1">
        <f t="shared" si="80"/>
        <v>5.9999999999999915E-3</v>
      </c>
      <c r="H2584" s="1" t="str">
        <f t="shared" si="81"/>
        <v/>
      </c>
      <c r="I2584" s="1">
        <v>8.0000000000000002E-3</v>
      </c>
      <c r="J2584" s="1">
        <f>+D2584-F2584+I2584*O2584</f>
        <v>5.2520000000000004E-2</v>
      </c>
      <c r="K2584" s="1">
        <v>2.7118071913719202E-2</v>
      </c>
      <c r="L2584" s="1">
        <f>+K2584-J2584</f>
        <v>-2.5401928086280803E-2</v>
      </c>
      <c r="M2584" s="1">
        <v>1.51180719137192E-2</v>
      </c>
      <c r="N2584" s="1">
        <f>+M2584-J2584</f>
        <v>-3.7401928086280803E-2</v>
      </c>
      <c r="O2584">
        <v>2.19</v>
      </c>
      <c r="P2584" t="s">
        <v>17</v>
      </c>
      <c r="Q2584">
        <v>0</v>
      </c>
      <c r="R2584">
        <v>2.4252174675464599E-2</v>
      </c>
      <c r="S2584">
        <v>-1.93374380469323E-2</v>
      </c>
      <c r="T2584">
        <v>0.01</v>
      </c>
    </row>
    <row r="2585" spans="1:20" x14ac:dyDescent="0.3">
      <c r="A2585" t="s">
        <v>177</v>
      </c>
      <c r="B2585">
        <v>2021</v>
      </c>
      <c r="C2585">
        <v>656012.8125</v>
      </c>
      <c r="D2585" s="1">
        <v>6.0000000000000001E-3</v>
      </c>
      <c r="E2585" s="1">
        <v>0.93395686149597201</v>
      </c>
      <c r="F2585" s="1">
        <v>-2E-3</v>
      </c>
      <c r="G2585" s="1">
        <f t="shared" si="80"/>
        <v>3.9999999999999914E-3</v>
      </c>
      <c r="H2585" s="1" t="str">
        <f t="shared" si="81"/>
        <v/>
      </c>
      <c r="I2585" s="1">
        <v>1.7000000000000001E-2</v>
      </c>
      <c r="J2585" s="1">
        <f>+D2585-F2585+I2585*O2585</f>
        <v>4.5060000000000003E-2</v>
      </c>
      <c r="K2585" s="1">
        <v>7.1252174675464602E-2</v>
      </c>
      <c r="L2585" s="1">
        <f>+K2585-J2585</f>
        <v>2.61921746754646E-2</v>
      </c>
      <c r="M2585" s="1">
        <v>2.4252174675464599E-2</v>
      </c>
      <c r="N2585" s="1">
        <f>+M2585-J2585</f>
        <v>-2.0807825324535404E-2</v>
      </c>
      <c r="O2585">
        <v>2.1800000000000002</v>
      </c>
      <c r="P2585" t="s">
        <v>17</v>
      </c>
      <c r="Q2585">
        <v>-0.02</v>
      </c>
      <c r="R2585">
        <v>-2.1417809575796101E-2</v>
      </c>
      <c r="S2585">
        <v>1.06856971979142E-2</v>
      </c>
      <c r="T2585">
        <v>-0.03</v>
      </c>
    </row>
    <row r="2586" spans="1:20" x14ac:dyDescent="0.3">
      <c r="A2586" t="s">
        <v>177</v>
      </c>
      <c r="B2586">
        <v>2022</v>
      </c>
      <c r="C2586">
        <v>658156.125</v>
      </c>
      <c r="D2586" s="1">
        <v>2E-3</v>
      </c>
      <c r="E2586" s="1">
        <v>0.93061578273773204</v>
      </c>
      <c r="F2586" s="1">
        <v>-4.0000000000000001E-3</v>
      </c>
      <c r="G2586" s="1">
        <f t="shared" si="80"/>
        <v>-8.6736173798840355E-18</v>
      </c>
      <c r="H2586" s="1" t="str">
        <f t="shared" si="81"/>
        <v/>
      </c>
      <c r="I2586" s="1">
        <v>-3.0000000000000001E-3</v>
      </c>
      <c r="J2586" s="1">
        <f>+D2586-F2586+I2586*O2586</f>
        <v>-5.1000000000000004E-4</v>
      </c>
      <c r="K2586" s="1">
        <v>5.85821904242039E-2</v>
      </c>
      <c r="L2586" s="1">
        <f>+K2586-J2586</f>
        <v>5.9092190424203897E-2</v>
      </c>
      <c r="M2586" s="1">
        <v>-2.1417809575796101E-2</v>
      </c>
      <c r="N2586" s="1">
        <f>+M2586-J2586</f>
        <v>-2.0907809575796101E-2</v>
      </c>
      <c r="O2586">
        <v>2.17</v>
      </c>
      <c r="P2586" t="s">
        <v>16</v>
      </c>
      <c r="Q2586">
        <v>0.01</v>
      </c>
      <c r="R2586">
        <v>-1.06105681359768E-2</v>
      </c>
      <c r="S2586">
        <v>8.9483596384525004E-3</v>
      </c>
      <c r="T2586">
        <v>0.01</v>
      </c>
    </row>
    <row r="2587" spans="1:20" x14ac:dyDescent="0.3">
      <c r="A2587" t="s">
        <v>178</v>
      </c>
      <c r="B2587">
        <v>2006</v>
      </c>
      <c r="C2587">
        <v>615852.8125</v>
      </c>
      <c r="D2587" s="1">
        <v>0</v>
      </c>
      <c r="E2587" s="1">
        <v>0.892863869667053</v>
      </c>
      <c r="F2587" s="1">
        <v>-8.1000000000000003E-2</v>
      </c>
      <c r="G2587" s="1">
        <f t="shared" si="80"/>
        <v>-8.1000000000000003E-2</v>
      </c>
      <c r="H2587" s="1" t="str">
        <f t="shared" si="81"/>
        <v/>
      </c>
      <c r="I2587" s="1">
        <v>-1.2E-2</v>
      </c>
      <c r="J2587" s="1">
        <f>+D2587-F2587+I2587*O2587</f>
        <v>5.3400000000000003E-2</v>
      </c>
      <c r="K2587" s="1">
        <v>6.4106613397598294E-2</v>
      </c>
      <c r="L2587" s="1">
        <f>+K2587-J2587</f>
        <v>1.0706613397598291E-2</v>
      </c>
      <c r="M2587" s="1">
        <v>3.2106613397598197E-2</v>
      </c>
      <c r="N2587" s="1">
        <f>+M2587-J2587</f>
        <v>-2.1293386602401806E-2</v>
      </c>
      <c r="O2587">
        <v>2.2999999999999998</v>
      </c>
      <c r="P2587" t="s">
        <v>16</v>
      </c>
      <c r="Q2587">
        <v>0.03</v>
      </c>
      <c r="R2587">
        <v>-4.2006363123655004E-3</v>
      </c>
      <c r="S2587">
        <v>-3.2788803800940002E-3</v>
      </c>
      <c r="T2587">
        <v>-0.08</v>
      </c>
    </row>
    <row r="2588" spans="1:20" x14ac:dyDescent="0.3">
      <c r="A2588" t="s">
        <v>178</v>
      </c>
      <c r="B2588">
        <v>2007</v>
      </c>
      <c r="C2588">
        <v>625343.375</v>
      </c>
      <c r="D2588" s="1">
        <v>3.3000000000000002E-2</v>
      </c>
      <c r="E2588" s="1">
        <v>0.869911909103394</v>
      </c>
      <c r="F2588" s="1">
        <v>3.6999999999999998E-2</v>
      </c>
      <c r="G2588" s="1">
        <f t="shared" si="80"/>
        <v>-4.4000000000000004E-2</v>
      </c>
      <c r="H2588" s="1" t="str">
        <f t="shared" si="81"/>
        <v/>
      </c>
      <c r="I2588" s="1">
        <v>-2.3E-2</v>
      </c>
      <c r="J2588" s="1">
        <f>+D2588-F2588+I2588*O2588</f>
        <v>-5.8970000000000002E-2</v>
      </c>
      <c r="K2588" s="1">
        <v>2.4799363687634499E-2</v>
      </c>
      <c r="L2588" s="1">
        <f>+K2588-J2588</f>
        <v>8.3769363687634504E-2</v>
      </c>
      <c r="M2588" s="1">
        <v>-4.2006363123655004E-3</v>
      </c>
      <c r="N2588" s="1">
        <f>+M2588-J2588</f>
        <v>5.4769363687634499E-2</v>
      </c>
      <c r="O2588">
        <v>2.39</v>
      </c>
      <c r="P2588" t="s">
        <v>17</v>
      </c>
      <c r="Q2588">
        <v>0</v>
      </c>
      <c r="R2588">
        <v>-5.6181022256612798E-2</v>
      </c>
      <c r="S2588">
        <v>-2.66702179796993E-2</v>
      </c>
      <c r="T2588">
        <v>0.04</v>
      </c>
    </row>
    <row r="2589" spans="1:20" x14ac:dyDescent="0.3">
      <c r="A2589" t="s">
        <v>178</v>
      </c>
      <c r="B2589">
        <v>2008</v>
      </c>
      <c r="C2589">
        <v>633588.375</v>
      </c>
      <c r="D2589" s="1">
        <v>4.5999999999999999E-2</v>
      </c>
      <c r="E2589" s="1">
        <v>0.85511833429336503</v>
      </c>
      <c r="F2589" s="1">
        <v>-5.0999999999999997E-2</v>
      </c>
      <c r="G2589" s="1">
        <f t="shared" si="80"/>
        <v>-9.5000000000000001E-2</v>
      </c>
      <c r="H2589" s="1" t="str">
        <f t="shared" si="81"/>
        <v/>
      </c>
      <c r="I2589" s="1">
        <v>-1.4999999999999999E-2</v>
      </c>
      <c r="J2589" s="1">
        <f>+D2589-F2589+I2589*O2589</f>
        <v>6.3100000000000017E-2</v>
      </c>
      <c r="K2589" s="1">
        <v>-1.8181022256612799E-2</v>
      </c>
      <c r="L2589" s="1">
        <f>+K2589-J2589</f>
        <v>-8.1281022256612823E-2</v>
      </c>
      <c r="M2589" s="1">
        <v>-5.6181022256612798E-2</v>
      </c>
      <c r="N2589" s="1">
        <f>+M2589-J2589</f>
        <v>-0.11928102225661281</v>
      </c>
      <c r="O2589">
        <v>2.2599999999999998</v>
      </c>
      <c r="P2589" t="s">
        <v>16</v>
      </c>
      <c r="Q2589">
        <v>-0.03</v>
      </c>
      <c r="R2589">
        <v>-2.6131386592984199E-2</v>
      </c>
      <c r="S2589">
        <v>4.35315072536451E-4</v>
      </c>
      <c r="T2589">
        <v>-0.05</v>
      </c>
    </row>
    <row r="2590" spans="1:20" x14ac:dyDescent="0.3">
      <c r="A2590" t="s">
        <v>178</v>
      </c>
      <c r="B2590">
        <v>2009</v>
      </c>
      <c r="C2590">
        <v>638597.4375</v>
      </c>
      <c r="D2590" s="1">
        <v>0.01</v>
      </c>
      <c r="E2590" s="1">
        <v>0.87405711412429798</v>
      </c>
      <c r="F2590" s="1">
        <v>0.05</v>
      </c>
      <c r="G2590" s="1">
        <f t="shared" si="80"/>
        <v>-4.4999999999999998E-2</v>
      </c>
      <c r="H2590" s="1" t="str">
        <f t="shared" si="81"/>
        <v/>
      </c>
      <c r="I2590" s="1">
        <v>1.9E-2</v>
      </c>
      <c r="J2590" s="1">
        <f>+D2590-F2590+I2590*O2590</f>
        <v>5.2199999999999955E-3</v>
      </c>
      <c r="K2590" s="1">
        <v>-3.01313865929842E-2</v>
      </c>
      <c r="L2590" s="1">
        <f>+K2590-J2590</f>
        <v>-3.5351386592984195E-2</v>
      </c>
      <c r="M2590" s="1">
        <v>-2.6131386592984199E-2</v>
      </c>
      <c r="N2590" s="1">
        <f>+M2590-J2590</f>
        <v>-3.1351386592984198E-2</v>
      </c>
      <c r="O2590">
        <v>2.38</v>
      </c>
      <c r="P2590" t="s">
        <v>15</v>
      </c>
      <c r="Q2590">
        <v>0</v>
      </c>
      <c r="R2590">
        <v>-7.6908824816346198E-3</v>
      </c>
      <c r="S2590">
        <v>1.76922627724706E-3</v>
      </c>
      <c r="T2590">
        <v>0.03</v>
      </c>
    </row>
    <row r="2591" spans="1:20" x14ac:dyDescent="0.3">
      <c r="A2591" t="s">
        <v>178</v>
      </c>
      <c r="B2591">
        <v>2010</v>
      </c>
      <c r="C2591">
        <v>641870</v>
      </c>
      <c r="D2591" s="1">
        <v>0</v>
      </c>
      <c r="E2591" s="1">
        <v>0.88358217477798495</v>
      </c>
      <c r="F2591" s="1">
        <v>-3.2000000000000001E-2</v>
      </c>
      <c r="G2591" s="1">
        <f t="shared" si="80"/>
        <v>-7.6999999999999999E-2</v>
      </c>
      <c r="H2591" s="1" t="str">
        <f t="shared" si="81"/>
        <v/>
      </c>
      <c r="I2591" s="1">
        <v>0.01</v>
      </c>
      <c r="J2591" s="1">
        <f>+D2591-F2591+I2591*O2591</f>
        <v>5.5E-2</v>
      </c>
      <c r="K2591" s="1">
        <v>8.3091175183653797E-3</v>
      </c>
      <c r="L2591" s="1">
        <f>+K2591-J2591</f>
        <v>-4.6690882481634624E-2</v>
      </c>
      <c r="M2591" s="1">
        <v>-7.6908824816346198E-3</v>
      </c>
      <c r="N2591" s="1">
        <f>+M2591-J2591</f>
        <v>-6.2690882481634624E-2</v>
      </c>
      <c r="O2591">
        <v>2.2999999999999998</v>
      </c>
      <c r="P2591" t="s">
        <v>17</v>
      </c>
      <c r="Q2591">
        <v>0</v>
      </c>
      <c r="R2591">
        <v>-2.08853756710887E-2</v>
      </c>
      <c r="S2591">
        <v>3.9839884266259698E-4</v>
      </c>
      <c r="T2591">
        <v>-0.04</v>
      </c>
    </row>
    <row r="2592" spans="1:20" x14ac:dyDescent="0.3">
      <c r="A2592" t="s">
        <v>178</v>
      </c>
      <c r="B2592">
        <v>2011</v>
      </c>
      <c r="C2592">
        <v>644404.75</v>
      </c>
      <c r="D2592" s="1">
        <v>5.0000000000000001E-3</v>
      </c>
      <c r="E2592" s="1">
        <v>0.88548785448074296</v>
      </c>
      <c r="F2592" s="1">
        <v>-1.0999999999999999E-2</v>
      </c>
      <c r="G2592" s="1">
        <f t="shared" si="80"/>
        <v>-8.7999999999999995E-2</v>
      </c>
      <c r="H2592" s="1" t="str">
        <f t="shared" si="81"/>
        <v/>
      </c>
      <c r="I2592" s="1">
        <v>2E-3</v>
      </c>
      <c r="J2592" s="1">
        <f>+D2592-F2592+I2592*O2592</f>
        <v>2.0539999999999999E-2</v>
      </c>
      <c r="K2592" s="1">
        <v>1.1114624328911299E-2</v>
      </c>
      <c r="L2592" s="1">
        <f>+K2592-J2592</f>
        <v>-9.4253756710887E-3</v>
      </c>
      <c r="M2592" s="1">
        <v>-2.08853756710887E-2</v>
      </c>
      <c r="N2592" s="1">
        <f>+M2592-J2592</f>
        <v>-4.1425375671088699E-2</v>
      </c>
      <c r="O2592">
        <v>2.27</v>
      </c>
      <c r="P2592" t="s">
        <v>17</v>
      </c>
      <c r="Q2592">
        <v>0</v>
      </c>
      <c r="R2592">
        <v>-1.9674286529421801E-2</v>
      </c>
      <c r="S2592">
        <v>-1.42360804602504E-2</v>
      </c>
      <c r="T2592">
        <v>-0.01</v>
      </c>
    </row>
    <row r="2593" spans="1:20" x14ac:dyDescent="0.3">
      <c r="A2593" t="s">
        <v>178</v>
      </c>
      <c r="B2593">
        <v>2012</v>
      </c>
      <c r="C2593">
        <v>646881.6875</v>
      </c>
      <c r="D2593" s="1">
        <v>2.7E-2</v>
      </c>
      <c r="E2593" s="1">
        <v>0.89379519224166903</v>
      </c>
      <c r="F2593" s="1">
        <v>0</v>
      </c>
      <c r="G2593" s="1">
        <f t="shared" si="80"/>
        <v>-8.7999999999999995E-2</v>
      </c>
      <c r="H2593" s="1" t="str">
        <f t="shared" si="81"/>
        <v/>
      </c>
      <c r="I2593" s="1">
        <v>8.0000000000000002E-3</v>
      </c>
      <c r="J2593" s="1">
        <f>+D2593-F2593+I2593*O2593</f>
        <v>4.5240000000000002E-2</v>
      </c>
      <c r="K2593" s="1">
        <v>1.32571347057819E-3</v>
      </c>
      <c r="L2593" s="1">
        <f>+K2593-J2593</f>
        <v>-4.3914286529421816E-2</v>
      </c>
      <c r="M2593" s="1">
        <v>-1.9674286529421801E-2</v>
      </c>
      <c r="N2593" s="1">
        <f>+M2593-J2593</f>
        <v>-6.49142865294218E-2</v>
      </c>
      <c r="O2593">
        <v>2.2799999999999998</v>
      </c>
      <c r="P2593" t="s">
        <v>15</v>
      </c>
      <c r="Q2593">
        <v>-0.01</v>
      </c>
      <c r="R2593">
        <v>1.31249526888132E-2</v>
      </c>
      <c r="S2593">
        <v>6.9981813430785899E-3</v>
      </c>
      <c r="T2593">
        <v>0</v>
      </c>
    </row>
    <row r="2594" spans="1:20" x14ac:dyDescent="0.3">
      <c r="A2594" t="s">
        <v>178</v>
      </c>
      <c r="B2594">
        <v>2013</v>
      </c>
      <c r="C2594">
        <v>649692.3125</v>
      </c>
      <c r="D2594" s="1">
        <v>-5.0000000000000001E-3</v>
      </c>
      <c r="E2594" s="1">
        <v>0.89981293678283703</v>
      </c>
      <c r="F2594" s="1">
        <v>0</v>
      </c>
      <c r="G2594" s="1">
        <f t="shared" si="80"/>
        <v>-8.7999999999999995E-2</v>
      </c>
      <c r="H2594" s="1" t="str">
        <f t="shared" si="81"/>
        <v/>
      </c>
      <c r="I2594" s="1">
        <v>6.0000000000000001E-3</v>
      </c>
      <c r="J2594" s="1">
        <f>+D2594-F2594+I2594*O2594</f>
        <v>8.6199999999999992E-3</v>
      </c>
      <c r="K2594" s="1">
        <v>2.8124952688813199E-2</v>
      </c>
      <c r="L2594" s="1">
        <f>+K2594-J2594</f>
        <v>1.95049526888132E-2</v>
      </c>
      <c r="M2594" s="1">
        <v>1.31249526888132E-2</v>
      </c>
      <c r="N2594" s="1">
        <f>+M2594-J2594</f>
        <v>4.5049526888132005E-3</v>
      </c>
      <c r="O2594">
        <v>2.27</v>
      </c>
      <c r="P2594" t="s">
        <v>17</v>
      </c>
      <c r="Q2594">
        <v>0.01</v>
      </c>
      <c r="R2594">
        <v>8.4872992336749997E-4</v>
      </c>
      <c r="S2594">
        <v>-1.159293577075E-3</v>
      </c>
      <c r="T2594">
        <v>-0.01</v>
      </c>
    </row>
    <row r="2595" spans="1:20" x14ac:dyDescent="0.3">
      <c r="A2595" t="s">
        <v>178</v>
      </c>
      <c r="B2595">
        <v>2014</v>
      </c>
      <c r="C2595">
        <v>652744.625</v>
      </c>
      <c r="D2595" s="1">
        <v>0</v>
      </c>
      <c r="E2595" s="1">
        <v>0.90218478441238403</v>
      </c>
      <c r="F2595" s="1">
        <v>2E-3</v>
      </c>
      <c r="G2595" s="1">
        <f t="shared" si="80"/>
        <v>-8.5999999999999993E-2</v>
      </c>
      <c r="H2595" s="1" t="str">
        <f t="shared" si="81"/>
        <v/>
      </c>
      <c r="I2595" s="1">
        <v>2E-3</v>
      </c>
      <c r="J2595" s="1">
        <f>+D2595-F2595+I2595*O2595</f>
        <v>2.5599999999999998E-3</v>
      </c>
      <c r="K2595" s="1">
        <v>1.68487299233675E-2</v>
      </c>
      <c r="L2595" s="1">
        <f>+K2595-J2595</f>
        <v>1.4288729923367501E-2</v>
      </c>
      <c r="M2595" s="1">
        <v>8.4872992336749997E-4</v>
      </c>
      <c r="N2595" s="1">
        <f>+M2595-J2595</f>
        <v>-1.7112700766324998E-3</v>
      </c>
      <c r="O2595">
        <v>2.2799999999999998</v>
      </c>
      <c r="P2595" t="s">
        <v>15</v>
      </c>
      <c r="Q2595">
        <v>0</v>
      </c>
      <c r="R2595">
        <v>2.65408308953047E-2</v>
      </c>
      <c r="S2595">
        <v>-3.7226211279629902E-3</v>
      </c>
      <c r="T2595">
        <v>0</v>
      </c>
    </row>
    <row r="2596" spans="1:20" x14ac:dyDescent="0.3">
      <c r="A2596" t="s">
        <v>178</v>
      </c>
      <c r="B2596">
        <v>2015</v>
      </c>
      <c r="C2596">
        <v>655908.3125</v>
      </c>
      <c r="D2596" s="1">
        <v>0.04</v>
      </c>
      <c r="E2596" s="1">
        <v>0.90065932273864702</v>
      </c>
      <c r="F2596" s="1">
        <v>1.6E-2</v>
      </c>
      <c r="G2596" s="1">
        <f t="shared" si="80"/>
        <v>-6.9999999999999993E-2</v>
      </c>
      <c r="H2596" s="1" t="str">
        <f t="shared" si="81"/>
        <v/>
      </c>
      <c r="I2596" s="1">
        <v>-2E-3</v>
      </c>
      <c r="J2596" s="1">
        <f>+D2596-F2596+I2596*O2596</f>
        <v>1.9360000000000002E-2</v>
      </c>
      <c r="K2596" s="1">
        <v>2.7540830895304701E-2</v>
      </c>
      <c r="L2596" s="1">
        <f>+K2596-J2596</f>
        <v>8.1808308953046985E-3</v>
      </c>
      <c r="M2596" s="1">
        <v>2.65408308953047E-2</v>
      </c>
      <c r="N2596" s="1">
        <f>+M2596-J2596</f>
        <v>7.1808308953046976E-3</v>
      </c>
      <c r="O2596">
        <v>2.3199999999999998</v>
      </c>
      <c r="P2596" t="s">
        <v>17</v>
      </c>
      <c r="Q2596">
        <v>0</v>
      </c>
      <c r="R2596">
        <v>2.8950322687625901E-2</v>
      </c>
      <c r="S2596">
        <v>1.5796765685081499E-2</v>
      </c>
      <c r="T2596">
        <v>0.03</v>
      </c>
    </row>
    <row r="2597" spans="1:20" x14ac:dyDescent="0.3">
      <c r="A2597" t="s">
        <v>178</v>
      </c>
      <c r="B2597">
        <v>2016</v>
      </c>
      <c r="C2597">
        <v>660708.375</v>
      </c>
      <c r="D2597" s="1">
        <v>1.7999999999999999E-2</v>
      </c>
      <c r="E2597" s="1">
        <v>0.91590279340743996</v>
      </c>
      <c r="F2597" s="1">
        <v>2.4E-2</v>
      </c>
      <c r="G2597" s="1">
        <f t="shared" si="80"/>
        <v>-4.5999999999999992E-2</v>
      </c>
      <c r="H2597" s="1" t="str">
        <f t="shared" si="81"/>
        <v/>
      </c>
      <c r="I2597" s="1">
        <v>1.4999999999999999E-2</v>
      </c>
      <c r="J2597" s="1">
        <f>+D2597-F2597+I2597*O2597</f>
        <v>2.9549999999999996E-2</v>
      </c>
      <c r="K2597" s="1">
        <v>4.1950322687625899E-2</v>
      </c>
      <c r="L2597" s="1">
        <f>+K2597-J2597</f>
        <v>1.2400322687625902E-2</v>
      </c>
      <c r="M2597" s="1">
        <v>2.8950322687625901E-2</v>
      </c>
      <c r="N2597" s="1">
        <f>+M2597-J2597</f>
        <v>-5.9967731237409519E-4</v>
      </c>
      <c r="O2597">
        <v>2.37</v>
      </c>
      <c r="P2597" t="s">
        <v>15</v>
      </c>
      <c r="Q2597">
        <v>0.02</v>
      </c>
      <c r="R2597">
        <v>6.28918381035329E-3</v>
      </c>
      <c r="S2597">
        <v>3.4996103495360002E-3</v>
      </c>
      <c r="T2597">
        <v>0.02</v>
      </c>
    </row>
    <row r="2598" spans="1:20" x14ac:dyDescent="0.3">
      <c r="A2598" t="s">
        <v>178</v>
      </c>
      <c r="B2598">
        <v>2017</v>
      </c>
      <c r="C2598">
        <v>665635.9375</v>
      </c>
      <c r="D2598" s="1">
        <v>1.7999999999999999E-2</v>
      </c>
      <c r="E2598" s="1">
        <v>0.92150831222534202</v>
      </c>
      <c r="F2598" s="1">
        <v>-2.4E-2</v>
      </c>
      <c r="G2598" s="1">
        <f t="shared" si="80"/>
        <v>-6.9999999999999993E-2</v>
      </c>
      <c r="H2598" s="1" t="str">
        <f t="shared" si="81"/>
        <v/>
      </c>
      <c r="I2598" s="1">
        <v>6.0000000000000001E-3</v>
      </c>
      <c r="J2598" s="1">
        <f>+D2598-F2598+I2598*O2598</f>
        <v>5.5859999999999993E-2</v>
      </c>
      <c r="K2598" s="1">
        <v>2.72891838103533E-2</v>
      </c>
      <c r="L2598" s="1">
        <f>+K2598-J2598</f>
        <v>-2.8570816189646693E-2</v>
      </c>
      <c r="M2598" s="1">
        <v>6.28918381035329E-3</v>
      </c>
      <c r="N2598" s="1">
        <f>+M2598-J2598</f>
        <v>-4.9570816189646705E-2</v>
      </c>
      <c r="O2598">
        <v>2.31</v>
      </c>
      <c r="P2598" t="s">
        <v>17</v>
      </c>
      <c r="Q2598">
        <v>0</v>
      </c>
      <c r="R2598">
        <v>2.69851239621638E-2</v>
      </c>
      <c r="S2598">
        <v>1.78501009941101E-2</v>
      </c>
      <c r="T2598">
        <v>-0.02</v>
      </c>
    </row>
    <row r="2599" spans="1:20" x14ac:dyDescent="0.3">
      <c r="A2599" t="s">
        <v>178</v>
      </c>
      <c r="B2599">
        <v>2018</v>
      </c>
      <c r="C2599">
        <v>669788.875</v>
      </c>
      <c r="D2599" s="1">
        <v>5.0000000000000001E-3</v>
      </c>
      <c r="E2599" s="1">
        <v>0.926011443138123</v>
      </c>
      <c r="F2599" s="1">
        <v>-5.0000000000000001E-3</v>
      </c>
      <c r="G2599" s="1">
        <f t="shared" si="80"/>
        <v>-7.4999999999999997E-2</v>
      </c>
      <c r="H2599" s="1" t="str">
        <f t="shared" si="81"/>
        <v/>
      </c>
      <c r="I2599" s="1">
        <v>5.0000000000000001E-3</v>
      </c>
      <c r="J2599" s="1">
        <f>+D2599-F2599+I2599*O2599</f>
        <v>2.1499999999999998E-2</v>
      </c>
      <c r="K2599" s="1">
        <v>5.0985123962163897E-2</v>
      </c>
      <c r="L2599" s="1">
        <f>+K2599-J2599</f>
        <v>2.9485123962163899E-2</v>
      </c>
      <c r="M2599" s="1">
        <v>2.69851239621638E-2</v>
      </c>
      <c r="N2599" s="1">
        <f>+M2599-J2599</f>
        <v>5.4851239621638015E-3</v>
      </c>
      <c r="O2599">
        <v>2.2999999999999998</v>
      </c>
      <c r="P2599" t="s">
        <v>17</v>
      </c>
      <c r="Q2599">
        <v>0.02</v>
      </c>
      <c r="R2599">
        <v>2.6259332120418501E-2</v>
      </c>
      <c r="S2599">
        <v>8.4581375122069896E-3</v>
      </c>
      <c r="T2599">
        <v>0.01</v>
      </c>
    </row>
    <row r="2600" spans="1:20" x14ac:dyDescent="0.3">
      <c r="A2600" t="s">
        <v>178</v>
      </c>
      <c r="B2600">
        <v>2019</v>
      </c>
      <c r="C2600">
        <v>674204.5</v>
      </c>
      <c r="D2600" s="1">
        <v>2.9000000000000001E-2</v>
      </c>
      <c r="E2600" s="1">
        <v>0.92363727092742898</v>
      </c>
      <c r="F2600" s="1">
        <v>-0.04</v>
      </c>
      <c r="G2600" s="1">
        <f t="shared" si="80"/>
        <v>-0.11499999999999999</v>
      </c>
      <c r="H2600" s="1" t="str">
        <f t="shared" si="81"/>
        <v/>
      </c>
      <c r="I2600" s="1">
        <v>-2E-3</v>
      </c>
      <c r="J2600" s="1">
        <f>+D2600-F2600+I2600*O2600</f>
        <v>6.4579999999999999E-2</v>
      </c>
      <c r="K2600" s="1">
        <v>4.42593321204185E-2</v>
      </c>
      <c r="L2600" s="1">
        <f>+K2600-J2600</f>
        <v>-2.0320667879581499E-2</v>
      </c>
      <c r="M2600" s="1">
        <v>2.6259332120418501E-2</v>
      </c>
      <c r="N2600" s="1">
        <f>+M2600-J2600</f>
        <v>-3.8320667879581494E-2</v>
      </c>
      <c r="O2600">
        <v>2.21</v>
      </c>
      <c r="P2600" t="s">
        <v>16</v>
      </c>
      <c r="Q2600">
        <v>0.01</v>
      </c>
      <c r="R2600">
        <v>3.83959134221077E-2</v>
      </c>
      <c r="S2600">
        <v>1.95467229932547E-2</v>
      </c>
      <c r="T2600">
        <v>-0.03</v>
      </c>
    </row>
    <row r="2601" spans="1:20" x14ac:dyDescent="0.3">
      <c r="A2601" t="s">
        <v>178</v>
      </c>
      <c r="B2601">
        <v>2020</v>
      </c>
      <c r="C2601">
        <v>677761.25</v>
      </c>
      <c r="D2601" s="1">
        <v>1.0999999999999999E-2</v>
      </c>
      <c r="E2601" s="1">
        <v>0.93954885005950906</v>
      </c>
      <c r="F2601" s="1">
        <v>-0.13</v>
      </c>
      <c r="G2601" s="1">
        <f t="shared" si="80"/>
        <v>-0.245</v>
      </c>
      <c r="H2601" s="1">
        <f t="shared" si="81"/>
        <v>9.4043485820293204E-2</v>
      </c>
      <c r="I2601" s="1">
        <v>1.6E-2</v>
      </c>
      <c r="J2601" s="1">
        <f>+D2601-F2601+I2601*O2601</f>
        <v>0.17172000000000001</v>
      </c>
      <c r="K2601" s="1">
        <v>5.0395913422107697E-2</v>
      </c>
      <c r="L2601" s="1">
        <f>+K2601-J2601</f>
        <v>-0.12132408657789231</v>
      </c>
      <c r="M2601" s="1">
        <v>3.83959134221077E-2</v>
      </c>
      <c r="N2601" s="1">
        <f>+M2601-J2601</f>
        <v>-0.1333240865778923</v>
      </c>
      <c r="O2601">
        <v>1.92</v>
      </c>
      <c r="P2601" t="s">
        <v>17</v>
      </c>
      <c r="Q2601">
        <v>0.02</v>
      </c>
      <c r="R2601">
        <v>9.0195691466330996E-2</v>
      </c>
      <c r="S2601">
        <v>4.6606078743934097E-2</v>
      </c>
      <c r="T2601">
        <v>-0.09</v>
      </c>
    </row>
    <row r="2602" spans="1:20" x14ac:dyDescent="0.3">
      <c r="A2602" t="s">
        <v>178</v>
      </c>
      <c r="B2602">
        <v>2021</v>
      </c>
      <c r="C2602">
        <v>683454.5</v>
      </c>
      <c r="D2602" s="1">
        <v>0</v>
      </c>
      <c r="E2602" s="1">
        <v>0.95577412843704201</v>
      </c>
      <c r="F2602" s="1">
        <v>0.11899999999999999</v>
      </c>
      <c r="G2602" s="1">
        <f t="shared" si="80"/>
        <v>-0.126</v>
      </c>
      <c r="H2602" s="1">
        <f t="shared" si="81"/>
        <v>5.0891280174255399E-2</v>
      </c>
      <c r="I2602" s="1">
        <v>1.6E-2</v>
      </c>
      <c r="J2602" s="1">
        <f>+D2602-F2602+I2602*O2602</f>
        <v>-8.4599999999999995E-2</v>
      </c>
      <c r="K2602" s="1">
        <v>0.13719569146633101</v>
      </c>
      <c r="L2602" s="1">
        <f>+K2602-J2602</f>
        <v>0.22179569146633099</v>
      </c>
      <c r="M2602" s="1">
        <v>9.0195691466330996E-2</v>
      </c>
      <c r="N2602" s="1">
        <f>+M2602-J2602</f>
        <v>0.174795691466331</v>
      </c>
      <c r="O2602">
        <v>2.15</v>
      </c>
      <c r="P2602" t="s">
        <v>15</v>
      </c>
      <c r="Q2602">
        <v>0.05</v>
      </c>
      <c r="R2602">
        <v>-2.9108719825744599E-2</v>
      </c>
      <c r="S2602">
        <v>2.99478694796569E-3</v>
      </c>
      <c r="T2602">
        <v>0.09</v>
      </c>
    </row>
    <row r="2603" spans="1:20" x14ac:dyDescent="0.3">
      <c r="A2603" t="s">
        <v>178</v>
      </c>
      <c r="B2603">
        <v>2022</v>
      </c>
      <c r="C2603">
        <v>690568.8125</v>
      </c>
      <c r="D2603" s="1">
        <v>3.5000000000000003E-2</v>
      </c>
      <c r="E2603" s="1">
        <v>0.91489386558532704</v>
      </c>
      <c r="F2603" s="1">
        <v>-1.4E-2</v>
      </c>
      <c r="G2603" s="1">
        <f t="shared" si="80"/>
        <v>-0.14000000000000001</v>
      </c>
      <c r="H2603" s="1" t="str">
        <f t="shared" si="81"/>
        <v/>
      </c>
      <c r="I2603" s="1">
        <v>-4.1000000000000002E-2</v>
      </c>
      <c r="J2603" s="1">
        <f>+D2603-F2603+I2603*O2603</f>
        <v>-3.7920000000000009E-2</v>
      </c>
      <c r="K2603" s="1">
        <v>5.0891280174255399E-2</v>
      </c>
      <c r="L2603" s="1">
        <f>+K2603-J2603</f>
        <v>8.8811280174255408E-2</v>
      </c>
      <c r="M2603" s="1">
        <v>-2.9108719825744599E-2</v>
      </c>
      <c r="N2603" s="1">
        <f>+M2603-J2603</f>
        <v>8.8112801742554099E-3</v>
      </c>
      <c r="O2603">
        <v>2.12</v>
      </c>
      <c r="P2603" t="s">
        <v>16</v>
      </c>
      <c r="Q2603">
        <v>0</v>
      </c>
      <c r="R2603">
        <v>-2.3943899929523501E-2</v>
      </c>
      <c r="S2603">
        <v>-4.3849721550941901E-3</v>
      </c>
      <c r="T2603">
        <v>0</v>
      </c>
    </row>
    <row r="2604" spans="1:20" x14ac:dyDescent="0.3">
      <c r="A2604" t="s">
        <v>179</v>
      </c>
      <c r="B2604">
        <v>2006</v>
      </c>
      <c r="C2604">
        <v>902922.4375</v>
      </c>
      <c r="D2604" s="1">
        <v>0.01</v>
      </c>
      <c r="E2604" s="1">
        <v>0.93952405452728305</v>
      </c>
      <c r="F2604" s="1">
        <v>1.0999999999999999E-2</v>
      </c>
      <c r="G2604" s="1">
        <f t="shared" si="80"/>
        <v>1.0999999999999999E-2</v>
      </c>
      <c r="H2604" s="1" t="str">
        <f t="shared" si="81"/>
        <v/>
      </c>
      <c r="I2604" s="1">
        <v>1.4E-2</v>
      </c>
      <c r="J2604" s="1">
        <f>+D2604-F2604+I2604*O2604</f>
        <v>2.826E-2</v>
      </c>
      <c r="K2604" s="1">
        <v>2.4837180972099301E-2</v>
      </c>
      <c r="L2604" s="1">
        <f>+K2604-J2604</f>
        <v>-3.4228190279006997E-3</v>
      </c>
      <c r="M2604" s="1">
        <v>-7.1628190279006999E-3</v>
      </c>
      <c r="N2604" s="1">
        <f>+M2604-J2604</f>
        <v>-3.5422819027900704E-2</v>
      </c>
      <c r="O2604">
        <v>2.09</v>
      </c>
      <c r="P2604" t="s">
        <v>15</v>
      </c>
      <c r="Q2604">
        <v>-0.01</v>
      </c>
      <c r="R2604">
        <v>1.7907108217477901E-3</v>
      </c>
      <c r="S2604">
        <v>2.7124667540192999E-3</v>
      </c>
      <c r="T2604">
        <v>0.01</v>
      </c>
    </row>
    <row r="2605" spans="1:20" x14ac:dyDescent="0.3">
      <c r="A2605" t="s">
        <v>179</v>
      </c>
      <c r="B2605">
        <v>2007</v>
      </c>
      <c r="C2605">
        <v>906320.6875</v>
      </c>
      <c r="D2605" s="1">
        <v>1E-3</v>
      </c>
      <c r="E2605" s="1">
        <v>0.94373303651809703</v>
      </c>
      <c r="F2605" s="1">
        <v>2.8000000000000001E-2</v>
      </c>
      <c r="G2605" s="1">
        <f t="shared" si="80"/>
        <v>3.9E-2</v>
      </c>
      <c r="H2605" s="1" t="str">
        <f t="shared" si="81"/>
        <v/>
      </c>
      <c r="I2605" s="1">
        <v>4.0000000000000001E-3</v>
      </c>
      <c r="J2605" s="1">
        <f>+D2605-F2605+I2605*O2605</f>
        <v>-1.84E-2</v>
      </c>
      <c r="K2605" s="1">
        <v>3.0790710821747801E-2</v>
      </c>
      <c r="L2605" s="1">
        <f>+K2605-J2605</f>
        <v>4.91907108217478E-2</v>
      </c>
      <c r="M2605" s="1">
        <v>1.7907108217477901E-3</v>
      </c>
      <c r="N2605" s="1">
        <f>+M2605-J2605</f>
        <v>2.0190710821747788E-2</v>
      </c>
      <c r="O2605">
        <v>2.15</v>
      </c>
      <c r="P2605" t="s">
        <v>15</v>
      </c>
      <c r="Q2605">
        <v>0</v>
      </c>
      <c r="R2605">
        <v>-3.0317015305161399E-2</v>
      </c>
      <c r="S2605">
        <v>-8.0621102824807503E-4</v>
      </c>
      <c r="T2605">
        <v>0.03</v>
      </c>
    </row>
    <row r="2606" spans="1:20" x14ac:dyDescent="0.3">
      <c r="A2606" t="s">
        <v>179</v>
      </c>
      <c r="B2606">
        <v>2008</v>
      </c>
      <c r="C2606">
        <v>909930.75</v>
      </c>
      <c r="D2606" s="1">
        <v>1.9E-2</v>
      </c>
      <c r="E2606" s="1">
        <v>0.94756108522415206</v>
      </c>
      <c r="F2606" s="1">
        <v>8.0000000000000002E-3</v>
      </c>
      <c r="G2606" s="1">
        <f t="shared" si="80"/>
        <v>4.7E-2</v>
      </c>
      <c r="H2606" s="1" t="str">
        <f t="shared" si="81"/>
        <v/>
      </c>
      <c r="I2606" s="1">
        <v>4.0000000000000001E-3</v>
      </c>
      <c r="J2606" s="1">
        <f>+D2606-F2606+I2606*O2606</f>
        <v>1.968E-2</v>
      </c>
      <c r="K2606" s="1">
        <v>7.6829846948385204E-3</v>
      </c>
      <c r="L2606" s="1">
        <f>+K2606-J2606</f>
        <v>-1.1997015305161479E-2</v>
      </c>
      <c r="M2606" s="1">
        <v>-3.0317015305161399E-2</v>
      </c>
      <c r="N2606" s="1">
        <f>+M2606-J2606</f>
        <v>-4.9997015305161402E-2</v>
      </c>
      <c r="O2606">
        <v>2.17</v>
      </c>
      <c r="P2606" t="s">
        <v>15</v>
      </c>
      <c r="Q2606">
        <v>0</v>
      </c>
      <c r="R2606">
        <v>-2.62052665501833E-2</v>
      </c>
      <c r="S2606">
        <v>3.6143511533735101E-4</v>
      </c>
      <c r="T2606">
        <v>0.01</v>
      </c>
    </row>
    <row r="2607" spans="1:20" x14ac:dyDescent="0.3">
      <c r="A2607" t="s">
        <v>179</v>
      </c>
      <c r="B2607">
        <v>2009</v>
      </c>
      <c r="C2607">
        <v>915020.625</v>
      </c>
      <c r="D2607" s="1">
        <v>1.6E-2</v>
      </c>
      <c r="E2607" s="1">
        <v>0.94396162033081099</v>
      </c>
      <c r="F2607" s="1">
        <v>1.7999999999999999E-2</v>
      </c>
      <c r="G2607" s="1">
        <f t="shared" si="80"/>
        <v>6.5000000000000002E-2</v>
      </c>
      <c r="H2607" s="1" t="str">
        <f t="shared" si="81"/>
        <v/>
      </c>
      <c r="I2607" s="1">
        <v>-4.0000000000000001E-3</v>
      </c>
      <c r="J2607" s="1">
        <f>+D2607-F2607+I2607*O2607</f>
        <v>-1.0839999999999999E-2</v>
      </c>
      <c r="K2607" s="1">
        <v>-3.02052665501833E-2</v>
      </c>
      <c r="L2607" s="1">
        <f>+K2607-J2607</f>
        <v>-1.9365266550183301E-2</v>
      </c>
      <c r="M2607" s="1">
        <v>-2.62052665501833E-2</v>
      </c>
      <c r="N2607" s="1">
        <f>+M2607-J2607</f>
        <v>-1.5365266550183301E-2</v>
      </c>
      <c r="O2607">
        <v>2.21</v>
      </c>
      <c r="P2607" t="s">
        <v>17</v>
      </c>
      <c r="Q2607">
        <v>0</v>
      </c>
      <c r="R2607">
        <v>2.5452494770288E-3</v>
      </c>
      <c r="S2607">
        <v>1.20053582359104E-2</v>
      </c>
      <c r="T2607">
        <v>0</v>
      </c>
    </row>
    <row r="2608" spans="1:20" x14ac:dyDescent="0.3">
      <c r="A2608" t="s">
        <v>179</v>
      </c>
      <c r="B2608">
        <v>2010</v>
      </c>
      <c r="C2608">
        <v>921476.9375</v>
      </c>
      <c r="D2608" s="1">
        <v>1.2E-2</v>
      </c>
      <c r="E2608" s="1">
        <v>0.94379597902297996</v>
      </c>
      <c r="F2608" s="1">
        <v>-2.5999999999999999E-2</v>
      </c>
      <c r="G2608" s="1">
        <f t="shared" si="80"/>
        <v>3.9000000000000007E-2</v>
      </c>
      <c r="H2608" s="1" t="str">
        <f t="shared" si="81"/>
        <v/>
      </c>
      <c r="I2608" s="1">
        <v>0</v>
      </c>
      <c r="J2608" s="1">
        <f>+D2608-F2608+I2608*O2608</f>
        <v>3.7999999999999999E-2</v>
      </c>
      <c r="K2608" s="1">
        <v>1.8545249477028802E-2</v>
      </c>
      <c r="L2608" s="1">
        <f>+K2608-J2608</f>
        <v>-1.9454750522971197E-2</v>
      </c>
      <c r="M2608" s="1">
        <v>2.5452494770288E-3</v>
      </c>
      <c r="N2608" s="1">
        <f>+M2608-J2608</f>
        <v>-3.5454750522971201E-2</v>
      </c>
      <c r="O2608">
        <v>2.15</v>
      </c>
      <c r="P2608" t="s">
        <v>16</v>
      </c>
      <c r="Q2608">
        <v>0.01</v>
      </c>
      <c r="R2608">
        <v>-2.1100504666566801E-2</v>
      </c>
      <c r="S2608">
        <v>1.83269847184499E-4</v>
      </c>
      <c r="T2608">
        <v>-0.03</v>
      </c>
    </row>
    <row r="2609" spans="1:20" x14ac:dyDescent="0.3">
      <c r="A2609" t="s">
        <v>179</v>
      </c>
      <c r="B2609">
        <v>2011</v>
      </c>
      <c r="C2609">
        <v>927860.75</v>
      </c>
      <c r="D2609" s="1">
        <v>7.0000000000000001E-3</v>
      </c>
      <c r="E2609" s="1">
        <v>0.94704174995422397</v>
      </c>
      <c r="F2609" s="1">
        <v>1.4E-2</v>
      </c>
      <c r="G2609" s="1">
        <f t="shared" si="80"/>
        <v>5.3000000000000005E-2</v>
      </c>
      <c r="H2609" s="1" t="str">
        <f t="shared" si="81"/>
        <v/>
      </c>
      <c r="I2609" s="1">
        <v>3.0000000000000001E-3</v>
      </c>
      <c r="J2609" s="1">
        <f>+D2609-F2609+I2609*O2609</f>
        <v>-4.5999999999999947E-4</v>
      </c>
      <c r="K2609" s="1">
        <v>1.08994953334332E-2</v>
      </c>
      <c r="L2609" s="1">
        <f>+K2609-J2609</f>
        <v>1.1359495333433198E-2</v>
      </c>
      <c r="M2609" s="1">
        <v>-2.1100504666566801E-2</v>
      </c>
      <c r="N2609" s="1">
        <f>+M2609-J2609</f>
        <v>-2.0640504666566802E-2</v>
      </c>
      <c r="O2609">
        <v>2.1800000000000002</v>
      </c>
      <c r="P2609" t="s">
        <v>15</v>
      </c>
      <c r="Q2609">
        <v>0</v>
      </c>
      <c r="R2609">
        <v>-5.4712652266025999E-3</v>
      </c>
      <c r="S2609">
        <v>-3.30591574312002E-5</v>
      </c>
      <c r="T2609">
        <v>0.02</v>
      </c>
    </row>
    <row r="2610" spans="1:20" x14ac:dyDescent="0.3">
      <c r="A2610" t="s">
        <v>179</v>
      </c>
      <c r="B2610">
        <v>2012</v>
      </c>
      <c r="C2610">
        <v>934013.625</v>
      </c>
      <c r="D2610" s="1">
        <v>7.0000000000000001E-3</v>
      </c>
      <c r="E2610" s="1">
        <v>0.94909799098968495</v>
      </c>
      <c r="F2610" s="1">
        <v>2.1999999999999999E-2</v>
      </c>
      <c r="G2610" s="1">
        <f t="shared" si="80"/>
        <v>7.5000000000000011E-2</v>
      </c>
      <c r="H2610" s="1" t="str">
        <f t="shared" si="81"/>
        <v/>
      </c>
      <c r="I2610" s="1">
        <v>2E-3</v>
      </c>
      <c r="J2610" s="1">
        <f>+D2610-F2610+I2610*O2610</f>
        <v>-1.0539999999999999E-2</v>
      </c>
      <c r="K2610" s="1">
        <v>1.5528734773397401E-2</v>
      </c>
      <c r="L2610" s="1">
        <f>+K2610-J2610</f>
        <v>2.6068734773397398E-2</v>
      </c>
      <c r="M2610" s="1">
        <v>-5.4712652266025999E-3</v>
      </c>
      <c r="N2610" s="1">
        <f>+M2610-J2610</f>
        <v>5.0687347733973992E-3</v>
      </c>
      <c r="O2610">
        <v>2.23</v>
      </c>
      <c r="P2610" t="s">
        <v>15</v>
      </c>
      <c r="Q2610">
        <v>0</v>
      </c>
      <c r="R2610">
        <v>6.4374847710133003E-3</v>
      </c>
      <c r="S2610">
        <v>3.1071342527870099E-4</v>
      </c>
      <c r="T2610">
        <v>0.02</v>
      </c>
    </row>
    <row r="2611" spans="1:20" x14ac:dyDescent="0.3">
      <c r="A2611" t="s">
        <v>179</v>
      </c>
      <c r="B2611">
        <v>2013</v>
      </c>
      <c r="C2611">
        <v>940767.25</v>
      </c>
      <c r="D2611" s="1">
        <v>1.2999999999999999E-2</v>
      </c>
      <c r="E2611" s="1">
        <v>0.94589745998382602</v>
      </c>
      <c r="F2611" s="1">
        <v>2.7E-2</v>
      </c>
      <c r="G2611" s="1">
        <f t="shared" si="80"/>
        <v>0.10200000000000001</v>
      </c>
      <c r="H2611" s="1" t="str">
        <f t="shared" si="81"/>
        <v/>
      </c>
      <c r="I2611" s="1">
        <v>-3.0000000000000001E-3</v>
      </c>
      <c r="J2611" s="1">
        <f>+D2611-F2611+I2611*O2611</f>
        <v>-2.087E-2</v>
      </c>
      <c r="K2611" s="1">
        <v>2.1437484771013302E-2</v>
      </c>
      <c r="L2611" s="1">
        <f>+K2611-J2611</f>
        <v>4.2307484771013301E-2</v>
      </c>
      <c r="M2611" s="1">
        <v>6.4374847710133003E-3</v>
      </c>
      <c r="N2611" s="1">
        <f>+M2611-J2611</f>
        <v>2.7307484771013302E-2</v>
      </c>
      <c r="O2611">
        <v>2.29</v>
      </c>
      <c r="P2611" t="s">
        <v>17</v>
      </c>
      <c r="Q2611">
        <v>0</v>
      </c>
      <c r="R2611">
        <v>1.4029121786356E-2</v>
      </c>
      <c r="S2611">
        <v>1.20210982859134E-2</v>
      </c>
      <c r="T2611">
        <v>0.02</v>
      </c>
    </row>
    <row r="2612" spans="1:20" x14ac:dyDescent="0.3">
      <c r="A2612" t="s">
        <v>179</v>
      </c>
      <c r="B2612">
        <v>2014</v>
      </c>
      <c r="C2612">
        <v>947693</v>
      </c>
      <c r="D2612" s="1">
        <v>3.0000000000000001E-3</v>
      </c>
      <c r="E2612" s="1">
        <v>0.95172107219696001</v>
      </c>
      <c r="F2612" s="1">
        <v>-2.9000000000000001E-2</v>
      </c>
      <c r="G2612" s="1">
        <f t="shared" si="80"/>
        <v>7.3000000000000009E-2</v>
      </c>
      <c r="H2612" s="1" t="str">
        <f t="shared" si="81"/>
        <v/>
      </c>
      <c r="I2612" s="1">
        <v>6.0000000000000001E-3</v>
      </c>
      <c r="J2612" s="1">
        <f>+D2612-F2612+I2612*O2612</f>
        <v>4.5319999999999999E-2</v>
      </c>
      <c r="K2612" s="1">
        <v>3.0029121786356E-2</v>
      </c>
      <c r="L2612" s="1">
        <f>+K2612-J2612</f>
        <v>-1.5290878213643999E-2</v>
      </c>
      <c r="M2612" s="1">
        <v>1.4029121786356E-2</v>
      </c>
      <c r="N2612" s="1">
        <f>+M2612-J2612</f>
        <v>-3.1290878213643999E-2</v>
      </c>
      <c r="O2612">
        <v>2.2200000000000002</v>
      </c>
      <c r="P2612" t="s">
        <v>17</v>
      </c>
      <c r="Q2612">
        <v>0.01</v>
      </c>
      <c r="R2612">
        <v>4.20976003408432E-2</v>
      </c>
      <c r="S2612">
        <v>1.18341483175755E-2</v>
      </c>
      <c r="T2612">
        <v>-0.03</v>
      </c>
    </row>
    <row r="2613" spans="1:20" x14ac:dyDescent="0.3">
      <c r="A2613" t="s">
        <v>179</v>
      </c>
      <c r="B2613">
        <v>2015</v>
      </c>
      <c r="C2613">
        <v>953126</v>
      </c>
      <c r="D2613" s="1">
        <v>6.0000000000000001E-3</v>
      </c>
      <c r="E2613" s="1">
        <v>0.960279941558838</v>
      </c>
      <c r="F2613" s="1">
        <v>-0.04</v>
      </c>
      <c r="G2613" s="1">
        <f t="shared" si="80"/>
        <v>3.3000000000000008E-2</v>
      </c>
      <c r="H2613" s="1" t="str">
        <f t="shared" si="81"/>
        <v/>
      </c>
      <c r="I2613" s="1">
        <v>8.9999999999999993E-3</v>
      </c>
      <c r="J2613" s="1">
        <f>+D2613-F2613+I2613*O2613</f>
        <v>6.5259999999999999E-2</v>
      </c>
      <c r="K2613" s="1">
        <v>4.3097600340843201E-2</v>
      </c>
      <c r="L2613" s="1">
        <f>+K2613-J2613</f>
        <v>-2.2162399659156798E-2</v>
      </c>
      <c r="M2613" s="1">
        <v>4.20976003408432E-2</v>
      </c>
      <c r="N2613" s="1">
        <f>+M2613-J2613</f>
        <v>-2.3162399659156799E-2</v>
      </c>
      <c r="O2613">
        <v>2.14</v>
      </c>
      <c r="P2613" t="s">
        <v>17</v>
      </c>
      <c r="Q2613">
        <v>0.01</v>
      </c>
      <c r="R2613">
        <v>1.50242078006268E-2</v>
      </c>
      <c r="S2613">
        <v>1.8706507980824E-3</v>
      </c>
      <c r="T2613">
        <v>-0.03</v>
      </c>
    </row>
    <row r="2614" spans="1:20" x14ac:dyDescent="0.3">
      <c r="A2614" t="s">
        <v>179</v>
      </c>
      <c r="B2614">
        <v>2016</v>
      </c>
      <c r="C2614">
        <v>959015.625</v>
      </c>
      <c r="D2614" s="1">
        <v>1.2E-2</v>
      </c>
      <c r="E2614" s="1">
        <v>0.95650899410247803</v>
      </c>
      <c r="F2614" s="1">
        <v>-3.4000000000000002E-2</v>
      </c>
      <c r="G2614" s="1">
        <f t="shared" si="80"/>
        <v>-9.9999999999999395E-4</v>
      </c>
      <c r="H2614" s="1" t="str">
        <f t="shared" si="81"/>
        <v/>
      </c>
      <c r="I2614" s="1">
        <v>-4.0000000000000001E-3</v>
      </c>
      <c r="J2614" s="1">
        <f>+D2614-F2614+I2614*O2614</f>
        <v>3.7760000000000002E-2</v>
      </c>
      <c r="K2614" s="1">
        <v>2.80242078006268E-2</v>
      </c>
      <c r="L2614" s="1">
        <f>+K2614-J2614</f>
        <v>-9.735792199373202E-3</v>
      </c>
      <c r="M2614" s="1">
        <v>1.50242078006268E-2</v>
      </c>
      <c r="N2614" s="1">
        <f>+M2614-J2614</f>
        <v>-2.2735792199373203E-2</v>
      </c>
      <c r="O2614">
        <v>2.06</v>
      </c>
      <c r="P2614" t="s">
        <v>16</v>
      </c>
      <c r="Q2614">
        <v>0</v>
      </c>
      <c r="R2614">
        <v>-9.5119914412499895E-4</v>
      </c>
      <c r="S2614">
        <v>-3.7407726049422901E-3</v>
      </c>
      <c r="T2614">
        <v>-0.03</v>
      </c>
    </row>
    <row r="2615" spans="1:20" x14ac:dyDescent="0.3">
      <c r="A2615" t="s">
        <v>179</v>
      </c>
      <c r="B2615">
        <v>2017</v>
      </c>
      <c r="C2615">
        <v>967248.75</v>
      </c>
      <c r="D2615" s="1">
        <v>3.0000000000000001E-3</v>
      </c>
      <c r="E2615" s="1">
        <v>0.96535253524780296</v>
      </c>
      <c r="F2615" s="1">
        <v>2.1999999999999999E-2</v>
      </c>
      <c r="G2615" s="1">
        <f t="shared" si="80"/>
        <v>2.1000000000000005E-2</v>
      </c>
      <c r="H2615" s="1" t="str">
        <f t="shared" si="81"/>
        <v/>
      </c>
      <c r="I2615" s="1">
        <v>8.9999999999999993E-3</v>
      </c>
      <c r="J2615" s="1">
        <f>+D2615-F2615+I2615*O2615</f>
        <v>-1.0000000000003062E-5</v>
      </c>
      <c r="K2615" s="1">
        <v>2.0048800855875001E-2</v>
      </c>
      <c r="L2615" s="1">
        <f>+K2615-J2615</f>
        <v>2.0058800855875004E-2</v>
      </c>
      <c r="M2615" s="1">
        <v>-9.5119914412499895E-4</v>
      </c>
      <c r="N2615" s="1">
        <f>+M2615-J2615</f>
        <v>-9.4119914412499589E-4</v>
      </c>
      <c r="O2615">
        <v>2.11</v>
      </c>
      <c r="P2615" t="s">
        <v>15</v>
      </c>
      <c r="Q2615">
        <v>0</v>
      </c>
      <c r="R2615">
        <v>1.6521778166294E-2</v>
      </c>
      <c r="S2615">
        <v>7.3867551982403001E-3</v>
      </c>
      <c r="T2615">
        <v>0.02</v>
      </c>
    </row>
    <row r="2616" spans="1:20" x14ac:dyDescent="0.3">
      <c r="A2616" t="s">
        <v>179</v>
      </c>
      <c r="B2616">
        <v>2018</v>
      </c>
      <c r="C2616">
        <v>973308.6875</v>
      </c>
      <c r="D2616" s="1">
        <v>2.9000000000000001E-2</v>
      </c>
      <c r="E2616" s="1">
        <v>0.95826107263565097</v>
      </c>
      <c r="F2616" s="1">
        <v>1.6E-2</v>
      </c>
      <c r="G2616" s="1">
        <f t="shared" si="80"/>
        <v>3.7000000000000005E-2</v>
      </c>
      <c r="H2616" s="1" t="str">
        <f t="shared" si="81"/>
        <v/>
      </c>
      <c r="I2616" s="1">
        <v>-7.0000000000000001E-3</v>
      </c>
      <c r="J2616" s="1">
        <f>+D2616-F2616+I2616*O2616</f>
        <v>-1.9800000000000009E-3</v>
      </c>
      <c r="K2616" s="1">
        <v>4.0521778166294098E-2</v>
      </c>
      <c r="L2616" s="1">
        <f>+K2616-J2616</f>
        <v>4.25017781662941E-2</v>
      </c>
      <c r="M2616" s="1">
        <v>1.6521778166294E-2</v>
      </c>
      <c r="N2616" s="1">
        <f>+M2616-J2616</f>
        <v>1.8501778166294003E-2</v>
      </c>
      <c r="O2616">
        <v>2.14</v>
      </c>
      <c r="P2616" t="s">
        <v>17</v>
      </c>
      <c r="Q2616">
        <v>0.01</v>
      </c>
      <c r="R2616">
        <v>2.5981816619634598E-2</v>
      </c>
      <c r="S2616">
        <v>8.1806220114230901E-3</v>
      </c>
      <c r="T2616">
        <v>0.03</v>
      </c>
    </row>
    <row r="2617" spans="1:20" x14ac:dyDescent="0.3">
      <c r="A2617" t="s">
        <v>179</v>
      </c>
      <c r="B2617">
        <v>2019</v>
      </c>
      <c r="C2617">
        <v>976917.125</v>
      </c>
      <c r="D2617" s="1">
        <v>7.0000000000000001E-3</v>
      </c>
      <c r="E2617" s="1">
        <v>0.96426588296890303</v>
      </c>
      <c r="F2617" s="1">
        <v>1.2999999999999999E-2</v>
      </c>
      <c r="G2617" s="1">
        <f t="shared" si="80"/>
        <v>0.05</v>
      </c>
      <c r="H2617" s="1" t="str">
        <f t="shared" si="81"/>
        <v/>
      </c>
      <c r="I2617" s="1">
        <v>6.0000000000000001E-3</v>
      </c>
      <c r="J2617" s="1">
        <f>+D2617-F2617+I2617*O2617</f>
        <v>7.0200000000000011E-3</v>
      </c>
      <c r="K2617" s="1">
        <v>4.3981816619634601E-2</v>
      </c>
      <c r="L2617" s="1">
        <f>+K2617-J2617</f>
        <v>3.6961816619634602E-2</v>
      </c>
      <c r="M2617" s="1">
        <v>2.5981816619634598E-2</v>
      </c>
      <c r="N2617" s="1">
        <f>+M2617-J2617</f>
        <v>1.8961816619634596E-2</v>
      </c>
      <c r="O2617">
        <v>2.17</v>
      </c>
      <c r="P2617" t="s">
        <v>15</v>
      </c>
      <c r="Q2617">
        <v>0.01</v>
      </c>
      <c r="R2617">
        <v>1.5274528518319E-2</v>
      </c>
      <c r="S2617">
        <v>-3.5746619105338998E-3</v>
      </c>
      <c r="T2617">
        <v>0.02</v>
      </c>
    </row>
    <row r="2618" spans="1:20" x14ac:dyDescent="0.3">
      <c r="A2618" t="s">
        <v>179</v>
      </c>
      <c r="B2618">
        <v>2020</v>
      </c>
      <c r="C2618">
        <v>974156.1875</v>
      </c>
      <c r="D2618" s="1">
        <v>1.2999999999999999E-2</v>
      </c>
      <c r="E2618" s="1">
        <v>0.96506977081298795</v>
      </c>
      <c r="F2618" s="1">
        <v>-8.6999999999999994E-2</v>
      </c>
      <c r="G2618" s="1">
        <f t="shared" si="80"/>
        <v>-3.6999999999999991E-2</v>
      </c>
      <c r="H2618" s="1" t="str">
        <f t="shared" si="81"/>
        <v/>
      </c>
      <c r="I2618" s="1">
        <v>1E-3</v>
      </c>
      <c r="J2618" s="1">
        <f>+D2618-F2618+I2618*O2618</f>
        <v>0.10197999999999999</v>
      </c>
      <c r="K2618" s="1">
        <v>2.7274528518319099E-2</v>
      </c>
      <c r="L2618" s="1">
        <f>+K2618-J2618</f>
        <v>-7.4705471481680885E-2</v>
      </c>
      <c r="M2618" s="1">
        <v>1.5274528518319E-2</v>
      </c>
      <c r="N2618" s="1">
        <f>+M2618-J2618</f>
        <v>-8.6705471481680993E-2</v>
      </c>
      <c r="O2618">
        <v>1.98</v>
      </c>
      <c r="P2618" t="s">
        <v>17</v>
      </c>
      <c r="Q2618">
        <v>0</v>
      </c>
      <c r="R2618">
        <v>3.0728502452373501E-2</v>
      </c>
      <c r="S2618">
        <v>-1.28611102700234E-2</v>
      </c>
      <c r="T2618">
        <v>-0.05</v>
      </c>
    </row>
    <row r="2619" spans="1:20" x14ac:dyDescent="0.3">
      <c r="A2619" t="s">
        <v>179</v>
      </c>
      <c r="B2619">
        <v>2021</v>
      </c>
      <c r="C2619">
        <v>979171.8125</v>
      </c>
      <c r="D2619" s="1">
        <v>1.0999999999999999E-2</v>
      </c>
      <c r="E2619" s="1">
        <v>0.97023797035217296</v>
      </c>
      <c r="F2619" s="1">
        <v>0.108</v>
      </c>
      <c r="G2619" s="1">
        <f t="shared" si="80"/>
        <v>7.1000000000000008E-2</v>
      </c>
      <c r="H2619" s="1" t="str">
        <f t="shared" si="81"/>
        <v/>
      </c>
      <c r="I2619" s="1">
        <v>5.0000000000000001E-3</v>
      </c>
      <c r="J2619" s="1">
        <f>+D2619-F2619+I2619*O2619</f>
        <v>-8.6050000000000001E-2</v>
      </c>
      <c r="K2619" s="1">
        <v>7.7728502452373505E-2</v>
      </c>
      <c r="L2619" s="1">
        <f>+K2619-J2619</f>
        <v>0.16377850245237352</v>
      </c>
      <c r="M2619" s="1">
        <v>3.0728502452373501E-2</v>
      </c>
      <c r="N2619" s="1">
        <f>+M2619-J2619</f>
        <v>0.11677850245237351</v>
      </c>
      <c r="O2619">
        <v>2.19</v>
      </c>
      <c r="P2619" t="s">
        <v>15</v>
      </c>
      <c r="Q2619">
        <v>-0.01</v>
      </c>
      <c r="R2619">
        <v>-3.4821955412626303E-2</v>
      </c>
      <c r="S2619">
        <v>-2.718448638916E-3</v>
      </c>
      <c r="T2619">
        <v>0.08</v>
      </c>
    </row>
    <row r="2620" spans="1:20" x14ac:dyDescent="0.3">
      <c r="A2620" t="s">
        <v>179</v>
      </c>
      <c r="B2620">
        <v>2022</v>
      </c>
      <c r="C2620">
        <v>984471.5</v>
      </c>
      <c r="D2620" s="1">
        <v>1.4E-2</v>
      </c>
      <c r="E2620" s="1">
        <v>0.96682441234588601</v>
      </c>
      <c r="F2620" s="1">
        <v>-4.2999999999999997E-2</v>
      </c>
      <c r="G2620" s="1">
        <f t="shared" si="80"/>
        <v>2.8000000000000011E-2</v>
      </c>
      <c r="H2620" s="1" t="str">
        <f t="shared" si="81"/>
        <v/>
      </c>
      <c r="I2620" s="1">
        <v>-3.0000000000000001E-3</v>
      </c>
      <c r="J2620" s="1">
        <f>+D2620-F2620+I2620*O2620</f>
        <v>5.0699999999999995E-2</v>
      </c>
      <c r="K2620" s="1">
        <v>4.5178044587373699E-2</v>
      </c>
      <c r="L2620" s="1">
        <f>+K2620-J2620</f>
        <v>-5.5219554126262962E-3</v>
      </c>
      <c r="M2620" s="1">
        <v>-3.4821955412626303E-2</v>
      </c>
      <c r="N2620" s="1">
        <f>+M2620-J2620</f>
        <v>-8.5521955412626305E-2</v>
      </c>
      <c r="O2620">
        <v>2.1</v>
      </c>
      <c r="P2620" t="s">
        <v>16</v>
      </c>
      <c r="Q2620">
        <v>0</v>
      </c>
      <c r="R2620">
        <v>8.7074984014033907E-3</v>
      </c>
      <c r="S2620">
        <v>2.82664261758327E-2</v>
      </c>
      <c r="T2620">
        <v>-0.03</v>
      </c>
    </row>
    <row r="2621" spans="1:20" x14ac:dyDescent="0.3">
      <c r="A2621" t="s">
        <v>180</v>
      </c>
      <c r="B2621">
        <v>2006</v>
      </c>
      <c r="C2621">
        <v>419738.40629999997</v>
      </c>
      <c r="D2621" s="1">
        <v>9.0999999999999998E-2</v>
      </c>
      <c r="E2621" s="1">
        <v>0.92019563913345304</v>
      </c>
      <c r="F2621" s="1">
        <v>4.7E-2</v>
      </c>
      <c r="G2621" s="1">
        <f t="shared" si="80"/>
        <v>4.7E-2</v>
      </c>
      <c r="H2621" s="1" t="str">
        <f t="shared" si="81"/>
        <v/>
      </c>
      <c r="I2621" s="1">
        <v>-2.1999999999999999E-2</v>
      </c>
      <c r="J2621" s="1">
        <f>+D2621-F2621+I2621*O2621</f>
        <v>-7.0399999999999976E-3</v>
      </c>
      <c r="K2621" s="1">
        <v>2.5716297328472099E-2</v>
      </c>
      <c r="L2621" s="1">
        <f>+K2621-J2621</f>
        <v>3.27562973284721E-2</v>
      </c>
      <c r="M2621" s="1">
        <v>-6.2837026715278996E-3</v>
      </c>
      <c r="N2621" s="1">
        <f>+M2621-J2621</f>
        <v>7.56297328472098E-4</v>
      </c>
      <c r="O2621">
        <v>2.3199999999999998</v>
      </c>
      <c r="P2621" t="s">
        <v>17</v>
      </c>
      <c r="Q2621">
        <v>-0.01</v>
      </c>
      <c r="R2621">
        <v>6.0409485399722899E-3</v>
      </c>
      <c r="S2621">
        <v>6.9627044722437902E-3</v>
      </c>
      <c r="T2621">
        <v>0.04</v>
      </c>
    </row>
    <row r="2622" spans="1:20" x14ac:dyDescent="0.3">
      <c r="A2622" t="s">
        <v>180</v>
      </c>
      <c r="B2622">
        <v>2007</v>
      </c>
      <c r="C2622">
        <v>426036.1875</v>
      </c>
      <c r="D2622" s="1">
        <v>1E-3</v>
      </c>
      <c r="E2622" s="1">
        <v>0.943492531776428</v>
      </c>
      <c r="F2622" s="1">
        <v>-9.5000000000000001E-2</v>
      </c>
      <c r="G2622" s="1">
        <f t="shared" si="80"/>
        <v>-4.8000000000000001E-2</v>
      </c>
      <c r="H2622" s="1" t="str">
        <f t="shared" si="81"/>
        <v/>
      </c>
      <c r="I2622" s="1">
        <v>2.3E-2</v>
      </c>
      <c r="J2622" s="1">
        <f>+D2622-F2622+I2622*O2622</f>
        <v>0.14430000000000001</v>
      </c>
      <c r="K2622" s="1">
        <v>3.5040948539972298E-2</v>
      </c>
      <c r="L2622" s="1">
        <f>+K2622-J2622</f>
        <v>-0.10925905146002771</v>
      </c>
      <c r="M2622" s="1">
        <v>6.0409485399722899E-3</v>
      </c>
      <c r="N2622" s="1">
        <f>+M2622-J2622</f>
        <v>-0.13825905146002773</v>
      </c>
      <c r="O2622">
        <v>2.1</v>
      </c>
      <c r="P2622" t="s">
        <v>17</v>
      </c>
      <c r="Q2622">
        <v>0.01</v>
      </c>
      <c r="R2622">
        <v>-3.0476059123873699E-2</v>
      </c>
      <c r="S2622">
        <v>-9.6525484696030595E-4</v>
      </c>
      <c r="T2622">
        <v>-0.1</v>
      </c>
    </row>
    <row r="2623" spans="1:20" x14ac:dyDescent="0.3">
      <c r="A2623" t="s">
        <v>180</v>
      </c>
      <c r="B2623">
        <v>2008</v>
      </c>
      <c r="C2623">
        <v>430323</v>
      </c>
      <c r="D2623" s="1">
        <v>0.02</v>
      </c>
      <c r="E2623" s="1">
        <v>0.94602400064468395</v>
      </c>
      <c r="F2623" s="1">
        <v>0.1</v>
      </c>
      <c r="G2623" s="1">
        <f t="shared" si="80"/>
        <v>5.2000000000000005E-2</v>
      </c>
      <c r="H2623" s="1" t="str">
        <f t="shared" si="81"/>
        <v/>
      </c>
      <c r="I2623" s="1">
        <v>3.0000000000000001E-3</v>
      </c>
      <c r="J2623" s="1">
        <f>+D2623-F2623+I2623*O2623</f>
        <v>-7.3069999999999996E-2</v>
      </c>
      <c r="K2623" s="1">
        <v>7.5239408761262902E-3</v>
      </c>
      <c r="L2623" s="1">
        <f>+K2623-J2623</f>
        <v>8.0593940876126285E-2</v>
      </c>
      <c r="M2623" s="1">
        <v>-3.0476059123873699E-2</v>
      </c>
      <c r="N2623" s="1">
        <f>+M2623-J2623</f>
        <v>4.2593940876126293E-2</v>
      </c>
      <c r="O2623">
        <v>2.31</v>
      </c>
      <c r="P2623" t="s">
        <v>15</v>
      </c>
      <c r="Q2623">
        <v>0</v>
      </c>
      <c r="R2623">
        <v>-2.5031751677393899E-2</v>
      </c>
      <c r="S2623">
        <v>1.53494998812675E-3</v>
      </c>
      <c r="T2623">
        <v>0.1</v>
      </c>
    </row>
    <row r="2624" spans="1:20" x14ac:dyDescent="0.3">
      <c r="A2624" t="s">
        <v>180</v>
      </c>
      <c r="B2624">
        <v>2009</v>
      </c>
      <c r="C2624">
        <v>433688.1875</v>
      </c>
      <c r="D2624" s="1">
        <v>8.9999999999999993E-3</v>
      </c>
      <c r="E2624" s="1">
        <v>0.94383895397186302</v>
      </c>
      <c r="F2624" s="1">
        <v>6.3E-2</v>
      </c>
      <c r="G2624" s="1">
        <f t="shared" si="80"/>
        <v>0.115</v>
      </c>
      <c r="H2624" s="1" t="str">
        <f t="shared" si="81"/>
        <v/>
      </c>
      <c r="I2624" s="1">
        <v>-2E-3</v>
      </c>
      <c r="J2624" s="1">
        <f>+D2624-F2624+I2624*O2624</f>
        <v>-5.892E-2</v>
      </c>
      <c r="K2624" s="1">
        <v>-2.9031751677393899E-2</v>
      </c>
      <c r="L2624" s="1">
        <f>+K2624-J2624</f>
        <v>2.9888248322606101E-2</v>
      </c>
      <c r="M2624" s="1">
        <v>-2.5031751677393899E-2</v>
      </c>
      <c r="N2624" s="1">
        <f>+M2624-J2624</f>
        <v>3.3888248322606104E-2</v>
      </c>
      <c r="O2624">
        <v>2.46</v>
      </c>
      <c r="P2624" t="s">
        <v>17</v>
      </c>
      <c r="Q2624">
        <v>0</v>
      </c>
      <c r="R2624">
        <v>-8.3919538557530003E-4</v>
      </c>
      <c r="S2624">
        <v>8.6209133733063797E-3</v>
      </c>
      <c r="T2624">
        <v>0.04</v>
      </c>
    </row>
    <row r="2625" spans="1:20" x14ac:dyDescent="0.3">
      <c r="A2625" t="s">
        <v>180</v>
      </c>
      <c r="B2625">
        <v>2010</v>
      </c>
      <c r="C2625">
        <v>436078.875</v>
      </c>
      <c r="D2625" s="1">
        <v>0</v>
      </c>
      <c r="E2625" s="1">
        <v>0.94661706686019897</v>
      </c>
      <c r="F2625" s="1">
        <v>-3.5999999999999997E-2</v>
      </c>
      <c r="G2625" s="1">
        <f t="shared" si="80"/>
        <v>7.9000000000000015E-2</v>
      </c>
      <c r="H2625" s="1" t="str">
        <f t="shared" si="81"/>
        <v/>
      </c>
      <c r="I2625" s="1">
        <v>3.0000000000000001E-3</v>
      </c>
      <c r="J2625" s="1">
        <f>+D2625-F2625+I2625*O2625</f>
        <v>4.3109999999999996E-2</v>
      </c>
      <c r="K2625" s="1">
        <v>1.51608046144247E-2</v>
      </c>
      <c r="L2625" s="1">
        <f>+K2625-J2625</f>
        <v>-2.7949195385575297E-2</v>
      </c>
      <c r="M2625" s="1">
        <v>-8.3919538557530003E-4</v>
      </c>
      <c r="N2625" s="1">
        <f>+M2625-J2625</f>
        <v>-4.3949195385575297E-2</v>
      </c>
      <c r="O2625">
        <v>2.37</v>
      </c>
      <c r="P2625" t="s">
        <v>17</v>
      </c>
      <c r="Q2625">
        <v>0.01</v>
      </c>
      <c r="R2625">
        <v>-2.6011186528950899E-2</v>
      </c>
      <c r="S2625">
        <v>-4.72741201519963E-3</v>
      </c>
      <c r="T2625">
        <v>-0.04</v>
      </c>
    </row>
    <row r="2626" spans="1:20" x14ac:dyDescent="0.3">
      <c r="A2626" t="s">
        <v>180</v>
      </c>
      <c r="B2626">
        <v>2011</v>
      </c>
      <c r="C2626">
        <v>437839.28129999997</v>
      </c>
      <c r="D2626" s="1">
        <v>1E-3</v>
      </c>
      <c r="E2626" s="1">
        <v>0.94896781444549605</v>
      </c>
      <c r="F2626" s="1">
        <v>-2E-3</v>
      </c>
      <c r="G2626" s="1">
        <f t="shared" si="80"/>
        <v>7.7000000000000013E-2</v>
      </c>
      <c r="H2626" s="1" t="str">
        <f t="shared" si="81"/>
        <v/>
      </c>
      <c r="I2626" s="1">
        <v>2E-3</v>
      </c>
      <c r="J2626" s="1">
        <f>+D2626-F2626+I2626*O2626</f>
        <v>7.7400000000000004E-3</v>
      </c>
      <c r="K2626" s="1">
        <v>5.9888134710490704E-3</v>
      </c>
      <c r="L2626" s="1">
        <f>+K2626-J2626</f>
        <v>-1.75118652895093E-3</v>
      </c>
      <c r="M2626" s="1">
        <v>-2.6011186528950899E-2</v>
      </c>
      <c r="N2626" s="1">
        <f>+M2626-J2626</f>
        <v>-3.3751186528950899E-2</v>
      </c>
      <c r="O2626">
        <v>2.37</v>
      </c>
      <c r="P2626" t="s">
        <v>17</v>
      </c>
      <c r="Q2626">
        <v>0</v>
      </c>
      <c r="R2626">
        <v>-9.7225423008204005E-3</v>
      </c>
      <c r="S2626">
        <v>-4.284336231649E-3</v>
      </c>
      <c r="T2626">
        <v>0</v>
      </c>
    </row>
    <row r="2627" spans="1:20" x14ac:dyDescent="0.3">
      <c r="A2627" t="s">
        <v>180</v>
      </c>
      <c r="B2627">
        <v>2012</v>
      </c>
      <c r="C2627">
        <v>439478.90629999997</v>
      </c>
      <c r="D2627" s="1">
        <v>5.0000000000000001E-3</v>
      </c>
      <c r="E2627" s="1">
        <v>0.94816958904266402</v>
      </c>
      <c r="F2627" s="1">
        <v>-3.6999999999999998E-2</v>
      </c>
      <c r="G2627" s="1">
        <f t="shared" si="80"/>
        <v>4.0000000000000015E-2</v>
      </c>
      <c r="H2627" s="1" t="str">
        <f t="shared" si="81"/>
        <v/>
      </c>
      <c r="I2627" s="1">
        <v>-1E-3</v>
      </c>
      <c r="J2627" s="1">
        <f>+D2627-F2627+I2627*O2627</f>
        <v>3.9719999999999998E-2</v>
      </c>
      <c r="K2627" s="1">
        <v>1.1277457699179601E-2</v>
      </c>
      <c r="L2627" s="1">
        <f>+K2627-J2627</f>
        <v>-2.8442542300820398E-2</v>
      </c>
      <c r="M2627" s="1">
        <v>-9.7225423008204005E-3</v>
      </c>
      <c r="N2627" s="1">
        <f>+M2627-J2627</f>
        <v>-4.9442542300820402E-2</v>
      </c>
      <c r="O2627">
        <v>2.2799999999999998</v>
      </c>
      <c r="P2627" t="s">
        <v>16</v>
      </c>
      <c r="Q2627">
        <v>0</v>
      </c>
      <c r="R2627">
        <v>-1.52873653918499E-3</v>
      </c>
      <c r="S2627">
        <v>-7.6555078849196E-3</v>
      </c>
      <c r="T2627">
        <v>-0.04</v>
      </c>
    </row>
    <row r="2628" spans="1:20" x14ac:dyDescent="0.3">
      <c r="A2628" t="s">
        <v>180</v>
      </c>
      <c r="B2628">
        <v>2013</v>
      </c>
      <c r="C2628">
        <v>441540.09379999997</v>
      </c>
      <c r="D2628" s="1">
        <v>3.0000000000000001E-3</v>
      </c>
      <c r="E2628" s="1">
        <v>0.94808989763259899</v>
      </c>
      <c r="F2628" s="1">
        <v>1.7999999999999999E-2</v>
      </c>
      <c r="G2628" s="1">
        <f t="shared" si="80"/>
        <v>5.800000000000001E-2</v>
      </c>
      <c r="H2628" s="1" t="str">
        <f t="shared" si="81"/>
        <v/>
      </c>
      <c r="I2628" s="1">
        <v>0</v>
      </c>
      <c r="J2628" s="1">
        <f>+D2628-F2628+I2628*O2628</f>
        <v>-1.4999999999999999E-2</v>
      </c>
      <c r="K2628" s="1">
        <v>1.3471263460815E-2</v>
      </c>
      <c r="L2628" s="1">
        <f>+K2628-J2628</f>
        <v>2.8471263460815001E-2</v>
      </c>
      <c r="M2628" s="1">
        <v>-1.52873653918499E-3</v>
      </c>
      <c r="N2628" s="1">
        <f>+M2628-J2628</f>
        <v>1.347126346081501E-2</v>
      </c>
      <c r="O2628">
        <v>2.3199999999999998</v>
      </c>
      <c r="P2628" t="s">
        <v>17</v>
      </c>
      <c r="Q2628">
        <v>-0.01</v>
      </c>
      <c r="R2628">
        <v>-3.1125379577278999E-3</v>
      </c>
      <c r="S2628">
        <v>-5.1205614581704001E-3</v>
      </c>
      <c r="T2628">
        <v>0.01</v>
      </c>
    </row>
    <row r="2629" spans="1:20" x14ac:dyDescent="0.3">
      <c r="A2629" t="s">
        <v>180</v>
      </c>
      <c r="B2629">
        <v>2014</v>
      </c>
      <c r="C2629">
        <v>443701.8125</v>
      </c>
      <c r="D2629" s="1">
        <v>1.4E-2</v>
      </c>
      <c r="E2629" s="1">
        <v>0.95330035686492898</v>
      </c>
      <c r="F2629" s="1">
        <v>2.8000000000000001E-2</v>
      </c>
      <c r="G2629" s="1">
        <f t="shared" si="80"/>
        <v>8.6000000000000007E-2</v>
      </c>
      <c r="H2629" s="1" t="str">
        <f t="shared" si="81"/>
        <v/>
      </c>
      <c r="I2629" s="1">
        <v>5.0000000000000001E-3</v>
      </c>
      <c r="J2629" s="1">
        <f>+D2629-F2629+I2629*O2629</f>
        <v>-2.1000000000000012E-3</v>
      </c>
      <c r="K2629" s="1">
        <v>1.28874620422721E-2</v>
      </c>
      <c r="L2629" s="1">
        <f>+K2629-J2629</f>
        <v>1.4987462042272101E-2</v>
      </c>
      <c r="M2629" s="1">
        <v>-3.1125379577278999E-3</v>
      </c>
      <c r="N2629" s="1">
        <f>+M2629-J2629</f>
        <v>-1.0125379577278987E-3</v>
      </c>
      <c r="O2629">
        <v>2.38</v>
      </c>
      <c r="P2629" t="s">
        <v>15</v>
      </c>
      <c r="Q2629">
        <v>-0.01</v>
      </c>
      <c r="R2629">
        <v>3.16278582215309E-2</v>
      </c>
      <c r="S2629">
        <v>1.3644061982632E-3</v>
      </c>
      <c r="T2629">
        <v>0.02</v>
      </c>
    </row>
    <row r="2630" spans="1:20" x14ac:dyDescent="0.3">
      <c r="A2630" t="s">
        <v>180</v>
      </c>
      <c r="B2630">
        <v>2015</v>
      </c>
      <c r="C2630">
        <v>445776.875</v>
      </c>
      <c r="D2630" s="1">
        <v>1.4E-2</v>
      </c>
      <c r="E2630" s="1">
        <v>0.95263040065765403</v>
      </c>
      <c r="F2630" s="1">
        <v>-4.1000000000000002E-2</v>
      </c>
      <c r="G2630" s="1">
        <f t="shared" si="80"/>
        <v>4.5000000000000005E-2</v>
      </c>
      <c r="H2630" s="1" t="str">
        <f t="shared" si="81"/>
        <v/>
      </c>
      <c r="I2630" s="1">
        <v>-1E-3</v>
      </c>
      <c r="J2630" s="1">
        <f>+D2630-F2630+I2630*O2630</f>
        <v>5.271E-2</v>
      </c>
      <c r="K2630" s="1">
        <v>3.26278582215309E-2</v>
      </c>
      <c r="L2630" s="1">
        <f>+K2630-J2630</f>
        <v>-2.0082141778469099E-2</v>
      </c>
      <c r="M2630" s="1">
        <v>3.16278582215309E-2</v>
      </c>
      <c r="N2630" s="1">
        <f>+M2630-J2630</f>
        <v>-2.10821417784691E-2</v>
      </c>
      <c r="O2630">
        <v>2.29</v>
      </c>
      <c r="P2630" t="s">
        <v>16</v>
      </c>
      <c r="Q2630">
        <v>0</v>
      </c>
      <c r="R2630">
        <v>1.57915300577878E-2</v>
      </c>
      <c r="S2630">
        <v>2.63797305524349E-3</v>
      </c>
      <c r="T2630">
        <v>-0.03</v>
      </c>
    </row>
    <row r="2631" spans="1:20" x14ac:dyDescent="0.3">
      <c r="A2631" t="s">
        <v>180</v>
      </c>
      <c r="B2631">
        <v>2016</v>
      </c>
      <c r="C2631">
        <v>448468.5</v>
      </c>
      <c r="D2631" s="1">
        <v>1.2999999999999999E-2</v>
      </c>
      <c r="E2631" s="1">
        <v>0.93644708395004295</v>
      </c>
      <c r="F2631" s="1">
        <v>3.6999999999999998E-2</v>
      </c>
      <c r="G2631" s="1">
        <f t="shared" ref="G2631:G2654" si="82">SUMIFS(F:F,A:A,A2631,B:B,"&lt;="&amp;B2631)</f>
        <v>8.2000000000000003E-2</v>
      </c>
      <c r="H2631" s="1" t="str">
        <f t="shared" ref="H2631:H2654" si="83">IFERROR(IF(ABS(G2631)&gt;0.12,AVERAGEIFS(K:K,A:A,A2631,B:B,"&gt;"&amp;B2631,B:B,"&lt;"&amp;B2631+3),""),"")</f>
        <v/>
      </c>
      <c r="I2631" s="1">
        <v>-1.6E-2</v>
      </c>
      <c r="J2631" s="1">
        <f>+D2631-F2631+I2631*O2631</f>
        <v>-6.1920000000000003E-2</v>
      </c>
      <c r="K2631" s="1">
        <v>2.8791530057787899E-2</v>
      </c>
      <c r="L2631" s="1">
        <f>+K2631-J2631</f>
        <v>9.0711530057787898E-2</v>
      </c>
      <c r="M2631" s="1">
        <v>1.57915300577878E-2</v>
      </c>
      <c r="N2631" s="1">
        <f>+M2631-J2631</f>
        <v>7.7711530057787803E-2</v>
      </c>
      <c r="O2631">
        <v>2.37</v>
      </c>
      <c r="P2631" t="s">
        <v>17</v>
      </c>
      <c r="Q2631">
        <v>0</v>
      </c>
      <c r="R2631">
        <v>1.3782115370035101E-2</v>
      </c>
      <c r="S2631">
        <v>1.09925419092179E-2</v>
      </c>
      <c r="T2631">
        <v>0.04</v>
      </c>
    </row>
    <row r="2632" spans="1:20" x14ac:dyDescent="0.3">
      <c r="A2632" t="s">
        <v>180</v>
      </c>
      <c r="B2632">
        <v>2017</v>
      </c>
      <c r="C2632">
        <v>451118.40629999997</v>
      </c>
      <c r="D2632" s="1">
        <v>-6.0000000000000001E-3</v>
      </c>
      <c r="E2632" s="1">
        <v>0.94648587703704801</v>
      </c>
      <c r="F2632" s="1">
        <v>5.5E-2</v>
      </c>
      <c r="G2632" s="1">
        <f t="shared" si="82"/>
        <v>0.13700000000000001</v>
      </c>
      <c r="H2632" s="1">
        <f t="shared" si="83"/>
        <v>2.7739185839891451E-2</v>
      </c>
      <c r="I2632" s="1">
        <v>0.01</v>
      </c>
      <c r="J2632" s="1">
        <f>+D2632-F2632+I2632*O2632</f>
        <v>-3.5999999999999997E-2</v>
      </c>
      <c r="K2632" s="1">
        <v>3.4782115370035199E-2</v>
      </c>
      <c r="L2632" s="1">
        <f>+K2632-J2632</f>
        <v>7.0782115370035203E-2</v>
      </c>
      <c r="M2632" s="1">
        <v>1.3782115370035101E-2</v>
      </c>
      <c r="N2632" s="1">
        <f>+M2632-J2632</f>
        <v>4.9782115370035102E-2</v>
      </c>
      <c r="O2632">
        <v>2.5</v>
      </c>
      <c r="P2632" t="s">
        <v>15</v>
      </c>
      <c r="Q2632">
        <v>0.01</v>
      </c>
      <c r="R2632">
        <v>1.5329245686531099E-2</v>
      </c>
      <c r="S2632">
        <v>6.1942227184773003E-3</v>
      </c>
      <c r="T2632">
        <v>0.06</v>
      </c>
    </row>
    <row r="2633" spans="1:20" x14ac:dyDescent="0.3">
      <c r="A2633" t="s">
        <v>180</v>
      </c>
      <c r="B2633">
        <v>2018</v>
      </c>
      <c r="C2633">
        <v>453814.6875</v>
      </c>
      <c r="D2633" s="1">
        <v>-1E-3</v>
      </c>
      <c r="E2633" s="1">
        <v>0.95711070299148604</v>
      </c>
      <c r="F2633" s="1">
        <v>-0.09</v>
      </c>
      <c r="G2633" s="1">
        <f t="shared" si="82"/>
        <v>4.7000000000000014E-2</v>
      </c>
      <c r="H2633" s="1" t="str">
        <f t="shared" si="83"/>
        <v/>
      </c>
      <c r="I2633" s="1">
        <v>1.0999999999999999E-2</v>
      </c>
      <c r="J2633" s="1">
        <f>+D2633-F2633+I2633*O2633</f>
        <v>0.11407999999999999</v>
      </c>
      <c r="K2633" s="1">
        <v>3.9329245686531102E-2</v>
      </c>
      <c r="L2633" s="1">
        <f>+K2633-J2633</f>
        <v>-7.4750754313468892E-2</v>
      </c>
      <c r="M2633" s="1">
        <v>1.5329245686531099E-2</v>
      </c>
      <c r="N2633" s="1">
        <f>+M2633-J2633</f>
        <v>-9.8750754313468886E-2</v>
      </c>
      <c r="O2633">
        <v>2.2799999999999998</v>
      </c>
      <c r="P2633" t="s">
        <v>17</v>
      </c>
      <c r="Q2633">
        <v>0.01</v>
      </c>
      <c r="R2633">
        <v>-1.8508740067481901E-3</v>
      </c>
      <c r="S2633">
        <v>-1.9652068614959699E-2</v>
      </c>
      <c r="T2633">
        <v>-0.08</v>
      </c>
    </row>
    <row r="2634" spans="1:20" x14ac:dyDescent="0.3">
      <c r="A2634" t="s">
        <v>180</v>
      </c>
      <c r="B2634">
        <v>2019</v>
      </c>
      <c r="C2634">
        <v>455449.5</v>
      </c>
      <c r="D2634" s="1">
        <v>4.3999999999999997E-2</v>
      </c>
      <c r="E2634" s="1">
        <v>0.93580865859985396</v>
      </c>
      <c r="F2634" s="1">
        <v>0.01</v>
      </c>
      <c r="G2634" s="1">
        <f t="shared" si="82"/>
        <v>5.7000000000000016E-2</v>
      </c>
      <c r="H2634" s="1" t="str">
        <f t="shared" si="83"/>
        <v/>
      </c>
      <c r="I2634" s="1">
        <v>-2.1000000000000001E-2</v>
      </c>
      <c r="J2634" s="1">
        <f>+D2634-F2634+I2634*O2634</f>
        <v>-1.4300000000000007E-2</v>
      </c>
      <c r="K2634" s="1">
        <v>1.6149125993251801E-2</v>
      </c>
      <c r="L2634" s="1">
        <f>+K2634-J2634</f>
        <v>3.0449125993251808E-2</v>
      </c>
      <c r="M2634" s="1">
        <v>-1.8508740067481901E-3</v>
      </c>
      <c r="N2634" s="1">
        <f>+M2634-J2634</f>
        <v>1.2449125993251818E-2</v>
      </c>
      <c r="O2634">
        <v>2.2999999999999998</v>
      </c>
      <c r="P2634" t="s">
        <v>17</v>
      </c>
      <c r="Q2634">
        <v>-0.02</v>
      </c>
      <c r="R2634">
        <v>3.9619376987218902E-2</v>
      </c>
      <c r="S2634">
        <v>2.0770186558365902E-2</v>
      </c>
      <c r="T2634">
        <v>0.02</v>
      </c>
    </row>
    <row r="2635" spans="1:20" x14ac:dyDescent="0.3">
      <c r="A2635" t="s">
        <v>180</v>
      </c>
      <c r="B2635">
        <v>2020</v>
      </c>
      <c r="C2635">
        <v>457367.09379999997</v>
      </c>
      <c r="D2635" s="1">
        <v>2.4E-2</v>
      </c>
      <c r="E2635" s="1">
        <v>0.96926808357238803</v>
      </c>
      <c r="F2635" s="1">
        <v>-4.9000000000000002E-2</v>
      </c>
      <c r="G2635" s="1">
        <f t="shared" si="82"/>
        <v>8.000000000000014E-3</v>
      </c>
      <c r="H2635" s="1" t="str">
        <f t="shared" si="83"/>
        <v/>
      </c>
      <c r="I2635" s="1">
        <v>3.3000000000000002E-2</v>
      </c>
      <c r="J2635" s="1">
        <f>+D2635-F2635+I2635*O2635</f>
        <v>0.14527000000000001</v>
      </c>
      <c r="K2635" s="1">
        <v>5.1619376987218898E-2</v>
      </c>
      <c r="L2635" s="1">
        <f>+K2635-J2635</f>
        <v>-9.3650623012781112E-2</v>
      </c>
      <c r="M2635" s="1">
        <v>3.9619376987218902E-2</v>
      </c>
      <c r="N2635" s="1">
        <f>+M2635-J2635</f>
        <v>-0.10565062301278111</v>
      </c>
      <c r="O2635">
        <v>2.19</v>
      </c>
      <c r="P2635" t="s">
        <v>17</v>
      </c>
      <c r="Q2635">
        <v>0.02</v>
      </c>
      <c r="R2635">
        <v>3.9169265210628398E-2</v>
      </c>
      <c r="S2635">
        <v>-4.4203475117684096E-3</v>
      </c>
      <c r="T2635">
        <v>-0.01</v>
      </c>
    </row>
    <row r="2636" spans="1:20" x14ac:dyDescent="0.3">
      <c r="A2636" t="s">
        <v>180</v>
      </c>
      <c r="B2636">
        <v>2021</v>
      </c>
      <c r="C2636">
        <v>459692.1875</v>
      </c>
      <c r="D2636" s="1">
        <v>1.4999999999999999E-2</v>
      </c>
      <c r="E2636" s="1">
        <v>0.96991866827011097</v>
      </c>
      <c r="F2636" s="1">
        <v>0.114</v>
      </c>
      <c r="G2636" s="1">
        <f t="shared" si="82"/>
        <v>0.12200000000000003</v>
      </c>
      <c r="H2636" s="1">
        <f t="shared" si="83"/>
        <v>1.0694788768887501E-2</v>
      </c>
      <c r="I2636" s="1">
        <v>1E-3</v>
      </c>
      <c r="J2636" s="1">
        <f>+D2636-F2636+I2636*O2636</f>
        <v>-9.6560000000000007E-2</v>
      </c>
      <c r="K2636" s="1">
        <v>8.6169265210628496E-2</v>
      </c>
      <c r="L2636" s="1">
        <f>+K2636-J2636</f>
        <v>0.18272926521062849</v>
      </c>
      <c r="M2636" s="1">
        <v>3.9169265210628398E-2</v>
      </c>
      <c r="N2636" s="1">
        <f>+M2636-J2636</f>
        <v>0.13572926521062839</v>
      </c>
      <c r="O2636">
        <v>2.44</v>
      </c>
      <c r="P2636" t="s">
        <v>15</v>
      </c>
      <c r="Q2636">
        <v>0</v>
      </c>
      <c r="R2636">
        <v>-6.9305211231112496E-2</v>
      </c>
      <c r="S2636">
        <v>-3.7201704457402097E-2</v>
      </c>
      <c r="T2636">
        <v>0.09</v>
      </c>
    </row>
    <row r="2637" spans="1:20" x14ac:dyDescent="0.3">
      <c r="A2637" t="s">
        <v>180</v>
      </c>
      <c r="B2637">
        <v>2022</v>
      </c>
      <c r="C2637">
        <v>462449.3125</v>
      </c>
      <c r="D2637" s="1">
        <v>2E-3</v>
      </c>
      <c r="E2637" s="1">
        <v>0.96318304538726796</v>
      </c>
      <c r="F2637" s="1">
        <v>-7.6999999999999999E-2</v>
      </c>
      <c r="G2637" s="1">
        <f t="shared" si="82"/>
        <v>4.5000000000000026E-2</v>
      </c>
      <c r="H2637" s="1" t="str">
        <f t="shared" si="83"/>
        <v/>
      </c>
      <c r="I2637" s="1">
        <v>-7.0000000000000001E-3</v>
      </c>
      <c r="J2637" s="1">
        <f>+D2637-F2637+I2637*O2637</f>
        <v>6.3250000000000001E-2</v>
      </c>
      <c r="K2637" s="1">
        <v>1.0694788768887501E-2</v>
      </c>
      <c r="L2637" s="1">
        <f>+K2637-J2637</f>
        <v>-5.2555211231112502E-2</v>
      </c>
      <c r="M2637" s="1">
        <v>-6.9305211231112496E-2</v>
      </c>
      <c r="N2637" s="1">
        <f>+M2637-J2637</f>
        <v>-0.1325552112311125</v>
      </c>
      <c r="O2637">
        <v>2.25</v>
      </c>
      <c r="P2637" t="s">
        <v>16</v>
      </c>
      <c r="Q2637">
        <v>-0.04</v>
      </c>
      <c r="R2637">
        <v>-9.8597284257411991E-3</v>
      </c>
      <c r="S2637">
        <v>9.6991993486880996E-3</v>
      </c>
      <c r="T2637">
        <v>-0.06</v>
      </c>
    </row>
    <row r="2638" spans="1:20" x14ac:dyDescent="0.3">
      <c r="A2638" t="s">
        <v>181</v>
      </c>
      <c r="B2638">
        <v>2006</v>
      </c>
      <c r="C2638">
        <v>579168.1875</v>
      </c>
      <c r="D2638" s="1">
        <v>0</v>
      </c>
      <c r="E2638" s="1">
        <v>0.90197563171386697</v>
      </c>
      <c r="F2638" s="1">
        <v>-6.0000000000000001E-3</v>
      </c>
      <c r="G2638" s="1">
        <f t="shared" si="82"/>
        <v>-6.0000000000000001E-3</v>
      </c>
      <c r="H2638" s="1" t="str">
        <f t="shared" si="83"/>
        <v/>
      </c>
      <c r="I2638" s="1">
        <v>8.0000000000000002E-3</v>
      </c>
      <c r="J2638" s="1">
        <f>+D2638-F2638+I2638*O2638</f>
        <v>2.2879999999999998E-2</v>
      </c>
      <c r="K2638" s="1">
        <v>2.3621095344424199E-2</v>
      </c>
      <c r="L2638" s="1">
        <f>+K2638-J2638</f>
        <v>7.4109534442420161E-4</v>
      </c>
      <c r="M2638" s="1">
        <v>-8.3789046555757998E-3</v>
      </c>
      <c r="N2638" s="1">
        <f>+M2638-J2638</f>
        <v>-3.1258904655575799E-2</v>
      </c>
      <c r="O2638">
        <v>2.11</v>
      </c>
      <c r="P2638" t="s">
        <v>17</v>
      </c>
      <c r="Q2638">
        <v>-0.01</v>
      </c>
      <c r="R2638">
        <v>-6.6707049459219002E-3</v>
      </c>
      <c r="S2638">
        <v>-5.7489490136504E-3</v>
      </c>
      <c r="T2638">
        <v>-0.01</v>
      </c>
    </row>
    <row r="2639" spans="1:20" x14ac:dyDescent="0.3">
      <c r="A2639" t="s">
        <v>181</v>
      </c>
      <c r="B2639">
        <v>2007</v>
      </c>
      <c r="C2639">
        <v>574391.4375</v>
      </c>
      <c r="D2639" s="1">
        <v>4.0000000000000001E-3</v>
      </c>
      <c r="E2639" s="1">
        <v>0.91248190402984597</v>
      </c>
      <c r="F2639" s="1">
        <v>1.9E-2</v>
      </c>
      <c r="G2639" s="1">
        <f t="shared" si="82"/>
        <v>1.2999999999999999E-2</v>
      </c>
      <c r="H2639" s="1" t="str">
        <f t="shared" si="83"/>
        <v/>
      </c>
      <c r="I2639" s="1">
        <v>1.0999999999999999E-2</v>
      </c>
      <c r="J2639" s="1">
        <f>+D2639-F2639+I2639*O2639</f>
        <v>8.649999999999998E-3</v>
      </c>
      <c r="K2639" s="1">
        <v>2.2329295054078099E-2</v>
      </c>
      <c r="L2639" s="1">
        <f>+K2639-J2639</f>
        <v>1.3679295054078101E-2</v>
      </c>
      <c r="M2639" s="1">
        <v>-6.6707049459219002E-3</v>
      </c>
      <c r="N2639" s="1">
        <f>+M2639-J2639</f>
        <v>-1.5320704945921897E-2</v>
      </c>
      <c r="O2639">
        <v>2.15</v>
      </c>
      <c r="P2639" t="s">
        <v>15</v>
      </c>
      <c r="Q2639">
        <v>-0.01</v>
      </c>
      <c r="R2639">
        <v>-2.31321652531623E-2</v>
      </c>
      <c r="S2639">
        <v>6.3786390237509996E-3</v>
      </c>
      <c r="T2639">
        <v>0.02</v>
      </c>
    </row>
    <row r="2640" spans="1:20" x14ac:dyDescent="0.3">
      <c r="A2640" t="s">
        <v>181</v>
      </c>
      <c r="B2640">
        <v>2008</v>
      </c>
      <c r="C2640">
        <v>570277.25</v>
      </c>
      <c r="D2640" s="1">
        <v>8.0000000000000002E-3</v>
      </c>
      <c r="E2640" s="1">
        <v>0.92082417011260997</v>
      </c>
      <c r="F2640" s="1">
        <v>-9.1999999999999998E-2</v>
      </c>
      <c r="G2640" s="1">
        <f t="shared" si="82"/>
        <v>-7.9000000000000001E-2</v>
      </c>
      <c r="H2640" s="1" t="str">
        <f t="shared" si="83"/>
        <v/>
      </c>
      <c r="I2640" s="1">
        <v>8.0000000000000002E-3</v>
      </c>
      <c r="J2640" s="1">
        <f>+D2640-F2640+I2640*O2640</f>
        <v>0.11568000000000001</v>
      </c>
      <c r="K2640" s="1">
        <v>1.48678347468376E-2</v>
      </c>
      <c r="L2640" s="1">
        <f>+K2640-J2640</f>
        <v>-0.1008121652531624</v>
      </c>
      <c r="M2640" s="1">
        <v>-2.31321652531623E-2</v>
      </c>
      <c r="N2640" s="1">
        <f>+M2640-J2640</f>
        <v>-0.13881216525316231</v>
      </c>
      <c r="O2640">
        <v>1.96</v>
      </c>
      <c r="P2640" t="s">
        <v>17</v>
      </c>
      <c r="Q2640">
        <v>0.01</v>
      </c>
      <c r="R2640">
        <v>-1.7644426509738E-2</v>
      </c>
      <c r="S2640">
        <v>8.9222751557826493E-3</v>
      </c>
      <c r="T2640">
        <v>-0.09</v>
      </c>
    </row>
    <row r="2641" spans="1:20" x14ac:dyDescent="0.3">
      <c r="A2641" t="s">
        <v>181</v>
      </c>
      <c r="B2641">
        <v>2009</v>
      </c>
      <c r="C2641">
        <v>567399.125</v>
      </c>
      <c r="D2641" s="1">
        <v>2E-3</v>
      </c>
      <c r="E2641" s="1">
        <v>0.90593892335891701</v>
      </c>
      <c r="F2641" s="1">
        <v>3.6999999999999998E-2</v>
      </c>
      <c r="G2641" s="1">
        <f t="shared" si="82"/>
        <v>-4.2000000000000003E-2</v>
      </c>
      <c r="H2641" s="1" t="str">
        <f t="shared" si="83"/>
        <v/>
      </c>
      <c r="I2641" s="1">
        <v>-1.4999999999999999E-2</v>
      </c>
      <c r="J2641" s="1">
        <f>+D2641-F2641+I2641*O2641</f>
        <v>-6.5449999999999994E-2</v>
      </c>
      <c r="K2641" s="1">
        <v>-2.1644426509738E-2</v>
      </c>
      <c r="L2641" s="1">
        <f>+K2641-J2641</f>
        <v>4.3805573490261998E-2</v>
      </c>
      <c r="M2641" s="1">
        <v>-1.7644426509738E-2</v>
      </c>
      <c r="N2641" s="1">
        <f>+M2641-J2641</f>
        <v>4.7805573490261995E-2</v>
      </c>
      <c r="O2641">
        <v>2.0299999999999998</v>
      </c>
      <c r="P2641" t="s">
        <v>17</v>
      </c>
      <c r="Q2641">
        <v>0.01</v>
      </c>
      <c r="R2641">
        <v>-1.4862409847788499E-2</v>
      </c>
      <c r="S2641">
        <v>-5.4023010889068203E-3</v>
      </c>
      <c r="T2641">
        <v>0.02</v>
      </c>
    </row>
    <row r="2642" spans="1:20" x14ac:dyDescent="0.3">
      <c r="A2642" t="s">
        <v>181</v>
      </c>
      <c r="B2642">
        <v>2010</v>
      </c>
      <c r="C2642">
        <v>564621.25</v>
      </c>
      <c r="D2642" s="1">
        <v>1E-3</v>
      </c>
      <c r="E2642" s="1">
        <v>0.90899997949600198</v>
      </c>
      <c r="F2642" s="1">
        <v>2.8000000000000001E-2</v>
      </c>
      <c r="G2642" s="1">
        <f t="shared" si="82"/>
        <v>-1.4000000000000002E-2</v>
      </c>
      <c r="H2642" s="1" t="str">
        <f t="shared" si="83"/>
        <v/>
      </c>
      <c r="I2642" s="1">
        <v>3.0000000000000001E-3</v>
      </c>
      <c r="J2642" s="1">
        <f>+D2642-F2642+I2642*O2642</f>
        <v>-2.0729999999999998E-2</v>
      </c>
      <c r="K2642" s="1">
        <v>1.1375901522114899E-3</v>
      </c>
      <c r="L2642" s="1">
        <f>+K2642-J2642</f>
        <v>2.1867590152211489E-2</v>
      </c>
      <c r="M2642" s="1">
        <v>-1.4862409847788499E-2</v>
      </c>
      <c r="N2642" s="1">
        <f>+M2642-J2642</f>
        <v>5.8675901522114993E-3</v>
      </c>
      <c r="O2642">
        <v>2.09</v>
      </c>
      <c r="P2642" t="s">
        <v>15</v>
      </c>
      <c r="Q2642">
        <v>-0.01</v>
      </c>
      <c r="R2642">
        <v>-2.6656530208885601E-2</v>
      </c>
      <c r="S2642">
        <v>-5.3727556951343701E-3</v>
      </c>
      <c r="T2642">
        <v>0.02</v>
      </c>
    </row>
    <row r="2643" spans="1:20" x14ac:dyDescent="0.3">
      <c r="A2643" t="s">
        <v>181</v>
      </c>
      <c r="B2643">
        <v>2011</v>
      </c>
      <c r="C2643">
        <v>562686.1875</v>
      </c>
      <c r="D2643" s="1">
        <v>0</v>
      </c>
      <c r="E2643" s="1">
        <v>0.92196452617645297</v>
      </c>
      <c r="F2643" s="1">
        <v>1.6E-2</v>
      </c>
      <c r="G2643" s="1">
        <f t="shared" si="82"/>
        <v>1.9999999999999983E-3</v>
      </c>
      <c r="H2643" s="1" t="str">
        <f t="shared" si="83"/>
        <v/>
      </c>
      <c r="I2643" s="1">
        <v>1.2999999999999999E-2</v>
      </c>
      <c r="J2643" s="1">
        <f>+D2643-F2643+I2643*O2643</f>
        <v>1.1560000000000001E-2</v>
      </c>
      <c r="K2643" s="1">
        <v>5.3434697911143303E-3</v>
      </c>
      <c r="L2643" s="1">
        <f>+K2643-J2643</f>
        <v>-6.2165302088856705E-3</v>
      </c>
      <c r="M2643" s="1">
        <v>-2.6656530208885601E-2</v>
      </c>
      <c r="N2643" s="1">
        <f>+M2643-J2643</f>
        <v>-3.8216530208885602E-2</v>
      </c>
      <c r="O2643">
        <v>2.12</v>
      </c>
      <c r="P2643" t="s">
        <v>15</v>
      </c>
      <c r="Q2643">
        <v>-0.01</v>
      </c>
      <c r="R2643">
        <v>-1.52473610863089E-2</v>
      </c>
      <c r="S2643">
        <v>-9.8091550171375604E-3</v>
      </c>
      <c r="T2643">
        <v>0.02</v>
      </c>
    </row>
    <row r="2644" spans="1:20" x14ac:dyDescent="0.3">
      <c r="A2644" t="s">
        <v>181</v>
      </c>
      <c r="B2644">
        <v>2012</v>
      </c>
      <c r="C2644">
        <v>560176</v>
      </c>
      <c r="D2644" s="1">
        <v>-7.0000000000000001E-3</v>
      </c>
      <c r="E2644" s="1">
        <v>0.92622357606887795</v>
      </c>
      <c r="F2644" s="1">
        <v>3.3000000000000002E-2</v>
      </c>
      <c r="G2644" s="1">
        <f t="shared" si="82"/>
        <v>3.5000000000000003E-2</v>
      </c>
      <c r="H2644" s="1" t="str">
        <f t="shared" si="83"/>
        <v/>
      </c>
      <c r="I2644" s="1">
        <v>4.0000000000000001E-3</v>
      </c>
      <c r="J2644" s="1">
        <f>+D2644-F2644+I2644*O2644</f>
        <v>-3.124E-2</v>
      </c>
      <c r="K2644" s="1">
        <v>5.7526389136910404E-3</v>
      </c>
      <c r="L2644" s="1">
        <f>+K2644-J2644</f>
        <v>3.6992638913691041E-2</v>
      </c>
      <c r="M2644" s="1">
        <v>-1.52473610863089E-2</v>
      </c>
      <c r="N2644" s="1">
        <f>+M2644-J2644</f>
        <v>1.5992638913691098E-2</v>
      </c>
      <c r="O2644">
        <v>2.19</v>
      </c>
      <c r="P2644" t="s">
        <v>15</v>
      </c>
      <c r="Q2644">
        <v>-0.01</v>
      </c>
      <c r="R2644">
        <v>-5.28234556317329E-3</v>
      </c>
      <c r="S2644">
        <v>-1.14091169089078E-2</v>
      </c>
      <c r="T2644">
        <v>0.03</v>
      </c>
    </row>
    <row r="2645" spans="1:20" x14ac:dyDescent="0.3">
      <c r="A2645" t="s">
        <v>181</v>
      </c>
      <c r="B2645">
        <v>2013</v>
      </c>
      <c r="C2645">
        <v>558345.8125</v>
      </c>
      <c r="D2645" s="1">
        <v>-1E-3</v>
      </c>
      <c r="E2645" s="1">
        <v>0.92720139026641801</v>
      </c>
      <c r="F2645" s="1">
        <v>-2.8000000000000001E-2</v>
      </c>
      <c r="G2645" s="1">
        <f t="shared" si="82"/>
        <v>7.0000000000000027E-3</v>
      </c>
      <c r="H2645" s="1" t="str">
        <f t="shared" si="83"/>
        <v/>
      </c>
      <c r="I2645" s="1">
        <v>1E-3</v>
      </c>
      <c r="J2645" s="1">
        <f>+D2645-F2645+I2645*O2645</f>
        <v>2.913E-2</v>
      </c>
      <c r="K2645" s="1">
        <v>9.7176544368267094E-3</v>
      </c>
      <c r="L2645" s="1">
        <f>+K2645-J2645</f>
        <v>-1.941234556317329E-2</v>
      </c>
      <c r="M2645" s="1">
        <v>-5.28234556317329E-3</v>
      </c>
      <c r="N2645" s="1">
        <f>+M2645-J2645</f>
        <v>-3.441234556317329E-2</v>
      </c>
      <c r="O2645">
        <v>2.13</v>
      </c>
      <c r="P2645" t="s">
        <v>17</v>
      </c>
      <c r="Q2645">
        <v>-0.01</v>
      </c>
      <c r="R2645">
        <v>-1.2978382347151599E-2</v>
      </c>
      <c r="S2645">
        <v>-1.49864058475941E-2</v>
      </c>
      <c r="T2645">
        <v>-0.04</v>
      </c>
    </row>
    <row r="2646" spans="1:20" x14ac:dyDescent="0.3">
      <c r="A2646" t="s">
        <v>181</v>
      </c>
      <c r="B2646">
        <v>2014</v>
      </c>
      <c r="C2646">
        <v>556195.375</v>
      </c>
      <c r="D2646" s="1">
        <v>0</v>
      </c>
      <c r="E2646" s="1">
        <v>0.93323755264282204</v>
      </c>
      <c r="F2646" s="1">
        <v>1.4999999999999999E-2</v>
      </c>
      <c r="G2646" s="1">
        <f t="shared" si="82"/>
        <v>2.2000000000000002E-2</v>
      </c>
      <c r="H2646" s="1" t="str">
        <f t="shared" si="83"/>
        <v/>
      </c>
      <c r="I2646" s="1">
        <v>6.0000000000000001E-3</v>
      </c>
      <c r="J2646" s="1">
        <f>+D2646-F2646+I2646*O2646</f>
        <v>-2.0399999999999984E-3</v>
      </c>
      <c r="K2646" s="1">
        <v>3.0216176528483599E-3</v>
      </c>
      <c r="L2646" s="1">
        <f>+K2646-J2646</f>
        <v>5.0616176528483579E-3</v>
      </c>
      <c r="M2646" s="1">
        <v>-1.2978382347151599E-2</v>
      </c>
      <c r="N2646" s="1">
        <f>+M2646-J2646</f>
        <v>-1.0938382347151601E-2</v>
      </c>
      <c r="O2646">
        <v>2.16</v>
      </c>
      <c r="P2646" t="s">
        <v>15</v>
      </c>
      <c r="Q2646">
        <v>-0.01</v>
      </c>
      <c r="R2646">
        <v>2.4271976366639001E-2</v>
      </c>
      <c r="S2646">
        <v>-5.9914756566285896E-3</v>
      </c>
      <c r="T2646">
        <v>0.01</v>
      </c>
    </row>
    <row r="2647" spans="1:20" x14ac:dyDescent="0.3">
      <c r="A2647" t="s">
        <v>181</v>
      </c>
      <c r="B2647">
        <v>2015</v>
      </c>
      <c r="C2647">
        <v>552832.6875</v>
      </c>
      <c r="D2647" s="1">
        <v>-1E-3</v>
      </c>
      <c r="E2647" s="1">
        <v>0.94023132324218806</v>
      </c>
      <c r="F2647" s="1">
        <v>-7.4999999999999997E-2</v>
      </c>
      <c r="G2647" s="1">
        <f t="shared" si="82"/>
        <v>-5.2999999999999992E-2</v>
      </c>
      <c r="H2647" s="1" t="str">
        <f t="shared" si="83"/>
        <v/>
      </c>
      <c r="I2647" s="1">
        <v>7.0000000000000001E-3</v>
      </c>
      <c r="J2647" s="1">
        <f>+D2647-F2647+I2647*O2647</f>
        <v>8.7999999999999995E-2</v>
      </c>
      <c r="K2647" s="1">
        <v>2.5271976366639099E-2</v>
      </c>
      <c r="L2647" s="1">
        <f>+K2647-J2647</f>
        <v>-6.2728023633360899E-2</v>
      </c>
      <c r="M2647" s="1">
        <v>2.4271976366639001E-2</v>
      </c>
      <c r="N2647" s="1">
        <f>+M2647-J2647</f>
        <v>-6.3728023633360997E-2</v>
      </c>
      <c r="O2647">
        <v>2</v>
      </c>
      <c r="P2647" t="s">
        <v>17</v>
      </c>
      <c r="Q2647">
        <v>-0.01</v>
      </c>
      <c r="R2647">
        <v>-1.47774881869549E-3</v>
      </c>
      <c r="S2647">
        <v>-1.46313058212399E-2</v>
      </c>
      <c r="T2647">
        <v>-0.06</v>
      </c>
    </row>
    <row r="2648" spans="1:20" x14ac:dyDescent="0.3">
      <c r="A2648" t="s">
        <v>181</v>
      </c>
      <c r="B2648">
        <v>2016</v>
      </c>
      <c r="C2648">
        <v>549637.8125</v>
      </c>
      <c r="D2648" s="1">
        <v>2E-3</v>
      </c>
      <c r="E2648" s="1">
        <v>0.93625760078430198</v>
      </c>
      <c r="F2648" s="1">
        <v>0.106</v>
      </c>
      <c r="G2648" s="1">
        <f t="shared" si="82"/>
        <v>5.3000000000000005E-2</v>
      </c>
      <c r="H2648" s="1" t="str">
        <f t="shared" si="83"/>
        <v/>
      </c>
      <c r="I2648" s="1">
        <v>-4.0000000000000001E-3</v>
      </c>
      <c r="J2648" s="1">
        <f>+D2648-F2648+I2648*O2648</f>
        <v>-0.11284</v>
      </c>
      <c r="K2648" s="1">
        <v>1.15222511813045E-2</v>
      </c>
      <c r="L2648" s="1">
        <f>+K2648-J2648</f>
        <v>0.12436225118130449</v>
      </c>
      <c r="M2648" s="1">
        <v>-1.47774881869549E-3</v>
      </c>
      <c r="N2648" s="1">
        <f>+M2648-J2648</f>
        <v>0.11136225118130451</v>
      </c>
      <c r="O2648">
        <v>2.21</v>
      </c>
      <c r="P2648" t="s">
        <v>17</v>
      </c>
      <c r="Q2648">
        <v>-0.01</v>
      </c>
      <c r="R2648">
        <v>-5.5060389488934998E-3</v>
      </c>
      <c r="S2648">
        <v>-8.2956124097107904E-3</v>
      </c>
      <c r="T2648">
        <v>0.11</v>
      </c>
    </row>
    <row r="2649" spans="1:20" x14ac:dyDescent="0.3">
      <c r="A2649" t="s">
        <v>181</v>
      </c>
      <c r="B2649">
        <v>2017</v>
      </c>
      <c r="C2649">
        <v>547141.125</v>
      </c>
      <c r="D2649" s="1">
        <v>-2E-3</v>
      </c>
      <c r="E2649" s="1">
        <v>0.91935980319976796</v>
      </c>
      <c r="F2649" s="1">
        <v>-2.9000000000000001E-2</v>
      </c>
      <c r="G2649" s="1">
        <f t="shared" si="82"/>
        <v>2.4000000000000004E-2</v>
      </c>
      <c r="H2649" s="1" t="str">
        <f t="shared" si="83"/>
        <v/>
      </c>
      <c r="I2649" s="1">
        <v>-1.7000000000000001E-2</v>
      </c>
      <c r="J2649" s="1">
        <f>+D2649-F2649+I2649*O2649</f>
        <v>-9.3799999999999994E-3</v>
      </c>
      <c r="K2649" s="1">
        <v>1.54939610511065E-2</v>
      </c>
      <c r="L2649" s="1">
        <f>+K2649-J2649</f>
        <v>2.4873961051106501E-2</v>
      </c>
      <c r="M2649" s="1">
        <v>-5.5060389488934998E-3</v>
      </c>
      <c r="N2649" s="1">
        <f>+M2649-J2649</f>
        <v>3.8739610511064997E-3</v>
      </c>
      <c r="O2649">
        <v>2.14</v>
      </c>
      <c r="P2649" t="s">
        <v>16</v>
      </c>
      <c r="Q2649">
        <v>-0.01</v>
      </c>
      <c r="R2649">
        <v>1.2414010465145E-3</v>
      </c>
      <c r="S2649">
        <v>-7.8936219215392893E-3</v>
      </c>
      <c r="T2649">
        <v>-0.03</v>
      </c>
    </row>
    <row r="2650" spans="1:20" x14ac:dyDescent="0.3">
      <c r="A2650" t="s">
        <v>181</v>
      </c>
      <c r="B2650">
        <v>2018</v>
      </c>
      <c r="C2650">
        <v>544739.6875</v>
      </c>
      <c r="D2650" s="1">
        <v>2E-3</v>
      </c>
      <c r="E2650" s="1">
        <v>0.93154954910278298</v>
      </c>
      <c r="F2650" s="1">
        <v>-1.4999999999999999E-2</v>
      </c>
      <c r="G2650" s="1">
        <f t="shared" si="82"/>
        <v>9.0000000000000045E-3</v>
      </c>
      <c r="H2650" s="1" t="str">
        <f t="shared" si="83"/>
        <v/>
      </c>
      <c r="I2650" s="1">
        <v>1.2E-2</v>
      </c>
      <c r="J2650" s="1">
        <f>+D2650-F2650+I2650*O2650</f>
        <v>4.2319999999999997E-2</v>
      </c>
      <c r="K2650" s="1">
        <v>2.5241401046514501E-2</v>
      </c>
      <c r="L2650" s="1">
        <f>+K2650-J2650</f>
        <v>-1.7078598953485496E-2</v>
      </c>
      <c r="M2650" s="1">
        <v>1.2414010465145E-3</v>
      </c>
      <c r="N2650" s="1">
        <f>+M2650-J2650</f>
        <v>-4.10785989534855E-2</v>
      </c>
      <c r="O2650">
        <v>2.11</v>
      </c>
      <c r="P2650" t="s">
        <v>17</v>
      </c>
      <c r="Q2650">
        <v>-0.01</v>
      </c>
      <c r="R2650">
        <v>4.8836722671986004E-3</v>
      </c>
      <c r="S2650">
        <v>-1.2917522341012899E-2</v>
      </c>
      <c r="T2650">
        <v>-0.01</v>
      </c>
    </row>
    <row r="2651" spans="1:20" x14ac:dyDescent="0.3">
      <c r="A2651" t="s">
        <v>181</v>
      </c>
      <c r="B2651">
        <v>2019</v>
      </c>
      <c r="C2651">
        <v>542408.8125</v>
      </c>
      <c r="D2651" s="1">
        <v>4.0000000000000001E-3</v>
      </c>
      <c r="E2651" s="1">
        <v>0.93893343210220304</v>
      </c>
      <c r="F2651" s="1">
        <v>-5.8000000000000003E-2</v>
      </c>
      <c r="G2651" s="1">
        <f t="shared" si="82"/>
        <v>-4.9000000000000002E-2</v>
      </c>
      <c r="H2651" s="1" t="str">
        <f t="shared" si="83"/>
        <v/>
      </c>
      <c r="I2651" s="1">
        <v>7.0000000000000001E-3</v>
      </c>
      <c r="J2651" s="1">
        <f>+D2651-F2651+I2651*O2651</f>
        <v>7.5929999999999997E-2</v>
      </c>
      <c r="K2651" s="1">
        <v>2.2883672267198601E-2</v>
      </c>
      <c r="L2651" s="1">
        <f>+K2651-J2651</f>
        <v>-5.3046327732801393E-2</v>
      </c>
      <c r="M2651" s="1">
        <v>4.8836722671986004E-3</v>
      </c>
      <c r="N2651" s="1">
        <f>+M2651-J2651</f>
        <v>-7.1046327732801395E-2</v>
      </c>
      <c r="O2651">
        <v>1.99</v>
      </c>
      <c r="P2651" t="s">
        <v>17</v>
      </c>
      <c r="Q2651">
        <v>-0.01</v>
      </c>
      <c r="R2651">
        <v>1.8128262937068901E-2</v>
      </c>
      <c r="S2651">
        <v>-7.2092749178409902E-4</v>
      </c>
      <c r="T2651">
        <v>-0.05</v>
      </c>
    </row>
    <row r="2652" spans="1:20" x14ac:dyDescent="0.3">
      <c r="A2652" t="s">
        <v>181</v>
      </c>
      <c r="B2652">
        <v>2020</v>
      </c>
      <c r="C2652">
        <v>539697.5</v>
      </c>
      <c r="D2652" s="1">
        <v>7.0000000000000001E-3</v>
      </c>
      <c r="E2652" s="1">
        <v>0.969773650169373</v>
      </c>
      <c r="F2652" s="1">
        <v>0</v>
      </c>
      <c r="G2652" s="1">
        <f t="shared" si="82"/>
        <v>-4.9000000000000002E-2</v>
      </c>
      <c r="H2652" s="1" t="str">
        <f t="shared" si="83"/>
        <v/>
      </c>
      <c r="I2652" s="1">
        <v>3.1E-2</v>
      </c>
      <c r="J2652" s="1">
        <f>+D2652-F2652+I2652*O2652</f>
        <v>6.8690000000000001E-2</v>
      </c>
      <c r="K2652" s="1">
        <v>3.0128262937068901E-2</v>
      </c>
      <c r="L2652" s="1">
        <f>+K2652-J2652</f>
        <v>-3.8561737062931103E-2</v>
      </c>
      <c r="M2652" s="1">
        <v>1.8128262937068901E-2</v>
      </c>
      <c r="N2652" s="1">
        <f>+M2652-J2652</f>
        <v>-5.05617370629311E-2</v>
      </c>
      <c r="O2652">
        <v>1.99</v>
      </c>
      <c r="P2652" t="s">
        <v>15</v>
      </c>
      <c r="Q2652">
        <v>0</v>
      </c>
      <c r="R2652">
        <v>1.1979101896286001E-3</v>
      </c>
      <c r="S2652">
        <v>-4.2391702532768298E-2</v>
      </c>
      <c r="T2652">
        <v>0.04</v>
      </c>
    </row>
    <row r="2653" spans="1:20" x14ac:dyDescent="0.3">
      <c r="A2653" t="s">
        <v>181</v>
      </c>
      <c r="B2653">
        <v>2021</v>
      </c>
      <c r="C2653">
        <v>537452.0625</v>
      </c>
      <c r="D2653" s="1">
        <v>0</v>
      </c>
      <c r="E2653" s="1">
        <v>0.96811485290527299</v>
      </c>
      <c r="F2653" s="1">
        <v>-8.0000000000000002E-3</v>
      </c>
      <c r="G2653" s="1">
        <f t="shared" si="82"/>
        <v>-5.7000000000000002E-2</v>
      </c>
      <c r="H2653" s="1" t="str">
        <f t="shared" si="83"/>
        <v/>
      </c>
      <c r="I2653" s="1">
        <v>-2E-3</v>
      </c>
      <c r="J2653" s="1">
        <f>+D2653-F2653+I2653*O2653</f>
        <v>4.0600000000000002E-3</v>
      </c>
      <c r="K2653" s="1">
        <v>4.8197910189628601E-2</v>
      </c>
      <c r="L2653" s="1">
        <f>+K2653-J2653</f>
        <v>4.41379101896286E-2</v>
      </c>
      <c r="M2653" s="1">
        <v>1.1979101896286001E-3</v>
      </c>
      <c r="N2653" s="1">
        <f>+M2653-J2653</f>
        <v>-2.8620898103714001E-3</v>
      </c>
      <c r="O2653">
        <v>1.97</v>
      </c>
      <c r="P2653" t="s">
        <v>16</v>
      </c>
      <c r="Q2653">
        <v>-0.04</v>
      </c>
      <c r="R2653">
        <v>-4.6670305728911902E-3</v>
      </c>
      <c r="S2653">
        <v>2.7436476200819099E-2</v>
      </c>
      <c r="T2653">
        <v>-0.04</v>
      </c>
    </row>
    <row r="2654" spans="1:20" x14ac:dyDescent="0.3">
      <c r="A2654" t="s">
        <v>181</v>
      </c>
      <c r="B2654">
        <v>2022</v>
      </c>
      <c r="C2654">
        <v>535569.5625</v>
      </c>
      <c r="D2654" s="1">
        <v>0</v>
      </c>
      <c r="E2654" s="1">
        <v>0.95431613922119096</v>
      </c>
      <c r="F2654" s="1">
        <v>7.0000000000000001E-3</v>
      </c>
      <c r="G2654" s="1">
        <f t="shared" si="82"/>
        <v>-0.05</v>
      </c>
      <c r="H2654" s="1" t="str">
        <f t="shared" si="83"/>
        <v/>
      </c>
      <c r="I2654" s="1">
        <v>-1.4E-2</v>
      </c>
      <c r="J2654" s="1">
        <f>+D2654-F2654+I2654*O2654</f>
        <v>-3.4860000000000002E-2</v>
      </c>
      <c r="K2654" s="1">
        <v>7.5332969427108806E-2</v>
      </c>
      <c r="L2654" s="1">
        <f>+K2654-J2654</f>
        <v>0.11019296942710881</v>
      </c>
      <c r="M2654" s="1">
        <v>-4.6670305728911902E-3</v>
      </c>
      <c r="N2654" s="1">
        <f>+M2654-J2654</f>
        <v>3.0192969427108814E-2</v>
      </c>
      <c r="O2654">
        <v>1.99</v>
      </c>
      <c r="P2654" t="s">
        <v>17</v>
      </c>
      <c r="Q2654">
        <v>0.03</v>
      </c>
      <c r="R2654">
        <v>1.15237582623958E-2</v>
      </c>
      <c r="S2654">
        <v>3.1082686036825201E-2</v>
      </c>
      <c r="T2654">
        <v>0.02</v>
      </c>
    </row>
  </sheetData>
  <autoFilter ref="A1:T2654" xr:uid="{FCE49A74-E4FF-45F0-A2C2-D4668992367B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Larriva, Matt</cp:lastModifiedBy>
  <dcterms:created xsi:type="dcterms:W3CDTF">2025-06-27T21:56:40Z</dcterms:created>
  <dcterms:modified xsi:type="dcterms:W3CDTF">2025-06-27T21:58:47Z</dcterms:modified>
</cp:coreProperties>
</file>