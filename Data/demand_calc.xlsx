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okfield-my.sharepoint.com/personal/matt_larriva_brookfield_com/Documents/Documents/Github/demand_density/Data/"/>
    </mc:Choice>
  </mc:AlternateContent>
  <xr:revisionPtr revIDLastSave="376" documentId="8_{144C5C75-4EE7-4E3C-B2CA-FD75329995EE}" xr6:coauthVersionLast="47" xr6:coauthVersionMax="47" xr10:uidLastSave="{35BC5DEA-9E80-4FEC-B8E3-12F93CBFE19F}"/>
  <bookViews>
    <workbookView xWindow="-96" yWindow="-96" windowWidth="41472" windowHeight="16752" activeTab="1" xr2:uid="{0481E06D-2E67-4F49-911F-C7D41782E1E5}"/>
  </bookViews>
  <sheets>
    <sheet name="Sheet1" sheetId="2" r:id="rId1"/>
    <sheet name="sample_data" sheetId="1" r:id="rId2"/>
  </sheets>
  <definedNames>
    <definedName name="_xlnm._FilterDatabase" localSheetId="1" hidden="1">sample_data!$A$1:$R$2653</definedName>
  </definedNames>
  <calcPr calcId="191029"/>
  <pivotCaches>
    <pivotCache cacheId="1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53" i="1" l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G2653" i="1"/>
  <c r="G2652" i="1"/>
  <c r="G2651" i="1"/>
  <c r="G2650" i="1"/>
  <c r="H2651" i="1" s="1"/>
  <c r="I2651" i="1" s="1"/>
  <c r="G2649" i="1"/>
  <c r="G2648" i="1"/>
  <c r="G2647" i="1"/>
  <c r="G2646" i="1"/>
  <c r="G2645" i="1"/>
  <c r="G2644" i="1"/>
  <c r="G2643" i="1"/>
  <c r="G2642" i="1"/>
  <c r="G2641" i="1"/>
  <c r="G2640" i="1"/>
  <c r="H2640" i="1" s="1"/>
  <c r="I2640" i="1" s="1"/>
  <c r="G2639" i="1"/>
  <c r="G2638" i="1"/>
  <c r="G2637" i="1"/>
  <c r="G2636" i="1"/>
  <c r="H2637" i="1" s="1"/>
  <c r="G2635" i="1"/>
  <c r="G2634" i="1"/>
  <c r="G2633" i="1"/>
  <c r="G2632" i="1"/>
  <c r="G2631" i="1"/>
  <c r="G2630" i="1"/>
  <c r="G2629" i="1"/>
  <c r="G2628" i="1"/>
  <c r="G2627" i="1"/>
  <c r="G2626" i="1"/>
  <c r="H2626" i="1" s="1"/>
  <c r="I2626" i="1" s="1"/>
  <c r="G2625" i="1"/>
  <c r="G2624" i="1"/>
  <c r="G2623" i="1"/>
  <c r="G2622" i="1"/>
  <c r="G2621" i="1"/>
  <c r="G2620" i="1"/>
  <c r="H2620" i="1" s="1"/>
  <c r="G2619" i="1"/>
  <c r="G2618" i="1"/>
  <c r="G2617" i="1"/>
  <c r="G2616" i="1"/>
  <c r="G2615" i="1"/>
  <c r="G2614" i="1"/>
  <c r="G2613" i="1"/>
  <c r="G2612" i="1"/>
  <c r="H2612" i="1" s="1"/>
  <c r="I2612" i="1" s="1"/>
  <c r="G2611" i="1"/>
  <c r="G2610" i="1"/>
  <c r="G2609" i="1"/>
  <c r="G2608" i="1"/>
  <c r="H2608" i="1" s="1"/>
  <c r="G2607" i="1"/>
  <c r="G2606" i="1"/>
  <c r="H2606" i="1" s="1"/>
  <c r="G2605" i="1"/>
  <c r="G2604" i="1"/>
  <c r="G2603" i="1"/>
  <c r="G2602" i="1"/>
  <c r="G2601" i="1"/>
  <c r="G2600" i="1"/>
  <c r="G2599" i="1"/>
  <c r="G2598" i="1"/>
  <c r="H2598" i="1" s="1"/>
  <c r="I2598" i="1" s="1"/>
  <c r="G2597" i="1"/>
  <c r="G2596" i="1"/>
  <c r="G2595" i="1"/>
  <c r="G2594" i="1"/>
  <c r="H2594" i="1" s="1"/>
  <c r="G2593" i="1"/>
  <c r="G2592" i="1"/>
  <c r="H2592" i="1" s="1"/>
  <c r="G2591" i="1"/>
  <c r="G2590" i="1"/>
  <c r="G2589" i="1"/>
  <c r="G2588" i="1"/>
  <c r="G2587" i="1"/>
  <c r="G2586" i="1"/>
  <c r="G2585" i="1"/>
  <c r="G2584" i="1"/>
  <c r="H2584" i="1" s="1"/>
  <c r="I2584" i="1" s="1"/>
  <c r="G2583" i="1"/>
  <c r="G2582" i="1"/>
  <c r="G2581" i="1"/>
  <c r="G2580" i="1"/>
  <c r="H2580" i="1" s="1"/>
  <c r="I2580" i="1" s="1"/>
  <c r="G2579" i="1"/>
  <c r="G2578" i="1"/>
  <c r="G2577" i="1"/>
  <c r="G2576" i="1"/>
  <c r="G2575" i="1"/>
  <c r="G2574" i="1"/>
  <c r="G2573" i="1"/>
  <c r="G2572" i="1"/>
  <c r="G2571" i="1"/>
  <c r="G2570" i="1"/>
  <c r="H2570" i="1" s="1"/>
  <c r="I2570" i="1" s="1"/>
  <c r="G2569" i="1"/>
  <c r="G2568" i="1"/>
  <c r="G2567" i="1"/>
  <c r="G2566" i="1"/>
  <c r="H2566" i="1" s="1"/>
  <c r="I2566" i="1" s="1"/>
  <c r="G2565" i="1"/>
  <c r="G2564" i="1"/>
  <c r="G2563" i="1"/>
  <c r="G2562" i="1"/>
  <c r="G2561" i="1"/>
  <c r="G2560" i="1"/>
  <c r="G2559" i="1"/>
  <c r="G2558" i="1"/>
  <c r="G2557" i="1"/>
  <c r="G2556" i="1"/>
  <c r="H2556" i="1" s="1"/>
  <c r="I2556" i="1" s="1"/>
  <c r="G2555" i="1"/>
  <c r="G2554" i="1"/>
  <c r="G2553" i="1"/>
  <c r="G2552" i="1"/>
  <c r="H2552" i="1" s="1"/>
  <c r="G2551" i="1"/>
  <c r="G2550" i="1"/>
  <c r="H2550" i="1" s="1"/>
  <c r="G2549" i="1"/>
  <c r="G2548" i="1"/>
  <c r="G2547" i="1"/>
  <c r="G2546" i="1"/>
  <c r="G2545" i="1"/>
  <c r="G2544" i="1"/>
  <c r="G2543" i="1"/>
  <c r="G2542" i="1"/>
  <c r="H2542" i="1" s="1"/>
  <c r="I2542" i="1" s="1"/>
  <c r="G2541" i="1"/>
  <c r="G2540" i="1"/>
  <c r="G2539" i="1"/>
  <c r="G2538" i="1"/>
  <c r="H2538" i="1" s="1"/>
  <c r="I2538" i="1" s="1"/>
  <c r="G2537" i="1"/>
  <c r="G2536" i="1"/>
  <c r="H2536" i="1" s="1"/>
  <c r="I2536" i="1" s="1"/>
  <c r="G2535" i="1"/>
  <c r="G2534" i="1"/>
  <c r="G2533" i="1"/>
  <c r="G2532" i="1"/>
  <c r="G2531" i="1"/>
  <c r="G2530" i="1"/>
  <c r="G2529" i="1"/>
  <c r="G2528" i="1"/>
  <c r="H2528" i="1" s="1"/>
  <c r="I2528" i="1" s="1"/>
  <c r="G2527" i="1"/>
  <c r="G2526" i="1"/>
  <c r="G2525" i="1"/>
  <c r="G2524" i="1"/>
  <c r="G2523" i="1"/>
  <c r="G2522" i="1"/>
  <c r="H2523" i="1" s="1"/>
  <c r="G2521" i="1"/>
  <c r="G2520" i="1"/>
  <c r="G2519" i="1"/>
  <c r="G2518" i="1"/>
  <c r="G2517" i="1"/>
  <c r="G2516" i="1"/>
  <c r="G2515" i="1"/>
  <c r="G2514" i="1"/>
  <c r="H2514" i="1" s="1"/>
  <c r="I2514" i="1" s="1"/>
  <c r="G2513" i="1"/>
  <c r="G2512" i="1"/>
  <c r="G2511" i="1"/>
  <c r="G2510" i="1"/>
  <c r="H2511" i="1" s="1"/>
  <c r="I2511" i="1" s="1"/>
  <c r="G2509" i="1"/>
  <c r="G2508" i="1"/>
  <c r="H2509" i="1" s="1"/>
  <c r="G2507" i="1"/>
  <c r="G2506" i="1"/>
  <c r="G2505" i="1"/>
  <c r="G2504" i="1"/>
  <c r="G2503" i="1"/>
  <c r="G2502" i="1"/>
  <c r="G2501" i="1"/>
  <c r="G2500" i="1"/>
  <c r="H2500" i="1" s="1"/>
  <c r="I2500" i="1" s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H2486" i="1" s="1"/>
  <c r="I2486" i="1" s="1"/>
  <c r="G2485" i="1"/>
  <c r="G2484" i="1"/>
  <c r="G2483" i="1"/>
  <c r="G2482" i="1"/>
  <c r="G2481" i="1"/>
  <c r="G2480" i="1"/>
  <c r="H2481" i="1" s="1"/>
  <c r="G2479" i="1"/>
  <c r="G2478" i="1"/>
  <c r="G2477" i="1"/>
  <c r="G2476" i="1"/>
  <c r="G2475" i="1"/>
  <c r="G2474" i="1"/>
  <c r="G2473" i="1"/>
  <c r="G2472" i="1"/>
  <c r="H2472" i="1" s="1"/>
  <c r="I2472" i="1" s="1"/>
  <c r="G2471" i="1"/>
  <c r="G2470" i="1"/>
  <c r="G2469" i="1"/>
  <c r="G2468" i="1"/>
  <c r="H2468" i="1" s="1"/>
  <c r="I2468" i="1" s="1"/>
  <c r="G2467" i="1"/>
  <c r="G2466" i="1"/>
  <c r="H2467" i="1" s="1"/>
  <c r="G2465" i="1"/>
  <c r="G2464" i="1"/>
  <c r="G2463" i="1"/>
  <c r="G2462" i="1"/>
  <c r="G2461" i="1"/>
  <c r="G2460" i="1"/>
  <c r="G2459" i="1"/>
  <c r="G2458" i="1"/>
  <c r="H2458" i="1" s="1"/>
  <c r="I2458" i="1" s="1"/>
  <c r="G2457" i="1"/>
  <c r="G2456" i="1"/>
  <c r="G2455" i="1"/>
  <c r="G2454" i="1"/>
  <c r="H2455" i="1" s="1"/>
  <c r="G2453" i="1"/>
  <c r="G2452" i="1"/>
  <c r="G2451" i="1"/>
  <c r="G2450" i="1"/>
  <c r="G2449" i="1"/>
  <c r="G2448" i="1"/>
  <c r="G2447" i="1"/>
  <c r="G2446" i="1"/>
  <c r="G2445" i="1"/>
  <c r="G2444" i="1"/>
  <c r="H2444" i="1" s="1"/>
  <c r="I2444" i="1" s="1"/>
  <c r="G2443" i="1"/>
  <c r="G2442" i="1"/>
  <c r="G2441" i="1"/>
  <c r="G2440" i="1"/>
  <c r="G2439" i="1"/>
  <c r="G2438" i="1"/>
  <c r="H2438" i="1" s="1"/>
  <c r="G2437" i="1"/>
  <c r="G2436" i="1"/>
  <c r="G2435" i="1"/>
  <c r="G2434" i="1"/>
  <c r="G2433" i="1"/>
  <c r="G2432" i="1"/>
  <c r="G2431" i="1"/>
  <c r="G2430" i="1"/>
  <c r="H2430" i="1" s="1"/>
  <c r="I2430" i="1" s="1"/>
  <c r="G2429" i="1"/>
  <c r="G2428" i="1"/>
  <c r="G2427" i="1"/>
  <c r="G2426" i="1"/>
  <c r="H2427" i="1" s="1"/>
  <c r="I2427" i="1" s="1"/>
  <c r="G2425" i="1"/>
  <c r="G2424" i="1"/>
  <c r="G2423" i="1"/>
  <c r="G2422" i="1"/>
  <c r="G2421" i="1"/>
  <c r="G2420" i="1"/>
  <c r="G2419" i="1"/>
  <c r="G2418" i="1"/>
  <c r="G2417" i="1"/>
  <c r="G2416" i="1"/>
  <c r="H2416" i="1" s="1"/>
  <c r="I2416" i="1" s="1"/>
  <c r="G2415" i="1"/>
  <c r="G2414" i="1"/>
  <c r="G2413" i="1"/>
  <c r="G2412" i="1"/>
  <c r="H2412" i="1" s="1"/>
  <c r="G2411" i="1"/>
  <c r="G2410" i="1"/>
  <c r="G2409" i="1"/>
  <c r="G2408" i="1"/>
  <c r="H2409" i="1" s="1"/>
  <c r="I2409" i="1" s="1"/>
  <c r="G2407" i="1"/>
  <c r="G2406" i="1"/>
  <c r="G2405" i="1"/>
  <c r="G2404" i="1"/>
  <c r="G2403" i="1"/>
  <c r="G2402" i="1"/>
  <c r="H2402" i="1" s="1"/>
  <c r="I2402" i="1" s="1"/>
  <c r="G2401" i="1"/>
  <c r="G2400" i="1"/>
  <c r="G2399" i="1"/>
  <c r="G2398" i="1"/>
  <c r="H2398" i="1" s="1"/>
  <c r="G2397" i="1"/>
  <c r="G2396" i="1"/>
  <c r="H2396" i="1" s="1"/>
  <c r="G2395" i="1"/>
  <c r="G2394" i="1"/>
  <c r="G2393" i="1"/>
  <c r="G2392" i="1"/>
  <c r="G2391" i="1"/>
  <c r="G2390" i="1"/>
  <c r="G2389" i="1"/>
  <c r="G2388" i="1"/>
  <c r="H2388" i="1" s="1"/>
  <c r="I2388" i="1" s="1"/>
  <c r="G2387" i="1"/>
  <c r="G2386" i="1"/>
  <c r="G2385" i="1"/>
  <c r="G2384" i="1"/>
  <c r="H2385" i="1" s="1"/>
  <c r="G2383" i="1"/>
  <c r="G2382" i="1"/>
  <c r="G2381" i="1"/>
  <c r="G2380" i="1"/>
  <c r="G2379" i="1"/>
  <c r="G2378" i="1"/>
  <c r="G2377" i="1"/>
  <c r="G2376" i="1"/>
  <c r="G2375" i="1"/>
  <c r="G2374" i="1"/>
  <c r="H2374" i="1" s="1"/>
  <c r="I2374" i="1" s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H2360" i="1" s="1"/>
  <c r="I2360" i="1" s="1"/>
  <c r="G2359" i="1"/>
  <c r="G2358" i="1"/>
  <c r="G2357" i="1"/>
  <c r="G2356" i="1"/>
  <c r="H2356" i="1" s="1"/>
  <c r="G2355" i="1"/>
  <c r="G2354" i="1"/>
  <c r="H2355" i="1" s="1"/>
  <c r="G2353" i="1"/>
  <c r="G2352" i="1"/>
  <c r="G2351" i="1"/>
  <c r="G2350" i="1"/>
  <c r="G2349" i="1"/>
  <c r="G2348" i="1"/>
  <c r="G2347" i="1"/>
  <c r="G2346" i="1"/>
  <c r="H2346" i="1" s="1"/>
  <c r="I2346" i="1" s="1"/>
  <c r="G2345" i="1"/>
  <c r="G2344" i="1"/>
  <c r="G2343" i="1"/>
  <c r="G2342" i="1"/>
  <c r="H2343" i="1" s="1"/>
  <c r="G2341" i="1"/>
  <c r="G2340" i="1"/>
  <c r="G2339" i="1"/>
  <c r="G2338" i="1"/>
  <c r="G2337" i="1"/>
  <c r="G2336" i="1"/>
  <c r="G2335" i="1"/>
  <c r="G2334" i="1"/>
  <c r="G2333" i="1"/>
  <c r="G2332" i="1"/>
  <c r="H2332" i="1" s="1"/>
  <c r="I2332" i="1" s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H2315" i="1" s="1"/>
  <c r="I2315" i="1" s="1"/>
  <c r="G2313" i="1"/>
  <c r="G2312" i="1"/>
  <c r="H2313" i="1" s="1"/>
  <c r="I2313" i="1" s="1"/>
  <c r="G2311" i="1"/>
  <c r="G2310" i="1"/>
  <c r="G2309" i="1"/>
  <c r="G2308" i="1"/>
  <c r="G2307" i="1"/>
  <c r="G2306" i="1"/>
  <c r="G2305" i="1"/>
  <c r="G2304" i="1"/>
  <c r="H2304" i="1" s="1"/>
  <c r="I2304" i="1" s="1"/>
  <c r="G2303" i="1"/>
  <c r="G2302" i="1"/>
  <c r="G2301" i="1"/>
  <c r="G2300" i="1"/>
  <c r="H2300" i="1" s="1"/>
  <c r="G2299" i="1"/>
  <c r="G2298" i="1"/>
  <c r="H2299" i="1" s="1"/>
  <c r="G2297" i="1"/>
  <c r="G2296" i="1"/>
  <c r="G2295" i="1"/>
  <c r="G2294" i="1"/>
  <c r="G2293" i="1"/>
  <c r="G2292" i="1"/>
  <c r="G2291" i="1"/>
  <c r="G2290" i="1"/>
  <c r="H2290" i="1" s="1"/>
  <c r="I2290" i="1" s="1"/>
  <c r="G2289" i="1"/>
  <c r="G2288" i="1"/>
  <c r="G2287" i="1"/>
  <c r="G2286" i="1"/>
  <c r="H2287" i="1" s="1"/>
  <c r="G2285" i="1"/>
  <c r="G2284" i="1"/>
  <c r="H2284" i="1" s="1"/>
  <c r="G2283" i="1"/>
  <c r="G2282" i="1"/>
  <c r="G2281" i="1"/>
  <c r="G2280" i="1"/>
  <c r="G2279" i="1"/>
  <c r="G2278" i="1"/>
  <c r="G2277" i="1"/>
  <c r="G2276" i="1"/>
  <c r="H2276" i="1" s="1"/>
  <c r="I2276" i="1" s="1"/>
  <c r="G2275" i="1"/>
  <c r="G2274" i="1"/>
  <c r="G2273" i="1"/>
  <c r="G2272" i="1"/>
  <c r="H2273" i="1" s="1"/>
  <c r="G2271" i="1"/>
  <c r="G2270" i="1"/>
  <c r="H2271" i="1" s="1"/>
  <c r="G2269" i="1"/>
  <c r="G2268" i="1"/>
  <c r="G2267" i="1"/>
  <c r="G2266" i="1"/>
  <c r="G2265" i="1"/>
  <c r="G2264" i="1"/>
  <c r="G2263" i="1"/>
  <c r="G2262" i="1"/>
  <c r="H2262" i="1" s="1"/>
  <c r="I2262" i="1" s="1"/>
  <c r="G2261" i="1"/>
  <c r="G2260" i="1"/>
  <c r="G2259" i="1"/>
  <c r="G2258" i="1"/>
  <c r="H2259" i="1" s="1"/>
  <c r="G2257" i="1"/>
  <c r="G2256" i="1"/>
  <c r="H2257" i="1" s="1"/>
  <c r="I2257" i="1" s="1"/>
  <c r="G2255" i="1"/>
  <c r="G2254" i="1"/>
  <c r="G2253" i="1"/>
  <c r="G2252" i="1"/>
  <c r="G2251" i="1"/>
  <c r="G2250" i="1"/>
  <c r="G2249" i="1"/>
  <c r="G2248" i="1"/>
  <c r="H2248" i="1" s="1"/>
  <c r="I2248" i="1" s="1"/>
  <c r="G2247" i="1"/>
  <c r="G2246" i="1"/>
  <c r="G2245" i="1"/>
  <c r="G2244" i="1"/>
  <c r="H2244" i="1" s="1"/>
  <c r="G2243" i="1"/>
  <c r="G2242" i="1"/>
  <c r="G2241" i="1"/>
  <c r="G2240" i="1"/>
  <c r="G2239" i="1"/>
  <c r="G2238" i="1"/>
  <c r="G2237" i="1"/>
  <c r="G2236" i="1"/>
  <c r="G2235" i="1"/>
  <c r="G2234" i="1"/>
  <c r="H2234" i="1" s="1"/>
  <c r="I2234" i="1" s="1"/>
  <c r="G2233" i="1"/>
  <c r="G2232" i="1"/>
  <c r="G2231" i="1"/>
  <c r="G2230" i="1"/>
  <c r="H2231" i="1" s="1"/>
  <c r="G2229" i="1"/>
  <c r="G2228" i="1"/>
  <c r="H2229" i="1" s="1"/>
  <c r="G2227" i="1"/>
  <c r="G2226" i="1"/>
  <c r="G2225" i="1"/>
  <c r="G2224" i="1"/>
  <c r="G2223" i="1"/>
  <c r="G2222" i="1"/>
  <c r="G2221" i="1"/>
  <c r="G2220" i="1"/>
  <c r="H2220" i="1" s="1"/>
  <c r="I2220" i="1" s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H2206" i="1" s="1"/>
  <c r="I2206" i="1" s="1"/>
  <c r="G2205" i="1"/>
  <c r="G2204" i="1"/>
  <c r="G2203" i="1"/>
  <c r="G2202" i="1"/>
  <c r="H2202" i="1" s="1"/>
  <c r="G2201" i="1"/>
  <c r="G2200" i="1"/>
  <c r="H2201" i="1" s="1"/>
  <c r="G2199" i="1"/>
  <c r="G2198" i="1"/>
  <c r="G2197" i="1"/>
  <c r="G2196" i="1"/>
  <c r="G2195" i="1"/>
  <c r="G2194" i="1"/>
  <c r="G2193" i="1"/>
  <c r="G2192" i="1"/>
  <c r="H2192" i="1" s="1"/>
  <c r="I2192" i="1" s="1"/>
  <c r="G2191" i="1"/>
  <c r="G2190" i="1"/>
  <c r="G2189" i="1"/>
  <c r="G2188" i="1"/>
  <c r="H2188" i="1" s="1"/>
  <c r="G2187" i="1"/>
  <c r="G2186" i="1"/>
  <c r="G2185" i="1"/>
  <c r="G2184" i="1"/>
  <c r="G2183" i="1"/>
  <c r="G2182" i="1"/>
  <c r="G2181" i="1"/>
  <c r="G2180" i="1"/>
  <c r="G2179" i="1"/>
  <c r="G2178" i="1"/>
  <c r="H2178" i="1" s="1"/>
  <c r="I2178" i="1" s="1"/>
  <c r="G2177" i="1"/>
  <c r="G2176" i="1"/>
  <c r="G2175" i="1"/>
  <c r="G2174" i="1"/>
  <c r="G2173" i="1"/>
  <c r="G2172" i="1"/>
  <c r="G2171" i="1"/>
  <c r="G2170" i="1"/>
  <c r="G2169" i="1"/>
  <c r="H2169" i="1" s="1"/>
  <c r="I2169" i="1" s="1"/>
  <c r="G2168" i="1"/>
  <c r="G2167" i="1"/>
  <c r="G2166" i="1"/>
  <c r="G2165" i="1"/>
  <c r="G2164" i="1"/>
  <c r="H2164" i="1" s="1"/>
  <c r="I2164" i="1" s="1"/>
  <c r="G2163" i="1"/>
  <c r="G2162" i="1"/>
  <c r="G2161" i="1"/>
  <c r="G2160" i="1"/>
  <c r="H2160" i="1" s="1"/>
  <c r="G2159" i="1"/>
  <c r="G2158" i="1"/>
  <c r="H2159" i="1" s="1"/>
  <c r="G2157" i="1"/>
  <c r="G2156" i="1"/>
  <c r="G2155" i="1"/>
  <c r="G2154" i="1"/>
  <c r="G2153" i="1"/>
  <c r="G2152" i="1"/>
  <c r="G2151" i="1"/>
  <c r="G2150" i="1"/>
  <c r="H2150" i="1" s="1"/>
  <c r="I2150" i="1" s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H2136" i="1" s="1"/>
  <c r="I2136" i="1" s="1"/>
  <c r="G2135" i="1"/>
  <c r="G2134" i="1"/>
  <c r="G2133" i="1"/>
  <c r="G2132" i="1"/>
  <c r="G2131" i="1"/>
  <c r="G2130" i="1"/>
  <c r="H2130" i="1" s="1"/>
  <c r="G2129" i="1"/>
  <c r="G2128" i="1"/>
  <c r="G2127" i="1"/>
  <c r="G2126" i="1"/>
  <c r="G2125" i="1"/>
  <c r="G2124" i="1"/>
  <c r="G2123" i="1"/>
  <c r="G2122" i="1"/>
  <c r="H2122" i="1" s="1"/>
  <c r="I2122" i="1" s="1"/>
  <c r="G2121" i="1"/>
  <c r="G2120" i="1"/>
  <c r="G2119" i="1"/>
  <c r="G2118" i="1"/>
  <c r="G2117" i="1"/>
  <c r="G2116" i="1"/>
  <c r="H2116" i="1" s="1"/>
  <c r="G2115" i="1"/>
  <c r="G2114" i="1"/>
  <c r="G2113" i="1"/>
  <c r="G2112" i="1"/>
  <c r="G2111" i="1"/>
  <c r="G2110" i="1"/>
  <c r="G2109" i="1"/>
  <c r="G2108" i="1"/>
  <c r="H2108" i="1" s="1"/>
  <c r="I2108" i="1" s="1"/>
  <c r="G2107" i="1"/>
  <c r="G2106" i="1"/>
  <c r="G2105" i="1"/>
  <c r="G2104" i="1"/>
  <c r="H2104" i="1" s="1"/>
  <c r="G2103" i="1"/>
  <c r="G2102" i="1"/>
  <c r="G2101" i="1"/>
  <c r="G2100" i="1"/>
  <c r="G2099" i="1"/>
  <c r="G2098" i="1"/>
  <c r="G2097" i="1"/>
  <c r="G2096" i="1"/>
  <c r="G2095" i="1"/>
  <c r="G2094" i="1"/>
  <c r="H2094" i="1" s="1"/>
  <c r="I2094" i="1" s="1"/>
  <c r="G2093" i="1"/>
  <c r="G2092" i="1"/>
  <c r="G2091" i="1"/>
  <c r="G2090" i="1"/>
  <c r="H2091" i="1" s="1"/>
  <c r="I2091" i="1" s="1"/>
  <c r="G2089" i="1"/>
  <c r="G2088" i="1"/>
  <c r="G2087" i="1"/>
  <c r="G2086" i="1"/>
  <c r="G2085" i="1"/>
  <c r="G2084" i="1"/>
  <c r="G2083" i="1"/>
  <c r="G2082" i="1"/>
  <c r="G2081" i="1"/>
  <c r="G2080" i="1"/>
  <c r="H2080" i="1" s="1"/>
  <c r="I2080" i="1" s="1"/>
  <c r="G2079" i="1"/>
  <c r="G2078" i="1"/>
  <c r="G2077" i="1"/>
  <c r="G2076" i="1"/>
  <c r="H2077" i="1" s="1"/>
  <c r="G2075" i="1"/>
  <c r="G2074" i="1"/>
  <c r="H2075" i="1" s="1"/>
  <c r="G2073" i="1"/>
  <c r="G2072" i="1"/>
  <c r="G2071" i="1"/>
  <c r="G2070" i="1"/>
  <c r="G2069" i="1"/>
  <c r="G2068" i="1"/>
  <c r="G2067" i="1"/>
  <c r="G2066" i="1"/>
  <c r="H2066" i="1" s="1"/>
  <c r="I2066" i="1" s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H2052" i="1" s="1"/>
  <c r="I2052" i="1" s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H2038" i="1" s="1"/>
  <c r="I2038" i="1" s="1"/>
  <c r="G2037" i="1"/>
  <c r="G2036" i="1"/>
  <c r="G2035" i="1"/>
  <c r="G2034" i="1"/>
  <c r="H2035" i="1" s="1"/>
  <c r="G2033" i="1"/>
  <c r="G2032" i="1"/>
  <c r="H2033" i="1" s="1"/>
  <c r="G2031" i="1"/>
  <c r="G2030" i="1"/>
  <c r="G2029" i="1"/>
  <c r="G2028" i="1"/>
  <c r="G2027" i="1"/>
  <c r="G2026" i="1"/>
  <c r="G2025" i="1"/>
  <c r="G2024" i="1"/>
  <c r="H2024" i="1" s="1"/>
  <c r="I2024" i="1" s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H2010" i="1" s="1"/>
  <c r="I2010" i="1" s="1"/>
  <c r="G2009" i="1"/>
  <c r="G2008" i="1"/>
  <c r="G2007" i="1"/>
  <c r="G2006" i="1"/>
  <c r="H2006" i="1" s="1"/>
  <c r="I2006" i="1" s="1"/>
  <c r="G2005" i="1"/>
  <c r="G2004" i="1"/>
  <c r="H2005" i="1" s="1"/>
  <c r="G2003" i="1"/>
  <c r="G2002" i="1"/>
  <c r="G2001" i="1"/>
  <c r="G2000" i="1"/>
  <c r="G1999" i="1"/>
  <c r="G1998" i="1"/>
  <c r="G1997" i="1"/>
  <c r="G1996" i="1"/>
  <c r="H1996" i="1" s="1"/>
  <c r="I1996" i="1" s="1"/>
  <c r="G1995" i="1"/>
  <c r="G1994" i="1"/>
  <c r="G1993" i="1"/>
  <c r="G1992" i="1"/>
  <c r="G1991" i="1"/>
  <c r="G1990" i="1"/>
  <c r="H1991" i="1" s="1"/>
  <c r="G1989" i="1"/>
  <c r="G1988" i="1"/>
  <c r="G1987" i="1"/>
  <c r="H1987" i="1" s="1"/>
  <c r="I1987" i="1" s="1"/>
  <c r="G1986" i="1"/>
  <c r="G1985" i="1"/>
  <c r="G1984" i="1"/>
  <c r="G1983" i="1"/>
  <c r="G1982" i="1"/>
  <c r="H1982" i="1" s="1"/>
  <c r="I1982" i="1" s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H1968" i="1" s="1"/>
  <c r="I1968" i="1" s="1"/>
  <c r="G1967" i="1"/>
  <c r="G1966" i="1"/>
  <c r="G1965" i="1"/>
  <c r="G1964" i="1"/>
  <c r="H1964" i="1" s="1"/>
  <c r="G1963" i="1"/>
  <c r="G1962" i="1"/>
  <c r="H1962" i="1" s="1"/>
  <c r="G1961" i="1"/>
  <c r="G1960" i="1"/>
  <c r="G1959" i="1"/>
  <c r="G1958" i="1"/>
  <c r="G1957" i="1"/>
  <c r="G1956" i="1"/>
  <c r="G1955" i="1"/>
  <c r="G1954" i="1"/>
  <c r="H1954" i="1" s="1"/>
  <c r="I1954" i="1" s="1"/>
  <c r="G1953" i="1"/>
  <c r="G1952" i="1"/>
  <c r="G1951" i="1"/>
  <c r="G1950" i="1"/>
  <c r="H1951" i="1" s="1"/>
  <c r="G1949" i="1"/>
  <c r="G1948" i="1"/>
  <c r="G1947" i="1"/>
  <c r="G1946" i="1"/>
  <c r="G1945" i="1"/>
  <c r="G1944" i="1"/>
  <c r="G1943" i="1"/>
  <c r="G1942" i="1"/>
  <c r="G1941" i="1"/>
  <c r="G1940" i="1"/>
  <c r="H1940" i="1" s="1"/>
  <c r="I1940" i="1" s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H1926" i="1" s="1"/>
  <c r="I1926" i="1" s="1"/>
  <c r="G1925" i="1"/>
  <c r="G1924" i="1"/>
  <c r="G1923" i="1"/>
  <c r="G1922" i="1"/>
  <c r="H1923" i="1" s="1"/>
  <c r="G1921" i="1"/>
  <c r="G1920" i="1"/>
  <c r="H1921" i="1" s="1"/>
  <c r="G1919" i="1"/>
  <c r="G1918" i="1"/>
  <c r="G1917" i="1"/>
  <c r="G1916" i="1"/>
  <c r="G1915" i="1"/>
  <c r="G1914" i="1"/>
  <c r="G1913" i="1"/>
  <c r="G1912" i="1"/>
  <c r="H1912" i="1" s="1"/>
  <c r="I1912" i="1" s="1"/>
  <c r="G1911" i="1"/>
  <c r="G1910" i="1"/>
  <c r="G1909" i="1"/>
  <c r="G1908" i="1"/>
  <c r="H1909" i="1" s="1"/>
  <c r="I1909" i="1" s="1"/>
  <c r="G1907" i="1"/>
  <c r="G1906" i="1"/>
  <c r="H1907" i="1" s="1"/>
  <c r="G1905" i="1"/>
  <c r="G1904" i="1"/>
  <c r="G1903" i="1"/>
  <c r="G1902" i="1"/>
  <c r="G1901" i="1"/>
  <c r="G1900" i="1"/>
  <c r="G1899" i="1"/>
  <c r="G1898" i="1"/>
  <c r="H1898" i="1" s="1"/>
  <c r="I1898" i="1" s="1"/>
  <c r="G1897" i="1"/>
  <c r="G1896" i="1"/>
  <c r="G1895" i="1"/>
  <c r="G1894" i="1"/>
  <c r="H1895" i="1" s="1"/>
  <c r="I1895" i="1" s="1"/>
  <c r="G1893" i="1"/>
  <c r="G1892" i="1"/>
  <c r="G1891" i="1"/>
  <c r="G1890" i="1"/>
  <c r="G1889" i="1"/>
  <c r="G1888" i="1"/>
  <c r="G1887" i="1"/>
  <c r="G1886" i="1"/>
  <c r="G1885" i="1"/>
  <c r="G1884" i="1"/>
  <c r="H1884" i="1" s="1"/>
  <c r="I1884" i="1" s="1"/>
  <c r="G1883" i="1"/>
  <c r="G1882" i="1"/>
  <c r="G1881" i="1"/>
  <c r="G1880" i="1"/>
  <c r="H1881" i="1" s="1"/>
  <c r="G1879" i="1"/>
  <c r="G1878" i="1"/>
  <c r="H1879" i="1" s="1"/>
  <c r="G1877" i="1"/>
  <c r="G1876" i="1"/>
  <c r="G1875" i="1"/>
  <c r="G1874" i="1"/>
  <c r="G1873" i="1"/>
  <c r="G1872" i="1"/>
  <c r="G1871" i="1"/>
  <c r="G1870" i="1"/>
  <c r="H1870" i="1" s="1"/>
  <c r="I1870" i="1" s="1"/>
  <c r="G1869" i="1"/>
  <c r="G1868" i="1"/>
  <c r="G1867" i="1"/>
  <c r="G1866" i="1"/>
  <c r="H1866" i="1" s="1"/>
  <c r="G1865" i="1"/>
  <c r="G1864" i="1"/>
  <c r="H1864" i="1" s="1"/>
  <c r="G1863" i="1"/>
  <c r="G1862" i="1"/>
  <c r="G1861" i="1"/>
  <c r="G1860" i="1"/>
  <c r="G1859" i="1"/>
  <c r="G1858" i="1"/>
  <c r="G1857" i="1"/>
  <c r="G1856" i="1"/>
  <c r="H1856" i="1" s="1"/>
  <c r="I1856" i="1" s="1"/>
  <c r="G1855" i="1"/>
  <c r="G1854" i="1"/>
  <c r="G1853" i="1"/>
  <c r="G1852" i="1"/>
  <c r="G1851" i="1"/>
  <c r="G1850" i="1"/>
  <c r="H1850" i="1" s="1"/>
  <c r="G1849" i="1"/>
  <c r="G1848" i="1"/>
  <c r="G1847" i="1"/>
  <c r="G1846" i="1"/>
  <c r="G1845" i="1"/>
  <c r="G1844" i="1"/>
  <c r="G1843" i="1"/>
  <c r="G1842" i="1"/>
  <c r="H1842" i="1" s="1"/>
  <c r="I1842" i="1" s="1"/>
  <c r="G1841" i="1"/>
  <c r="G1840" i="1"/>
  <c r="G1839" i="1"/>
  <c r="G1838" i="1"/>
  <c r="H1838" i="1" s="1"/>
  <c r="G1837" i="1"/>
  <c r="G1836" i="1"/>
  <c r="G1835" i="1"/>
  <c r="G1834" i="1"/>
  <c r="G1833" i="1"/>
  <c r="G1832" i="1"/>
  <c r="G1831" i="1"/>
  <c r="G1830" i="1"/>
  <c r="G1829" i="1"/>
  <c r="G1828" i="1"/>
  <c r="H1828" i="1" s="1"/>
  <c r="I1828" i="1" s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H1814" i="1" s="1"/>
  <c r="I1814" i="1" s="1"/>
  <c r="G1813" i="1"/>
  <c r="G1812" i="1"/>
  <c r="G1811" i="1"/>
  <c r="G1810" i="1"/>
  <c r="G1809" i="1"/>
  <c r="G1808" i="1"/>
  <c r="H1809" i="1" s="1"/>
  <c r="I1809" i="1" s="1"/>
  <c r="G1807" i="1"/>
  <c r="G1806" i="1"/>
  <c r="G1805" i="1"/>
  <c r="G1804" i="1"/>
  <c r="G1803" i="1"/>
  <c r="G1802" i="1"/>
  <c r="G1801" i="1"/>
  <c r="G1800" i="1"/>
  <c r="H1800" i="1" s="1"/>
  <c r="I1800" i="1" s="1"/>
  <c r="G1799" i="1"/>
  <c r="G1798" i="1"/>
  <c r="G1797" i="1"/>
  <c r="G1796" i="1"/>
  <c r="H1796" i="1" s="1"/>
  <c r="I1796" i="1" s="1"/>
  <c r="G1795" i="1"/>
  <c r="G1794" i="1"/>
  <c r="G1793" i="1"/>
  <c r="G1792" i="1"/>
  <c r="G1791" i="1"/>
  <c r="G1790" i="1"/>
  <c r="G1789" i="1"/>
  <c r="G1788" i="1"/>
  <c r="G1787" i="1"/>
  <c r="G1786" i="1"/>
  <c r="H1786" i="1" s="1"/>
  <c r="I1786" i="1" s="1"/>
  <c r="G1785" i="1"/>
  <c r="G1784" i="1"/>
  <c r="G1783" i="1"/>
  <c r="G1782" i="1"/>
  <c r="G1781" i="1"/>
  <c r="G1780" i="1"/>
  <c r="H1780" i="1" s="1"/>
  <c r="G1779" i="1"/>
  <c r="G1778" i="1"/>
  <c r="G1777" i="1"/>
  <c r="G1776" i="1"/>
  <c r="G1775" i="1"/>
  <c r="G1774" i="1"/>
  <c r="G1773" i="1"/>
  <c r="G1772" i="1"/>
  <c r="H1772" i="1" s="1"/>
  <c r="I1772" i="1" s="1"/>
  <c r="G1771" i="1"/>
  <c r="G1770" i="1"/>
  <c r="G1769" i="1"/>
  <c r="G1768" i="1"/>
  <c r="H1769" i="1" s="1"/>
  <c r="I1769" i="1" s="1"/>
  <c r="G1767" i="1"/>
  <c r="G1766" i="1"/>
  <c r="H1767" i="1" s="1"/>
  <c r="G1765" i="1"/>
  <c r="G1764" i="1"/>
  <c r="G1763" i="1"/>
  <c r="G1762" i="1"/>
  <c r="G1761" i="1"/>
  <c r="G1760" i="1"/>
  <c r="G1759" i="1"/>
  <c r="G1758" i="1"/>
  <c r="H1758" i="1" s="1"/>
  <c r="I1758" i="1" s="1"/>
  <c r="G1757" i="1"/>
  <c r="G1756" i="1"/>
  <c r="G1755" i="1"/>
  <c r="G1754" i="1"/>
  <c r="H1755" i="1" s="1"/>
  <c r="I1755" i="1" s="1"/>
  <c r="G1753" i="1"/>
  <c r="G1752" i="1"/>
  <c r="G1751" i="1"/>
  <c r="G1750" i="1"/>
  <c r="G1749" i="1"/>
  <c r="G1748" i="1"/>
  <c r="G1747" i="1"/>
  <c r="G1746" i="1"/>
  <c r="G1745" i="1"/>
  <c r="G1744" i="1"/>
  <c r="H1744" i="1" s="1"/>
  <c r="I1744" i="1" s="1"/>
  <c r="G1743" i="1"/>
  <c r="G1742" i="1"/>
  <c r="G1741" i="1"/>
  <c r="G1740" i="1"/>
  <c r="G1739" i="1"/>
  <c r="G1738" i="1"/>
  <c r="H1739" i="1" s="1"/>
  <c r="G1737" i="1"/>
  <c r="G1736" i="1"/>
  <c r="G1735" i="1"/>
  <c r="G1734" i="1"/>
  <c r="G1733" i="1"/>
  <c r="G1732" i="1"/>
  <c r="G1731" i="1"/>
  <c r="G1730" i="1"/>
  <c r="H1730" i="1" s="1"/>
  <c r="I1730" i="1" s="1"/>
  <c r="G1729" i="1"/>
  <c r="G1728" i="1"/>
  <c r="G1727" i="1"/>
  <c r="G1726" i="1"/>
  <c r="H1727" i="1" s="1"/>
  <c r="I1727" i="1" s="1"/>
  <c r="G1725" i="1"/>
  <c r="G1724" i="1"/>
  <c r="G1723" i="1"/>
  <c r="G1722" i="1"/>
  <c r="G1721" i="1"/>
  <c r="G1720" i="1"/>
  <c r="G1719" i="1"/>
  <c r="G1718" i="1"/>
  <c r="G1717" i="1"/>
  <c r="G1716" i="1"/>
  <c r="H1716" i="1" s="1"/>
  <c r="I1716" i="1" s="1"/>
  <c r="G1715" i="1"/>
  <c r="G1714" i="1"/>
  <c r="G1713" i="1"/>
  <c r="G1712" i="1"/>
  <c r="H1713" i="1" s="1"/>
  <c r="G1711" i="1"/>
  <c r="G1710" i="1"/>
  <c r="G1709" i="1"/>
  <c r="G1708" i="1"/>
  <c r="G1707" i="1"/>
  <c r="H1707" i="1" s="1"/>
  <c r="I1707" i="1" s="1"/>
  <c r="G1706" i="1"/>
  <c r="G1705" i="1"/>
  <c r="G1704" i="1"/>
  <c r="G1703" i="1"/>
  <c r="G1702" i="1"/>
  <c r="H1702" i="1" s="1"/>
  <c r="I1702" i="1" s="1"/>
  <c r="G1701" i="1"/>
  <c r="G1700" i="1"/>
  <c r="G1699" i="1"/>
  <c r="G1698" i="1"/>
  <c r="H1698" i="1" s="1"/>
  <c r="G1697" i="1"/>
  <c r="G1696" i="1"/>
  <c r="G1695" i="1"/>
  <c r="G1694" i="1"/>
  <c r="G1693" i="1"/>
  <c r="G1692" i="1"/>
  <c r="G1691" i="1"/>
  <c r="G1690" i="1"/>
  <c r="G1689" i="1"/>
  <c r="G1688" i="1"/>
  <c r="H1688" i="1" s="1"/>
  <c r="I1688" i="1" s="1"/>
  <c r="G1687" i="1"/>
  <c r="G1686" i="1"/>
  <c r="G1685" i="1"/>
  <c r="G1684" i="1"/>
  <c r="H1684" i="1" s="1"/>
  <c r="G1683" i="1"/>
  <c r="G1682" i="1"/>
  <c r="G1681" i="1"/>
  <c r="G1680" i="1"/>
  <c r="H1681" i="1" s="1"/>
  <c r="I1681" i="1" s="1"/>
  <c r="G1679" i="1"/>
  <c r="G1678" i="1"/>
  <c r="G1677" i="1"/>
  <c r="G1676" i="1"/>
  <c r="G1675" i="1"/>
  <c r="G1674" i="1"/>
  <c r="H1674" i="1" s="1"/>
  <c r="I1674" i="1" s="1"/>
  <c r="G1673" i="1"/>
  <c r="G1672" i="1"/>
  <c r="G1671" i="1"/>
  <c r="G1670" i="1"/>
  <c r="G1669" i="1"/>
  <c r="G1668" i="1"/>
  <c r="H1668" i="1" s="1"/>
  <c r="G1667" i="1"/>
  <c r="G1666" i="1"/>
  <c r="G1665" i="1"/>
  <c r="G1664" i="1"/>
  <c r="G1663" i="1"/>
  <c r="G1662" i="1"/>
  <c r="G1661" i="1"/>
  <c r="G1660" i="1"/>
  <c r="H1660" i="1" s="1"/>
  <c r="I1660" i="1" s="1"/>
  <c r="G1659" i="1"/>
  <c r="G1658" i="1"/>
  <c r="G1657" i="1"/>
  <c r="G1656" i="1"/>
  <c r="H1656" i="1" s="1"/>
  <c r="I1656" i="1" s="1"/>
  <c r="G1655" i="1"/>
  <c r="G1654" i="1"/>
  <c r="H1655" i="1" s="1"/>
  <c r="G1653" i="1"/>
  <c r="G1652" i="1"/>
  <c r="H1653" i="1" s="1"/>
  <c r="I1653" i="1" s="1"/>
  <c r="G1651" i="1"/>
  <c r="G1650" i="1"/>
  <c r="G1649" i="1"/>
  <c r="G1648" i="1"/>
  <c r="G1647" i="1"/>
  <c r="G1646" i="1"/>
  <c r="H1646" i="1" s="1"/>
  <c r="I1646" i="1" s="1"/>
  <c r="G1645" i="1"/>
  <c r="G1644" i="1"/>
  <c r="G1643" i="1"/>
  <c r="G1642" i="1"/>
  <c r="H1643" i="1" s="1"/>
  <c r="I1643" i="1" s="1"/>
  <c r="G1641" i="1"/>
  <c r="G1640" i="1"/>
  <c r="G1639" i="1"/>
  <c r="G1638" i="1"/>
  <c r="G1637" i="1"/>
  <c r="G1636" i="1"/>
  <c r="G1635" i="1"/>
  <c r="G1634" i="1"/>
  <c r="G1633" i="1"/>
  <c r="G1632" i="1"/>
  <c r="H1632" i="1" s="1"/>
  <c r="I1632" i="1" s="1"/>
  <c r="G1631" i="1"/>
  <c r="G1630" i="1"/>
  <c r="G1629" i="1"/>
  <c r="G1628" i="1"/>
  <c r="G1627" i="1"/>
  <c r="G1626" i="1"/>
  <c r="H1627" i="1" s="1"/>
  <c r="G1625" i="1"/>
  <c r="G1624" i="1"/>
  <c r="G1623" i="1"/>
  <c r="G1622" i="1"/>
  <c r="G1621" i="1"/>
  <c r="G1620" i="1"/>
  <c r="G1619" i="1"/>
  <c r="G1618" i="1"/>
  <c r="H1618" i="1" s="1"/>
  <c r="I1618" i="1" s="1"/>
  <c r="G1617" i="1"/>
  <c r="G1616" i="1"/>
  <c r="G1615" i="1"/>
  <c r="G1614" i="1"/>
  <c r="H1615" i="1" s="1"/>
  <c r="I1615" i="1" s="1"/>
  <c r="G1613" i="1"/>
  <c r="G1612" i="1"/>
  <c r="H1613" i="1" s="1"/>
  <c r="I1613" i="1" s="1"/>
  <c r="G1611" i="1"/>
  <c r="G1610" i="1"/>
  <c r="G1609" i="1"/>
  <c r="G1608" i="1"/>
  <c r="G1607" i="1"/>
  <c r="G1606" i="1"/>
  <c r="G1605" i="1"/>
  <c r="G1604" i="1"/>
  <c r="H1604" i="1" s="1"/>
  <c r="I1604" i="1" s="1"/>
  <c r="G1603" i="1"/>
  <c r="G1602" i="1"/>
  <c r="G1601" i="1"/>
  <c r="G1600" i="1"/>
  <c r="H1601" i="1" s="1"/>
  <c r="G1599" i="1"/>
  <c r="G1598" i="1"/>
  <c r="H1598" i="1" s="1"/>
  <c r="I1598" i="1" s="1"/>
  <c r="G1597" i="1"/>
  <c r="G1596" i="1"/>
  <c r="H1597" i="1" s="1"/>
  <c r="G1595" i="1"/>
  <c r="G1594" i="1"/>
  <c r="G1593" i="1"/>
  <c r="G1592" i="1"/>
  <c r="G1591" i="1"/>
  <c r="G1590" i="1"/>
  <c r="H1590" i="1" s="1"/>
  <c r="I1590" i="1" s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H1569" i="1" s="1"/>
  <c r="I1569" i="1" s="1"/>
  <c r="G1567" i="1"/>
  <c r="G1566" i="1"/>
  <c r="G1565" i="1"/>
  <c r="G1564" i="1"/>
  <c r="G1563" i="1"/>
  <c r="G1562" i="1"/>
  <c r="H1562" i="1" s="1"/>
  <c r="I1562" i="1" s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H1548" i="1" s="1"/>
  <c r="I1548" i="1" s="1"/>
  <c r="G1547" i="1"/>
  <c r="G1546" i="1"/>
  <c r="G1545" i="1"/>
  <c r="G1544" i="1"/>
  <c r="H1544" i="1" s="1"/>
  <c r="I1544" i="1" s="1"/>
  <c r="G1543" i="1"/>
  <c r="G1542" i="1"/>
  <c r="G1541" i="1"/>
  <c r="G1540" i="1"/>
  <c r="G1539" i="1"/>
  <c r="G1538" i="1"/>
  <c r="G1537" i="1"/>
  <c r="G1536" i="1"/>
  <c r="G1535" i="1"/>
  <c r="G1534" i="1"/>
  <c r="H1534" i="1" s="1"/>
  <c r="I1534" i="1" s="1"/>
  <c r="G1533" i="1"/>
  <c r="G1532" i="1"/>
  <c r="G1531" i="1"/>
  <c r="G1530" i="1"/>
  <c r="H1531" i="1" s="1"/>
  <c r="G1529" i="1"/>
  <c r="G1528" i="1"/>
  <c r="G1527" i="1"/>
  <c r="G1526" i="1"/>
  <c r="G1525" i="1"/>
  <c r="G1524" i="1"/>
  <c r="G1523" i="1"/>
  <c r="G1522" i="1"/>
  <c r="G1521" i="1"/>
  <c r="G1520" i="1"/>
  <c r="H1520" i="1" s="1"/>
  <c r="I1520" i="1" s="1"/>
  <c r="G1519" i="1"/>
  <c r="G1518" i="1"/>
  <c r="G1517" i="1"/>
  <c r="G1516" i="1"/>
  <c r="H1516" i="1" s="1"/>
  <c r="I1516" i="1" s="1"/>
  <c r="G1515" i="1"/>
  <c r="G1514" i="1"/>
  <c r="H1515" i="1" s="1"/>
  <c r="G1513" i="1"/>
  <c r="G1512" i="1"/>
  <c r="G1511" i="1"/>
  <c r="G1510" i="1"/>
  <c r="G1509" i="1"/>
  <c r="G1508" i="1"/>
  <c r="G1507" i="1"/>
  <c r="G1506" i="1"/>
  <c r="H1506" i="1" s="1"/>
  <c r="I1506" i="1" s="1"/>
  <c r="G1505" i="1"/>
  <c r="G1504" i="1"/>
  <c r="G1503" i="1"/>
  <c r="G1502" i="1"/>
  <c r="H1503" i="1" s="1"/>
  <c r="G1501" i="1"/>
  <c r="G1500" i="1"/>
  <c r="H1501" i="1" s="1"/>
  <c r="G1499" i="1"/>
  <c r="G1498" i="1"/>
  <c r="G1497" i="1"/>
  <c r="G1496" i="1"/>
  <c r="G1495" i="1"/>
  <c r="G1494" i="1"/>
  <c r="G1493" i="1"/>
  <c r="G1492" i="1"/>
  <c r="H1492" i="1" s="1"/>
  <c r="I1492" i="1" s="1"/>
  <c r="G1491" i="1"/>
  <c r="G1490" i="1"/>
  <c r="G1489" i="1"/>
  <c r="G1488" i="1"/>
  <c r="H1489" i="1" s="1"/>
  <c r="I1489" i="1" s="1"/>
  <c r="G1487" i="1"/>
  <c r="G1486" i="1"/>
  <c r="G1485" i="1"/>
  <c r="G1484" i="1"/>
  <c r="G1483" i="1"/>
  <c r="G1482" i="1"/>
  <c r="G1481" i="1"/>
  <c r="G1480" i="1"/>
  <c r="G1479" i="1"/>
  <c r="G1478" i="1"/>
  <c r="H1478" i="1" s="1"/>
  <c r="I1478" i="1" s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H1464" i="1" s="1"/>
  <c r="I1464" i="1" s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H1450" i="1" s="1"/>
  <c r="I1450" i="1" s="1"/>
  <c r="G1449" i="1"/>
  <c r="G1448" i="1"/>
  <c r="G1447" i="1"/>
  <c r="G1446" i="1"/>
  <c r="H1447" i="1" s="1"/>
  <c r="I1447" i="1" s="1"/>
  <c r="G1445" i="1"/>
  <c r="G1444" i="1"/>
  <c r="G1443" i="1"/>
  <c r="G1442" i="1"/>
  <c r="G1441" i="1"/>
  <c r="G1440" i="1"/>
  <c r="G1439" i="1"/>
  <c r="G1438" i="1"/>
  <c r="G1437" i="1"/>
  <c r="G1436" i="1"/>
  <c r="H1436" i="1" s="1"/>
  <c r="I1436" i="1" s="1"/>
  <c r="G1435" i="1"/>
  <c r="G1434" i="1"/>
  <c r="G1433" i="1"/>
  <c r="G1432" i="1"/>
  <c r="H1433" i="1" s="1"/>
  <c r="G1431" i="1"/>
  <c r="G1430" i="1"/>
  <c r="H1430" i="1" s="1"/>
  <c r="I1430" i="1" s="1"/>
  <c r="G1429" i="1"/>
  <c r="G1428" i="1"/>
  <c r="H1429" i="1" s="1"/>
  <c r="I1429" i="1" s="1"/>
  <c r="G1427" i="1"/>
  <c r="G1426" i="1"/>
  <c r="G1425" i="1"/>
  <c r="G1424" i="1"/>
  <c r="G1423" i="1"/>
  <c r="G1422" i="1"/>
  <c r="H1422" i="1" s="1"/>
  <c r="I1422" i="1" s="1"/>
  <c r="G1421" i="1"/>
  <c r="G1420" i="1"/>
  <c r="G1419" i="1"/>
  <c r="G1418" i="1"/>
  <c r="G1417" i="1"/>
  <c r="G1416" i="1"/>
  <c r="H1416" i="1" s="1"/>
  <c r="G1415" i="1"/>
  <c r="G1414" i="1"/>
  <c r="G1413" i="1"/>
  <c r="G1412" i="1"/>
  <c r="G1411" i="1"/>
  <c r="G1410" i="1"/>
  <c r="G1409" i="1"/>
  <c r="G1408" i="1"/>
  <c r="H1408" i="1" s="1"/>
  <c r="I1408" i="1" s="1"/>
  <c r="G1407" i="1"/>
  <c r="G1406" i="1"/>
  <c r="G1405" i="1"/>
  <c r="G1404" i="1"/>
  <c r="H1405" i="1" s="1"/>
  <c r="G1403" i="1"/>
  <c r="G1402" i="1"/>
  <c r="H1403" i="1" s="1"/>
  <c r="I1403" i="1" s="1"/>
  <c r="G1401" i="1"/>
  <c r="G1400" i="1"/>
  <c r="H1401" i="1" s="1"/>
  <c r="I1401" i="1" s="1"/>
  <c r="G1399" i="1"/>
  <c r="G1398" i="1"/>
  <c r="G1397" i="1"/>
  <c r="G1396" i="1"/>
  <c r="G1395" i="1"/>
  <c r="G1394" i="1"/>
  <c r="H1394" i="1" s="1"/>
  <c r="I1394" i="1" s="1"/>
  <c r="G1393" i="1"/>
  <c r="G1392" i="1"/>
  <c r="G1391" i="1"/>
  <c r="G1390" i="1"/>
  <c r="H1390" i="1" s="1"/>
  <c r="I1390" i="1" s="1"/>
  <c r="G1389" i="1"/>
  <c r="G1388" i="1"/>
  <c r="G1387" i="1"/>
  <c r="G1386" i="1"/>
  <c r="G1385" i="1"/>
  <c r="G1384" i="1"/>
  <c r="G1383" i="1"/>
  <c r="G1382" i="1"/>
  <c r="G1381" i="1"/>
  <c r="G1380" i="1"/>
  <c r="H1380" i="1" s="1"/>
  <c r="I1380" i="1" s="1"/>
  <c r="G1379" i="1"/>
  <c r="G1378" i="1"/>
  <c r="G1377" i="1"/>
  <c r="G1376" i="1"/>
  <c r="H1376" i="1" s="1"/>
  <c r="G1375" i="1"/>
  <c r="G1374" i="1"/>
  <c r="G1373" i="1"/>
  <c r="G1372" i="1"/>
  <c r="G1371" i="1"/>
  <c r="G1370" i="1"/>
  <c r="G1369" i="1"/>
  <c r="G1368" i="1"/>
  <c r="G1367" i="1"/>
  <c r="G1366" i="1"/>
  <c r="H1366" i="1" s="1"/>
  <c r="I1366" i="1" s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H1352" i="1" s="1"/>
  <c r="I1352" i="1" s="1"/>
  <c r="G1351" i="1"/>
  <c r="G1350" i="1"/>
  <c r="G1349" i="1"/>
  <c r="G1348" i="1"/>
  <c r="H1348" i="1" s="1"/>
  <c r="I1348" i="1" s="1"/>
  <c r="G1347" i="1"/>
  <c r="G1346" i="1"/>
  <c r="H1347" i="1" s="1"/>
  <c r="G1345" i="1"/>
  <c r="G1344" i="1"/>
  <c r="G1343" i="1"/>
  <c r="G1342" i="1"/>
  <c r="G1341" i="1"/>
  <c r="G1340" i="1"/>
  <c r="G1339" i="1"/>
  <c r="G1338" i="1"/>
  <c r="H1338" i="1" s="1"/>
  <c r="I1338" i="1" s="1"/>
  <c r="G1337" i="1"/>
  <c r="G1336" i="1"/>
  <c r="G1335" i="1"/>
  <c r="G1334" i="1"/>
  <c r="H1335" i="1" s="1"/>
  <c r="G1333" i="1"/>
  <c r="G1332" i="1"/>
  <c r="H1332" i="1" s="1"/>
  <c r="G1331" i="1"/>
  <c r="G1330" i="1"/>
  <c r="G1329" i="1"/>
  <c r="G1328" i="1"/>
  <c r="G1327" i="1"/>
  <c r="G1326" i="1"/>
  <c r="G1325" i="1"/>
  <c r="G1324" i="1"/>
  <c r="H1324" i="1" s="1"/>
  <c r="I1324" i="1" s="1"/>
  <c r="G1323" i="1"/>
  <c r="G1322" i="1"/>
  <c r="G1321" i="1"/>
  <c r="G1320" i="1"/>
  <c r="G1319" i="1"/>
  <c r="G1318" i="1"/>
  <c r="H1318" i="1" s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H1296" i="1" s="1"/>
  <c r="I1296" i="1" s="1"/>
  <c r="G1295" i="1"/>
  <c r="G1294" i="1"/>
  <c r="G1293" i="1"/>
  <c r="G1292" i="1"/>
  <c r="H1293" i="1" s="1"/>
  <c r="G1291" i="1"/>
  <c r="G1290" i="1"/>
  <c r="H1291" i="1" s="1"/>
  <c r="G1289" i="1"/>
  <c r="G1288" i="1"/>
  <c r="H1289" i="1" s="1"/>
  <c r="I1289" i="1" s="1"/>
  <c r="G1287" i="1"/>
  <c r="G1286" i="1"/>
  <c r="G1285" i="1"/>
  <c r="H1286" i="1" s="1"/>
  <c r="I1286" i="1" s="1"/>
  <c r="G1284" i="1"/>
  <c r="G1283" i="1"/>
  <c r="G1282" i="1"/>
  <c r="H1282" i="1" s="1"/>
  <c r="I1282" i="1" s="1"/>
  <c r="G1281" i="1"/>
  <c r="G1280" i="1"/>
  <c r="G1279" i="1"/>
  <c r="G1278" i="1"/>
  <c r="H1278" i="1" s="1"/>
  <c r="G1277" i="1"/>
  <c r="G1276" i="1"/>
  <c r="G1275" i="1"/>
  <c r="G1274" i="1"/>
  <c r="G1273" i="1"/>
  <c r="G1272" i="1"/>
  <c r="G1271" i="1"/>
  <c r="G1270" i="1"/>
  <c r="G1269" i="1"/>
  <c r="G1268" i="1"/>
  <c r="H1268" i="1" s="1"/>
  <c r="I1268" i="1" s="1"/>
  <c r="G1267" i="1"/>
  <c r="G1266" i="1"/>
  <c r="G1265" i="1"/>
  <c r="G1264" i="1"/>
  <c r="H1264" i="1" s="1"/>
  <c r="G1263" i="1"/>
  <c r="G1262" i="1"/>
  <c r="G1261" i="1"/>
  <c r="G1260" i="1"/>
  <c r="G1259" i="1"/>
  <c r="G1258" i="1"/>
  <c r="G1257" i="1"/>
  <c r="G1256" i="1"/>
  <c r="G1255" i="1"/>
  <c r="G1254" i="1"/>
  <c r="H1254" i="1" s="1"/>
  <c r="I1254" i="1" s="1"/>
  <c r="G1253" i="1"/>
  <c r="G1252" i="1"/>
  <c r="G1251" i="1"/>
  <c r="G1250" i="1"/>
  <c r="H1251" i="1" s="1"/>
  <c r="I1251" i="1" s="1"/>
  <c r="G1249" i="1"/>
  <c r="G1248" i="1"/>
  <c r="G1247" i="1"/>
  <c r="G1246" i="1"/>
  <c r="G1245" i="1"/>
  <c r="G1244" i="1"/>
  <c r="G1243" i="1"/>
  <c r="G1242" i="1"/>
  <c r="G1241" i="1"/>
  <c r="G1240" i="1"/>
  <c r="H1240" i="1" s="1"/>
  <c r="I1240" i="1" s="1"/>
  <c r="G1239" i="1"/>
  <c r="G1238" i="1"/>
  <c r="G1237" i="1"/>
  <c r="G1236" i="1"/>
  <c r="H1237" i="1" s="1"/>
  <c r="G1235" i="1"/>
  <c r="G1234" i="1"/>
  <c r="H1234" i="1" s="1"/>
  <c r="I1234" i="1" s="1"/>
  <c r="G1233" i="1"/>
  <c r="G1232" i="1"/>
  <c r="G1231" i="1"/>
  <c r="G1230" i="1"/>
  <c r="G1229" i="1"/>
  <c r="G1228" i="1"/>
  <c r="G1227" i="1"/>
  <c r="G1226" i="1"/>
  <c r="H1226" i="1" s="1"/>
  <c r="I1226" i="1" s="1"/>
  <c r="G1225" i="1"/>
  <c r="G1224" i="1"/>
  <c r="G1223" i="1"/>
  <c r="G1222" i="1"/>
  <c r="G1221" i="1"/>
  <c r="G1220" i="1"/>
  <c r="H1221" i="1" s="1"/>
  <c r="G1219" i="1"/>
  <c r="G1218" i="1"/>
  <c r="H1219" i="1" s="1"/>
  <c r="I1219" i="1" s="1"/>
  <c r="G1217" i="1"/>
  <c r="G1216" i="1"/>
  <c r="G1215" i="1"/>
  <c r="G1214" i="1"/>
  <c r="G1213" i="1"/>
  <c r="G1212" i="1"/>
  <c r="H1212" i="1" s="1"/>
  <c r="I1212" i="1" s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H1198" i="1" s="1"/>
  <c r="I1198" i="1" s="1"/>
  <c r="G1197" i="1"/>
  <c r="G1196" i="1"/>
  <c r="G1195" i="1"/>
  <c r="G1194" i="1"/>
  <c r="H1194" i="1" s="1"/>
  <c r="I1194" i="1" s="1"/>
  <c r="G1193" i="1"/>
  <c r="G1192" i="1"/>
  <c r="H1192" i="1" s="1"/>
  <c r="G1191" i="1"/>
  <c r="G1190" i="1"/>
  <c r="G1189" i="1"/>
  <c r="G1188" i="1"/>
  <c r="G1187" i="1"/>
  <c r="G1186" i="1"/>
  <c r="G1185" i="1"/>
  <c r="G1184" i="1"/>
  <c r="H1184" i="1" s="1"/>
  <c r="I1184" i="1" s="1"/>
  <c r="G1183" i="1"/>
  <c r="G1182" i="1"/>
  <c r="G1181" i="1"/>
  <c r="G1180" i="1"/>
  <c r="H1180" i="1" s="1"/>
  <c r="G1179" i="1"/>
  <c r="G1178" i="1"/>
  <c r="H1179" i="1" s="1"/>
  <c r="G1177" i="1"/>
  <c r="G1176" i="1"/>
  <c r="G1175" i="1"/>
  <c r="G1174" i="1"/>
  <c r="G1173" i="1"/>
  <c r="G1172" i="1"/>
  <c r="G1171" i="1"/>
  <c r="G1170" i="1"/>
  <c r="H1170" i="1" s="1"/>
  <c r="I1170" i="1" s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H1156" i="1" s="1"/>
  <c r="I1156" i="1" s="1"/>
  <c r="G1155" i="1"/>
  <c r="G1154" i="1"/>
  <c r="G1153" i="1"/>
  <c r="G1152" i="1"/>
  <c r="H1152" i="1" s="1"/>
  <c r="G1151" i="1"/>
  <c r="G1150" i="1"/>
  <c r="G1149" i="1"/>
  <c r="G1148" i="1"/>
  <c r="G1147" i="1"/>
  <c r="G1146" i="1"/>
  <c r="G1145" i="1"/>
  <c r="G1144" i="1"/>
  <c r="G1143" i="1"/>
  <c r="G1142" i="1"/>
  <c r="H1142" i="1" s="1"/>
  <c r="I1142" i="1" s="1"/>
  <c r="G1141" i="1"/>
  <c r="G1140" i="1"/>
  <c r="G1139" i="1"/>
  <c r="G1138" i="1"/>
  <c r="H1139" i="1" s="1"/>
  <c r="I1139" i="1" s="1"/>
  <c r="G1137" i="1"/>
  <c r="G1136" i="1"/>
  <c r="H1137" i="1" s="1"/>
  <c r="G1135" i="1"/>
  <c r="G1134" i="1"/>
  <c r="G1133" i="1"/>
  <c r="G1132" i="1"/>
  <c r="G1131" i="1"/>
  <c r="G1130" i="1"/>
  <c r="G1129" i="1"/>
  <c r="G1128" i="1"/>
  <c r="H1128" i="1" s="1"/>
  <c r="I1128" i="1" s="1"/>
  <c r="G1127" i="1"/>
  <c r="G1126" i="1"/>
  <c r="G1125" i="1"/>
  <c r="G1124" i="1"/>
  <c r="H1125" i="1" s="1"/>
  <c r="I1125" i="1" s="1"/>
  <c r="G1123" i="1"/>
  <c r="G1122" i="1"/>
  <c r="G1121" i="1"/>
  <c r="G1120" i="1"/>
  <c r="G1119" i="1"/>
  <c r="G1118" i="1"/>
  <c r="G1117" i="1"/>
  <c r="G1116" i="1"/>
  <c r="G1115" i="1"/>
  <c r="G1114" i="1"/>
  <c r="H1114" i="1" s="1"/>
  <c r="I1114" i="1" s="1"/>
  <c r="G1113" i="1"/>
  <c r="G1112" i="1"/>
  <c r="G1111" i="1"/>
  <c r="G1110" i="1"/>
  <c r="H1110" i="1" s="1"/>
  <c r="G1109" i="1"/>
  <c r="G1108" i="1"/>
  <c r="H1109" i="1" s="1"/>
  <c r="G1107" i="1"/>
  <c r="G1106" i="1"/>
  <c r="G1105" i="1"/>
  <c r="G1104" i="1"/>
  <c r="G1103" i="1"/>
  <c r="G1102" i="1"/>
  <c r="G1101" i="1"/>
  <c r="G1100" i="1"/>
  <c r="H1100" i="1" s="1"/>
  <c r="I1100" i="1" s="1"/>
  <c r="G1099" i="1"/>
  <c r="G1098" i="1"/>
  <c r="G1097" i="1"/>
  <c r="G1096" i="1"/>
  <c r="H1096" i="1" s="1"/>
  <c r="G1095" i="1"/>
  <c r="G1094" i="1"/>
  <c r="G1093" i="1"/>
  <c r="G1092" i="1"/>
  <c r="G1091" i="1"/>
  <c r="G1090" i="1"/>
  <c r="G1089" i="1"/>
  <c r="G1088" i="1"/>
  <c r="G1087" i="1"/>
  <c r="G1086" i="1"/>
  <c r="H1086" i="1" s="1"/>
  <c r="I1086" i="1" s="1"/>
  <c r="G1085" i="1"/>
  <c r="G1084" i="1"/>
  <c r="G1083" i="1"/>
  <c r="G1082" i="1"/>
  <c r="G1081" i="1"/>
  <c r="G1080" i="1"/>
  <c r="H1080" i="1" s="1"/>
  <c r="I1080" i="1" s="1"/>
  <c r="G1079" i="1"/>
  <c r="G1078" i="1"/>
  <c r="G1077" i="1"/>
  <c r="G1076" i="1"/>
  <c r="G1075" i="1"/>
  <c r="G1074" i="1"/>
  <c r="G1073" i="1"/>
  <c r="G1072" i="1"/>
  <c r="H1072" i="1" s="1"/>
  <c r="I1072" i="1" s="1"/>
  <c r="G1071" i="1"/>
  <c r="G1070" i="1"/>
  <c r="G1069" i="1"/>
  <c r="G1068" i="1"/>
  <c r="H1068" i="1" s="1"/>
  <c r="G1067" i="1"/>
  <c r="G1066" i="1"/>
  <c r="H1067" i="1" s="1"/>
  <c r="I1067" i="1" s="1"/>
  <c r="G1065" i="1"/>
  <c r="G1064" i="1"/>
  <c r="G1063" i="1"/>
  <c r="G1062" i="1"/>
  <c r="G1061" i="1"/>
  <c r="G1060" i="1"/>
  <c r="G1059" i="1"/>
  <c r="G1058" i="1"/>
  <c r="H1058" i="1" s="1"/>
  <c r="I1058" i="1" s="1"/>
  <c r="G1057" i="1"/>
  <c r="G1056" i="1"/>
  <c r="G1055" i="1"/>
  <c r="G1054" i="1"/>
  <c r="H1055" i="1" s="1"/>
  <c r="G1053" i="1"/>
  <c r="G1052" i="1"/>
  <c r="H1053" i="1" s="1"/>
  <c r="I1053" i="1" s="1"/>
  <c r="G1051" i="1"/>
  <c r="G1050" i="1"/>
  <c r="G1049" i="1"/>
  <c r="G1048" i="1"/>
  <c r="G1047" i="1"/>
  <c r="G1046" i="1"/>
  <c r="G1045" i="1"/>
  <c r="G1044" i="1"/>
  <c r="H1044" i="1" s="1"/>
  <c r="I1044" i="1" s="1"/>
  <c r="G1043" i="1"/>
  <c r="G1042" i="1"/>
  <c r="G1041" i="1"/>
  <c r="G1040" i="1"/>
  <c r="H1041" i="1" s="1"/>
  <c r="G1039" i="1"/>
  <c r="G1038" i="1"/>
  <c r="H1039" i="1" s="1"/>
  <c r="G1037" i="1"/>
  <c r="G1036" i="1"/>
  <c r="G1035" i="1"/>
  <c r="G1034" i="1"/>
  <c r="G1033" i="1"/>
  <c r="G1032" i="1"/>
  <c r="G1031" i="1"/>
  <c r="G1030" i="1"/>
  <c r="H1030" i="1" s="1"/>
  <c r="I1030" i="1" s="1"/>
  <c r="G1029" i="1"/>
  <c r="G1028" i="1"/>
  <c r="G1027" i="1"/>
  <c r="G1026" i="1"/>
  <c r="H1026" i="1" s="1"/>
  <c r="I1026" i="1" s="1"/>
  <c r="G1025" i="1"/>
  <c r="G1024" i="1"/>
  <c r="H1024" i="1" s="1"/>
  <c r="G1023" i="1"/>
  <c r="G1022" i="1"/>
  <c r="G1021" i="1"/>
  <c r="G1020" i="1"/>
  <c r="G1019" i="1"/>
  <c r="G1018" i="1"/>
  <c r="G1017" i="1"/>
  <c r="G1016" i="1"/>
  <c r="H1016" i="1" s="1"/>
  <c r="I1016" i="1" s="1"/>
  <c r="G1015" i="1"/>
  <c r="G1014" i="1"/>
  <c r="G1013" i="1"/>
  <c r="G1012" i="1"/>
  <c r="H1013" i="1" s="1"/>
  <c r="G1011" i="1"/>
  <c r="G1010" i="1"/>
  <c r="G1009" i="1"/>
  <c r="G1008" i="1"/>
  <c r="G1007" i="1"/>
  <c r="G1006" i="1"/>
  <c r="G1005" i="1"/>
  <c r="G1004" i="1"/>
  <c r="G1003" i="1"/>
  <c r="G1002" i="1"/>
  <c r="H1002" i="1" s="1"/>
  <c r="I1002" i="1" s="1"/>
  <c r="G1001" i="1"/>
  <c r="G1000" i="1"/>
  <c r="G999" i="1"/>
  <c r="G998" i="1"/>
  <c r="H998" i="1" s="1"/>
  <c r="G997" i="1"/>
  <c r="G996" i="1"/>
  <c r="G995" i="1"/>
  <c r="G994" i="1"/>
  <c r="G993" i="1"/>
  <c r="H993" i="1" s="1"/>
  <c r="I993" i="1" s="1"/>
  <c r="G992" i="1"/>
  <c r="G991" i="1"/>
  <c r="G990" i="1"/>
  <c r="G989" i="1"/>
  <c r="G988" i="1"/>
  <c r="H988" i="1" s="1"/>
  <c r="I988" i="1" s="1"/>
  <c r="G987" i="1"/>
  <c r="G986" i="1"/>
  <c r="G985" i="1"/>
  <c r="G984" i="1"/>
  <c r="H984" i="1" s="1"/>
  <c r="I984" i="1" s="1"/>
  <c r="G983" i="1"/>
  <c r="G982" i="1"/>
  <c r="H982" i="1" s="1"/>
  <c r="G981" i="1"/>
  <c r="G980" i="1"/>
  <c r="H981" i="1" s="1"/>
  <c r="I981" i="1" s="1"/>
  <c r="G979" i="1"/>
  <c r="G978" i="1"/>
  <c r="G977" i="1"/>
  <c r="G976" i="1"/>
  <c r="G975" i="1"/>
  <c r="G974" i="1"/>
  <c r="H974" i="1" s="1"/>
  <c r="I974" i="1" s="1"/>
  <c r="G973" i="1"/>
  <c r="G972" i="1"/>
  <c r="G971" i="1"/>
  <c r="G970" i="1"/>
  <c r="H970" i="1" s="1"/>
  <c r="G969" i="1"/>
  <c r="G968" i="1"/>
  <c r="G967" i="1"/>
  <c r="G966" i="1"/>
  <c r="G965" i="1"/>
  <c r="G964" i="1"/>
  <c r="G963" i="1"/>
  <c r="G962" i="1"/>
  <c r="G961" i="1"/>
  <c r="G960" i="1"/>
  <c r="H960" i="1" s="1"/>
  <c r="I960" i="1" s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H946" i="1" s="1"/>
  <c r="I946" i="1" s="1"/>
  <c r="G945" i="1"/>
  <c r="G944" i="1"/>
  <c r="G943" i="1"/>
  <c r="G942" i="1"/>
  <c r="H942" i="1" s="1"/>
  <c r="I942" i="1" s="1"/>
  <c r="G941" i="1"/>
  <c r="G940" i="1"/>
  <c r="H940" i="1" s="1"/>
  <c r="G939" i="1"/>
  <c r="G938" i="1"/>
  <c r="H939" i="1" s="1"/>
  <c r="I939" i="1" s="1"/>
  <c r="G937" i="1"/>
  <c r="G936" i="1"/>
  <c r="G935" i="1"/>
  <c r="G934" i="1"/>
  <c r="G933" i="1"/>
  <c r="G932" i="1"/>
  <c r="H932" i="1" s="1"/>
  <c r="I932" i="1" s="1"/>
  <c r="G931" i="1"/>
  <c r="G930" i="1"/>
  <c r="G929" i="1"/>
  <c r="G928" i="1"/>
  <c r="H929" i="1" s="1"/>
  <c r="G927" i="1"/>
  <c r="G926" i="1"/>
  <c r="H927" i="1" s="1"/>
  <c r="I927" i="1" s="1"/>
  <c r="G925" i="1"/>
  <c r="G924" i="1"/>
  <c r="G923" i="1"/>
  <c r="G922" i="1"/>
  <c r="G921" i="1"/>
  <c r="G920" i="1"/>
  <c r="G919" i="1"/>
  <c r="G918" i="1"/>
  <c r="H918" i="1" s="1"/>
  <c r="I918" i="1" s="1"/>
  <c r="G917" i="1"/>
  <c r="G916" i="1"/>
  <c r="G915" i="1"/>
  <c r="G914" i="1"/>
  <c r="G913" i="1"/>
  <c r="G912" i="1"/>
  <c r="H912" i="1" s="1"/>
  <c r="G911" i="1"/>
  <c r="G910" i="1"/>
  <c r="G909" i="1"/>
  <c r="G908" i="1"/>
  <c r="G907" i="1"/>
  <c r="G906" i="1"/>
  <c r="G905" i="1"/>
  <c r="G904" i="1"/>
  <c r="H904" i="1" s="1"/>
  <c r="I904" i="1" s="1"/>
  <c r="G903" i="1"/>
  <c r="G902" i="1"/>
  <c r="G901" i="1"/>
  <c r="G900" i="1"/>
  <c r="G899" i="1"/>
  <c r="G898" i="1"/>
  <c r="H899" i="1" s="1"/>
  <c r="G897" i="1"/>
  <c r="G896" i="1"/>
  <c r="G895" i="1"/>
  <c r="G894" i="1"/>
  <c r="G893" i="1"/>
  <c r="G892" i="1"/>
  <c r="G891" i="1"/>
  <c r="G890" i="1"/>
  <c r="H890" i="1" s="1"/>
  <c r="I890" i="1" s="1"/>
  <c r="G889" i="1"/>
  <c r="G888" i="1"/>
  <c r="G887" i="1"/>
  <c r="G886" i="1"/>
  <c r="H887" i="1" s="1"/>
  <c r="I887" i="1" s="1"/>
  <c r="G885" i="1"/>
  <c r="G884" i="1"/>
  <c r="H885" i="1" s="1"/>
  <c r="I885" i="1" s="1"/>
  <c r="G883" i="1"/>
  <c r="G882" i="1"/>
  <c r="G881" i="1"/>
  <c r="G880" i="1"/>
  <c r="G879" i="1"/>
  <c r="G878" i="1"/>
  <c r="G877" i="1"/>
  <c r="G876" i="1"/>
  <c r="H876" i="1" s="1"/>
  <c r="I876" i="1" s="1"/>
  <c r="G875" i="1"/>
  <c r="G874" i="1"/>
  <c r="G873" i="1"/>
  <c r="G872" i="1"/>
  <c r="G871" i="1"/>
  <c r="G870" i="1"/>
  <c r="H870" i="1" s="1"/>
  <c r="I870" i="1" s="1"/>
  <c r="G869" i="1"/>
  <c r="G868" i="1"/>
  <c r="G867" i="1"/>
  <c r="G866" i="1"/>
  <c r="G865" i="1"/>
  <c r="G864" i="1"/>
  <c r="G863" i="1"/>
  <c r="G862" i="1"/>
  <c r="H862" i="1" s="1"/>
  <c r="I862" i="1" s="1"/>
  <c r="G861" i="1"/>
  <c r="G860" i="1"/>
  <c r="G859" i="1"/>
  <c r="G858" i="1"/>
  <c r="H858" i="1" s="1"/>
  <c r="G857" i="1"/>
  <c r="G856" i="1"/>
  <c r="H857" i="1" s="1"/>
  <c r="I857" i="1" s="1"/>
  <c r="G855" i="1"/>
  <c r="G854" i="1"/>
  <c r="G853" i="1"/>
  <c r="G852" i="1"/>
  <c r="G851" i="1"/>
  <c r="G850" i="1"/>
  <c r="G849" i="1"/>
  <c r="G848" i="1"/>
  <c r="H848" i="1" s="1"/>
  <c r="I848" i="1" s="1"/>
  <c r="G847" i="1"/>
  <c r="G846" i="1"/>
  <c r="G845" i="1"/>
  <c r="G844" i="1"/>
  <c r="H844" i="1" s="1"/>
  <c r="I844" i="1" s="1"/>
  <c r="G843" i="1"/>
  <c r="G842" i="1"/>
  <c r="G841" i="1"/>
  <c r="G840" i="1"/>
  <c r="G839" i="1"/>
  <c r="G838" i="1"/>
  <c r="G837" i="1"/>
  <c r="G836" i="1"/>
  <c r="G835" i="1"/>
  <c r="G834" i="1"/>
  <c r="H834" i="1" s="1"/>
  <c r="I834" i="1" s="1"/>
  <c r="G833" i="1"/>
  <c r="G832" i="1"/>
  <c r="G831" i="1"/>
  <c r="G830" i="1"/>
  <c r="G829" i="1"/>
  <c r="G828" i="1"/>
  <c r="H829" i="1" s="1"/>
  <c r="G827" i="1"/>
  <c r="G826" i="1"/>
  <c r="G825" i="1"/>
  <c r="G824" i="1"/>
  <c r="G823" i="1"/>
  <c r="G822" i="1"/>
  <c r="G821" i="1"/>
  <c r="G820" i="1"/>
  <c r="H820" i="1" s="1"/>
  <c r="I820" i="1" s="1"/>
  <c r="G819" i="1"/>
  <c r="G818" i="1"/>
  <c r="G817" i="1"/>
  <c r="G816" i="1"/>
  <c r="H817" i="1" s="1"/>
  <c r="G815" i="1"/>
  <c r="G814" i="1"/>
  <c r="H814" i="1" s="1"/>
  <c r="I814" i="1" s="1"/>
  <c r="G813" i="1"/>
  <c r="G812" i="1"/>
  <c r="G811" i="1"/>
  <c r="G810" i="1"/>
  <c r="G809" i="1"/>
  <c r="G808" i="1"/>
  <c r="G807" i="1"/>
  <c r="G806" i="1"/>
  <c r="H806" i="1" s="1"/>
  <c r="I806" i="1" s="1"/>
  <c r="G805" i="1"/>
  <c r="G804" i="1"/>
  <c r="G803" i="1"/>
  <c r="G802" i="1"/>
  <c r="H803" i="1" s="1"/>
  <c r="I803" i="1" s="1"/>
  <c r="G801" i="1"/>
  <c r="G800" i="1"/>
  <c r="H801" i="1" s="1"/>
  <c r="I801" i="1" s="1"/>
  <c r="G799" i="1"/>
  <c r="G798" i="1"/>
  <c r="H799" i="1" s="1"/>
  <c r="I799" i="1" s="1"/>
  <c r="G797" i="1"/>
  <c r="G796" i="1"/>
  <c r="G795" i="1"/>
  <c r="G794" i="1"/>
  <c r="G793" i="1"/>
  <c r="G792" i="1"/>
  <c r="H792" i="1" s="1"/>
  <c r="I792" i="1" s="1"/>
  <c r="G791" i="1"/>
  <c r="G790" i="1"/>
  <c r="G789" i="1"/>
  <c r="G788" i="1"/>
  <c r="H789" i="1" s="1"/>
  <c r="G787" i="1"/>
  <c r="G786" i="1"/>
  <c r="H787" i="1" s="1"/>
  <c r="G785" i="1"/>
  <c r="G784" i="1"/>
  <c r="G783" i="1"/>
  <c r="G782" i="1"/>
  <c r="G781" i="1"/>
  <c r="G780" i="1"/>
  <c r="G779" i="1"/>
  <c r="G778" i="1"/>
  <c r="H778" i="1" s="1"/>
  <c r="I778" i="1" s="1"/>
  <c r="G777" i="1"/>
  <c r="G776" i="1"/>
  <c r="G775" i="1"/>
  <c r="G774" i="1"/>
  <c r="G773" i="1"/>
  <c r="G772" i="1"/>
  <c r="H772" i="1" s="1"/>
  <c r="G771" i="1"/>
  <c r="G770" i="1"/>
  <c r="G769" i="1"/>
  <c r="H769" i="1" s="1"/>
  <c r="I769" i="1" s="1"/>
  <c r="G768" i="1"/>
  <c r="G767" i="1"/>
  <c r="G766" i="1"/>
  <c r="G765" i="1"/>
  <c r="G764" i="1"/>
  <c r="H764" i="1" s="1"/>
  <c r="I764" i="1" s="1"/>
  <c r="G763" i="1"/>
  <c r="G762" i="1"/>
  <c r="G761" i="1"/>
  <c r="G760" i="1"/>
  <c r="H760" i="1" s="1"/>
  <c r="I760" i="1" s="1"/>
  <c r="G759" i="1"/>
  <c r="G758" i="1"/>
  <c r="H758" i="1" s="1"/>
  <c r="I758" i="1" s="1"/>
  <c r="G757" i="1"/>
  <c r="G756" i="1"/>
  <c r="G755" i="1"/>
  <c r="G754" i="1"/>
  <c r="G753" i="1"/>
  <c r="G752" i="1"/>
  <c r="G751" i="1"/>
  <c r="G750" i="1"/>
  <c r="H750" i="1" s="1"/>
  <c r="I750" i="1" s="1"/>
  <c r="G749" i="1"/>
  <c r="G748" i="1"/>
  <c r="G747" i="1"/>
  <c r="G746" i="1"/>
  <c r="G745" i="1"/>
  <c r="G744" i="1"/>
  <c r="G743" i="1"/>
  <c r="G742" i="1"/>
  <c r="H743" i="1" s="1"/>
  <c r="I743" i="1" s="1"/>
  <c r="G741" i="1"/>
  <c r="G740" i="1"/>
  <c r="G739" i="1"/>
  <c r="G738" i="1"/>
  <c r="G737" i="1"/>
  <c r="G736" i="1"/>
  <c r="H736" i="1" s="1"/>
  <c r="I736" i="1" s="1"/>
  <c r="G735" i="1"/>
  <c r="G734" i="1"/>
  <c r="G733" i="1"/>
  <c r="G732" i="1"/>
  <c r="H732" i="1" s="1"/>
  <c r="I732" i="1" s="1"/>
  <c r="G731" i="1"/>
  <c r="G730" i="1"/>
  <c r="H731" i="1" s="1"/>
  <c r="I731" i="1" s="1"/>
  <c r="G729" i="1"/>
  <c r="G728" i="1"/>
  <c r="G727" i="1"/>
  <c r="H727" i="1" s="1"/>
  <c r="I727" i="1" s="1"/>
  <c r="G726" i="1"/>
  <c r="G725" i="1"/>
  <c r="G724" i="1"/>
  <c r="G723" i="1"/>
  <c r="G722" i="1"/>
  <c r="H722" i="1" s="1"/>
  <c r="I722" i="1" s="1"/>
  <c r="G721" i="1"/>
  <c r="G720" i="1"/>
  <c r="G719" i="1"/>
  <c r="G718" i="1"/>
  <c r="H718" i="1" s="1"/>
  <c r="G717" i="1"/>
  <c r="G716" i="1"/>
  <c r="H716" i="1" s="1"/>
  <c r="G715" i="1"/>
  <c r="G714" i="1"/>
  <c r="G713" i="1"/>
  <c r="G712" i="1"/>
  <c r="G711" i="1"/>
  <c r="G710" i="1"/>
  <c r="G709" i="1"/>
  <c r="G708" i="1"/>
  <c r="H708" i="1" s="1"/>
  <c r="I708" i="1" s="1"/>
  <c r="G707" i="1"/>
  <c r="G706" i="1"/>
  <c r="G705" i="1"/>
  <c r="G704" i="1"/>
  <c r="G703" i="1"/>
  <c r="G702" i="1"/>
  <c r="H703" i="1" s="1"/>
  <c r="G701" i="1"/>
  <c r="G700" i="1"/>
  <c r="G699" i="1"/>
  <c r="G698" i="1"/>
  <c r="G697" i="1"/>
  <c r="G696" i="1"/>
  <c r="G695" i="1"/>
  <c r="G694" i="1"/>
  <c r="H694" i="1" s="1"/>
  <c r="I694" i="1" s="1"/>
  <c r="G693" i="1"/>
  <c r="G692" i="1"/>
  <c r="G691" i="1"/>
  <c r="G690" i="1"/>
  <c r="H690" i="1" s="1"/>
  <c r="I690" i="1" s="1"/>
  <c r="G689" i="1"/>
  <c r="G688" i="1"/>
  <c r="G687" i="1"/>
  <c r="G686" i="1"/>
  <c r="G685" i="1"/>
  <c r="G684" i="1"/>
  <c r="G683" i="1"/>
  <c r="G682" i="1"/>
  <c r="G681" i="1"/>
  <c r="G680" i="1"/>
  <c r="H680" i="1" s="1"/>
  <c r="I680" i="1" s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H666" i="1" s="1"/>
  <c r="I666" i="1" s="1"/>
  <c r="G665" i="1"/>
  <c r="G664" i="1"/>
  <c r="G663" i="1"/>
  <c r="G662" i="1"/>
  <c r="H663" i="1" s="1"/>
  <c r="I663" i="1" s="1"/>
  <c r="G661" i="1"/>
  <c r="G660" i="1"/>
  <c r="H661" i="1" s="1"/>
  <c r="I661" i="1" s="1"/>
  <c r="G659" i="1"/>
  <c r="G658" i="1"/>
  <c r="G657" i="1"/>
  <c r="G656" i="1"/>
  <c r="G655" i="1"/>
  <c r="G654" i="1"/>
  <c r="G653" i="1"/>
  <c r="G652" i="1"/>
  <c r="H652" i="1" s="1"/>
  <c r="I652" i="1" s="1"/>
  <c r="G651" i="1"/>
  <c r="G650" i="1"/>
  <c r="G649" i="1"/>
  <c r="G648" i="1"/>
  <c r="H649" i="1" s="1"/>
  <c r="G647" i="1"/>
  <c r="G646" i="1"/>
  <c r="G645" i="1"/>
  <c r="G644" i="1"/>
  <c r="H645" i="1" s="1"/>
  <c r="I645" i="1" s="1"/>
  <c r="G643" i="1"/>
  <c r="G642" i="1"/>
  <c r="G641" i="1"/>
  <c r="G640" i="1"/>
  <c r="G639" i="1"/>
  <c r="G638" i="1"/>
  <c r="H638" i="1" s="1"/>
  <c r="I638" i="1" s="1"/>
  <c r="G637" i="1"/>
  <c r="G636" i="1"/>
  <c r="G635" i="1"/>
  <c r="G634" i="1"/>
  <c r="G633" i="1"/>
  <c r="G632" i="1"/>
  <c r="H633" i="1" s="1"/>
  <c r="I633" i="1" s="1"/>
  <c r="G631" i="1"/>
  <c r="G630" i="1"/>
  <c r="H631" i="1" s="1"/>
  <c r="I631" i="1" s="1"/>
  <c r="G629" i="1"/>
  <c r="G628" i="1"/>
  <c r="G627" i="1"/>
  <c r="G626" i="1"/>
  <c r="G625" i="1"/>
  <c r="G624" i="1"/>
  <c r="H624" i="1" s="1"/>
  <c r="I624" i="1" s="1"/>
  <c r="G623" i="1"/>
  <c r="G622" i="1"/>
  <c r="G621" i="1"/>
  <c r="G620" i="1"/>
  <c r="H620" i="1" s="1"/>
  <c r="I620" i="1" s="1"/>
  <c r="G619" i="1"/>
  <c r="G618" i="1"/>
  <c r="H618" i="1" s="1"/>
  <c r="I618" i="1" s="1"/>
  <c r="G617" i="1"/>
  <c r="G616" i="1"/>
  <c r="G615" i="1"/>
  <c r="G614" i="1"/>
  <c r="G613" i="1"/>
  <c r="G612" i="1"/>
  <c r="G611" i="1"/>
  <c r="G610" i="1"/>
  <c r="H610" i="1" s="1"/>
  <c r="I610" i="1" s="1"/>
  <c r="G609" i="1"/>
  <c r="G608" i="1"/>
  <c r="G607" i="1"/>
  <c r="G606" i="1"/>
  <c r="H607" i="1" s="1"/>
  <c r="I607" i="1" s="1"/>
  <c r="G605" i="1"/>
  <c r="G604" i="1"/>
  <c r="G603" i="1"/>
  <c r="G602" i="1"/>
  <c r="H603" i="1" s="1"/>
  <c r="G601" i="1"/>
  <c r="G600" i="1"/>
  <c r="G599" i="1"/>
  <c r="G598" i="1"/>
  <c r="G597" i="1"/>
  <c r="G596" i="1"/>
  <c r="H596" i="1" s="1"/>
  <c r="I596" i="1" s="1"/>
  <c r="G595" i="1"/>
  <c r="G594" i="1"/>
  <c r="G593" i="1"/>
  <c r="G592" i="1"/>
  <c r="H593" i="1" s="1"/>
  <c r="G591" i="1"/>
  <c r="G590" i="1"/>
  <c r="H590" i="1" s="1"/>
  <c r="G589" i="1"/>
  <c r="G588" i="1"/>
  <c r="G587" i="1"/>
  <c r="G586" i="1"/>
  <c r="G585" i="1"/>
  <c r="G584" i="1"/>
  <c r="G583" i="1"/>
  <c r="G582" i="1"/>
  <c r="H582" i="1" s="1"/>
  <c r="I582" i="1" s="1"/>
  <c r="G581" i="1"/>
  <c r="G580" i="1"/>
  <c r="G579" i="1"/>
  <c r="G578" i="1"/>
  <c r="H579" i="1" s="1"/>
  <c r="I579" i="1" s="1"/>
  <c r="G577" i="1"/>
  <c r="G576" i="1"/>
  <c r="G575" i="1"/>
  <c r="G574" i="1"/>
  <c r="G573" i="1"/>
  <c r="G572" i="1"/>
  <c r="G571" i="1"/>
  <c r="G570" i="1"/>
  <c r="G569" i="1"/>
  <c r="G568" i="1"/>
  <c r="H568" i="1" s="1"/>
  <c r="I568" i="1" s="1"/>
  <c r="G567" i="1"/>
  <c r="G566" i="1"/>
  <c r="G565" i="1"/>
  <c r="G564" i="1"/>
  <c r="G563" i="1"/>
  <c r="G562" i="1"/>
  <c r="H562" i="1" s="1"/>
  <c r="G561" i="1"/>
  <c r="G560" i="1"/>
  <c r="G559" i="1"/>
  <c r="G558" i="1"/>
  <c r="G557" i="1"/>
  <c r="G556" i="1"/>
  <c r="G555" i="1"/>
  <c r="G554" i="1"/>
  <c r="H554" i="1" s="1"/>
  <c r="I554" i="1" s="1"/>
  <c r="G553" i="1"/>
  <c r="G552" i="1"/>
  <c r="G551" i="1"/>
  <c r="G550" i="1"/>
  <c r="H550" i="1" s="1"/>
  <c r="G549" i="1"/>
  <c r="G548" i="1"/>
  <c r="G547" i="1"/>
  <c r="G546" i="1"/>
  <c r="G545" i="1"/>
  <c r="G544" i="1"/>
  <c r="G543" i="1"/>
  <c r="G542" i="1"/>
  <c r="G541" i="1"/>
  <c r="G540" i="1"/>
  <c r="H540" i="1" s="1"/>
  <c r="I540" i="1" s="1"/>
  <c r="G539" i="1"/>
  <c r="G538" i="1"/>
  <c r="G537" i="1"/>
  <c r="G536" i="1"/>
  <c r="H536" i="1" s="1"/>
  <c r="G535" i="1"/>
  <c r="G534" i="1"/>
  <c r="G533" i="1"/>
  <c r="G532" i="1"/>
  <c r="G531" i="1"/>
  <c r="G530" i="1"/>
  <c r="G529" i="1"/>
  <c r="G528" i="1"/>
  <c r="G527" i="1"/>
  <c r="G526" i="1"/>
  <c r="H526" i="1" s="1"/>
  <c r="I526" i="1" s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H512" i="1" s="1"/>
  <c r="I512" i="1" s="1"/>
  <c r="G511" i="1"/>
  <c r="G510" i="1"/>
  <c r="G509" i="1"/>
  <c r="G508" i="1"/>
  <c r="H508" i="1" s="1"/>
  <c r="G507" i="1"/>
  <c r="G506" i="1"/>
  <c r="H506" i="1" s="1"/>
  <c r="G505" i="1"/>
  <c r="G504" i="1"/>
  <c r="G503" i="1"/>
  <c r="G502" i="1"/>
  <c r="G501" i="1"/>
  <c r="G500" i="1"/>
  <c r="G499" i="1"/>
  <c r="G498" i="1"/>
  <c r="H498" i="1" s="1"/>
  <c r="I498" i="1" s="1"/>
  <c r="G497" i="1"/>
  <c r="G496" i="1"/>
  <c r="G495" i="1"/>
  <c r="G494" i="1"/>
  <c r="H495" i="1" s="1"/>
  <c r="G493" i="1"/>
  <c r="G492" i="1"/>
  <c r="G491" i="1"/>
  <c r="G490" i="1"/>
  <c r="G489" i="1"/>
  <c r="G488" i="1"/>
  <c r="G487" i="1"/>
  <c r="G486" i="1"/>
  <c r="G485" i="1"/>
  <c r="G484" i="1"/>
  <c r="H484" i="1" s="1"/>
  <c r="I484" i="1" s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H470" i="1" s="1"/>
  <c r="I470" i="1" s="1"/>
  <c r="G469" i="1"/>
  <c r="G468" i="1"/>
  <c r="G467" i="1"/>
  <c r="G466" i="1"/>
  <c r="H467" i="1" s="1"/>
  <c r="I467" i="1" s="1"/>
  <c r="G465" i="1"/>
  <c r="G464" i="1"/>
  <c r="H465" i="1" s="1"/>
  <c r="G463" i="1"/>
  <c r="G462" i="1"/>
  <c r="G461" i="1"/>
  <c r="G460" i="1"/>
  <c r="G459" i="1"/>
  <c r="G458" i="1"/>
  <c r="G457" i="1"/>
  <c r="G456" i="1"/>
  <c r="H456" i="1" s="1"/>
  <c r="I456" i="1" s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H442" i="1" s="1"/>
  <c r="I442" i="1" s="1"/>
  <c r="G441" i="1"/>
  <c r="G440" i="1"/>
  <c r="G439" i="1"/>
  <c r="G438" i="1"/>
  <c r="H438" i="1" s="1"/>
  <c r="G437" i="1"/>
  <c r="G436" i="1"/>
  <c r="H437" i="1" s="1"/>
  <c r="I437" i="1" s="1"/>
  <c r="G435" i="1"/>
  <c r="G434" i="1"/>
  <c r="H435" i="1" s="1"/>
  <c r="I435" i="1" s="1"/>
  <c r="G433" i="1"/>
  <c r="G432" i="1"/>
  <c r="G431" i="1"/>
  <c r="G430" i="1"/>
  <c r="G429" i="1"/>
  <c r="G428" i="1"/>
  <c r="H428" i="1" s="1"/>
  <c r="I428" i="1" s="1"/>
  <c r="G427" i="1"/>
  <c r="G426" i="1"/>
  <c r="G425" i="1"/>
  <c r="G424" i="1"/>
  <c r="H425" i="1" s="1"/>
  <c r="G423" i="1"/>
  <c r="G422" i="1"/>
  <c r="G421" i="1"/>
  <c r="G420" i="1"/>
  <c r="G419" i="1"/>
  <c r="H419" i="1" s="1"/>
  <c r="I419" i="1" s="1"/>
  <c r="G418" i="1"/>
  <c r="G417" i="1"/>
  <c r="G416" i="1"/>
  <c r="G415" i="1"/>
  <c r="G414" i="1"/>
  <c r="H414" i="1" s="1"/>
  <c r="I414" i="1" s="1"/>
  <c r="G413" i="1"/>
  <c r="G412" i="1"/>
  <c r="G411" i="1"/>
  <c r="G410" i="1"/>
  <c r="H411" i="1" s="1"/>
  <c r="G409" i="1"/>
  <c r="G408" i="1"/>
  <c r="G407" i="1"/>
  <c r="G406" i="1"/>
  <c r="G405" i="1"/>
  <c r="G404" i="1"/>
  <c r="G403" i="1"/>
  <c r="G402" i="1"/>
  <c r="G401" i="1"/>
  <c r="G400" i="1"/>
  <c r="H400" i="1" s="1"/>
  <c r="I400" i="1" s="1"/>
  <c r="G399" i="1"/>
  <c r="G398" i="1"/>
  <c r="G397" i="1"/>
  <c r="G396" i="1"/>
  <c r="H397" i="1" s="1"/>
  <c r="G395" i="1"/>
  <c r="G394" i="1"/>
  <c r="H395" i="1" s="1"/>
  <c r="G393" i="1"/>
  <c r="G392" i="1"/>
  <c r="G391" i="1"/>
  <c r="G390" i="1"/>
  <c r="G389" i="1"/>
  <c r="G388" i="1"/>
  <c r="G387" i="1"/>
  <c r="G386" i="1"/>
  <c r="H386" i="1" s="1"/>
  <c r="I386" i="1" s="1"/>
  <c r="G385" i="1"/>
  <c r="G384" i="1"/>
  <c r="G383" i="1"/>
  <c r="G382" i="1"/>
  <c r="G381" i="1"/>
  <c r="G380" i="1"/>
  <c r="G379" i="1"/>
  <c r="G378" i="1"/>
  <c r="G377" i="1"/>
  <c r="H377" i="1" s="1"/>
  <c r="I377" i="1" s="1"/>
  <c r="G376" i="1"/>
  <c r="G375" i="1"/>
  <c r="G374" i="1"/>
  <c r="G373" i="1"/>
  <c r="G372" i="1"/>
  <c r="H372" i="1" s="1"/>
  <c r="I372" i="1" s="1"/>
  <c r="G371" i="1"/>
  <c r="G370" i="1"/>
  <c r="G369" i="1"/>
  <c r="G368" i="1"/>
  <c r="H369" i="1" s="1"/>
  <c r="I369" i="1" s="1"/>
  <c r="G367" i="1"/>
  <c r="G366" i="1"/>
  <c r="H366" i="1" s="1"/>
  <c r="G365" i="1"/>
  <c r="G364" i="1"/>
  <c r="G363" i="1"/>
  <c r="G362" i="1"/>
  <c r="G361" i="1"/>
  <c r="G360" i="1"/>
  <c r="G359" i="1"/>
  <c r="G358" i="1"/>
  <c r="H358" i="1" s="1"/>
  <c r="I358" i="1" s="1"/>
  <c r="G357" i="1"/>
  <c r="G356" i="1"/>
  <c r="G355" i="1"/>
  <c r="G354" i="1"/>
  <c r="H355" i="1" s="1"/>
  <c r="I355" i="1" s="1"/>
  <c r="G353" i="1"/>
  <c r="G352" i="1"/>
  <c r="H352" i="1" s="1"/>
  <c r="G351" i="1"/>
  <c r="G350" i="1"/>
  <c r="G349" i="1"/>
  <c r="G348" i="1"/>
  <c r="G347" i="1"/>
  <c r="G346" i="1"/>
  <c r="H346" i="1" s="1"/>
  <c r="I346" i="1" s="1"/>
  <c r="G345" i="1"/>
  <c r="G344" i="1"/>
  <c r="H344" i="1" s="1"/>
  <c r="I344" i="1" s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H330" i="1" s="1"/>
  <c r="I330" i="1" s="1"/>
  <c r="G329" i="1"/>
  <c r="H329" i="1" s="1"/>
  <c r="G328" i="1"/>
  <c r="G327" i="1"/>
  <c r="G326" i="1"/>
  <c r="H326" i="1" s="1"/>
  <c r="I326" i="1" s="1"/>
  <c r="G325" i="1"/>
  <c r="G324" i="1"/>
  <c r="H325" i="1" s="1"/>
  <c r="I325" i="1" s="1"/>
  <c r="G323" i="1"/>
  <c r="G322" i="1"/>
  <c r="G321" i="1"/>
  <c r="G320" i="1"/>
  <c r="G319" i="1"/>
  <c r="G318" i="1"/>
  <c r="G317" i="1"/>
  <c r="G316" i="1"/>
  <c r="H316" i="1" s="1"/>
  <c r="I316" i="1" s="1"/>
  <c r="G315" i="1"/>
  <c r="G314" i="1"/>
  <c r="G313" i="1"/>
  <c r="G312" i="1"/>
  <c r="H313" i="1" s="1"/>
  <c r="G311" i="1"/>
  <c r="G310" i="1"/>
  <c r="H310" i="1" s="1"/>
  <c r="G309" i="1"/>
  <c r="G308" i="1"/>
  <c r="G307" i="1"/>
  <c r="G306" i="1"/>
  <c r="G305" i="1"/>
  <c r="G304" i="1"/>
  <c r="G303" i="1"/>
  <c r="G302" i="1"/>
  <c r="H302" i="1" s="1"/>
  <c r="I302" i="1" s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H288" i="1" s="1"/>
  <c r="I288" i="1" s="1"/>
  <c r="G287" i="1"/>
  <c r="G286" i="1"/>
  <c r="G285" i="1"/>
  <c r="G284" i="1"/>
  <c r="H284" i="1" s="1"/>
  <c r="I284" i="1" s="1"/>
  <c r="G283" i="1"/>
  <c r="G282" i="1"/>
  <c r="H283" i="1" s="1"/>
  <c r="G281" i="1"/>
  <c r="G280" i="1"/>
  <c r="G279" i="1"/>
  <c r="G278" i="1"/>
  <c r="G277" i="1"/>
  <c r="G276" i="1"/>
  <c r="G275" i="1"/>
  <c r="G274" i="1"/>
  <c r="H274" i="1" s="1"/>
  <c r="I274" i="1" s="1"/>
  <c r="G273" i="1"/>
  <c r="G272" i="1"/>
  <c r="G271" i="1"/>
  <c r="G270" i="1"/>
  <c r="H271" i="1" s="1"/>
  <c r="I271" i="1" s="1"/>
  <c r="G269" i="1"/>
  <c r="G268" i="1"/>
  <c r="G267" i="1"/>
  <c r="G266" i="1"/>
  <c r="G265" i="1"/>
  <c r="G264" i="1"/>
  <c r="G263" i="1"/>
  <c r="G262" i="1"/>
  <c r="G261" i="1"/>
  <c r="G260" i="1"/>
  <c r="H260" i="1" s="1"/>
  <c r="I260" i="1" s="1"/>
  <c r="G259" i="1"/>
  <c r="H259" i="1" s="1"/>
  <c r="G258" i="1"/>
  <c r="G257" i="1"/>
  <c r="G256" i="1"/>
  <c r="G255" i="1"/>
  <c r="G254" i="1"/>
  <c r="H254" i="1" s="1"/>
  <c r="G253" i="1"/>
  <c r="G252" i="1"/>
  <c r="G251" i="1"/>
  <c r="G250" i="1"/>
  <c r="G249" i="1"/>
  <c r="G248" i="1"/>
  <c r="G247" i="1"/>
  <c r="G246" i="1"/>
  <c r="H246" i="1" s="1"/>
  <c r="I246" i="1" s="1"/>
  <c r="G245" i="1"/>
  <c r="G244" i="1"/>
  <c r="G243" i="1"/>
  <c r="G242" i="1"/>
  <c r="H242" i="1" s="1"/>
  <c r="I242" i="1" s="1"/>
  <c r="G241" i="1"/>
  <c r="G240" i="1"/>
  <c r="H240" i="1" s="1"/>
  <c r="G239" i="1"/>
  <c r="G238" i="1"/>
  <c r="G237" i="1"/>
  <c r="G236" i="1"/>
  <c r="G235" i="1"/>
  <c r="G234" i="1"/>
  <c r="G233" i="1"/>
  <c r="G232" i="1"/>
  <c r="H232" i="1" s="1"/>
  <c r="I232" i="1" s="1"/>
  <c r="G231" i="1"/>
  <c r="G230" i="1"/>
  <c r="G229" i="1"/>
  <c r="G228" i="1"/>
  <c r="H229" i="1" s="1"/>
  <c r="G227" i="1"/>
  <c r="G226" i="1"/>
  <c r="G225" i="1"/>
  <c r="G224" i="1"/>
  <c r="G223" i="1"/>
  <c r="G222" i="1"/>
  <c r="G221" i="1"/>
  <c r="G220" i="1"/>
  <c r="G219" i="1"/>
  <c r="G218" i="1"/>
  <c r="H218" i="1" s="1"/>
  <c r="I218" i="1" s="1"/>
  <c r="G217" i="1"/>
  <c r="G216" i="1"/>
  <c r="G215" i="1"/>
  <c r="G214" i="1"/>
  <c r="H214" i="1" s="1"/>
  <c r="G213" i="1"/>
  <c r="G212" i="1"/>
  <c r="H213" i="1" s="1"/>
  <c r="I213" i="1" s="1"/>
  <c r="G211" i="1"/>
  <c r="G210" i="1"/>
  <c r="G209" i="1"/>
  <c r="G208" i="1"/>
  <c r="G207" i="1"/>
  <c r="G206" i="1"/>
  <c r="G205" i="1"/>
  <c r="G204" i="1"/>
  <c r="H204" i="1" s="1"/>
  <c r="I204" i="1" s="1"/>
  <c r="G203" i="1"/>
  <c r="G202" i="1"/>
  <c r="G201" i="1"/>
  <c r="G200" i="1"/>
  <c r="H201" i="1" s="1"/>
  <c r="G199" i="1"/>
  <c r="G198" i="1"/>
  <c r="H198" i="1" s="1"/>
  <c r="G197" i="1"/>
  <c r="G196" i="1"/>
  <c r="H197" i="1" s="1"/>
  <c r="I197" i="1" s="1"/>
  <c r="G195" i="1"/>
  <c r="G194" i="1"/>
  <c r="G193" i="1"/>
  <c r="G192" i="1"/>
  <c r="G191" i="1"/>
  <c r="G190" i="1"/>
  <c r="H190" i="1" s="1"/>
  <c r="I190" i="1" s="1"/>
  <c r="G189" i="1"/>
  <c r="G188" i="1"/>
  <c r="G187" i="1"/>
  <c r="G186" i="1"/>
  <c r="G185" i="1"/>
  <c r="G184" i="1"/>
  <c r="G183" i="1"/>
  <c r="G182" i="1"/>
  <c r="H183" i="1" s="1"/>
  <c r="I183" i="1" s="1"/>
  <c r="G181" i="1"/>
  <c r="G180" i="1"/>
  <c r="G179" i="1"/>
  <c r="G178" i="1"/>
  <c r="G177" i="1"/>
  <c r="G176" i="1"/>
  <c r="H176" i="1" s="1"/>
  <c r="I176" i="1" s="1"/>
  <c r="G175" i="1"/>
  <c r="G174" i="1"/>
  <c r="G173" i="1"/>
  <c r="G172" i="1"/>
  <c r="H172" i="1" s="1"/>
  <c r="I172" i="1" s="1"/>
  <c r="G171" i="1"/>
  <c r="G170" i="1"/>
  <c r="H170" i="1" s="1"/>
  <c r="G169" i="1"/>
  <c r="G168" i="1"/>
  <c r="G167" i="1"/>
  <c r="H167" i="1" s="1"/>
  <c r="I167" i="1" s="1"/>
  <c r="G166" i="1"/>
  <c r="G165" i="1"/>
  <c r="G164" i="1"/>
  <c r="G163" i="1"/>
  <c r="G162" i="1"/>
  <c r="H162" i="1" s="1"/>
  <c r="I162" i="1" s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H148" i="1" s="1"/>
  <c r="I148" i="1" s="1"/>
  <c r="G147" i="1"/>
  <c r="G146" i="1"/>
  <c r="G145" i="1"/>
  <c r="G144" i="1"/>
  <c r="H144" i="1" s="1"/>
  <c r="I144" i="1" s="1"/>
  <c r="G143" i="1"/>
  <c r="G142" i="1"/>
  <c r="H142" i="1" s="1"/>
  <c r="G141" i="1"/>
  <c r="G140" i="1"/>
  <c r="G139" i="1"/>
  <c r="G138" i="1"/>
  <c r="G137" i="1"/>
  <c r="G136" i="1"/>
  <c r="G135" i="1"/>
  <c r="G134" i="1"/>
  <c r="H134" i="1" s="1"/>
  <c r="I134" i="1" s="1"/>
  <c r="G133" i="1"/>
  <c r="G132" i="1"/>
  <c r="G131" i="1"/>
  <c r="G130" i="1"/>
  <c r="H131" i="1" s="1"/>
  <c r="I131" i="1" s="1"/>
  <c r="G129" i="1"/>
  <c r="G128" i="1"/>
  <c r="H129" i="1" s="1"/>
  <c r="I129" i="1" s="1"/>
  <c r="G127" i="1"/>
  <c r="G126" i="1"/>
  <c r="G125" i="1"/>
  <c r="G124" i="1"/>
  <c r="G123" i="1"/>
  <c r="G122" i="1"/>
  <c r="G121" i="1"/>
  <c r="G120" i="1"/>
  <c r="H120" i="1" s="1"/>
  <c r="I120" i="1" s="1"/>
  <c r="G119" i="1"/>
  <c r="G118" i="1"/>
  <c r="G117" i="1"/>
  <c r="G116" i="1"/>
  <c r="G115" i="1"/>
  <c r="G114" i="1"/>
  <c r="H114" i="1" s="1"/>
  <c r="G113" i="1"/>
  <c r="G112" i="1"/>
  <c r="G111" i="1"/>
  <c r="G110" i="1"/>
  <c r="G109" i="1"/>
  <c r="G108" i="1"/>
  <c r="G107" i="1"/>
  <c r="G106" i="1"/>
  <c r="H106" i="1" s="1"/>
  <c r="I106" i="1" s="1"/>
  <c r="G105" i="1"/>
  <c r="G104" i="1"/>
  <c r="G103" i="1"/>
  <c r="G102" i="1"/>
  <c r="H102" i="1" s="1"/>
  <c r="G101" i="1"/>
  <c r="G100" i="1"/>
  <c r="H100" i="1" s="1"/>
  <c r="G99" i="1"/>
  <c r="G98" i="1"/>
  <c r="G97" i="1"/>
  <c r="G96" i="1"/>
  <c r="G95" i="1"/>
  <c r="G94" i="1"/>
  <c r="G93" i="1"/>
  <c r="G92" i="1"/>
  <c r="H92" i="1" s="1"/>
  <c r="I92" i="1" s="1"/>
  <c r="G91" i="1"/>
  <c r="G90" i="1"/>
  <c r="G89" i="1"/>
  <c r="G88" i="1"/>
  <c r="H88" i="1" s="1"/>
  <c r="G87" i="1"/>
  <c r="G86" i="1"/>
  <c r="H86" i="1" s="1"/>
  <c r="I86" i="1" s="1"/>
  <c r="G85" i="1"/>
  <c r="G84" i="1"/>
  <c r="G83" i="1"/>
  <c r="G82" i="1"/>
  <c r="G81" i="1"/>
  <c r="G80" i="1"/>
  <c r="G79" i="1"/>
  <c r="G78" i="1"/>
  <c r="H78" i="1" s="1"/>
  <c r="I78" i="1" s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H64" i="1" s="1"/>
  <c r="I64" i="1" s="1"/>
  <c r="G63" i="1"/>
  <c r="G62" i="1"/>
  <c r="G61" i="1"/>
  <c r="G60" i="1"/>
  <c r="H61" i="1" s="1"/>
  <c r="I61" i="1" s="1"/>
  <c r="G59" i="1"/>
  <c r="G58" i="1"/>
  <c r="H58" i="1" s="1"/>
  <c r="G57" i="1"/>
  <c r="G56" i="1"/>
  <c r="H57" i="1" s="1"/>
  <c r="I57" i="1" s="1"/>
  <c r="G55" i="1"/>
  <c r="G54" i="1"/>
  <c r="G53" i="1"/>
  <c r="G52" i="1"/>
  <c r="G51" i="1"/>
  <c r="G50" i="1"/>
  <c r="H50" i="1" s="1"/>
  <c r="I50" i="1" s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H36" i="1" s="1"/>
  <c r="I36" i="1" s="1"/>
  <c r="G35" i="1"/>
  <c r="G34" i="1"/>
  <c r="G33" i="1"/>
  <c r="G32" i="1"/>
  <c r="G31" i="1"/>
  <c r="G30" i="1"/>
  <c r="H31" i="1" s="1"/>
  <c r="I31" i="1" s="1"/>
  <c r="G29" i="1"/>
  <c r="G28" i="1"/>
  <c r="H29" i="1" s="1"/>
  <c r="I29" i="1" s="1"/>
  <c r="G27" i="1"/>
  <c r="G26" i="1"/>
  <c r="G25" i="1"/>
  <c r="G24" i="1"/>
  <c r="G23" i="1"/>
  <c r="G22" i="1"/>
  <c r="H22" i="1" s="1"/>
  <c r="I22" i="1" s="1"/>
  <c r="G21" i="1"/>
  <c r="H21" i="1" s="1"/>
  <c r="G20" i="1"/>
  <c r="G19" i="1"/>
  <c r="G18" i="1"/>
  <c r="H18" i="1" s="1"/>
  <c r="I18" i="1" s="1"/>
  <c r="G17" i="1"/>
  <c r="G16" i="1"/>
  <c r="H16" i="1" s="1"/>
  <c r="G15" i="1"/>
  <c r="G14" i="1"/>
  <c r="G13" i="1"/>
  <c r="G12" i="1"/>
  <c r="G11" i="1"/>
  <c r="G10" i="1"/>
  <c r="G9" i="1"/>
  <c r="G8" i="1"/>
  <c r="H8" i="1" s="1"/>
  <c r="I8" i="1" s="1"/>
  <c r="G7" i="1"/>
  <c r="G6" i="1"/>
  <c r="G5" i="1"/>
  <c r="G4" i="1"/>
  <c r="G3" i="1"/>
  <c r="G2" i="1"/>
  <c r="H2624" i="1"/>
  <c r="I2624" i="1" s="1"/>
  <c r="H2595" i="1"/>
  <c r="H2582" i="1"/>
  <c r="I2582" i="1" s="1"/>
  <c r="H2553" i="1"/>
  <c r="I2553" i="1" s="1"/>
  <c r="H2526" i="1"/>
  <c r="H2512" i="1"/>
  <c r="H2508" i="1"/>
  <c r="H2484" i="1"/>
  <c r="I2484" i="1" s="1"/>
  <c r="H2470" i="1"/>
  <c r="H2442" i="1"/>
  <c r="H2428" i="1"/>
  <c r="H2399" i="1"/>
  <c r="H2386" i="1"/>
  <c r="H2357" i="1"/>
  <c r="H2318" i="1"/>
  <c r="I2318" i="1" s="1"/>
  <c r="H2316" i="1"/>
  <c r="I2316" i="1" s="1"/>
  <c r="H2312" i="1"/>
  <c r="H2302" i="1"/>
  <c r="H2232" i="1"/>
  <c r="H2190" i="1"/>
  <c r="H2161" i="1"/>
  <c r="I2161" i="1" s="1"/>
  <c r="H2133" i="1"/>
  <c r="H2064" i="1"/>
  <c r="H2036" i="1"/>
  <c r="H2007" i="1"/>
  <c r="I2007" i="1" s="1"/>
  <c r="H1994" i="1"/>
  <c r="I1994" i="1" s="1"/>
  <c r="H1938" i="1"/>
  <c r="H1896" i="1"/>
  <c r="H1854" i="1"/>
  <c r="I1854" i="1" s="1"/>
  <c r="H1846" i="1"/>
  <c r="I1846" i="1" s="1"/>
  <c r="H1840" i="1"/>
  <c r="H1798" i="1"/>
  <c r="H1738" i="1"/>
  <c r="I1738" i="1" s="1"/>
  <c r="H1728" i="1"/>
  <c r="H1699" i="1"/>
  <c r="I1699" i="1" s="1"/>
  <c r="H1657" i="1"/>
  <c r="H1644" i="1"/>
  <c r="H1602" i="1"/>
  <c r="H1576" i="1"/>
  <c r="I1576" i="1" s="1"/>
  <c r="H1573" i="1"/>
  <c r="H1559" i="1"/>
  <c r="H1546" i="1"/>
  <c r="H1504" i="1"/>
  <c r="H1476" i="1"/>
  <c r="H1472" i="1"/>
  <c r="H1462" i="1"/>
  <c r="I1462" i="1" s="1"/>
  <c r="H1419" i="1"/>
  <c r="H1310" i="1"/>
  <c r="I1310" i="1" s="1"/>
  <c r="H1290" i="1"/>
  <c r="H1209" i="1"/>
  <c r="H1168" i="1"/>
  <c r="I1168" i="1" s="1"/>
  <c r="H1121" i="1"/>
  <c r="I1121" i="1" s="1"/>
  <c r="J1125" i="1" s="1"/>
  <c r="H1108" i="1"/>
  <c r="I1108" i="1" s="1"/>
  <c r="H1094" i="1"/>
  <c r="I1094" i="1" s="1"/>
  <c r="H1042" i="1"/>
  <c r="H1038" i="1"/>
  <c r="H1000" i="1"/>
  <c r="H971" i="1"/>
  <c r="H968" i="1"/>
  <c r="I968" i="1" s="1"/>
  <c r="H954" i="1"/>
  <c r="I954" i="1" s="1"/>
  <c r="H898" i="1"/>
  <c r="H846" i="1"/>
  <c r="H842" i="1"/>
  <c r="I842" i="1" s="1"/>
  <c r="H828" i="1"/>
  <c r="I828" i="1" s="1"/>
  <c r="H804" i="1"/>
  <c r="H775" i="1"/>
  <c r="H702" i="1"/>
  <c r="I702" i="1" s="1"/>
  <c r="H688" i="1"/>
  <c r="I688" i="1" s="1"/>
  <c r="H622" i="1"/>
  <c r="I622" i="1" s="1"/>
  <c r="H552" i="1"/>
  <c r="H548" i="1"/>
  <c r="H537" i="1"/>
  <c r="I537" i="1" s="1"/>
  <c r="H534" i="1"/>
  <c r="I534" i="1" s="1"/>
  <c r="H520" i="1"/>
  <c r="I520" i="1" s="1"/>
  <c r="H492" i="1"/>
  <c r="H426" i="1"/>
  <c r="H356" i="1"/>
  <c r="H341" i="1"/>
  <c r="I341" i="1" s="1"/>
  <c r="H338" i="1"/>
  <c r="I338" i="1" s="1"/>
  <c r="H324" i="1"/>
  <c r="I324" i="1" s="1"/>
  <c r="H230" i="1"/>
  <c r="H160" i="1"/>
  <c r="H156" i="1"/>
  <c r="H145" i="1"/>
  <c r="H34" i="1"/>
  <c r="H19" i="1"/>
  <c r="I19" i="1" s="1"/>
  <c r="H2653" i="1"/>
  <c r="I2653" i="1" s="1"/>
  <c r="H2652" i="1"/>
  <c r="I2652" i="1" s="1"/>
  <c r="H2639" i="1"/>
  <c r="H2638" i="1"/>
  <c r="H2635" i="1"/>
  <c r="H2634" i="1"/>
  <c r="H2625" i="1"/>
  <c r="I2625" i="1" s="1"/>
  <c r="H2623" i="1"/>
  <c r="I2623" i="1" s="1"/>
  <c r="H2622" i="1"/>
  <c r="I2622" i="1" s="1"/>
  <c r="H2621" i="1"/>
  <c r="I2621" i="1" s="1"/>
  <c r="H2611" i="1"/>
  <c r="H2607" i="1"/>
  <c r="I2607" i="1" s="1"/>
  <c r="H2597" i="1"/>
  <c r="H2593" i="1"/>
  <c r="I2593" i="1" s="1"/>
  <c r="H2583" i="1"/>
  <c r="H2579" i="1"/>
  <c r="I2579" i="1" s="1"/>
  <c r="H2578" i="1"/>
  <c r="I2578" i="1" s="1"/>
  <c r="H2569" i="1"/>
  <c r="I2569" i="1" s="1"/>
  <c r="H2555" i="1"/>
  <c r="H2554" i="1"/>
  <c r="I2554" i="1" s="1"/>
  <c r="H2551" i="1"/>
  <c r="H2541" i="1"/>
  <c r="H2540" i="1"/>
  <c r="H2539" i="1"/>
  <c r="I2539" i="1" s="1"/>
  <c r="H2537" i="1"/>
  <c r="I2537" i="1" s="1"/>
  <c r="H2527" i="1"/>
  <c r="H2513" i="1"/>
  <c r="H2499" i="1"/>
  <c r="H2498" i="1"/>
  <c r="H2497" i="1"/>
  <c r="H2496" i="1"/>
  <c r="I2496" i="1" s="1"/>
  <c r="H2495" i="1"/>
  <c r="H2494" i="1"/>
  <c r="I2494" i="1" s="1"/>
  <c r="H2485" i="1"/>
  <c r="I2485" i="1" s="1"/>
  <c r="H2480" i="1"/>
  <c r="H2471" i="1"/>
  <c r="H2457" i="1"/>
  <c r="H2456" i="1"/>
  <c r="I2456" i="1" s="1"/>
  <c r="H2453" i="1"/>
  <c r="I2453" i="1" s="1"/>
  <c r="H2452" i="1"/>
  <c r="I2452" i="1" s="1"/>
  <c r="H2443" i="1"/>
  <c r="H2439" i="1"/>
  <c r="I2439" i="1" s="1"/>
  <c r="H2429" i="1"/>
  <c r="I2429" i="1" s="1"/>
  <c r="H2426" i="1"/>
  <c r="I2426" i="1" s="1"/>
  <c r="H2425" i="1"/>
  <c r="H2424" i="1"/>
  <c r="I2424" i="1" s="1"/>
  <c r="H2415" i="1"/>
  <c r="H2411" i="1"/>
  <c r="H2410" i="1"/>
  <c r="H2401" i="1"/>
  <c r="H2400" i="1"/>
  <c r="H2397" i="1"/>
  <c r="I2397" i="1" s="1"/>
  <c r="H2387" i="1"/>
  <c r="I2387" i="1" s="1"/>
  <c r="H2384" i="1"/>
  <c r="I2384" i="1" s="1"/>
  <c r="H2383" i="1"/>
  <c r="I2383" i="1" s="1"/>
  <c r="H2382" i="1"/>
  <c r="I2382" i="1" s="1"/>
  <c r="J2386" i="1" s="1"/>
  <c r="H2373" i="1"/>
  <c r="I2373" i="1" s="1"/>
  <c r="H2370" i="1"/>
  <c r="I2370" i="1" s="1"/>
  <c r="H2369" i="1"/>
  <c r="H2368" i="1"/>
  <c r="H2359" i="1"/>
  <c r="H2354" i="1"/>
  <c r="H2345" i="1"/>
  <c r="H2344" i="1"/>
  <c r="H2341" i="1"/>
  <c r="H2340" i="1"/>
  <c r="H2331" i="1"/>
  <c r="H2330" i="1"/>
  <c r="I2330" i="1" s="1"/>
  <c r="H2329" i="1"/>
  <c r="I2329" i="1" s="1"/>
  <c r="H2328" i="1"/>
  <c r="I2328" i="1" s="1"/>
  <c r="H2317" i="1"/>
  <c r="H2303" i="1"/>
  <c r="H2298" i="1"/>
  <c r="H2289" i="1"/>
  <c r="I2289" i="1" s="1"/>
  <c r="H2288" i="1"/>
  <c r="I2288" i="1" s="1"/>
  <c r="H2286" i="1"/>
  <c r="I2286" i="1" s="1"/>
  <c r="H2285" i="1"/>
  <c r="I2285" i="1" s="1"/>
  <c r="H2275" i="1"/>
  <c r="H2274" i="1"/>
  <c r="H2272" i="1"/>
  <c r="I2272" i="1" s="1"/>
  <c r="H2270" i="1"/>
  <c r="I2270" i="1" s="1"/>
  <c r="H2261" i="1"/>
  <c r="I2261" i="1" s="1"/>
  <c r="H2260" i="1"/>
  <c r="H2256" i="1"/>
  <c r="H2247" i="1"/>
  <c r="H2246" i="1"/>
  <c r="H2233" i="1"/>
  <c r="H2230" i="1"/>
  <c r="I2230" i="1" s="1"/>
  <c r="H2228" i="1"/>
  <c r="I2228" i="1" s="1"/>
  <c r="H2227" i="1"/>
  <c r="I2227" i="1" s="1"/>
  <c r="H2219" i="1"/>
  <c r="H2216" i="1"/>
  <c r="H2215" i="1"/>
  <c r="H2214" i="1"/>
  <c r="H2205" i="1"/>
  <c r="H2204" i="1"/>
  <c r="H2200" i="1"/>
  <c r="H2191" i="1"/>
  <c r="H2187" i="1"/>
  <c r="H2186" i="1"/>
  <c r="I2186" i="1" s="1"/>
  <c r="H2177" i="1"/>
  <c r="H2174" i="1"/>
  <c r="H2173" i="1"/>
  <c r="H2172" i="1"/>
  <c r="H2163" i="1"/>
  <c r="H2158" i="1"/>
  <c r="H2149" i="1"/>
  <c r="H2148" i="1"/>
  <c r="H2145" i="1"/>
  <c r="H2144" i="1"/>
  <c r="H2135" i="1"/>
  <c r="H2134" i="1"/>
  <c r="H2132" i="1"/>
  <c r="I2132" i="1" s="1"/>
  <c r="H2131" i="1"/>
  <c r="I2131" i="1" s="1"/>
  <c r="H2121" i="1"/>
  <c r="I2121" i="1" s="1"/>
  <c r="H2120" i="1"/>
  <c r="H2117" i="1"/>
  <c r="I2117" i="1" s="1"/>
  <c r="H2107" i="1"/>
  <c r="H2106" i="1"/>
  <c r="I2106" i="1" s="1"/>
  <c r="H2103" i="1"/>
  <c r="H2102" i="1"/>
  <c r="H2093" i="1"/>
  <c r="I2093" i="1" s="1"/>
  <c r="H2092" i="1"/>
  <c r="H2089" i="1"/>
  <c r="I2089" i="1" s="1"/>
  <c r="H2088" i="1"/>
  <c r="H2079" i="1"/>
  <c r="I2079" i="1" s="1"/>
  <c r="H2078" i="1"/>
  <c r="I2078" i="1" s="1"/>
  <c r="H2076" i="1"/>
  <c r="H2074" i="1"/>
  <c r="H2065" i="1"/>
  <c r="H2063" i="1"/>
  <c r="H2062" i="1"/>
  <c r="H2061" i="1"/>
  <c r="H2060" i="1"/>
  <c r="I2060" i="1" s="1"/>
  <c r="H2051" i="1"/>
  <c r="H2050" i="1"/>
  <c r="H2037" i="1"/>
  <c r="H2032" i="1"/>
  <c r="I2032" i="1" s="1"/>
  <c r="H2029" i="1"/>
  <c r="I2029" i="1" s="1"/>
  <c r="H2023" i="1"/>
  <c r="I2023" i="1" s="1"/>
  <c r="H2020" i="1"/>
  <c r="I2020" i="1" s="1"/>
  <c r="H2019" i="1"/>
  <c r="H2018" i="1"/>
  <c r="H2009" i="1"/>
  <c r="I2009" i="1" s="1"/>
  <c r="H2008" i="1"/>
  <c r="I2008" i="1" s="1"/>
  <c r="H2004" i="1"/>
  <c r="H1995" i="1"/>
  <c r="H1992" i="1"/>
  <c r="H1990" i="1"/>
  <c r="H1981" i="1"/>
  <c r="I1981" i="1" s="1"/>
  <c r="H1978" i="1"/>
  <c r="H1977" i="1"/>
  <c r="I1977" i="1" s="1"/>
  <c r="H1976" i="1"/>
  <c r="I1976" i="1" s="1"/>
  <c r="H1967" i="1"/>
  <c r="H1966" i="1"/>
  <c r="H1963" i="1"/>
  <c r="I1963" i="1" s="1"/>
  <c r="H1953" i="1"/>
  <c r="H1952" i="1"/>
  <c r="H1950" i="1"/>
  <c r="H1949" i="1"/>
  <c r="H1948" i="1"/>
  <c r="H1939" i="1"/>
  <c r="I1939" i="1" s="1"/>
  <c r="H1937" i="1"/>
  <c r="H1936" i="1"/>
  <c r="I1936" i="1" s="1"/>
  <c r="H1925" i="1"/>
  <c r="H1924" i="1"/>
  <c r="I1924" i="1" s="1"/>
  <c r="H1922" i="1"/>
  <c r="I1922" i="1" s="1"/>
  <c r="H1911" i="1"/>
  <c r="H1910" i="1"/>
  <c r="H1906" i="1"/>
  <c r="H1897" i="1"/>
  <c r="H1883" i="1"/>
  <c r="I1883" i="1" s="1"/>
  <c r="H1882" i="1"/>
  <c r="I1882" i="1" s="1"/>
  <c r="H1880" i="1"/>
  <c r="I1880" i="1" s="1"/>
  <c r="H1878" i="1"/>
  <c r="H1869" i="1"/>
  <c r="H1868" i="1"/>
  <c r="H1867" i="1"/>
  <c r="H1865" i="1"/>
  <c r="I1865" i="1" s="1"/>
  <c r="H1855" i="1"/>
  <c r="H1851" i="1"/>
  <c r="H1841" i="1"/>
  <c r="H1837" i="1"/>
  <c r="H1836" i="1"/>
  <c r="H1827" i="1"/>
  <c r="H1824" i="1"/>
  <c r="H1823" i="1"/>
  <c r="H1822" i="1"/>
  <c r="I1822" i="1" s="1"/>
  <c r="H1813" i="1"/>
  <c r="I1813" i="1" s="1"/>
  <c r="H1812" i="1"/>
  <c r="I1812" i="1" s="1"/>
  <c r="H1808" i="1"/>
  <c r="I1808" i="1" s="1"/>
  <c r="H1799" i="1"/>
  <c r="H1797" i="1"/>
  <c r="H1795" i="1"/>
  <c r="H1794" i="1"/>
  <c r="H1785" i="1"/>
  <c r="I1785" i="1" s="1"/>
  <c r="H1782" i="1"/>
  <c r="I1782" i="1" s="1"/>
  <c r="H1781" i="1"/>
  <c r="H1771" i="1"/>
  <c r="H1770" i="1"/>
  <c r="H1768" i="1"/>
  <c r="H1766" i="1"/>
  <c r="H1757" i="1"/>
  <c r="H1756" i="1"/>
  <c r="H1754" i="1"/>
  <c r="H1753" i="1"/>
  <c r="H1752" i="1"/>
  <c r="H1743" i="1"/>
  <c r="I1743" i="1" s="1"/>
  <c r="H1742" i="1"/>
  <c r="I1742" i="1" s="1"/>
  <c r="H1729" i="1"/>
  <c r="I1729" i="1" s="1"/>
  <c r="H1726" i="1"/>
  <c r="I1726" i="1" s="1"/>
  <c r="H1715" i="1"/>
  <c r="I1715" i="1" s="1"/>
  <c r="H1714" i="1"/>
  <c r="H1712" i="1"/>
  <c r="I1712" i="1" s="1"/>
  <c r="H1711" i="1"/>
  <c r="I1711" i="1" s="1"/>
  <c r="H1710" i="1"/>
  <c r="H1701" i="1"/>
  <c r="I1701" i="1" s="1"/>
  <c r="H1700" i="1"/>
  <c r="H1687" i="1"/>
  <c r="H1686" i="1"/>
  <c r="H1683" i="1"/>
  <c r="I1683" i="1" s="1"/>
  <c r="H1682" i="1"/>
  <c r="H1673" i="1"/>
  <c r="I1673" i="1" s="1"/>
  <c r="H1672" i="1"/>
  <c r="I1672" i="1" s="1"/>
  <c r="H1671" i="1"/>
  <c r="I1671" i="1" s="1"/>
  <c r="H1670" i="1"/>
  <c r="H1669" i="1"/>
  <c r="H1659" i="1"/>
  <c r="H1658" i="1"/>
  <c r="H1645" i="1"/>
  <c r="H1641" i="1"/>
  <c r="H1640" i="1"/>
  <c r="H1631" i="1"/>
  <c r="H1630" i="1"/>
  <c r="H1626" i="1"/>
  <c r="I1626" i="1" s="1"/>
  <c r="H1617" i="1"/>
  <c r="I1617" i="1" s="1"/>
  <c r="H1616" i="1"/>
  <c r="I1616" i="1" s="1"/>
  <c r="H1603" i="1"/>
  <c r="H1599" i="1"/>
  <c r="H1589" i="1"/>
  <c r="H1586" i="1"/>
  <c r="I1586" i="1" s="1"/>
  <c r="H1575" i="1"/>
  <c r="I1575" i="1" s="1"/>
  <c r="H1574" i="1"/>
  <c r="I1574" i="1" s="1"/>
  <c r="H1572" i="1"/>
  <c r="I1572" i="1" s="1"/>
  <c r="H1571" i="1"/>
  <c r="H1570" i="1"/>
  <c r="I1570" i="1" s="1"/>
  <c r="H1561" i="1"/>
  <c r="H1560" i="1"/>
  <c r="H1558" i="1"/>
  <c r="H1547" i="1"/>
  <c r="H1543" i="1"/>
  <c r="H1533" i="1"/>
  <c r="I1533" i="1" s="1"/>
  <c r="H1532" i="1"/>
  <c r="I1532" i="1" s="1"/>
  <c r="H1530" i="1"/>
  <c r="H1529" i="1"/>
  <c r="I1529" i="1" s="1"/>
  <c r="H1519" i="1"/>
  <c r="I1519" i="1" s="1"/>
  <c r="H1518" i="1"/>
  <c r="H1517" i="1"/>
  <c r="I1517" i="1" s="1"/>
  <c r="H1505" i="1"/>
  <c r="H1491" i="1"/>
  <c r="H1490" i="1"/>
  <c r="H1487" i="1"/>
  <c r="H1486" i="1"/>
  <c r="H1485" i="1"/>
  <c r="I1485" i="1" s="1"/>
  <c r="H1477" i="1"/>
  <c r="I1477" i="1" s="1"/>
  <c r="H1474" i="1"/>
  <c r="I1474" i="1" s="1"/>
  <c r="H1473" i="1"/>
  <c r="I1473" i="1" s="1"/>
  <c r="H1463" i="1"/>
  <c r="H1459" i="1"/>
  <c r="I1459" i="1" s="1"/>
  <c r="H1449" i="1"/>
  <c r="H1448" i="1"/>
  <c r="H1446" i="1"/>
  <c r="H1445" i="1"/>
  <c r="H1435" i="1"/>
  <c r="H1434" i="1"/>
  <c r="H1432" i="1"/>
  <c r="I1432" i="1" s="1"/>
  <c r="H1431" i="1"/>
  <c r="H1421" i="1"/>
  <c r="H1420" i="1"/>
  <c r="I1420" i="1" s="1"/>
  <c r="H1418" i="1"/>
  <c r="H1417" i="1"/>
  <c r="I1417" i="1" s="1"/>
  <c r="H1407" i="1"/>
  <c r="I1407" i="1" s="1"/>
  <c r="H1406" i="1"/>
  <c r="I1406" i="1" s="1"/>
  <c r="H1402" i="1"/>
  <c r="H1393" i="1"/>
  <c r="H1379" i="1"/>
  <c r="H1375" i="1"/>
  <c r="H1365" i="1"/>
  <c r="I1365" i="1" s="1"/>
  <c r="H1364" i="1"/>
  <c r="I1364" i="1" s="1"/>
  <c r="H1363" i="1"/>
  <c r="H1362" i="1"/>
  <c r="H1361" i="1"/>
  <c r="I1361" i="1" s="1"/>
  <c r="H1351" i="1"/>
  <c r="I1351" i="1" s="1"/>
  <c r="H1350" i="1"/>
  <c r="I1350" i="1" s="1"/>
  <c r="H1337" i="1"/>
  <c r="H1336" i="1"/>
  <c r="H1333" i="1"/>
  <c r="H1323" i="1"/>
  <c r="H1322" i="1"/>
  <c r="I1322" i="1" s="1"/>
  <c r="H1321" i="1"/>
  <c r="H1320" i="1"/>
  <c r="I1320" i="1" s="1"/>
  <c r="H1319" i="1"/>
  <c r="I1319" i="1" s="1"/>
  <c r="H1309" i="1"/>
  <c r="I1309" i="1" s="1"/>
  <c r="H1308" i="1"/>
  <c r="I1308" i="1" s="1"/>
  <c r="H1295" i="1"/>
  <c r="H1294" i="1"/>
  <c r="H1281" i="1"/>
  <c r="H1277" i="1"/>
  <c r="H1267" i="1"/>
  <c r="I1267" i="1" s="1"/>
  <c r="H1266" i="1"/>
  <c r="H1265" i="1"/>
  <c r="I1265" i="1" s="1"/>
  <c r="H1253" i="1"/>
  <c r="I1253" i="1" s="1"/>
  <c r="H1252" i="1"/>
  <c r="H1250" i="1"/>
  <c r="H1249" i="1"/>
  <c r="I1249" i="1" s="1"/>
  <c r="H1239" i="1"/>
  <c r="I1239" i="1" s="1"/>
  <c r="H1238" i="1"/>
  <c r="H1236" i="1"/>
  <c r="H1225" i="1"/>
  <c r="H1224" i="1"/>
  <c r="I1224" i="1" s="1"/>
  <c r="H1220" i="1"/>
  <c r="I1220" i="1" s="1"/>
  <c r="H1211" i="1"/>
  <c r="H1210" i="1"/>
  <c r="I1210" i="1" s="1"/>
  <c r="H1208" i="1"/>
  <c r="I1208" i="1" s="1"/>
  <c r="H1207" i="1"/>
  <c r="H1206" i="1"/>
  <c r="I1206" i="1" s="1"/>
  <c r="H1205" i="1"/>
  <c r="I1205" i="1" s="1"/>
  <c r="H1197" i="1"/>
  <c r="H1196" i="1"/>
  <c r="H1193" i="1"/>
  <c r="H1183" i="1"/>
  <c r="I1183" i="1" s="1"/>
  <c r="H1178" i="1"/>
  <c r="I1178" i="1" s="1"/>
  <c r="H1169" i="1"/>
  <c r="H1167" i="1"/>
  <c r="I1167" i="1" s="1"/>
  <c r="H1166" i="1"/>
  <c r="I1166" i="1" s="1"/>
  <c r="H1165" i="1"/>
  <c r="I1165" i="1" s="1"/>
  <c r="H1164" i="1"/>
  <c r="I1164" i="1" s="1"/>
  <c r="H1155" i="1"/>
  <c r="H1154" i="1"/>
  <c r="I1154" i="1" s="1"/>
  <c r="H1153" i="1"/>
  <c r="H1151" i="1"/>
  <c r="H1141" i="1"/>
  <c r="H1140" i="1"/>
  <c r="H1136" i="1"/>
  <c r="H1127" i="1"/>
  <c r="H1126" i="1"/>
  <c r="I1126" i="1" s="1"/>
  <c r="H1124" i="1"/>
  <c r="I1124" i="1" s="1"/>
  <c r="H1123" i="1"/>
  <c r="I1123" i="1" s="1"/>
  <c r="H1122" i="1"/>
  <c r="I1122" i="1" s="1"/>
  <c r="H1113" i="1"/>
  <c r="I1113" i="1" s="1"/>
  <c r="H1112" i="1"/>
  <c r="I1112" i="1" s="1"/>
  <c r="H1111" i="1"/>
  <c r="I1111" i="1" s="1"/>
  <c r="H1099" i="1"/>
  <c r="H1098" i="1"/>
  <c r="I1098" i="1" s="1"/>
  <c r="H1097" i="1"/>
  <c r="H1095" i="1"/>
  <c r="H1085" i="1"/>
  <c r="H1084" i="1"/>
  <c r="I1084" i="1" s="1"/>
  <c r="H1083" i="1"/>
  <c r="I1083" i="1" s="1"/>
  <c r="H1082" i="1"/>
  <c r="I1082" i="1" s="1"/>
  <c r="H1081" i="1"/>
  <c r="I1081" i="1" s="1"/>
  <c r="H1071" i="1"/>
  <c r="H1070" i="1"/>
  <c r="H1069" i="1"/>
  <c r="I1069" i="1" s="1"/>
  <c r="H1066" i="1"/>
  <c r="H1057" i="1"/>
  <c r="H1056" i="1"/>
  <c r="H1052" i="1"/>
  <c r="I1052" i="1" s="1"/>
  <c r="H1051" i="1"/>
  <c r="I1051" i="1" s="1"/>
  <c r="H1043" i="1"/>
  <c r="H1040" i="1"/>
  <c r="I1040" i="1" s="1"/>
  <c r="H1029" i="1"/>
  <c r="H1028" i="1"/>
  <c r="I1028" i="1" s="1"/>
  <c r="H1027" i="1"/>
  <c r="I1027" i="1" s="1"/>
  <c r="H1025" i="1"/>
  <c r="H1015" i="1"/>
  <c r="H1014" i="1"/>
  <c r="H1001" i="1"/>
  <c r="H999" i="1"/>
  <c r="I999" i="1" s="1"/>
  <c r="H997" i="1"/>
  <c r="I997" i="1" s="1"/>
  <c r="H996" i="1"/>
  <c r="I996" i="1" s="1"/>
  <c r="H987" i="1"/>
  <c r="H986" i="1"/>
  <c r="I986" i="1" s="1"/>
  <c r="H985" i="1"/>
  <c r="I985" i="1" s="1"/>
  <c r="H983" i="1"/>
  <c r="H973" i="1"/>
  <c r="H972" i="1"/>
  <c r="I972" i="1" s="1"/>
  <c r="H969" i="1"/>
  <c r="H959" i="1"/>
  <c r="H958" i="1"/>
  <c r="I958" i="1" s="1"/>
  <c r="H957" i="1"/>
  <c r="I957" i="1" s="1"/>
  <c r="H956" i="1"/>
  <c r="I956" i="1" s="1"/>
  <c r="H955" i="1"/>
  <c r="I955" i="1" s="1"/>
  <c r="H945" i="1"/>
  <c r="H944" i="1"/>
  <c r="H943" i="1"/>
  <c r="H941" i="1"/>
  <c r="H931" i="1"/>
  <c r="H930" i="1"/>
  <c r="H926" i="1"/>
  <c r="I926" i="1" s="1"/>
  <c r="H917" i="1"/>
  <c r="H916" i="1"/>
  <c r="I916" i="1" s="1"/>
  <c r="H915" i="1"/>
  <c r="I915" i="1" s="1"/>
  <c r="H914" i="1"/>
  <c r="I914" i="1" s="1"/>
  <c r="H913" i="1"/>
  <c r="I913" i="1" s="1"/>
  <c r="H911" i="1"/>
  <c r="I911" i="1" s="1"/>
  <c r="H903" i="1"/>
  <c r="H902" i="1"/>
  <c r="I902" i="1" s="1"/>
  <c r="H889" i="1"/>
  <c r="H888" i="1"/>
  <c r="I888" i="1" s="1"/>
  <c r="H886" i="1"/>
  <c r="I886" i="1" s="1"/>
  <c r="H884" i="1"/>
  <c r="I884" i="1" s="1"/>
  <c r="H875" i="1"/>
  <c r="H874" i="1"/>
  <c r="I874" i="1" s="1"/>
  <c r="H873" i="1"/>
  <c r="I873" i="1" s="1"/>
  <c r="H872" i="1"/>
  <c r="I872" i="1" s="1"/>
  <c r="H871" i="1"/>
  <c r="I871" i="1" s="1"/>
  <c r="H861" i="1"/>
  <c r="H860" i="1"/>
  <c r="H859" i="1"/>
  <c r="I859" i="1" s="1"/>
  <c r="H856" i="1"/>
  <c r="H847" i="1"/>
  <c r="H845" i="1"/>
  <c r="H843" i="1"/>
  <c r="I843" i="1" s="1"/>
  <c r="H833" i="1"/>
  <c r="H832" i="1"/>
  <c r="H831" i="1"/>
  <c r="I831" i="1" s="1"/>
  <c r="H830" i="1"/>
  <c r="H819" i="1"/>
  <c r="H818" i="1"/>
  <c r="H816" i="1"/>
  <c r="I816" i="1" s="1"/>
  <c r="H815" i="1"/>
  <c r="I815" i="1" s="1"/>
  <c r="H805" i="1"/>
  <c r="H802" i="1"/>
  <c r="H800" i="1"/>
  <c r="H791" i="1"/>
  <c r="H790" i="1"/>
  <c r="H788" i="1"/>
  <c r="H786" i="1"/>
  <c r="H777" i="1"/>
  <c r="H776" i="1"/>
  <c r="H774" i="1"/>
  <c r="I774" i="1" s="1"/>
  <c r="H763" i="1"/>
  <c r="H762" i="1"/>
  <c r="I762" i="1" s="1"/>
  <c r="H761" i="1"/>
  <c r="I761" i="1" s="1"/>
  <c r="H759" i="1"/>
  <c r="H749" i="1"/>
  <c r="H748" i="1"/>
  <c r="H747" i="1"/>
  <c r="I747" i="1" s="1"/>
  <c r="H746" i="1"/>
  <c r="H745" i="1"/>
  <c r="I745" i="1" s="1"/>
  <c r="H744" i="1"/>
  <c r="I744" i="1" s="1"/>
  <c r="J748" i="1" s="1"/>
  <c r="H735" i="1"/>
  <c r="H734" i="1"/>
  <c r="H730" i="1"/>
  <c r="H721" i="1"/>
  <c r="H720" i="1"/>
  <c r="I720" i="1" s="1"/>
  <c r="H717" i="1"/>
  <c r="H715" i="1"/>
  <c r="I715" i="1" s="1"/>
  <c r="H714" i="1"/>
  <c r="I714" i="1" s="1"/>
  <c r="H707" i="1"/>
  <c r="I707" i="1" s="1"/>
  <c r="H706" i="1"/>
  <c r="I706" i="1" s="1"/>
  <c r="H705" i="1"/>
  <c r="H704" i="1"/>
  <c r="H693" i="1"/>
  <c r="H692" i="1"/>
  <c r="I692" i="1" s="1"/>
  <c r="H691" i="1"/>
  <c r="H689" i="1"/>
  <c r="H679" i="1"/>
  <c r="H678" i="1"/>
  <c r="I678" i="1" s="1"/>
  <c r="H677" i="1"/>
  <c r="H676" i="1"/>
  <c r="I676" i="1" s="1"/>
  <c r="H675" i="1"/>
  <c r="I675" i="1" s="1"/>
  <c r="H674" i="1"/>
  <c r="I674" i="1" s="1"/>
  <c r="H665" i="1"/>
  <c r="I665" i="1" s="1"/>
  <c r="H664" i="1"/>
  <c r="I664" i="1" s="1"/>
  <c r="H660" i="1"/>
  <c r="H651" i="1"/>
  <c r="H650" i="1"/>
  <c r="H647" i="1"/>
  <c r="I647" i="1" s="1"/>
  <c r="H646" i="1"/>
  <c r="I646" i="1" s="1"/>
  <c r="H637" i="1"/>
  <c r="H636" i="1"/>
  <c r="I636" i="1" s="1"/>
  <c r="H635" i="1"/>
  <c r="I635" i="1" s="1"/>
  <c r="H634" i="1"/>
  <c r="I634" i="1" s="1"/>
  <c r="H623" i="1"/>
  <c r="H619" i="1"/>
  <c r="I619" i="1" s="1"/>
  <c r="H617" i="1"/>
  <c r="I617" i="1" s="1"/>
  <c r="H609" i="1"/>
  <c r="I609" i="1" s="1"/>
  <c r="H608" i="1"/>
  <c r="I608" i="1" s="1"/>
  <c r="H606" i="1"/>
  <c r="I606" i="1" s="1"/>
  <c r="H605" i="1"/>
  <c r="I605" i="1" s="1"/>
  <c r="H604" i="1"/>
  <c r="H595" i="1"/>
  <c r="H594" i="1"/>
  <c r="H591" i="1"/>
  <c r="H581" i="1"/>
  <c r="H580" i="1"/>
  <c r="H578" i="1"/>
  <c r="I578" i="1" s="1"/>
  <c r="H577" i="1"/>
  <c r="I577" i="1" s="1"/>
  <c r="H576" i="1"/>
  <c r="I576" i="1" s="1"/>
  <c r="H567" i="1"/>
  <c r="I567" i="1" s="1"/>
  <c r="H566" i="1"/>
  <c r="I566" i="1" s="1"/>
  <c r="H565" i="1"/>
  <c r="H564" i="1"/>
  <c r="I564" i="1" s="1"/>
  <c r="H553" i="1"/>
  <c r="H549" i="1"/>
  <c r="H539" i="1"/>
  <c r="H538" i="1"/>
  <c r="H535" i="1"/>
  <c r="I535" i="1" s="1"/>
  <c r="H525" i="1"/>
  <c r="I525" i="1" s="1"/>
  <c r="H524" i="1"/>
  <c r="I524" i="1" s="1"/>
  <c r="H523" i="1"/>
  <c r="I523" i="1" s="1"/>
  <c r="H522" i="1"/>
  <c r="I522" i="1" s="1"/>
  <c r="H521" i="1"/>
  <c r="I521" i="1" s="1"/>
  <c r="H511" i="1"/>
  <c r="I511" i="1" s="1"/>
  <c r="H510" i="1"/>
  <c r="H497" i="1"/>
  <c r="H496" i="1"/>
  <c r="H493" i="1"/>
  <c r="I493" i="1" s="1"/>
  <c r="H483" i="1"/>
  <c r="I483" i="1" s="1"/>
  <c r="H482" i="1"/>
  <c r="I482" i="1" s="1"/>
  <c r="H481" i="1"/>
  <c r="I481" i="1" s="1"/>
  <c r="H480" i="1"/>
  <c r="I480" i="1" s="1"/>
  <c r="H479" i="1"/>
  <c r="I479" i="1" s="1"/>
  <c r="H478" i="1"/>
  <c r="I478" i="1" s="1"/>
  <c r="H469" i="1"/>
  <c r="H468" i="1"/>
  <c r="H466" i="1"/>
  <c r="I466" i="1" s="1"/>
  <c r="H464" i="1"/>
  <c r="H455" i="1"/>
  <c r="H454" i="1"/>
  <c r="I454" i="1" s="1"/>
  <c r="H453" i="1"/>
  <c r="H452" i="1"/>
  <c r="I452" i="1" s="1"/>
  <c r="H451" i="1"/>
  <c r="I451" i="1" s="1"/>
  <c r="H450" i="1"/>
  <c r="H441" i="1"/>
  <c r="H440" i="1"/>
  <c r="I440" i="1" s="1"/>
  <c r="H427" i="1"/>
  <c r="H423" i="1"/>
  <c r="I423" i="1" s="1"/>
  <c r="H422" i="1"/>
  <c r="I422" i="1" s="1"/>
  <c r="H413" i="1"/>
  <c r="I413" i="1" s="1"/>
  <c r="H412" i="1"/>
  <c r="I412" i="1" s="1"/>
  <c r="H410" i="1"/>
  <c r="I410" i="1" s="1"/>
  <c r="H409" i="1"/>
  <c r="I409" i="1" s="1"/>
  <c r="H408" i="1"/>
  <c r="H399" i="1"/>
  <c r="H398" i="1"/>
  <c r="H396" i="1"/>
  <c r="H394" i="1"/>
  <c r="I394" i="1" s="1"/>
  <c r="H385" i="1"/>
  <c r="I385" i="1" s="1"/>
  <c r="H384" i="1"/>
  <c r="I384" i="1" s="1"/>
  <c r="H383" i="1"/>
  <c r="I383" i="1" s="1"/>
  <c r="H382" i="1"/>
  <c r="H381" i="1"/>
  <c r="I381" i="1" s="1"/>
  <c r="H380" i="1"/>
  <c r="I380" i="1" s="1"/>
  <c r="H371" i="1"/>
  <c r="I371" i="1" s="1"/>
  <c r="H370" i="1"/>
  <c r="H367" i="1"/>
  <c r="I367" i="1" s="1"/>
  <c r="H357" i="1"/>
  <c r="H353" i="1"/>
  <c r="H343" i="1"/>
  <c r="H342" i="1"/>
  <c r="I342" i="1" s="1"/>
  <c r="H340" i="1"/>
  <c r="H339" i="1"/>
  <c r="H328" i="1"/>
  <c r="I328" i="1" s="1"/>
  <c r="H327" i="1"/>
  <c r="I327" i="1" s="1"/>
  <c r="H315" i="1"/>
  <c r="H314" i="1"/>
  <c r="H301" i="1"/>
  <c r="H300" i="1"/>
  <c r="I300" i="1" s="1"/>
  <c r="H299" i="1"/>
  <c r="I299" i="1" s="1"/>
  <c r="H298" i="1"/>
  <c r="I298" i="1" s="1"/>
  <c r="H287" i="1"/>
  <c r="I287" i="1" s="1"/>
  <c r="H286" i="1"/>
  <c r="I286" i="1" s="1"/>
  <c r="H285" i="1"/>
  <c r="I285" i="1" s="1"/>
  <c r="H273" i="1"/>
  <c r="H272" i="1"/>
  <c r="H269" i="1"/>
  <c r="I269" i="1" s="1"/>
  <c r="H268" i="1"/>
  <c r="H267" i="1"/>
  <c r="H258" i="1"/>
  <c r="I258" i="1" s="1"/>
  <c r="H257" i="1"/>
  <c r="I257" i="1" s="1"/>
  <c r="H256" i="1"/>
  <c r="I256" i="1" s="1"/>
  <c r="H255" i="1"/>
  <c r="I255" i="1" s="1"/>
  <c r="H245" i="1"/>
  <c r="H244" i="1"/>
  <c r="H243" i="1"/>
  <c r="I243" i="1" s="1"/>
  <c r="H241" i="1"/>
  <c r="H239" i="1"/>
  <c r="I239" i="1" s="1"/>
  <c r="H231" i="1"/>
  <c r="H228" i="1"/>
  <c r="H227" i="1"/>
  <c r="I227" i="1" s="1"/>
  <c r="H226" i="1"/>
  <c r="I226" i="1" s="1"/>
  <c r="H217" i="1"/>
  <c r="I217" i="1" s="1"/>
  <c r="H216" i="1"/>
  <c r="I216" i="1" s="1"/>
  <c r="H203" i="1"/>
  <c r="H202" i="1"/>
  <c r="H199" i="1"/>
  <c r="H189" i="1"/>
  <c r="I189" i="1" s="1"/>
  <c r="H188" i="1"/>
  <c r="I188" i="1" s="1"/>
  <c r="H187" i="1"/>
  <c r="I187" i="1" s="1"/>
  <c r="H186" i="1"/>
  <c r="I186" i="1" s="1"/>
  <c r="H185" i="1"/>
  <c r="I185" i="1" s="1"/>
  <c r="H184" i="1"/>
  <c r="H175" i="1"/>
  <c r="H174" i="1"/>
  <c r="H173" i="1"/>
  <c r="H171" i="1"/>
  <c r="H161" i="1"/>
  <c r="I161" i="1" s="1"/>
  <c r="H159" i="1"/>
  <c r="I159" i="1" s="1"/>
  <c r="H158" i="1"/>
  <c r="I158" i="1" s="1"/>
  <c r="H157" i="1"/>
  <c r="I157" i="1" s="1"/>
  <c r="H147" i="1"/>
  <c r="I147" i="1" s="1"/>
  <c r="H146" i="1"/>
  <c r="H133" i="1"/>
  <c r="H132" i="1"/>
  <c r="H119" i="1"/>
  <c r="H118" i="1"/>
  <c r="H117" i="1"/>
  <c r="I117" i="1" s="1"/>
  <c r="H116" i="1"/>
  <c r="I116" i="1" s="1"/>
  <c r="H115" i="1"/>
  <c r="I115" i="1" s="1"/>
  <c r="H105" i="1"/>
  <c r="H104" i="1"/>
  <c r="H103" i="1"/>
  <c r="I103" i="1" s="1"/>
  <c r="H91" i="1"/>
  <c r="H90" i="1"/>
  <c r="H87" i="1"/>
  <c r="H77" i="1"/>
  <c r="H76" i="1"/>
  <c r="H75" i="1"/>
  <c r="H74" i="1"/>
  <c r="H73" i="1"/>
  <c r="H72" i="1"/>
  <c r="H63" i="1"/>
  <c r="H62" i="1"/>
  <c r="H59" i="1"/>
  <c r="H49" i="1"/>
  <c r="H48" i="1"/>
  <c r="H47" i="1"/>
  <c r="I47" i="1" s="1"/>
  <c r="H46" i="1"/>
  <c r="I46" i="1" s="1"/>
  <c r="H45" i="1"/>
  <c r="I45" i="1" s="1"/>
  <c r="H44" i="1"/>
  <c r="H35" i="1"/>
  <c r="H33" i="1"/>
  <c r="H32" i="1"/>
  <c r="H20" i="1"/>
  <c r="H17" i="1"/>
  <c r="H7" i="1"/>
  <c r="I7" i="1" s="1"/>
  <c r="H6" i="1"/>
  <c r="I6" i="1" s="1"/>
  <c r="H5" i="1"/>
  <c r="I5" i="1" s="1"/>
  <c r="H4" i="1"/>
  <c r="I4" i="1" s="1"/>
  <c r="H3" i="1"/>
  <c r="I3" i="1" s="1"/>
  <c r="O5" i="1"/>
  <c r="O4" i="1"/>
  <c r="O3" i="1"/>
  <c r="O2" i="1"/>
  <c r="J2653" i="1"/>
  <c r="J2652" i="1"/>
  <c r="J2651" i="1"/>
  <c r="J2650" i="1"/>
  <c r="J2640" i="1"/>
  <c r="J2639" i="1"/>
  <c r="J2638" i="1"/>
  <c r="J2637" i="1"/>
  <c r="J2636" i="1"/>
  <c r="J2635" i="1"/>
  <c r="J2634" i="1"/>
  <c r="J2633" i="1"/>
  <c r="J2623" i="1"/>
  <c r="J2622" i="1"/>
  <c r="J2621" i="1"/>
  <c r="J2620" i="1"/>
  <c r="J2619" i="1"/>
  <c r="J2618" i="1"/>
  <c r="J2617" i="1"/>
  <c r="J2616" i="1"/>
  <c r="J2606" i="1"/>
  <c r="J2605" i="1"/>
  <c r="J2604" i="1"/>
  <c r="J2603" i="1"/>
  <c r="J2602" i="1"/>
  <c r="J2601" i="1"/>
  <c r="J2600" i="1"/>
  <c r="J2599" i="1"/>
  <c r="J2589" i="1"/>
  <c r="J2588" i="1"/>
  <c r="J2587" i="1"/>
  <c r="J2586" i="1"/>
  <c r="J2585" i="1"/>
  <c r="J2584" i="1"/>
  <c r="J2583" i="1"/>
  <c r="J2582" i="1"/>
  <c r="J2572" i="1"/>
  <c r="J2571" i="1"/>
  <c r="J2570" i="1"/>
  <c r="J2569" i="1"/>
  <c r="J2568" i="1"/>
  <c r="J2567" i="1"/>
  <c r="J2566" i="1"/>
  <c r="J2565" i="1"/>
  <c r="J2555" i="1"/>
  <c r="J2554" i="1"/>
  <c r="J2553" i="1"/>
  <c r="J2552" i="1"/>
  <c r="J2551" i="1"/>
  <c r="J2550" i="1"/>
  <c r="J2549" i="1"/>
  <c r="J2548" i="1"/>
  <c r="J2538" i="1"/>
  <c r="J2537" i="1"/>
  <c r="J2536" i="1"/>
  <c r="J2535" i="1"/>
  <c r="J2534" i="1"/>
  <c r="J2533" i="1"/>
  <c r="J2532" i="1"/>
  <c r="J2531" i="1"/>
  <c r="J2521" i="1"/>
  <c r="J2520" i="1"/>
  <c r="J2519" i="1"/>
  <c r="J2518" i="1"/>
  <c r="J2517" i="1"/>
  <c r="J2516" i="1"/>
  <c r="J2515" i="1"/>
  <c r="J2514" i="1"/>
  <c r="J2504" i="1"/>
  <c r="J2503" i="1"/>
  <c r="J2502" i="1"/>
  <c r="J2501" i="1"/>
  <c r="J2500" i="1"/>
  <c r="J2499" i="1"/>
  <c r="J2498" i="1"/>
  <c r="J2497" i="1"/>
  <c r="J2487" i="1"/>
  <c r="J2486" i="1"/>
  <c r="J2485" i="1"/>
  <c r="J2484" i="1"/>
  <c r="J2483" i="1"/>
  <c r="J2482" i="1"/>
  <c r="J2481" i="1"/>
  <c r="J2480" i="1"/>
  <c r="J2470" i="1"/>
  <c r="J2469" i="1"/>
  <c r="J2468" i="1"/>
  <c r="J2467" i="1"/>
  <c r="J2466" i="1"/>
  <c r="J2465" i="1"/>
  <c r="J2464" i="1"/>
  <c r="J2463" i="1"/>
  <c r="J2453" i="1"/>
  <c r="J2452" i="1"/>
  <c r="J2451" i="1"/>
  <c r="J2450" i="1"/>
  <c r="J2449" i="1"/>
  <c r="J2448" i="1"/>
  <c r="J2447" i="1"/>
  <c r="J2446" i="1"/>
  <c r="J2436" i="1"/>
  <c r="J2435" i="1"/>
  <c r="J2434" i="1"/>
  <c r="J2433" i="1"/>
  <c r="J2432" i="1"/>
  <c r="J2431" i="1"/>
  <c r="J2430" i="1"/>
  <c r="J2429" i="1"/>
  <c r="J2419" i="1"/>
  <c r="J2418" i="1"/>
  <c r="J2417" i="1"/>
  <c r="J2416" i="1"/>
  <c r="J2414" i="1"/>
  <c r="J2413" i="1"/>
  <c r="J2412" i="1"/>
  <c r="J2411" i="1"/>
  <c r="J2410" i="1"/>
  <c r="J2409" i="1"/>
  <c r="J2408" i="1"/>
  <c r="J2407" i="1"/>
  <c r="J2397" i="1"/>
  <c r="J2396" i="1"/>
  <c r="J2395" i="1"/>
  <c r="J2394" i="1"/>
  <c r="J2393" i="1"/>
  <c r="J2392" i="1"/>
  <c r="J2391" i="1"/>
  <c r="J2390" i="1"/>
  <c r="J2380" i="1"/>
  <c r="J2379" i="1"/>
  <c r="J2378" i="1"/>
  <c r="J2377" i="1"/>
  <c r="J2376" i="1"/>
  <c r="J2375" i="1"/>
  <c r="J2374" i="1"/>
  <c r="J2373" i="1"/>
  <c r="J2363" i="1"/>
  <c r="J2362" i="1"/>
  <c r="J2361" i="1"/>
  <c r="J2360" i="1"/>
  <c r="J2359" i="1"/>
  <c r="J2356" i="1"/>
  <c r="J2355" i="1"/>
  <c r="J2354" i="1"/>
  <c r="J2353" i="1"/>
  <c r="J2352" i="1"/>
  <c r="J2351" i="1"/>
  <c r="J2350" i="1"/>
  <c r="J2349" i="1"/>
  <c r="J2339" i="1"/>
  <c r="J2338" i="1"/>
  <c r="J2337" i="1"/>
  <c r="J2336" i="1"/>
  <c r="J2335" i="1"/>
  <c r="J2334" i="1"/>
  <c r="J2333" i="1"/>
  <c r="J2332" i="1"/>
  <c r="J2322" i="1"/>
  <c r="J2321" i="1"/>
  <c r="J2320" i="1"/>
  <c r="J2319" i="1"/>
  <c r="J2318" i="1"/>
  <c r="J2317" i="1"/>
  <c r="J2316" i="1"/>
  <c r="J2315" i="1"/>
  <c r="J2305" i="1"/>
  <c r="J2304" i="1"/>
  <c r="J2303" i="1"/>
  <c r="J2302" i="1"/>
  <c r="J2301" i="1"/>
  <c r="J2300" i="1"/>
  <c r="J2299" i="1"/>
  <c r="J2298" i="1"/>
  <c r="J2288" i="1"/>
  <c r="J2287" i="1"/>
  <c r="J2286" i="1"/>
  <c r="J2285" i="1"/>
  <c r="J2284" i="1"/>
  <c r="J2283" i="1"/>
  <c r="J2282" i="1"/>
  <c r="J2281" i="1"/>
  <c r="J2271" i="1"/>
  <c r="J2270" i="1"/>
  <c r="J2269" i="1"/>
  <c r="J2268" i="1"/>
  <c r="J2267" i="1"/>
  <c r="J2266" i="1"/>
  <c r="J2265" i="1"/>
  <c r="J2264" i="1"/>
  <c r="J2254" i="1"/>
  <c r="J2253" i="1"/>
  <c r="J2252" i="1"/>
  <c r="J2251" i="1"/>
  <c r="J2250" i="1"/>
  <c r="J2249" i="1"/>
  <c r="J2248" i="1"/>
  <c r="J2247" i="1"/>
  <c r="J2237" i="1"/>
  <c r="J2236" i="1"/>
  <c r="J2235" i="1"/>
  <c r="J2234" i="1"/>
  <c r="J2233" i="1"/>
  <c r="J2232" i="1"/>
  <c r="J2231" i="1"/>
  <c r="J2230" i="1"/>
  <c r="J2220" i="1"/>
  <c r="J2219" i="1"/>
  <c r="J2218" i="1"/>
  <c r="J2217" i="1"/>
  <c r="J2216" i="1"/>
  <c r="J2215" i="1"/>
  <c r="J2214" i="1"/>
  <c r="J2213" i="1"/>
  <c r="J2203" i="1"/>
  <c r="J2202" i="1"/>
  <c r="J2201" i="1"/>
  <c r="J2200" i="1"/>
  <c r="J2199" i="1"/>
  <c r="J2198" i="1"/>
  <c r="J2197" i="1"/>
  <c r="J2196" i="1"/>
  <c r="J2186" i="1"/>
  <c r="J2185" i="1"/>
  <c r="J2184" i="1"/>
  <c r="J2183" i="1"/>
  <c r="J2182" i="1"/>
  <c r="J2181" i="1"/>
  <c r="J2180" i="1"/>
  <c r="J2179" i="1"/>
  <c r="J2169" i="1"/>
  <c r="J2168" i="1"/>
  <c r="J2167" i="1"/>
  <c r="J2166" i="1"/>
  <c r="J2165" i="1"/>
  <c r="J2164" i="1"/>
  <c r="J2163" i="1"/>
  <c r="J2162" i="1"/>
  <c r="J2152" i="1"/>
  <c r="J2151" i="1"/>
  <c r="J2150" i="1"/>
  <c r="J2149" i="1"/>
  <c r="J2148" i="1"/>
  <c r="J2147" i="1"/>
  <c r="J2146" i="1"/>
  <c r="J2145" i="1"/>
  <c r="J2135" i="1"/>
  <c r="J2134" i="1"/>
  <c r="J2133" i="1"/>
  <c r="J2132" i="1"/>
  <c r="J2131" i="1"/>
  <c r="J2130" i="1"/>
  <c r="J2129" i="1"/>
  <c r="J2128" i="1"/>
  <c r="J2118" i="1"/>
  <c r="J2117" i="1"/>
  <c r="J2116" i="1"/>
  <c r="J2115" i="1"/>
  <c r="J2114" i="1"/>
  <c r="J2113" i="1"/>
  <c r="J2112" i="1"/>
  <c r="J2111" i="1"/>
  <c r="J2101" i="1"/>
  <c r="J2100" i="1"/>
  <c r="J2099" i="1"/>
  <c r="J2098" i="1"/>
  <c r="J2097" i="1"/>
  <c r="J2096" i="1"/>
  <c r="J2095" i="1"/>
  <c r="J2094" i="1"/>
  <c r="J2084" i="1"/>
  <c r="J2083" i="1"/>
  <c r="J2082" i="1"/>
  <c r="J2081" i="1"/>
  <c r="J2080" i="1"/>
  <c r="J2079" i="1"/>
  <c r="J2078" i="1"/>
  <c r="J2077" i="1"/>
  <c r="J2067" i="1"/>
  <c r="J2066" i="1"/>
  <c r="J2065" i="1"/>
  <c r="J2064" i="1"/>
  <c r="J2063" i="1"/>
  <c r="J2062" i="1"/>
  <c r="J2061" i="1"/>
  <c r="J2060" i="1"/>
  <c r="J2050" i="1"/>
  <c r="J2049" i="1"/>
  <c r="J2048" i="1"/>
  <c r="J2047" i="1"/>
  <c r="J2046" i="1"/>
  <c r="J2045" i="1"/>
  <c r="J2044" i="1"/>
  <c r="J2043" i="1"/>
  <c r="J2033" i="1"/>
  <c r="J2032" i="1"/>
  <c r="J2031" i="1"/>
  <c r="J2030" i="1"/>
  <c r="J2029" i="1"/>
  <c r="J2028" i="1"/>
  <c r="J2027" i="1"/>
  <c r="J2026" i="1"/>
  <c r="J2016" i="1"/>
  <c r="J2015" i="1"/>
  <c r="J2014" i="1"/>
  <c r="J2013" i="1"/>
  <c r="J2012" i="1"/>
  <c r="J2011" i="1"/>
  <c r="J2010" i="1"/>
  <c r="J2009" i="1"/>
  <c r="J1999" i="1"/>
  <c r="J1998" i="1"/>
  <c r="J1997" i="1"/>
  <c r="J1996" i="1"/>
  <c r="J1995" i="1"/>
  <c r="J1994" i="1"/>
  <c r="J1993" i="1"/>
  <c r="J1992" i="1"/>
  <c r="J1982" i="1"/>
  <c r="J1981" i="1"/>
  <c r="J1980" i="1"/>
  <c r="J1979" i="1"/>
  <c r="J1978" i="1"/>
  <c r="J1977" i="1"/>
  <c r="J1976" i="1"/>
  <c r="J1975" i="1"/>
  <c r="J1965" i="1"/>
  <c r="J1964" i="1"/>
  <c r="J1963" i="1"/>
  <c r="J1962" i="1"/>
  <c r="J1961" i="1"/>
  <c r="J1960" i="1"/>
  <c r="J1959" i="1"/>
  <c r="J1958" i="1"/>
  <c r="J1948" i="1"/>
  <c r="J1947" i="1"/>
  <c r="J1946" i="1"/>
  <c r="J1945" i="1"/>
  <c r="J1944" i="1"/>
  <c r="J1943" i="1"/>
  <c r="J1942" i="1"/>
  <c r="J1941" i="1"/>
  <c r="J1931" i="1"/>
  <c r="J1930" i="1"/>
  <c r="J1929" i="1"/>
  <c r="J1928" i="1"/>
  <c r="J1927" i="1"/>
  <c r="J1926" i="1"/>
  <c r="J1925" i="1"/>
  <c r="J1924" i="1"/>
  <c r="J1914" i="1"/>
  <c r="J1913" i="1"/>
  <c r="J1912" i="1"/>
  <c r="J1911" i="1"/>
  <c r="J1910" i="1"/>
  <c r="J1909" i="1"/>
  <c r="J1908" i="1"/>
  <c r="J1907" i="1"/>
  <c r="J1897" i="1"/>
  <c r="J1896" i="1"/>
  <c r="J1895" i="1"/>
  <c r="J1894" i="1"/>
  <c r="J1893" i="1"/>
  <c r="J1892" i="1"/>
  <c r="J1891" i="1"/>
  <c r="J1890" i="1"/>
  <c r="J1880" i="1"/>
  <c r="J1879" i="1"/>
  <c r="J1878" i="1"/>
  <c r="J1877" i="1"/>
  <c r="J1876" i="1"/>
  <c r="J1875" i="1"/>
  <c r="J1874" i="1"/>
  <c r="J1873" i="1"/>
  <c r="J1863" i="1"/>
  <c r="J1862" i="1"/>
  <c r="J1861" i="1"/>
  <c r="J1860" i="1"/>
  <c r="J1859" i="1"/>
  <c r="J1858" i="1"/>
  <c r="J1857" i="1"/>
  <c r="J1856" i="1"/>
  <c r="J1846" i="1"/>
  <c r="J1845" i="1"/>
  <c r="J1844" i="1"/>
  <c r="J1843" i="1"/>
  <c r="J1841" i="1"/>
  <c r="J1840" i="1"/>
  <c r="J1839" i="1"/>
  <c r="J1838" i="1"/>
  <c r="J1837" i="1"/>
  <c r="J1836" i="1"/>
  <c r="J1835" i="1"/>
  <c r="J1834" i="1"/>
  <c r="J1824" i="1"/>
  <c r="J1823" i="1"/>
  <c r="J1822" i="1"/>
  <c r="J1821" i="1"/>
  <c r="J1820" i="1"/>
  <c r="J1819" i="1"/>
  <c r="J1818" i="1"/>
  <c r="J1817" i="1"/>
  <c r="J1807" i="1"/>
  <c r="J1806" i="1"/>
  <c r="J1805" i="1"/>
  <c r="J1804" i="1"/>
  <c r="J1803" i="1"/>
  <c r="J1802" i="1"/>
  <c r="J1801" i="1"/>
  <c r="J1800" i="1"/>
  <c r="J1790" i="1"/>
  <c r="J1789" i="1"/>
  <c r="J1788" i="1"/>
  <c r="J1787" i="1"/>
  <c r="J1786" i="1"/>
  <c r="J1785" i="1"/>
  <c r="J1784" i="1"/>
  <c r="J1783" i="1"/>
  <c r="J1773" i="1"/>
  <c r="J1772" i="1"/>
  <c r="J1771" i="1"/>
  <c r="J1770" i="1"/>
  <c r="J1769" i="1"/>
  <c r="J1768" i="1"/>
  <c r="J1767" i="1"/>
  <c r="J1766" i="1"/>
  <c r="J1756" i="1"/>
  <c r="J1755" i="1"/>
  <c r="J1754" i="1"/>
  <c r="J1753" i="1"/>
  <c r="J1752" i="1"/>
  <c r="J1751" i="1"/>
  <c r="J1750" i="1"/>
  <c r="J1749" i="1"/>
  <c r="J1739" i="1"/>
  <c r="J1738" i="1"/>
  <c r="J1737" i="1"/>
  <c r="J1736" i="1"/>
  <c r="J1735" i="1"/>
  <c r="J1734" i="1"/>
  <c r="J1733" i="1"/>
  <c r="J1732" i="1"/>
  <c r="J1722" i="1"/>
  <c r="J1721" i="1"/>
  <c r="J1720" i="1"/>
  <c r="J1719" i="1"/>
  <c r="J1718" i="1"/>
  <c r="J1717" i="1"/>
  <c r="J1716" i="1"/>
  <c r="J1715" i="1"/>
  <c r="J1705" i="1"/>
  <c r="J1704" i="1"/>
  <c r="J1703" i="1"/>
  <c r="J1702" i="1"/>
  <c r="J1701" i="1"/>
  <c r="J1700" i="1"/>
  <c r="J1699" i="1"/>
  <c r="J1698" i="1"/>
  <c r="J1688" i="1"/>
  <c r="J1687" i="1"/>
  <c r="J1686" i="1"/>
  <c r="J1685" i="1"/>
  <c r="J1684" i="1"/>
  <c r="J1683" i="1"/>
  <c r="J1682" i="1"/>
  <c r="J1681" i="1"/>
  <c r="J1671" i="1"/>
  <c r="J1670" i="1"/>
  <c r="J1669" i="1"/>
  <c r="J1668" i="1"/>
  <c r="J1667" i="1"/>
  <c r="J1666" i="1"/>
  <c r="J1665" i="1"/>
  <c r="J1664" i="1"/>
  <c r="J1654" i="1"/>
  <c r="J1653" i="1"/>
  <c r="J1652" i="1"/>
  <c r="J1651" i="1"/>
  <c r="J1650" i="1"/>
  <c r="J1649" i="1"/>
  <c r="J1648" i="1"/>
  <c r="J1647" i="1"/>
  <c r="J1637" i="1"/>
  <c r="J1636" i="1"/>
  <c r="J1635" i="1"/>
  <c r="J1634" i="1"/>
  <c r="J1633" i="1"/>
  <c r="J1632" i="1"/>
  <c r="J1631" i="1"/>
  <c r="J1630" i="1"/>
  <c r="J1620" i="1"/>
  <c r="J1619" i="1"/>
  <c r="J1618" i="1"/>
  <c r="J1617" i="1"/>
  <c r="J1616" i="1"/>
  <c r="J1615" i="1"/>
  <c r="J1614" i="1"/>
  <c r="J1613" i="1"/>
  <c r="J1603" i="1"/>
  <c r="J1602" i="1"/>
  <c r="J1601" i="1"/>
  <c r="J1600" i="1"/>
  <c r="J1599" i="1"/>
  <c r="J1598" i="1"/>
  <c r="J1597" i="1"/>
  <c r="J1596" i="1"/>
  <c r="J1586" i="1"/>
  <c r="J1585" i="1"/>
  <c r="J1584" i="1"/>
  <c r="J1583" i="1"/>
  <c r="J1582" i="1"/>
  <c r="J1581" i="1"/>
  <c r="J1580" i="1"/>
  <c r="J1579" i="1"/>
  <c r="J1569" i="1"/>
  <c r="J1568" i="1"/>
  <c r="J1567" i="1"/>
  <c r="J1566" i="1"/>
  <c r="J1565" i="1"/>
  <c r="J1564" i="1"/>
  <c r="J1563" i="1"/>
  <c r="J1562" i="1"/>
  <c r="J1552" i="1"/>
  <c r="J1551" i="1"/>
  <c r="J1550" i="1"/>
  <c r="J1549" i="1"/>
  <c r="J1548" i="1"/>
  <c r="J1547" i="1"/>
  <c r="J1546" i="1"/>
  <c r="J1545" i="1"/>
  <c r="J1535" i="1"/>
  <c r="J1534" i="1"/>
  <c r="J1533" i="1"/>
  <c r="J1532" i="1"/>
  <c r="J1531" i="1"/>
  <c r="J1530" i="1"/>
  <c r="J1529" i="1"/>
  <c r="J1528" i="1"/>
  <c r="J1518" i="1"/>
  <c r="J1517" i="1"/>
  <c r="J1516" i="1"/>
  <c r="J1515" i="1"/>
  <c r="J1514" i="1"/>
  <c r="J1513" i="1"/>
  <c r="J1512" i="1"/>
  <c r="J1511" i="1"/>
  <c r="J1501" i="1"/>
  <c r="J1500" i="1"/>
  <c r="J1499" i="1"/>
  <c r="J1498" i="1"/>
  <c r="J1497" i="1"/>
  <c r="J1496" i="1"/>
  <c r="J1495" i="1"/>
  <c r="J1494" i="1"/>
  <c r="J1484" i="1"/>
  <c r="J1483" i="1"/>
  <c r="J1482" i="1"/>
  <c r="J1481" i="1"/>
  <c r="J1480" i="1"/>
  <c r="J1479" i="1"/>
  <c r="J1478" i="1"/>
  <c r="J1477" i="1"/>
  <c r="J1467" i="1"/>
  <c r="J1466" i="1"/>
  <c r="J1465" i="1"/>
  <c r="J1464" i="1"/>
  <c r="J1463" i="1"/>
  <c r="J1462" i="1"/>
  <c r="J1461" i="1"/>
  <c r="J1460" i="1"/>
  <c r="J1450" i="1"/>
  <c r="J1449" i="1"/>
  <c r="J1448" i="1"/>
  <c r="J1447" i="1"/>
  <c r="J1446" i="1"/>
  <c r="J1445" i="1"/>
  <c r="J1444" i="1"/>
  <c r="J1443" i="1"/>
  <c r="J1433" i="1"/>
  <c r="J1432" i="1"/>
  <c r="J1431" i="1"/>
  <c r="J1430" i="1"/>
  <c r="J1429" i="1"/>
  <c r="J1428" i="1"/>
  <c r="J1427" i="1"/>
  <c r="J1426" i="1"/>
  <c r="J1416" i="1"/>
  <c r="J1415" i="1"/>
  <c r="J1414" i="1"/>
  <c r="J1413" i="1"/>
  <c r="J1412" i="1"/>
  <c r="J1411" i="1"/>
  <c r="J1401" i="1"/>
  <c r="J1400" i="1"/>
  <c r="J1399" i="1"/>
  <c r="J1398" i="1"/>
  <c r="J1397" i="1"/>
  <c r="J1396" i="1"/>
  <c r="J1395" i="1"/>
  <c r="J1394" i="1"/>
  <c r="J1384" i="1"/>
  <c r="J1383" i="1"/>
  <c r="J1382" i="1"/>
  <c r="J1381" i="1"/>
  <c r="J1380" i="1"/>
  <c r="J1379" i="1"/>
  <c r="J1378" i="1"/>
  <c r="J1377" i="1"/>
  <c r="J1367" i="1"/>
  <c r="J1366" i="1"/>
  <c r="J1365" i="1"/>
  <c r="J1364" i="1"/>
  <c r="J1363" i="1"/>
  <c r="J1362" i="1"/>
  <c r="J1361" i="1"/>
  <c r="J1360" i="1"/>
  <c r="J1350" i="1"/>
  <c r="J1349" i="1"/>
  <c r="J1348" i="1"/>
  <c r="J1347" i="1"/>
  <c r="J1346" i="1"/>
  <c r="J1345" i="1"/>
  <c r="J1344" i="1"/>
  <c r="J1343" i="1"/>
  <c r="J1333" i="1"/>
  <c r="J1332" i="1"/>
  <c r="J1331" i="1"/>
  <c r="J1330" i="1"/>
  <c r="J1329" i="1"/>
  <c r="J1328" i="1"/>
  <c r="J1327" i="1"/>
  <c r="J1326" i="1"/>
  <c r="J1316" i="1"/>
  <c r="J1315" i="1"/>
  <c r="J1314" i="1"/>
  <c r="J1313" i="1"/>
  <c r="J1312" i="1"/>
  <c r="J1311" i="1"/>
  <c r="J1310" i="1"/>
  <c r="J1309" i="1"/>
  <c r="J1299" i="1"/>
  <c r="J1298" i="1"/>
  <c r="J1297" i="1"/>
  <c r="J1296" i="1"/>
  <c r="J1295" i="1"/>
  <c r="J1294" i="1"/>
  <c r="J1293" i="1"/>
  <c r="J1292" i="1"/>
  <c r="J1282" i="1"/>
  <c r="J1281" i="1"/>
  <c r="J1280" i="1"/>
  <c r="J1279" i="1"/>
  <c r="J1278" i="1"/>
  <c r="J1277" i="1"/>
  <c r="J1276" i="1"/>
  <c r="J1275" i="1"/>
  <c r="J1265" i="1"/>
  <c r="J1264" i="1"/>
  <c r="J1263" i="1"/>
  <c r="J1262" i="1"/>
  <c r="J1261" i="1"/>
  <c r="J1260" i="1"/>
  <c r="J1259" i="1"/>
  <c r="J1258" i="1"/>
  <c r="J1248" i="1"/>
  <c r="J1247" i="1"/>
  <c r="J1246" i="1"/>
  <c r="J1245" i="1"/>
  <c r="J1244" i="1"/>
  <c r="J1243" i="1"/>
  <c r="J1242" i="1"/>
  <c r="J1241" i="1"/>
  <c r="J1231" i="1"/>
  <c r="J1230" i="1"/>
  <c r="J1229" i="1"/>
  <c r="J1228" i="1"/>
  <c r="J1227" i="1"/>
  <c r="J1226" i="1"/>
  <c r="J1225" i="1"/>
  <c r="J1224" i="1"/>
  <c r="J1214" i="1"/>
  <c r="J1213" i="1"/>
  <c r="J1212" i="1"/>
  <c r="J1211" i="1"/>
  <c r="J1210" i="1"/>
  <c r="J1209" i="1"/>
  <c r="J1208" i="1"/>
  <c r="J1207" i="1"/>
  <c r="J1197" i="1"/>
  <c r="J1196" i="1"/>
  <c r="J1195" i="1"/>
  <c r="J1194" i="1"/>
  <c r="J1192" i="1"/>
  <c r="J1191" i="1"/>
  <c r="J1190" i="1"/>
  <c r="J1189" i="1"/>
  <c r="J1187" i="1"/>
  <c r="J1186" i="1"/>
  <c r="J1185" i="1"/>
  <c r="J1184" i="1"/>
  <c r="J1183" i="1"/>
  <c r="J1182" i="1"/>
  <c r="J1181" i="1"/>
  <c r="J1180" i="1"/>
  <c r="J1170" i="1"/>
  <c r="J1169" i="1"/>
  <c r="J1168" i="1"/>
  <c r="J1167" i="1"/>
  <c r="J1166" i="1"/>
  <c r="J1165" i="1"/>
  <c r="J1164" i="1"/>
  <c r="J1163" i="1"/>
  <c r="J1153" i="1"/>
  <c r="J1152" i="1"/>
  <c r="J1151" i="1"/>
  <c r="J1150" i="1"/>
  <c r="J1149" i="1"/>
  <c r="J1148" i="1"/>
  <c r="J1147" i="1"/>
  <c r="J1146" i="1"/>
  <c r="J1136" i="1"/>
  <c r="J1135" i="1"/>
  <c r="J1134" i="1"/>
  <c r="J1133" i="1"/>
  <c r="J1132" i="1"/>
  <c r="J1131" i="1"/>
  <c r="J1130" i="1"/>
  <c r="J1129" i="1"/>
  <c r="J1119" i="1"/>
  <c r="J1118" i="1"/>
  <c r="J1117" i="1"/>
  <c r="J1116" i="1"/>
  <c r="J1115" i="1"/>
  <c r="J1114" i="1"/>
  <c r="J1113" i="1"/>
  <c r="J1112" i="1"/>
  <c r="J1102" i="1"/>
  <c r="J1101" i="1"/>
  <c r="J1100" i="1"/>
  <c r="J1099" i="1"/>
  <c r="J1098" i="1"/>
  <c r="J1097" i="1"/>
  <c r="J1096" i="1"/>
  <c r="J1095" i="1"/>
  <c r="J1085" i="1"/>
  <c r="J1084" i="1"/>
  <c r="J1083" i="1"/>
  <c r="J1082" i="1"/>
  <c r="J1081" i="1"/>
  <c r="J1080" i="1"/>
  <c r="J1079" i="1"/>
  <c r="J1078" i="1"/>
  <c r="J1068" i="1"/>
  <c r="J1067" i="1"/>
  <c r="J1066" i="1"/>
  <c r="J1065" i="1"/>
  <c r="J1064" i="1"/>
  <c r="J1063" i="1"/>
  <c r="J1062" i="1"/>
  <c r="J1061" i="1"/>
  <c r="J1051" i="1"/>
  <c r="J1050" i="1"/>
  <c r="J1049" i="1"/>
  <c r="J1048" i="1"/>
  <c r="J1047" i="1"/>
  <c r="J1046" i="1"/>
  <c r="J1045" i="1"/>
  <c r="J1044" i="1"/>
  <c r="J1034" i="1"/>
  <c r="J1033" i="1"/>
  <c r="J1032" i="1"/>
  <c r="J1031" i="1"/>
  <c r="J1030" i="1"/>
  <c r="J1029" i="1"/>
  <c r="J1028" i="1"/>
  <c r="J1027" i="1"/>
  <c r="J1017" i="1"/>
  <c r="J1016" i="1"/>
  <c r="J1015" i="1"/>
  <c r="J1014" i="1"/>
  <c r="J1013" i="1"/>
  <c r="J1012" i="1"/>
  <c r="J1011" i="1"/>
  <c r="J1010" i="1"/>
  <c r="J1000" i="1"/>
  <c r="J999" i="1"/>
  <c r="J998" i="1"/>
  <c r="J997" i="1"/>
  <c r="J996" i="1"/>
  <c r="J995" i="1"/>
  <c r="J994" i="1"/>
  <c r="J993" i="1"/>
  <c r="J983" i="1"/>
  <c r="J982" i="1"/>
  <c r="J981" i="1"/>
  <c r="J980" i="1"/>
  <c r="J979" i="1"/>
  <c r="J978" i="1"/>
  <c r="J977" i="1"/>
  <c r="J976" i="1"/>
  <c r="J966" i="1"/>
  <c r="J965" i="1"/>
  <c r="J964" i="1"/>
  <c r="J963" i="1"/>
  <c r="J962" i="1"/>
  <c r="J961" i="1"/>
  <c r="J960" i="1"/>
  <c r="J959" i="1"/>
  <c r="J949" i="1"/>
  <c r="J948" i="1"/>
  <c r="J947" i="1"/>
  <c r="J946" i="1"/>
  <c r="J945" i="1"/>
  <c r="J944" i="1"/>
  <c r="J943" i="1"/>
  <c r="J942" i="1"/>
  <c r="J932" i="1"/>
  <c r="J931" i="1"/>
  <c r="J930" i="1"/>
  <c r="J929" i="1"/>
  <c r="J928" i="1"/>
  <c r="J925" i="1"/>
  <c r="J924" i="1"/>
  <c r="J923" i="1"/>
  <c r="J922" i="1"/>
  <c r="J921" i="1"/>
  <c r="J920" i="1"/>
  <c r="J919" i="1"/>
  <c r="J918" i="1"/>
  <c r="J908" i="1"/>
  <c r="J907" i="1"/>
  <c r="J906" i="1"/>
  <c r="J905" i="1"/>
  <c r="J904" i="1"/>
  <c r="J903" i="1"/>
  <c r="J902" i="1"/>
  <c r="J901" i="1"/>
  <c r="J891" i="1"/>
  <c r="J890" i="1"/>
  <c r="J889" i="1"/>
  <c r="J888" i="1"/>
  <c r="J887" i="1"/>
  <c r="J886" i="1"/>
  <c r="J885" i="1"/>
  <c r="J884" i="1"/>
  <c r="J874" i="1"/>
  <c r="J873" i="1"/>
  <c r="J872" i="1"/>
  <c r="J871" i="1"/>
  <c r="J870" i="1"/>
  <c r="J869" i="1"/>
  <c r="J868" i="1"/>
  <c r="J867" i="1"/>
  <c r="J857" i="1"/>
  <c r="J856" i="1"/>
  <c r="J855" i="1"/>
  <c r="J854" i="1"/>
  <c r="J853" i="1"/>
  <c r="J852" i="1"/>
  <c r="J851" i="1"/>
  <c r="J850" i="1"/>
  <c r="J840" i="1"/>
  <c r="J839" i="1"/>
  <c r="J838" i="1"/>
  <c r="J837" i="1"/>
  <c r="J836" i="1"/>
  <c r="J835" i="1"/>
  <c r="J834" i="1"/>
  <c r="J833" i="1"/>
  <c r="J823" i="1"/>
  <c r="J822" i="1"/>
  <c r="J821" i="1"/>
  <c r="J820" i="1"/>
  <c r="J818" i="1"/>
  <c r="J817" i="1"/>
  <c r="J816" i="1"/>
  <c r="J815" i="1"/>
  <c r="J814" i="1"/>
  <c r="J813" i="1"/>
  <c r="J812" i="1"/>
  <c r="J811" i="1"/>
  <c r="J801" i="1"/>
  <c r="J800" i="1"/>
  <c r="J799" i="1"/>
  <c r="J798" i="1"/>
  <c r="J796" i="1"/>
  <c r="J795" i="1"/>
  <c r="J794" i="1"/>
  <c r="J793" i="1"/>
  <c r="J792" i="1"/>
  <c r="J791" i="1"/>
  <c r="J790" i="1"/>
  <c r="J789" i="1"/>
  <c r="J779" i="1"/>
  <c r="J778" i="1"/>
  <c r="J777" i="1"/>
  <c r="J776" i="1"/>
  <c r="J775" i="1"/>
  <c r="J774" i="1"/>
  <c r="J773" i="1"/>
  <c r="J772" i="1"/>
  <c r="J762" i="1"/>
  <c r="J761" i="1"/>
  <c r="J760" i="1"/>
  <c r="J759" i="1"/>
  <c r="J758" i="1"/>
  <c r="J757" i="1"/>
  <c r="J756" i="1"/>
  <c r="J755" i="1"/>
  <c r="J745" i="1"/>
  <c r="J744" i="1"/>
  <c r="J743" i="1"/>
  <c r="J742" i="1"/>
  <c r="J740" i="1"/>
  <c r="J739" i="1"/>
  <c r="J738" i="1"/>
  <c r="J737" i="1"/>
  <c r="J736" i="1"/>
  <c r="J735" i="1"/>
  <c r="J734" i="1"/>
  <c r="J733" i="1"/>
  <c r="J723" i="1"/>
  <c r="J722" i="1"/>
  <c r="J721" i="1"/>
  <c r="J720" i="1"/>
  <c r="J719" i="1"/>
  <c r="J718" i="1"/>
  <c r="J717" i="1"/>
  <c r="J716" i="1"/>
  <c r="J706" i="1"/>
  <c r="J705" i="1"/>
  <c r="J704" i="1"/>
  <c r="J703" i="1"/>
  <c r="J702" i="1"/>
  <c r="J701" i="1"/>
  <c r="J700" i="1"/>
  <c r="J699" i="1"/>
  <c r="J689" i="1"/>
  <c r="J688" i="1"/>
  <c r="J687" i="1"/>
  <c r="J686" i="1"/>
  <c r="J685" i="1"/>
  <c r="J684" i="1"/>
  <c r="J683" i="1"/>
  <c r="J682" i="1"/>
  <c r="J672" i="1"/>
  <c r="J671" i="1"/>
  <c r="J670" i="1"/>
  <c r="J669" i="1"/>
  <c r="J667" i="1"/>
  <c r="J666" i="1"/>
  <c r="J665" i="1"/>
  <c r="J664" i="1"/>
  <c r="J663" i="1"/>
  <c r="J662" i="1"/>
  <c r="J661" i="1"/>
  <c r="J660" i="1"/>
  <c r="J650" i="1"/>
  <c r="J649" i="1"/>
  <c r="J648" i="1"/>
  <c r="J647" i="1"/>
  <c r="J646" i="1"/>
  <c r="J645" i="1"/>
  <c r="J644" i="1"/>
  <c r="J643" i="1"/>
  <c r="J633" i="1"/>
  <c r="J632" i="1"/>
  <c r="J631" i="1"/>
  <c r="J630" i="1"/>
  <c r="J629" i="1"/>
  <c r="J628" i="1"/>
  <c r="J627" i="1"/>
  <c r="J626" i="1"/>
  <c r="J616" i="1"/>
  <c r="J615" i="1"/>
  <c r="J614" i="1"/>
  <c r="J613" i="1"/>
  <c r="J612" i="1"/>
  <c r="J611" i="1"/>
  <c r="J601" i="1"/>
  <c r="J600" i="1"/>
  <c r="J599" i="1"/>
  <c r="J598" i="1"/>
  <c r="J597" i="1"/>
  <c r="J596" i="1"/>
  <c r="J595" i="1"/>
  <c r="J594" i="1"/>
  <c r="J584" i="1"/>
  <c r="J583" i="1"/>
  <c r="J582" i="1"/>
  <c r="J581" i="1"/>
  <c r="J580" i="1"/>
  <c r="J579" i="1"/>
  <c r="J578" i="1"/>
  <c r="J577" i="1"/>
  <c r="J567" i="1"/>
  <c r="J566" i="1"/>
  <c r="J565" i="1"/>
  <c r="J564" i="1"/>
  <c r="J563" i="1"/>
  <c r="J562" i="1"/>
  <c r="J561" i="1"/>
  <c r="J560" i="1"/>
  <c r="J550" i="1"/>
  <c r="J549" i="1"/>
  <c r="J548" i="1"/>
  <c r="J547" i="1"/>
  <c r="J546" i="1"/>
  <c r="J545" i="1"/>
  <c r="J544" i="1"/>
  <c r="J543" i="1"/>
  <c r="J533" i="1"/>
  <c r="J532" i="1"/>
  <c r="J531" i="1"/>
  <c r="J530" i="1"/>
  <c r="J529" i="1"/>
  <c r="J528" i="1"/>
  <c r="J527" i="1"/>
  <c r="J526" i="1"/>
  <c r="J516" i="1"/>
  <c r="J515" i="1"/>
  <c r="J514" i="1"/>
  <c r="J513" i="1"/>
  <c r="J512" i="1"/>
  <c r="J511" i="1"/>
  <c r="J510" i="1"/>
  <c r="J509" i="1"/>
  <c r="J499" i="1"/>
  <c r="J498" i="1"/>
  <c r="J497" i="1"/>
  <c r="J496" i="1"/>
  <c r="J495" i="1"/>
  <c r="J494" i="1"/>
  <c r="J493" i="1"/>
  <c r="J492" i="1"/>
  <c r="J482" i="1"/>
  <c r="J481" i="1"/>
  <c r="J480" i="1"/>
  <c r="J479" i="1"/>
  <c r="J478" i="1"/>
  <c r="J477" i="1"/>
  <c r="J476" i="1"/>
  <c r="J475" i="1"/>
  <c r="J465" i="1"/>
  <c r="J464" i="1"/>
  <c r="J463" i="1"/>
  <c r="J462" i="1"/>
  <c r="J461" i="1"/>
  <c r="J460" i="1"/>
  <c r="J459" i="1"/>
  <c r="J458" i="1"/>
  <c r="J448" i="1"/>
  <c r="J447" i="1"/>
  <c r="J446" i="1"/>
  <c r="J445" i="1"/>
  <c r="J444" i="1"/>
  <c r="J443" i="1"/>
  <c r="J442" i="1"/>
  <c r="J441" i="1"/>
  <c r="J431" i="1"/>
  <c r="J430" i="1"/>
  <c r="J429" i="1"/>
  <c r="J428" i="1"/>
  <c r="J427" i="1"/>
  <c r="J426" i="1"/>
  <c r="J416" i="1"/>
  <c r="J415" i="1"/>
  <c r="J414" i="1"/>
  <c r="J413" i="1"/>
  <c r="J412" i="1"/>
  <c r="J411" i="1"/>
  <c r="J410" i="1"/>
  <c r="J409" i="1"/>
  <c r="J399" i="1"/>
  <c r="J398" i="1"/>
  <c r="J397" i="1"/>
  <c r="J396" i="1"/>
  <c r="J395" i="1"/>
  <c r="J394" i="1"/>
  <c r="J393" i="1"/>
  <c r="J392" i="1"/>
  <c r="J382" i="1"/>
  <c r="J381" i="1"/>
  <c r="J380" i="1"/>
  <c r="J379" i="1"/>
  <c r="J378" i="1"/>
  <c r="J377" i="1"/>
  <c r="J376" i="1"/>
  <c r="J375" i="1"/>
  <c r="J365" i="1"/>
  <c r="J364" i="1"/>
  <c r="J363" i="1"/>
  <c r="J362" i="1"/>
  <c r="J361" i="1"/>
  <c r="J360" i="1"/>
  <c r="J359" i="1"/>
  <c r="J358" i="1"/>
  <c r="J348" i="1"/>
  <c r="J347" i="1"/>
  <c r="J346" i="1"/>
  <c r="J345" i="1"/>
  <c r="J344" i="1"/>
  <c r="J343" i="1"/>
  <c r="J342" i="1"/>
  <c r="J341" i="1"/>
  <c r="J331" i="1"/>
  <c r="J330" i="1"/>
  <c r="J329" i="1"/>
  <c r="J328" i="1"/>
  <c r="J327" i="1"/>
  <c r="J326" i="1"/>
  <c r="J325" i="1"/>
  <c r="J324" i="1"/>
  <c r="J314" i="1"/>
  <c r="J313" i="1"/>
  <c r="J312" i="1"/>
  <c r="J311" i="1"/>
  <c r="J310" i="1"/>
  <c r="J309" i="1"/>
  <c r="J308" i="1"/>
  <c r="J307" i="1"/>
  <c r="J297" i="1"/>
  <c r="J296" i="1"/>
  <c r="J295" i="1"/>
  <c r="J294" i="1"/>
  <c r="J293" i="1"/>
  <c r="J292" i="1"/>
  <c r="J291" i="1"/>
  <c r="J290" i="1"/>
  <c r="J280" i="1"/>
  <c r="J279" i="1"/>
  <c r="J278" i="1"/>
  <c r="J277" i="1"/>
  <c r="J276" i="1"/>
  <c r="J275" i="1"/>
  <c r="J274" i="1"/>
  <c r="J273" i="1"/>
  <c r="J263" i="1"/>
  <c r="J262" i="1"/>
  <c r="J261" i="1"/>
  <c r="J260" i="1"/>
  <c r="J259" i="1"/>
  <c r="J258" i="1"/>
  <c r="J248" i="1"/>
  <c r="J247" i="1"/>
  <c r="J246" i="1"/>
  <c r="J245" i="1"/>
  <c r="J244" i="1"/>
  <c r="J243" i="1"/>
  <c r="J242" i="1"/>
  <c r="J241" i="1"/>
  <c r="J231" i="1"/>
  <c r="J230" i="1"/>
  <c r="J229" i="1"/>
  <c r="J228" i="1"/>
  <c r="J227" i="1"/>
  <c r="J226" i="1"/>
  <c r="J225" i="1"/>
  <c r="J224" i="1"/>
  <c r="J214" i="1"/>
  <c r="J213" i="1"/>
  <c r="J212" i="1"/>
  <c r="J211" i="1"/>
  <c r="J210" i="1"/>
  <c r="J209" i="1"/>
  <c r="J208" i="1"/>
  <c r="J207" i="1"/>
  <c r="J197" i="1"/>
  <c r="J196" i="1"/>
  <c r="J195" i="1"/>
  <c r="J194" i="1"/>
  <c r="J193" i="1"/>
  <c r="J192" i="1"/>
  <c r="J191" i="1"/>
  <c r="J190" i="1"/>
  <c r="J180" i="1"/>
  <c r="J179" i="1"/>
  <c r="J178" i="1"/>
  <c r="J177" i="1"/>
  <c r="J176" i="1"/>
  <c r="J175" i="1"/>
  <c r="J174" i="1"/>
  <c r="J173" i="1"/>
  <c r="J163" i="1"/>
  <c r="J162" i="1"/>
  <c r="J161" i="1"/>
  <c r="J160" i="1"/>
  <c r="J159" i="1"/>
  <c r="J158" i="1"/>
  <c r="J157" i="1"/>
  <c r="J156" i="1"/>
  <c r="J146" i="1"/>
  <c r="J145" i="1"/>
  <c r="J144" i="1"/>
  <c r="J143" i="1"/>
  <c r="J142" i="1"/>
  <c r="J141" i="1"/>
  <c r="J140" i="1"/>
  <c r="J139" i="1"/>
  <c r="J129" i="1"/>
  <c r="J128" i="1"/>
  <c r="J127" i="1"/>
  <c r="J126" i="1"/>
  <c r="J125" i="1"/>
  <c r="J124" i="1"/>
  <c r="J123" i="1"/>
  <c r="J122" i="1"/>
  <c r="J112" i="1"/>
  <c r="J111" i="1"/>
  <c r="J110" i="1"/>
  <c r="J109" i="1"/>
  <c r="J107" i="1"/>
  <c r="J106" i="1"/>
  <c r="J105" i="1"/>
  <c r="J104" i="1"/>
  <c r="J103" i="1"/>
  <c r="J102" i="1"/>
  <c r="J101" i="1"/>
  <c r="J100" i="1"/>
  <c r="J90" i="1"/>
  <c r="J89" i="1"/>
  <c r="J88" i="1"/>
  <c r="J87" i="1"/>
  <c r="J86" i="1"/>
  <c r="J85" i="1"/>
  <c r="J84" i="1"/>
  <c r="J83" i="1"/>
  <c r="J73" i="1"/>
  <c r="J72" i="1"/>
  <c r="J71" i="1"/>
  <c r="J70" i="1"/>
  <c r="J69" i="1"/>
  <c r="J68" i="1"/>
  <c r="J67" i="1"/>
  <c r="J66" i="1"/>
  <c r="J56" i="1"/>
  <c r="J55" i="1"/>
  <c r="J54" i="1"/>
  <c r="J53" i="1"/>
  <c r="J52" i="1"/>
  <c r="J51" i="1"/>
  <c r="J50" i="1"/>
  <c r="J49" i="1"/>
  <c r="J39" i="1"/>
  <c r="J38" i="1"/>
  <c r="J37" i="1"/>
  <c r="J36" i="1"/>
  <c r="J35" i="1"/>
  <c r="J34" i="1"/>
  <c r="J33" i="1"/>
  <c r="J32" i="1"/>
  <c r="J22" i="1"/>
  <c r="J21" i="1"/>
  <c r="J20" i="1"/>
  <c r="J19" i="1"/>
  <c r="J18" i="1"/>
  <c r="J17" i="1"/>
  <c r="J16" i="1"/>
  <c r="J15" i="1"/>
  <c r="R4" i="1"/>
  <c r="R5" i="1" s="1"/>
  <c r="R6" i="1" s="1"/>
  <c r="R3" i="1"/>
  <c r="I2639" i="1"/>
  <c r="I2638" i="1"/>
  <c r="I2637" i="1"/>
  <c r="I2635" i="1"/>
  <c r="I2634" i="1"/>
  <c r="I2620" i="1"/>
  <c r="I2611" i="1"/>
  <c r="I2608" i="1"/>
  <c r="I2606" i="1"/>
  <c r="I2597" i="1"/>
  <c r="I2595" i="1"/>
  <c r="I2594" i="1"/>
  <c r="I2592" i="1"/>
  <c r="I2583" i="1"/>
  <c r="I2555" i="1"/>
  <c r="I2552" i="1"/>
  <c r="I2551" i="1"/>
  <c r="I2550" i="1"/>
  <c r="I2541" i="1"/>
  <c r="I2540" i="1"/>
  <c r="I2527" i="1"/>
  <c r="I2526" i="1"/>
  <c r="I2523" i="1"/>
  <c r="I2513" i="1"/>
  <c r="I2512" i="1"/>
  <c r="I2509" i="1"/>
  <c r="I2508" i="1"/>
  <c r="I2499" i="1"/>
  <c r="I2498" i="1"/>
  <c r="I2497" i="1"/>
  <c r="I2495" i="1"/>
  <c r="I2481" i="1"/>
  <c r="I2480" i="1"/>
  <c r="I2471" i="1"/>
  <c r="I2470" i="1"/>
  <c r="I2467" i="1"/>
  <c r="I2457" i="1"/>
  <c r="I2455" i="1"/>
  <c r="I2443" i="1"/>
  <c r="I2442" i="1"/>
  <c r="I2438" i="1"/>
  <c r="I2428" i="1"/>
  <c r="I2425" i="1"/>
  <c r="I2415" i="1"/>
  <c r="I2412" i="1"/>
  <c r="I2411" i="1"/>
  <c r="I2410" i="1"/>
  <c r="I2401" i="1"/>
  <c r="I2400" i="1"/>
  <c r="I2399" i="1"/>
  <c r="I2398" i="1"/>
  <c r="I2396" i="1"/>
  <c r="I2386" i="1"/>
  <c r="I2385" i="1"/>
  <c r="I2369" i="1"/>
  <c r="I2368" i="1"/>
  <c r="I2359" i="1"/>
  <c r="I2357" i="1"/>
  <c r="I2356" i="1"/>
  <c r="I2355" i="1"/>
  <c r="I2354" i="1"/>
  <c r="I2345" i="1"/>
  <c r="I2344" i="1"/>
  <c r="I2343" i="1"/>
  <c r="I2341" i="1"/>
  <c r="I2340" i="1"/>
  <c r="I2331" i="1"/>
  <c r="I2317" i="1"/>
  <c r="I2312" i="1"/>
  <c r="I2303" i="1"/>
  <c r="I2302" i="1"/>
  <c r="I2300" i="1"/>
  <c r="I2299" i="1"/>
  <c r="I2298" i="1"/>
  <c r="I2287" i="1"/>
  <c r="I2284" i="1"/>
  <c r="I2275" i="1"/>
  <c r="I2274" i="1"/>
  <c r="I2273" i="1"/>
  <c r="I2271" i="1"/>
  <c r="I2260" i="1"/>
  <c r="I2259" i="1"/>
  <c r="I2256" i="1"/>
  <c r="I2247" i="1"/>
  <c r="I2246" i="1"/>
  <c r="I2244" i="1"/>
  <c r="I2233" i="1"/>
  <c r="I2232" i="1"/>
  <c r="I2231" i="1"/>
  <c r="I2229" i="1"/>
  <c r="I2219" i="1"/>
  <c r="I2216" i="1"/>
  <c r="I2215" i="1"/>
  <c r="I2214" i="1"/>
  <c r="I2205" i="1"/>
  <c r="I2204" i="1"/>
  <c r="I2202" i="1"/>
  <c r="I2201" i="1"/>
  <c r="I2200" i="1"/>
  <c r="I2191" i="1"/>
  <c r="I2190" i="1"/>
  <c r="I2188" i="1"/>
  <c r="I2187" i="1"/>
  <c r="I2177" i="1"/>
  <c r="I2174" i="1"/>
  <c r="I2173" i="1"/>
  <c r="I2172" i="1"/>
  <c r="I2163" i="1"/>
  <c r="I2160" i="1"/>
  <c r="I2159" i="1"/>
  <c r="I2158" i="1"/>
  <c r="I2149" i="1"/>
  <c r="I2148" i="1"/>
  <c r="I2145" i="1"/>
  <c r="I2144" i="1"/>
  <c r="I2135" i="1"/>
  <c r="I2134" i="1"/>
  <c r="I2133" i="1"/>
  <c r="I2130" i="1"/>
  <c r="I2120" i="1"/>
  <c r="I2116" i="1"/>
  <c r="I2107" i="1"/>
  <c r="I2104" i="1"/>
  <c r="I2103" i="1"/>
  <c r="I2102" i="1"/>
  <c r="I2092" i="1"/>
  <c r="I2088" i="1"/>
  <c r="I2077" i="1"/>
  <c r="I2076" i="1"/>
  <c r="I2075" i="1"/>
  <c r="I2074" i="1"/>
  <c r="I2065" i="1"/>
  <c r="I2064" i="1"/>
  <c r="I2063" i="1"/>
  <c r="I2062" i="1"/>
  <c r="I2061" i="1"/>
  <c r="I2051" i="1"/>
  <c r="I2050" i="1"/>
  <c r="I2037" i="1"/>
  <c r="I2036" i="1"/>
  <c r="I2035" i="1"/>
  <c r="I2033" i="1"/>
  <c r="I2019" i="1"/>
  <c r="I2018" i="1"/>
  <c r="I2005" i="1"/>
  <c r="I2004" i="1"/>
  <c r="I1995" i="1"/>
  <c r="I1992" i="1"/>
  <c r="I1991" i="1"/>
  <c r="I1990" i="1"/>
  <c r="I1978" i="1"/>
  <c r="I1967" i="1"/>
  <c r="I1966" i="1"/>
  <c r="I1964" i="1"/>
  <c r="I1962" i="1"/>
  <c r="I1953" i="1"/>
  <c r="I1952" i="1"/>
  <c r="I1951" i="1"/>
  <c r="I1950" i="1"/>
  <c r="I1949" i="1"/>
  <c r="I1948" i="1"/>
  <c r="I1938" i="1"/>
  <c r="I1937" i="1"/>
  <c r="I1925" i="1"/>
  <c r="I1923" i="1"/>
  <c r="I1921" i="1"/>
  <c r="I1911" i="1"/>
  <c r="I1910" i="1"/>
  <c r="I1907" i="1"/>
  <c r="I1906" i="1"/>
  <c r="I1897" i="1"/>
  <c r="I1896" i="1"/>
  <c r="I1881" i="1"/>
  <c r="I1879" i="1"/>
  <c r="I1878" i="1"/>
  <c r="I1869" i="1"/>
  <c r="I1868" i="1"/>
  <c r="I1867" i="1"/>
  <c r="I1866" i="1"/>
  <c r="I1864" i="1"/>
  <c r="I1855" i="1"/>
  <c r="I1851" i="1"/>
  <c r="I1850" i="1"/>
  <c r="I1841" i="1"/>
  <c r="I1840" i="1"/>
  <c r="I1838" i="1"/>
  <c r="I1837" i="1"/>
  <c r="I1836" i="1"/>
  <c r="I1827" i="1"/>
  <c r="I1824" i="1"/>
  <c r="I1823" i="1"/>
  <c r="I1799" i="1"/>
  <c r="I1798" i="1"/>
  <c r="I1797" i="1"/>
  <c r="I1795" i="1"/>
  <c r="I1794" i="1"/>
  <c r="I1781" i="1"/>
  <c r="I1780" i="1"/>
  <c r="I1771" i="1"/>
  <c r="I1770" i="1"/>
  <c r="I1768" i="1"/>
  <c r="I1767" i="1"/>
  <c r="I1766" i="1"/>
  <c r="I1757" i="1"/>
  <c r="I1756" i="1"/>
  <c r="I1754" i="1"/>
  <c r="I1753" i="1"/>
  <c r="I1752" i="1"/>
  <c r="I1739" i="1"/>
  <c r="I1728" i="1"/>
  <c r="I1714" i="1"/>
  <c r="I1713" i="1"/>
  <c r="I1710" i="1"/>
  <c r="I1700" i="1"/>
  <c r="I1698" i="1"/>
  <c r="I1687" i="1"/>
  <c r="I1686" i="1"/>
  <c r="I1684" i="1"/>
  <c r="I1682" i="1"/>
  <c r="I1670" i="1"/>
  <c r="I1669" i="1"/>
  <c r="I1668" i="1"/>
  <c r="I1659" i="1"/>
  <c r="I1658" i="1"/>
  <c r="I1657" i="1"/>
  <c r="I1655" i="1"/>
  <c r="I1645" i="1"/>
  <c r="I1644" i="1"/>
  <c r="I1641" i="1"/>
  <c r="I1640" i="1"/>
  <c r="I1631" i="1"/>
  <c r="I1630" i="1"/>
  <c r="I1627" i="1"/>
  <c r="I1603" i="1"/>
  <c r="I1602" i="1"/>
  <c r="I1601" i="1"/>
  <c r="I1599" i="1"/>
  <c r="I1597" i="1"/>
  <c r="I1589" i="1"/>
  <c r="I1573" i="1"/>
  <c r="I1571" i="1"/>
  <c r="I1561" i="1"/>
  <c r="I1560" i="1"/>
  <c r="I1559" i="1"/>
  <c r="I1558" i="1"/>
  <c r="I1547" i="1"/>
  <c r="I1546" i="1"/>
  <c r="I1543" i="1"/>
  <c r="I1531" i="1"/>
  <c r="I1530" i="1"/>
  <c r="I1518" i="1"/>
  <c r="I1515" i="1"/>
  <c r="I1505" i="1"/>
  <c r="I1504" i="1"/>
  <c r="I1503" i="1"/>
  <c r="I1501" i="1"/>
  <c r="I1491" i="1"/>
  <c r="I1490" i="1"/>
  <c r="I1487" i="1"/>
  <c r="I1486" i="1"/>
  <c r="I1476" i="1"/>
  <c r="I1472" i="1"/>
  <c r="I1463" i="1"/>
  <c r="I1449" i="1"/>
  <c r="I1448" i="1"/>
  <c r="I1446" i="1"/>
  <c r="I1445" i="1"/>
  <c r="I1435" i="1"/>
  <c r="I1434" i="1"/>
  <c r="I1433" i="1"/>
  <c r="I1431" i="1"/>
  <c r="I1421" i="1"/>
  <c r="I1419" i="1"/>
  <c r="I1418" i="1"/>
  <c r="I1416" i="1"/>
  <c r="I1405" i="1"/>
  <c r="I1402" i="1"/>
  <c r="I1393" i="1"/>
  <c r="I1379" i="1"/>
  <c r="I1376" i="1"/>
  <c r="I1375" i="1"/>
  <c r="I1363" i="1"/>
  <c r="I1362" i="1"/>
  <c r="I1347" i="1"/>
  <c r="I1337" i="1"/>
  <c r="I1336" i="1"/>
  <c r="I1335" i="1"/>
  <c r="I1333" i="1"/>
  <c r="I1332" i="1"/>
  <c r="I1323" i="1"/>
  <c r="I1321" i="1"/>
  <c r="I1318" i="1"/>
  <c r="I1295" i="1"/>
  <c r="I1294" i="1"/>
  <c r="I1293" i="1"/>
  <c r="I1291" i="1"/>
  <c r="I1290" i="1"/>
  <c r="I1281" i="1"/>
  <c r="I1278" i="1"/>
  <c r="I1277" i="1"/>
  <c r="I1266" i="1"/>
  <c r="I1264" i="1"/>
  <c r="I1252" i="1"/>
  <c r="I1250" i="1"/>
  <c r="I1238" i="1"/>
  <c r="I1237" i="1"/>
  <c r="I1236" i="1"/>
  <c r="I1225" i="1"/>
  <c r="I1221" i="1"/>
  <c r="I1211" i="1"/>
  <c r="I1209" i="1"/>
  <c r="I1207" i="1"/>
  <c r="I1197" i="1"/>
  <c r="I1196" i="1"/>
  <c r="I1193" i="1"/>
  <c r="I1192" i="1"/>
  <c r="I1180" i="1"/>
  <c r="I1179" i="1"/>
  <c r="I1169" i="1"/>
  <c r="I1155" i="1"/>
  <c r="I1153" i="1"/>
  <c r="I1152" i="1"/>
  <c r="I1151" i="1"/>
  <c r="I1141" i="1"/>
  <c r="I1140" i="1"/>
  <c r="I1137" i="1"/>
  <c r="I1136" i="1"/>
  <c r="I1127" i="1"/>
  <c r="I1110" i="1"/>
  <c r="I1109" i="1"/>
  <c r="I1099" i="1"/>
  <c r="I1097" i="1"/>
  <c r="I1096" i="1"/>
  <c r="I1095" i="1"/>
  <c r="I1085" i="1"/>
  <c r="I1071" i="1"/>
  <c r="I1070" i="1"/>
  <c r="I1068" i="1"/>
  <c r="I1066" i="1"/>
  <c r="I1057" i="1"/>
  <c r="I1056" i="1"/>
  <c r="I1055" i="1"/>
  <c r="I1043" i="1"/>
  <c r="I1042" i="1"/>
  <c r="I1041" i="1"/>
  <c r="I1039" i="1"/>
  <c r="I1038" i="1"/>
  <c r="I1029" i="1"/>
  <c r="I1025" i="1"/>
  <c r="I1024" i="1"/>
  <c r="I1015" i="1"/>
  <c r="I1014" i="1"/>
  <c r="I1013" i="1"/>
  <c r="I1001" i="1"/>
  <c r="I1000" i="1"/>
  <c r="I998" i="1"/>
  <c r="I987" i="1"/>
  <c r="I983" i="1"/>
  <c r="I982" i="1"/>
  <c r="I973" i="1"/>
  <c r="I971" i="1"/>
  <c r="I970" i="1"/>
  <c r="I969" i="1"/>
  <c r="I959" i="1"/>
  <c r="I945" i="1"/>
  <c r="I944" i="1"/>
  <c r="I943" i="1"/>
  <c r="I941" i="1"/>
  <c r="I940" i="1"/>
  <c r="I931" i="1"/>
  <c r="I930" i="1"/>
  <c r="I929" i="1"/>
  <c r="I917" i="1"/>
  <c r="I912" i="1"/>
  <c r="I903" i="1"/>
  <c r="I899" i="1"/>
  <c r="I898" i="1"/>
  <c r="I889" i="1"/>
  <c r="I875" i="1"/>
  <c r="I861" i="1"/>
  <c r="I860" i="1"/>
  <c r="I858" i="1"/>
  <c r="I856" i="1"/>
  <c r="I847" i="1"/>
  <c r="I846" i="1"/>
  <c r="I845" i="1"/>
  <c r="I833" i="1"/>
  <c r="I832" i="1"/>
  <c r="I830" i="1"/>
  <c r="I829" i="1"/>
  <c r="I819" i="1"/>
  <c r="I818" i="1"/>
  <c r="I817" i="1"/>
  <c r="I805" i="1"/>
  <c r="I804" i="1"/>
  <c r="I802" i="1"/>
  <c r="I800" i="1"/>
  <c r="I791" i="1"/>
  <c r="I790" i="1"/>
  <c r="I789" i="1"/>
  <c r="I788" i="1"/>
  <c r="I787" i="1"/>
  <c r="I786" i="1"/>
  <c r="I777" i="1"/>
  <c r="I776" i="1"/>
  <c r="I775" i="1"/>
  <c r="I772" i="1"/>
  <c r="I763" i="1"/>
  <c r="I759" i="1"/>
  <c r="I749" i="1"/>
  <c r="I748" i="1"/>
  <c r="I746" i="1"/>
  <c r="I735" i="1"/>
  <c r="I734" i="1"/>
  <c r="I730" i="1"/>
  <c r="I721" i="1"/>
  <c r="I718" i="1"/>
  <c r="I717" i="1"/>
  <c r="I716" i="1"/>
  <c r="I705" i="1"/>
  <c r="I704" i="1"/>
  <c r="I703" i="1"/>
  <c r="I693" i="1"/>
  <c r="I691" i="1"/>
  <c r="I689" i="1"/>
  <c r="I679" i="1"/>
  <c r="I677" i="1"/>
  <c r="I660" i="1"/>
  <c r="I651" i="1"/>
  <c r="I650" i="1"/>
  <c r="I649" i="1"/>
  <c r="I637" i="1"/>
  <c r="I623" i="1"/>
  <c r="I604" i="1"/>
  <c r="I603" i="1"/>
  <c r="I595" i="1"/>
  <c r="I594" i="1"/>
  <c r="I593" i="1"/>
  <c r="I591" i="1"/>
  <c r="I590" i="1"/>
  <c r="I581" i="1"/>
  <c r="I580" i="1"/>
  <c r="I565" i="1"/>
  <c r="I562" i="1"/>
  <c r="I553" i="1"/>
  <c r="I552" i="1"/>
  <c r="I550" i="1"/>
  <c r="I549" i="1"/>
  <c r="I548" i="1"/>
  <c r="I539" i="1"/>
  <c r="I538" i="1"/>
  <c r="I536" i="1"/>
  <c r="I510" i="1"/>
  <c r="I508" i="1"/>
  <c r="I506" i="1"/>
  <c r="I497" i="1"/>
  <c r="I496" i="1"/>
  <c r="I495" i="1"/>
  <c r="I492" i="1"/>
  <c r="I469" i="1"/>
  <c r="I468" i="1"/>
  <c r="I465" i="1"/>
  <c r="I464" i="1"/>
  <c r="I455" i="1"/>
  <c r="I453" i="1"/>
  <c r="I450" i="1"/>
  <c r="J454" i="1" s="1"/>
  <c r="I441" i="1"/>
  <c r="I438" i="1"/>
  <c r="I427" i="1"/>
  <c r="I426" i="1"/>
  <c r="I425" i="1"/>
  <c r="I411" i="1"/>
  <c r="I408" i="1"/>
  <c r="I399" i="1"/>
  <c r="I398" i="1"/>
  <c r="I397" i="1"/>
  <c r="I396" i="1"/>
  <c r="I395" i="1"/>
  <c r="I382" i="1"/>
  <c r="I370" i="1"/>
  <c r="I366" i="1"/>
  <c r="I357" i="1"/>
  <c r="I356" i="1"/>
  <c r="I353" i="1"/>
  <c r="I352" i="1"/>
  <c r="I343" i="1"/>
  <c r="I340" i="1"/>
  <c r="I339" i="1"/>
  <c r="I329" i="1"/>
  <c r="I315" i="1"/>
  <c r="I314" i="1"/>
  <c r="I313" i="1"/>
  <c r="I310" i="1"/>
  <c r="I301" i="1"/>
  <c r="I283" i="1"/>
  <c r="I273" i="1"/>
  <c r="I272" i="1"/>
  <c r="I268" i="1"/>
  <c r="I267" i="1"/>
  <c r="I259" i="1"/>
  <c r="I254" i="1"/>
  <c r="I245" i="1"/>
  <c r="I244" i="1"/>
  <c r="I241" i="1"/>
  <c r="I240" i="1"/>
  <c r="I231" i="1"/>
  <c r="I230" i="1"/>
  <c r="I229" i="1"/>
  <c r="I228" i="1"/>
  <c r="I214" i="1"/>
  <c r="I203" i="1"/>
  <c r="I202" i="1"/>
  <c r="I201" i="1"/>
  <c r="I199" i="1"/>
  <c r="I198" i="1"/>
  <c r="I184" i="1"/>
  <c r="I175" i="1"/>
  <c r="I174" i="1"/>
  <c r="I173" i="1"/>
  <c r="I171" i="1"/>
  <c r="I170" i="1"/>
  <c r="I160" i="1"/>
  <c r="I156" i="1"/>
  <c r="I146" i="1"/>
  <c r="I145" i="1"/>
  <c r="I142" i="1"/>
  <c r="I133" i="1"/>
  <c r="I132" i="1"/>
  <c r="I119" i="1"/>
  <c r="I118" i="1"/>
  <c r="I114" i="1"/>
  <c r="I105" i="1"/>
  <c r="I104" i="1"/>
  <c r="I102" i="1"/>
  <c r="I100" i="1"/>
  <c r="I91" i="1"/>
  <c r="I90" i="1"/>
  <c r="I88" i="1"/>
  <c r="I87" i="1"/>
  <c r="I77" i="1"/>
  <c r="I76" i="1"/>
  <c r="I75" i="1"/>
  <c r="I74" i="1"/>
  <c r="I73" i="1"/>
  <c r="I72" i="1"/>
  <c r="I63" i="1"/>
  <c r="I62" i="1"/>
  <c r="I59" i="1"/>
  <c r="I58" i="1"/>
  <c r="I49" i="1"/>
  <c r="I48" i="1"/>
  <c r="I44" i="1"/>
  <c r="I35" i="1"/>
  <c r="I34" i="1"/>
  <c r="I33" i="1"/>
  <c r="I32" i="1"/>
  <c r="I21" i="1"/>
  <c r="I20" i="1"/>
  <c r="I17" i="1"/>
  <c r="I16" i="1"/>
  <c r="I2" i="1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J747" i="1" l="1"/>
  <c r="J985" i="1"/>
  <c r="H1621" i="1"/>
  <c r="I1621" i="1" s="1"/>
  <c r="H1384" i="1"/>
  <c r="I1384" i="1" s="1"/>
  <c r="H1426" i="1"/>
  <c r="I1426" i="1" s="1"/>
  <c r="H1454" i="1"/>
  <c r="I1454" i="1" s="1"/>
  <c r="H1538" i="1"/>
  <c r="I1538" i="1" s="1"/>
  <c r="H1986" i="1"/>
  <c r="I1986" i="1" s="1"/>
  <c r="H556" i="1"/>
  <c r="I556" i="1" s="1"/>
  <c r="J556" i="1" s="1"/>
  <c r="J468" i="1"/>
  <c r="J439" i="1"/>
  <c r="J635" i="1"/>
  <c r="H1050" i="1"/>
  <c r="I1050" i="1" s="1"/>
  <c r="H1204" i="1"/>
  <c r="I1204" i="1" s="1"/>
  <c r="J1573" i="1"/>
  <c r="H1722" i="1"/>
  <c r="I1722" i="1" s="1"/>
  <c r="H1807" i="1"/>
  <c r="I1807" i="1" s="1"/>
  <c r="H1806" i="1"/>
  <c r="I1806" i="1" s="1"/>
  <c r="H2059" i="1"/>
  <c r="I2059" i="1" s="1"/>
  <c r="H2058" i="1"/>
  <c r="I2058" i="1" s="1"/>
  <c r="H2380" i="1"/>
  <c r="I2380" i="1" s="1"/>
  <c r="H2381" i="1"/>
  <c r="I2381" i="1" s="1"/>
  <c r="J2385" i="1" s="1"/>
  <c r="H2647" i="1"/>
  <c r="I2647" i="1" s="1"/>
  <c r="H2646" i="1"/>
  <c r="I2646" i="1" s="1"/>
  <c r="J2092" i="1"/>
  <c r="J469" i="1"/>
  <c r="H168" i="1"/>
  <c r="I168" i="1" s="1"/>
  <c r="H169" i="1"/>
  <c r="I169" i="1" s="1"/>
  <c r="H392" i="1"/>
  <c r="I392" i="1" s="1"/>
  <c r="H393" i="1"/>
  <c r="I393" i="1" s="1"/>
  <c r="H1106" i="1"/>
  <c r="I1106" i="1" s="1"/>
  <c r="J271" i="1"/>
  <c r="H196" i="1"/>
  <c r="I196" i="1" s="1"/>
  <c r="J200" i="1" s="1"/>
  <c r="H1288" i="1"/>
  <c r="I1288" i="1" s="1"/>
  <c r="J524" i="1"/>
  <c r="J202" i="1"/>
  <c r="J1714" i="1"/>
  <c r="J2388" i="1"/>
  <c r="H200" i="1"/>
  <c r="I200" i="1" s="1"/>
  <c r="J201" i="1" s="1"/>
  <c r="H270" i="1"/>
  <c r="I270" i="1" s="1"/>
  <c r="H311" i="1"/>
  <c r="I311" i="1" s="1"/>
  <c r="J315" i="1" s="1"/>
  <c r="H354" i="1"/>
  <c r="I354" i="1" s="1"/>
  <c r="J357" i="1" s="1"/>
  <c r="H424" i="1"/>
  <c r="I424" i="1" s="1"/>
  <c r="H494" i="1"/>
  <c r="I494" i="1" s="1"/>
  <c r="H648" i="1"/>
  <c r="I648" i="1" s="1"/>
  <c r="J652" i="1" s="1"/>
  <c r="H719" i="1"/>
  <c r="I719" i="1" s="1"/>
  <c r="H1642" i="1"/>
  <c r="I1642" i="1" s="1"/>
  <c r="H1894" i="1"/>
  <c r="I1894" i="1" s="1"/>
  <c r="J1898" i="1" s="1"/>
  <c r="H2034" i="1"/>
  <c r="I2034" i="1" s="1"/>
  <c r="H2245" i="1"/>
  <c r="I2245" i="1" s="1"/>
  <c r="H2342" i="1"/>
  <c r="I2342" i="1" s="1"/>
  <c r="H2454" i="1"/>
  <c r="I2454" i="1" s="1"/>
  <c r="H215" i="1"/>
  <c r="I215" i="1" s="1"/>
  <c r="H407" i="1"/>
  <c r="I407" i="1" s="1"/>
  <c r="H1107" i="1"/>
  <c r="I1107" i="1" s="1"/>
  <c r="J1110" i="1" s="1"/>
  <c r="H130" i="1"/>
  <c r="I130" i="1" s="1"/>
  <c r="H312" i="1"/>
  <c r="I312" i="1" s="1"/>
  <c r="H1012" i="1"/>
  <c r="I1012" i="1" s="1"/>
  <c r="H1054" i="1"/>
  <c r="I1054" i="1" s="1"/>
  <c r="J1057" i="1" s="1"/>
  <c r="H1488" i="1"/>
  <c r="I1488" i="1" s="1"/>
  <c r="J1491" i="1" s="1"/>
  <c r="H1545" i="1"/>
  <c r="I1545" i="1" s="1"/>
  <c r="H1600" i="1"/>
  <c r="I1600" i="1" s="1"/>
  <c r="J1604" i="1" s="1"/>
  <c r="H1685" i="1"/>
  <c r="I1685" i="1" s="1"/>
  <c r="H2189" i="1"/>
  <c r="I2189" i="1" s="1"/>
  <c r="J2191" i="1" s="1"/>
  <c r="H2510" i="1"/>
  <c r="I2510" i="1" s="1"/>
  <c r="H2636" i="1"/>
  <c r="I2636" i="1" s="1"/>
  <c r="H733" i="1"/>
  <c r="I733" i="1" s="1"/>
  <c r="H1195" i="1"/>
  <c r="I1195" i="1" s="1"/>
  <c r="H2203" i="1"/>
  <c r="I2203" i="1" s="1"/>
  <c r="J2205" i="1" s="1"/>
  <c r="H296" i="1"/>
  <c r="I296" i="1" s="1"/>
  <c r="H297" i="1"/>
  <c r="I297" i="1" s="1"/>
  <c r="H1011" i="1"/>
  <c r="I1011" i="1" s="1"/>
  <c r="H1010" i="1"/>
  <c r="I1010" i="1" s="1"/>
  <c r="H1263" i="1"/>
  <c r="I1263" i="1" s="1"/>
  <c r="J1267" i="1" s="1"/>
  <c r="H1262" i="1"/>
  <c r="I1262" i="1" s="1"/>
  <c r="H1305" i="1"/>
  <c r="I1305" i="1" s="1"/>
  <c r="H1304" i="1"/>
  <c r="I1304" i="1" s="1"/>
  <c r="H1389" i="1"/>
  <c r="I1389" i="1" s="1"/>
  <c r="H1388" i="1"/>
  <c r="I1388" i="1" s="1"/>
  <c r="H1557" i="1"/>
  <c r="I1557" i="1" s="1"/>
  <c r="H1556" i="1"/>
  <c r="I1556" i="1" s="1"/>
  <c r="H1585" i="1"/>
  <c r="I1585" i="1" s="1"/>
  <c r="H1584" i="1"/>
  <c r="I1584" i="1" s="1"/>
  <c r="H1697" i="1"/>
  <c r="I1697" i="1" s="1"/>
  <c r="H1696" i="1"/>
  <c r="I1696" i="1" s="1"/>
  <c r="H1724" i="1"/>
  <c r="I1724" i="1" s="1"/>
  <c r="J1728" i="1" s="1"/>
  <c r="H1725" i="1"/>
  <c r="I1725" i="1" s="1"/>
  <c r="J1729" i="1" s="1"/>
  <c r="H1893" i="1"/>
  <c r="I1893" i="1" s="1"/>
  <c r="H1892" i="1"/>
  <c r="I1892" i="1" s="1"/>
  <c r="H1935" i="1"/>
  <c r="I1935" i="1" s="1"/>
  <c r="J1937" i="1" s="1"/>
  <c r="H1934" i="1"/>
  <c r="I1934" i="1" s="1"/>
  <c r="H2047" i="1"/>
  <c r="I2047" i="1" s="1"/>
  <c r="H2046" i="1"/>
  <c r="I2046" i="1" s="1"/>
  <c r="H2243" i="1"/>
  <c r="I2243" i="1" s="1"/>
  <c r="H2242" i="1"/>
  <c r="I2242" i="1" s="1"/>
  <c r="J2246" i="1" s="1"/>
  <c r="H2327" i="1"/>
  <c r="I2327" i="1" s="1"/>
  <c r="J2331" i="1" s="1"/>
  <c r="H2326" i="1"/>
  <c r="I2326" i="1" s="1"/>
  <c r="J2330" i="1" s="1"/>
  <c r="H2564" i="1"/>
  <c r="I2564" i="1" s="1"/>
  <c r="H2565" i="1"/>
  <c r="I2565" i="1" s="1"/>
  <c r="H2649" i="1"/>
  <c r="I2649" i="1" s="1"/>
  <c r="H2648" i="1"/>
  <c r="I2648" i="1" s="1"/>
  <c r="H89" i="1"/>
  <c r="I89" i="1" s="1"/>
  <c r="J92" i="1" s="1"/>
  <c r="H621" i="1"/>
  <c r="I621" i="1" s="1"/>
  <c r="H928" i="1"/>
  <c r="I928" i="1" s="1"/>
  <c r="H1138" i="1"/>
  <c r="I1138" i="1" s="1"/>
  <c r="H1235" i="1"/>
  <c r="I1235" i="1" s="1"/>
  <c r="H1334" i="1"/>
  <c r="I1334" i="1" s="1"/>
  <c r="H2090" i="1"/>
  <c r="I2090" i="1" s="1"/>
  <c r="H1500" i="1"/>
  <c r="I1500" i="1" s="1"/>
  <c r="H1920" i="1"/>
  <c r="I1920" i="1" s="1"/>
  <c r="H901" i="1"/>
  <c r="I901" i="1" s="1"/>
  <c r="H900" i="1"/>
  <c r="I900" i="1" s="1"/>
  <c r="H1223" i="1"/>
  <c r="I1223" i="1" s="1"/>
  <c r="H1222" i="1"/>
  <c r="I1222" i="1" s="1"/>
  <c r="H1306" i="1"/>
  <c r="I1306" i="1" s="1"/>
  <c r="H1307" i="1"/>
  <c r="I1307" i="1" s="1"/>
  <c r="H1461" i="1"/>
  <c r="I1461" i="1" s="1"/>
  <c r="H1460" i="1"/>
  <c r="I1460" i="1" s="1"/>
  <c r="H1629" i="1"/>
  <c r="I1629" i="1" s="1"/>
  <c r="H1628" i="1"/>
  <c r="I1628" i="1" s="1"/>
  <c r="H1741" i="1"/>
  <c r="I1741" i="1" s="1"/>
  <c r="H1740" i="1"/>
  <c r="I1740" i="1" s="1"/>
  <c r="H1810" i="1"/>
  <c r="I1810" i="1" s="1"/>
  <c r="H1811" i="1"/>
  <c r="I1811" i="1" s="1"/>
  <c r="H1853" i="1"/>
  <c r="I1853" i="1" s="1"/>
  <c r="J1854" i="1" s="1"/>
  <c r="H1852" i="1"/>
  <c r="I1852" i="1" s="1"/>
  <c r="H2048" i="1"/>
  <c r="I2048" i="1" s="1"/>
  <c r="H2049" i="1"/>
  <c r="I2049" i="1" s="1"/>
  <c r="J2051" i="1" s="1"/>
  <c r="H2119" i="1"/>
  <c r="I2119" i="1" s="1"/>
  <c r="J2123" i="1" s="1"/>
  <c r="H2118" i="1"/>
  <c r="I2118" i="1" s="1"/>
  <c r="J2122" i="1" s="1"/>
  <c r="H2147" i="1"/>
  <c r="I2147" i="1" s="1"/>
  <c r="H2146" i="1"/>
  <c r="I2146" i="1" s="1"/>
  <c r="H2441" i="1"/>
  <c r="I2441" i="1" s="1"/>
  <c r="H2440" i="1"/>
  <c r="I2440" i="1" s="1"/>
  <c r="H2483" i="1"/>
  <c r="I2483" i="1" s="1"/>
  <c r="H2482" i="1"/>
  <c r="I2482" i="1" s="1"/>
  <c r="H2525" i="1"/>
  <c r="I2525" i="1" s="1"/>
  <c r="H2524" i="1"/>
  <c r="I2524" i="1" s="1"/>
  <c r="H60" i="1"/>
  <c r="I60" i="1" s="1"/>
  <c r="J63" i="1" s="1"/>
  <c r="H212" i="1"/>
  <c r="I212" i="1" s="1"/>
  <c r="J216" i="1" s="1"/>
  <c r="H282" i="1"/>
  <c r="I282" i="1" s="1"/>
  <c r="H368" i="1"/>
  <c r="I368" i="1" s="1"/>
  <c r="J371" i="1" s="1"/>
  <c r="H436" i="1"/>
  <c r="I436" i="1" s="1"/>
  <c r="J440" i="1" s="1"/>
  <c r="H507" i="1"/>
  <c r="I507" i="1" s="1"/>
  <c r="H551" i="1"/>
  <c r="I551" i="1" s="1"/>
  <c r="H592" i="1"/>
  <c r="I592" i="1" s="1"/>
  <c r="H1502" i="1"/>
  <c r="I1502" i="1" s="1"/>
  <c r="H1654" i="1"/>
  <c r="I1654" i="1" s="1"/>
  <c r="H2466" i="1"/>
  <c r="I2466" i="1" s="1"/>
  <c r="H128" i="1"/>
  <c r="I128" i="1" s="1"/>
  <c r="H2522" i="1"/>
  <c r="I2522" i="1" s="1"/>
  <c r="H30" i="1"/>
  <c r="I30" i="1" s="1"/>
  <c r="H101" i="1"/>
  <c r="I101" i="1" s="1"/>
  <c r="H143" i="1"/>
  <c r="I143" i="1" s="1"/>
  <c r="J147" i="1" s="1"/>
  <c r="H509" i="1"/>
  <c r="I509" i="1" s="1"/>
  <c r="H632" i="1"/>
  <c r="I632" i="1" s="1"/>
  <c r="H662" i="1"/>
  <c r="I662" i="1" s="1"/>
  <c r="H1292" i="1"/>
  <c r="I1292" i="1" s="1"/>
  <c r="H1349" i="1"/>
  <c r="I1349" i="1" s="1"/>
  <c r="H1404" i="1"/>
  <c r="I1404" i="1" s="1"/>
  <c r="H1614" i="1"/>
  <c r="I1614" i="1" s="1"/>
  <c r="H1908" i="1"/>
  <c r="I1908" i="1" s="1"/>
  <c r="H2258" i="1"/>
  <c r="I2258" i="1" s="1"/>
  <c r="H2650" i="1"/>
  <c r="I2650" i="1" s="1"/>
  <c r="H1391" i="1"/>
  <c r="I1391" i="1" s="1"/>
  <c r="H439" i="1"/>
  <c r="I439" i="1" s="1"/>
  <c r="H563" i="1"/>
  <c r="I563" i="1" s="1"/>
  <c r="H773" i="1"/>
  <c r="I773" i="1" s="1"/>
  <c r="J1812" i="1"/>
  <c r="H2314" i="1"/>
  <c r="I2314" i="1" s="1"/>
  <c r="H1965" i="1"/>
  <c r="I1965" i="1" s="1"/>
  <c r="J1969" i="1" s="1"/>
  <c r="H2105" i="1"/>
  <c r="I2105" i="1" s="1"/>
  <c r="J2108" i="1" s="1"/>
  <c r="H121" i="1"/>
  <c r="I121" i="1" s="1"/>
  <c r="J121" i="1" s="1"/>
  <c r="H9" i="1"/>
  <c r="I9" i="1" s="1"/>
  <c r="H37" i="1"/>
  <c r="I37" i="1" s="1"/>
  <c r="H65" i="1"/>
  <c r="I65" i="1" s="1"/>
  <c r="J65" i="1" s="1"/>
  <c r="H93" i="1"/>
  <c r="I93" i="1" s="1"/>
  <c r="H149" i="1"/>
  <c r="I149" i="1" s="1"/>
  <c r="H177" i="1"/>
  <c r="I177" i="1" s="1"/>
  <c r="J181" i="1" s="1"/>
  <c r="H205" i="1"/>
  <c r="I205" i="1" s="1"/>
  <c r="J206" i="1" s="1"/>
  <c r="H233" i="1"/>
  <c r="I233" i="1" s="1"/>
  <c r="H261" i="1"/>
  <c r="I261" i="1" s="1"/>
  <c r="H289" i="1"/>
  <c r="I289" i="1" s="1"/>
  <c r="H317" i="1"/>
  <c r="I317" i="1" s="1"/>
  <c r="H345" i="1"/>
  <c r="I345" i="1" s="1"/>
  <c r="H373" i="1"/>
  <c r="I373" i="1" s="1"/>
  <c r="H401" i="1"/>
  <c r="I401" i="1" s="1"/>
  <c r="H429" i="1"/>
  <c r="I429" i="1" s="1"/>
  <c r="H457" i="1"/>
  <c r="I457" i="1" s="1"/>
  <c r="J457" i="1" s="1"/>
  <c r="H485" i="1"/>
  <c r="I485" i="1" s="1"/>
  <c r="H513" i="1"/>
  <c r="I513" i="1" s="1"/>
  <c r="J517" i="1" s="1"/>
  <c r="H541" i="1"/>
  <c r="I541" i="1" s="1"/>
  <c r="H569" i="1"/>
  <c r="I569" i="1" s="1"/>
  <c r="J572" i="1" s="1"/>
  <c r="H611" i="1"/>
  <c r="I611" i="1" s="1"/>
  <c r="H639" i="1"/>
  <c r="I639" i="1" s="1"/>
  <c r="H667" i="1"/>
  <c r="I667" i="1" s="1"/>
  <c r="H681" i="1"/>
  <c r="I681" i="1" s="1"/>
  <c r="H709" i="1"/>
  <c r="I709" i="1" s="1"/>
  <c r="H737" i="1"/>
  <c r="I737" i="1" s="1"/>
  <c r="H765" i="1"/>
  <c r="I765" i="1" s="1"/>
  <c r="J765" i="1" s="1"/>
  <c r="H793" i="1"/>
  <c r="I793" i="1" s="1"/>
  <c r="H821" i="1"/>
  <c r="I821" i="1" s="1"/>
  <c r="H849" i="1"/>
  <c r="I849" i="1" s="1"/>
  <c r="H877" i="1"/>
  <c r="I877" i="1" s="1"/>
  <c r="J877" i="1" s="1"/>
  <c r="H905" i="1"/>
  <c r="I905" i="1" s="1"/>
  <c r="H933" i="1"/>
  <c r="I933" i="1" s="1"/>
  <c r="J935" i="1" s="1"/>
  <c r="H961" i="1"/>
  <c r="I961" i="1" s="1"/>
  <c r="H989" i="1"/>
  <c r="I989" i="1" s="1"/>
  <c r="H1031" i="1"/>
  <c r="I1031" i="1" s="1"/>
  <c r="H1073" i="1"/>
  <c r="I1073" i="1" s="1"/>
  <c r="H1115" i="1"/>
  <c r="I1115" i="1" s="1"/>
  <c r="H1143" i="1"/>
  <c r="I1143" i="1" s="1"/>
  <c r="H1171" i="1"/>
  <c r="I1171" i="1" s="1"/>
  <c r="H1199" i="1"/>
  <c r="I1199" i="1" s="1"/>
  <c r="J1199" i="1" s="1"/>
  <c r="H1227" i="1"/>
  <c r="I1227" i="1" s="1"/>
  <c r="H1255" i="1"/>
  <c r="I1255" i="1" s="1"/>
  <c r="J1255" i="1" s="1"/>
  <c r="H1283" i="1"/>
  <c r="I1283" i="1" s="1"/>
  <c r="H1311" i="1"/>
  <c r="I1311" i="1" s="1"/>
  <c r="H1339" i="1"/>
  <c r="I1339" i="1" s="1"/>
  <c r="H1367" i="1"/>
  <c r="I1367" i="1" s="1"/>
  <c r="J1371" i="1" s="1"/>
  <c r="H1395" i="1"/>
  <c r="I1395" i="1" s="1"/>
  <c r="H1423" i="1"/>
  <c r="I1423" i="1" s="1"/>
  <c r="H1451" i="1"/>
  <c r="I1451" i="1" s="1"/>
  <c r="H1479" i="1"/>
  <c r="I1479" i="1" s="1"/>
  <c r="H1507" i="1"/>
  <c r="I1507" i="1" s="1"/>
  <c r="H1535" i="1"/>
  <c r="I1535" i="1" s="1"/>
  <c r="H1563" i="1"/>
  <c r="I1563" i="1" s="1"/>
  <c r="H1591" i="1"/>
  <c r="I1591" i="1" s="1"/>
  <c r="H1619" i="1"/>
  <c r="I1619" i="1" s="1"/>
  <c r="H1647" i="1"/>
  <c r="I1647" i="1" s="1"/>
  <c r="H1675" i="1"/>
  <c r="I1675" i="1" s="1"/>
  <c r="H1703" i="1"/>
  <c r="I1703" i="1" s="1"/>
  <c r="H1731" i="1"/>
  <c r="I1731" i="1" s="1"/>
  <c r="J1731" i="1" s="1"/>
  <c r="H1787" i="1"/>
  <c r="I1787" i="1" s="1"/>
  <c r="H1815" i="1"/>
  <c r="I1815" i="1" s="1"/>
  <c r="J1815" i="1" s="1"/>
  <c r="H1843" i="1"/>
  <c r="I1843" i="1" s="1"/>
  <c r="H1871" i="1"/>
  <c r="I1871" i="1" s="1"/>
  <c r="H1913" i="1"/>
  <c r="I1913" i="1" s="1"/>
  <c r="H1941" i="1"/>
  <c r="I1941" i="1" s="1"/>
  <c r="H1969" i="1"/>
  <c r="I1969" i="1" s="1"/>
  <c r="J1972" i="1" s="1"/>
  <c r="H1997" i="1"/>
  <c r="I1997" i="1" s="1"/>
  <c r="J2000" i="1" s="1"/>
  <c r="H2025" i="1"/>
  <c r="I2025" i="1" s="1"/>
  <c r="H2053" i="1"/>
  <c r="I2053" i="1" s="1"/>
  <c r="H2081" i="1"/>
  <c r="I2081" i="1" s="1"/>
  <c r="H2109" i="1"/>
  <c r="I2109" i="1" s="1"/>
  <c r="J2110" i="1" s="1"/>
  <c r="H2137" i="1"/>
  <c r="I2137" i="1" s="1"/>
  <c r="J2139" i="1" s="1"/>
  <c r="H2165" i="1"/>
  <c r="I2165" i="1" s="1"/>
  <c r="H2193" i="1"/>
  <c r="I2193" i="1" s="1"/>
  <c r="H2221" i="1"/>
  <c r="I2221" i="1" s="1"/>
  <c r="H2249" i="1"/>
  <c r="I2249" i="1" s="1"/>
  <c r="H2277" i="1"/>
  <c r="I2277" i="1" s="1"/>
  <c r="H2291" i="1"/>
  <c r="I2291" i="1" s="1"/>
  <c r="H2333" i="1"/>
  <c r="I2333" i="1" s="1"/>
  <c r="H2361" i="1"/>
  <c r="I2361" i="1" s="1"/>
  <c r="H2389" i="1"/>
  <c r="I2389" i="1" s="1"/>
  <c r="H2417" i="1"/>
  <c r="I2417" i="1" s="1"/>
  <c r="H2445" i="1"/>
  <c r="I2445" i="1" s="1"/>
  <c r="J2445" i="1" s="1"/>
  <c r="H2473" i="1"/>
  <c r="I2473" i="1" s="1"/>
  <c r="J2474" i="1" s="1"/>
  <c r="H2501" i="1"/>
  <c r="I2501" i="1" s="1"/>
  <c r="H2529" i="1"/>
  <c r="I2529" i="1" s="1"/>
  <c r="J2529" i="1" s="1"/>
  <c r="H2557" i="1"/>
  <c r="I2557" i="1" s="1"/>
  <c r="J2557" i="1" s="1"/>
  <c r="H2585" i="1"/>
  <c r="I2585" i="1" s="1"/>
  <c r="H2627" i="1"/>
  <c r="I2627" i="1" s="1"/>
  <c r="J2629" i="1" s="1"/>
  <c r="H24" i="1"/>
  <c r="I24" i="1" s="1"/>
  <c r="H52" i="1"/>
  <c r="I52" i="1" s="1"/>
  <c r="H80" i="1"/>
  <c r="I80" i="1" s="1"/>
  <c r="H108" i="1"/>
  <c r="I108" i="1" s="1"/>
  <c r="H150" i="1"/>
  <c r="I150" i="1" s="1"/>
  <c r="H164" i="1"/>
  <c r="I164" i="1" s="1"/>
  <c r="H165" i="1"/>
  <c r="I165" i="1" s="1"/>
  <c r="H192" i="1"/>
  <c r="I192" i="1" s="1"/>
  <c r="H248" i="1"/>
  <c r="I248" i="1" s="1"/>
  <c r="H276" i="1"/>
  <c r="I276" i="1" s="1"/>
  <c r="H304" i="1"/>
  <c r="I304" i="1" s="1"/>
  <c r="H332" i="1"/>
  <c r="I332" i="1" s="1"/>
  <c r="J336" i="1" s="1"/>
  <c r="H374" i="1"/>
  <c r="I374" i="1" s="1"/>
  <c r="H402" i="1"/>
  <c r="I402" i="1" s="1"/>
  <c r="H430" i="1"/>
  <c r="I430" i="1" s="1"/>
  <c r="H444" i="1"/>
  <c r="I444" i="1" s="1"/>
  <c r="H472" i="1"/>
  <c r="I472" i="1" s="1"/>
  <c r="H486" i="1"/>
  <c r="I486" i="1" s="1"/>
  <c r="H514" i="1"/>
  <c r="I514" i="1" s="1"/>
  <c r="H542" i="1"/>
  <c r="I542" i="1" s="1"/>
  <c r="H584" i="1"/>
  <c r="I584" i="1" s="1"/>
  <c r="H598" i="1"/>
  <c r="I598" i="1" s="1"/>
  <c r="H626" i="1"/>
  <c r="I626" i="1" s="1"/>
  <c r="H654" i="1"/>
  <c r="I654" i="1" s="1"/>
  <c r="H682" i="1"/>
  <c r="I682" i="1" s="1"/>
  <c r="H710" i="1"/>
  <c r="I710" i="1" s="1"/>
  <c r="J711" i="1" s="1"/>
  <c r="H738" i="1"/>
  <c r="I738" i="1" s="1"/>
  <c r="H780" i="1"/>
  <c r="I780" i="1" s="1"/>
  <c r="J783" i="1" s="1"/>
  <c r="H808" i="1"/>
  <c r="I808" i="1" s="1"/>
  <c r="H836" i="1"/>
  <c r="I836" i="1" s="1"/>
  <c r="H850" i="1"/>
  <c r="I850" i="1" s="1"/>
  <c r="H878" i="1"/>
  <c r="I878" i="1" s="1"/>
  <c r="H906" i="1"/>
  <c r="I906" i="1" s="1"/>
  <c r="H934" i="1"/>
  <c r="I934" i="1" s="1"/>
  <c r="H962" i="1"/>
  <c r="I962" i="1" s="1"/>
  <c r="H990" i="1"/>
  <c r="I990" i="1" s="1"/>
  <c r="H1018" i="1"/>
  <c r="I1018" i="1" s="1"/>
  <c r="H1046" i="1"/>
  <c r="I1046" i="1" s="1"/>
  <c r="H1074" i="1"/>
  <c r="I1074" i="1" s="1"/>
  <c r="J1075" i="1" s="1"/>
  <c r="H1102" i="1"/>
  <c r="I1102" i="1" s="1"/>
  <c r="H1130" i="1"/>
  <c r="I1130" i="1" s="1"/>
  <c r="H1158" i="1"/>
  <c r="I1158" i="1" s="1"/>
  <c r="H1186" i="1"/>
  <c r="I1186" i="1" s="1"/>
  <c r="H1214" i="1"/>
  <c r="I1214" i="1" s="1"/>
  <c r="H1242" i="1"/>
  <c r="I1242" i="1" s="1"/>
  <c r="H1270" i="1"/>
  <c r="I1270" i="1" s="1"/>
  <c r="H1676" i="1"/>
  <c r="I1676" i="1" s="1"/>
  <c r="H1732" i="1"/>
  <c r="I1732" i="1" s="1"/>
  <c r="H1788" i="1"/>
  <c r="I1788" i="1" s="1"/>
  <c r="H2166" i="1"/>
  <c r="I2166" i="1" s="1"/>
  <c r="H221" i="1"/>
  <c r="I221" i="1" s="1"/>
  <c r="H375" i="1"/>
  <c r="I375" i="1" s="1"/>
  <c r="H697" i="1"/>
  <c r="I697" i="1" s="1"/>
  <c r="J423" i="1"/>
  <c r="H1759" i="1"/>
  <c r="I1759" i="1" s="1"/>
  <c r="H1087" i="1"/>
  <c r="I1087" i="1" s="1"/>
  <c r="H206" i="1"/>
  <c r="I206" i="1" s="1"/>
  <c r="H1745" i="1"/>
  <c r="I1745" i="1" s="1"/>
  <c r="H1059" i="1"/>
  <c r="I1059" i="1" s="1"/>
  <c r="J1059" i="1" s="1"/>
  <c r="H220" i="1"/>
  <c r="I220" i="1" s="1"/>
  <c r="H23" i="1"/>
  <c r="I23" i="1" s="1"/>
  <c r="J23" i="1" s="1"/>
  <c r="H51" i="1"/>
  <c r="I51" i="1" s="1"/>
  <c r="H79" i="1"/>
  <c r="I79" i="1" s="1"/>
  <c r="H107" i="1"/>
  <c r="I107" i="1" s="1"/>
  <c r="J108" i="1" s="1"/>
  <c r="H135" i="1"/>
  <c r="I135" i="1" s="1"/>
  <c r="H163" i="1"/>
  <c r="I163" i="1" s="1"/>
  <c r="H191" i="1"/>
  <c r="I191" i="1" s="1"/>
  <c r="H219" i="1"/>
  <c r="I219" i="1" s="1"/>
  <c r="H247" i="1"/>
  <c r="I247" i="1" s="1"/>
  <c r="H275" i="1"/>
  <c r="I275" i="1" s="1"/>
  <c r="H303" i="1"/>
  <c r="I303" i="1" s="1"/>
  <c r="H331" i="1"/>
  <c r="I331" i="1" s="1"/>
  <c r="H359" i="1"/>
  <c r="I359" i="1" s="1"/>
  <c r="H387" i="1"/>
  <c r="I387" i="1" s="1"/>
  <c r="J390" i="1" s="1"/>
  <c r="H415" i="1"/>
  <c r="I415" i="1" s="1"/>
  <c r="J418" i="1" s="1"/>
  <c r="H443" i="1"/>
  <c r="I443" i="1" s="1"/>
  <c r="H471" i="1"/>
  <c r="I471" i="1" s="1"/>
  <c r="J471" i="1" s="1"/>
  <c r="H499" i="1"/>
  <c r="I499" i="1" s="1"/>
  <c r="H527" i="1"/>
  <c r="I527" i="1" s="1"/>
  <c r="H555" i="1"/>
  <c r="I555" i="1" s="1"/>
  <c r="H583" i="1"/>
  <c r="I583" i="1" s="1"/>
  <c r="H597" i="1"/>
  <c r="I597" i="1" s="1"/>
  <c r="H625" i="1"/>
  <c r="I625" i="1" s="1"/>
  <c r="H653" i="1"/>
  <c r="I653" i="1" s="1"/>
  <c r="H695" i="1"/>
  <c r="I695" i="1" s="1"/>
  <c r="H723" i="1"/>
  <c r="I723" i="1" s="1"/>
  <c r="H751" i="1"/>
  <c r="I751" i="1" s="1"/>
  <c r="H779" i="1"/>
  <c r="I779" i="1" s="1"/>
  <c r="H807" i="1"/>
  <c r="I807" i="1" s="1"/>
  <c r="H835" i="1"/>
  <c r="I835" i="1" s="1"/>
  <c r="H863" i="1"/>
  <c r="I863" i="1" s="1"/>
  <c r="H891" i="1"/>
  <c r="I891" i="1" s="1"/>
  <c r="J892" i="1" s="1"/>
  <c r="H919" i="1"/>
  <c r="I919" i="1" s="1"/>
  <c r="H947" i="1"/>
  <c r="I947" i="1" s="1"/>
  <c r="H975" i="1"/>
  <c r="I975" i="1" s="1"/>
  <c r="H1003" i="1"/>
  <c r="I1003" i="1" s="1"/>
  <c r="H1017" i="1"/>
  <c r="I1017" i="1" s="1"/>
  <c r="H1045" i="1"/>
  <c r="I1045" i="1" s="1"/>
  <c r="H1101" i="1"/>
  <c r="I1101" i="1" s="1"/>
  <c r="H1129" i="1"/>
  <c r="I1129" i="1" s="1"/>
  <c r="H1157" i="1"/>
  <c r="I1157" i="1" s="1"/>
  <c r="H1185" i="1"/>
  <c r="I1185" i="1" s="1"/>
  <c r="H1213" i="1"/>
  <c r="I1213" i="1" s="1"/>
  <c r="H1241" i="1"/>
  <c r="I1241" i="1" s="1"/>
  <c r="H1269" i="1"/>
  <c r="I1269" i="1" s="1"/>
  <c r="H1297" i="1"/>
  <c r="I1297" i="1" s="1"/>
  <c r="H1325" i="1"/>
  <c r="I1325" i="1" s="1"/>
  <c r="H1353" i="1"/>
  <c r="I1353" i="1" s="1"/>
  <c r="H1381" i="1"/>
  <c r="I1381" i="1" s="1"/>
  <c r="H1409" i="1"/>
  <c r="I1409" i="1" s="1"/>
  <c r="H1437" i="1"/>
  <c r="I1437" i="1" s="1"/>
  <c r="H1465" i="1"/>
  <c r="I1465" i="1" s="1"/>
  <c r="H1493" i="1"/>
  <c r="I1493" i="1" s="1"/>
  <c r="J1493" i="1" s="1"/>
  <c r="H1521" i="1"/>
  <c r="I1521" i="1" s="1"/>
  <c r="H1549" i="1"/>
  <c r="I1549" i="1" s="1"/>
  <c r="H1577" i="1"/>
  <c r="I1577" i="1" s="1"/>
  <c r="J1577" i="1" s="1"/>
  <c r="H1605" i="1"/>
  <c r="I1605" i="1" s="1"/>
  <c r="H1633" i="1"/>
  <c r="I1633" i="1" s="1"/>
  <c r="H1661" i="1"/>
  <c r="I1661" i="1" s="1"/>
  <c r="J1661" i="1" s="1"/>
  <c r="H1689" i="1"/>
  <c r="I1689" i="1" s="1"/>
  <c r="J1689" i="1" s="1"/>
  <c r="H1717" i="1"/>
  <c r="I1717" i="1" s="1"/>
  <c r="H1773" i="1"/>
  <c r="I1773" i="1" s="1"/>
  <c r="H1801" i="1"/>
  <c r="I1801" i="1" s="1"/>
  <c r="H1829" i="1"/>
  <c r="I1829" i="1" s="1"/>
  <c r="H1857" i="1"/>
  <c r="I1857" i="1" s="1"/>
  <c r="H1885" i="1"/>
  <c r="I1885" i="1" s="1"/>
  <c r="H1899" i="1"/>
  <c r="I1899" i="1" s="1"/>
  <c r="H1927" i="1"/>
  <c r="I1927" i="1" s="1"/>
  <c r="H1955" i="1"/>
  <c r="I1955" i="1" s="1"/>
  <c r="H1983" i="1"/>
  <c r="I1983" i="1" s="1"/>
  <c r="H2011" i="1"/>
  <c r="I2011" i="1" s="1"/>
  <c r="H2039" i="1"/>
  <c r="I2039" i="1" s="1"/>
  <c r="J2041" i="1" s="1"/>
  <c r="H2067" i="1"/>
  <c r="I2067" i="1" s="1"/>
  <c r="H2095" i="1"/>
  <c r="I2095" i="1" s="1"/>
  <c r="H2123" i="1"/>
  <c r="I2123" i="1" s="1"/>
  <c r="H2151" i="1"/>
  <c r="I2151" i="1" s="1"/>
  <c r="H2179" i="1"/>
  <c r="I2179" i="1" s="1"/>
  <c r="H2207" i="1"/>
  <c r="I2207" i="1" s="1"/>
  <c r="H2235" i="1"/>
  <c r="I2235" i="1" s="1"/>
  <c r="H2263" i="1"/>
  <c r="I2263" i="1" s="1"/>
  <c r="J2263" i="1" s="1"/>
  <c r="H2305" i="1"/>
  <c r="I2305" i="1" s="1"/>
  <c r="H2319" i="1"/>
  <c r="I2319" i="1" s="1"/>
  <c r="H2347" i="1"/>
  <c r="I2347" i="1" s="1"/>
  <c r="J2347" i="1" s="1"/>
  <c r="H2375" i="1"/>
  <c r="I2375" i="1" s="1"/>
  <c r="H2403" i="1"/>
  <c r="I2403" i="1" s="1"/>
  <c r="J2406" i="1" s="1"/>
  <c r="H2431" i="1"/>
  <c r="I2431" i="1" s="1"/>
  <c r="H2459" i="1"/>
  <c r="I2459" i="1" s="1"/>
  <c r="H2487" i="1"/>
  <c r="I2487" i="1" s="1"/>
  <c r="H2515" i="1"/>
  <c r="I2515" i="1" s="1"/>
  <c r="H2543" i="1"/>
  <c r="I2543" i="1" s="1"/>
  <c r="H2571" i="1"/>
  <c r="I2571" i="1" s="1"/>
  <c r="H2599" i="1"/>
  <c r="I2599" i="1" s="1"/>
  <c r="H2613" i="1"/>
  <c r="I2613" i="1" s="1"/>
  <c r="H2641" i="1"/>
  <c r="I2641" i="1" s="1"/>
  <c r="H10" i="1"/>
  <c r="I10" i="1" s="1"/>
  <c r="H38" i="1"/>
  <c r="I38" i="1" s="1"/>
  <c r="H66" i="1"/>
  <c r="I66" i="1" s="1"/>
  <c r="H94" i="1"/>
  <c r="I94" i="1" s="1"/>
  <c r="H122" i="1"/>
  <c r="I122" i="1" s="1"/>
  <c r="H136" i="1"/>
  <c r="I136" i="1" s="1"/>
  <c r="J137" i="1" s="1"/>
  <c r="H178" i="1"/>
  <c r="I178" i="1" s="1"/>
  <c r="H234" i="1"/>
  <c r="I234" i="1" s="1"/>
  <c r="J234" i="1" s="1"/>
  <c r="H262" i="1"/>
  <c r="I262" i="1" s="1"/>
  <c r="H290" i="1"/>
  <c r="I290" i="1" s="1"/>
  <c r="H318" i="1"/>
  <c r="I318" i="1" s="1"/>
  <c r="J320" i="1" s="1"/>
  <c r="H360" i="1"/>
  <c r="I360" i="1" s="1"/>
  <c r="H388" i="1"/>
  <c r="I388" i="1" s="1"/>
  <c r="H416" i="1"/>
  <c r="I416" i="1" s="1"/>
  <c r="H458" i="1"/>
  <c r="I458" i="1" s="1"/>
  <c r="H500" i="1"/>
  <c r="I500" i="1" s="1"/>
  <c r="H528" i="1"/>
  <c r="I528" i="1" s="1"/>
  <c r="H570" i="1"/>
  <c r="I570" i="1" s="1"/>
  <c r="H612" i="1"/>
  <c r="I612" i="1" s="1"/>
  <c r="H640" i="1"/>
  <c r="I640" i="1" s="1"/>
  <c r="J642" i="1" s="1"/>
  <c r="H668" i="1"/>
  <c r="I668" i="1" s="1"/>
  <c r="J668" i="1" s="1"/>
  <c r="H696" i="1"/>
  <c r="I696" i="1" s="1"/>
  <c r="H724" i="1"/>
  <c r="I724" i="1" s="1"/>
  <c r="H752" i="1"/>
  <c r="I752" i="1" s="1"/>
  <c r="H766" i="1"/>
  <c r="I766" i="1" s="1"/>
  <c r="H794" i="1"/>
  <c r="I794" i="1" s="1"/>
  <c r="H822" i="1"/>
  <c r="I822" i="1" s="1"/>
  <c r="H864" i="1"/>
  <c r="I864" i="1" s="1"/>
  <c r="H892" i="1"/>
  <c r="I892" i="1" s="1"/>
  <c r="H920" i="1"/>
  <c r="I920" i="1" s="1"/>
  <c r="H948" i="1"/>
  <c r="I948" i="1" s="1"/>
  <c r="H976" i="1"/>
  <c r="I976" i="1" s="1"/>
  <c r="H1004" i="1"/>
  <c r="I1004" i="1" s="1"/>
  <c r="H1032" i="1"/>
  <c r="I1032" i="1" s="1"/>
  <c r="H1060" i="1"/>
  <c r="I1060" i="1" s="1"/>
  <c r="H1088" i="1"/>
  <c r="I1088" i="1" s="1"/>
  <c r="H1116" i="1"/>
  <c r="I1116" i="1" s="1"/>
  <c r="H1144" i="1"/>
  <c r="I1144" i="1" s="1"/>
  <c r="H1172" i="1"/>
  <c r="I1172" i="1" s="1"/>
  <c r="H1200" i="1"/>
  <c r="I1200" i="1" s="1"/>
  <c r="H1228" i="1"/>
  <c r="I1228" i="1" s="1"/>
  <c r="H1256" i="1"/>
  <c r="I1256" i="1" s="1"/>
  <c r="H1690" i="1"/>
  <c r="I1690" i="1" s="1"/>
  <c r="H1746" i="1"/>
  <c r="I1746" i="1" s="1"/>
  <c r="J1746" i="1" s="1"/>
  <c r="H2138" i="1"/>
  <c r="I2138" i="1" s="1"/>
  <c r="H1284" i="1"/>
  <c r="I1284" i="1" s="1"/>
  <c r="H1312" i="1"/>
  <c r="I1312" i="1" s="1"/>
  <c r="H1340" i="1"/>
  <c r="I1340" i="1" s="1"/>
  <c r="H1368" i="1"/>
  <c r="I1368" i="1" s="1"/>
  <c r="H1396" i="1"/>
  <c r="I1396" i="1" s="1"/>
  <c r="H1424" i="1"/>
  <c r="I1424" i="1" s="1"/>
  <c r="H1452" i="1"/>
  <c r="I1452" i="1" s="1"/>
  <c r="H1480" i="1"/>
  <c r="I1480" i="1" s="1"/>
  <c r="H1508" i="1"/>
  <c r="I1508" i="1" s="1"/>
  <c r="H1536" i="1"/>
  <c r="I1536" i="1" s="1"/>
  <c r="H1564" i="1"/>
  <c r="I1564" i="1" s="1"/>
  <c r="H1592" i="1"/>
  <c r="I1592" i="1" s="1"/>
  <c r="H1620" i="1"/>
  <c r="I1620" i="1" s="1"/>
  <c r="J1621" i="1" s="1"/>
  <c r="H1648" i="1"/>
  <c r="I1648" i="1" s="1"/>
  <c r="H1704" i="1"/>
  <c r="I1704" i="1" s="1"/>
  <c r="H1760" i="1"/>
  <c r="I1760" i="1" s="1"/>
  <c r="J1760" i="1" s="1"/>
  <c r="H1802" i="1"/>
  <c r="I1802" i="1" s="1"/>
  <c r="H1830" i="1"/>
  <c r="I1830" i="1" s="1"/>
  <c r="H1858" i="1"/>
  <c r="I1858" i="1" s="1"/>
  <c r="H1886" i="1"/>
  <c r="I1886" i="1" s="1"/>
  <c r="H1914" i="1"/>
  <c r="I1914" i="1" s="1"/>
  <c r="H1942" i="1"/>
  <c r="I1942" i="1" s="1"/>
  <c r="H1970" i="1"/>
  <c r="I1970" i="1" s="1"/>
  <c r="H1998" i="1"/>
  <c r="I1998" i="1" s="1"/>
  <c r="H2026" i="1"/>
  <c r="I2026" i="1" s="1"/>
  <c r="H2054" i="1"/>
  <c r="I2054" i="1" s="1"/>
  <c r="H2082" i="1"/>
  <c r="I2082" i="1" s="1"/>
  <c r="H2110" i="1"/>
  <c r="I2110" i="1" s="1"/>
  <c r="H2152" i="1"/>
  <c r="I2152" i="1" s="1"/>
  <c r="J2153" i="1" s="1"/>
  <c r="H2180" i="1"/>
  <c r="I2180" i="1" s="1"/>
  <c r="H2208" i="1"/>
  <c r="I2208" i="1" s="1"/>
  <c r="H2236" i="1"/>
  <c r="I2236" i="1" s="1"/>
  <c r="H2264" i="1"/>
  <c r="I2264" i="1" s="1"/>
  <c r="H2292" i="1"/>
  <c r="I2292" i="1" s="1"/>
  <c r="H2320" i="1"/>
  <c r="I2320" i="1" s="1"/>
  <c r="H2348" i="1"/>
  <c r="I2348" i="1" s="1"/>
  <c r="H2390" i="1"/>
  <c r="I2390" i="1" s="1"/>
  <c r="H2628" i="1"/>
  <c r="I2628" i="1" s="1"/>
  <c r="H25" i="1"/>
  <c r="I25" i="1" s="1"/>
  <c r="H53" i="1"/>
  <c r="I53" i="1" s="1"/>
  <c r="H81" i="1"/>
  <c r="I81" i="1" s="1"/>
  <c r="H109" i="1"/>
  <c r="I109" i="1" s="1"/>
  <c r="H137" i="1"/>
  <c r="I137" i="1" s="1"/>
  <c r="H179" i="1"/>
  <c r="I179" i="1" s="1"/>
  <c r="H207" i="1"/>
  <c r="I207" i="1" s="1"/>
  <c r="H235" i="1"/>
  <c r="I235" i="1" s="1"/>
  <c r="H263" i="1"/>
  <c r="I263" i="1" s="1"/>
  <c r="H291" i="1"/>
  <c r="I291" i="1" s="1"/>
  <c r="H319" i="1"/>
  <c r="I319" i="1" s="1"/>
  <c r="H361" i="1"/>
  <c r="I361" i="1" s="1"/>
  <c r="H389" i="1"/>
  <c r="I389" i="1" s="1"/>
  <c r="H417" i="1"/>
  <c r="I417" i="1" s="1"/>
  <c r="H459" i="1"/>
  <c r="I459" i="1" s="1"/>
  <c r="H487" i="1"/>
  <c r="I487" i="1" s="1"/>
  <c r="H515" i="1"/>
  <c r="I515" i="1" s="1"/>
  <c r="H557" i="1"/>
  <c r="I557" i="1" s="1"/>
  <c r="H585" i="1"/>
  <c r="I585" i="1" s="1"/>
  <c r="H613" i="1"/>
  <c r="I613" i="1" s="1"/>
  <c r="H627" i="1"/>
  <c r="I627" i="1" s="1"/>
  <c r="H655" i="1"/>
  <c r="I655" i="1" s="1"/>
  <c r="H683" i="1"/>
  <c r="I683" i="1" s="1"/>
  <c r="H725" i="1"/>
  <c r="I725" i="1" s="1"/>
  <c r="H753" i="1"/>
  <c r="I753" i="1" s="1"/>
  <c r="H781" i="1"/>
  <c r="I781" i="1" s="1"/>
  <c r="H809" i="1"/>
  <c r="I809" i="1" s="1"/>
  <c r="H837" i="1"/>
  <c r="I837" i="1" s="1"/>
  <c r="H865" i="1"/>
  <c r="I865" i="1" s="1"/>
  <c r="H893" i="1"/>
  <c r="I893" i="1" s="1"/>
  <c r="H921" i="1"/>
  <c r="I921" i="1" s="1"/>
  <c r="H949" i="1"/>
  <c r="I949" i="1" s="1"/>
  <c r="H977" i="1"/>
  <c r="I977" i="1" s="1"/>
  <c r="H1005" i="1"/>
  <c r="I1005" i="1" s="1"/>
  <c r="H1033" i="1"/>
  <c r="I1033" i="1" s="1"/>
  <c r="H1061" i="1"/>
  <c r="I1061" i="1" s="1"/>
  <c r="H1089" i="1"/>
  <c r="I1089" i="1" s="1"/>
  <c r="H1117" i="1"/>
  <c r="I1117" i="1" s="1"/>
  <c r="H1145" i="1"/>
  <c r="I1145" i="1" s="1"/>
  <c r="J1145" i="1" s="1"/>
  <c r="H1173" i="1"/>
  <c r="I1173" i="1" s="1"/>
  <c r="H1201" i="1"/>
  <c r="I1201" i="1" s="1"/>
  <c r="H1229" i="1"/>
  <c r="I1229" i="1" s="1"/>
  <c r="H1257" i="1"/>
  <c r="I1257" i="1" s="1"/>
  <c r="H1271" i="1"/>
  <c r="I1271" i="1" s="1"/>
  <c r="H1299" i="1"/>
  <c r="I1299" i="1" s="1"/>
  <c r="H1327" i="1"/>
  <c r="I1327" i="1" s="1"/>
  <c r="H1355" i="1"/>
  <c r="I1355" i="1" s="1"/>
  <c r="H1383" i="1"/>
  <c r="I1383" i="1" s="1"/>
  <c r="H1411" i="1"/>
  <c r="I1411" i="1" s="1"/>
  <c r="H1439" i="1"/>
  <c r="I1439" i="1" s="1"/>
  <c r="H1467" i="1"/>
  <c r="I1467" i="1" s="1"/>
  <c r="H1495" i="1"/>
  <c r="I1495" i="1" s="1"/>
  <c r="H1523" i="1"/>
  <c r="I1523" i="1" s="1"/>
  <c r="H1551" i="1"/>
  <c r="I1551" i="1" s="1"/>
  <c r="H1579" i="1"/>
  <c r="I1579" i="1" s="1"/>
  <c r="H1607" i="1"/>
  <c r="I1607" i="1" s="1"/>
  <c r="H1649" i="1"/>
  <c r="I1649" i="1" s="1"/>
  <c r="H1677" i="1"/>
  <c r="I1677" i="1" s="1"/>
  <c r="H1705" i="1"/>
  <c r="I1705" i="1" s="1"/>
  <c r="H1733" i="1"/>
  <c r="I1733" i="1" s="1"/>
  <c r="H1761" i="1"/>
  <c r="I1761" i="1" s="1"/>
  <c r="H1789" i="1"/>
  <c r="I1789" i="1" s="1"/>
  <c r="H1817" i="1"/>
  <c r="I1817" i="1" s="1"/>
  <c r="H1845" i="1"/>
  <c r="I1845" i="1" s="1"/>
  <c r="H1873" i="1"/>
  <c r="I1873" i="1" s="1"/>
  <c r="H1901" i="1"/>
  <c r="I1901" i="1" s="1"/>
  <c r="H1957" i="1"/>
  <c r="I1957" i="1" s="1"/>
  <c r="H1985" i="1"/>
  <c r="I1985" i="1" s="1"/>
  <c r="H2013" i="1"/>
  <c r="I2013" i="1" s="1"/>
  <c r="H2041" i="1"/>
  <c r="I2041" i="1" s="1"/>
  <c r="H2069" i="1"/>
  <c r="I2069" i="1" s="1"/>
  <c r="H2097" i="1"/>
  <c r="I2097" i="1" s="1"/>
  <c r="H2125" i="1"/>
  <c r="I2125" i="1" s="1"/>
  <c r="H2153" i="1"/>
  <c r="I2153" i="1" s="1"/>
  <c r="H2181" i="1"/>
  <c r="I2181" i="1" s="1"/>
  <c r="H2209" i="1"/>
  <c r="I2209" i="1" s="1"/>
  <c r="H2237" i="1"/>
  <c r="I2237" i="1" s="1"/>
  <c r="H2265" i="1"/>
  <c r="I2265" i="1" s="1"/>
  <c r="H2293" i="1"/>
  <c r="I2293" i="1" s="1"/>
  <c r="H2307" i="1"/>
  <c r="I2307" i="1" s="1"/>
  <c r="H2335" i="1"/>
  <c r="I2335" i="1" s="1"/>
  <c r="H2363" i="1"/>
  <c r="I2363" i="1" s="1"/>
  <c r="H2419" i="1"/>
  <c r="I2419" i="1" s="1"/>
  <c r="H2447" i="1"/>
  <c r="I2447" i="1" s="1"/>
  <c r="H2475" i="1"/>
  <c r="I2475" i="1" s="1"/>
  <c r="H2503" i="1"/>
  <c r="I2503" i="1" s="1"/>
  <c r="H2545" i="1"/>
  <c r="I2545" i="1" s="1"/>
  <c r="H2643" i="1"/>
  <c r="I2643" i="1" s="1"/>
  <c r="J171" i="1"/>
  <c r="H26" i="1"/>
  <c r="I26" i="1" s="1"/>
  <c r="J30" i="1" s="1"/>
  <c r="H54" i="1"/>
  <c r="I54" i="1" s="1"/>
  <c r="J58" i="1" s="1"/>
  <c r="H82" i="1"/>
  <c r="I82" i="1" s="1"/>
  <c r="J82" i="1" s="1"/>
  <c r="H110" i="1"/>
  <c r="I110" i="1" s="1"/>
  <c r="H138" i="1"/>
  <c r="I138" i="1" s="1"/>
  <c r="H166" i="1"/>
  <c r="I166" i="1" s="1"/>
  <c r="H194" i="1"/>
  <c r="I194" i="1" s="1"/>
  <c r="H222" i="1"/>
  <c r="I222" i="1" s="1"/>
  <c r="H250" i="1"/>
  <c r="I250" i="1" s="1"/>
  <c r="H278" i="1"/>
  <c r="I278" i="1" s="1"/>
  <c r="J282" i="1" s="1"/>
  <c r="H306" i="1"/>
  <c r="I306" i="1" s="1"/>
  <c r="H334" i="1"/>
  <c r="I334" i="1" s="1"/>
  <c r="H348" i="1"/>
  <c r="I348" i="1" s="1"/>
  <c r="H376" i="1"/>
  <c r="I376" i="1" s="1"/>
  <c r="H404" i="1"/>
  <c r="I404" i="1" s="1"/>
  <c r="H432" i="1"/>
  <c r="I432" i="1" s="1"/>
  <c r="H460" i="1"/>
  <c r="I460" i="1" s="1"/>
  <c r="H488" i="1"/>
  <c r="I488" i="1" s="1"/>
  <c r="H516" i="1"/>
  <c r="I516" i="1" s="1"/>
  <c r="H544" i="1"/>
  <c r="I544" i="1" s="1"/>
  <c r="H586" i="1"/>
  <c r="I586" i="1" s="1"/>
  <c r="H614" i="1"/>
  <c r="I614" i="1" s="1"/>
  <c r="H642" i="1"/>
  <c r="I642" i="1" s="1"/>
  <c r="H670" i="1"/>
  <c r="I670" i="1" s="1"/>
  <c r="H698" i="1"/>
  <c r="I698" i="1" s="1"/>
  <c r="H712" i="1"/>
  <c r="I712" i="1" s="1"/>
  <c r="H740" i="1"/>
  <c r="I740" i="1" s="1"/>
  <c r="H768" i="1"/>
  <c r="I768" i="1" s="1"/>
  <c r="H796" i="1"/>
  <c r="I796" i="1" s="1"/>
  <c r="H824" i="1"/>
  <c r="I824" i="1" s="1"/>
  <c r="J828" i="1" s="1"/>
  <c r="H852" i="1"/>
  <c r="I852" i="1" s="1"/>
  <c r="H880" i="1"/>
  <c r="I880" i="1" s="1"/>
  <c r="H908" i="1"/>
  <c r="I908" i="1" s="1"/>
  <c r="H936" i="1"/>
  <c r="I936" i="1" s="1"/>
  <c r="H964" i="1"/>
  <c r="I964" i="1" s="1"/>
  <c r="H992" i="1"/>
  <c r="I992" i="1" s="1"/>
  <c r="H1020" i="1"/>
  <c r="I1020" i="1" s="1"/>
  <c r="H1048" i="1"/>
  <c r="I1048" i="1" s="1"/>
  <c r="H1090" i="1"/>
  <c r="I1090" i="1" s="1"/>
  <c r="H1118" i="1"/>
  <c r="I1118" i="1" s="1"/>
  <c r="H1146" i="1"/>
  <c r="I1146" i="1" s="1"/>
  <c r="H1174" i="1"/>
  <c r="I1174" i="1" s="1"/>
  <c r="H1216" i="1"/>
  <c r="I1216" i="1" s="1"/>
  <c r="J1220" i="1" s="1"/>
  <c r="H1244" i="1"/>
  <c r="I1244" i="1" s="1"/>
  <c r="H1272" i="1"/>
  <c r="I1272" i="1" s="1"/>
  <c r="J1272" i="1" s="1"/>
  <c r="H1300" i="1"/>
  <c r="I1300" i="1" s="1"/>
  <c r="H1328" i="1"/>
  <c r="I1328" i="1" s="1"/>
  <c r="H1370" i="1"/>
  <c r="I1370" i="1" s="1"/>
  <c r="H1398" i="1"/>
  <c r="I1398" i="1" s="1"/>
  <c r="H1440" i="1"/>
  <c r="I1440" i="1" s="1"/>
  <c r="H1482" i="1"/>
  <c r="I1482" i="1" s="1"/>
  <c r="H1510" i="1"/>
  <c r="I1510" i="1" s="1"/>
  <c r="H1566" i="1"/>
  <c r="I1566" i="1" s="1"/>
  <c r="H1580" i="1"/>
  <c r="I1580" i="1" s="1"/>
  <c r="H1608" i="1"/>
  <c r="I1608" i="1" s="1"/>
  <c r="H1636" i="1"/>
  <c r="I1636" i="1" s="1"/>
  <c r="H1664" i="1"/>
  <c r="I1664" i="1" s="1"/>
  <c r="H1692" i="1"/>
  <c r="I1692" i="1" s="1"/>
  <c r="H1734" i="1"/>
  <c r="I1734" i="1" s="1"/>
  <c r="H1748" i="1"/>
  <c r="I1748" i="1" s="1"/>
  <c r="H1776" i="1"/>
  <c r="I1776" i="1" s="1"/>
  <c r="H1804" i="1"/>
  <c r="I1804" i="1" s="1"/>
  <c r="J1808" i="1" s="1"/>
  <c r="H1832" i="1"/>
  <c r="I1832" i="1" s="1"/>
  <c r="H1874" i="1"/>
  <c r="I1874" i="1" s="1"/>
  <c r="H1916" i="1"/>
  <c r="I1916" i="1" s="1"/>
  <c r="H1944" i="1"/>
  <c r="I1944" i="1" s="1"/>
  <c r="H2014" i="1"/>
  <c r="I2014" i="1" s="1"/>
  <c r="H2042" i="1"/>
  <c r="I2042" i="1" s="1"/>
  <c r="H2070" i="1"/>
  <c r="I2070" i="1" s="1"/>
  <c r="H2098" i="1"/>
  <c r="I2098" i="1" s="1"/>
  <c r="H2154" i="1"/>
  <c r="I2154" i="1" s="1"/>
  <c r="H2196" i="1"/>
  <c r="I2196" i="1" s="1"/>
  <c r="H2224" i="1"/>
  <c r="I2224" i="1" s="1"/>
  <c r="H2252" i="1"/>
  <c r="I2252" i="1" s="1"/>
  <c r="H2280" i="1"/>
  <c r="I2280" i="1" s="1"/>
  <c r="H2308" i="1"/>
  <c r="I2308" i="1" s="1"/>
  <c r="H2322" i="1"/>
  <c r="I2322" i="1" s="1"/>
  <c r="H2350" i="1"/>
  <c r="I2350" i="1" s="1"/>
  <c r="H2378" i="1"/>
  <c r="I2378" i="1" s="1"/>
  <c r="H2406" i="1"/>
  <c r="I2406" i="1" s="1"/>
  <c r="H2434" i="1"/>
  <c r="I2434" i="1" s="1"/>
  <c r="H2462" i="1"/>
  <c r="I2462" i="1" s="1"/>
  <c r="H2490" i="1"/>
  <c r="I2490" i="1" s="1"/>
  <c r="J2494" i="1" s="1"/>
  <c r="H2504" i="1"/>
  <c r="I2504" i="1" s="1"/>
  <c r="J2508" i="1" s="1"/>
  <c r="H2532" i="1"/>
  <c r="I2532" i="1" s="1"/>
  <c r="H2546" i="1"/>
  <c r="I2546" i="1" s="1"/>
  <c r="H2560" i="1"/>
  <c r="I2560" i="1" s="1"/>
  <c r="J2564" i="1" s="1"/>
  <c r="H2574" i="1"/>
  <c r="I2574" i="1" s="1"/>
  <c r="H2588" i="1"/>
  <c r="I2588" i="1" s="1"/>
  <c r="H2602" i="1"/>
  <c r="I2602" i="1" s="1"/>
  <c r="H2616" i="1"/>
  <c r="I2616" i="1" s="1"/>
  <c r="H2630" i="1"/>
  <c r="I2630" i="1" s="1"/>
  <c r="J1238" i="1"/>
  <c r="H195" i="1"/>
  <c r="I195" i="1" s="1"/>
  <c r="H27" i="1"/>
  <c r="I27" i="1" s="1"/>
  <c r="H55" i="1"/>
  <c r="I55" i="1" s="1"/>
  <c r="H83" i="1"/>
  <c r="I83" i="1" s="1"/>
  <c r="H111" i="1"/>
  <c r="I111" i="1" s="1"/>
  <c r="H139" i="1"/>
  <c r="I139" i="1" s="1"/>
  <c r="H181" i="1"/>
  <c r="I181" i="1" s="1"/>
  <c r="H223" i="1"/>
  <c r="I223" i="1" s="1"/>
  <c r="H265" i="1"/>
  <c r="I265" i="1" s="1"/>
  <c r="H293" i="1"/>
  <c r="I293" i="1" s="1"/>
  <c r="H321" i="1"/>
  <c r="I321" i="1" s="1"/>
  <c r="H349" i="1"/>
  <c r="I349" i="1" s="1"/>
  <c r="H447" i="1"/>
  <c r="I447" i="1" s="1"/>
  <c r="H475" i="1"/>
  <c r="I475" i="1" s="1"/>
  <c r="H503" i="1"/>
  <c r="I503" i="1" s="1"/>
  <c r="H531" i="1"/>
  <c r="I531" i="1" s="1"/>
  <c r="H573" i="1"/>
  <c r="I573" i="1" s="1"/>
  <c r="H602" i="1"/>
  <c r="I602" i="1" s="1"/>
  <c r="J606" i="1" s="1"/>
  <c r="H601" i="1"/>
  <c r="I601" i="1" s="1"/>
  <c r="J605" i="1" s="1"/>
  <c r="H629" i="1"/>
  <c r="I629" i="1" s="1"/>
  <c r="H657" i="1"/>
  <c r="I657" i="1" s="1"/>
  <c r="H685" i="1"/>
  <c r="I685" i="1" s="1"/>
  <c r="H713" i="1"/>
  <c r="I713" i="1" s="1"/>
  <c r="H755" i="1"/>
  <c r="I755" i="1" s="1"/>
  <c r="H783" i="1"/>
  <c r="I783" i="1" s="1"/>
  <c r="H811" i="1"/>
  <c r="I811" i="1" s="1"/>
  <c r="H839" i="1"/>
  <c r="I839" i="1" s="1"/>
  <c r="H867" i="1"/>
  <c r="I867" i="1" s="1"/>
  <c r="H895" i="1"/>
  <c r="I895" i="1" s="1"/>
  <c r="J899" i="1" s="1"/>
  <c r="H923" i="1"/>
  <c r="I923" i="1" s="1"/>
  <c r="H951" i="1"/>
  <c r="I951" i="1" s="1"/>
  <c r="H965" i="1"/>
  <c r="I965" i="1" s="1"/>
  <c r="H1301" i="1"/>
  <c r="I1301" i="1" s="1"/>
  <c r="H1791" i="1"/>
  <c r="I1791" i="1" s="1"/>
  <c r="J1795" i="1" s="1"/>
  <c r="J2384" i="1"/>
  <c r="H1287" i="1"/>
  <c r="I1287" i="1" s="1"/>
  <c r="J1813" i="1"/>
  <c r="H1298" i="1"/>
  <c r="I1298" i="1" s="1"/>
  <c r="H1326" i="1"/>
  <c r="I1326" i="1" s="1"/>
  <c r="H1354" i="1"/>
  <c r="I1354" i="1" s="1"/>
  <c r="H1382" i="1"/>
  <c r="I1382" i="1" s="1"/>
  <c r="H1410" i="1"/>
  <c r="I1410" i="1" s="1"/>
  <c r="H1438" i="1"/>
  <c r="I1438" i="1" s="1"/>
  <c r="H1466" i="1"/>
  <c r="I1466" i="1" s="1"/>
  <c r="H1494" i="1"/>
  <c r="I1494" i="1" s="1"/>
  <c r="H1522" i="1"/>
  <c r="I1522" i="1" s="1"/>
  <c r="H1550" i="1"/>
  <c r="I1550" i="1" s="1"/>
  <c r="H1578" i="1"/>
  <c r="I1578" i="1" s="1"/>
  <c r="J1578" i="1" s="1"/>
  <c r="H1606" i="1"/>
  <c r="I1606" i="1" s="1"/>
  <c r="H1634" i="1"/>
  <c r="I1634" i="1" s="1"/>
  <c r="H1662" i="1"/>
  <c r="I1662" i="1" s="1"/>
  <c r="H1718" i="1"/>
  <c r="I1718" i="1" s="1"/>
  <c r="H1774" i="1"/>
  <c r="I1774" i="1" s="1"/>
  <c r="H1816" i="1"/>
  <c r="I1816" i="1" s="1"/>
  <c r="H1844" i="1"/>
  <c r="I1844" i="1" s="1"/>
  <c r="H1872" i="1"/>
  <c r="I1872" i="1" s="1"/>
  <c r="H1900" i="1"/>
  <c r="I1900" i="1" s="1"/>
  <c r="H1928" i="1"/>
  <c r="I1928" i="1" s="1"/>
  <c r="H1956" i="1"/>
  <c r="I1956" i="1" s="1"/>
  <c r="H1984" i="1"/>
  <c r="I1984" i="1" s="1"/>
  <c r="H2012" i="1"/>
  <c r="I2012" i="1" s="1"/>
  <c r="H2040" i="1"/>
  <c r="I2040" i="1" s="1"/>
  <c r="J2040" i="1" s="1"/>
  <c r="H2068" i="1"/>
  <c r="I2068" i="1" s="1"/>
  <c r="H2096" i="1"/>
  <c r="I2096" i="1" s="1"/>
  <c r="H2124" i="1"/>
  <c r="I2124" i="1" s="1"/>
  <c r="H2194" i="1"/>
  <c r="I2194" i="1" s="1"/>
  <c r="H2222" i="1"/>
  <c r="I2222" i="1" s="1"/>
  <c r="H2250" i="1"/>
  <c r="I2250" i="1" s="1"/>
  <c r="H2278" i="1"/>
  <c r="I2278" i="1" s="1"/>
  <c r="H2306" i="1"/>
  <c r="I2306" i="1" s="1"/>
  <c r="H2334" i="1"/>
  <c r="I2334" i="1" s="1"/>
  <c r="H2362" i="1"/>
  <c r="I2362" i="1" s="1"/>
  <c r="J2364" i="1" s="1"/>
  <c r="H2376" i="1"/>
  <c r="I2376" i="1" s="1"/>
  <c r="H2404" i="1"/>
  <c r="I2404" i="1" s="1"/>
  <c r="H2418" i="1"/>
  <c r="I2418" i="1" s="1"/>
  <c r="J2420" i="1" s="1"/>
  <c r="H2432" i="1"/>
  <c r="I2432" i="1" s="1"/>
  <c r="H2446" i="1"/>
  <c r="I2446" i="1" s="1"/>
  <c r="H2460" i="1"/>
  <c r="I2460" i="1" s="1"/>
  <c r="H2474" i="1"/>
  <c r="I2474" i="1" s="1"/>
  <c r="H2488" i="1"/>
  <c r="I2488" i="1" s="1"/>
  <c r="H2502" i="1"/>
  <c r="I2502" i="1" s="1"/>
  <c r="H2516" i="1"/>
  <c r="I2516" i="1" s="1"/>
  <c r="H2530" i="1"/>
  <c r="I2530" i="1" s="1"/>
  <c r="H2544" i="1"/>
  <c r="I2544" i="1" s="1"/>
  <c r="H2558" i="1"/>
  <c r="I2558" i="1" s="1"/>
  <c r="H2572" i="1"/>
  <c r="I2572" i="1" s="1"/>
  <c r="H2586" i="1"/>
  <c r="I2586" i="1" s="1"/>
  <c r="H2600" i="1"/>
  <c r="I2600" i="1" s="1"/>
  <c r="H2614" i="1"/>
  <c r="I2614" i="1" s="1"/>
  <c r="H2642" i="1"/>
  <c r="I2642" i="1" s="1"/>
  <c r="H11" i="1"/>
  <c r="I11" i="1" s="1"/>
  <c r="H39" i="1"/>
  <c r="I39" i="1" s="1"/>
  <c r="H67" i="1"/>
  <c r="I67" i="1" s="1"/>
  <c r="H95" i="1"/>
  <c r="I95" i="1" s="1"/>
  <c r="H123" i="1"/>
  <c r="I123" i="1" s="1"/>
  <c r="H151" i="1"/>
  <c r="I151" i="1" s="1"/>
  <c r="H193" i="1"/>
  <c r="I193" i="1" s="1"/>
  <c r="H249" i="1"/>
  <c r="I249" i="1" s="1"/>
  <c r="H277" i="1"/>
  <c r="I277" i="1" s="1"/>
  <c r="H305" i="1"/>
  <c r="I305" i="1" s="1"/>
  <c r="H333" i="1"/>
  <c r="I333" i="1" s="1"/>
  <c r="H347" i="1"/>
  <c r="I347" i="1" s="1"/>
  <c r="J351" i="1" s="1"/>
  <c r="H403" i="1"/>
  <c r="I403" i="1" s="1"/>
  <c r="H431" i="1"/>
  <c r="I431" i="1" s="1"/>
  <c r="H445" i="1"/>
  <c r="I445" i="1" s="1"/>
  <c r="J449" i="1" s="1"/>
  <c r="H473" i="1"/>
  <c r="I473" i="1" s="1"/>
  <c r="H501" i="1"/>
  <c r="I501" i="1" s="1"/>
  <c r="H529" i="1"/>
  <c r="I529" i="1" s="1"/>
  <c r="H543" i="1"/>
  <c r="I543" i="1" s="1"/>
  <c r="H571" i="1"/>
  <c r="I571" i="1" s="1"/>
  <c r="H599" i="1"/>
  <c r="I599" i="1" s="1"/>
  <c r="H641" i="1"/>
  <c r="I641" i="1" s="1"/>
  <c r="H669" i="1"/>
  <c r="I669" i="1" s="1"/>
  <c r="H711" i="1"/>
  <c r="I711" i="1" s="1"/>
  <c r="H739" i="1"/>
  <c r="I739" i="1" s="1"/>
  <c r="H767" i="1"/>
  <c r="I767" i="1" s="1"/>
  <c r="H795" i="1"/>
  <c r="I795" i="1" s="1"/>
  <c r="H823" i="1"/>
  <c r="I823" i="1" s="1"/>
  <c r="J827" i="1" s="1"/>
  <c r="H851" i="1"/>
  <c r="I851" i="1" s="1"/>
  <c r="H879" i="1"/>
  <c r="I879" i="1" s="1"/>
  <c r="H907" i="1"/>
  <c r="I907" i="1" s="1"/>
  <c r="H935" i="1"/>
  <c r="I935" i="1" s="1"/>
  <c r="H963" i="1"/>
  <c r="I963" i="1" s="1"/>
  <c r="H991" i="1"/>
  <c r="I991" i="1" s="1"/>
  <c r="H1019" i="1"/>
  <c r="I1019" i="1" s="1"/>
  <c r="H1047" i="1"/>
  <c r="I1047" i="1" s="1"/>
  <c r="H1075" i="1"/>
  <c r="I1075" i="1" s="1"/>
  <c r="H1103" i="1"/>
  <c r="I1103" i="1" s="1"/>
  <c r="H1131" i="1"/>
  <c r="I1131" i="1" s="1"/>
  <c r="H1159" i="1"/>
  <c r="I1159" i="1" s="1"/>
  <c r="H1187" i="1"/>
  <c r="I1187" i="1" s="1"/>
  <c r="H1215" i="1"/>
  <c r="I1215" i="1" s="1"/>
  <c r="H1243" i="1"/>
  <c r="I1243" i="1" s="1"/>
  <c r="H1285" i="1"/>
  <c r="I1285" i="1" s="1"/>
  <c r="H1313" i="1"/>
  <c r="I1313" i="1" s="1"/>
  <c r="H1341" i="1"/>
  <c r="I1341" i="1" s="1"/>
  <c r="H1369" i="1"/>
  <c r="I1369" i="1" s="1"/>
  <c r="H1397" i="1"/>
  <c r="I1397" i="1" s="1"/>
  <c r="H1425" i="1"/>
  <c r="I1425" i="1" s="1"/>
  <c r="H1453" i="1"/>
  <c r="I1453" i="1" s="1"/>
  <c r="J1453" i="1" s="1"/>
  <c r="H1481" i="1"/>
  <c r="I1481" i="1" s="1"/>
  <c r="H1509" i="1"/>
  <c r="I1509" i="1" s="1"/>
  <c r="J1509" i="1" s="1"/>
  <c r="H1537" i="1"/>
  <c r="I1537" i="1" s="1"/>
  <c r="J1537" i="1" s="1"/>
  <c r="H1565" i="1"/>
  <c r="I1565" i="1" s="1"/>
  <c r="H1593" i="1"/>
  <c r="I1593" i="1" s="1"/>
  <c r="J1593" i="1" s="1"/>
  <c r="H1635" i="1"/>
  <c r="I1635" i="1" s="1"/>
  <c r="J1639" i="1" s="1"/>
  <c r="H1663" i="1"/>
  <c r="I1663" i="1" s="1"/>
  <c r="H1691" i="1"/>
  <c r="I1691" i="1" s="1"/>
  <c r="H1719" i="1"/>
  <c r="I1719" i="1" s="1"/>
  <c r="H1747" i="1"/>
  <c r="I1747" i="1" s="1"/>
  <c r="H1775" i="1"/>
  <c r="I1775" i="1" s="1"/>
  <c r="H1803" i="1"/>
  <c r="I1803" i="1" s="1"/>
  <c r="H1831" i="1"/>
  <c r="I1831" i="1" s="1"/>
  <c r="H1859" i="1"/>
  <c r="I1859" i="1" s="1"/>
  <c r="H1887" i="1"/>
  <c r="I1887" i="1" s="1"/>
  <c r="H1943" i="1"/>
  <c r="I1943" i="1" s="1"/>
  <c r="H1971" i="1"/>
  <c r="I1971" i="1" s="1"/>
  <c r="J1971" i="1" s="1"/>
  <c r="H1999" i="1"/>
  <c r="I1999" i="1" s="1"/>
  <c r="H2027" i="1"/>
  <c r="I2027" i="1" s="1"/>
  <c r="H2055" i="1"/>
  <c r="I2055" i="1" s="1"/>
  <c r="H2083" i="1"/>
  <c r="I2083" i="1" s="1"/>
  <c r="J2087" i="1" s="1"/>
  <c r="H2111" i="1"/>
  <c r="I2111" i="1" s="1"/>
  <c r="H2139" i="1"/>
  <c r="I2139" i="1" s="1"/>
  <c r="H2167" i="1"/>
  <c r="I2167" i="1" s="1"/>
  <c r="H2195" i="1"/>
  <c r="I2195" i="1" s="1"/>
  <c r="H2223" i="1"/>
  <c r="I2223" i="1" s="1"/>
  <c r="H2251" i="1"/>
  <c r="I2251" i="1" s="1"/>
  <c r="H2279" i="1"/>
  <c r="I2279" i="1" s="1"/>
  <c r="J2279" i="1" s="1"/>
  <c r="H2321" i="1"/>
  <c r="I2321" i="1" s="1"/>
  <c r="H2349" i="1"/>
  <c r="I2349" i="1" s="1"/>
  <c r="H2377" i="1"/>
  <c r="I2377" i="1" s="1"/>
  <c r="H2433" i="1"/>
  <c r="I2433" i="1" s="1"/>
  <c r="H2461" i="1"/>
  <c r="I2461" i="1" s="1"/>
  <c r="H2489" i="1"/>
  <c r="I2489" i="1" s="1"/>
  <c r="J2493" i="1" s="1"/>
  <c r="H2517" i="1"/>
  <c r="I2517" i="1" s="1"/>
  <c r="H2531" i="1"/>
  <c r="I2531" i="1" s="1"/>
  <c r="H2559" i="1"/>
  <c r="I2559" i="1" s="1"/>
  <c r="H2573" i="1"/>
  <c r="I2573" i="1" s="1"/>
  <c r="H2587" i="1"/>
  <c r="I2587" i="1" s="1"/>
  <c r="H2601" i="1"/>
  <c r="I2601" i="1" s="1"/>
  <c r="H2615" i="1"/>
  <c r="I2615" i="1" s="1"/>
  <c r="H2629" i="1"/>
  <c r="I2629" i="1" s="1"/>
  <c r="J609" i="1"/>
  <c r="J2261" i="1"/>
  <c r="H12" i="1"/>
  <c r="I12" i="1" s="1"/>
  <c r="H40" i="1"/>
  <c r="I40" i="1" s="1"/>
  <c r="H68" i="1"/>
  <c r="I68" i="1" s="1"/>
  <c r="H96" i="1"/>
  <c r="I96" i="1" s="1"/>
  <c r="H124" i="1"/>
  <c r="I124" i="1" s="1"/>
  <c r="H152" i="1"/>
  <c r="I152" i="1" s="1"/>
  <c r="H180" i="1"/>
  <c r="I180" i="1" s="1"/>
  <c r="H208" i="1"/>
  <c r="I208" i="1" s="1"/>
  <c r="H236" i="1"/>
  <c r="I236" i="1" s="1"/>
  <c r="H264" i="1"/>
  <c r="I264" i="1" s="1"/>
  <c r="H292" i="1"/>
  <c r="I292" i="1" s="1"/>
  <c r="H320" i="1"/>
  <c r="I320" i="1" s="1"/>
  <c r="J323" i="1" s="1"/>
  <c r="H362" i="1"/>
  <c r="I362" i="1" s="1"/>
  <c r="H390" i="1"/>
  <c r="I390" i="1" s="1"/>
  <c r="H418" i="1"/>
  <c r="I418" i="1" s="1"/>
  <c r="H446" i="1"/>
  <c r="I446" i="1" s="1"/>
  <c r="H474" i="1"/>
  <c r="I474" i="1" s="1"/>
  <c r="H502" i="1"/>
  <c r="I502" i="1" s="1"/>
  <c r="H530" i="1"/>
  <c r="I530" i="1" s="1"/>
  <c r="J534" i="1" s="1"/>
  <c r="H558" i="1"/>
  <c r="I558" i="1" s="1"/>
  <c r="H572" i="1"/>
  <c r="I572" i="1" s="1"/>
  <c r="H600" i="1"/>
  <c r="I600" i="1" s="1"/>
  <c r="H628" i="1"/>
  <c r="I628" i="1" s="1"/>
  <c r="H656" i="1"/>
  <c r="I656" i="1" s="1"/>
  <c r="H684" i="1"/>
  <c r="I684" i="1" s="1"/>
  <c r="H726" i="1"/>
  <c r="I726" i="1" s="1"/>
  <c r="H754" i="1"/>
  <c r="I754" i="1" s="1"/>
  <c r="H782" i="1"/>
  <c r="I782" i="1" s="1"/>
  <c r="H810" i="1"/>
  <c r="I810" i="1" s="1"/>
  <c r="H838" i="1"/>
  <c r="I838" i="1" s="1"/>
  <c r="J841" i="1" s="1"/>
  <c r="H866" i="1"/>
  <c r="I866" i="1" s="1"/>
  <c r="H894" i="1"/>
  <c r="I894" i="1" s="1"/>
  <c r="H922" i="1"/>
  <c r="I922" i="1" s="1"/>
  <c r="H950" i="1"/>
  <c r="I950" i="1" s="1"/>
  <c r="H978" i="1"/>
  <c r="I978" i="1" s="1"/>
  <c r="H1006" i="1"/>
  <c r="I1006" i="1" s="1"/>
  <c r="H1034" i="1"/>
  <c r="I1034" i="1" s="1"/>
  <c r="H1062" i="1"/>
  <c r="I1062" i="1" s="1"/>
  <c r="H1076" i="1"/>
  <c r="I1076" i="1" s="1"/>
  <c r="H1104" i="1"/>
  <c r="I1104" i="1" s="1"/>
  <c r="H1132" i="1"/>
  <c r="I1132" i="1" s="1"/>
  <c r="H1160" i="1"/>
  <c r="I1160" i="1" s="1"/>
  <c r="H1188" i="1"/>
  <c r="I1188" i="1" s="1"/>
  <c r="H1202" i="1"/>
  <c r="I1202" i="1" s="1"/>
  <c r="H1230" i="1"/>
  <c r="I1230" i="1" s="1"/>
  <c r="H1258" i="1"/>
  <c r="I1258" i="1" s="1"/>
  <c r="H1314" i="1"/>
  <c r="I1314" i="1" s="1"/>
  <c r="J1318" i="1" s="1"/>
  <c r="H1342" i="1"/>
  <c r="I1342" i="1" s="1"/>
  <c r="H1356" i="1"/>
  <c r="I1356" i="1" s="1"/>
  <c r="H1412" i="1"/>
  <c r="I1412" i="1" s="1"/>
  <c r="H1468" i="1"/>
  <c r="I1468" i="1" s="1"/>
  <c r="H1496" i="1"/>
  <c r="I1496" i="1" s="1"/>
  <c r="H1524" i="1"/>
  <c r="I1524" i="1" s="1"/>
  <c r="H1552" i="1"/>
  <c r="I1552" i="1" s="1"/>
  <c r="H1594" i="1"/>
  <c r="I1594" i="1" s="1"/>
  <c r="H1622" i="1"/>
  <c r="I1622" i="1" s="1"/>
  <c r="H1650" i="1"/>
  <c r="I1650" i="1" s="1"/>
  <c r="H1678" i="1"/>
  <c r="I1678" i="1" s="1"/>
  <c r="H1720" i="1"/>
  <c r="I1720" i="1" s="1"/>
  <c r="H1762" i="1"/>
  <c r="I1762" i="1" s="1"/>
  <c r="J1762" i="1" s="1"/>
  <c r="H1790" i="1"/>
  <c r="I1790" i="1" s="1"/>
  <c r="J1794" i="1" s="1"/>
  <c r="H1818" i="1"/>
  <c r="I1818" i="1" s="1"/>
  <c r="H1860" i="1"/>
  <c r="I1860" i="1" s="1"/>
  <c r="H1888" i="1"/>
  <c r="I1888" i="1" s="1"/>
  <c r="H1902" i="1"/>
  <c r="I1902" i="1" s="1"/>
  <c r="H1930" i="1"/>
  <c r="I1930" i="1" s="1"/>
  <c r="H1958" i="1"/>
  <c r="I1958" i="1" s="1"/>
  <c r="H2000" i="1"/>
  <c r="I2000" i="1" s="1"/>
  <c r="H2028" i="1"/>
  <c r="I2028" i="1" s="1"/>
  <c r="H2056" i="1"/>
  <c r="I2056" i="1" s="1"/>
  <c r="H2084" i="1"/>
  <c r="I2084" i="1" s="1"/>
  <c r="H2112" i="1"/>
  <c r="I2112" i="1" s="1"/>
  <c r="H2182" i="1"/>
  <c r="I2182" i="1" s="1"/>
  <c r="H2210" i="1"/>
  <c r="I2210" i="1" s="1"/>
  <c r="J2210" i="1" s="1"/>
  <c r="H2238" i="1"/>
  <c r="I2238" i="1" s="1"/>
  <c r="H2266" i="1"/>
  <c r="I2266" i="1" s="1"/>
  <c r="H2294" i="1"/>
  <c r="I2294" i="1" s="1"/>
  <c r="H2336" i="1"/>
  <c r="I2336" i="1" s="1"/>
  <c r="H2364" i="1"/>
  <c r="I2364" i="1" s="1"/>
  <c r="H2392" i="1"/>
  <c r="I2392" i="1" s="1"/>
  <c r="H2420" i="1"/>
  <c r="I2420" i="1" s="1"/>
  <c r="H2448" i="1"/>
  <c r="I2448" i="1" s="1"/>
  <c r="H2476" i="1"/>
  <c r="I2476" i="1" s="1"/>
  <c r="H2518" i="1"/>
  <c r="I2518" i="1" s="1"/>
  <c r="H2644" i="1"/>
  <c r="I2644" i="1" s="1"/>
  <c r="J2648" i="1" s="1"/>
  <c r="J172" i="1"/>
  <c r="H13" i="1"/>
  <c r="I13" i="1" s="1"/>
  <c r="H41" i="1"/>
  <c r="I41" i="1" s="1"/>
  <c r="J45" i="1" s="1"/>
  <c r="H69" i="1"/>
  <c r="I69" i="1" s="1"/>
  <c r="H97" i="1"/>
  <c r="I97" i="1" s="1"/>
  <c r="H125" i="1"/>
  <c r="I125" i="1" s="1"/>
  <c r="H153" i="1"/>
  <c r="I153" i="1" s="1"/>
  <c r="H209" i="1"/>
  <c r="I209" i="1" s="1"/>
  <c r="H238" i="1"/>
  <c r="I238" i="1" s="1"/>
  <c r="H237" i="1"/>
  <c r="I237" i="1" s="1"/>
  <c r="H251" i="1"/>
  <c r="I251" i="1" s="1"/>
  <c r="H279" i="1"/>
  <c r="I279" i="1" s="1"/>
  <c r="H307" i="1"/>
  <c r="I307" i="1" s="1"/>
  <c r="H335" i="1"/>
  <c r="I335" i="1" s="1"/>
  <c r="J339" i="1" s="1"/>
  <c r="H363" i="1"/>
  <c r="I363" i="1" s="1"/>
  <c r="J367" i="1" s="1"/>
  <c r="H406" i="1"/>
  <c r="I406" i="1" s="1"/>
  <c r="H405" i="1"/>
  <c r="I405" i="1" s="1"/>
  <c r="H434" i="1"/>
  <c r="I434" i="1" s="1"/>
  <c r="J438" i="1" s="1"/>
  <c r="H433" i="1"/>
  <c r="I433" i="1" s="1"/>
  <c r="H461" i="1"/>
  <c r="I461" i="1" s="1"/>
  <c r="H489" i="1"/>
  <c r="I489" i="1" s="1"/>
  <c r="H517" i="1"/>
  <c r="I517" i="1" s="1"/>
  <c r="H546" i="1"/>
  <c r="I546" i="1" s="1"/>
  <c r="H545" i="1"/>
  <c r="I545" i="1" s="1"/>
  <c r="H559" i="1"/>
  <c r="I559" i="1" s="1"/>
  <c r="H587" i="1"/>
  <c r="I587" i="1" s="1"/>
  <c r="H615" i="1"/>
  <c r="I615" i="1" s="1"/>
  <c r="J619" i="1" s="1"/>
  <c r="H643" i="1"/>
  <c r="I643" i="1" s="1"/>
  <c r="H671" i="1"/>
  <c r="I671" i="1" s="1"/>
  <c r="H699" i="1"/>
  <c r="I699" i="1" s="1"/>
  <c r="H741" i="1"/>
  <c r="I741" i="1" s="1"/>
  <c r="H742" i="1"/>
  <c r="I742" i="1" s="1"/>
  <c r="J746" i="1" s="1"/>
  <c r="H797" i="1"/>
  <c r="I797" i="1" s="1"/>
  <c r="H825" i="1"/>
  <c r="I825" i="1" s="1"/>
  <c r="H853" i="1"/>
  <c r="I853" i="1" s="1"/>
  <c r="H881" i="1"/>
  <c r="I881" i="1" s="1"/>
  <c r="H910" i="1"/>
  <c r="I910" i="1" s="1"/>
  <c r="J914" i="1" s="1"/>
  <c r="H909" i="1"/>
  <c r="I909" i="1" s="1"/>
  <c r="H937" i="1"/>
  <c r="I937" i="1" s="1"/>
  <c r="H938" i="1"/>
  <c r="I938" i="1" s="1"/>
  <c r="H979" i="1"/>
  <c r="I979" i="1" s="1"/>
  <c r="J538" i="1"/>
  <c r="H391" i="1"/>
  <c r="I391" i="1" s="1"/>
  <c r="H2631" i="1"/>
  <c r="I2631" i="1" s="1"/>
  <c r="J2632" i="1" s="1"/>
  <c r="H1105" i="1"/>
  <c r="I1105" i="1" s="1"/>
  <c r="J1109" i="1" s="1"/>
  <c r="H1706" i="1"/>
  <c r="I1706" i="1" s="1"/>
  <c r="H1929" i="1"/>
  <c r="I1929" i="1" s="1"/>
  <c r="H2126" i="1"/>
  <c r="I2126" i="1" s="1"/>
  <c r="H2435" i="1"/>
  <c r="I2435" i="1" s="1"/>
  <c r="H2391" i="1"/>
  <c r="I2391" i="1" s="1"/>
  <c r="H2168" i="1"/>
  <c r="I2168" i="1" s="1"/>
  <c r="J2172" i="1" s="1"/>
  <c r="J132" i="1"/>
  <c r="J1111" i="1"/>
  <c r="J1574" i="1"/>
  <c r="J2401" i="1"/>
  <c r="H1915" i="1"/>
  <c r="I1915" i="1" s="1"/>
  <c r="J1919" i="1" s="1"/>
  <c r="H2140" i="1"/>
  <c r="I2140" i="1" s="1"/>
  <c r="H616" i="1"/>
  <c r="I616" i="1" s="1"/>
  <c r="J620" i="1" s="1"/>
  <c r="H644" i="1"/>
  <c r="I644" i="1" s="1"/>
  <c r="H56" i="1"/>
  <c r="I56" i="1" s="1"/>
  <c r="H2405" i="1"/>
  <c r="I2405" i="1" s="1"/>
  <c r="H1972" i="1"/>
  <c r="I1972" i="1" s="1"/>
  <c r="H28" i="1"/>
  <c r="I28" i="1" s="1"/>
  <c r="H2057" i="1"/>
  <c r="I2057" i="1" s="1"/>
  <c r="H1007" i="1"/>
  <c r="I1007" i="1" s="1"/>
  <c r="H1021" i="1"/>
  <c r="I1021" i="1" s="1"/>
  <c r="J1025" i="1" s="1"/>
  <c r="H1035" i="1"/>
  <c r="I1035" i="1" s="1"/>
  <c r="J1039" i="1" s="1"/>
  <c r="H1049" i="1"/>
  <c r="I1049" i="1" s="1"/>
  <c r="J1053" i="1" s="1"/>
  <c r="H1063" i="1"/>
  <c r="I1063" i="1" s="1"/>
  <c r="H1077" i="1"/>
  <c r="I1077" i="1" s="1"/>
  <c r="H1091" i="1"/>
  <c r="I1091" i="1" s="1"/>
  <c r="H1119" i="1"/>
  <c r="I1119" i="1" s="1"/>
  <c r="H1133" i="1"/>
  <c r="I1133" i="1" s="1"/>
  <c r="H1147" i="1"/>
  <c r="I1147" i="1" s="1"/>
  <c r="H1161" i="1"/>
  <c r="I1161" i="1" s="1"/>
  <c r="H1175" i="1"/>
  <c r="I1175" i="1" s="1"/>
  <c r="J1179" i="1" s="1"/>
  <c r="H1189" i="1"/>
  <c r="I1189" i="1" s="1"/>
  <c r="H1217" i="1"/>
  <c r="I1217" i="1" s="1"/>
  <c r="J1221" i="1" s="1"/>
  <c r="H1231" i="1"/>
  <c r="I1231" i="1" s="1"/>
  <c r="H1245" i="1"/>
  <c r="I1245" i="1" s="1"/>
  <c r="H1259" i="1"/>
  <c r="I1259" i="1" s="1"/>
  <c r="H1273" i="1"/>
  <c r="I1273" i="1" s="1"/>
  <c r="H1315" i="1"/>
  <c r="I1315" i="1" s="1"/>
  <c r="J1319" i="1" s="1"/>
  <c r="H1329" i="1"/>
  <c r="I1329" i="1" s="1"/>
  <c r="H1343" i="1"/>
  <c r="I1343" i="1" s="1"/>
  <c r="H1357" i="1"/>
  <c r="I1357" i="1" s="1"/>
  <c r="H1371" i="1"/>
  <c r="I1371" i="1" s="1"/>
  <c r="H1385" i="1"/>
  <c r="I1385" i="1" s="1"/>
  <c r="H1399" i="1"/>
  <c r="I1399" i="1" s="1"/>
  <c r="H1413" i="1"/>
  <c r="I1413" i="1" s="1"/>
  <c r="H1427" i="1"/>
  <c r="I1427" i="1" s="1"/>
  <c r="H1441" i="1"/>
  <c r="I1441" i="1" s="1"/>
  <c r="H1455" i="1"/>
  <c r="I1455" i="1" s="1"/>
  <c r="H1469" i="1"/>
  <c r="I1469" i="1" s="1"/>
  <c r="H1483" i="1"/>
  <c r="I1483" i="1" s="1"/>
  <c r="H1497" i="1"/>
  <c r="I1497" i="1" s="1"/>
  <c r="H1511" i="1"/>
  <c r="I1511" i="1" s="1"/>
  <c r="H1525" i="1"/>
  <c r="I1525" i="1" s="1"/>
  <c r="H1539" i="1"/>
  <c r="I1539" i="1" s="1"/>
  <c r="H1553" i="1"/>
  <c r="I1553" i="1" s="1"/>
  <c r="H1567" i="1"/>
  <c r="I1567" i="1" s="1"/>
  <c r="H1581" i="1"/>
  <c r="I1581" i="1" s="1"/>
  <c r="H1595" i="1"/>
  <c r="I1595" i="1" s="1"/>
  <c r="H1609" i="1"/>
  <c r="I1609" i="1" s="1"/>
  <c r="H1623" i="1"/>
  <c r="I1623" i="1" s="1"/>
  <c r="H1637" i="1"/>
  <c r="I1637" i="1" s="1"/>
  <c r="J1641" i="1" s="1"/>
  <c r="H1651" i="1"/>
  <c r="I1651" i="1" s="1"/>
  <c r="J1655" i="1" s="1"/>
  <c r="H1665" i="1"/>
  <c r="I1665" i="1" s="1"/>
  <c r="H1679" i="1"/>
  <c r="I1679" i="1" s="1"/>
  <c r="H1693" i="1"/>
  <c r="I1693" i="1" s="1"/>
  <c r="J1697" i="1" s="1"/>
  <c r="H1735" i="1"/>
  <c r="I1735" i="1" s="1"/>
  <c r="H1749" i="1"/>
  <c r="I1749" i="1" s="1"/>
  <c r="H1763" i="1"/>
  <c r="I1763" i="1" s="1"/>
  <c r="H1777" i="1"/>
  <c r="I1777" i="1" s="1"/>
  <c r="H1805" i="1"/>
  <c r="I1805" i="1" s="1"/>
  <c r="J1809" i="1" s="1"/>
  <c r="H1819" i="1"/>
  <c r="I1819" i="1" s="1"/>
  <c r="H1833" i="1"/>
  <c r="I1833" i="1" s="1"/>
  <c r="H1847" i="1"/>
  <c r="I1847" i="1" s="1"/>
  <c r="H1861" i="1"/>
  <c r="I1861" i="1" s="1"/>
  <c r="H1875" i="1"/>
  <c r="I1875" i="1" s="1"/>
  <c r="H1889" i="1"/>
  <c r="I1889" i="1" s="1"/>
  <c r="H1903" i="1"/>
  <c r="I1903" i="1" s="1"/>
  <c r="H1917" i="1"/>
  <c r="I1917" i="1" s="1"/>
  <c r="J1921" i="1" s="1"/>
  <c r="H1931" i="1"/>
  <c r="I1931" i="1" s="1"/>
  <c r="H1945" i="1"/>
  <c r="I1945" i="1" s="1"/>
  <c r="H1959" i="1"/>
  <c r="I1959" i="1" s="1"/>
  <c r="H1973" i="1"/>
  <c r="I1973" i="1" s="1"/>
  <c r="H2001" i="1"/>
  <c r="I2001" i="1" s="1"/>
  <c r="H2015" i="1"/>
  <c r="I2015" i="1" s="1"/>
  <c r="H2043" i="1"/>
  <c r="I2043" i="1" s="1"/>
  <c r="H2071" i="1"/>
  <c r="I2071" i="1" s="1"/>
  <c r="H2085" i="1"/>
  <c r="I2085" i="1" s="1"/>
  <c r="H2099" i="1"/>
  <c r="I2099" i="1" s="1"/>
  <c r="H2113" i="1"/>
  <c r="I2113" i="1" s="1"/>
  <c r="H2127" i="1"/>
  <c r="I2127" i="1" s="1"/>
  <c r="H2141" i="1"/>
  <c r="I2141" i="1" s="1"/>
  <c r="H2155" i="1"/>
  <c r="I2155" i="1" s="1"/>
  <c r="J2159" i="1" s="1"/>
  <c r="H2183" i="1"/>
  <c r="I2183" i="1" s="1"/>
  <c r="J2187" i="1" s="1"/>
  <c r="H2197" i="1"/>
  <c r="I2197" i="1" s="1"/>
  <c r="H2211" i="1"/>
  <c r="I2211" i="1" s="1"/>
  <c r="H2225" i="1"/>
  <c r="I2225" i="1" s="1"/>
  <c r="H2239" i="1"/>
  <c r="I2239" i="1" s="1"/>
  <c r="H2253" i="1"/>
  <c r="I2253" i="1" s="1"/>
  <c r="H2267" i="1"/>
  <c r="I2267" i="1" s="1"/>
  <c r="H2281" i="1"/>
  <c r="I2281" i="1" s="1"/>
  <c r="H2295" i="1"/>
  <c r="I2295" i="1" s="1"/>
  <c r="H2309" i="1"/>
  <c r="I2309" i="1" s="1"/>
  <c r="H2323" i="1"/>
  <c r="I2323" i="1" s="1"/>
  <c r="H2337" i="1"/>
  <c r="I2337" i="1" s="1"/>
  <c r="H2351" i="1"/>
  <c r="I2351" i="1" s="1"/>
  <c r="H2365" i="1"/>
  <c r="I2365" i="1" s="1"/>
  <c r="J2369" i="1" s="1"/>
  <c r="H2393" i="1"/>
  <c r="I2393" i="1" s="1"/>
  <c r="H2407" i="1"/>
  <c r="I2407" i="1" s="1"/>
  <c r="H2421" i="1"/>
  <c r="I2421" i="1" s="1"/>
  <c r="H2449" i="1"/>
  <c r="I2449" i="1" s="1"/>
  <c r="H2463" i="1"/>
  <c r="I2463" i="1" s="1"/>
  <c r="H2477" i="1"/>
  <c r="I2477" i="1" s="1"/>
  <c r="H2491" i="1"/>
  <c r="I2491" i="1" s="1"/>
  <c r="H2505" i="1"/>
  <c r="I2505" i="1" s="1"/>
  <c r="H2519" i="1"/>
  <c r="I2519" i="1" s="1"/>
  <c r="J2522" i="1" s="1"/>
  <c r="H2533" i="1"/>
  <c r="I2533" i="1" s="1"/>
  <c r="H2547" i="1"/>
  <c r="I2547" i="1" s="1"/>
  <c r="H2561" i="1"/>
  <c r="I2561" i="1" s="1"/>
  <c r="H2575" i="1"/>
  <c r="I2575" i="1" s="1"/>
  <c r="H2589" i="1"/>
  <c r="I2589" i="1" s="1"/>
  <c r="H2603" i="1"/>
  <c r="I2603" i="1" s="1"/>
  <c r="J2607" i="1" s="1"/>
  <c r="H2617" i="1"/>
  <c r="I2617" i="1" s="1"/>
  <c r="H2645" i="1"/>
  <c r="I2645" i="1" s="1"/>
  <c r="J483" i="1"/>
  <c r="J1042" i="1"/>
  <c r="J2344" i="1"/>
  <c r="H1218" i="1"/>
  <c r="I1218" i="1" s="1"/>
  <c r="H1652" i="1"/>
  <c r="I1652" i="1" s="1"/>
  <c r="J1656" i="1" s="1"/>
  <c r="H15" i="1"/>
  <c r="I15" i="1" s="1"/>
  <c r="H14" i="1"/>
  <c r="I14" i="1" s="1"/>
  <c r="H43" i="1"/>
  <c r="I43" i="1" s="1"/>
  <c r="J47" i="1" s="1"/>
  <c r="H42" i="1"/>
  <c r="I42" i="1" s="1"/>
  <c r="J46" i="1" s="1"/>
  <c r="H70" i="1"/>
  <c r="I70" i="1" s="1"/>
  <c r="H71" i="1"/>
  <c r="I71" i="1" s="1"/>
  <c r="J75" i="1" s="1"/>
  <c r="H84" i="1"/>
  <c r="I84" i="1" s="1"/>
  <c r="H98" i="1"/>
  <c r="I98" i="1" s="1"/>
  <c r="H112" i="1"/>
  <c r="I112" i="1" s="1"/>
  <c r="H126" i="1"/>
  <c r="I126" i="1" s="1"/>
  <c r="H140" i="1"/>
  <c r="I140" i="1" s="1"/>
  <c r="H154" i="1"/>
  <c r="I154" i="1" s="1"/>
  <c r="H182" i="1"/>
  <c r="I182" i="1" s="1"/>
  <c r="J186" i="1" s="1"/>
  <c r="H211" i="1"/>
  <c r="I211" i="1" s="1"/>
  <c r="J215" i="1" s="1"/>
  <c r="H210" i="1"/>
  <c r="I210" i="1" s="1"/>
  <c r="H225" i="1"/>
  <c r="I225" i="1" s="1"/>
  <c r="H224" i="1"/>
  <c r="I224" i="1" s="1"/>
  <c r="H252" i="1"/>
  <c r="I252" i="1" s="1"/>
  <c r="H253" i="1"/>
  <c r="I253" i="1" s="1"/>
  <c r="J257" i="1" s="1"/>
  <c r="H266" i="1"/>
  <c r="I266" i="1" s="1"/>
  <c r="J270" i="1" s="1"/>
  <c r="H280" i="1"/>
  <c r="I280" i="1" s="1"/>
  <c r="H294" i="1"/>
  <c r="I294" i="1" s="1"/>
  <c r="H308" i="1"/>
  <c r="I308" i="1" s="1"/>
  <c r="H322" i="1"/>
  <c r="I322" i="1" s="1"/>
  <c r="H336" i="1"/>
  <c r="I336" i="1" s="1"/>
  <c r="H350" i="1"/>
  <c r="I350" i="1" s="1"/>
  <c r="H840" i="1"/>
  <c r="I840" i="1" s="1"/>
  <c r="H1036" i="1"/>
  <c r="I1036" i="1" s="1"/>
  <c r="H1176" i="1"/>
  <c r="I1176" i="1" s="1"/>
  <c r="H1344" i="1"/>
  <c r="I1344" i="1" s="1"/>
  <c r="H1540" i="1"/>
  <c r="I1540" i="1" s="1"/>
  <c r="H2114" i="1"/>
  <c r="I2114" i="1" s="1"/>
  <c r="H1260" i="1"/>
  <c r="I1260" i="1" s="1"/>
  <c r="J356" i="1"/>
  <c r="H1721" i="1"/>
  <c r="I1721" i="1" s="1"/>
  <c r="J2457" i="1"/>
  <c r="J2541" i="1"/>
  <c r="H1162" i="1"/>
  <c r="I1162" i="1" s="1"/>
  <c r="H2408" i="1"/>
  <c r="I2408" i="1" s="1"/>
  <c r="J2428" i="1"/>
  <c r="H2379" i="1"/>
  <c r="I2379" i="1" s="1"/>
  <c r="J1672" i="1"/>
  <c r="J2513" i="1"/>
  <c r="J217" i="1"/>
  <c r="H1203" i="1"/>
  <c r="I1203" i="1" s="1"/>
  <c r="H1568" i="1"/>
  <c r="I1568" i="1" s="1"/>
  <c r="J133" i="1"/>
  <c r="J525" i="1"/>
  <c r="J915" i="1"/>
  <c r="J1673" i="1"/>
  <c r="J2456" i="1"/>
  <c r="H364" i="1"/>
  <c r="I364" i="1" s="1"/>
  <c r="H379" i="1"/>
  <c r="I379" i="1" s="1"/>
  <c r="J383" i="1" s="1"/>
  <c r="H378" i="1"/>
  <c r="I378" i="1" s="1"/>
  <c r="H421" i="1"/>
  <c r="I421" i="1" s="1"/>
  <c r="J425" i="1" s="1"/>
  <c r="H420" i="1"/>
  <c r="I420" i="1" s="1"/>
  <c r="H448" i="1"/>
  <c r="I448" i="1" s="1"/>
  <c r="H462" i="1"/>
  <c r="I462" i="1" s="1"/>
  <c r="H463" i="1"/>
  <c r="I463" i="1" s="1"/>
  <c r="J467" i="1" s="1"/>
  <c r="H476" i="1"/>
  <c r="I476" i="1" s="1"/>
  <c r="H490" i="1"/>
  <c r="I490" i="1" s="1"/>
  <c r="J491" i="1" s="1"/>
  <c r="H504" i="1"/>
  <c r="I504" i="1" s="1"/>
  <c r="H518" i="1"/>
  <c r="I518" i="1" s="1"/>
  <c r="H532" i="1"/>
  <c r="I532" i="1" s="1"/>
  <c r="H560" i="1"/>
  <c r="I560" i="1" s="1"/>
  <c r="H575" i="1"/>
  <c r="I575" i="1" s="1"/>
  <c r="H574" i="1"/>
  <c r="I574" i="1" s="1"/>
  <c r="H588" i="1"/>
  <c r="I588" i="1" s="1"/>
  <c r="J590" i="1" s="1"/>
  <c r="H630" i="1"/>
  <c r="I630" i="1" s="1"/>
  <c r="H658" i="1"/>
  <c r="I658" i="1" s="1"/>
  <c r="H659" i="1"/>
  <c r="I659" i="1" s="1"/>
  <c r="H672" i="1"/>
  <c r="I672" i="1" s="1"/>
  <c r="H686" i="1"/>
  <c r="I686" i="1" s="1"/>
  <c r="H700" i="1"/>
  <c r="I700" i="1" s="1"/>
  <c r="H729" i="1"/>
  <c r="I729" i="1" s="1"/>
  <c r="H728" i="1"/>
  <c r="I728" i="1" s="1"/>
  <c r="J732" i="1" s="1"/>
  <c r="H756" i="1"/>
  <c r="I756" i="1" s="1"/>
  <c r="H770" i="1"/>
  <c r="I770" i="1" s="1"/>
  <c r="H784" i="1"/>
  <c r="I784" i="1" s="1"/>
  <c r="H798" i="1"/>
  <c r="I798" i="1" s="1"/>
  <c r="J802" i="1" s="1"/>
  <c r="H812" i="1"/>
  <c r="I812" i="1" s="1"/>
  <c r="H826" i="1"/>
  <c r="I826" i="1" s="1"/>
  <c r="J830" i="1" s="1"/>
  <c r="H855" i="1"/>
  <c r="I855" i="1" s="1"/>
  <c r="J859" i="1" s="1"/>
  <c r="H854" i="1"/>
  <c r="I854" i="1" s="1"/>
  <c r="H869" i="1"/>
  <c r="I869" i="1" s="1"/>
  <c r="H868" i="1"/>
  <c r="I868" i="1" s="1"/>
  <c r="H882" i="1"/>
  <c r="I882" i="1" s="1"/>
  <c r="H896" i="1"/>
  <c r="I896" i="1" s="1"/>
  <c r="H924" i="1"/>
  <c r="I924" i="1" s="1"/>
  <c r="H952" i="1"/>
  <c r="I952" i="1" s="1"/>
  <c r="H966" i="1"/>
  <c r="I966" i="1" s="1"/>
  <c r="H995" i="1"/>
  <c r="I995" i="1" s="1"/>
  <c r="H994" i="1"/>
  <c r="I994" i="1" s="1"/>
  <c r="H1008" i="1"/>
  <c r="I1008" i="1" s="1"/>
  <c r="H1022" i="1"/>
  <c r="I1022" i="1" s="1"/>
  <c r="H1064" i="1"/>
  <c r="I1064" i="1" s="1"/>
  <c r="H1078" i="1"/>
  <c r="I1078" i="1" s="1"/>
  <c r="H1092" i="1"/>
  <c r="I1092" i="1" s="1"/>
  <c r="H1134" i="1"/>
  <c r="I1134" i="1" s="1"/>
  <c r="J1138" i="1" s="1"/>
  <c r="H1148" i="1"/>
  <c r="I1148" i="1" s="1"/>
  <c r="H1190" i="1"/>
  <c r="I1190" i="1" s="1"/>
  <c r="J1223" i="1"/>
  <c r="H1232" i="1"/>
  <c r="I1232" i="1" s="1"/>
  <c r="J1234" i="1" s="1"/>
  <c r="H1246" i="1"/>
  <c r="I1246" i="1" s="1"/>
  <c r="H1274" i="1"/>
  <c r="I1274" i="1" s="1"/>
  <c r="H1303" i="1"/>
  <c r="I1303" i="1" s="1"/>
  <c r="H1302" i="1"/>
  <c r="I1302" i="1" s="1"/>
  <c r="H1316" i="1"/>
  <c r="I1316" i="1" s="1"/>
  <c r="H1330" i="1"/>
  <c r="I1330" i="1" s="1"/>
  <c r="H1331" i="1"/>
  <c r="I1331" i="1" s="1"/>
  <c r="J1335" i="1" s="1"/>
  <c r="H1358" i="1"/>
  <c r="I1358" i="1" s="1"/>
  <c r="H1372" i="1"/>
  <c r="I1372" i="1" s="1"/>
  <c r="H1387" i="1"/>
  <c r="I1387" i="1" s="1"/>
  <c r="J1391" i="1" s="1"/>
  <c r="H1386" i="1"/>
  <c r="I1386" i="1" s="1"/>
  <c r="H1400" i="1"/>
  <c r="I1400" i="1" s="1"/>
  <c r="J1402" i="1" s="1"/>
  <c r="H1414" i="1"/>
  <c r="I1414" i="1" s="1"/>
  <c r="H1428" i="1"/>
  <c r="I1428" i="1" s="1"/>
  <c r="H1442" i="1"/>
  <c r="I1442" i="1" s="1"/>
  <c r="H1456" i="1"/>
  <c r="I1456" i="1" s="1"/>
  <c r="H1471" i="1"/>
  <c r="I1471" i="1" s="1"/>
  <c r="H1470" i="1"/>
  <c r="I1470" i="1" s="1"/>
  <c r="H1484" i="1"/>
  <c r="I1484" i="1" s="1"/>
  <c r="H1498" i="1"/>
  <c r="I1498" i="1" s="1"/>
  <c r="H1512" i="1"/>
  <c r="I1512" i="1" s="1"/>
  <c r="H1526" i="1"/>
  <c r="I1526" i="1" s="1"/>
  <c r="H1555" i="1"/>
  <c r="I1555" i="1" s="1"/>
  <c r="J1559" i="1" s="1"/>
  <c r="H1554" i="1"/>
  <c r="I1554" i="1" s="1"/>
  <c r="H1582" i="1"/>
  <c r="I1582" i="1" s="1"/>
  <c r="H1596" i="1"/>
  <c r="I1596" i="1" s="1"/>
  <c r="H1610" i="1"/>
  <c r="I1610" i="1" s="1"/>
  <c r="J1611" i="1" s="1"/>
  <c r="H1625" i="1"/>
  <c r="I1625" i="1" s="1"/>
  <c r="J1629" i="1" s="1"/>
  <c r="H1624" i="1"/>
  <c r="I1624" i="1" s="1"/>
  <c r="H1639" i="1"/>
  <c r="I1639" i="1" s="1"/>
  <c r="H1638" i="1"/>
  <c r="I1638" i="1" s="1"/>
  <c r="H1667" i="1"/>
  <c r="I1667" i="1" s="1"/>
  <c r="H1666" i="1"/>
  <c r="I1666" i="1" s="1"/>
  <c r="H1694" i="1"/>
  <c r="I1694" i="1" s="1"/>
  <c r="H1695" i="1"/>
  <c r="I1695" i="1" s="1"/>
  <c r="H1708" i="1"/>
  <c r="I1708" i="1" s="1"/>
  <c r="H1737" i="1"/>
  <c r="I1737" i="1" s="1"/>
  <c r="J1741" i="1" s="1"/>
  <c r="H1736" i="1"/>
  <c r="I1736" i="1" s="1"/>
  <c r="J1740" i="1" s="1"/>
  <c r="H1751" i="1"/>
  <c r="I1751" i="1" s="1"/>
  <c r="H1750" i="1"/>
  <c r="I1750" i="1" s="1"/>
  <c r="H1765" i="1"/>
  <c r="I1765" i="1" s="1"/>
  <c r="H1764" i="1"/>
  <c r="I1764" i="1" s="1"/>
  <c r="H1779" i="1"/>
  <c r="I1779" i="1" s="1"/>
  <c r="H1778" i="1"/>
  <c r="I1778" i="1" s="1"/>
  <c r="H1793" i="1"/>
  <c r="I1793" i="1" s="1"/>
  <c r="J1797" i="1" s="1"/>
  <c r="H1792" i="1"/>
  <c r="I1792" i="1" s="1"/>
  <c r="H1820" i="1"/>
  <c r="I1820" i="1" s="1"/>
  <c r="H1821" i="1"/>
  <c r="I1821" i="1" s="1"/>
  <c r="H1835" i="1"/>
  <c r="I1835" i="1" s="1"/>
  <c r="H1834" i="1"/>
  <c r="I1834" i="1" s="1"/>
  <c r="H1849" i="1"/>
  <c r="I1849" i="1" s="1"/>
  <c r="H1848" i="1"/>
  <c r="I1848" i="1" s="1"/>
  <c r="H1863" i="1"/>
  <c r="I1863" i="1" s="1"/>
  <c r="J1867" i="1" s="1"/>
  <c r="H1862" i="1"/>
  <c r="I1862" i="1" s="1"/>
  <c r="H1877" i="1"/>
  <c r="I1877" i="1" s="1"/>
  <c r="J1881" i="1" s="1"/>
  <c r="H1876" i="1"/>
  <c r="I1876" i="1" s="1"/>
  <c r="H1890" i="1"/>
  <c r="I1890" i="1" s="1"/>
  <c r="H1891" i="1"/>
  <c r="I1891" i="1" s="1"/>
  <c r="H1904" i="1"/>
  <c r="I1904" i="1" s="1"/>
  <c r="H1918" i="1"/>
  <c r="I1918" i="1" s="1"/>
  <c r="H1932" i="1"/>
  <c r="I1932" i="1" s="1"/>
  <c r="H1933" i="1"/>
  <c r="I1933" i="1" s="1"/>
  <c r="H1947" i="1"/>
  <c r="I1947" i="1" s="1"/>
  <c r="J1951" i="1" s="1"/>
  <c r="H1946" i="1"/>
  <c r="I1946" i="1" s="1"/>
  <c r="H1961" i="1"/>
  <c r="I1961" i="1" s="1"/>
  <c r="H1960" i="1"/>
  <c r="I1960" i="1" s="1"/>
  <c r="H1975" i="1"/>
  <c r="I1975" i="1" s="1"/>
  <c r="H1974" i="1"/>
  <c r="I1974" i="1" s="1"/>
  <c r="H1989" i="1"/>
  <c r="I1989" i="1" s="1"/>
  <c r="H1988" i="1"/>
  <c r="I1988" i="1" s="1"/>
  <c r="J1991" i="1" s="1"/>
  <c r="H2003" i="1"/>
  <c r="I2003" i="1" s="1"/>
  <c r="J2007" i="1" s="1"/>
  <c r="H2002" i="1"/>
  <c r="I2002" i="1" s="1"/>
  <c r="H2017" i="1"/>
  <c r="I2017" i="1" s="1"/>
  <c r="H2016" i="1"/>
  <c r="I2016" i="1" s="1"/>
  <c r="H2031" i="1"/>
  <c r="I2031" i="1" s="1"/>
  <c r="J2035" i="1" s="1"/>
  <c r="H2030" i="1"/>
  <c r="I2030" i="1" s="1"/>
  <c r="J2034" i="1" s="1"/>
  <c r="H2045" i="1"/>
  <c r="I2045" i="1" s="1"/>
  <c r="H2044" i="1"/>
  <c r="I2044" i="1" s="1"/>
  <c r="H2072" i="1"/>
  <c r="I2072" i="1" s="1"/>
  <c r="H2073" i="1"/>
  <c r="I2073" i="1" s="1"/>
  <c r="H2086" i="1"/>
  <c r="I2086" i="1" s="1"/>
  <c r="H2087" i="1"/>
  <c r="I2087" i="1" s="1"/>
  <c r="J2091" i="1" s="1"/>
  <c r="H2100" i="1"/>
  <c r="I2100" i="1" s="1"/>
  <c r="J2102" i="1" s="1"/>
  <c r="H2128" i="1"/>
  <c r="I2128" i="1" s="1"/>
  <c r="H2129" i="1"/>
  <c r="I2129" i="1" s="1"/>
  <c r="H2143" i="1"/>
  <c r="I2143" i="1" s="1"/>
  <c r="H2142" i="1"/>
  <c r="I2142" i="1" s="1"/>
  <c r="H2157" i="1"/>
  <c r="I2157" i="1" s="1"/>
  <c r="J2161" i="1" s="1"/>
  <c r="H2156" i="1"/>
  <c r="I2156" i="1" s="1"/>
  <c r="H2171" i="1"/>
  <c r="I2171" i="1" s="1"/>
  <c r="H2170" i="1"/>
  <c r="I2170" i="1" s="1"/>
  <c r="J2174" i="1" s="1"/>
  <c r="H2185" i="1"/>
  <c r="I2185" i="1" s="1"/>
  <c r="J2189" i="1" s="1"/>
  <c r="H2184" i="1"/>
  <c r="I2184" i="1" s="1"/>
  <c r="H2198" i="1"/>
  <c r="I2198" i="1" s="1"/>
  <c r="H2199" i="1"/>
  <c r="I2199" i="1" s="1"/>
  <c r="H2213" i="1"/>
  <c r="I2213" i="1" s="1"/>
  <c r="H2212" i="1"/>
  <c r="I2212" i="1" s="1"/>
  <c r="H2226" i="1"/>
  <c r="I2226" i="1" s="1"/>
  <c r="H2241" i="1"/>
  <c r="I2241" i="1" s="1"/>
  <c r="J2245" i="1" s="1"/>
  <c r="H2240" i="1"/>
  <c r="I2240" i="1" s="1"/>
  <c r="H2255" i="1"/>
  <c r="I2255" i="1" s="1"/>
  <c r="J2259" i="1" s="1"/>
  <c r="H2254" i="1"/>
  <c r="I2254" i="1" s="1"/>
  <c r="J2257" i="1" s="1"/>
  <c r="H2269" i="1"/>
  <c r="I2269" i="1" s="1"/>
  <c r="J2273" i="1" s="1"/>
  <c r="H2268" i="1"/>
  <c r="I2268" i="1" s="1"/>
  <c r="J2272" i="1" s="1"/>
  <c r="H2282" i="1"/>
  <c r="I2282" i="1" s="1"/>
  <c r="H2283" i="1"/>
  <c r="I2283" i="1" s="1"/>
  <c r="H2296" i="1"/>
  <c r="I2296" i="1" s="1"/>
  <c r="H2310" i="1"/>
  <c r="I2310" i="1" s="1"/>
  <c r="H2324" i="1"/>
  <c r="I2324" i="1" s="1"/>
  <c r="H2325" i="1"/>
  <c r="I2325" i="1" s="1"/>
  <c r="J2329" i="1" s="1"/>
  <c r="H2339" i="1"/>
  <c r="I2339" i="1" s="1"/>
  <c r="J2343" i="1" s="1"/>
  <c r="H2338" i="1"/>
  <c r="I2338" i="1" s="1"/>
  <c r="H2353" i="1"/>
  <c r="I2353" i="1" s="1"/>
  <c r="J2357" i="1" s="1"/>
  <c r="H2352" i="1"/>
  <c r="I2352" i="1" s="1"/>
  <c r="H2367" i="1"/>
  <c r="I2367" i="1" s="1"/>
  <c r="H2366" i="1"/>
  <c r="I2366" i="1" s="1"/>
  <c r="H2395" i="1"/>
  <c r="I2395" i="1" s="1"/>
  <c r="J2399" i="1" s="1"/>
  <c r="H2394" i="1"/>
  <c r="I2394" i="1" s="1"/>
  <c r="J2398" i="1" s="1"/>
  <c r="H2422" i="1"/>
  <c r="I2422" i="1" s="1"/>
  <c r="H2423" i="1"/>
  <c r="I2423" i="1" s="1"/>
  <c r="J2427" i="1" s="1"/>
  <c r="H2437" i="1"/>
  <c r="I2437" i="1" s="1"/>
  <c r="J2441" i="1" s="1"/>
  <c r="H2436" i="1"/>
  <c r="I2436" i="1" s="1"/>
  <c r="J2440" i="1" s="1"/>
  <c r="H2451" i="1"/>
  <c r="I2451" i="1" s="1"/>
  <c r="J2455" i="1" s="1"/>
  <c r="H2450" i="1"/>
  <c r="I2450" i="1" s="1"/>
  <c r="H2465" i="1"/>
  <c r="I2465" i="1" s="1"/>
  <c r="H2464" i="1"/>
  <c r="I2464" i="1" s="1"/>
  <c r="H2478" i="1"/>
  <c r="I2478" i="1" s="1"/>
  <c r="H2479" i="1"/>
  <c r="I2479" i="1" s="1"/>
  <c r="H2492" i="1"/>
  <c r="I2492" i="1" s="1"/>
  <c r="H2506" i="1"/>
  <c r="I2506" i="1" s="1"/>
  <c r="H2520" i="1"/>
  <c r="I2520" i="1" s="1"/>
  <c r="H2521" i="1"/>
  <c r="I2521" i="1" s="1"/>
  <c r="J2525" i="1" s="1"/>
  <c r="H2535" i="1"/>
  <c r="I2535" i="1" s="1"/>
  <c r="J2539" i="1" s="1"/>
  <c r="H2534" i="1"/>
  <c r="I2534" i="1" s="1"/>
  <c r="H2548" i="1"/>
  <c r="I2548" i="1" s="1"/>
  <c r="H2563" i="1"/>
  <c r="I2563" i="1" s="1"/>
  <c r="H2562" i="1"/>
  <c r="I2562" i="1" s="1"/>
  <c r="H2577" i="1"/>
  <c r="I2577" i="1" s="1"/>
  <c r="H2576" i="1"/>
  <c r="I2576" i="1" s="1"/>
  <c r="J2580" i="1" s="1"/>
  <c r="H2591" i="1"/>
  <c r="I2591" i="1" s="1"/>
  <c r="J2595" i="1" s="1"/>
  <c r="H2590" i="1"/>
  <c r="I2590" i="1" s="1"/>
  <c r="H2605" i="1"/>
  <c r="I2605" i="1" s="1"/>
  <c r="J2609" i="1" s="1"/>
  <c r="H2604" i="1"/>
  <c r="I2604" i="1" s="1"/>
  <c r="H2619" i="1"/>
  <c r="I2619" i="1" s="1"/>
  <c r="H2618" i="1"/>
  <c r="I2618" i="1" s="1"/>
  <c r="H2633" i="1"/>
  <c r="I2633" i="1" s="1"/>
  <c r="H2632" i="1"/>
  <c r="I2632" i="1" s="1"/>
  <c r="J118" i="1"/>
  <c r="H449" i="1"/>
  <c r="I449" i="1" s="1"/>
  <c r="J453" i="1" s="1"/>
  <c r="H561" i="1"/>
  <c r="I561" i="1" s="1"/>
  <c r="H980" i="1"/>
  <c r="I980" i="1" s="1"/>
  <c r="J984" i="1" s="1"/>
  <c r="H1009" i="1"/>
  <c r="I1009" i="1" s="1"/>
  <c r="H1065" i="1"/>
  <c r="I1065" i="1" s="1"/>
  <c r="J1069" i="1" s="1"/>
  <c r="H589" i="1"/>
  <c r="I589" i="1" s="1"/>
  <c r="H1120" i="1"/>
  <c r="I1120" i="1" s="1"/>
  <c r="J1124" i="1" s="1"/>
  <c r="H365" i="1"/>
  <c r="I365" i="1" s="1"/>
  <c r="H813" i="1"/>
  <c r="I813" i="1" s="1"/>
  <c r="H925" i="1"/>
  <c r="I925" i="1" s="1"/>
  <c r="J2289" i="1"/>
  <c r="H785" i="1"/>
  <c r="I785" i="1" s="1"/>
  <c r="H1680" i="1"/>
  <c r="I1680" i="1" s="1"/>
  <c r="H85" i="1"/>
  <c r="I85" i="1" s="1"/>
  <c r="H281" i="1"/>
  <c r="I281" i="1" s="1"/>
  <c r="J285" i="1" s="1"/>
  <c r="H477" i="1"/>
  <c r="I477" i="1" s="1"/>
  <c r="H673" i="1"/>
  <c r="I673" i="1" s="1"/>
  <c r="H883" i="1"/>
  <c r="I883" i="1" s="1"/>
  <c r="H1079" i="1"/>
  <c r="I1079" i="1" s="1"/>
  <c r="H1135" i="1"/>
  <c r="I1135" i="1" s="1"/>
  <c r="J1139" i="1" s="1"/>
  <c r="J119" i="1"/>
  <c r="J189" i="1"/>
  <c r="J1561" i="1"/>
  <c r="J1043" i="1"/>
  <c r="J2625" i="1"/>
  <c r="J916" i="1"/>
  <c r="J1938" i="1"/>
  <c r="J2345" i="1"/>
  <c r="J2527" i="1"/>
  <c r="J2275" i="1"/>
  <c r="H1150" i="1"/>
  <c r="I1150" i="1" s="1"/>
  <c r="J1154" i="1" s="1"/>
  <c r="H1149" i="1"/>
  <c r="I1149" i="1" s="1"/>
  <c r="H1163" i="1"/>
  <c r="I1163" i="1" s="1"/>
  <c r="H1177" i="1"/>
  <c r="I1177" i="1" s="1"/>
  <c r="H1248" i="1"/>
  <c r="I1248" i="1" s="1"/>
  <c r="J1252" i="1" s="1"/>
  <c r="H1247" i="1"/>
  <c r="I1247" i="1" s="1"/>
  <c r="H1261" i="1"/>
  <c r="I1261" i="1" s="1"/>
  <c r="H1275" i="1"/>
  <c r="I1275" i="1" s="1"/>
  <c r="H1346" i="1"/>
  <c r="I1346" i="1" s="1"/>
  <c r="H1345" i="1"/>
  <c r="I1345" i="1" s="1"/>
  <c r="H1359" i="1"/>
  <c r="I1359" i="1" s="1"/>
  <c r="H1373" i="1"/>
  <c r="I1373" i="1" s="1"/>
  <c r="H1444" i="1"/>
  <c r="I1444" i="1" s="1"/>
  <c r="H1443" i="1"/>
  <c r="I1443" i="1" s="1"/>
  <c r="H1457" i="1"/>
  <c r="I1457" i="1" s="1"/>
  <c r="H1513" i="1"/>
  <c r="I1513" i="1" s="1"/>
  <c r="H1514" i="1"/>
  <c r="I1514" i="1" s="1"/>
  <c r="H1528" i="1"/>
  <c r="I1528" i="1" s="1"/>
  <c r="H1527" i="1"/>
  <c r="I1527" i="1" s="1"/>
  <c r="H1542" i="1"/>
  <c r="I1542" i="1" s="1"/>
  <c r="H1541" i="1"/>
  <c r="I1541" i="1" s="1"/>
  <c r="H1612" i="1"/>
  <c r="I1612" i="1" s="1"/>
  <c r="H1611" i="1"/>
  <c r="I1611" i="1" s="1"/>
  <c r="H1709" i="1"/>
  <c r="I1709" i="1" s="1"/>
  <c r="J1713" i="1" s="1"/>
  <c r="H1905" i="1"/>
  <c r="I1905" i="1" s="1"/>
  <c r="H2101" i="1"/>
  <c r="I2101" i="1" s="1"/>
  <c r="H2297" i="1"/>
  <c r="I2297" i="1" s="1"/>
  <c r="H2493" i="1"/>
  <c r="I2493" i="1" s="1"/>
  <c r="H2549" i="1"/>
  <c r="I2549" i="1" s="1"/>
  <c r="J2443" i="1"/>
  <c r="H155" i="1"/>
  <c r="I155" i="1" s="1"/>
  <c r="H351" i="1"/>
  <c r="I351" i="1" s="1"/>
  <c r="H547" i="1"/>
  <c r="I547" i="1" s="1"/>
  <c r="H841" i="1"/>
  <c r="I841" i="1" s="1"/>
  <c r="J845" i="1" s="1"/>
  <c r="H1037" i="1"/>
  <c r="I1037" i="1" s="1"/>
  <c r="J1041" i="1" s="1"/>
  <c r="H1392" i="1"/>
  <c r="I1392" i="1" s="1"/>
  <c r="J1392" i="1" s="1"/>
  <c r="H1475" i="1"/>
  <c r="I1475" i="1" s="1"/>
  <c r="H1499" i="1"/>
  <c r="I1499" i="1" s="1"/>
  <c r="J1503" i="1" s="1"/>
  <c r="H141" i="1"/>
  <c r="I141" i="1" s="1"/>
  <c r="H337" i="1"/>
  <c r="I337" i="1" s="1"/>
  <c r="H533" i="1"/>
  <c r="I533" i="1" s="1"/>
  <c r="J537" i="1" s="1"/>
  <c r="H771" i="1"/>
  <c r="I771" i="1" s="1"/>
  <c r="H967" i="1"/>
  <c r="I967" i="1" s="1"/>
  <c r="J971" i="1" s="1"/>
  <c r="H1374" i="1"/>
  <c r="I1374" i="1" s="1"/>
  <c r="H1415" i="1"/>
  <c r="I1415" i="1" s="1"/>
  <c r="J1419" i="1" s="1"/>
  <c r="H1458" i="1"/>
  <c r="I1458" i="1" s="1"/>
  <c r="H127" i="1"/>
  <c r="I127" i="1" s="1"/>
  <c r="J131" i="1" s="1"/>
  <c r="H323" i="1"/>
  <c r="I323" i="1" s="1"/>
  <c r="H519" i="1"/>
  <c r="I519" i="1" s="1"/>
  <c r="J523" i="1" s="1"/>
  <c r="H701" i="1"/>
  <c r="I701" i="1" s="1"/>
  <c r="H897" i="1"/>
  <c r="I897" i="1" s="1"/>
  <c r="H1093" i="1"/>
  <c r="I1093" i="1" s="1"/>
  <c r="H1191" i="1"/>
  <c r="I1191" i="1" s="1"/>
  <c r="H1233" i="1"/>
  <c r="I1233" i="1" s="1"/>
  <c r="J1237" i="1" s="1"/>
  <c r="H113" i="1"/>
  <c r="I113" i="1" s="1"/>
  <c r="J117" i="1" s="1"/>
  <c r="H309" i="1"/>
  <c r="I309" i="1" s="1"/>
  <c r="H505" i="1"/>
  <c r="I505" i="1" s="1"/>
  <c r="H827" i="1"/>
  <c r="I827" i="1" s="1"/>
  <c r="J831" i="1" s="1"/>
  <c r="H1023" i="1"/>
  <c r="I1023" i="1" s="1"/>
  <c r="H1583" i="1"/>
  <c r="I1583" i="1" s="1"/>
  <c r="J1587" i="1" s="1"/>
  <c r="H1182" i="1"/>
  <c r="I1182" i="1" s="1"/>
  <c r="H1181" i="1"/>
  <c r="I1181" i="1" s="1"/>
  <c r="H1280" i="1"/>
  <c r="I1280" i="1" s="1"/>
  <c r="J1284" i="1" s="1"/>
  <c r="H1279" i="1"/>
  <c r="I1279" i="1" s="1"/>
  <c r="J1283" i="1" s="1"/>
  <c r="H1378" i="1"/>
  <c r="I1378" i="1" s="1"/>
  <c r="H1377" i="1"/>
  <c r="I1377" i="1" s="1"/>
  <c r="H99" i="1"/>
  <c r="I99" i="1" s="1"/>
  <c r="H295" i="1"/>
  <c r="I295" i="1" s="1"/>
  <c r="J299" i="1" s="1"/>
  <c r="H491" i="1"/>
  <c r="I491" i="1" s="1"/>
  <c r="H687" i="1"/>
  <c r="I687" i="1" s="1"/>
  <c r="J691" i="1" s="1"/>
  <c r="H757" i="1"/>
  <c r="I757" i="1" s="1"/>
  <c r="H953" i="1"/>
  <c r="I953" i="1" s="1"/>
  <c r="J957" i="1" s="1"/>
  <c r="H1276" i="1"/>
  <c r="I1276" i="1" s="1"/>
  <c r="H1317" i="1"/>
  <c r="I1317" i="1" s="1"/>
  <c r="J1321" i="1" s="1"/>
  <c r="H1360" i="1"/>
  <c r="I1360" i="1" s="1"/>
  <c r="J1799" i="1"/>
  <c r="J2387" i="1"/>
  <c r="J2624" i="1"/>
  <c r="H2162" i="1"/>
  <c r="I2162" i="1" s="1"/>
  <c r="H2596" i="1"/>
  <c r="I2596" i="1" s="1"/>
  <c r="H2581" i="1"/>
  <c r="I2581" i="1" s="1"/>
  <c r="J2581" i="1" s="1"/>
  <c r="H1588" i="1"/>
  <c r="I1588" i="1" s="1"/>
  <c r="H1587" i="1"/>
  <c r="I1587" i="1" s="1"/>
  <c r="J1590" i="1" s="1"/>
  <c r="H1784" i="1"/>
  <c r="I1784" i="1" s="1"/>
  <c r="H1783" i="1"/>
  <c r="I1783" i="1" s="1"/>
  <c r="H1826" i="1"/>
  <c r="I1826" i="1" s="1"/>
  <c r="H1825" i="1"/>
  <c r="I1825" i="1" s="1"/>
  <c r="H1980" i="1"/>
  <c r="I1980" i="1" s="1"/>
  <c r="H1979" i="1"/>
  <c r="I1979" i="1" s="1"/>
  <c r="H2022" i="1"/>
  <c r="I2022" i="1" s="1"/>
  <c r="H2021" i="1"/>
  <c r="I2021" i="1" s="1"/>
  <c r="J2025" i="1" s="1"/>
  <c r="H2176" i="1"/>
  <c r="I2176" i="1" s="1"/>
  <c r="H2175" i="1"/>
  <c r="I2175" i="1" s="1"/>
  <c r="J2177" i="1" s="1"/>
  <c r="H2218" i="1"/>
  <c r="I2218" i="1" s="1"/>
  <c r="H2217" i="1"/>
  <c r="I2217" i="1" s="1"/>
  <c r="H2372" i="1"/>
  <c r="I2372" i="1" s="1"/>
  <c r="H2371" i="1"/>
  <c r="I2371" i="1" s="1"/>
  <c r="H2414" i="1"/>
  <c r="I2414" i="1" s="1"/>
  <c r="H2413" i="1"/>
  <c r="I2413" i="1" s="1"/>
  <c r="H2568" i="1"/>
  <c r="I2568" i="1" s="1"/>
  <c r="H2567" i="1"/>
  <c r="I2567" i="1" s="1"/>
  <c r="H2610" i="1"/>
  <c r="I2610" i="1" s="1"/>
  <c r="J2614" i="1" s="1"/>
  <c r="H2609" i="1"/>
  <c r="I2609" i="1" s="1"/>
  <c r="H2301" i="1"/>
  <c r="I2301" i="1" s="1"/>
  <c r="H2358" i="1"/>
  <c r="I2358" i="1" s="1"/>
  <c r="H2469" i="1"/>
  <c r="I2469" i="1" s="1"/>
  <c r="J2473" i="1" s="1"/>
  <c r="H1839" i="1"/>
  <c r="I1839" i="1" s="1"/>
  <c r="J1842" i="1" s="1"/>
  <c r="H1993" i="1"/>
  <c r="I1993" i="1" s="1"/>
  <c r="H1723" i="1"/>
  <c r="I1723" i="1" s="1"/>
  <c r="H1919" i="1"/>
  <c r="I1919" i="1" s="1"/>
  <c r="J1923" i="1" s="1"/>
  <c r="H2115" i="1"/>
  <c r="I2115" i="1" s="1"/>
  <c r="H2311" i="1"/>
  <c r="I2311" i="1" s="1"/>
  <c r="H2507" i="1"/>
  <c r="I2507" i="1" s="1"/>
  <c r="J2511" i="1" s="1"/>
  <c r="J2556" i="1"/>
  <c r="J806" i="1"/>
  <c r="J1268" i="1"/>
  <c r="J1356" i="1"/>
  <c r="J1355" i="1"/>
  <c r="J1510" i="1"/>
  <c r="J1954" i="1"/>
  <c r="J2192" i="1"/>
  <c r="J2277" i="1"/>
  <c r="J2276" i="1"/>
  <c r="J2278" i="1"/>
  <c r="J2292" i="1"/>
  <c r="J2291" i="1"/>
  <c r="J2290" i="1"/>
  <c r="J2545" i="1"/>
  <c r="J2626" i="1"/>
  <c r="J372" i="1"/>
  <c r="J1536" i="1"/>
  <c r="J148" i="1"/>
  <c r="J419" i="1"/>
  <c r="J2039" i="1"/>
  <c r="J2402" i="1"/>
  <c r="J164" i="1"/>
  <c r="J401" i="1"/>
  <c r="J568" i="1"/>
  <c r="J2544" i="1"/>
  <c r="J843" i="1"/>
  <c r="J764" i="1"/>
  <c r="J763" i="1"/>
  <c r="J272" i="1"/>
  <c r="J1354" i="1"/>
  <c r="J386" i="1"/>
  <c r="J385" i="1"/>
  <c r="J1886" i="1"/>
  <c r="J1883" i="1"/>
  <c r="J1882" i="1"/>
  <c r="J316" i="1"/>
  <c r="J484" i="1"/>
  <c r="J680" i="1"/>
  <c r="J679" i="1"/>
  <c r="J678" i="1"/>
  <c r="J165" i="1"/>
  <c r="J389" i="1"/>
  <c r="J466" i="1"/>
  <c r="J681" i="1"/>
  <c r="J1088" i="1"/>
  <c r="J1087" i="1"/>
  <c r="J1086" i="1"/>
  <c r="J1871" i="1"/>
  <c r="J8" i="1"/>
  <c r="J7" i="1"/>
  <c r="J6" i="1"/>
  <c r="J1143" i="1"/>
  <c r="J1142" i="1"/>
  <c r="J1745" i="1"/>
  <c r="J1744" i="1"/>
  <c r="J1743" i="1"/>
  <c r="J1742" i="1"/>
  <c r="J1872" i="1"/>
  <c r="J1870" i="1"/>
  <c r="J1868" i="1"/>
  <c r="J169" i="1"/>
  <c r="J750" i="1"/>
  <c r="J749" i="1"/>
  <c r="J1270" i="1"/>
  <c r="J1747" i="1"/>
  <c r="J9" i="1"/>
  <c r="J134" i="1"/>
  <c r="J1128" i="1"/>
  <c r="J1127" i="1"/>
  <c r="J1254" i="1"/>
  <c r="J1421" i="1"/>
  <c r="J1420" i="1"/>
  <c r="J1422" i="1"/>
  <c r="J2136" i="1"/>
  <c r="J199" i="1"/>
  <c r="J521" i="1"/>
  <c r="J913" i="1"/>
  <c r="J170" i="1"/>
  <c r="J708" i="1"/>
  <c r="J707" i="1"/>
  <c r="J1001" i="1"/>
  <c r="J1814" i="1"/>
  <c r="J1920" i="1"/>
  <c r="J2068" i="1"/>
  <c r="J2124" i="1"/>
  <c r="J120" i="1"/>
  <c r="J135" i="1"/>
  <c r="J218" i="1"/>
  <c r="J1073" i="1"/>
  <c r="J1072" i="1"/>
  <c r="J1071" i="1"/>
  <c r="J1070" i="1"/>
  <c r="J1409" i="1"/>
  <c r="J2262" i="1"/>
  <c r="J1144" i="1"/>
  <c r="J203" i="1"/>
  <c r="J301" i="1"/>
  <c r="J317" i="1"/>
  <c r="J318" i="1"/>
  <c r="J709" i="1"/>
  <c r="J710" i="1"/>
  <c r="J807" i="1"/>
  <c r="J2093" i="1"/>
  <c r="J61" i="1"/>
  <c r="J76" i="1"/>
  <c r="J188" i="1"/>
  <c r="J302" i="1"/>
  <c r="J557" i="1"/>
  <c r="J576" i="1"/>
  <c r="J974" i="1"/>
  <c r="J77" i="1"/>
  <c r="J539" i="1"/>
  <c r="J694" i="1"/>
  <c r="J693" i="1"/>
  <c r="J692" i="1"/>
  <c r="J975" i="1"/>
  <c r="J1519" i="1"/>
  <c r="J1520" i="1"/>
  <c r="J1757" i="1"/>
  <c r="J187" i="1"/>
  <c r="J78" i="1"/>
  <c r="J286" i="1"/>
  <c r="J540" i="1"/>
  <c r="J1508" i="1"/>
  <c r="J1507" i="1"/>
  <c r="J1506" i="1"/>
  <c r="J1505" i="1"/>
  <c r="J1504" i="1"/>
  <c r="J1523" i="1"/>
  <c r="J1122" i="1"/>
  <c r="J64" i="1"/>
  <c r="J287" i="1"/>
  <c r="J876" i="1"/>
  <c r="J1126" i="1"/>
  <c r="J240" i="1"/>
  <c r="J288" i="1"/>
  <c r="J417" i="1"/>
  <c r="J1492" i="1"/>
  <c r="J1490" i="1"/>
  <c r="J1759" i="1"/>
  <c r="J48" i="1"/>
  <c r="J455" i="1"/>
  <c r="J470" i="1"/>
  <c r="J862" i="1"/>
  <c r="J968" i="1"/>
  <c r="J1060" i="1"/>
  <c r="J1198" i="1"/>
  <c r="J1325" i="1"/>
  <c r="J1560" i="1"/>
  <c r="J1658" i="1"/>
  <c r="J1674" i="1"/>
  <c r="J289" i="1"/>
  <c r="J456" i="1"/>
  <c r="J607" i="1"/>
  <c r="J637" i="1"/>
  <c r="J636" i="1"/>
  <c r="J803" i="1"/>
  <c r="J848" i="1"/>
  <c r="J1451" i="1"/>
  <c r="J1659" i="1"/>
  <c r="J2018" i="1"/>
  <c r="J2459" i="1"/>
  <c r="J472" i="1"/>
  <c r="J623" i="1"/>
  <c r="J638" i="1"/>
  <c r="J1140" i="1"/>
  <c r="J1155" i="1"/>
  <c r="J1200" i="1"/>
  <c r="J2053" i="1"/>
  <c r="J2054" i="1"/>
  <c r="J2052" i="1"/>
  <c r="J2326" i="1"/>
  <c r="J2641" i="1"/>
  <c r="J2036" i="1"/>
  <c r="J232" i="1"/>
  <c r="J608" i="1"/>
  <c r="J653" i="1"/>
  <c r="J849" i="1"/>
  <c r="J1266" i="1"/>
  <c r="J1798" i="1"/>
  <c r="J2055" i="1"/>
  <c r="J2312" i="1"/>
  <c r="J2037" i="1"/>
  <c r="J384" i="1"/>
  <c r="J610" i="1"/>
  <c r="J639" i="1"/>
  <c r="J972" i="1"/>
  <c r="J1002" i="1"/>
  <c r="J1171" i="1"/>
  <c r="J1172" i="1"/>
  <c r="J1436" i="1"/>
  <c r="J1434" i="1"/>
  <c r="J2389" i="1"/>
  <c r="J204" i="1"/>
  <c r="J233" i="1"/>
  <c r="J400" i="1"/>
  <c r="J958" i="1"/>
  <c r="J973" i="1"/>
  <c r="J988" i="1"/>
  <c r="J1003" i="1"/>
  <c r="J1018" i="1"/>
  <c r="J1156" i="1"/>
  <c r="J1173" i="1"/>
  <c r="J1660" i="1"/>
  <c r="J2615" i="1"/>
  <c r="J1758" i="1"/>
  <c r="J1939" i="1"/>
  <c r="J1141" i="1"/>
  <c r="J1201" i="1"/>
  <c r="J1322" i="1"/>
  <c r="J1337" i="1"/>
  <c r="J1970" i="1"/>
  <c r="J2543" i="1"/>
  <c r="J987" i="1"/>
  <c r="J804" i="1"/>
  <c r="J832" i="1"/>
  <c r="J846" i="1"/>
  <c r="J860" i="1"/>
  <c r="J986" i="1"/>
  <c r="J1308" i="1"/>
  <c r="J1336" i="1"/>
  <c r="J1952" i="1"/>
  <c r="J2008" i="1"/>
  <c r="J2190" i="1"/>
  <c r="J2204" i="1"/>
  <c r="J2260" i="1"/>
  <c r="J2274" i="1"/>
  <c r="J2358" i="1"/>
  <c r="J2400" i="1"/>
  <c r="J2442" i="1"/>
  <c r="J2512" i="1"/>
  <c r="J2526" i="1"/>
  <c r="J2540" i="1"/>
  <c r="J1657" i="1"/>
  <c r="J805" i="1"/>
  <c r="J819" i="1"/>
  <c r="J847" i="1"/>
  <c r="J861" i="1"/>
  <c r="J875" i="1"/>
  <c r="J917" i="1"/>
  <c r="J1239" i="1"/>
  <c r="J1253" i="1"/>
  <c r="J1323" i="1"/>
  <c r="J1435" i="1"/>
  <c r="J1575" i="1"/>
  <c r="J1589" i="1"/>
  <c r="J1869" i="1"/>
  <c r="J1953" i="1"/>
  <c r="J1967" i="1"/>
  <c r="J2023" i="1"/>
  <c r="J1240" i="1"/>
  <c r="J1324" i="1"/>
  <c r="J1338" i="1"/>
  <c r="J1576" i="1"/>
  <c r="J1730" i="1"/>
  <c r="J1884" i="1"/>
  <c r="J1940" i="1"/>
  <c r="J2038" i="1"/>
  <c r="J2346" i="1"/>
  <c r="J2444" i="1"/>
  <c r="J2458" i="1"/>
  <c r="J2472" i="1"/>
  <c r="J2528" i="1"/>
  <c r="J2542" i="1"/>
  <c r="D2" i="2"/>
  <c r="D1" i="2"/>
  <c r="J731" i="1" l="1"/>
  <c r="J542" i="1"/>
  <c r="J541" i="1"/>
  <c r="J2342" i="1"/>
  <c r="J2340" i="1"/>
  <c r="J1990" i="1"/>
  <c r="J1162" i="1"/>
  <c r="J1159" i="1"/>
  <c r="J677" i="1"/>
  <c r="J674" i="1"/>
  <c r="J2242" i="1"/>
  <c r="J926" i="1"/>
  <c r="J1638" i="1"/>
  <c r="J2228" i="1"/>
  <c r="J235" i="1"/>
  <c r="J239" i="1"/>
  <c r="J2069" i="1"/>
  <c r="J1271" i="1"/>
  <c r="J1269" i="1"/>
  <c r="J865" i="1"/>
  <c r="J863" i="1"/>
  <c r="J864" i="1"/>
  <c r="J866" i="1"/>
  <c r="J79" i="1"/>
  <c r="J80" i="1"/>
  <c r="J81" i="1"/>
  <c r="J2221" i="1"/>
  <c r="J506" i="1"/>
  <c r="J99" i="1"/>
  <c r="J1610" i="1"/>
  <c r="J185" i="1"/>
  <c r="J184" i="1"/>
  <c r="J2209" i="1"/>
  <c r="J2208" i="1"/>
  <c r="J236" i="1"/>
  <c r="J1405" i="1"/>
  <c r="J1408" i="1"/>
  <c r="J1407" i="1"/>
  <c r="J1406" i="1"/>
  <c r="J2222" i="1"/>
  <c r="J2597" i="1"/>
  <c r="J2598" i="1"/>
  <c r="J2596" i="1"/>
  <c r="J1608" i="1"/>
  <c r="J374" i="1"/>
  <c r="J1351" i="1"/>
  <c r="J1352" i="1"/>
  <c r="J551" i="1"/>
  <c r="J554" i="1"/>
  <c r="J553" i="1"/>
  <c r="J552" i="1"/>
  <c r="J622" i="1"/>
  <c r="J624" i="1"/>
  <c r="J621" i="1"/>
  <c r="J1646" i="1"/>
  <c r="J1644" i="1"/>
  <c r="J1645" i="1"/>
  <c r="J2004" i="1"/>
  <c r="J730" i="1"/>
  <c r="J781" i="1"/>
  <c r="J1307" i="1"/>
  <c r="J2546" i="1"/>
  <c r="J1727" i="1"/>
  <c r="J1726" i="1"/>
  <c r="J2176" i="1"/>
  <c r="J2178" i="1"/>
  <c r="J1475" i="1"/>
  <c r="J1476" i="1"/>
  <c r="J1935" i="1"/>
  <c r="J697" i="1"/>
  <c r="J1341" i="1"/>
  <c r="J641" i="1"/>
  <c r="J1235" i="1"/>
  <c r="J91" i="1"/>
  <c r="J1678" i="1"/>
  <c r="J1968" i="1"/>
  <c r="J136" i="1"/>
  <c r="J2314" i="1"/>
  <c r="J1626" i="1"/>
  <c r="J519" i="1"/>
  <c r="J2140" i="1"/>
  <c r="J1553" i="1"/>
  <c r="J1855" i="1"/>
  <c r="J2612" i="1"/>
  <c r="J2471" i="1"/>
  <c r="J2188" i="1"/>
  <c r="J1853" i="1"/>
  <c r="J1376" i="1"/>
  <c r="J1094" i="1"/>
  <c r="J858" i="1"/>
  <c r="J424" i="1"/>
  <c r="J2103" i="1"/>
  <c r="J1627" i="1"/>
  <c r="J1193" i="1"/>
  <c r="J366" i="1"/>
  <c r="J2323" i="1"/>
  <c r="J2109" i="1"/>
  <c r="J2042" i="1"/>
  <c r="J300" i="1"/>
  <c r="J1489" i="1"/>
  <c r="J2003" i="1"/>
  <c r="J2341" i="1"/>
  <c r="J1359" i="1"/>
  <c r="J522" i="1"/>
  <c r="J592" i="1"/>
  <c r="J1040" i="1"/>
  <c r="J1403" i="1"/>
  <c r="J1256" i="1"/>
  <c r="J1810" i="1"/>
  <c r="J2328" i="1"/>
  <c r="J387" i="1"/>
  <c r="J370" i="1"/>
  <c r="J634" i="1"/>
  <c r="J2175" i="1"/>
  <c r="J1055" i="1"/>
  <c r="J388" i="1"/>
  <c r="J1020" i="1"/>
  <c r="J625" i="1"/>
  <c r="J251" i="1"/>
  <c r="J1811" i="1"/>
  <c r="J2593" i="1"/>
  <c r="J1404" i="1"/>
  <c r="J2144" i="1"/>
  <c r="J1249" i="1"/>
  <c r="J2090" i="1"/>
  <c r="J676" i="1"/>
  <c r="J1205" i="1"/>
  <c r="J1966" i="1"/>
  <c r="J640" i="1"/>
  <c r="J1605" i="1"/>
  <c r="J2106" i="1"/>
  <c r="J1178" i="1"/>
  <c r="J2024" i="1"/>
  <c r="J350" i="1"/>
  <c r="J1056" i="1"/>
  <c r="J373" i="1"/>
  <c r="J2107" i="1"/>
  <c r="J368" i="1"/>
  <c r="J2022" i="1"/>
  <c r="J2206" i="1"/>
  <c r="J2120" i="1"/>
  <c r="J1830" i="1"/>
  <c r="J927" i="1"/>
  <c r="J1502" i="1"/>
  <c r="J2383" i="1"/>
  <c r="J844" i="1"/>
  <c r="J1222" i="1"/>
  <c r="J651" i="1"/>
  <c r="J2121" i="1"/>
  <c r="J2403" i="1"/>
  <c r="J2415" i="1"/>
  <c r="J2160" i="1"/>
  <c r="J1488" i="1"/>
  <c r="J60" i="1"/>
  <c r="J198" i="1"/>
  <c r="J1202" i="1"/>
  <c r="J1410" i="1"/>
  <c r="J1004" i="1"/>
  <c r="J221" i="1"/>
  <c r="J1906" i="1"/>
  <c r="J1305" i="1"/>
  <c r="J1393" i="1"/>
  <c r="J2405" i="1"/>
  <c r="J369" i="1"/>
  <c r="J2608" i="1"/>
  <c r="J2370" i="1"/>
  <c r="J2258" i="1"/>
  <c r="J2020" i="1"/>
  <c r="J1796" i="1"/>
  <c r="J1474" i="1"/>
  <c r="J1306" i="1"/>
  <c r="J1054" i="1"/>
  <c r="J2506" i="1"/>
  <c r="J940" i="1"/>
  <c r="J766" i="1"/>
  <c r="J587" i="1"/>
  <c r="J1006" i="1"/>
  <c r="J1724" i="1"/>
  <c r="J2404" i="1"/>
  <c r="J62" i="1"/>
  <c r="J1607" i="1"/>
  <c r="J2119" i="1"/>
  <c r="J2372" i="1"/>
  <c r="J1591" i="1"/>
  <c r="J2021" i="1"/>
  <c r="J1642" i="1"/>
  <c r="J1723" i="1"/>
  <c r="J911" i="1"/>
  <c r="J1300" i="1"/>
  <c r="J2280" i="1"/>
  <c r="J1780" i="1"/>
  <c r="J912" i="1"/>
  <c r="J1121" i="1"/>
  <c r="J729" i="1"/>
  <c r="J2579" i="1"/>
  <c r="J1058" i="1"/>
  <c r="J520" i="1"/>
  <c r="J1592" i="1"/>
  <c r="J2105" i="1"/>
  <c r="J593" i="1"/>
  <c r="J2594" i="1"/>
  <c r="J2244" i="1"/>
  <c r="J2006" i="1"/>
  <c r="J1782" i="1"/>
  <c r="J1643" i="1"/>
  <c r="J2649" i="1"/>
  <c r="J1710" i="1"/>
  <c r="J797" i="1"/>
  <c r="J437" i="1"/>
  <c r="J1342" i="1"/>
  <c r="J954" i="1"/>
  <c r="J1695" i="1"/>
  <c r="J1289" i="1"/>
  <c r="J883" i="1"/>
  <c r="J473" i="1"/>
  <c r="J43" i="1"/>
  <c r="J2478" i="1"/>
  <c r="J2125" i="1"/>
  <c r="J715" i="1"/>
  <c r="J2578" i="1"/>
  <c r="J2256" i="1"/>
  <c r="J1304" i="1"/>
  <c r="J113" i="1"/>
  <c r="J2297" i="1"/>
  <c r="J1471" i="1"/>
  <c r="J1090" i="1"/>
  <c r="J138" i="1"/>
  <c r="J1188" i="1"/>
  <c r="J1847" i="1"/>
  <c r="J991" i="1"/>
  <c r="J937" i="1"/>
  <c r="J933" i="1"/>
  <c r="J934" i="1"/>
  <c r="J936" i="1"/>
  <c r="J1457" i="1"/>
  <c r="J1458" i="1"/>
  <c r="J2076" i="1"/>
  <c r="J2074" i="1"/>
  <c r="J1864" i="1"/>
  <c r="J504" i="1"/>
  <c r="J500" i="1"/>
  <c r="J501" i="1"/>
  <c r="J42" i="1"/>
  <c r="J1522" i="1"/>
  <c r="J1525" i="1"/>
  <c r="J1521" i="1"/>
  <c r="J727" i="1"/>
  <c r="J725" i="1"/>
  <c r="J726" i="1"/>
  <c r="J724" i="1"/>
  <c r="J335" i="1"/>
  <c r="J332" i="1"/>
  <c r="J333" i="1"/>
  <c r="J334" i="1"/>
  <c r="J269" i="1"/>
  <c r="J268" i="1"/>
  <c r="J1791" i="1"/>
  <c r="J1544" i="1"/>
  <c r="J1543" i="1"/>
  <c r="J1816" i="1"/>
  <c r="J2610" i="1"/>
  <c r="J2613" i="1"/>
  <c r="J1950" i="1"/>
  <c r="J1949" i="1"/>
  <c r="J1712" i="1"/>
  <c r="J1711" i="1"/>
  <c r="J255" i="1"/>
  <c r="J1694" i="1"/>
  <c r="J1691" i="1"/>
  <c r="J1690" i="1"/>
  <c r="J896" i="1"/>
  <c r="J894" i="1"/>
  <c r="J893" i="1"/>
  <c r="J14" i="1"/>
  <c r="J11" i="1"/>
  <c r="T3" i="1" s="1"/>
  <c r="J2309" i="1"/>
  <c r="J2308" i="1"/>
  <c r="J2307" i="1"/>
  <c r="J2306" i="1"/>
  <c r="J1903" i="1"/>
  <c r="J1899" i="1"/>
  <c r="J1901" i="1"/>
  <c r="J1900" i="1"/>
  <c r="J1902" i="1"/>
  <c r="J1105" i="1"/>
  <c r="J1104" i="1"/>
  <c r="J1103" i="1"/>
  <c r="J696" i="1"/>
  <c r="J695" i="1"/>
  <c r="J698" i="1"/>
  <c r="J306" i="1"/>
  <c r="J303" i="1"/>
  <c r="J305" i="1"/>
  <c r="J304" i="1"/>
  <c r="J824" i="1"/>
  <c r="J12" i="1"/>
  <c r="J1370" i="1"/>
  <c r="J880" i="1"/>
  <c r="J2225" i="1"/>
  <c r="J2224" i="1"/>
  <c r="J2223" i="1"/>
  <c r="J205" i="1"/>
  <c r="J74" i="1"/>
  <c r="J254" i="1"/>
  <c r="J2560" i="1"/>
  <c r="J420" i="1"/>
  <c r="J2645" i="1"/>
  <c r="J2643" i="1"/>
  <c r="J2644" i="1"/>
  <c r="J2642" i="1"/>
  <c r="J1889" i="1"/>
  <c r="J1885" i="1"/>
  <c r="J1888" i="1"/>
  <c r="J1887" i="1"/>
  <c r="J1469" i="1"/>
  <c r="J1468" i="1"/>
  <c r="J657" i="1"/>
  <c r="J656" i="1"/>
  <c r="J654" i="1"/>
  <c r="J655" i="1"/>
  <c r="J2476" i="1"/>
  <c r="J2056" i="1"/>
  <c r="J2058" i="1"/>
  <c r="J1219" i="1"/>
  <c r="J1216" i="1"/>
  <c r="J435" i="1"/>
  <c r="J808" i="1"/>
  <c r="J810" i="1"/>
  <c r="J809" i="1"/>
  <c r="J28" i="1"/>
  <c r="J25" i="1"/>
  <c r="J26" i="1"/>
  <c r="J24" i="1"/>
  <c r="J406" i="1"/>
  <c r="J404" i="1"/>
  <c r="J403" i="1"/>
  <c r="J153" i="1"/>
  <c r="J150" i="1"/>
  <c r="J151" i="1"/>
  <c r="J149" i="1"/>
  <c r="J152" i="1"/>
  <c r="J256" i="1"/>
  <c r="J402" i="1"/>
  <c r="J2088" i="1"/>
  <c r="J1558" i="1"/>
  <c r="J1557" i="1"/>
  <c r="J952" i="1"/>
  <c r="J950" i="1"/>
  <c r="J1956" i="1"/>
  <c r="J1957" i="1"/>
  <c r="J1955" i="1"/>
  <c r="J1161" i="1"/>
  <c r="J1160" i="1"/>
  <c r="J114" i="1"/>
  <c r="J1368" i="1"/>
  <c r="J2293" i="1"/>
  <c r="J355" i="1"/>
  <c r="J354" i="1"/>
  <c r="J353" i="1"/>
  <c r="J2437" i="1"/>
  <c r="J2348" i="1"/>
  <c r="J1828" i="1"/>
  <c r="J1829" i="1"/>
  <c r="J1826" i="1"/>
  <c r="J1827" i="1"/>
  <c r="J1157" i="1"/>
  <c r="J2255" i="1"/>
  <c r="J2294" i="1"/>
  <c r="J1524" i="1"/>
  <c r="J2461" i="1"/>
  <c r="J2462" i="1"/>
  <c r="J2460" i="1"/>
  <c r="J1424" i="1"/>
  <c r="J1425" i="1"/>
  <c r="J1487" i="1"/>
  <c r="J1486" i="1"/>
  <c r="J97" i="1"/>
  <c r="J93" i="1"/>
  <c r="J94" i="1"/>
  <c r="J96" i="1"/>
  <c r="J95" i="1"/>
  <c r="J2426" i="1"/>
  <c r="J2367" i="1"/>
  <c r="J1554" i="1"/>
  <c r="J1555" i="1"/>
  <c r="J785" i="1"/>
  <c r="J1093" i="1"/>
  <c r="J1089" i="1"/>
  <c r="J267" i="1"/>
  <c r="J2475" i="1"/>
  <c r="J1291" i="1"/>
  <c r="J1290" i="1"/>
  <c r="J898" i="1"/>
  <c r="J897" i="1"/>
  <c r="J474" i="1"/>
  <c r="J434" i="1"/>
  <c r="J2158" i="1"/>
  <c r="J408" i="1"/>
  <c r="J784" i="1"/>
  <c r="J780" i="1"/>
  <c r="J782" i="1"/>
  <c r="J2631" i="1"/>
  <c r="J2630" i="1"/>
  <c r="J2628" i="1"/>
  <c r="J2627" i="1"/>
  <c r="J1572" i="1"/>
  <c r="J1571" i="1"/>
  <c r="J1570" i="1"/>
  <c r="J1473" i="1"/>
  <c r="J1472" i="1"/>
  <c r="J1423" i="1"/>
  <c r="J1390" i="1"/>
  <c r="J1388" i="1"/>
  <c r="J2490" i="1"/>
  <c r="J264" i="1"/>
  <c r="J1852" i="1"/>
  <c r="J1850" i="1"/>
  <c r="J452" i="1"/>
  <c r="J2142" i="1"/>
  <c r="J752" i="1"/>
  <c r="J753" i="1"/>
  <c r="J754" i="1"/>
  <c r="J751" i="1"/>
  <c r="J1696" i="1"/>
  <c r="J44" i="1"/>
  <c r="J1038" i="1"/>
  <c r="J1158" i="1"/>
  <c r="J2059" i="1"/>
  <c r="J1556" i="1"/>
  <c r="J1989" i="1"/>
  <c r="J1985" i="1"/>
  <c r="J1177" i="1"/>
  <c r="J2424" i="1"/>
  <c r="J2226" i="1"/>
  <c r="J1778" i="1"/>
  <c r="J1776" i="1"/>
  <c r="J1775" i="1"/>
  <c r="J1777" i="1"/>
  <c r="J787" i="1"/>
  <c r="J1374" i="1"/>
  <c r="J1527" i="1"/>
  <c r="J2324" i="1"/>
  <c r="J1918" i="1"/>
  <c r="J1915" i="1"/>
  <c r="J1916" i="1"/>
  <c r="J1456" i="1"/>
  <c r="J1452" i="1"/>
  <c r="J502" i="1"/>
  <c r="J1662" i="1"/>
  <c r="J1663" i="1"/>
  <c r="J990" i="1"/>
  <c r="J989" i="1"/>
  <c r="J992" i="1"/>
  <c r="J573" i="1"/>
  <c r="J571" i="1"/>
  <c r="J569" i="1"/>
  <c r="J570" i="1"/>
  <c r="J2194" i="1"/>
  <c r="J2193" i="1"/>
  <c r="J2195" i="1"/>
  <c r="J433" i="1"/>
  <c r="J1706" i="1"/>
  <c r="J1215" i="1"/>
  <c r="J1984" i="1"/>
  <c r="J1983" i="1"/>
  <c r="J1369" i="1"/>
  <c r="J1459" i="1"/>
  <c r="J1285" i="1"/>
  <c r="J1542" i="1"/>
  <c r="J2563" i="1"/>
  <c r="J2143" i="1"/>
  <c r="J1317" i="1"/>
  <c r="J505" i="1"/>
  <c r="J2492" i="1"/>
  <c r="J2488" i="1"/>
  <c r="J2489" i="1"/>
  <c r="J1302" i="1"/>
  <c r="J2592" i="1"/>
  <c r="J2311" i="1"/>
  <c r="J1905" i="1"/>
  <c r="J2296" i="1"/>
  <c r="J1774" i="1"/>
  <c r="J1748" i="1"/>
  <c r="J1174" i="1"/>
  <c r="J432" i="1"/>
  <c r="J1849" i="1"/>
  <c r="J2530" i="1"/>
  <c r="J617" i="1"/>
  <c r="J238" i="1"/>
  <c r="J2496" i="1"/>
  <c r="J1922" i="1"/>
  <c r="J788" i="1"/>
  <c r="J2509" i="1"/>
  <c r="J2075" i="1"/>
  <c r="J591" i="1"/>
  <c r="J283" i="1"/>
  <c r="J1107" i="1"/>
  <c r="J1988" i="1"/>
  <c r="J1526" i="1"/>
  <c r="J969" i="1"/>
  <c r="J1612" i="1"/>
  <c r="J352" i="1"/>
  <c r="J1765" i="1"/>
  <c r="J589" i="1"/>
  <c r="J2156" i="1"/>
  <c r="J1708" i="1"/>
  <c r="J1288" i="1"/>
  <c r="J2547" i="1"/>
  <c r="J2155" i="1"/>
  <c r="J1357" i="1"/>
  <c r="J951" i="1"/>
  <c r="J559" i="1"/>
  <c r="J167" i="1"/>
  <c r="J2170" i="1"/>
  <c r="J602" i="1"/>
  <c r="J2057" i="1"/>
  <c r="J1623" i="1"/>
  <c r="J405" i="1"/>
  <c r="J1986" i="1"/>
  <c r="J166" i="1"/>
  <c r="J489" i="1"/>
  <c r="J1026" i="1"/>
  <c r="J1320" i="1"/>
  <c r="J2523" i="1"/>
  <c r="J2381" i="1"/>
  <c r="J322" i="1"/>
  <c r="J768" i="1"/>
  <c r="J1761" i="1"/>
  <c r="J2371" i="1"/>
  <c r="J536" i="1"/>
  <c r="J2495" i="1"/>
  <c r="J1389" i="1"/>
  <c r="J2439" i="1"/>
  <c r="J941" i="1"/>
  <c r="J1108" i="1"/>
  <c r="J2325" i="1"/>
  <c r="J1485" i="1"/>
  <c r="J673" i="1"/>
  <c r="J281" i="1"/>
  <c r="J2590" i="1"/>
  <c r="J955" i="1"/>
  <c r="J59" i="1"/>
  <c r="J2647" i="1"/>
  <c r="J2157" i="1"/>
  <c r="J953" i="1"/>
  <c r="J1625" i="1"/>
  <c r="J1120" i="1"/>
  <c r="J728" i="1"/>
  <c r="J266" i="1"/>
  <c r="J2127" i="1"/>
  <c r="J1792" i="1"/>
  <c r="J588" i="1"/>
  <c r="J2421" i="1"/>
  <c r="J1595" i="1"/>
  <c r="J769" i="1"/>
  <c r="J1622" i="1"/>
  <c r="J2327" i="1"/>
  <c r="J1206" i="1"/>
  <c r="J2241" i="1"/>
  <c r="J41" i="1"/>
  <c r="J1640" i="1"/>
  <c r="J1851" i="1"/>
  <c r="J1387" i="1"/>
  <c r="J2575" i="1"/>
  <c r="J1606" i="1"/>
  <c r="J2019" i="1"/>
  <c r="J1375" i="1"/>
  <c r="J1137" i="1"/>
  <c r="J253" i="1"/>
  <c r="J2576" i="1"/>
  <c r="J2366" i="1"/>
  <c r="J1932" i="1"/>
  <c r="J1470" i="1"/>
  <c r="J535" i="1"/>
  <c r="J31" i="1"/>
  <c r="J2438" i="1"/>
  <c r="J1709" i="1"/>
  <c r="J1303" i="1"/>
  <c r="J2086" i="1"/>
  <c r="J1624" i="1"/>
  <c r="J1092" i="1"/>
  <c r="J2491" i="1"/>
  <c r="J1693" i="1"/>
  <c r="J1301" i="1"/>
  <c r="J895" i="1"/>
  <c r="J503" i="1"/>
  <c r="J938" i="1"/>
  <c r="J168" i="1"/>
  <c r="J2001" i="1"/>
  <c r="J1175" i="1"/>
  <c r="J741" i="1"/>
  <c r="J349" i="1"/>
  <c r="J1594" i="1"/>
  <c r="J1106" i="1"/>
  <c r="J909" i="1"/>
  <c r="J2558" i="1"/>
  <c r="J450" i="1"/>
  <c r="J2072" i="1"/>
  <c r="J1372" i="1"/>
  <c r="J826" i="1"/>
  <c r="J2239" i="1"/>
  <c r="J1441" i="1"/>
  <c r="J1707" i="1"/>
  <c r="J881" i="1"/>
  <c r="J2559" i="1"/>
  <c r="J2524" i="1"/>
  <c r="J1825" i="1"/>
  <c r="J1865" i="1"/>
  <c r="J771" i="1"/>
  <c r="J1037" i="1"/>
  <c r="J1833" i="1"/>
  <c r="J658" i="1"/>
  <c r="J2505" i="1"/>
  <c r="J1287" i="1"/>
  <c r="J1076" i="1"/>
  <c r="J219" i="1"/>
  <c r="J1074" i="1"/>
  <c r="J485" i="1"/>
  <c r="J1005" i="1"/>
  <c r="J585" i="1"/>
  <c r="J970" i="1"/>
  <c r="J340" i="1"/>
  <c r="J1437" i="1"/>
  <c r="J338" i="1"/>
  <c r="J486" i="1"/>
  <c r="J842" i="1"/>
  <c r="J1257" i="1"/>
  <c r="J1725" i="1"/>
  <c r="J1628" i="1"/>
  <c r="J1250" i="1"/>
  <c r="J956" i="1"/>
  <c r="J508" i="1"/>
  <c r="J130" i="1"/>
  <c r="J2243" i="1"/>
  <c r="J2005" i="1"/>
  <c r="J1781" i="1"/>
  <c r="J1123" i="1"/>
  <c r="J1934" i="1"/>
  <c r="J1023" i="1"/>
  <c r="J603" i="1"/>
  <c r="J2562" i="1"/>
  <c r="J1904" i="1"/>
  <c r="J1442" i="1"/>
  <c r="J507" i="1"/>
  <c r="J1052" i="1"/>
  <c r="J2507" i="1"/>
  <c r="J57" i="1"/>
  <c r="J2611" i="1"/>
  <c r="J182" i="1"/>
  <c r="J2071" i="1"/>
  <c r="J1273" i="1"/>
  <c r="J1680" i="1"/>
  <c r="J910" i="1"/>
  <c r="J518" i="1"/>
  <c r="J154" i="1"/>
  <c r="J2365" i="1"/>
  <c r="J1973" i="1"/>
  <c r="J1539" i="1"/>
  <c r="J713" i="1"/>
  <c r="J321" i="1"/>
  <c r="J2238" i="1"/>
  <c r="J1538" i="1"/>
  <c r="J586" i="1"/>
  <c r="J40" i="1"/>
  <c r="J2240" i="1"/>
  <c r="J1936" i="1"/>
  <c r="J1417" i="1"/>
  <c r="J337" i="1"/>
  <c r="J116" i="1"/>
  <c r="J2227" i="1"/>
  <c r="J575" i="1"/>
  <c r="J155" i="1"/>
  <c r="J2310" i="1"/>
  <c r="J2382" i="1"/>
  <c r="J1024" i="1"/>
  <c r="J2479" i="1"/>
  <c r="J2073" i="1"/>
  <c r="J29" i="1"/>
  <c r="J1036" i="1"/>
  <c r="J1091" i="1"/>
  <c r="J1274" i="1"/>
  <c r="J882" i="1"/>
  <c r="J490" i="1"/>
  <c r="J2154" i="1"/>
  <c r="J558" i="1"/>
  <c r="J1692" i="1"/>
  <c r="J714" i="1"/>
  <c r="J2561" i="1"/>
  <c r="J1339" i="1"/>
  <c r="J675" i="1"/>
  <c r="J436" i="1"/>
  <c r="J1232" i="1"/>
  <c r="J1021" i="1"/>
  <c r="J2141" i="1"/>
  <c r="J1334" i="1"/>
  <c r="J2313" i="1"/>
  <c r="J422" i="1"/>
  <c r="J2646" i="1"/>
  <c r="J1204" i="1"/>
  <c r="J2211" i="1"/>
  <c r="J1007" i="1"/>
  <c r="J223" i="1"/>
  <c r="J1679" i="1"/>
  <c r="J250" i="1"/>
  <c r="J1831" i="1"/>
  <c r="J767" i="1"/>
  <c r="J2089" i="1"/>
  <c r="J786" i="1"/>
  <c r="J1541" i="1"/>
  <c r="J2422" i="1"/>
  <c r="J115" i="1"/>
  <c r="J1793" i="1"/>
  <c r="J1009" i="1"/>
  <c r="J183" i="1"/>
  <c r="J1764" i="1"/>
  <c r="J770" i="1"/>
  <c r="J1385" i="1"/>
  <c r="J1022" i="1"/>
  <c r="J252" i="1"/>
  <c r="J2477" i="1"/>
  <c r="J2085" i="1"/>
  <c r="J825" i="1"/>
  <c r="J222" i="1"/>
  <c r="J1677" i="1"/>
  <c r="J1588" i="1"/>
  <c r="J1340" i="1"/>
  <c r="J220" i="1"/>
  <c r="J1439" i="1"/>
  <c r="J1675" i="1"/>
  <c r="J319" i="1"/>
  <c r="J2137" i="1"/>
  <c r="J2573" i="1"/>
  <c r="J1236" i="1"/>
  <c r="J2229" i="1"/>
  <c r="J2368" i="1"/>
  <c r="J1438" i="1"/>
  <c r="J1676" i="1"/>
  <c r="J487" i="1"/>
  <c r="J1353" i="1"/>
  <c r="J555" i="1"/>
  <c r="J1203" i="1"/>
  <c r="J1832" i="1"/>
  <c r="J878" i="1"/>
  <c r="J2574" i="1"/>
  <c r="J1251" i="1"/>
  <c r="J2454" i="1"/>
  <c r="J2104" i="1"/>
  <c r="J1418" i="1"/>
  <c r="J900" i="1"/>
  <c r="J298" i="1"/>
  <c r="J2425" i="1"/>
  <c r="J1933" i="1"/>
  <c r="J604" i="1"/>
  <c r="J2591" i="1"/>
  <c r="J1779" i="1"/>
  <c r="J1373" i="1"/>
  <c r="J967" i="1"/>
  <c r="J1848" i="1"/>
  <c r="J1386" i="1"/>
  <c r="J451" i="1"/>
  <c r="J618" i="1"/>
  <c r="J1233" i="1"/>
  <c r="J421" i="1"/>
  <c r="J2002" i="1"/>
  <c r="J1540" i="1"/>
  <c r="J1008" i="1"/>
  <c r="J1609" i="1"/>
  <c r="J1217" i="1"/>
  <c r="J27" i="1"/>
  <c r="J2295" i="1"/>
  <c r="J1917" i="1"/>
  <c r="J1077" i="1"/>
  <c r="J265" i="1"/>
  <c r="J2126" i="1"/>
  <c r="J1440" i="1"/>
  <c r="J712" i="1"/>
  <c r="J488" i="1"/>
  <c r="J407" i="1"/>
  <c r="J659" i="1"/>
  <c r="J2212" i="1"/>
  <c r="J2510" i="1"/>
  <c r="J1176" i="1"/>
  <c r="J13" i="1"/>
  <c r="J249" i="1"/>
  <c r="J2138" i="1"/>
  <c r="J10" i="1"/>
  <c r="J2207" i="1"/>
  <c r="J879" i="1"/>
  <c r="J1866" i="1"/>
  <c r="J690" i="1"/>
  <c r="J1019" i="1"/>
  <c r="J284" i="1"/>
  <c r="J829" i="1"/>
  <c r="J2577" i="1"/>
  <c r="J2171" i="1"/>
  <c r="J939" i="1"/>
  <c r="J1358" i="1"/>
  <c r="J2423" i="1"/>
  <c r="J2017" i="1"/>
  <c r="J1974" i="1"/>
  <c r="J2173" i="1"/>
  <c r="J574" i="1"/>
  <c r="J98" i="1"/>
  <c r="J1987" i="1"/>
  <c r="J391" i="1"/>
  <c r="J1763" i="1"/>
  <c r="J1218" i="1"/>
  <c r="J1455" i="1"/>
  <c r="J1035" i="1"/>
  <c r="J237" i="1"/>
  <c r="J2070" i="1"/>
  <c r="J1286" i="1"/>
  <c r="J1454" i="1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1" i="2" s="1"/>
  <c r="S6" i="1" l="1"/>
  <c r="T4" i="1"/>
  <c r="T2" i="1"/>
  <c r="S5" i="1"/>
  <c r="S4" i="1"/>
  <c r="T6" i="1"/>
  <c r="T5" i="1"/>
  <c r="S2" i="1"/>
  <c r="S3" i="1"/>
  <c r="K5" i="2"/>
  <c r="L5" i="2"/>
  <c r="L4" i="2"/>
  <c r="C2" i="2"/>
  <c r="K4" i="2"/>
</calcChain>
</file>

<file path=xl/sharedStrings.xml><?xml version="1.0" encoding="utf-8"?>
<sst xmlns="http://schemas.openxmlformats.org/spreadsheetml/2006/main" count="3148" uniqueCount="188">
  <si>
    <t>msa</t>
  </si>
  <si>
    <t>year</t>
  </si>
  <si>
    <t>pop</t>
  </si>
  <si>
    <t>RDI</t>
  </si>
  <si>
    <t>RDI_growth</t>
  </si>
  <si>
    <t>real_rent_growth</t>
  </si>
  <si>
    <t>real_relative_rent_growth</t>
  </si>
  <si>
    <t>real_rent_growth_next_year</t>
  </si>
  <si>
    <t>real_relative_rg_next_year</t>
  </si>
  <si>
    <t>Akron - OH</t>
  </si>
  <si>
    <t>Albany - NY</t>
  </si>
  <si>
    <t>Albuquerque - NM</t>
  </si>
  <si>
    <t>Amarillo - TX</t>
  </si>
  <si>
    <t>Anchorage - AK</t>
  </si>
  <si>
    <t>Ann Arbor - MI</t>
  </si>
  <si>
    <t>Athens - GA</t>
  </si>
  <si>
    <t>Atlanta - GA</t>
  </si>
  <si>
    <t>Atlantic City - NJ</t>
  </si>
  <si>
    <t>Augusta - GA</t>
  </si>
  <si>
    <t>Austin - TX</t>
  </si>
  <si>
    <t>Bakersfield - CA</t>
  </si>
  <si>
    <t>Baltimore - MD</t>
  </si>
  <si>
    <t>Baton Rouge - LA</t>
  </si>
  <si>
    <t>Beaumont - TX</t>
  </si>
  <si>
    <t>Binghamton - NY</t>
  </si>
  <si>
    <t>Birmingham - AL</t>
  </si>
  <si>
    <t>Bloomington - IL</t>
  </si>
  <si>
    <t>Bloomington - IN</t>
  </si>
  <si>
    <t>Boise - ID</t>
  </si>
  <si>
    <t>Boston - MA</t>
  </si>
  <si>
    <t>Bremerton - WA</t>
  </si>
  <si>
    <t>Brownsville-Harlingen - TX</t>
  </si>
  <si>
    <t>Buffalo - NY</t>
  </si>
  <si>
    <t>Canton - OH</t>
  </si>
  <si>
    <t>Champaign-Urbana - IL</t>
  </si>
  <si>
    <t>Charleston - SC</t>
  </si>
  <si>
    <t>Charlotte - NC</t>
  </si>
  <si>
    <t>Chattanooga - TN</t>
  </si>
  <si>
    <t>Chicago - IL</t>
  </si>
  <si>
    <t>Chico - CA</t>
  </si>
  <si>
    <t>Cincinnati - OH</t>
  </si>
  <si>
    <t>Clarksville - TN</t>
  </si>
  <si>
    <t>Cleveland - OH</t>
  </si>
  <si>
    <t>College Station-Bryan - TX</t>
  </si>
  <si>
    <t>Colorado Springs - CO</t>
  </si>
  <si>
    <t>Columbia - MO</t>
  </si>
  <si>
    <t>Columbus - OH</t>
  </si>
  <si>
    <t>Corpus Christi - TX</t>
  </si>
  <si>
    <t>Dallas-Fort Worth - TX</t>
  </si>
  <si>
    <t>Davenport - IA</t>
  </si>
  <si>
    <t>Dayton - OH</t>
  </si>
  <si>
    <t>Daytona Beach - FL</t>
  </si>
  <si>
    <t>Denver - CO</t>
  </si>
  <si>
    <t>Detroit - MI</t>
  </si>
  <si>
    <t>Durham - NC</t>
  </si>
  <si>
    <t>El Paso - TX</t>
  </si>
  <si>
    <t>Elkhart - IN</t>
  </si>
  <si>
    <t>Eugene - OR</t>
  </si>
  <si>
    <t>Evansville - IN</t>
  </si>
  <si>
    <t>Fayetteville - NC</t>
  </si>
  <si>
    <t>Flint - MI</t>
  </si>
  <si>
    <t>Fort Collins - CO</t>
  </si>
  <si>
    <t>Fort Myers - FL</t>
  </si>
  <si>
    <t>Fort Wayne - IN</t>
  </si>
  <si>
    <t>Fresno - CA</t>
  </si>
  <si>
    <t>Gainesville - FL</t>
  </si>
  <si>
    <t>Grand Rapids - MI</t>
  </si>
  <si>
    <t>Greeley - CO</t>
  </si>
  <si>
    <t>Greensboro - NC</t>
  </si>
  <si>
    <t>Greenville - NC</t>
  </si>
  <si>
    <t>Greenville - SC</t>
  </si>
  <si>
    <t>Gulfport-Biloxi-Pascagoula - MS</t>
  </si>
  <si>
    <t>Harrisburg - PA</t>
  </si>
  <si>
    <t>Hartford - CT</t>
  </si>
  <si>
    <t>Honolulu - HI</t>
  </si>
  <si>
    <t>Houston - TX</t>
  </si>
  <si>
    <t>Huntsville - AL</t>
  </si>
  <si>
    <t>Indianapolis - IN</t>
  </si>
  <si>
    <t>Inland Empire - CA</t>
  </si>
  <si>
    <t>Jackson - MS</t>
  </si>
  <si>
    <t>Jacksonville - FL</t>
  </si>
  <si>
    <t>Kalamazoo - MI</t>
  </si>
  <si>
    <t>Kansas City - MO</t>
  </si>
  <si>
    <t>Kennewick-Richland - WA</t>
  </si>
  <si>
    <t>Killeen - TX</t>
  </si>
  <si>
    <t>Knoxville - TN</t>
  </si>
  <si>
    <t>Lafayette - LA</t>
  </si>
  <si>
    <t>Lakeland - FL</t>
  </si>
  <si>
    <t>Lancaster - PA</t>
  </si>
  <si>
    <t>Lansing - MI</t>
  </si>
  <si>
    <t>Las Vegas - NV</t>
  </si>
  <si>
    <t>Lehigh Valley - PA</t>
  </si>
  <si>
    <t>Lincoln - NE</t>
  </si>
  <si>
    <t>Little Rock - AR</t>
  </si>
  <si>
    <t>Los Angeles - CA</t>
  </si>
  <si>
    <t>Louisville - KY</t>
  </si>
  <si>
    <t>Lubbock - TX</t>
  </si>
  <si>
    <t>Manchester - NH</t>
  </si>
  <si>
    <t>McAllen - TX</t>
  </si>
  <si>
    <t>Melbourne - FL</t>
  </si>
  <si>
    <t>Memphis - TN</t>
  </si>
  <si>
    <t>Merced - CA</t>
  </si>
  <si>
    <t>Miami - FL</t>
  </si>
  <si>
    <t>Midland - TX</t>
  </si>
  <si>
    <t>Milwaukee - WI</t>
  </si>
  <si>
    <t>Minneapolis - MN</t>
  </si>
  <si>
    <t>Mobile - AL</t>
  </si>
  <si>
    <t>Modesto - CA</t>
  </si>
  <si>
    <t>Montgomery - AL</t>
  </si>
  <si>
    <t>Naples - FL</t>
  </si>
  <si>
    <t>Nashville - TN</t>
  </si>
  <si>
    <t>New Haven - CT</t>
  </si>
  <si>
    <t>New York - NY</t>
  </si>
  <si>
    <t>Norfolk - VA</t>
  </si>
  <si>
    <t>Northwest Arkansas - AR</t>
  </si>
  <si>
    <t>Norwich - CT</t>
  </si>
  <si>
    <t>Odessa - TX</t>
  </si>
  <si>
    <t>Ogden - UT</t>
  </si>
  <si>
    <t>Oklahoma City - OK</t>
  </si>
  <si>
    <t>Olympia - WA</t>
  </si>
  <si>
    <t>Omaha - NE</t>
  </si>
  <si>
    <t>Orlando - FL</t>
  </si>
  <si>
    <t>Pensacola - FL</t>
  </si>
  <si>
    <t>Peoria - IL</t>
  </si>
  <si>
    <t>Philadelphia - PA</t>
  </si>
  <si>
    <t>Phoenix - AZ</t>
  </si>
  <si>
    <t>Pittsburgh - PA</t>
  </si>
  <si>
    <t>Portland - ME</t>
  </si>
  <si>
    <t>Portland - OR</t>
  </si>
  <si>
    <t>Providence - RI</t>
  </si>
  <si>
    <t>Racine - WI</t>
  </si>
  <si>
    <t>Raleigh - NC</t>
  </si>
  <si>
    <t>Reading - PA</t>
  </si>
  <si>
    <t>Reno - NV</t>
  </si>
  <si>
    <t>Richmond - VA</t>
  </si>
  <si>
    <t>Rochester - NY</t>
  </si>
  <si>
    <t>Rockford - IL</t>
  </si>
  <si>
    <t>Sacramento - CA</t>
  </si>
  <si>
    <t>Saint Louis - MO</t>
  </si>
  <si>
    <t>Salinas - CA</t>
  </si>
  <si>
    <t>Salt Lake City - UT</t>
  </si>
  <si>
    <t>San Antonio - TX</t>
  </si>
  <si>
    <t>San Diego - CA</t>
  </si>
  <si>
    <t>San Francisco - CA</t>
  </si>
  <si>
    <t>San Jose - CA</t>
  </si>
  <si>
    <t>Santa Barbara - CA</t>
  </si>
  <si>
    <t>Santa Rosa - CA</t>
  </si>
  <si>
    <t>Sarasota - FL</t>
  </si>
  <si>
    <t>Scranton - PA</t>
  </si>
  <si>
    <t>Seattle - WA</t>
  </si>
  <si>
    <t>Shreveport - LA</t>
  </si>
  <si>
    <t>Spokane - WA</t>
  </si>
  <si>
    <t>Springfield - MA</t>
  </si>
  <si>
    <t>Springfield - MO</t>
  </si>
  <si>
    <t>St. Cloud - MN</t>
  </si>
  <si>
    <t>Stamford - CT</t>
  </si>
  <si>
    <t>Stockton - CA</t>
  </si>
  <si>
    <t>Syracuse - NY</t>
  </si>
  <si>
    <t>Tallahassee - FL</t>
  </si>
  <si>
    <t>Tampa - FL</t>
  </si>
  <si>
    <t>Toledo - OH</t>
  </si>
  <si>
    <t>Trenton - NJ</t>
  </si>
  <si>
    <t>Tucson - AZ</t>
  </si>
  <si>
    <t>Tyler - TX</t>
  </si>
  <si>
    <t>Vallejo-Fairfield - CA</t>
  </si>
  <si>
    <t>Ventura - CA</t>
  </si>
  <si>
    <t>Waco - TX</t>
  </si>
  <si>
    <t>Washington - DC</t>
  </si>
  <si>
    <t>Wichita - KS</t>
  </si>
  <si>
    <t>Winston-Salem - NC</t>
  </si>
  <si>
    <t>Worcester - MA</t>
  </si>
  <si>
    <t>York - PA</t>
  </si>
  <si>
    <t>Youngstown - OH</t>
  </si>
  <si>
    <t>Row Labels</t>
  </si>
  <si>
    <t>Grand Total</t>
  </si>
  <si>
    <t>(Multiple Items)</t>
  </si>
  <si>
    <t>Sum of real_relative_rent_growth</t>
  </si>
  <si>
    <t>occ</t>
  </si>
  <si>
    <t>rdiocc</t>
  </si>
  <si>
    <t>Sum of rdiocc</t>
  </si>
  <si>
    <t>supply</t>
  </si>
  <si>
    <t>Sum of supply</t>
  </si>
  <si>
    <t>Rent</t>
  </si>
  <si>
    <t>Supply</t>
  </si>
  <si>
    <t>hi</t>
  </si>
  <si>
    <t>lo</t>
  </si>
  <si>
    <t>plusneg</t>
  </si>
  <si>
    <t>t5pos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</si>
</sst>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164" fontId="0" fillId="0" borderId="0" xfId="1" applyNumberFormat="1" applyFon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2" applyNumberFormat="1" applyFont="1"/>
    <xf numFmtId="10" fontId="0" fillId="0" borderId="0" xfId="0" applyNumberFormat="1"/>
    <xf numFmtId="10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rriva, Matthew" refreshedDate="45837.767236574073" createdVersion="8" refreshedVersion="8" minRefreshableVersion="3" recordCount="2652" xr:uid="{157E9ED0-FE3E-4A3E-BA6F-012AD4F3487C}">
  <cacheSource type="worksheet">
    <worksheetSource ref="A1:R2653" sheet="sample_data"/>
  </cacheSource>
  <cacheFields count="16">
    <cacheField name="msa" numFmtId="0">
      <sharedItems count="164">
        <s v="Akron - OH"/>
        <s v="Albany - NY"/>
        <s v="Albuquerque - NM"/>
        <s v="Amarillo - TX"/>
        <s v="Anchorage - AK"/>
        <s v="Ann Arbor - MI"/>
        <s v="Athens - GA"/>
        <s v="Atlanta - GA"/>
        <s v="Atlantic City - NJ"/>
        <s v="Augusta - GA"/>
        <s v="Austin - TX"/>
        <s v="Bakersfield - CA"/>
        <s v="Baltimore - MD"/>
        <s v="Baton Rouge - LA"/>
        <s v="Beaumont - TX"/>
        <s v="Binghamton - NY"/>
        <s v="Birmingham - AL"/>
        <s v="Bloomington - IL"/>
        <s v="Bloomington - IN"/>
        <s v="Boise - ID"/>
        <s v="Boston - MA"/>
        <s v="Bremerton - WA"/>
        <s v="Brownsville-Harlingen - TX"/>
        <s v="Buffalo - NY"/>
        <s v="Canton - OH"/>
        <s v="Champaign-Urbana - IL"/>
        <s v="Charleston - SC"/>
        <s v="Charlotte - NC"/>
        <s v="Chattanooga - TN"/>
        <s v="Chicago - IL"/>
        <s v="Chico - CA"/>
        <s v="Cincinnati - OH"/>
        <s v="Clarksville - TN"/>
        <s v="Cleveland - OH"/>
        <s v="College Station-Bryan - TX"/>
        <s v="Colorado Springs - CO"/>
        <s v="Columbia - MO"/>
        <s v="Columbus - OH"/>
        <s v="Corpus Christi - TX"/>
        <s v="Dallas-Fort Worth - TX"/>
        <s v="Davenport - IA"/>
        <s v="Dayton - OH"/>
        <s v="Daytona Beach - FL"/>
        <s v="Denver - CO"/>
        <s v="Detroit - MI"/>
        <s v="Durham - NC"/>
        <s v="El Paso - TX"/>
        <s v="Elkhart - IN"/>
        <s v="Eugene - OR"/>
        <s v="Evansville - IN"/>
        <s v="Fayetteville - NC"/>
        <s v="Flint - MI"/>
        <s v="Fort Collins - CO"/>
        <s v="Fort Myers - FL"/>
        <s v="Fort Wayne - IN"/>
        <s v="Fresno - CA"/>
        <s v="Gainesville - FL"/>
        <s v="Grand Rapids - MI"/>
        <s v="Greeley - CO"/>
        <s v="Greensboro - NC"/>
        <s v="Greenville - NC"/>
        <s v="Greenville - SC"/>
        <s v="Gulfport-Biloxi-Pascagoula - MS"/>
        <s v="Harrisburg - PA"/>
        <s v="Hartford - CT"/>
        <s v="Honolulu - HI"/>
        <s v="Houston - TX"/>
        <s v="Huntsville - AL"/>
        <s v="Indianapolis - IN"/>
        <s v="Inland Empire - CA"/>
        <s v="Jackson - MS"/>
        <s v="Jacksonville - FL"/>
        <s v="Kalamazoo - MI"/>
        <s v="Kansas City - MO"/>
        <s v="Kennewick-Richland - WA"/>
        <s v="Killeen - TX"/>
        <s v="Knoxville - TN"/>
        <s v="Lafayette - LA"/>
        <s v="Lakeland - FL"/>
        <s v="Lancaster - PA"/>
        <s v="Lansing - MI"/>
        <s v="Las Vegas - NV"/>
        <s v="Lehigh Valley - PA"/>
        <s v="Lincoln - NE"/>
        <s v="Little Rock - AR"/>
        <s v="Los Angeles - CA"/>
        <s v="Louisville - KY"/>
        <s v="Lubbock - TX"/>
        <s v="Manchester - NH"/>
        <s v="McAllen - TX"/>
        <s v="Melbourne - FL"/>
        <s v="Memphis - TN"/>
        <s v="Merced - CA"/>
        <s v="Miami - FL"/>
        <s v="Midland - TX"/>
        <s v="Milwaukee - WI"/>
        <s v="Minneapolis - MN"/>
        <s v="Mobile - AL"/>
        <s v="Modesto - CA"/>
        <s v="Montgomery - AL"/>
        <s v="Naples - FL"/>
        <s v="Nashville - TN"/>
        <s v="New Haven - CT"/>
        <s v="New York - NY"/>
        <s v="Norfolk - VA"/>
        <s v="Northwest Arkansas - AR"/>
        <s v="Norwich - CT"/>
        <s v="Odessa - TX"/>
        <s v="Ogden - UT"/>
        <s v="Oklahoma City - OK"/>
        <s v="Olympia - WA"/>
        <s v="Omaha - NE"/>
        <s v="Orlando - FL"/>
        <s v="Pensacola - FL"/>
        <s v="Peoria - IL"/>
        <s v="Philadelphia - PA"/>
        <s v="Phoenix - AZ"/>
        <s v="Pittsburgh - PA"/>
        <s v="Portland - ME"/>
        <s v="Portland - OR"/>
        <s v="Providence - RI"/>
        <s v="Racine - WI"/>
        <s v="Raleigh - NC"/>
        <s v="Reading - PA"/>
        <s v="Reno - NV"/>
        <s v="Richmond - VA"/>
        <s v="Rochester - NY"/>
        <s v="Rockford - IL"/>
        <s v="Sacramento - CA"/>
        <s v="Saint Louis - MO"/>
        <s v="Salinas - CA"/>
        <s v="Salt Lake City - UT"/>
        <s v="San Antonio - TX"/>
        <s v="San Diego - CA"/>
        <s v="San Francisco - CA"/>
        <s v="San Jose - CA"/>
        <s v="Santa Barbara - CA"/>
        <s v="Santa Rosa - CA"/>
        <s v="Sarasota - FL"/>
        <s v="Scranton - PA"/>
        <s v="Seattle - WA"/>
        <s v="Shreveport - LA"/>
        <s v="Spokane - WA"/>
        <s v="Springfield - MA"/>
        <s v="Springfield - MO"/>
        <s v="St. Cloud - MN"/>
        <s v="Stamford - CT"/>
        <s v="Stockton - CA"/>
        <s v="Syracuse - NY"/>
        <s v="Tallahassee - FL"/>
        <s v="Tampa - FL"/>
        <s v="Toledo - OH"/>
        <s v="Trenton - NJ"/>
        <s v="Tucson - AZ"/>
        <s v="Tyler - TX"/>
        <s v="Vallejo-Fairfield - CA"/>
        <s v="Ventura - CA"/>
        <s v="Waco - TX"/>
        <s v="Washington - DC"/>
        <s v="Wichita - KS"/>
        <s v="Winston-Salem - NC"/>
        <s v="Worcester - MA"/>
        <s v="York - PA"/>
        <s v="Youngstown - OH"/>
      </sharedItems>
    </cacheField>
    <cacheField name="year" numFmtId="0">
      <sharedItems containsSemiMixedTypes="0" containsString="0" containsNumber="1" containsInteger="1" minValue="2006" maxValue="2022" count="17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pop" numFmtId="0">
      <sharedItems containsSemiMixedTypes="0" containsString="0" containsNumber="1" minValue="128214.4921875" maxValue="14897850"/>
    </cacheField>
    <cacheField name="occ" numFmtId="10">
      <sharedItems containsSemiMixedTypes="0" containsString="0" containsNumber="1" minValue="0.72981554269790605" maxValue="0.98701369762420699"/>
    </cacheField>
    <cacheField name="supply" numFmtId="10">
      <sharedItems containsSemiMixedTypes="0" containsString="0" containsNumber="1" minValue="-1.4999999999999999E-2" maxValue="0.20499999999999999"/>
    </cacheField>
    <cacheField name="RDI" numFmtId="0">
      <sharedItems containsSemiMixedTypes="0" containsString="0" containsNumber="1" minValue="1.7791708975321101" maxValue="3.45159595428871"/>
    </cacheField>
    <cacheField name="rdiocc" numFmtId="0">
      <sharedItems containsSemiMixedTypes="0" containsString="0" containsNumber="1" minValue="1.840040613985827" maxValue="3.6151037619259925"/>
    </cacheField>
    <cacheField name="RDI_growth" numFmtId="0">
      <sharedItems containsSemiMixedTypes="0" containsString="0" containsNumber="1" minValue="-0.26742546586017601" maxValue="0.26331608143937502"/>
    </cacheField>
    <cacheField name="real_rent_growth" numFmtId="0">
      <sharedItems containsSemiMixedTypes="0" containsString="0" containsNumber="1" minValue="-0.274355744838715" maxValue="0.27379172134399399"/>
    </cacheField>
    <cacheField name="real_relative_rent_growth" numFmtId="0">
      <sharedItems containsSemiMixedTypes="0" containsString="0" containsNumber="1" minValue="-0.29320493526756802" maxValue="0.26005537435412301"/>
    </cacheField>
    <cacheField name="real_rent_growth_next_year" numFmtId="0">
      <sharedItems containsSemiMixedTypes="0" containsString="0" containsNumber="1" minValue="-0.274355744838715" maxValue="0.27379172134399399"/>
    </cacheField>
    <cacheField name="real_relative_rg_next_year" numFmtId="0">
      <sharedItems containsSemiMixedTypes="0" containsString="0" containsNumber="1" minValue="-0.29320493526756802" maxValue="0.26005537435412301"/>
    </cacheField>
    <cacheField name="relative" numFmtId="0">
      <sharedItems/>
    </cacheField>
    <cacheField name="relative2" numFmtId="0">
      <sharedItems/>
    </cacheField>
    <cacheField name="real" numFmtId="0">
      <sharedItems/>
    </cacheField>
    <cacheField name="real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2">
  <r>
    <x v="0"/>
    <x v="0"/>
    <n v="702640.9375"/>
    <n v="0.94217407703399703"/>
    <n v="3.0000000000000001E-3"/>
    <n v="2.0522524650174101"/>
    <n v="2.1782094360715014"/>
    <n v="1.79528138801885E-2"/>
    <n v="-1.21024962216616E-2"/>
    <n v="-1.84655357152223E-2"/>
    <n v="-8.2892970144748997E-3"/>
    <n v="-7.3675410822034004E-3"/>
    <b v="0"/>
    <b v="1"/>
    <b v="0"/>
    <b v="1"/>
  </r>
  <r>
    <x v="0"/>
    <x v="1"/>
    <n v="703387.5625"/>
    <n v="0.94565826654434204"/>
    <n v="2.8000000000000001E-2"/>
    <n v="2.0550955858412001"/>
    <n v="2.1731905261622715"/>
    <n v="1.3853660172166501E-3"/>
    <n v="-8.2892970144748997E-3"/>
    <n v="-7.3675410822034004E-3"/>
    <n v="-2.39686754643917E-2"/>
    <n v="5.5421288125217004E-3"/>
    <b v="0"/>
    <b v="1"/>
    <b v="0"/>
    <b v="1"/>
  </r>
  <r>
    <x v="0"/>
    <x v="2"/>
    <n v="703345.1875"/>
    <n v="0.94196325540542603"/>
    <n v="0"/>
    <n v="2.02261992702527"/>
    <n v="2.1472386692565024"/>
    <n v="-1.5802505265289601E-2"/>
    <n v="-2.39686754643917E-2"/>
    <n v="5.5421288125217004E-3"/>
    <n v="-1.8089341655373601E-2"/>
    <n v="8.4773600101470496E-3"/>
    <b v="1"/>
    <b v="0"/>
    <b v="0"/>
    <b v="0"/>
  </r>
  <r>
    <x v="0"/>
    <x v="3"/>
    <n v="703332"/>
    <n v="0.93571358919143699"/>
    <n v="1.4999999999999999E-2"/>
    <n v="2.17177941306853"/>
    <n v="2.3209873599732527"/>
    <n v="7.3745682048448405E-2"/>
    <n v="-1.8089341655373601E-2"/>
    <n v="8.4773600101470496E-3"/>
    <n v="-1.40216203257441E-2"/>
    <n v="-4.5615115668624596E-3"/>
    <b v="0"/>
    <b v="0"/>
    <b v="0"/>
    <b v="1"/>
  </r>
  <r>
    <x v="0"/>
    <x v="4"/>
    <n v="703146.4375"/>
    <n v="0.93733251094818104"/>
    <n v="6.0000000000000001E-3"/>
    <n v="2.0934120635792501"/>
    <n v="2.2333718708440076"/>
    <n v="-3.6084396517304197E-2"/>
    <n v="-1.40216203257441E-2"/>
    <n v="-4.5615115668624596E-3"/>
    <n v="-2.20062307715416E-2"/>
    <n v="-7.2245625779030203E-4"/>
    <b v="0"/>
    <b v="0"/>
    <b v="0"/>
    <b v="0"/>
  </r>
  <r>
    <x v="0"/>
    <x v="5"/>
    <n v="702968.3125"/>
    <n v="0.94377064704894997"/>
    <n v="-4.0000000000000001E-3"/>
    <n v="2.1760167580499301"/>
    <n v="2.3056626785904561"/>
    <n v="3.9459357241614701E-2"/>
    <n v="-2.20062307715416E-2"/>
    <n v="-7.2245625779030203E-4"/>
    <n v="-1.17902283594012E-2"/>
    <n v="-6.3520222902298303E-3"/>
    <b v="0"/>
    <b v="1"/>
    <b v="0"/>
    <b v="1"/>
  </r>
  <r>
    <x v="0"/>
    <x v="6"/>
    <n v="702671.0625"/>
    <n v="0.94733417034149203"/>
    <n v="3.0000000000000001E-3"/>
    <n v="2.0772178045099898"/>
    <n v="2.1926980674213419"/>
    <n v="-4.5403581187710998E-2"/>
    <n v="-1.17902283594012E-2"/>
    <n v="-6.4376210793853196E-3"/>
    <n v="-7.1021761745209896E-4"/>
    <n v="-6.8369889631866897E-3"/>
    <b v="0"/>
    <b v="0"/>
    <b v="0"/>
    <b v="0"/>
  </r>
  <r>
    <x v="0"/>
    <x v="7"/>
    <n v="704072"/>
    <n v="0.94798320531845104"/>
    <n v="8.9999999999999993E-3"/>
    <n v="2.0785540857334199"/>
    <n v="2.1926064450004494"/>
    <n v="6.4330337460548695E-4"/>
    <n v="-7.1021761745209896E-4"/>
    <n v="-6.8369889631866897E-3"/>
    <n v="1.07520882189274E-2"/>
    <n v="8.7440647184848994E-3"/>
    <b v="0"/>
    <b v="1"/>
    <b v="0"/>
    <b v="1"/>
  </r>
  <r>
    <x v="0"/>
    <x v="8"/>
    <n v="705015.5"/>
    <n v="0.95023941993713401"/>
    <n v="0"/>
    <n v="2.0912610043913502"/>
    <n v="2.2007727321286081"/>
    <n v="6.1133452072017602E-3"/>
    <n v="1.07520882189274E-2"/>
    <n v="8.7440647184848994E-3"/>
    <n v="2.98050010353327E-2"/>
    <n v="-4.5845098793499602E-4"/>
    <b v="0"/>
    <b v="0"/>
    <b v="0"/>
    <b v="0"/>
  </r>
  <r>
    <x v="0"/>
    <x v="9"/>
    <n v="704402"/>
    <n v="0.94737851619720503"/>
    <n v="1.2999999999999999E-2"/>
    <n v="2.15511194758981"/>
    <n v="2.2748161487136835"/>
    <n v="3.0532268838935599E-2"/>
    <n v="2.98050010353327E-2"/>
    <n v="-4.5845098793499602E-4"/>
    <n v="-2.2962941974399999E-4"/>
    <n v="-1.33831864222884E-2"/>
    <b v="0"/>
    <b v="1"/>
    <b v="0"/>
    <b v="0"/>
  </r>
  <r>
    <x v="0"/>
    <x v="10"/>
    <n v="703921.8125"/>
    <n v="0.94821792840957597"/>
    <n v="1.4999999999999999E-2"/>
    <n v="2.0728131467327802"/>
    <n v="2.1860092333515162"/>
    <n v="-3.81877150043489E-2"/>
    <n v="-2.2962941974399999E-4"/>
    <n v="-1.33831864222884E-2"/>
    <n v="-3.4675172567368E-3"/>
    <n v="-6.2570907175540898E-3"/>
    <b v="0"/>
    <b v="0"/>
    <b v="0"/>
    <b v="0"/>
  </r>
  <r>
    <x v="0"/>
    <x v="11"/>
    <n v="704079"/>
    <n v="0.93643981218338002"/>
    <n v="5.0000000000000001E-3"/>
    <n v="2.0937691309986999"/>
    <n v="2.2358822251660992"/>
    <n v="1.01099244275594E-2"/>
    <n v="-3.4675172567368E-3"/>
    <n v="-6.2570907175540898E-3"/>
    <n v="1.3235455602406999E-3"/>
    <n v="-7.8114774078130904E-3"/>
    <b v="0"/>
    <b v="1"/>
    <b v="0"/>
    <b v="1"/>
  </r>
  <r>
    <x v="0"/>
    <x v="12"/>
    <n v="703677.6875"/>
    <n v="0.93597328662872303"/>
    <n v="1E-3"/>
    <n v="2.0485129341706099"/>
    <n v="2.1886446583845753"/>
    <n v="-2.16147024798783E-2"/>
    <n v="1.3235455602406999E-3"/>
    <n v="-7.8114774078130904E-3"/>
    <n v="1.36183604300022E-2"/>
    <n v="-4.1828341782092996E-3"/>
    <b v="0"/>
    <b v="0"/>
    <b v="1"/>
    <b v="0"/>
  </r>
  <r>
    <x v="0"/>
    <x v="13"/>
    <n v="702894.25"/>
    <n v="0.93692421913146995"/>
    <n v="6.0000000000000001E-3"/>
    <n v="2.0728111861584901"/>
    <n v="2.2123573538103103"/>
    <n v="1.1861410090497499E-2"/>
    <n v="1.36183604300022E-2"/>
    <n v="-4.1828341782092996E-3"/>
    <n v="1.7236547648906701E-2"/>
    <n v="-1.6126427799462899E-3"/>
    <b v="0"/>
    <b v="1"/>
    <b v="0"/>
    <b v="0"/>
  </r>
  <r>
    <x v="0"/>
    <x v="14"/>
    <n v="700395.1875"/>
    <n v="0.94907408952713002"/>
    <n v="7.0000000000000001E-3"/>
    <n v="1.9864776926046399"/>
    <n v="2.0930691444694158"/>
    <n v="-4.1650437883758801E-2"/>
    <n v="1.7236547648906701E-2"/>
    <n v="-1.6126427799462899E-3"/>
    <n v="3.0541112899780301E-2"/>
    <n v="-1.30484998226166E-2"/>
    <b v="0"/>
    <b v="0"/>
    <b v="1"/>
    <b v="0"/>
  </r>
  <r>
    <x v="0"/>
    <x v="15"/>
    <n v="696923.1875"/>
    <n v="0.96084487438201904"/>
    <n v="1.9E-2"/>
    <n v="1.9446602458362101"/>
    <n v="2.0239065614904237"/>
    <n v="-2.1051052787608798E-2"/>
    <n v="3.0541112899780301E-2"/>
    <n v="-1.30484998226166E-2"/>
    <n v="-3.33695615828037E-2"/>
    <n v="-1.2660548090933899E-3"/>
    <b v="0"/>
    <b v="0"/>
    <b v="1"/>
    <b v="0"/>
  </r>
  <r>
    <x v="0"/>
    <x v="16"/>
    <n v="698776.625"/>
    <n v="0.93964922428131104"/>
    <n v="1.2E-2"/>
    <n v="2.0379026959490698"/>
    <n v="2.1687909097224614"/>
    <n v="4.7947938624499697E-2"/>
    <n v="-3.33695615828037E-2"/>
    <n v="-7.873512804508E-4"/>
    <n v="-2.7563858628273001E-3"/>
    <n v="1.6802541911601999E-2"/>
    <b v="0"/>
    <b v="1"/>
    <b v="0"/>
    <b v="1"/>
  </r>
  <r>
    <x v="1"/>
    <x v="0"/>
    <n v="860992.1875"/>
    <n v="0.93429905176162698"/>
    <n v="2.5000000000000001E-2"/>
    <n v="2.0274731937154602"/>
    <n v="2.1700473631998731"/>
    <n v="3.5966726073386197E-2"/>
    <n v="-2.7314111292361999E-3"/>
    <n v="-9.0944506227969898E-3"/>
    <n v="3.0079065859317899E-3"/>
    <n v="3.9296625182032897E-3"/>
    <b v="0"/>
    <b v="1"/>
    <b v="0"/>
    <b v="1"/>
  </r>
  <r>
    <x v="1"/>
    <x v="1"/>
    <n v="863865.8125"/>
    <n v="0.93960303068161"/>
    <n v="1.9E-2"/>
    <n v="1.9634413798230601"/>
    <n v="2.0896499007657883"/>
    <n v="-3.1582076690769997E-2"/>
    <n v="3.0079065859317899E-3"/>
    <n v="3.9296625182032897E-3"/>
    <n v="-3.0209466639906101E-2"/>
    <n v="-6.9866236299276298E-4"/>
    <b v="1"/>
    <b v="0"/>
    <b v="1"/>
    <b v="0"/>
  </r>
  <r>
    <x v="1"/>
    <x v="2"/>
    <n v="867088.625"/>
    <n v="0.94313359260559104"/>
    <n v="1.0999999999999999E-2"/>
    <n v="1.9279959625619301"/>
    <n v="2.0442448213889444"/>
    <n v="-1.8052699523077899E-2"/>
    <n v="-3.0209466639906101E-2"/>
    <n v="-6.9866236299276298E-4"/>
    <n v="-2.61161017268896E-2"/>
    <n v="4.5059993863104999E-4"/>
    <b v="0"/>
    <b v="0"/>
    <b v="0"/>
    <b v="0"/>
  </r>
  <r>
    <x v="1"/>
    <x v="3"/>
    <n v="869978.0625"/>
    <n v="0.939372658729553"/>
    <n v="0.01"/>
    <n v="1.9835624570972701"/>
    <n v="2.1115820634804541"/>
    <n v="2.8820856274769099E-2"/>
    <n v="-2.61161017268896E-2"/>
    <n v="4.5059993863104999E-4"/>
    <n v="1.3216182738543E-3"/>
    <n v="1.07817270327359E-2"/>
    <b v="0"/>
    <b v="0"/>
    <b v="0"/>
    <b v="1"/>
  </r>
  <r>
    <x v="1"/>
    <x v="4"/>
    <n v="872583.9375"/>
    <n v="0.95149308443069502"/>
    <n v="3.0000000000000001E-3"/>
    <n v="1.9733375867829599"/>
    <n v="2.0739379182809965"/>
    <n v="-5.1548012908395899E-3"/>
    <n v="1.3216182738543E-3"/>
    <n v="1.07817270327359E-2"/>
    <n v="-2.2714949555694999E-2"/>
    <n v="-1.4311750419437599E-3"/>
    <b v="1"/>
    <b v="0"/>
    <b v="1"/>
    <b v="0"/>
  </r>
  <r>
    <x v="1"/>
    <x v="5"/>
    <n v="876306"/>
    <n v="0.95166027545928999"/>
    <n v="3.0000000000000001E-3"/>
    <n v="2.0150215158795102"/>
    <n v="2.1173748320082195"/>
    <n v="2.1123567186748401E-2"/>
    <n v="-2.2714949555694999E-2"/>
    <n v="-1.4311750419437599E-3"/>
    <n v="-1.33856128007173E-2"/>
    <n v="-7.9474067315459494E-3"/>
    <b v="0"/>
    <b v="1"/>
    <b v="0"/>
    <b v="1"/>
  </r>
  <r>
    <x v="1"/>
    <x v="6"/>
    <n v="880506.5"/>
    <n v="0.94888097047805797"/>
    <n v="2.3E-2"/>
    <n v="1.96791819860727"/>
    <n v="2.0739357831317964"/>
    <n v="-2.3376086508771599E-2"/>
    <n v="-1.33856128007173E-2"/>
    <n v="-8.03300552070145E-3"/>
    <n v="3.3884648233650002E-4"/>
    <n v="-5.7879248633980898E-3"/>
    <b v="0"/>
    <b v="0"/>
    <b v="0"/>
    <b v="0"/>
  </r>
  <r>
    <x v="1"/>
    <x v="7"/>
    <n v="884477.5"/>
    <n v="0.94575697183608998"/>
    <n v="1.7000000000000001E-2"/>
    <n v="1.99757998798225"/>
    <n v="2.1121493655015344"/>
    <n v="1.50726739536074E-2"/>
    <n v="3.3884648233650002E-4"/>
    <n v="-5.7879248633980898E-3"/>
    <n v="-7.4254769682884202E-3"/>
    <n v="-9.4335004687309196E-3"/>
    <b v="0"/>
    <b v="1"/>
    <b v="0"/>
    <b v="0"/>
  </r>
  <r>
    <x v="1"/>
    <x v="8"/>
    <n v="887621.5"/>
    <n v="0.94400751590728804"/>
    <n v="1.7999999999999999E-2"/>
    <n v="1.9552098296528899"/>
    <n v="2.0711803631920587"/>
    <n v="-2.1210744292726302E-2"/>
    <n v="-7.4254769682884202E-3"/>
    <n v="-9.4335004687309196E-3"/>
    <n v="2.5099467650055898E-2"/>
    <n v="-5.1639843732117904E-3"/>
    <b v="0"/>
    <b v="0"/>
    <b v="0"/>
    <b v="0"/>
  </r>
  <r>
    <x v="1"/>
    <x v="9"/>
    <n v="890436.8125"/>
    <n v="0.94814670085907005"/>
    <n v="2.1999999999999999E-2"/>
    <n v="1.87981637137419"/>
    <n v="1.9826218555324602"/>
    <n v="-3.8560290120926002E-2"/>
    <n v="2.5099467650055898E-2"/>
    <n v="-5.1639843732117904E-3"/>
    <n v="1.5716389089822799E-2"/>
    <n v="2.5628320872783899E-3"/>
    <b v="0"/>
    <b v="0"/>
    <b v="1"/>
    <b v="0"/>
  </r>
  <r>
    <x v="1"/>
    <x v="10"/>
    <n v="893670.125"/>
    <n v="0.94744008779525801"/>
    <n v="3.7999999999999999E-2"/>
    <n v="2.02370476427956"/>
    <n v="2.1359712243006577"/>
    <n v="7.6543855610847894E-2"/>
    <n v="1.5716389089822799E-2"/>
    <n v="2.5628320872783899E-3"/>
    <n v="-1.0838389679789499E-2"/>
    <n v="-1.36279631406067E-2"/>
    <b v="0"/>
    <b v="0"/>
    <b v="0"/>
    <b v="0"/>
  </r>
  <r>
    <x v="1"/>
    <x v="11"/>
    <n v="897462"/>
    <n v="0.93407899141311601"/>
    <n v="4.2000000000000003E-2"/>
    <n v="1.9472529292427401"/>
    <n v="2.0846769354022721"/>
    <n v="-3.7778156372547299E-2"/>
    <n v="-1.0838389679789499E-2"/>
    <n v="-1.36279631406067E-2"/>
    <n v="-2.6423109471798E-3"/>
    <n v="-1.1777333915233499E-2"/>
    <b v="0"/>
    <b v="0"/>
    <b v="0"/>
    <b v="0"/>
  </r>
  <r>
    <x v="1"/>
    <x v="12"/>
    <n v="898994.0625"/>
    <n v="0.93087363243103005"/>
    <n v="1.9E-2"/>
    <n v="1.9596048490037901"/>
    <n v="2.105124455922303"/>
    <n v="6.3432539119902603E-3"/>
    <n v="-2.6423109471798E-3"/>
    <n v="-1.1777333915233499E-2"/>
    <n v="1.43421470820904E-2"/>
    <n v="-3.4590475261211001E-3"/>
    <b v="0"/>
    <b v="1"/>
    <b v="0"/>
    <b v="1"/>
  </r>
  <r>
    <x v="1"/>
    <x v="13"/>
    <n v="898669.375"/>
    <n v="0.94777178764343295"/>
    <n v="1.2E-2"/>
    <n v="2.0402850483059498"/>
    <n v="2.1527176424811856"/>
    <n v="4.1171667514077498E-2"/>
    <n v="1.43421470820904E-2"/>
    <n v="-3.4590475261211001E-3"/>
    <n v="2.5089977413415902E-2"/>
    <n v="6.2407869845628999E-3"/>
    <b v="0"/>
    <b v="1"/>
    <b v="0"/>
    <b v="0"/>
  </r>
  <r>
    <x v="1"/>
    <x v="14"/>
    <n v="901194.375"/>
    <n v="0.95633792877197299"/>
    <n v="3.5000000000000003E-2"/>
    <n v="1.7851374735627701"/>
    <n v="1.8666387893399281"/>
    <n v="-0.125054866698664"/>
    <n v="2.5089977413415902E-2"/>
    <n v="6.2407869845628999E-3"/>
    <n v="-7.5229704379967096E-6"/>
    <n v="-4.3597135692834903E-2"/>
    <b v="1"/>
    <b v="0"/>
    <b v="1"/>
    <b v="0"/>
  </r>
  <r>
    <x v="1"/>
    <x v="15"/>
    <n v="905020.8125"/>
    <n v="0.97100657224655196"/>
    <n v="1.4E-2"/>
    <n v="1.9133659694407299"/>
    <n v="1.9704974447432473"/>
    <n v="7.1831160219857595E-2"/>
    <n v="-7.5229704379967096E-6"/>
    <n v="-4.3597135692834903E-2"/>
    <n v="-1.3292731642723E-2"/>
    <n v="1.8810775130987199E-2"/>
    <b v="0"/>
    <b v="1"/>
    <b v="0"/>
    <b v="1"/>
  </r>
  <r>
    <x v="1"/>
    <x v="16"/>
    <n v="904804"/>
    <n v="0.95240795612335205"/>
    <n v="1.9E-2"/>
    <n v="1.84166253963795"/>
    <n v="1.9336908388860889"/>
    <n v="-3.7475020956779799E-2"/>
    <n v="-1.3292731642723E-2"/>
    <n v="1.9289478659629801E-2"/>
    <n v="-9.5424640774727006E-3"/>
    <n v="1.00164636969566E-2"/>
    <b v="1"/>
    <b v="0"/>
    <b v="0"/>
    <b v="0"/>
  </r>
  <r>
    <x v="2"/>
    <x v="0"/>
    <n v="835802.1875"/>
    <n v="0.94656306505203203"/>
    <n v="8.9999999999999993E-3"/>
    <n v="2.1618045721221901"/>
    <n v="2.2838463193187839"/>
    <n v="-1.01819181587281E-2"/>
    <n v="4.6338379681109898E-3"/>
    <n v="-1.7292015254498001E-3"/>
    <n v="8.2498296201228994E-3"/>
    <n v="9.1715855523944005E-3"/>
    <b v="0"/>
    <b v="0"/>
    <b v="1"/>
    <b v="0"/>
  </r>
  <r>
    <x v="2"/>
    <x v="1"/>
    <n v="853070.9375"/>
    <n v="0.93670475482940696"/>
    <n v="6.0000000000000001E-3"/>
    <n v="2.2291158918810399"/>
    <n v="2.3797422617834445"/>
    <n v="3.1136634933091299E-2"/>
    <n v="8.2498296201228994E-3"/>
    <n v="9.1715855523944005E-3"/>
    <n v="-2.2125565737485899E-2"/>
    <n v="7.3852385394274998E-3"/>
    <b v="0"/>
    <b v="0"/>
    <b v="0"/>
    <b v="0"/>
  </r>
  <r>
    <x v="2"/>
    <x v="2"/>
    <n v="866686"/>
    <n v="0.930286824703217"/>
    <n v="1.7000000000000001E-2"/>
    <n v="2.17654906893857"/>
    <n v="2.3396537617663666"/>
    <n v="-2.3581915652720699E-2"/>
    <n v="-2.2125565737485899E-2"/>
    <n v="7.3852385394274998E-3"/>
    <n v="-2.2861429214477501E-2"/>
    <n v="3.7052724510431498E-3"/>
    <b v="1"/>
    <b v="0"/>
    <b v="0"/>
    <b v="0"/>
  </r>
  <r>
    <x v="2"/>
    <x v="3"/>
    <n v="879749.5"/>
    <n v="0.92638796567916903"/>
    <n v="1.0999999999999999E-2"/>
    <n v="2.3428842540048702"/>
    <n v="2.5290529894645335"/>
    <n v="7.6421518558926704E-2"/>
    <n v="-2.2861429214477501E-2"/>
    <n v="3.7052724510431498E-3"/>
    <n v="-9.0881783366203294E-3"/>
    <n v="3.7193042226135302E-4"/>
    <b v="0"/>
    <b v="0"/>
    <b v="0"/>
    <b v="1"/>
  </r>
  <r>
    <x v="2"/>
    <x v="4"/>
    <n v="891441"/>
    <n v="0.93516314029693604"/>
    <n v="1E-3"/>
    <n v="2.32806849606466"/>
    <n v="2.4894784618280017"/>
    <n v="-6.3237259437301597E-3"/>
    <n v="-9.0881783366203294E-3"/>
    <n v="3.7193042226135302E-4"/>
    <n v="-1.6327122569084199E-2"/>
    <n v="4.9566519446671E-3"/>
    <b v="1"/>
    <b v="0"/>
    <b v="0"/>
    <b v="0"/>
  </r>
  <r>
    <x v="2"/>
    <x v="5"/>
    <n v="898098.8125"/>
    <n v="0.92895358800888095"/>
    <n v="5.0000000000000001E-3"/>
    <n v="2.2069400739997902"/>
    <n v="2.3757269496424955"/>
    <n v="-5.2029578283297198E-2"/>
    <n v="-1.6327122569084199E-2"/>
    <n v="4.9566519446671E-3"/>
    <n v="-8.2798854485153991E-3"/>
    <n v="-2.841679379344E-3"/>
    <b v="1"/>
    <b v="0"/>
    <b v="0"/>
    <b v="0"/>
  </r>
  <r>
    <x v="2"/>
    <x v="6"/>
    <n v="901305.3125"/>
    <n v="0.93224978446960405"/>
    <n v="1E-3"/>
    <n v="2.2895528462477599"/>
    <n v="2.4559435511700145"/>
    <n v="3.7433174204068297E-2"/>
    <n v="-8.2798854485153991E-3"/>
    <n v="-2.9272781684994901E-3"/>
    <n v="-1.08057422190904E-2"/>
    <n v="-1.6932513564824999E-2"/>
    <b v="0"/>
    <b v="1"/>
    <b v="0"/>
    <b v="1"/>
  </r>
  <r>
    <x v="2"/>
    <x v="7"/>
    <n v="902727.8125"/>
    <n v="0.92623287439346302"/>
    <n v="0.02"/>
    <n v="2.3370727866299799"/>
    <n v="2.5232021570821432"/>
    <n v="2.0755118389205001E-2"/>
    <n v="-1.08057422190904E-2"/>
    <n v="-1.6932513564824999E-2"/>
    <n v="2.6855532228946899E-3"/>
    <n v="6.7752972245219796E-4"/>
    <b v="0"/>
    <b v="1"/>
    <b v="0"/>
    <b v="1"/>
  </r>
  <r>
    <x v="2"/>
    <x v="8"/>
    <n v="902268.375"/>
    <n v="0.93144822120666504"/>
    <n v="6.0000000000000001E-3"/>
    <n v="2.3098993260105498"/>
    <n v="2.4799009471703539"/>
    <n v="-1.16271349248835E-2"/>
    <n v="2.6855532228946899E-3"/>
    <n v="6.7752972245219796E-4"/>
    <n v="1.5917081549763699E-2"/>
    <n v="-1.43463704735039E-2"/>
    <b v="1"/>
    <b v="0"/>
    <b v="1"/>
    <b v="0"/>
  </r>
  <r>
    <x v="2"/>
    <x v="9"/>
    <n v="903531.125"/>
    <n v="0.93269896507263195"/>
    <n v="2.5000000000000001E-2"/>
    <n v="2.2854627204548001"/>
    <n v="2.4503755295545169"/>
    <n v="-1.0579078179114699E-2"/>
    <n v="1.5917081549763699E-2"/>
    <n v="-1.43463704735039E-2"/>
    <n v="1.51172394752502E-2"/>
    <n v="1.9636824727057899E-3"/>
    <b v="0"/>
    <b v="0"/>
    <b v="1"/>
    <b v="0"/>
  </r>
  <r>
    <x v="2"/>
    <x v="10"/>
    <n v="906161.1875"/>
    <n v="0.93307286500930797"/>
    <n v="6.0000000000000001E-3"/>
    <n v="2.3013386551482098"/>
    <n v="2.4664082961251399"/>
    <n v="6.9464859572285704E-3"/>
    <n v="1.51172394752502E-2"/>
    <n v="1.9636824727057899E-3"/>
    <n v="3.8748604208230899E-3"/>
    <n v="1.0852869600058001E-3"/>
    <b v="0"/>
    <b v="0"/>
    <b v="0"/>
    <b v="0"/>
  </r>
  <r>
    <x v="2"/>
    <x v="11"/>
    <n v="908417.75"/>
    <n v="0.92878252267837502"/>
    <n v="-2E-3"/>
    <n v="1.9948204815981501"/>
    <n v="2.1477799515925322"/>
    <n v="-0.13319125060727999"/>
    <n v="3.8748604208230899E-3"/>
    <n v="1.0852869600058001E-3"/>
    <n v="1.0721314907074E-2"/>
    <n v="1.5862919390202E-3"/>
    <b v="1"/>
    <b v="0"/>
    <b v="1"/>
    <b v="0"/>
  </r>
  <r>
    <x v="2"/>
    <x v="12"/>
    <n v="910651.8125"/>
    <n v="0.93799877166748002"/>
    <n v="7.0000000000000001E-3"/>
    <n v="2.1146343395927398"/>
    <n v="2.2544105637084741"/>
    <n v="6.0062476348048399E-2"/>
    <n v="1.0721314907074E-2"/>
    <n v="1.5862919390202E-3"/>
    <n v="3.9762879878282503E-2"/>
    <n v="2.1961685270070998E-2"/>
    <b v="0"/>
    <b v="0"/>
    <b v="0"/>
    <b v="0"/>
  </r>
  <r>
    <x v="2"/>
    <x v="13"/>
    <n v="914078.6875"/>
    <n v="0.94230151176452603"/>
    <n v="5.0000000000000001E-3"/>
    <n v="2.2253856433584298"/>
    <n v="2.361649233896737"/>
    <n v="5.2373737478899403E-2"/>
    <n v="3.9762879878282503E-2"/>
    <n v="2.1961685270070998E-2"/>
    <n v="5.2995437860488902E-2"/>
    <n v="3.4146247431635898E-2"/>
    <b v="0"/>
    <b v="0"/>
    <b v="0"/>
    <b v="0"/>
  </r>
  <r>
    <x v="2"/>
    <x v="14"/>
    <n v="918201.8125"/>
    <n v="0.94807034730911299"/>
    <n v="8.0000000000000002E-3"/>
    <n v="1.89650663661622"/>
    <n v="2.0003859861233217"/>
    <n v="-0.14778517499819999"/>
    <n v="5.2995437860488902E-2"/>
    <n v="3.4146247431635898E-2"/>
    <n v="9.0941524386406E-2"/>
    <n v="4.7351911664008997E-2"/>
    <b v="1"/>
    <b v="0"/>
    <b v="1"/>
    <b v="0"/>
  </r>
  <r>
    <x v="2"/>
    <x v="15"/>
    <n v="919607.3125"/>
    <n v="0.95190584659576405"/>
    <n v="5.0000000000000001E-3"/>
    <n v="2.1732418524871302"/>
    <n v="2.2830428663287936"/>
    <n v="0.14591840098417"/>
    <n v="9.0941524386406E-2"/>
    <n v="4.7351911664008997E-2"/>
    <n v="-3.58714342117309E-3"/>
    <n v="2.85163633525372E-2"/>
    <b v="0"/>
    <b v="0"/>
    <b v="0"/>
    <b v="0"/>
  </r>
  <r>
    <x v="2"/>
    <x v="16"/>
    <n v="920852.625"/>
    <n v="0.93772214651107799"/>
    <n v="0"/>
    <n v="1.951778583559"/>
    <n v="2.0814039540612921"/>
    <n v="-0.10190456652336299"/>
    <n v="-3.58714342117309E-3"/>
    <n v="2.8995066881179799E-2"/>
    <n v="-2.6645731911063199E-2"/>
    <n v="-7.0868041366338999E-3"/>
    <b v="1"/>
    <b v="0"/>
    <b v="0"/>
    <b v="0"/>
  </r>
  <r>
    <x v="3"/>
    <x v="0"/>
    <n v="243130.296875"/>
    <n v="0.90681856870651201"/>
    <n v="2.7E-2"/>
    <n v="2.3157292787944002"/>
    <n v="2.553685333216722"/>
    <n v="0.124974665188406"/>
    <n v="5.0330251753329999E-3"/>
    <n v="-1.3300143182277901E-3"/>
    <n v="1.0557803422212599E-2"/>
    <n v="1.14795593544841E-2"/>
    <b v="0"/>
    <b v="1"/>
    <b v="0"/>
    <b v="0"/>
  </r>
  <r>
    <x v="3"/>
    <x v="1"/>
    <n v="245068.890625"/>
    <n v="0.91461479663848899"/>
    <n v="2E-3"/>
    <n v="2.24306803594351"/>
    <n v="2.452472936352577"/>
    <n v="-3.1377261373451003E-2"/>
    <n v="1.0557803422212599E-2"/>
    <n v="1.14795593544841E-2"/>
    <n v="-2.9667738184332802E-2"/>
    <n v="-1.5693390741944299E-4"/>
    <b v="1"/>
    <b v="0"/>
    <b v="1"/>
    <b v="0"/>
  </r>
  <r>
    <x v="3"/>
    <x v="2"/>
    <n v="247197.296875"/>
    <n v="0.90661990642547596"/>
    <n v="7.0999999999999994E-2"/>
    <n v="2.2353991666115398"/>
    <n v="2.4656409491658224"/>
    <n v="-3.4189196266367601E-3"/>
    <n v="-2.9667738184332802E-2"/>
    <n v="-1.5693390741944299E-4"/>
    <n v="-2.5315553605556498E-2"/>
    <n v="1.2511480599641501E-3"/>
    <b v="0"/>
    <b v="0"/>
    <b v="0"/>
    <b v="0"/>
  </r>
  <r>
    <x v="3"/>
    <x v="3"/>
    <n v="250232.5"/>
    <n v="0.90047258138656605"/>
    <n v="1E-3"/>
    <n v="2.3481941846085501"/>
    <n v="2.6077353526886435"/>
    <n v="5.0458557774262301E-2"/>
    <n v="-2.5315553605556498E-2"/>
    <n v="1.2511480599641501E-3"/>
    <n v="-1.33489418625831E-2"/>
    <n v="-3.8888331037014701E-3"/>
    <b v="0"/>
    <b v="0"/>
    <b v="0"/>
    <b v="1"/>
  </r>
  <r>
    <x v="3"/>
    <x v="4"/>
    <n v="253668.703125"/>
    <n v="0.90407645702362105"/>
    <n v="0"/>
    <n v="2.24118909893255"/>
    <n v="2.4789818178773722"/>
    <n v="-4.5569095766174302E-2"/>
    <n v="-1.33489418625831E-2"/>
    <n v="-3.8888331037014701E-3"/>
    <n v="-1.9958800047635901E-2"/>
    <n v="1.3249744661153E-3"/>
    <b v="0"/>
    <b v="0"/>
    <b v="0"/>
    <b v="0"/>
  </r>
  <r>
    <x v="3"/>
    <x v="5"/>
    <n v="256914.609375"/>
    <n v="0.90391284227371205"/>
    <n v="0"/>
    <n v="2.2466944059177001"/>
    <n v="2.4855210600463877"/>
    <n v="2.4564223464119202E-3"/>
    <n v="-1.9958800047635901E-2"/>
    <n v="1.3249744661153E-3"/>
    <n v="-4.3111893385649001E-3"/>
    <n v="1.12701673060649E-3"/>
    <b v="0"/>
    <b v="0"/>
    <b v="0"/>
    <b v="1"/>
  </r>
  <r>
    <x v="3"/>
    <x v="6"/>
    <n v="258919.59375"/>
    <n v="0.90451043844223"/>
    <n v="6.0000000000000001E-3"/>
    <n v="2.29615568575869"/>
    <n v="2.5385618431481958"/>
    <n v="2.2015134639901599E-2"/>
    <n v="-4.3111893385649001E-3"/>
    <n v="1.0414179414509901E-3"/>
    <n v="-5.1377840340139996E-4"/>
    <n v="-6.6405497491359997E-3"/>
    <b v="0"/>
    <b v="0"/>
    <b v="0"/>
    <b v="1"/>
  </r>
  <r>
    <x v="3"/>
    <x v="7"/>
    <n v="260501"/>
    <n v="0.90037417411804199"/>
    <n v="0.02"/>
    <n v="2.5058457422056701"/>
    <n v="2.7831159691583354"/>
    <n v="9.1322229475782293E-2"/>
    <n v="-5.1377840340139996E-4"/>
    <n v="-6.6405497491359997E-3"/>
    <n v="6.0507544875140003E-4"/>
    <n v="-1.4029480516911E-3"/>
    <b v="0"/>
    <b v="1"/>
    <b v="0"/>
    <b v="1"/>
  </r>
  <r>
    <x v="3"/>
    <x v="8"/>
    <n v="262482.3125"/>
    <n v="0.89598143100738503"/>
    <n v="1.7000000000000001E-2"/>
    <n v="2.4350961538461502"/>
    <n v="2.7177975676440989"/>
    <n v="-2.8233816299182399E-2"/>
    <n v="6.0507544875140003E-4"/>
    <n v="-1.4029480516911E-3"/>
    <n v="2.9040113333612702E-3"/>
    <n v="-2.7359440689906402E-2"/>
    <b v="0"/>
    <b v="0"/>
    <b v="1"/>
    <b v="0"/>
  </r>
  <r>
    <x v="3"/>
    <x v="9"/>
    <n v="263689.3125"/>
    <n v="0.86821526288986195"/>
    <n v="6.6000000000000003E-2"/>
    <n v="2.3075056335586699"/>
    <n v="2.6577575080609819"/>
    <n v="-5.2396501914699703E-2"/>
    <n v="2.9040113333612702E-3"/>
    <n v="-2.7359440689906402E-2"/>
    <n v="-9.4945050030949903E-4"/>
    <n v="-1.41030075028539E-2"/>
    <b v="0"/>
    <b v="0"/>
    <b v="1"/>
    <b v="0"/>
  </r>
  <r>
    <x v="3"/>
    <x v="10"/>
    <n v="265262.21875"/>
    <n v="0.85664898157119795"/>
    <n v="1.4999999999999999E-2"/>
    <n v="2.4219010074463401"/>
    <n v="2.8271801631098428"/>
    <n v="4.9575338939148901E-2"/>
    <n v="-9.4945050030949903E-4"/>
    <n v="-1.41030075028539E-2"/>
    <n v="-2.20619800304994E-2"/>
    <n v="-2.48515534913166E-2"/>
    <b v="0"/>
    <b v="1"/>
    <b v="0"/>
    <b v="1"/>
  </r>
  <r>
    <x v="3"/>
    <x v="11"/>
    <n v="266460.6875"/>
    <n v="0.850566446781158"/>
    <n v="-2E-3"/>
    <n v="2.3800984528832601"/>
    <n v="2.798251050097718"/>
    <n v="-1.72602242761178E-2"/>
    <n v="-2.20619800304994E-2"/>
    <n v="-2.48515534913166E-2"/>
    <n v="-2.74173706769902E-4"/>
    <n v="-9.4091966748236899E-3"/>
    <b v="0"/>
    <b v="0"/>
    <b v="0"/>
    <b v="0"/>
  </r>
  <r>
    <x v="3"/>
    <x v="12"/>
    <n v="266793.21875"/>
    <n v="0.86155074834823597"/>
    <n v="0"/>
    <n v="2.2238396743739002"/>
    <n v="2.5812056673822674"/>
    <n v="-6.5652233133493207E-2"/>
    <n v="-2.74173706769902E-4"/>
    <n v="-9.4091966748236899E-3"/>
    <n v="1.5680088818073298E-2"/>
    <n v="-2.1211057901382E-3"/>
    <b v="0"/>
    <b v="0"/>
    <b v="0"/>
    <b v="0"/>
  </r>
  <r>
    <x v="3"/>
    <x v="13"/>
    <n v="267779.5"/>
    <n v="0.84440815448760997"/>
    <n v="0"/>
    <n v="2.2077122488658398"/>
    <n v="2.6145084425499041"/>
    <n v="-7.2520630393913101E-3"/>
    <n v="1.5680088818073298E-2"/>
    <n v="-2.1211057901382E-3"/>
    <n v="6.7970120459794996E-3"/>
    <n v="-1.20521783828735E-2"/>
    <b v="0"/>
    <b v="0"/>
    <b v="1"/>
    <b v="0"/>
  </r>
  <r>
    <x v="3"/>
    <x v="14"/>
    <n v="269244.28125"/>
    <n v="0.88618129491805997"/>
    <n v="5.0000000000000001E-3"/>
    <n v="2.19333850973252"/>
    <n v="2.4750449172314397"/>
    <n v="-6.5106941091198096E-3"/>
    <n v="6.7970120459794996E-3"/>
    <n v="-1.20521783828735E-2"/>
    <n v="4.7917118549346799E-2"/>
    <n v="4.32750582694999E-3"/>
    <b v="0"/>
    <b v="0"/>
    <b v="1"/>
    <b v="0"/>
  </r>
  <r>
    <x v="3"/>
    <x v="15"/>
    <n v="270021.3125"/>
    <n v="0.90664732456207298"/>
    <n v="1E-3"/>
    <n v="2.2332656644354199"/>
    <n v="2.4632132075326285"/>
    <n v="1.8203826963202299E-2"/>
    <n v="4.7917118549346799E-2"/>
    <n v="4.32750582694999E-3"/>
    <n v="-1.42957586050034E-2"/>
    <n v="1.7807748168706901E-2"/>
    <b v="0"/>
    <b v="0"/>
    <b v="0"/>
    <b v="0"/>
  </r>
  <r>
    <x v="3"/>
    <x v="16"/>
    <n v="271259.40625"/>
    <n v="0.88434898853302002"/>
    <n v="0"/>
    <n v="2.1591096212655798"/>
    <n v="2.4414678472660034"/>
    <n v="-3.32052045355671E-2"/>
    <n v="-1.42957586050034E-2"/>
    <n v="1.82864516973495E-2"/>
    <n v="-1.57507888823748E-2"/>
    <n v="3.8081388920544901E-3"/>
    <b v="1"/>
    <b v="0"/>
    <b v="0"/>
    <b v="0"/>
  </r>
  <r>
    <x v="4"/>
    <x v="0"/>
    <n v="359066.8125"/>
    <n v="0.95300459861755404"/>
    <n v="2.4E-2"/>
    <n v="2.3914099818810701"/>
    <n v="2.509337295276532"/>
    <n v="2.39363246503696E-2"/>
    <n v="2.9211522668600099E-2"/>
    <n v="2.2848483175039298E-2"/>
    <n v="1.9733148723840601E-2"/>
    <n v="2.0654904656112201E-2"/>
    <b v="0"/>
    <b v="0"/>
    <b v="0"/>
    <b v="0"/>
  </r>
  <r>
    <x v="4"/>
    <x v="1"/>
    <n v="361551.40625"/>
    <n v="0.95352858304977395"/>
    <n v="0.01"/>
    <n v="2.5181667631038098"/>
    <n v="2.6408927932183048"/>
    <n v="5.3005039781188999E-2"/>
    <n v="1.9733148723840601E-2"/>
    <n v="2.0654904656112201E-2"/>
    <n v="-2.9409990936517701E-2"/>
    <n v="1.00813340395682E-4"/>
    <b v="0"/>
    <b v="0"/>
    <b v="0"/>
    <b v="0"/>
  </r>
  <r>
    <x v="4"/>
    <x v="2"/>
    <n v="367880.875"/>
    <n v="0.94625997543335005"/>
    <n v="1E-3"/>
    <n v="2.3323890462700598"/>
    <n v="2.4648501541047607"/>
    <n v="-7.3774985658520503E-2"/>
    <n v="-2.9409990936517701E-2"/>
    <n v="1.00813340395682E-4"/>
    <n v="-6.0613200724124801E-2"/>
    <n v="-3.4046499058604199E-2"/>
    <b v="1"/>
    <b v="0"/>
    <b v="0"/>
    <b v="0"/>
  </r>
  <r>
    <x v="4"/>
    <x v="3"/>
    <n v="376824.40625"/>
    <n v="0.93942481279373202"/>
    <n v="-3.0000000000000001E-3"/>
    <n v="2.4302909576384302"/>
    <n v="2.5869989003282217"/>
    <n v="4.19749490441702E-2"/>
    <n v="-6.0613200724124801E-2"/>
    <n v="-3.4046499058604199E-2"/>
    <n v="-8.5077822990715507E-3"/>
    <n v="9.5232645981013395E-4"/>
    <b v="0"/>
    <b v="1"/>
    <b v="0"/>
    <b v="1"/>
  </r>
  <r>
    <x v="4"/>
    <x v="4"/>
    <n v="384787.90625"/>
    <n v="0.94402372837066695"/>
    <n v="1E-3"/>
    <n v="2.47156662688176"/>
    <n v="2.6181191770969021"/>
    <n v="1.6983838545586001E-2"/>
    <n v="-8.5077822990715507E-3"/>
    <n v="9.5232645981013395E-4"/>
    <n v="-2.09712296426296E-2"/>
    <n v="3.1254487112169702E-4"/>
    <b v="0"/>
    <b v="0"/>
    <b v="0"/>
    <b v="1"/>
  </r>
  <r>
    <x v="4"/>
    <x v="5"/>
    <n v="389558.5"/>
    <n v="0.94256240129470803"/>
    <n v="0"/>
    <n v="2.31847523747878"/>
    <n v="2.4597578200595649"/>
    <n v="-6.1941032759501101E-2"/>
    <n v="-2.09712296426296E-2"/>
    <n v="3.1254487112169702E-4"/>
    <n v="1.63141423463819E-3"/>
    <n v="7.0696203038095899E-3"/>
    <b v="1"/>
    <b v="0"/>
    <b v="0"/>
    <b v="0"/>
  </r>
  <r>
    <x v="4"/>
    <x v="6"/>
    <n v="394062.28125"/>
    <n v="0.94151955842971802"/>
    <n v="2E-3"/>
    <n v="2.4992629445365702"/>
    <n v="2.6544992317577369"/>
    <n v="7.7976984241757002E-2"/>
    <n v="1.63141423463819E-3"/>
    <n v="6.9840215146540997E-3"/>
    <n v="4.9622232466936004E-3"/>
    <n v="-1.1645480990409901E-3"/>
    <b v="0"/>
    <b v="0"/>
    <b v="0"/>
    <b v="0"/>
  </r>
  <r>
    <x v="4"/>
    <x v="7"/>
    <n v="398276.625"/>
    <n v="0.94581156969070401"/>
    <n v="-2E-3"/>
    <n v="2.4967307166924599"/>
    <n v="2.6397760364772576"/>
    <n v="-1.01318984848834E-3"/>
    <n v="4.9622232466936004E-3"/>
    <n v="-1.1645480990409901E-3"/>
    <n v="-3.7871163189411002E-3"/>
    <n v="-5.7951398193836004E-3"/>
    <b v="0"/>
    <b v="0"/>
    <b v="1"/>
    <b v="0"/>
  </r>
  <r>
    <x v="4"/>
    <x v="8"/>
    <n v="399384.1875"/>
    <n v="0.94402050971984897"/>
    <n v="5.0000000000000001E-3"/>
    <n v="2.3478609482743198"/>
    <n v="2.4870867995983263"/>
    <n v="-5.9625880926140497E-2"/>
    <n v="-3.7871163189411002E-3"/>
    <n v="-5.7951398193836004E-3"/>
    <n v="2.2563179265707701E-3"/>
    <n v="-2.80071340966969E-2"/>
    <b v="0"/>
    <b v="0"/>
    <b v="0"/>
    <b v="0"/>
  </r>
  <r>
    <x v="4"/>
    <x v="9"/>
    <n v="400652.71875"/>
    <n v="0.94608199596404996"/>
    <n v="5.0000000000000001E-3"/>
    <n v="2.4399435273674999"/>
    <n v="2.5789979492012391"/>
    <n v="3.9219775413386802E-2"/>
    <n v="2.2563179265707701E-3"/>
    <n v="-2.80071340966969E-2"/>
    <n v="-7.4876855790615093E-2"/>
    <n v="-8.8030412793159499E-2"/>
    <b v="0"/>
    <b v="1"/>
    <b v="0"/>
    <b v="0"/>
  </r>
  <r>
    <x v="4"/>
    <x v="10"/>
    <n v="402706.09375"/>
    <n v="0.91890782117843595"/>
    <n v="4.0000000000000001E-3"/>
    <n v="2.3913173652694599"/>
    <n v="2.6023473847493865"/>
    <n v="-1.9929216210388599E-2"/>
    <n v="-7.4876855790615093E-2"/>
    <n v="-8.8030412793159499E-2"/>
    <n v="-1.39190366528928E-2"/>
    <n v="-1.6708610113710099E-2"/>
    <b v="0"/>
    <b v="0"/>
    <b v="0"/>
    <b v="0"/>
  </r>
  <r>
    <x v="4"/>
    <x v="11"/>
    <n v="401472.8125"/>
    <n v="0.91557091474533103"/>
    <n v="3.0000000000000001E-3"/>
    <n v="2.5381358193819201"/>
    <n v="2.7721892193221436"/>
    <n v="6.1396473861980397E-2"/>
    <n v="-1.39190366528928E-2"/>
    <n v="-1.6708610113710099E-2"/>
    <n v="-5.9810166954993998E-3"/>
    <n v="-1.5116039663553099E-2"/>
    <b v="0"/>
    <b v="1"/>
    <b v="0"/>
    <b v="1"/>
  </r>
  <r>
    <x v="4"/>
    <x v="12"/>
    <n v="399076.375"/>
    <n v="0.91411137580871604"/>
    <n v="7.0000000000000001E-3"/>
    <n v="2.3629000627549401"/>
    <n v="2.584914842203422"/>
    <n v="-6.9041126676057094E-2"/>
    <n v="-5.9810166954993998E-3"/>
    <n v="-1.5116039663553099E-2"/>
    <n v="6.6078222990035998E-3"/>
    <n v="-1.1193372309207901E-2"/>
    <b v="0"/>
    <b v="0"/>
    <b v="0"/>
    <b v="0"/>
  </r>
  <r>
    <x v="4"/>
    <x v="13"/>
    <n v="398190.71875"/>
    <n v="0.92941588163375899"/>
    <n v="4.0000000000000001E-3"/>
    <n v="2.4690336408536"/>
    <n v="2.6565434157564085"/>
    <n v="4.4916659731650703E-2"/>
    <n v="6.6078222990035998E-3"/>
    <n v="-1.1193372309207901E-2"/>
    <n v="2.3422485321760101E-2"/>
    <n v="4.5732948929071903E-3"/>
    <b v="0"/>
    <b v="1"/>
    <b v="0"/>
    <b v="0"/>
  </r>
  <r>
    <x v="4"/>
    <x v="14"/>
    <n v="398788.6875"/>
    <n v="0.95320355892181396"/>
    <n v="-5.0000000000000001E-3"/>
    <n v="2.29948186528497"/>
    <n v="2.4123723036514426"/>
    <n v="-6.8671310411959299E-2"/>
    <n v="2.3422485321760101E-2"/>
    <n v="4.5732948929071903E-3"/>
    <n v="5.2377259612083303E-2"/>
    <n v="8.7876468896864804E-3"/>
    <b v="1"/>
    <b v="0"/>
    <b v="1"/>
    <b v="0"/>
  </r>
  <r>
    <x v="4"/>
    <x v="15"/>
    <n v="400110.40625"/>
    <n v="0.97142261266708396"/>
    <n v="3.0000000000000001E-3"/>
    <n v="2.2511332052453801"/>
    <n v="2.317357220113287"/>
    <n v="-2.1025893167282698E-2"/>
    <n v="5.2377259612083303E-2"/>
    <n v="8.7876468896864804E-3"/>
    <n v="3.8920027017592899E-3"/>
    <n v="3.5995509475469499E-2"/>
    <b v="1"/>
    <b v="0"/>
    <b v="1"/>
    <b v="0"/>
  </r>
  <r>
    <x v="4"/>
    <x v="16"/>
    <n v="401503.125"/>
    <n v="0.94760924577713002"/>
    <n v="-2E-3"/>
    <n v="2.2287785244677498"/>
    <n v="2.3520016656654068"/>
    <n v="-9.9304122588319502E-3"/>
    <n v="3.8920027017592899E-3"/>
    <n v="3.6474213004112098E-2"/>
    <n v="1.4757954716682301E-2"/>
    <n v="3.43168824911117E-2"/>
    <b v="1"/>
    <b v="0"/>
    <b v="1"/>
    <b v="0"/>
  </r>
  <r>
    <x v="5"/>
    <x v="0"/>
    <n v="344321.59375"/>
    <n v="0.94538241624832198"/>
    <n v="0"/>
    <n v="1.9771195957327301"/>
    <n v="2.0913437374674033"/>
    <n v="2.3213269167117901E-2"/>
    <n v="-1.42377283126116E-2"/>
    <n v="-2.0600767806172399E-2"/>
    <n v="-5.5077605843544004E-3"/>
    <n v="-4.5860046520829001E-3"/>
    <b v="0"/>
    <b v="1"/>
    <b v="0"/>
    <b v="1"/>
  </r>
  <r>
    <x v="5"/>
    <x v="1"/>
    <n v="344379"/>
    <n v="0.94904631376266502"/>
    <n v="1E-3"/>
    <n v="2.09446204919269"/>
    <n v="2.2069123696280091"/>
    <n v="5.9350205072685201E-2"/>
    <n v="-5.5077605843544004E-3"/>
    <n v="-4.5860046520829001E-3"/>
    <n v="-2.5840917892754001E-2"/>
    <n v="3.6698863841593001E-3"/>
    <b v="0"/>
    <b v="1"/>
    <b v="0"/>
    <b v="1"/>
  </r>
  <r>
    <x v="5"/>
    <x v="2"/>
    <n v="342090.78125"/>
    <n v="0.94539988040924094"/>
    <n v="0"/>
    <n v="2.0760805210183499"/>
    <n v="2.1959813662337937"/>
    <n v="-8.7762526809343593E-3"/>
    <n v="-2.5840917892754001E-2"/>
    <n v="3.6698863841593001E-3"/>
    <n v="-2.0063430726528199E-2"/>
    <n v="6.50327093899245E-3"/>
    <b v="1"/>
    <b v="0"/>
    <b v="0"/>
    <b v="0"/>
  </r>
  <r>
    <x v="5"/>
    <x v="3"/>
    <n v="344190"/>
    <n v="0.93825215101242099"/>
    <n v="0"/>
    <n v="1.96432783588871"/>
    <n v="2.09360333868577"/>
    <n v="-5.3828685351195601E-2"/>
    <n v="-2.0063430726528199E-2"/>
    <n v="6.50327093899245E-3"/>
    <n v="-9.7372598797082904E-3"/>
    <n v="-2.7715112082660502E-4"/>
    <b v="1"/>
    <b v="0"/>
    <b v="0"/>
    <b v="0"/>
  </r>
  <r>
    <x v="5"/>
    <x v="4"/>
    <n v="347278.8125"/>
    <n v="0.94448661804199197"/>
    <n v="2E-3"/>
    <n v="2.02091814114707"/>
    <n v="2.1397001318415927"/>
    <n v="2.88089921776007E-2"/>
    <n v="-9.7372598797082904E-3"/>
    <n v="-2.7715112082660502E-4"/>
    <n v="-1.25373456329107E-2"/>
    <n v="8.7464288808405902E-3"/>
    <b v="0"/>
    <b v="1"/>
    <b v="0"/>
    <b v="1"/>
  </r>
  <r>
    <x v="5"/>
    <x v="5"/>
    <n v="351481.28125"/>
    <n v="0.95220220088958696"/>
    <n v="-5.0000000000000001E-3"/>
    <n v="1.9506465794750101"/>
    <n v="2.0485634014000755"/>
    <n v="-3.4772097019315697E-2"/>
    <n v="-1.25373456329107E-2"/>
    <n v="8.7464288808405902E-3"/>
    <n v="2.63425723612308E-2"/>
    <n v="3.17807784304023E-2"/>
    <b v="1"/>
    <b v="0"/>
    <b v="0"/>
    <b v="0"/>
  </r>
  <r>
    <x v="5"/>
    <x v="6"/>
    <n v="354950.71875"/>
    <n v="0.96298193931579601"/>
    <n v="-2E-3"/>
    <n v="2.18664667773196"/>
    <n v="2.2707037260590623"/>
    <n v="0.120985575111446"/>
    <n v="2.63425723612308E-2"/>
    <n v="3.1695179641246699E-2"/>
    <n v="1.1443546637892699E-2"/>
    <n v="5.3167752921580904E-3"/>
    <b v="0"/>
    <b v="0"/>
    <b v="0"/>
    <b v="0"/>
  </r>
  <r>
    <x v="5"/>
    <x v="7"/>
    <n v="359271.40625"/>
    <n v="0.96419858932495095"/>
    <n v="0"/>
    <n v="2.0885545096203999"/>
    <n v="2.1661040917749386"/>
    <n v="-4.4859633296271302E-2"/>
    <n v="1.1443546637892699E-2"/>
    <n v="5.3167752921580904E-3"/>
    <n v="1.4766025185585001E-2"/>
    <n v="1.27580016851425E-2"/>
    <b v="1"/>
    <b v="0"/>
    <b v="1"/>
    <b v="0"/>
  </r>
  <r>
    <x v="5"/>
    <x v="8"/>
    <n v="363622"/>
    <n v="0.96385133266448997"/>
    <n v="8.9999999999999993E-3"/>
    <n v="2.0393438444452499"/>
    <n v="2.1158282147181837"/>
    <n v="-2.3562068860771099E-2"/>
    <n v="1.4766025185585001E-2"/>
    <n v="1.27580016851425E-2"/>
    <n v="2.44468824714421E-2"/>
    <n v="-5.8165695518254904E-3"/>
    <b v="1"/>
    <b v="0"/>
    <b v="1"/>
    <b v="0"/>
  </r>
  <r>
    <x v="5"/>
    <x v="9"/>
    <n v="367239.40625"/>
    <n v="0.96170413494110096"/>
    <n v="6.0000000000000001E-3"/>
    <n v="2.0889973844812499"/>
    <n v="2.1721830119917178"/>
    <n v="2.4347801951714799E-2"/>
    <n v="2.44468824714421E-2"/>
    <n v="-5.8165695518254904E-3"/>
    <n v="2.7877990424633001E-2"/>
    <n v="1.47244334220886E-2"/>
    <b v="0"/>
    <b v="1"/>
    <b v="0"/>
    <b v="0"/>
  </r>
  <r>
    <x v="5"/>
    <x v="10"/>
    <n v="371019"/>
    <n v="0.97008430957794201"/>
    <n v="1.6E-2"/>
    <n v="1.9233565271575399"/>
    <n v="1.9826694527142092"/>
    <n v="-7.9292036722603404E-2"/>
    <n v="2.7877990424633001E-2"/>
    <n v="1.47244334220886E-2"/>
    <n v="3.3851397871971098E-2"/>
    <n v="3.10618244111538E-2"/>
    <b v="1"/>
    <b v="0"/>
    <b v="1"/>
    <b v="0"/>
  </r>
  <r>
    <x v="5"/>
    <x v="11"/>
    <n v="373790.59375"/>
    <n v="0.96932375431060802"/>
    <n v="0"/>
    <n v="2.1489931646037301"/>
    <n v="2.2170024772911026"/>
    <n v="0.117313994706767"/>
    <n v="3.3851397871971098E-2"/>
    <n v="3.10618244111538E-2"/>
    <n v="1.2697709947823901E-3"/>
    <n v="-7.8652519732713908E-3"/>
    <b v="0"/>
    <b v="0"/>
    <b v="0"/>
    <b v="0"/>
  </r>
  <r>
    <x v="5"/>
    <x v="12"/>
    <n v="374353.40625"/>
    <n v="0.95353657007217396"/>
    <n v="1.4999999999999999E-2"/>
    <n v="2.12194469701021"/>
    <n v="2.2253417054047526"/>
    <n v="-1.2586576839347E-2"/>
    <n v="1.2697709947823901E-3"/>
    <n v="-7.8652519732713908E-3"/>
    <n v="2.85245023369789E-2"/>
    <n v="1.07233077287673E-2"/>
    <b v="0"/>
    <b v="0"/>
    <b v="1"/>
    <b v="0"/>
  </r>
  <r>
    <x v="5"/>
    <x v="13"/>
    <n v="372773.71875"/>
    <n v="0.960942983627319"/>
    <n v="1.4999999999999999E-2"/>
    <n v="2.1400213487143902"/>
    <n v="2.2270013779967943"/>
    <n v="8.5189080232156104E-3"/>
    <n v="2.85245023369789E-2"/>
    <n v="1.07233077287673E-2"/>
    <n v="-2.8608263283970003E-4"/>
    <n v="-1.9135273061692701E-2"/>
    <b v="0"/>
    <b v="0"/>
    <b v="0"/>
    <b v="0"/>
  </r>
  <r>
    <x v="5"/>
    <x v="14"/>
    <n v="370135.3125"/>
    <n v="0.95381009578704801"/>
    <n v="7.0000000000000001E-3"/>
    <n v="2.0344624605340602"/>
    <n v="2.132984825302461"/>
    <n v="-4.9326091183037997E-2"/>
    <n v="-2.8608263283970003E-4"/>
    <n v="-1.9135273061692701E-2"/>
    <n v="4.3589612722396899E-2"/>
    <n v="0"/>
    <b v="0"/>
    <b v="0"/>
    <b v="0"/>
    <b v="0"/>
  </r>
  <r>
    <x v="5"/>
    <x v="15"/>
    <n v="365686.3125"/>
    <n v="0.97650593519210804"/>
    <n v="2.5999999999999999E-2"/>
    <n v="2.0436377220090298"/>
    <n v="2.0928062476209988"/>
    <n v="4.5099192798886498E-3"/>
    <n v="4.3589612722396899E-2"/>
    <n v="0"/>
    <n v="-3.6197742372751203E-2"/>
    <n v="-4.0942355990409001E-3"/>
    <b v="0"/>
    <b v="0"/>
    <b v="0"/>
    <b v="0"/>
  </r>
  <r>
    <x v="5"/>
    <x v="16"/>
    <n v="368493.09375"/>
    <n v="0.95579707622528098"/>
    <n v="2E-3"/>
    <n v="2.0312569086611201"/>
    <n v="2.1251968217805612"/>
    <n v="-6.0582231452155104E-3"/>
    <n v="-3.6197742372751203E-2"/>
    <n v="-3.6155320703982999E-3"/>
    <n v="-1.8602872997522401E-2"/>
    <n v="9.5605477690690103E-4"/>
    <b v="0"/>
    <b v="0"/>
    <b v="0"/>
    <b v="0"/>
  </r>
  <r>
    <x v="6"/>
    <x v="0"/>
    <n v="184063.09375"/>
    <n v="0.91946810483932495"/>
    <n v="1.2E-2"/>
    <n v="2.3875287717095599"/>
    <n v="2.5966412093508948"/>
    <n v="2.2001848574781602E-2"/>
    <n v="3.1534140586852999E-2"/>
    <n v="2.5171101093292202E-2"/>
    <n v="-3.0761388093233002E-3"/>
    <n v="-2.1543828770517999E-3"/>
    <b v="0"/>
    <b v="0"/>
    <b v="0"/>
    <b v="0"/>
  </r>
  <r>
    <x v="6"/>
    <x v="1"/>
    <n v="187571.5"/>
    <n v="0.89702212810516402"/>
    <n v="0.02"/>
    <n v="2.2294377149693401"/>
    <n v="2.4853764975438466"/>
    <n v="-6.6215351460254701E-2"/>
    <n v="-3.0761388093233002E-3"/>
    <n v="-2.1543828770517999E-3"/>
    <n v="-5.31044335216284E-2"/>
    <n v="-2.3593629244714899E-2"/>
    <b v="0"/>
    <b v="0"/>
    <b v="0"/>
    <b v="0"/>
  </r>
  <r>
    <x v="6"/>
    <x v="2"/>
    <n v="190474.296875"/>
    <n v="0.89636373519897505"/>
    <n v="1E-3"/>
    <n v="2.22663237495681"/>
    <n v="2.4840723553620134"/>
    <n v="-1.2583172849782299E-3"/>
    <n v="-5.31044335216284E-2"/>
    <n v="-2.3593629244714899E-2"/>
    <n v="-2.9523261547088599E-2"/>
    <n v="-2.9565598815679498E-3"/>
    <b v="0"/>
    <b v="0"/>
    <b v="0"/>
    <b v="0"/>
  </r>
  <r>
    <x v="6"/>
    <x v="3"/>
    <n v="192392.8125"/>
    <n v="0.90298163890838601"/>
    <n v="1E-3"/>
    <n v="2.3489283335292499"/>
    <n v="2.6013024322054523"/>
    <n v="5.4924180546331497E-2"/>
    <n v="-2.9523261547088599E-2"/>
    <n v="-2.9565598815679498E-3"/>
    <n v="-8.0958755537867497E-3"/>
    <n v="1.36423320509493E-3"/>
    <b v="0"/>
    <b v="1"/>
    <b v="0"/>
    <b v="1"/>
  </r>
  <r>
    <x v="6"/>
    <x v="4"/>
    <n v="193725.59375"/>
    <n v="0.91318821907043501"/>
    <n v="0"/>
    <n v="2.2164111812443599"/>
    <n v="2.4271132007161889"/>
    <n v="-5.64160048620043E-2"/>
    <n v="-8.0958755537867497E-3"/>
    <n v="1.36423320509493E-3"/>
    <n v="-2.1258155226707501E-2"/>
    <n v="2.5619287043799401E-5"/>
    <b v="1"/>
    <b v="0"/>
    <b v="0"/>
    <b v="0"/>
  </r>
  <r>
    <x v="7"/>
    <x v="0"/>
    <n v="4965195"/>
    <n v="0.907628953456879"/>
    <n v="1.4999999999999999E-2"/>
    <n v="2.3097692277100199"/>
    <n v="2.544838635780426"/>
    <n v="-3.3055590669836897E-2"/>
    <n v="-1.46275371015072E-2"/>
    <n v="-2.0990576595067999E-2"/>
    <n v="-1.46215734034777E-2"/>
    <n v="-1.36998174712062E-2"/>
    <b v="0"/>
    <b v="0"/>
    <b v="0"/>
    <b v="0"/>
  </r>
  <r>
    <x v="7"/>
    <x v="1"/>
    <n v="5092258"/>
    <n v="0.89656019210815396"/>
    <n v="1.2999999999999999E-2"/>
    <n v="2.3871222195084401"/>
    <n v="2.6625342509301109"/>
    <n v="3.34894892833539E-2"/>
    <n v="-1.46215734034777E-2"/>
    <n v="-1.36998174712062E-2"/>
    <n v="-5.5519464716315303E-2"/>
    <n v="-2.60086604394019E-2"/>
    <b v="0"/>
    <b v="1"/>
    <b v="0"/>
    <b v="1"/>
  </r>
  <r>
    <x v="7"/>
    <x v="2"/>
    <n v="5188001"/>
    <n v="0.89292711019516002"/>
    <n v="2.8000000000000001E-2"/>
    <n v="2.3672919898153202"/>
    <n v="2.6511592746891961"/>
    <n v="-8.3071698344789491E-3"/>
    <n v="-5.5519464716315303E-2"/>
    <n v="-2.60086604394019E-2"/>
    <n v="-2.97496437132358E-2"/>
    <n v="-3.18294204771524E-3"/>
    <b v="0"/>
    <b v="0"/>
    <b v="0"/>
    <b v="0"/>
  </r>
  <r>
    <x v="7"/>
    <x v="3"/>
    <n v="5256739"/>
    <n v="0.897097408771515"/>
    <n v="1.2E-2"/>
    <n v="2.4080086542801098"/>
    <n v="2.6842220596508426"/>
    <n v="1.7199679904277499E-2"/>
    <n v="-2.97496437132358E-2"/>
    <n v="-3.18294204771524E-3"/>
    <n v="-2.0765441175550198E-2"/>
    <n v="-1.13053324166685E-2"/>
    <b v="0"/>
    <b v="1"/>
    <b v="0"/>
    <b v="1"/>
  </r>
  <r>
    <x v="7"/>
    <x v="4"/>
    <n v="5319784"/>
    <n v="0.90631604194641102"/>
    <n v="6.0000000000000001E-3"/>
    <n v="2.4481175718185999"/>
    <n v="2.7011742687032267"/>
    <n v="1.6656467354134698E-2"/>
    <n v="-2.0765441175550198E-2"/>
    <n v="-1.13053324166685E-2"/>
    <n v="-1.7565867274999598E-2"/>
    <n v="3.7179072387517002E-3"/>
    <b v="0"/>
    <b v="1"/>
    <b v="0"/>
    <b v="1"/>
  </r>
  <r>
    <x v="7"/>
    <x v="5"/>
    <n v="5388462"/>
    <n v="0.90554273128509499"/>
    <n v="2E-3"/>
    <n v="2.4485372193800798"/>
    <n v="2.7039444244726636"/>
    <n v="1.7141642473149401E-4"/>
    <n v="-1.7565867274999598E-2"/>
    <n v="3.7179072387517002E-3"/>
    <n v="5.7536398023366898E-3"/>
    <n v="1.1191845871508E-2"/>
    <b v="0"/>
    <b v="0"/>
    <b v="0"/>
    <b v="1"/>
  </r>
  <r>
    <x v="7"/>
    <x v="6"/>
    <n v="5466024"/>
    <n v="0.91628336906433105"/>
    <n v="-5.0000000000000001E-3"/>
    <n v="2.4602704657217198"/>
    <n v="2.6850541533172665"/>
    <n v="4.7919411838091E-3"/>
    <n v="5.7536398023366898E-3"/>
    <n v="1.11062470823526E-2"/>
    <n v="1.9906752407550798E-2"/>
    <n v="1.3779981061816099E-2"/>
    <b v="0"/>
    <b v="0"/>
    <b v="0"/>
    <b v="0"/>
  </r>
  <r>
    <x v="7"/>
    <x v="7"/>
    <n v="5537353"/>
    <n v="0.92231214046478305"/>
    <n v="1.2999999999999999E-2"/>
    <n v="2.4406703798091498"/>
    <n v="2.6462520363000066"/>
    <n v="-7.96663870320302E-3"/>
    <n v="1.9906752407550798E-2"/>
    <n v="1.3779981061816099E-2"/>
    <n v="1.8444287419319201E-2"/>
    <n v="1.64362639188767E-2"/>
    <b v="1"/>
    <b v="0"/>
    <b v="1"/>
    <b v="0"/>
  </r>
  <r>
    <x v="7"/>
    <x v="8"/>
    <n v="5625005"/>
    <n v="0.91777199506759599"/>
    <n v="1.2999999999999999E-2"/>
    <n v="2.48666619605117"/>
    <n v="2.7094596581888744"/>
    <n v="1.8845566620762699E-2"/>
    <n v="1.8444287419319201E-2"/>
    <n v="1.64362639188767E-2"/>
    <n v="5.8711996465921401E-2"/>
    <n v="2.8448544442653701E-2"/>
    <b v="0"/>
    <b v="0"/>
    <b v="0"/>
    <b v="0"/>
  </r>
  <r>
    <x v="7"/>
    <x v="9"/>
    <n v="5721846"/>
    <n v="0.91949880123138406"/>
    <n v="1.7999999999999999E-2"/>
    <n v="2.4797882841220802"/>
    <n v="2.6968912638071645"/>
    <n v="-2.76591684883549E-3"/>
    <n v="5.8711996465921401E-2"/>
    <n v="2.8448544442653701E-2"/>
    <n v="2.6301253855228399E-2"/>
    <n v="1.3147696852684E-2"/>
    <b v="1"/>
    <b v="0"/>
    <b v="1"/>
    <b v="0"/>
  </r>
  <r>
    <x v="7"/>
    <x v="10"/>
    <n v="5822267"/>
    <n v="0.91096055507659901"/>
    <n v="1.7999999999999999E-2"/>
    <n v="2.4263816549280599"/>
    <n v="2.6635419518510712"/>
    <n v="-2.1536769705696401E-2"/>
    <n v="2.6301253855228399E-2"/>
    <n v="1.3147696852684E-2"/>
    <n v="9.1978494971990902E-3"/>
    <n v="6.4082760363818004E-3"/>
    <b v="1"/>
    <b v="0"/>
    <b v="1"/>
    <b v="0"/>
  </r>
  <r>
    <x v="7"/>
    <x v="11"/>
    <n v="5905755"/>
    <n v="0.906033575534821"/>
    <n v="2.9000000000000001E-2"/>
    <n v="2.4102627920592301"/>
    <n v="2.6602356216616809"/>
    <n v="-6.6431687843040996E-3"/>
    <n v="9.1978494971990902E-3"/>
    <n v="6.4082760363818004E-3"/>
    <n v="2.73398349285126E-2"/>
    <n v="1.8204811960458801E-2"/>
    <b v="1"/>
    <b v="0"/>
    <b v="1"/>
    <b v="0"/>
  </r>
  <r>
    <x v="7"/>
    <x v="12"/>
    <n v="5981888"/>
    <n v="0.91402238607406605"/>
    <n v="1.7000000000000001E-2"/>
    <n v="2.3848174391604902"/>
    <n v="2.6091455477407104"/>
    <n v="-1.05570865478132E-2"/>
    <n v="2.73398349285126E-2"/>
    <n v="1.8204811960458801E-2"/>
    <n v="2.4036157101392699E-2"/>
    <n v="6.2349624931811896E-3"/>
    <b v="1"/>
    <b v="0"/>
    <b v="1"/>
    <b v="0"/>
  </r>
  <r>
    <x v="7"/>
    <x v="13"/>
    <n v="6057035"/>
    <n v="0.91110908985137895"/>
    <n v="2.5999999999999999E-2"/>
    <n v="2.3196210693256298"/>
    <n v="2.5459312119298567"/>
    <n v="-2.73380967298756E-2"/>
    <n v="2.4036157101392699E-2"/>
    <n v="6.2349624931811896E-3"/>
    <n v="2.4170158535242101E-2"/>
    <n v="5.3209681063891004E-3"/>
    <b v="1"/>
    <b v="0"/>
    <b v="1"/>
    <b v="0"/>
  </r>
  <r>
    <x v="7"/>
    <x v="14"/>
    <n v="6115917"/>
    <n v="0.91866725683212302"/>
    <n v="3.2000000000000001E-2"/>
    <n v="2.16321664483762"/>
    <n v="2.3547335868888224"/>
    <n v="-6.7426713162885801E-2"/>
    <n v="2.4170158535242101E-2"/>
    <n v="5.3209681063891004E-3"/>
    <n v="0.117288938045501"/>
    <n v="7.3699325323104997E-2"/>
    <b v="1"/>
    <b v="0"/>
    <b v="1"/>
    <b v="0"/>
  </r>
  <r>
    <x v="7"/>
    <x v="15"/>
    <n v="6167900"/>
    <n v="0.938579201698303"/>
    <n v="1.7999999999999999E-2"/>
    <n v="2.2720941591064201"/>
    <n v="2.4207804253441814"/>
    <n v="5.0331303861140798E-2"/>
    <n v="0.117288938045501"/>
    <n v="7.3699325323104997E-2"/>
    <n v="-6.2909524813294398E-2"/>
    <n v="-3.0806018039584E-2"/>
    <b v="0"/>
    <b v="0"/>
    <b v="0"/>
    <b v="0"/>
  </r>
  <r>
    <x v="7"/>
    <x v="16"/>
    <n v="6257506"/>
    <n v="0.90623831748962402"/>
    <n v="3.1E-2"/>
    <n v="2.31142498998488"/>
    <n v="2.5505707995086455"/>
    <n v="1.7310387741114999E-2"/>
    <n v="-6.2909524813294398E-2"/>
    <n v="-3.0327314510941498E-2"/>
    <n v="-6.7408603414893201E-2"/>
    <n v="-4.7849675640463898E-2"/>
    <b v="0"/>
    <b v="1"/>
    <b v="0"/>
    <b v="1"/>
  </r>
  <r>
    <x v="8"/>
    <x v="0"/>
    <n v="271879.6875"/>
    <n v="0.92754775285720803"/>
    <n v="0"/>
    <n v="2.2246078371994402"/>
    <n v="2.3983755341401909"/>
    <n v="2.6889807896040601E-2"/>
    <n v="-2.5011248588562001E-3"/>
    <n v="-8.8641643524169905E-3"/>
    <n v="7.5092455744739698E-4"/>
    <n v="1.67268048971889E-3"/>
    <b v="0"/>
    <b v="1"/>
    <b v="0"/>
    <b v="1"/>
  </r>
  <r>
    <x v="8"/>
    <x v="1"/>
    <n v="272478.90625"/>
    <n v="0.92615967988967896"/>
    <n v="0"/>
    <n v="2.1671826625386998"/>
    <n v="2.3399665409714743"/>
    <n v="-2.5813616989246699E-2"/>
    <n v="7.5092455744739698E-4"/>
    <n v="1.67268048971889E-3"/>
    <n v="-3.07803645841777E-2"/>
    <n v="-1.26956030726432E-3"/>
    <b v="1"/>
    <b v="0"/>
    <b v="1"/>
    <b v="0"/>
  </r>
  <r>
    <x v="8"/>
    <x v="2"/>
    <n v="273284.40625"/>
    <n v="0.92422860860824596"/>
    <n v="0"/>
    <n v="2.3203695745595101"/>
    <n v="2.5106013306098038"/>
    <n v="7.0684817975320599E-2"/>
    <n v="-3.07803645841777E-2"/>
    <n v="-1.26956030726432E-3"/>
    <n v="-2.0856835603714E-2"/>
    <n v="5.7098660618066501E-3"/>
    <b v="0"/>
    <b v="1"/>
    <b v="0"/>
    <b v="1"/>
  </r>
  <r>
    <x v="8"/>
    <x v="3"/>
    <n v="274288.3125"/>
    <n v="0.924546718597412"/>
    <n v="0"/>
    <n v="2.3530032654945998"/>
    <n v="2.5450344673379348"/>
    <n v="1.40640057053339E-2"/>
    <n v="-2.0856835603714E-2"/>
    <n v="5.7098660618066501E-3"/>
    <n v="-1.30446738004679E-3"/>
    <n v="8.1556413788348801E-3"/>
    <b v="0"/>
    <b v="0"/>
    <b v="0"/>
    <b v="1"/>
  </r>
  <r>
    <x v="8"/>
    <x v="4"/>
    <n v="275223.125"/>
    <n v="0.92482191324233998"/>
    <n v="1E-3"/>
    <n v="2.25447908518642"/>
    <n v="2.4377440163397783"/>
    <n v="-4.1871671728203101E-2"/>
    <n v="-1.30446738004679E-3"/>
    <n v="8.1556413788348801E-3"/>
    <n v="-2.09586446806788E-2"/>
    <n v="3.2512983307249999E-4"/>
    <b v="1"/>
    <b v="0"/>
    <b v="0"/>
    <b v="0"/>
  </r>
  <r>
    <x v="8"/>
    <x v="5"/>
    <n v="276306.5"/>
    <n v="0.92722898721694902"/>
    <n v="0"/>
    <n v="2.2507291286912099"/>
    <n v="2.4273714041735346"/>
    <n v="-1.6633361204602701E-3"/>
    <n v="-2.09586446806788E-2"/>
    <n v="3.2512983307249999E-4"/>
    <n v="-1.97913703080266E-2"/>
    <n v="-1.4353164238855199E-2"/>
    <b v="1"/>
    <b v="0"/>
    <b v="0"/>
    <b v="0"/>
  </r>
  <r>
    <x v="8"/>
    <x v="6"/>
    <n v="277407.09375"/>
    <n v="0.92969441413879395"/>
    <n v="0"/>
    <n v="2.4376088218223999"/>
    <n v="2.6219462919764189"/>
    <n v="8.30307346845678E-2"/>
    <n v="-1.97913703080266E-2"/>
    <n v="-1.44387630280107E-2"/>
    <n v="1.0866623967885999E-2"/>
    <n v="4.7398526221513904E-3"/>
    <b v="0"/>
    <b v="1"/>
    <b v="0"/>
    <b v="1"/>
  </r>
  <r>
    <x v="8"/>
    <x v="7"/>
    <n v="277835.375"/>
    <n v="0.92063415050506603"/>
    <n v="-8.0000000000000002E-3"/>
    <n v="2.4556000640922901"/>
    <n v="2.6672919560339268"/>
    <n v="7.3806929597668696E-3"/>
    <n v="1.0866623967885999E-2"/>
    <n v="4.7398526221513904E-3"/>
    <n v="-9.15555766224861E-3"/>
    <n v="-1.1163581162691101E-2"/>
    <b v="0"/>
    <b v="0"/>
    <b v="0"/>
    <b v="0"/>
  </r>
  <r>
    <x v="8"/>
    <x v="8"/>
    <n v="277084.5"/>
    <n v="0.92250686883926403"/>
    <n v="-1.2E-2"/>
    <n v="2.52763659466327"/>
    <n v="2.7399650669741309"/>
    <n v="2.9335611944452999E-2"/>
    <n v="-9.15555766224861E-3"/>
    <n v="-1.1163581162691101E-2"/>
    <n v="1.12936200350522E-2"/>
    <n v="-1.8969831988215301E-2"/>
    <b v="0"/>
    <b v="1"/>
    <b v="0"/>
    <b v="1"/>
  </r>
  <r>
    <x v="8"/>
    <x v="9"/>
    <n v="275617.875"/>
    <n v="0.90896469354629505"/>
    <n v="7.0000000000000001E-3"/>
    <n v="2.4363288108539498"/>
    <n v="2.680333821711705"/>
    <n v="-3.6123778236994197E-2"/>
    <n v="1.12936200350522E-2"/>
    <n v="-1.8969831988215301E-2"/>
    <n v="-9.2597901467233804E-3"/>
    <n v="-2.2413347149267699E-2"/>
    <b v="0"/>
    <b v="0"/>
    <b v="1"/>
    <b v="0"/>
  </r>
  <r>
    <x v="8"/>
    <x v="10"/>
    <n v="274070.3125"/>
    <n v="0.90127152204513505"/>
    <n v="0"/>
    <n v="2.5358884073672798"/>
    <n v="2.8136786144234613"/>
    <n v="4.0864597614980201E-2"/>
    <n v="-9.2597901467233804E-3"/>
    <n v="-2.2413347149267699E-2"/>
    <n v="-9.7072897851469995E-4"/>
    <n v="-3.7603024393319901E-3"/>
    <b v="0"/>
    <b v="1"/>
    <b v="0"/>
    <b v="1"/>
  </r>
  <r>
    <x v="8"/>
    <x v="11"/>
    <n v="273493.40625"/>
    <n v="0.91367107629776001"/>
    <n v="8.0000000000000002E-3"/>
    <n v="2.4139151682225402"/>
    <n v="2.6419958241469597"/>
    <n v="-4.8098819644579301E-2"/>
    <n v="-9.7072897851469995E-4"/>
    <n v="-3.7603024393319901E-3"/>
    <n v="1.6992408990859999E-2"/>
    <n v="7.8573860228062006E-3"/>
    <b v="0"/>
    <b v="0"/>
    <b v="0"/>
    <b v="0"/>
  </r>
  <r>
    <x v="8"/>
    <x v="12"/>
    <n v="273430.5"/>
    <n v="0.92117112874984697"/>
    <n v="4.8000000000000001E-2"/>
    <n v="2.32193180595891"/>
    <n v="2.520630242841071"/>
    <n v="-3.8105465956105602E-2"/>
    <n v="1.6992408990859999E-2"/>
    <n v="7.8573860228062006E-3"/>
    <n v="4.9453593492508E-3"/>
    <n v="-1.28558352589607E-2"/>
    <b v="1"/>
    <b v="0"/>
    <b v="1"/>
    <b v="0"/>
  </r>
  <r>
    <x v="8"/>
    <x v="13"/>
    <n v="274183.1875"/>
    <n v="0.89461064338684104"/>
    <n v="5.2999999999999999E-2"/>
    <n v="2.23099940155595"/>
    <n v="2.4938216620246911"/>
    <n v="-3.9162392353466899E-2"/>
    <n v="4.9453593492508E-3"/>
    <n v="-1.28558352589607E-2"/>
    <n v="6.4389715075492904E-2"/>
    <n v="4.55405246466399E-2"/>
    <b v="0"/>
    <b v="0"/>
    <b v="1"/>
    <b v="0"/>
  </r>
  <r>
    <x v="8"/>
    <x v="14"/>
    <n v="274386.09375"/>
    <n v="0.93170899152755704"/>
    <n v="4.4999999999999998E-2"/>
    <n v="2.18481228668941"/>
    <n v="2.3449513813399645"/>
    <n v="-2.0702432656110301E-2"/>
    <n v="6.4389715075492904E-2"/>
    <n v="4.55405246466399E-2"/>
    <n v="8.9238008737564004E-2"/>
    <n v="4.5648396015167098E-2"/>
    <b v="1"/>
    <b v="0"/>
    <b v="1"/>
    <b v="0"/>
  </r>
  <r>
    <x v="8"/>
    <x v="15"/>
    <n v="275209.90625"/>
    <n v="0.98233747482299805"/>
    <n v="0"/>
    <n v="2.26604852326924"/>
    <n v="2.3067923003523272"/>
    <n v="3.7182249969365998E-2"/>
    <n v="8.9238008737564004E-2"/>
    <n v="4.5648396015167098E-2"/>
    <n v="6.5731909871100903E-3"/>
    <n v="3.8676697760820299E-2"/>
    <b v="0"/>
    <b v="0"/>
    <b v="0"/>
    <b v="0"/>
  </r>
  <r>
    <x v="8"/>
    <x v="16"/>
    <n v="276267.5"/>
    <n v="0.97293174266815197"/>
    <n v="0"/>
    <n v="2.3891460387737302"/>
    <n v="2.4556152646657159"/>
    <n v="5.4322541746320903E-2"/>
    <n v="6.5731909871100903E-3"/>
    <n v="3.9155401289462897E-2"/>
    <n v="7.9642284810542904E-3"/>
    <n v="2.75231562554836E-2"/>
    <b v="0"/>
    <b v="0"/>
    <b v="0"/>
    <b v="0"/>
  </r>
  <r>
    <x v="9"/>
    <x v="0"/>
    <n v="540332.8125"/>
    <n v="0.89671099185943604"/>
    <n v="8.9999999999999993E-3"/>
    <n v="2.2330005371663502"/>
    <n v="2.4902120721593475"/>
    <n v="-0.136971692036088"/>
    <n v="3.01553435921669E-2"/>
    <n v="2.3792304098606099E-2"/>
    <n v="-3.2549657821655002E-3"/>
    <n v="-2.3332098498939999E-3"/>
    <b v="1"/>
    <b v="0"/>
    <b v="1"/>
    <b v="0"/>
  </r>
  <r>
    <x v="9"/>
    <x v="1"/>
    <n v="547296.0625"/>
    <n v="0.87953245639801003"/>
    <n v="1.2E-2"/>
    <n v="2.2412287793047598"/>
    <n v="2.5482047456024168"/>
    <n v="3.6848366139920698E-3"/>
    <n v="-3.2549657821655002E-3"/>
    <n v="-2.3332098498939999E-3"/>
    <n v="-5.1670146465301499E-2"/>
    <n v="-2.2159342188388002E-2"/>
    <b v="0"/>
    <b v="1"/>
    <b v="0"/>
    <b v="1"/>
  </r>
  <r>
    <x v="9"/>
    <x v="2"/>
    <n v="554017.8125"/>
    <n v="0.87529003620147705"/>
    <n v="1.4999999999999999E-2"/>
    <n v="2.39207413945278"/>
    <n v="2.7328931445783815"/>
    <n v="6.7304757792197606E-2"/>
    <n v="-5.1670146465301499E-2"/>
    <n v="-2.2159342188388002E-2"/>
    <n v="-3.1739697515964498E-2"/>
    <n v="-5.1729958504438496E-3"/>
    <b v="0"/>
    <b v="1"/>
    <b v="0"/>
    <b v="1"/>
  </r>
  <r>
    <x v="9"/>
    <x v="3"/>
    <n v="560270.375"/>
    <n v="0.88193655014038097"/>
    <n v="5.2999999999999999E-2"/>
    <n v="2.4451303504923199"/>
    <n v="2.7724560798655182"/>
    <n v="2.2180002770181201E-2"/>
    <n v="-3.1739697515964498E-2"/>
    <n v="-5.1729958504438496E-3"/>
    <n v="-4.8441385701299003E-3"/>
    <n v="4.6159701887517803E-3"/>
    <b v="0"/>
    <b v="1"/>
    <b v="0"/>
    <b v="1"/>
  </r>
  <r>
    <x v="9"/>
    <x v="4"/>
    <n v="567673.5"/>
    <n v="0.89419060945510898"/>
    <n v="1.7000000000000001E-2"/>
    <n v="2.3320947072554898"/>
    <n v="2.6080509933744365"/>
    <n v="-4.62288823228061E-2"/>
    <n v="-4.8441385701299003E-3"/>
    <n v="4.6159701887517803E-3"/>
    <n v="-1.9848239950835699E-2"/>
    <n v="1.4355345629156E-3"/>
    <b v="1"/>
    <b v="0"/>
    <b v="0"/>
    <b v="0"/>
  </r>
  <r>
    <x v="9"/>
    <x v="5"/>
    <n v="571904.8125"/>
    <n v="0.89422583580017101"/>
    <n v="3.0000000000000001E-3"/>
    <n v="2.4633475774523901"/>
    <n v="2.7547264671101095"/>
    <n v="5.62811063326717E-2"/>
    <n v="-1.9848239950835699E-2"/>
    <n v="1.4355345629156E-3"/>
    <n v="-4.6922828108071999E-3"/>
    <n v="7.4592325836419799E-4"/>
    <b v="0"/>
    <b v="0"/>
    <b v="0"/>
    <b v="1"/>
  </r>
  <r>
    <x v="9"/>
    <x v="6"/>
    <n v="576721.375"/>
    <n v="0.89967674016952504"/>
    <n v="1.7999999999999999E-2"/>
    <n v="2.3688311688311599"/>
    <n v="2.6329803395659686"/>
    <n v="-3.8369091510414399E-2"/>
    <n v="-4.6922828108071999E-3"/>
    <n v="6.603244692087E-4"/>
    <n v="4.7423845529556002E-3"/>
    <n v="-1.384386792779E-3"/>
    <b v="1"/>
    <b v="0"/>
    <b v="0"/>
    <b v="0"/>
  </r>
  <r>
    <x v="9"/>
    <x v="7"/>
    <n v="579987.1875"/>
    <n v="0.90831303596496604"/>
    <n v="8.9999999999999993E-3"/>
    <n v="2.2995971388637599"/>
    <n v="2.5317231480892852"/>
    <n v="-2.9227085019133299E-2"/>
    <n v="4.7423845529556002E-3"/>
    <n v="-1.384386792779E-3"/>
    <n v="4.8209156990050902E-3"/>
    <n v="2.81289219856259E-3"/>
    <b v="0"/>
    <b v="0"/>
    <b v="1"/>
    <b v="0"/>
  </r>
  <r>
    <x v="9"/>
    <x v="8"/>
    <n v="583941.25"/>
    <n v="0.90445530414581299"/>
    <n v="2.1000000000000001E-2"/>
    <n v="2.4465081723625501"/>
    <n v="2.7049519872881778"/>
    <n v="6.3885552393484701E-2"/>
    <n v="4.8209156990050902E-3"/>
    <n v="2.81289219856259E-3"/>
    <n v="1.60608423650264E-2"/>
    <n v="-1.42026096582411E-2"/>
    <b v="0"/>
    <b v="0"/>
    <b v="0"/>
    <b v="0"/>
  </r>
  <r>
    <x v="9"/>
    <x v="9"/>
    <n v="590014.5625"/>
    <n v="0.90257340669632002"/>
    <n v="5.2999999999999999E-2"/>
    <n v="2.53969102138961"/>
    <n v="2.8138332046427275"/>
    <n v="3.80881004526041E-2"/>
    <n v="1.60608423650264E-2"/>
    <n v="-1.42026096582411E-2"/>
    <n v="2.2325639501213999E-3"/>
    <n v="-1.0920993052423E-2"/>
    <b v="0"/>
    <b v="1"/>
    <b v="0"/>
    <b v="0"/>
  </r>
  <r>
    <x v="9"/>
    <x v="10"/>
    <n v="595348.375"/>
    <n v="0.89717644453048695"/>
    <n v="2.9000000000000001E-2"/>
    <n v="2.44131767700138"/>
    <n v="2.721112097720062"/>
    <n v="-3.8734374992751501E-2"/>
    <n v="2.2325639501213999E-3"/>
    <n v="-1.0920993052423E-2"/>
    <n v="1.22654751837253E-2"/>
    <n v="9.4759017229080998E-3"/>
    <b v="0"/>
    <b v="0"/>
    <b v="1"/>
    <b v="0"/>
  </r>
  <r>
    <x v="9"/>
    <x v="11"/>
    <n v="600068.8125"/>
    <n v="0.90865594148635898"/>
    <n v="1.7000000000000001E-2"/>
    <n v="2.3540886514266002"/>
    <n v="2.590737091946854"/>
    <n v="-3.5730305153046801E-2"/>
    <n v="1.22654751837253E-2"/>
    <n v="9.4759017229080998E-3"/>
    <n v="7.1342179775237997E-3"/>
    <n v="-2.0008049905299902E-3"/>
    <b v="1"/>
    <b v="0"/>
    <b v="1"/>
    <b v="0"/>
  </r>
  <r>
    <x v="9"/>
    <x v="12"/>
    <n v="604204.875"/>
    <n v="0.90646588802337602"/>
    <n v="1.2999999999999999E-2"/>
    <n v="2.2818740994375801"/>
    <n v="2.5173303591306624"/>
    <n v="-3.06762245105997E-2"/>
    <n v="7.1342179775237997E-3"/>
    <n v="-2.0008049905299902E-3"/>
    <n v="3.4055824548006097E-2"/>
    <n v="1.6254629939794499E-2"/>
    <b v="0"/>
    <b v="0"/>
    <b v="1"/>
    <b v="0"/>
  </r>
  <r>
    <x v="9"/>
    <x v="13"/>
    <n v="608788.5625"/>
    <n v="0.90877532958984397"/>
    <n v="3.3000000000000002E-2"/>
    <n v="2.2900096029669799"/>
    <n v="2.5198853098273761"/>
    <n v="3.5652727428768598E-3"/>
    <n v="3.4055824548006097E-2"/>
    <n v="1.6254629939794499E-2"/>
    <n v="4.0529726177453998E-2"/>
    <n v="2.1680535748600901E-2"/>
    <b v="0"/>
    <b v="0"/>
    <b v="0"/>
    <b v="0"/>
  </r>
  <r>
    <x v="9"/>
    <x v="14"/>
    <n v="613228.5"/>
    <n v="0.93004453182220503"/>
    <n v="1.2E-2"/>
    <n v="2.3051758299716298"/>
    <n v="2.4785650053284827"/>
    <n v="6.6227787800531698E-3"/>
    <n v="4.0529726177453998E-2"/>
    <n v="2.1680535748600901E-2"/>
    <n v="4.1523291051387801E-2"/>
    <n v="-2.0663216710091001E-3"/>
    <b v="0"/>
    <b v="0"/>
    <b v="0"/>
    <b v="0"/>
  </r>
  <r>
    <x v="9"/>
    <x v="15"/>
    <n v="618254.1875"/>
    <n v="0.91065460443496704"/>
    <n v="4.7E-2"/>
    <n v="2.2248980293487901"/>
    <n v="2.4431853948943356"/>
    <n v="-3.4825022707195001E-2"/>
    <n v="4.1523291051387801E-2"/>
    <n v="-2.0663216710091001E-3"/>
    <n v="-4.4997351169586197E-2"/>
    <n v="-1.28938443958759E-2"/>
    <b v="0"/>
    <b v="0"/>
    <b v="1"/>
    <b v="0"/>
  </r>
  <r>
    <x v="9"/>
    <x v="16"/>
    <n v="626112.4375"/>
    <n v="0.87172782421112105"/>
    <n v="6.5000000000000002E-2"/>
    <n v="2.3699642507895202"/>
    <n v="2.7186974936061534"/>
    <n v="6.5201289914034399E-2"/>
    <n v="-4.4997351169586197E-2"/>
    <n v="-1.2415140867233301E-2"/>
    <n v="-3.6910011231899201E-2"/>
    <n v="-1.7351083457469899E-2"/>
    <b v="0"/>
    <b v="1"/>
    <b v="0"/>
    <b v="1"/>
  </r>
  <r>
    <x v="10"/>
    <x v="0"/>
    <n v="1530992"/>
    <n v="0.93183219432830799"/>
    <n v="2.3E-2"/>
    <n v="2.2085810534379"/>
    <n v="2.3701489032903722"/>
    <n v="1.5305785513600401E-2"/>
    <n v="5.0768234133719897E-3"/>
    <n v="-1.28621608018879E-3"/>
    <n v="1.6743726193904799E-2"/>
    <n v="1.7665482126176399E-2"/>
    <b v="0"/>
    <b v="1"/>
    <b v="0"/>
    <b v="0"/>
  </r>
  <r>
    <x v="10"/>
    <x v="1"/>
    <n v="1591849"/>
    <n v="0.93416368961334195"/>
    <n v="2.1000000000000001E-2"/>
    <n v="2.26883934910874"/>
    <n v="2.4287385330164475"/>
    <n v="2.72837148435357E-2"/>
    <n v="1.6743726193904799E-2"/>
    <n v="1.7665482126176399E-2"/>
    <n v="-3.3056942570954498E-2"/>
    <n v="-3.5461382940411498E-3"/>
    <b v="0"/>
    <b v="0"/>
    <b v="0"/>
    <b v="0"/>
  </r>
  <r>
    <x v="10"/>
    <x v="2"/>
    <n v="1646057"/>
    <n v="0.90785193443298295"/>
    <n v="6.9000000000000006E-2"/>
    <n v="2.2447985617389801"/>
    <n v="2.4726483213818495"/>
    <n v="-1.0596073000583401E-2"/>
    <n v="-3.3056942570954498E-2"/>
    <n v="-3.5461382940411498E-3"/>
    <n v="-3.9419398367404899E-2"/>
    <n v="-1.28526967018842E-2"/>
    <b v="0"/>
    <b v="0"/>
    <b v="0"/>
    <b v="0"/>
  </r>
  <r>
    <x v="10"/>
    <x v="3"/>
    <n v="1693767"/>
    <n v="0.90347921848297097"/>
    <n v="2.7E-2"/>
    <n v="2.2654472269833001"/>
    <n v="2.5074702114202529"/>
    <n v="9.1984490707789201E-3"/>
    <n v="-3.9419398367404899E-2"/>
    <n v="-1.28526967018842E-2"/>
    <n v="-3.8640146926045E-3"/>
    <n v="5.5960940662771802E-3"/>
    <b v="0"/>
    <b v="1"/>
    <b v="0"/>
    <b v="1"/>
  </r>
  <r>
    <x v="10"/>
    <x v="4"/>
    <n v="1741076"/>
    <n v="0.92493540048599199"/>
    <n v="8.9999999999999993E-3"/>
    <n v="2.3617585120065501"/>
    <n v="2.5534307701549785"/>
    <n v="4.2513144369955097E-2"/>
    <n v="-3.8640146926045E-3"/>
    <n v="5.5960940662771802E-3"/>
    <n v="-9.6910636574029999E-3"/>
    <n v="1.15927108563483E-2"/>
    <b v="0"/>
    <b v="0"/>
    <b v="0"/>
    <b v="1"/>
  </r>
  <r>
    <x v="10"/>
    <x v="5"/>
    <n v="1794669"/>
    <n v="0.93185597658157304"/>
    <n v="2E-3"/>
    <n v="2.2153751295828199"/>
    <n v="2.3773793217592676"/>
    <n v="-6.1980673163473499E-2"/>
    <n v="-9.6910636574029999E-3"/>
    <n v="1.15927108563483E-2"/>
    <n v="7.8966726511717003E-3"/>
    <n v="1.3334878720343101E-2"/>
    <b v="1"/>
    <b v="0"/>
    <b v="0"/>
    <b v="0"/>
  </r>
  <r>
    <x v="10"/>
    <x v="6"/>
    <n v="1848120"/>
    <n v="0.93640202283859297"/>
    <n v="2.4E-2"/>
    <n v="2.2781879382496601"/>
    <n v="2.4329165066769085"/>
    <n v="2.83531253141136E-2"/>
    <n v="7.8966726511717003E-3"/>
    <n v="1.32492799311876E-2"/>
    <n v="1.9104745835065801E-2"/>
    <n v="1.29779744893312E-2"/>
    <b v="0"/>
    <b v="0"/>
    <b v="0"/>
    <b v="0"/>
  </r>
  <r>
    <x v="10"/>
    <x v="7"/>
    <n v="1899710"/>
    <n v="0.93115162849426303"/>
    <n v="4.1000000000000002E-2"/>
    <n v="2.27194248550652"/>
    <n v="2.4399275219873795"/>
    <n v="-2.7414124349781298E-3"/>
    <n v="1.9104745835065801E-2"/>
    <n v="1.29779744893312E-2"/>
    <n v="9.2495761960744993E-3"/>
    <n v="7.2415526956319896E-3"/>
    <b v="1"/>
    <b v="0"/>
    <b v="1"/>
    <b v="0"/>
  </r>
  <r>
    <x v="10"/>
    <x v="8"/>
    <n v="1959680"/>
    <n v="0.92379623651504505"/>
    <n v="4.8000000000000001E-2"/>
    <n v="2.2287328707633698"/>
    <n v="2.4125805915502583"/>
    <n v="-1.9018797799153199E-2"/>
    <n v="9.2495761960744993E-3"/>
    <n v="7.2415526956319896E-3"/>
    <n v="4.5403832733631098E-2"/>
    <n v="1.51403807103634E-2"/>
    <b v="1"/>
    <b v="0"/>
    <b v="1"/>
    <b v="0"/>
  </r>
  <r>
    <x v="10"/>
    <x v="9"/>
    <n v="2019753"/>
    <n v="0.92827242612838701"/>
    <n v="4.8000000000000001E-2"/>
    <n v="2.2229072502201799"/>
    <n v="2.3946712060503832"/>
    <n v="-2.6138711460691002E-3"/>
    <n v="4.5403832733631098E-2"/>
    <n v="1.51403807103634E-2"/>
    <n v="3.22852310538289E-3"/>
    <n v="-9.9250338971614994E-3"/>
    <b v="1"/>
    <b v="0"/>
    <b v="1"/>
    <b v="0"/>
  </r>
  <r>
    <x v="10"/>
    <x v="10"/>
    <n v="2078534.875"/>
    <n v="0.910619556903839"/>
    <n v="5.8999999999999997E-2"/>
    <n v="2.2297250327041001"/>
    <n v="2.4485802175008176"/>
    <n v="3.0670566589072602E-3"/>
    <n v="3.22852310538289E-3"/>
    <n v="-9.9250338971614994E-3"/>
    <n v="-9.6946026235818997E-3"/>
    <n v="-1.24841760843991E-2"/>
    <b v="0"/>
    <b v="1"/>
    <b v="0"/>
    <b v="0"/>
  </r>
  <r>
    <x v="10"/>
    <x v="11"/>
    <n v="2131416"/>
    <n v="0.90020132064819303"/>
    <n v="5.1999999999999998E-2"/>
    <n v="2.1895553925349001"/>
    <n v="2.4322952458660061"/>
    <n v="-1.8015512935459999E-2"/>
    <n v="-9.6946026235818997E-3"/>
    <n v="-1.24841760843991E-2"/>
    <n v="1.7121520102024099E-2"/>
    <n v="7.9864971339703005E-3"/>
    <b v="0"/>
    <b v="0"/>
    <b v="0"/>
    <b v="0"/>
  </r>
  <r>
    <x v="10"/>
    <x v="12"/>
    <n v="2185146"/>
    <n v="0.92175209522247303"/>
    <n v="3.3000000000000002E-2"/>
    <n v="2.2593084707533699"/>
    <n v="2.4511020723072678"/>
    <n v="3.1857188201898902E-2"/>
    <n v="1.7121520102024099E-2"/>
    <n v="7.9864971339703005E-3"/>
    <n v="2.9068804502487201E-2"/>
    <n v="1.12676098942757E-2"/>
    <b v="0"/>
    <b v="0"/>
    <b v="0"/>
    <b v="0"/>
  </r>
  <r>
    <x v="10"/>
    <x v="13"/>
    <n v="2248783"/>
    <n v="0.91739618778228804"/>
    <n v="4.8000000000000001E-2"/>
    <n v="2.2024781349435298"/>
    <n v="2.4007927700983767"/>
    <n v="-2.5153863027342401E-2"/>
    <n v="2.9068804502487201E-2"/>
    <n v="1.12676098942757E-2"/>
    <n v="-2.0802583441138198E-2"/>
    <n v="-3.9651773869991198E-2"/>
    <b v="1"/>
    <b v="0"/>
    <b v="1"/>
    <b v="0"/>
  </r>
  <r>
    <x v="10"/>
    <x v="14"/>
    <n v="2314886"/>
    <n v="0.89550727605819702"/>
    <n v="5.5E-2"/>
    <n v="2.0392577976564099"/>
    <n v="2.277209635451229"/>
    <n v="-7.4107585767840101E-2"/>
    <n v="-2.0802583441138198E-2"/>
    <n v="-3.9651773869991198E-2"/>
    <n v="0.114389887332916"/>
    <n v="7.0800274610519104E-2"/>
    <b v="0"/>
    <b v="0"/>
    <b v="0"/>
    <b v="0"/>
  </r>
  <r>
    <x v="10"/>
    <x v="15"/>
    <n v="2376382"/>
    <n v="0.934503674507141"/>
    <n v="4.9000000000000002E-2"/>
    <n v="2.0683513990420899"/>
    <n v="2.2133154266439266"/>
    <n v="1.4266759906041499E-2"/>
    <n v="0.114389887332916"/>
    <n v="7.0800274610519104E-2"/>
    <n v="-5.34023809432983E-2"/>
    <n v="-2.1298874169587999E-2"/>
    <b v="0"/>
    <b v="0"/>
    <b v="0"/>
    <b v="0"/>
  </r>
  <r>
    <x v="10"/>
    <x v="16"/>
    <n v="2445493"/>
    <n v="0.90637254714965798"/>
    <n v="5.8000000000000003E-2"/>
    <n v="2.0627211959134399"/>
    <n v="2.275798403647864"/>
    <n v="-2.7220728215030798E-3"/>
    <n v="-5.34023809432983E-2"/>
    <n v="-2.08201706409454E-2"/>
    <n v="-9.0634419381618495E-2"/>
    <n v="-7.1075491607189206E-2"/>
    <b v="0"/>
    <b v="0"/>
    <b v="0"/>
    <b v="0"/>
  </r>
  <r>
    <x v="11"/>
    <x v="0"/>
    <n v="789159.125"/>
    <n v="0.94811427593231201"/>
    <n v="2.7E-2"/>
    <n v="3.0877448224933501"/>
    <n v="3.2567222125804074"/>
    <n v="5.5699360154535103E-2"/>
    <n v="2.4987073272466701E-2"/>
    <n v="1.86240337789059E-2"/>
    <n v="1.48841804862021E-2"/>
    <n v="1.58059364184737E-2"/>
    <b v="0"/>
    <b v="0"/>
    <b v="0"/>
    <b v="0"/>
  </r>
  <r>
    <x v="11"/>
    <x v="1"/>
    <n v="807037.1875"/>
    <n v="0.94531559944152799"/>
    <n v="3.2000000000000001E-2"/>
    <n v="3.0638244609641099"/>
    <n v="3.2410598775415864"/>
    <n v="-7.7468712294458701E-3"/>
    <n v="1.48841804862021E-2"/>
    <n v="1.58059364184737E-2"/>
    <n v="-3.0229137569665901E-2"/>
    <n v="-7.1833329275250402E-4"/>
    <b v="1"/>
    <b v="0"/>
    <b v="1"/>
    <b v="0"/>
  </r>
  <r>
    <x v="11"/>
    <x v="2"/>
    <n v="821314.375"/>
    <n v="0.94060128927230802"/>
    <n v="0.02"/>
    <n v="2.9451046162027201"/>
    <n v="3.1310871564732672"/>
    <n v="-3.8748905583196498E-2"/>
    <n v="-3.0229137569665901E-2"/>
    <n v="-7.1833329275250402E-4"/>
    <n v="-5.6625921934843101E-2"/>
    <n v="-3.0059220269322399E-2"/>
    <b v="0"/>
    <b v="0"/>
    <b v="0"/>
    <b v="0"/>
  </r>
  <r>
    <x v="11"/>
    <x v="3"/>
    <n v="833048.5625"/>
    <n v="0.93400764465331998"/>
    <n v="4.0000000000000001E-3"/>
    <n v="3.1304992482762102"/>
    <n v="3.3516848242052371"/>
    <n v="6.2950100669948203E-2"/>
    <n v="-5.6625921934843101E-2"/>
    <n v="-3.0059220269322399E-2"/>
    <n v="-8.0432465150952308E-3"/>
    <n v="1.4168622437864501E-3"/>
    <b v="0"/>
    <b v="1"/>
    <b v="0"/>
    <b v="1"/>
  </r>
  <r>
    <x v="11"/>
    <x v="4"/>
    <n v="843624.875"/>
    <n v="0.94078838825225797"/>
    <n v="3.0000000000000001E-3"/>
    <n v="3.0706155184075699"/>
    <n v="3.2638748062271272"/>
    <n v="-1.9129130889144301E-2"/>
    <n v="-8.0432465150952308E-3"/>
    <n v="1.4168622437864501E-3"/>
    <n v="-1.58000796735287E-2"/>
    <n v="5.4836948402225997E-3"/>
    <b v="1"/>
    <b v="0"/>
    <b v="0"/>
    <b v="0"/>
  </r>
  <r>
    <x v="11"/>
    <x v="5"/>
    <n v="851223.5625"/>
    <n v="0.94050973653793302"/>
    <n v="1.0999999999999999E-2"/>
    <n v="3.1954574536148401"/>
    <n v="3.3975804071709996"/>
    <n v="4.0656973971137399E-2"/>
    <n v="-1.58000796735287E-2"/>
    <n v="5.4836948402225997E-3"/>
    <n v="1.1594590693711901E-3"/>
    <n v="6.5976651385425897E-3"/>
    <b v="0"/>
    <b v="0"/>
    <b v="0"/>
    <b v="1"/>
  </r>
  <r>
    <x v="11"/>
    <x v="6"/>
    <n v="858512.0625"/>
    <n v="0.93638116121292103"/>
    <n v="1E-3"/>
    <n v="3.1758765118358498"/>
    <n v="3.3916493020022394"/>
    <n v="-6.1277429173219704E-3"/>
    <n v="1.1594590693711901E-3"/>
    <n v="6.51206634938709E-3"/>
    <n v="3.967514634132E-4"/>
    <n v="-5.7300198823213898E-3"/>
    <b v="1"/>
    <b v="0"/>
    <b v="1"/>
    <b v="0"/>
  </r>
  <r>
    <x v="11"/>
    <x v="7"/>
    <n v="867212.8125"/>
    <n v="0.93488919734954801"/>
    <n v="1.0999999999999999E-2"/>
    <n v="3.0954117824621399"/>
    <n v="3.3109932077916491"/>
    <n v="-2.5336227360803602E-2"/>
    <n v="3.967514634132E-4"/>
    <n v="-5.7300198823213898E-3"/>
    <n v="-4.9704007655382004E-3"/>
    <n v="-6.9784242659806997E-3"/>
    <b v="0"/>
    <b v="0"/>
    <b v="1"/>
    <b v="0"/>
  </r>
  <r>
    <x v="11"/>
    <x v="8"/>
    <n v="875106.0625"/>
    <n v="0.93180644512176503"/>
    <n v="1.4999999999999999E-2"/>
    <n v="3.21910200797593"/>
    <n v="3.4546895708102445"/>
    <n v="3.9959215188941598E-2"/>
    <n v="-4.9704007655382004E-3"/>
    <n v="-6.9784242659806997E-3"/>
    <n v="1.4852171927690399E-2"/>
    <n v="-1.5411280095577099E-2"/>
    <b v="0"/>
    <b v="1"/>
    <b v="0"/>
    <b v="1"/>
  </r>
  <r>
    <x v="11"/>
    <x v="9"/>
    <n v="882005"/>
    <n v="0.94514650106430098"/>
    <n v="2E-3"/>
    <n v="3.0963309139644499"/>
    <n v="3.2760327742606727"/>
    <n v="-3.8138304939478701E-2"/>
    <n v="1.4852171927690399E-2"/>
    <n v="-1.5411280095577099E-2"/>
    <n v="1.0908654227852799E-2"/>
    <n v="-2.24490277469159E-3"/>
    <b v="0"/>
    <b v="0"/>
    <b v="1"/>
    <b v="0"/>
  </r>
  <r>
    <x v="11"/>
    <x v="10"/>
    <n v="887814.6875"/>
    <n v="0.94754397869110096"/>
    <n v="1.4E-2"/>
    <n v="3.0305222680075299"/>
    <n v="3.1982919380626229"/>
    <n v="-2.12537509024389E-2"/>
    <n v="1.0908654227852799E-2"/>
    <n v="-2.24490277469159E-3"/>
    <n v="1.26351506412028E-2"/>
    <n v="9.8455771803856E-3"/>
    <b v="0"/>
    <b v="0"/>
    <b v="1"/>
    <b v="0"/>
  </r>
  <r>
    <x v="11"/>
    <x v="11"/>
    <n v="894813"/>
    <n v="0.95296186208724998"/>
    <n v="3.0000000000000001E-3"/>
    <n v="3.13697754407448"/>
    <n v="3.2918185594580165"/>
    <n v="3.5127699667732597E-2"/>
    <n v="1.26351506412028E-2"/>
    <n v="9.8455771803856E-3"/>
    <n v="1.7443880647420799E-2"/>
    <n v="8.3088576793671001E-3"/>
    <b v="0"/>
    <b v="0"/>
    <b v="0"/>
    <b v="0"/>
  </r>
  <r>
    <x v="11"/>
    <x v="12"/>
    <n v="901621.1875"/>
    <n v="0.95990574359893799"/>
    <n v="0"/>
    <n v="3.0006845694578002"/>
    <n v="3.1260200175565656"/>
    <n v="-4.3447226733938402E-2"/>
    <n v="1.7443880647420799E-2"/>
    <n v="8.3088576793671001E-3"/>
    <n v="2.44382276833057E-2"/>
    <n v="6.6370330750941901E-3"/>
    <b v="1"/>
    <b v="0"/>
    <b v="1"/>
    <b v="0"/>
  </r>
  <r>
    <x v="11"/>
    <x v="13"/>
    <n v="907308"/>
    <n v="0.95606899261474598"/>
    <n v="6.0000000000000001E-3"/>
    <n v="2.9263569664840499"/>
    <n v="3.06082195855006"/>
    <n v="-2.47702153469526E-2"/>
    <n v="2.44382276833057E-2"/>
    <n v="6.6370330750941901E-3"/>
    <n v="3.7741651862859701E-2"/>
    <n v="1.8892461434006701E-2"/>
    <b v="1"/>
    <b v="0"/>
    <b v="1"/>
    <b v="0"/>
  </r>
  <r>
    <x v="11"/>
    <x v="14"/>
    <n v="907759.875"/>
    <n v="0.97074764966964699"/>
    <n v="1.9E-2"/>
    <n v="3.02108479079034"/>
    <n v="3.1121216639756364"/>
    <n v="3.2370563602192502E-2"/>
    <n v="3.7741651862859701E-2"/>
    <n v="1.8892461434006701E-2"/>
    <n v="8.0358511090278903E-2"/>
    <n v="3.6768898367881997E-2"/>
    <b v="0"/>
    <b v="0"/>
    <b v="0"/>
    <b v="0"/>
  </r>
  <r>
    <x v="11"/>
    <x v="15"/>
    <n v="913706.8125"/>
    <n v="0.96925097703933705"/>
    <n v="3.2000000000000001E-2"/>
    <n v="2.9562367238917702"/>
    <n v="3.0500219178750347"/>
    <n v="-2.1465159500409399E-2"/>
    <n v="8.0358511090278903E-2"/>
    <n v="3.6768898367881997E-2"/>
    <n v="-2.5902906358241998E-2"/>
    <n v="6.2006004154682897E-3"/>
    <b v="1"/>
    <b v="0"/>
    <b v="1"/>
    <b v="0"/>
  </r>
  <r>
    <x v="11"/>
    <x v="16"/>
    <n v="916965.25"/>
    <n v="0.964957594871521"/>
    <n v="0"/>
    <n v="2.95029658416854"/>
    <n v="3.0574365131157464"/>
    <n v="-2.0093586130036701E-3"/>
    <n v="-2.5902906358241998E-2"/>
    <n v="6.6793039441108903E-3"/>
    <n v="-1.2588222309947E-2"/>
    <n v="6.9707054644822996E-3"/>
    <b v="1"/>
    <b v="0"/>
    <b v="0"/>
    <b v="0"/>
  </r>
  <r>
    <x v="12"/>
    <x v="0"/>
    <n v="2660376"/>
    <n v="0.93478703498840299"/>
    <n v="4.0000000000000001E-3"/>
    <n v="2.1784694926818902"/>
    <n v="2.3304447014596392"/>
    <n v="1.64994947921243E-2"/>
    <n v="-1.8626399040221999E-3"/>
    <n v="-8.2256793975829905E-3"/>
    <n v="-9.8474593460559992E-4"/>
    <n v="-6.2990002334098794E-5"/>
    <b v="0"/>
    <b v="1"/>
    <b v="0"/>
    <b v="1"/>
  </r>
  <r>
    <x v="12"/>
    <x v="1"/>
    <n v="2670651"/>
    <n v="0.93277972936630205"/>
    <n v="1.2E-2"/>
    <n v="2.1480681153213701"/>
    <n v="2.3028674913215497"/>
    <n v="-1.3955383567523801E-2"/>
    <n v="-9.8474593460559992E-4"/>
    <n v="-6.2990002334098794E-5"/>
    <n v="-2.8236776880919901E-2"/>
    <n v="1.2740273959934701E-3"/>
    <b v="0"/>
    <b v="0"/>
    <b v="0"/>
    <b v="0"/>
  </r>
  <r>
    <x v="12"/>
    <x v="2"/>
    <n v="2683983"/>
    <n v="0.93154871463775601"/>
    <n v="6.0000000000000001E-3"/>
    <n v="2.2000731894982399"/>
    <n v="2.3617371318619282"/>
    <n v="2.42101606582872E-2"/>
    <n v="-2.8236776880919901E-2"/>
    <n v="1.2740273959934701E-3"/>
    <n v="-1.54871093481779E-3"/>
    <n v="2.5017990730702801E-2"/>
    <b v="0"/>
    <b v="0"/>
    <b v="0"/>
    <b v="1"/>
  </r>
  <r>
    <x v="12"/>
    <x v="3"/>
    <n v="2701402"/>
    <n v="0.935164093971252"/>
    <n v="8.9999999999999993E-3"/>
    <n v="2.1952299270993598"/>
    <n v="2.3474275170009293"/>
    <n v="-2.2014096721883199E-3"/>
    <n v="-1.54871093481779E-3"/>
    <n v="2.5017990730702801E-2"/>
    <n v="1.53175395131111E-2"/>
    <n v="2.4777648271992699E-2"/>
    <b v="1"/>
    <b v="0"/>
    <b v="0"/>
    <b v="0"/>
  </r>
  <r>
    <x v="12"/>
    <x v="4"/>
    <n v="2722588"/>
    <n v="0.94007700681686401"/>
    <n v="3.0000000000000001E-3"/>
    <n v="2.29839759596093"/>
    <n v="2.4449035337470812"/>
    <n v="4.6996293002389299E-2"/>
    <n v="1.53175395131111E-2"/>
    <n v="2.4777648271992699E-2"/>
    <n v="-1.4945559546351401E-2"/>
    <n v="6.3382149673998902E-3"/>
    <b v="0"/>
    <b v="0"/>
    <b v="0"/>
    <b v="0"/>
  </r>
  <r>
    <x v="12"/>
    <x v="5"/>
    <n v="2745445"/>
    <n v="0.93964642286300704"/>
    <n v="8.0000000000000002E-3"/>
    <n v="2.2329713340519799"/>
    <n v="2.3763952905267742"/>
    <n v="-2.84660330414226E-2"/>
    <n v="-1.4945559546351401E-2"/>
    <n v="6.3382149673998902E-3"/>
    <n v="-8.0214480906724995E-3"/>
    <n v="-2.5832420215010999E-3"/>
    <b v="1"/>
    <b v="0"/>
    <b v="0"/>
    <b v="0"/>
  </r>
  <r>
    <x v="12"/>
    <x v="6"/>
    <n v="2769260"/>
    <n v="0.94287973642349199"/>
    <n v="1.2999999999999999E-2"/>
    <n v="2.2469923599027402"/>
    <n v="2.383116608726767"/>
    <n v="6.2790890491693603E-3"/>
    <n v="-8.0214480906724995E-3"/>
    <n v="-2.66884081065659E-3"/>
    <n v="7.3321188241243004E-3"/>
    <n v="1.2053474783897001E-3"/>
    <b v="0"/>
    <b v="1"/>
    <b v="0"/>
    <b v="1"/>
  </r>
  <r>
    <x v="12"/>
    <x v="7"/>
    <n v="2786456"/>
    <n v="0.93944466114044201"/>
    <n v="1.9E-2"/>
    <n v="2.2222979278913"/>
    <n v="2.3655442622810097"/>
    <n v="-1.0989993758815399E-2"/>
    <n v="7.3321188241243004E-3"/>
    <n v="1.2053474783897001E-3"/>
    <n v="-1.55714078247549E-3"/>
    <n v="-3.5651642829179998E-3"/>
    <b v="1"/>
    <b v="0"/>
    <b v="1"/>
    <b v="0"/>
  </r>
  <r>
    <x v="12"/>
    <x v="8"/>
    <n v="2802469"/>
    <n v="0.941994369029999"/>
    <n v="1.7000000000000001E-2"/>
    <n v="2.2655358734086599"/>
    <n v="2.4050418430224298"/>
    <n v="1.9456412650482199E-2"/>
    <n v="-1.55714078247549E-3"/>
    <n v="-3.5651642829179998E-3"/>
    <n v="1.9861843600869199E-2"/>
    <n v="-1.0401608422398401E-2"/>
    <b v="0"/>
    <b v="1"/>
    <b v="0"/>
    <b v="1"/>
  </r>
  <r>
    <x v="12"/>
    <x v="9"/>
    <n v="2815029"/>
    <n v="0.93975889682769798"/>
    <n v="1.2999999999999999E-2"/>
    <n v="2.3001282962652398"/>
    <n v="2.4475727806671266"/>
    <n v="1.5268980404415799E-2"/>
    <n v="1.9861843600869199E-2"/>
    <n v="-1.0401608422398401E-2"/>
    <n v="-4.2345688790082804E-3"/>
    <n v="-1.7388125881552599E-2"/>
    <b v="0"/>
    <b v="1"/>
    <b v="0"/>
    <b v="0"/>
  </r>
  <r>
    <x v="12"/>
    <x v="10"/>
    <n v="2823673"/>
    <n v="0.93059861660003695"/>
    <n v="1.4E-2"/>
    <n v="2.2475602381229698"/>
    <n v="2.4151768528675466"/>
    <n v="-2.28544026120737E-2"/>
    <n v="-4.2345688790082804E-3"/>
    <n v="-1.7388125881552599E-2"/>
    <n v="-4.7420862168073997E-3"/>
    <n v="-7.5316596776246903E-3"/>
    <b v="0"/>
    <b v="0"/>
    <b v="0"/>
    <b v="0"/>
  </r>
  <r>
    <x v="12"/>
    <x v="11"/>
    <n v="2831946"/>
    <n v="0.92620706558227495"/>
    <n v="2.1000000000000001E-2"/>
    <n v="2.23768522743906"/>
    <n v="2.4159664837282397"/>
    <n v="-4.3936578501512901E-3"/>
    <n v="-4.7420862168073997E-3"/>
    <n v="-7.5316596776246903E-3"/>
    <n v="4.7560503929852897E-3"/>
    <n v="-4.3789725750684903E-3"/>
    <b v="0"/>
    <b v="0"/>
    <b v="0"/>
    <b v="0"/>
  </r>
  <r>
    <x v="12"/>
    <x v="12"/>
    <n v="2838570"/>
    <n v="0.93149757385253895"/>
    <n v="1.7999999999999999E-2"/>
    <n v="2.1345818110345398"/>
    <n v="2.291559174122396"/>
    <n v="-4.6075924862100603E-2"/>
    <n v="4.7560503929852897E-3"/>
    <n v="-4.3789725750684903E-3"/>
    <n v="1.56357541382313E-2"/>
    <n v="-2.1654404699802E-3"/>
    <b v="0"/>
    <b v="0"/>
    <b v="1"/>
    <b v="0"/>
  </r>
  <r>
    <x v="12"/>
    <x v="13"/>
    <n v="2843757"/>
    <n v="0.93573409318923995"/>
    <n v="1.4E-2"/>
    <n v="2.2238860523497301"/>
    <n v="2.3766218079861909"/>
    <n v="4.1836879173959701E-2"/>
    <n v="1.56357541382313E-2"/>
    <n v="-2.1654404699802E-3"/>
    <n v="2.31201184093951E-2"/>
    <n v="4.2709279805421899E-3"/>
    <b v="0"/>
    <b v="1"/>
    <b v="0"/>
    <b v="0"/>
  </r>
  <r>
    <x v="12"/>
    <x v="14"/>
    <n v="2847001"/>
    <n v="0.94748902320861805"/>
    <n v="1.9E-2"/>
    <n v="2.0351709942640799"/>
    <n v="2.1479626089725961"/>
    <n v="-8.4858240774637106E-2"/>
    <n v="2.31201184093951E-2"/>
    <n v="4.2709279805421899E-3"/>
    <n v="5.9280580163002E-2"/>
    <n v="1.5690967440605001E-2"/>
    <b v="1"/>
    <b v="0"/>
    <b v="1"/>
    <b v="0"/>
  </r>
  <r>
    <x v="12"/>
    <x v="15"/>
    <n v="2846509"/>
    <n v="0.95880860090255704"/>
    <n v="8.0000000000000002E-3"/>
    <n v="2.1544086310925601"/>
    <n v="2.2469642315103835"/>
    <n v="5.8588510333798798E-2"/>
    <n v="5.9280580163002E-2"/>
    <n v="1.5690967440605001E-2"/>
    <n v="-5.1370672807097402E-2"/>
    <n v="-1.9267166033387101E-2"/>
    <b v="0"/>
    <b v="0"/>
    <b v="0"/>
    <b v="0"/>
  </r>
  <r>
    <x v="12"/>
    <x v="16"/>
    <n v="2845911"/>
    <n v="0.936695337295532"/>
    <n v="6.0000000000000001E-3"/>
    <n v="2.0834245489285901"/>
    <n v="2.2242285895688827"/>
    <n v="-3.2948290839317898E-2"/>
    <n v="-5.1370672807097402E-2"/>
    <n v="-1.8788462504744498E-2"/>
    <n v="-2.9299562595784701E-2"/>
    <n v="-9.7406348213553897E-3"/>
    <b v="0"/>
    <b v="0"/>
    <b v="0"/>
    <b v="0"/>
  </r>
  <r>
    <x v="13"/>
    <x v="0"/>
    <n v="773860.4375"/>
    <n v="0.92814165353775002"/>
    <n v="0.01"/>
    <n v="2.3357750367368699"/>
    <n v="2.5166148161045414"/>
    <n v="-2.17003884647374E-4"/>
    <n v="3.2860619604587499E-2"/>
    <n v="2.6497580111026799E-2"/>
    <n v="-5.9567865878343996E-3"/>
    <n v="-5.0350306555629002E-3"/>
    <b v="1"/>
    <b v="0"/>
    <b v="1"/>
    <b v="0"/>
  </r>
  <r>
    <x v="13"/>
    <x v="1"/>
    <n v="781783.625"/>
    <n v="0.90007376670837402"/>
    <n v="3.7999999999999999E-2"/>
    <n v="2.14607095099504"/>
    <n v="2.3843278521974431"/>
    <n v="-8.1216762213047203E-2"/>
    <n v="-5.9567865878343996E-3"/>
    <n v="-5.0350306555629002E-3"/>
    <n v="-5.5172815278172499E-2"/>
    <n v="-2.5662011001258998E-2"/>
    <b v="0"/>
    <b v="0"/>
    <b v="0"/>
    <b v="0"/>
  </r>
  <r>
    <x v="13"/>
    <x v="2"/>
    <n v="789833.125"/>
    <n v="0.891712546348572"/>
    <n v="7.8E-2"/>
    <n v="2.3796776603693002"/>
    <n v="2.6686600632835327"/>
    <n v="0.108853208821425"/>
    <n v="-5.5172815278172499E-2"/>
    <n v="-2.5662011001258998E-2"/>
    <n v="-2.31485801786184E-2"/>
    <n v="3.4181214869022499E-3"/>
    <b v="0"/>
    <b v="1"/>
    <b v="0"/>
    <b v="1"/>
  </r>
  <r>
    <x v="13"/>
    <x v="3"/>
    <n v="798139"/>
    <n v="0.90832912921905495"/>
    <n v="8.9999999999999993E-3"/>
    <n v="2.3659975024398401"/>
    <n v="2.604779948512749"/>
    <n v="-5.7487441081983202E-3"/>
    <n v="-2.31485801786184E-2"/>
    <n v="3.4181214869022499E-3"/>
    <n v="-7.7394137009978298E-3"/>
    <n v="1.72069505788385E-3"/>
    <b v="1"/>
    <b v="0"/>
    <b v="0"/>
    <b v="0"/>
  </r>
  <r>
    <x v="13"/>
    <x v="4"/>
    <n v="806026.625"/>
    <n v="0.91767418384552002"/>
    <n v="0.01"/>
    <n v="2.27226109835973"/>
    <n v="2.4761087740725189"/>
    <n v="-3.9618133148257101E-2"/>
    <n v="-7.7394137009978298E-3"/>
    <n v="1.72069505788385E-3"/>
    <n v="-2.6730084668844901E-2"/>
    <n v="-5.44631015509363E-3"/>
    <b v="1"/>
    <b v="0"/>
    <b v="0"/>
    <b v="0"/>
  </r>
  <r>
    <x v="13"/>
    <x v="5"/>
    <n v="811475"/>
    <n v="0.91895896196365401"/>
    <n v="1.2E-2"/>
    <n v="2.3725810031069599"/>
    <n v="2.5818138799551731"/>
    <n v="4.4149813953883801E-2"/>
    <n v="-2.6730084668844901E-2"/>
    <n v="-5.44631015509363E-3"/>
    <n v="-9.4734237566589993E-3"/>
    <n v="-4.0352176874875996E-3"/>
    <b v="0"/>
    <b v="1"/>
    <b v="0"/>
    <b v="1"/>
  </r>
  <r>
    <x v="13"/>
    <x v="6"/>
    <n v="817948.75"/>
    <n v="0.92783480882644698"/>
    <n v="0"/>
    <n v="2.32581245678421"/>
    <n v="2.506709636951395"/>
    <n v="-1.97120967678278E-2"/>
    <n v="-9.4734237566589993E-3"/>
    <n v="-4.1208164766430898E-3"/>
    <n v="5.7002721726894003E-3"/>
    <n v="-4.2649917304520002E-4"/>
    <b v="0"/>
    <b v="0"/>
    <b v="0"/>
    <b v="0"/>
  </r>
  <r>
    <x v="13"/>
    <x v="7"/>
    <n v="824664.6875"/>
    <n v="0.93034708499908403"/>
    <n v="3.0000000000000001E-3"/>
    <n v="2.2339544950641299"/>
    <n v="2.4012054544851176"/>
    <n v="-3.9494999457987803E-2"/>
    <n v="5.7002721726894003E-3"/>
    <n v="-4.2649917304520002E-4"/>
    <n v="3.39200982451439E-3"/>
    <n v="1.38398632407189E-3"/>
    <b v="0"/>
    <b v="0"/>
    <b v="1"/>
    <b v="0"/>
  </r>
  <r>
    <x v="13"/>
    <x v="8"/>
    <n v="830950.9375"/>
    <n v="0.92323583364486705"/>
    <n v="5.0000000000000001E-3"/>
    <n v="2.34520944126796"/>
    <n v="2.5402062569530539"/>
    <n v="4.9801796074917297E-2"/>
    <n v="3.39200982451439E-3"/>
    <n v="1.38398632407189E-3"/>
    <n v="2.2886298760771799E-2"/>
    <n v="-7.3771532624958896E-3"/>
    <b v="0"/>
    <b v="0"/>
    <b v="0"/>
    <b v="0"/>
  </r>
  <r>
    <x v="13"/>
    <x v="9"/>
    <n v="837054.375"/>
    <n v="0.91496920585632302"/>
    <n v="6.0000000000000001E-3"/>
    <n v="2.2117049833311602"/>
    <n v="2.4172452681193981"/>
    <n v="-5.6926454237971699E-2"/>
    <n v="2.2886298760771799E-2"/>
    <n v="-7.3771532624958896E-3"/>
    <n v="3.8271930336952198E-2"/>
    <n v="2.5118373334407799E-2"/>
    <b v="0"/>
    <b v="0"/>
    <b v="1"/>
    <b v="0"/>
  </r>
  <r>
    <x v="13"/>
    <x v="10"/>
    <n v="842251.5625"/>
    <n v="0.91662007570266701"/>
    <n v="2.4E-2"/>
    <n v="2.3674739791833401"/>
    <n v="2.5828301626150512"/>
    <n v="7.04293732781512E-2"/>
    <n v="3.8271930336952198E-2"/>
    <n v="2.5118373334407799E-2"/>
    <n v="-3.2820063926279501E-2"/>
    <n v="-3.5609637387096799E-2"/>
    <b v="0"/>
    <b v="0"/>
    <b v="0"/>
    <b v="0"/>
  </r>
  <r>
    <x v="13"/>
    <x v="11"/>
    <n v="842001.5"/>
    <n v="0.88219505548477195"/>
    <n v="1.7000000000000001E-2"/>
    <n v="2.3493712468353101"/>
    <n v="2.6630972733624256"/>
    <n v="-7.6464335013644996E-3"/>
    <n v="-3.2820063926279501E-2"/>
    <n v="-3.5609637387096799E-2"/>
    <n v="-2.7948622848838499E-2"/>
    <n v="-3.7083645816892302E-2"/>
    <b v="0"/>
    <b v="0"/>
    <b v="0"/>
    <b v="0"/>
  </r>
  <r>
    <x v="13"/>
    <x v="12"/>
    <n v="844395.625"/>
    <n v="0.85163360834121704"/>
    <n v="5.2999999999999999E-2"/>
    <n v="2.2385888824244899"/>
    <n v="2.6285821279232242"/>
    <n v="-4.7154047943695397E-2"/>
    <n v="-2.7948622848838499E-2"/>
    <n v="-3.7083645816892302E-2"/>
    <n v="-2.0245307667180801E-2"/>
    <n v="-3.8046502275392399E-2"/>
    <b v="0"/>
    <b v="0"/>
    <b v="0"/>
    <b v="0"/>
  </r>
  <r>
    <x v="13"/>
    <x v="13"/>
    <n v="847852.125"/>
    <n v="0.87194919586181596"/>
    <n v="1.9E-2"/>
    <n v="2.14419317911833"/>
    <n v="2.459080402040001"/>
    <n v="-4.2167502951200399E-2"/>
    <n v="-2.0245307667180801E-2"/>
    <n v="-3.8046502275392399E-2"/>
    <n v="1.9653337180614499E-2"/>
    <n v="8.0414675176149805E-4"/>
    <b v="0"/>
    <b v="0"/>
    <b v="0"/>
    <b v="0"/>
  </r>
  <r>
    <x v="13"/>
    <x v="14"/>
    <n v="850013.5"/>
    <n v="0.89413988590240501"/>
    <n v="1.2E-2"/>
    <n v="2.0081099067191501"/>
    <n v="2.2458565358511859"/>
    <n v="-6.3465957136912901E-2"/>
    <n v="1.9653337180614499E-2"/>
    <n v="8.0414675176149805E-4"/>
    <n v="2.9781935989856699E-2"/>
    <n v="-1.38076767325402E-2"/>
    <b v="1"/>
    <b v="0"/>
    <b v="1"/>
    <b v="0"/>
  </r>
  <r>
    <x v="13"/>
    <x v="15"/>
    <n v="852156.5"/>
    <n v="0.91992127895355202"/>
    <n v="1.0999999999999999E-2"/>
    <n v="2.2791721196257999"/>
    <n v="2.4775729964834068"/>
    <n v="0.134983753628063"/>
    <n v="2.9781935989856699E-2"/>
    <n v="-1.38076767325402E-2"/>
    <n v="-5.6036379113793403E-2"/>
    <n v="-2.3932872340083101E-2"/>
    <b v="0"/>
    <b v="1"/>
    <b v="0"/>
    <b v="0"/>
  </r>
  <r>
    <x v="13"/>
    <x v="16"/>
    <n v="853922"/>
    <n v="0.89594829082489003"/>
    <n v="8.0000000000000002E-3"/>
    <n v="2.11323794087523"/>
    <n v="2.3586606085598918"/>
    <n v="-7.2804584314505899E-2"/>
    <n v="-5.6036379113793403E-2"/>
    <n v="-2.3454168811440499E-2"/>
    <n v="-2.3158957049250601E-2"/>
    <n v="-3.6000292748212901E-3"/>
    <b v="0"/>
    <b v="0"/>
    <b v="0"/>
    <b v="0"/>
  </r>
  <r>
    <x v="14"/>
    <x v="0"/>
    <n v="394245.09375"/>
    <n v="0.92615175247192405"/>
    <n v="1.6E-2"/>
    <n v="2.3490171095740799"/>
    <n v="2.5363198885112399"/>
    <n v="5.3693221677436002E-2"/>
    <n v="8.8359207212925003E-3"/>
    <n v="2.4728812277316999E-3"/>
    <n v="1.5682454317808198E-2"/>
    <n v="1.6604210250079701E-2"/>
    <b v="0"/>
    <b v="0"/>
    <b v="0"/>
    <b v="0"/>
  </r>
  <r>
    <x v="14"/>
    <x v="1"/>
    <n v="397406.40625"/>
    <n v="0.93614548444747903"/>
    <n v="0"/>
    <n v="2.21716134211706"/>
    <n v="2.368393993189688"/>
    <n v="-5.6132314626230702E-2"/>
    <n v="1.5682454317808198E-2"/>
    <n v="1.6604210250079701E-2"/>
    <n v="-1.9939850375056301E-2"/>
    <n v="9.5709539018570995E-3"/>
    <b v="1"/>
    <b v="0"/>
    <b v="1"/>
    <b v="0"/>
  </r>
  <r>
    <x v="14"/>
    <x v="2"/>
    <n v="400145.8125"/>
    <n v="0.93837130069732699"/>
    <n v="3.5999999999999997E-2"/>
    <n v="2.24656457697143"/>
    <n v="2.3941104926183825"/>
    <n v="1.32616577313646E-2"/>
    <n v="-1.9939850375056301E-2"/>
    <n v="9.5709539018570995E-3"/>
    <n v="-1.9244868963956802E-2"/>
    <n v="7.3218327015638403E-3"/>
    <b v="0"/>
    <b v="0"/>
    <b v="0"/>
    <b v="1"/>
  </r>
  <r>
    <x v="14"/>
    <x v="3"/>
    <n v="402175.125"/>
    <n v="0.90458214282989502"/>
    <n v="3.6999999999999998E-2"/>
    <n v="2.2675863709341701"/>
    <n v="2.5067777303675842"/>
    <n v="9.3573067866466603E-3"/>
    <n v="-1.9244868963956802E-2"/>
    <n v="7.3218327015638403E-3"/>
    <n v="-2.1866364575922399E-2"/>
    <n v="-1.2406255817040799E-2"/>
    <b v="0"/>
    <b v="0"/>
    <b v="0"/>
    <b v="1"/>
  </r>
  <r>
    <x v="14"/>
    <x v="4"/>
    <n v="404398"/>
    <n v="0.89969080686569203"/>
    <n v="0.108"/>
    <n v="2.3050533044275001"/>
    <n v="2.562050525399671"/>
    <n v="1.6522825314873899E-2"/>
    <n v="-2.1866364575922399E-2"/>
    <n v="-1.2406255817040799E-2"/>
    <n v="-2.3473146714270102E-2"/>
    <n v="-2.1893722005188001E-3"/>
    <b v="0"/>
    <b v="1"/>
    <b v="0"/>
    <b v="1"/>
  </r>
  <r>
    <x v="14"/>
    <x v="5"/>
    <n v="405797.5"/>
    <n v="0.90756100416183505"/>
    <n v="1.2E-2"/>
    <n v="2.5050487117462898"/>
    <n v="2.7601987086915347"/>
    <n v="8.67638969279554E-2"/>
    <n v="-2.3473146714270102E-2"/>
    <n v="-2.1893722005188001E-3"/>
    <n v="-1.9247554991394199E-2"/>
    <n v="-1.3809348922222801E-2"/>
    <b v="0"/>
    <b v="1"/>
    <b v="0"/>
    <b v="1"/>
  </r>
  <r>
    <x v="14"/>
    <x v="6"/>
    <n v="405633.59375"/>
    <n v="0.90439844131469704"/>
    <n v="1.2E-2"/>
    <n v="2.2303595516070498"/>
    <n v="2.4661249397608898"/>
    <n v="-0.10965421903822301"/>
    <n v="-1.9247554991394199E-2"/>
    <n v="-1.38949477113783E-2"/>
    <n v="-2.1721183881163899E-3"/>
    <n v="-8.2988897338509993E-3"/>
    <b v="0"/>
    <b v="0"/>
    <b v="0"/>
    <b v="0"/>
  </r>
  <r>
    <x v="14"/>
    <x v="7"/>
    <n v="407266.21875"/>
    <n v="0.88858610391616799"/>
    <n v="0"/>
    <n v="2.1778630160210199"/>
    <n v="2.4509307611527609"/>
    <n v="-2.3537252344898299E-2"/>
    <n v="-2.1721183881163899E-3"/>
    <n v="-8.2988897338509993E-3"/>
    <n v="-1.9566343948245E-3"/>
    <n v="-3.9646578952670002E-3"/>
    <b v="0"/>
    <b v="0"/>
    <b v="0"/>
    <b v="0"/>
  </r>
  <r>
    <x v="14"/>
    <x v="8"/>
    <n v="408839.28125"/>
    <n v="0.91315466165542603"/>
    <n v="0"/>
    <n v="2.2374654640012999"/>
    <n v="2.4502590393012693"/>
    <n v="2.7367399851057801E-2"/>
    <n v="-1.9566343948245E-3"/>
    <n v="-3.9646578952670002E-3"/>
    <n v="2.3589022621512301E-2"/>
    <n v="-6.6744294017552896E-3"/>
    <b v="0"/>
    <b v="1"/>
    <b v="0"/>
    <b v="1"/>
  </r>
  <r>
    <x v="14"/>
    <x v="9"/>
    <n v="412001.3125"/>
    <n v="0.91583830118179299"/>
    <n v="3.0000000000000001E-3"/>
    <n v="2.3637618257095401"/>
    <n v="2.5809816237859393"/>
    <n v="5.6446172573490501E-2"/>
    <n v="2.3589022621512301E-2"/>
    <n v="-6.6744294017552896E-3"/>
    <n v="1.54587778151035E-2"/>
    <n v="2.3052208125591001E-3"/>
    <b v="0"/>
    <b v="1"/>
    <b v="0"/>
    <b v="0"/>
  </r>
  <r>
    <x v="14"/>
    <x v="10"/>
    <n v="414101.71875"/>
    <n v="0.91160827875137296"/>
    <n v="0"/>
    <n v="2.3048075271484998"/>
    <n v="2.528287183070987"/>
    <n v="-2.4940879372796099E-2"/>
    <n v="1.54587778151035E-2"/>
    <n v="2.3052208125591001E-3"/>
    <n v="3.3272036999464003E-2"/>
    <n v="3.0482463538646701E-2"/>
    <b v="1"/>
    <b v="0"/>
    <b v="1"/>
    <b v="0"/>
  </r>
  <r>
    <x v="14"/>
    <x v="11"/>
    <n v="414155.5"/>
    <n v="0.87499415874481201"/>
    <n v="0"/>
    <n v="2.2668504901960702"/>
    <n v="2.5907035693219829"/>
    <n v="-1.64686363200932E-2"/>
    <n v="3.3272036999464003E-2"/>
    <n v="3.0482463538646701E-2"/>
    <n v="-3.8698090016841902E-3"/>
    <n v="-1.3004831969737901E-2"/>
    <b v="1"/>
    <b v="0"/>
    <b v="1"/>
    <b v="0"/>
  </r>
  <r>
    <x v="14"/>
    <x v="12"/>
    <n v="410440"/>
    <n v="0.88110816478729204"/>
    <n v="0"/>
    <n v="2.2644956314535301"/>
    <n v="2.5700540772995799"/>
    <n v="-1.03882402157914E-3"/>
    <n v="-3.8698090016841902E-3"/>
    <n v="-1.3004831969737901E-2"/>
    <n v="1.18906378448009E-2"/>
    <n v="-5.9105567634106003E-3"/>
    <b v="0"/>
    <b v="0"/>
    <b v="0"/>
    <b v="0"/>
  </r>
  <r>
    <x v="14"/>
    <x v="13"/>
    <n v="409984"/>
    <n v="0.88785505294799805"/>
    <n v="3.0000000000000001E-3"/>
    <n v="2.3449246917267499"/>
    <n v="2.6411120643406338"/>
    <n v="3.5517427879335997E-2"/>
    <n v="1.18906378448009E-2"/>
    <n v="-5.9105567634106003E-3"/>
    <n v="-1.08371756626293E-2"/>
    <n v="-2.96863660914823E-2"/>
    <b v="0"/>
    <b v="1"/>
    <b v="0"/>
    <b v="0"/>
  </r>
  <r>
    <x v="14"/>
    <x v="14"/>
    <n v="409027.59375"/>
    <n v="0.89026683568954501"/>
    <n v="2.1999999999999999E-2"/>
    <n v="2.18177920685959"/>
    <n v="2.4507025527573654"/>
    <n v="-6.9573869661045298E-2"/>
    <n v="-1.08371756626293E-2"/>
    <n v="-2.96863660914823E-2"/>
    <n v="4.6491048038005897E-3"/>
    <n v="-3.8940507918596302E-2"/>
    <b v="0"/>
    <b v="0"/>
    <b v="0"/>
    <b v="0"/>
  </r>
  <r>
    <x v="14"/>
    <x v="15"/>
    <n v="407556.21875"/>
    <n v="0.89242607355117798"/>
    <n v="1.2999999999999999E-2"/>
    <n v="2.2277872404648398"/>
    <n v="2.4963269300278719"/>
    <n v="2.1087392097514601E-2"/>
    <n v="4.6491048038005897E-3"/>
    <n v="-3.8940507918596302E-2"/>
    <n v="-4.56432829797268E-2"/>
    <n v="-1.35397762060164E-2"/>
    <b v="0"/>
    <b v="1"/>
    <b v="0"/>
    <b v="0"/>
  </r>
  <r>
    <x v="14"/>
    <x v="16"/>
    <n v="407656.71875"/>
    <n v="0.87179940938949596"/>
    <n v="3.5000000000000003E-2"/>
    <n v="2.4474559493169599"/>
    <n v="2.8073613298624109"/>
    <n v="9.8603989134207301E-2"/>
    <n v="-4.56432829797268E-2"/>
    <n v="-1.30610726773739E-2"/>
    <n v="7.0498969554900898E-3"/>
    <n v="2.6608824729919399E-2"/>
    <b v="0"/>
    <b v="1"/>
    <b v="0"/>
    <b v="1"/>
  </r>
  <r>
    <x v="15"/>
    <x v="0"/>
    <n v="252427"/>
    <n v="0.94425231218338002"/>
    <n v="0"/>
    <n v="1.9634297655586701"/>
    <n v="2.0793486446632699"/>
    <n v="3.0489922446006502E-2"/>
    <n v="3.7504512071610103E-4"/>
    <n v="-5.98799437284469E-3"/>
    <n v="3.4193350970744998E-3"/>
    <n v="4.3410910293459996E-3"/>
    <b v="0"/>
    <b v="1"/>
    <b v="0"/>
    <b v="0"/>
  </r>
  <r>
    <x v="15"/>
    <x v="1"/>
    <n v="252461.59375"/>
    <n v="0.94291114807128895"/>
    <n v="1E-3"/>
    <n v="2.02671891699323"/>
    <n v="2.1494272510605628"/>
    <n v="3.2233977779463498E-2"/>
    <n v="3.4193350970744998E-3"/>
    <n v="4.3410910293459996E-3"/>
    <n v="-3.0697911337018002E-2"/>
    <n v="-1.1871070601046001E-3"/>
    <b v="0"/>
    <b v="0"/>
    <b v="0"/>
    <b v="0"/>
  </r>
  <r>
    <x v="15"/>
    <x v="2"/>
    <n v="252448.703125"/>
    <n v="0.94226413965225198"/>
    <n v="0"/>
    <n v="1.96595089972573"/>
    <n v="2.0864116726879529"/>
    <n v="-2.9983446030913002E-2"/>
    <n v="-3.0697911337018002E-2"/>
    <n v="-1.1871070601046001E-3"/>
    <n v="-2.60510656088591E-2"/>
    <n v="5.1563605666155E-4"/>
    <b v="0"/>
    <b v="0"/>
    <b v="0"/>
    <b v="0"/>
  </r>
  <r>
    <x v="15"/>
    <x v="3"/>
    <n v="252074.09375"/>
    <n v="0.94276583194732699"/>
    <n v="0"/>
    <n v="2.0479360417686401"/>
    <n v="2.1722637503085283"/>
    <n v="4.17025379699687E-2"/>
    <n v="-2.60510656088591E-2"/>
    <n v="5.1563605666155E-4"/>
    <n v="9.7847372293499699E-5"/>
    <n v="9.5579561311751795E-3"/>
    <b v="0"/>
    <b v="0"/>
    <b v="0"/>
    <b v="1"/>
  </r>
  <r>
    <x v="15"/>
    <x v="4"/>
    <n v="251653.3125"/>
    <n v="0.94253849983215299"/>
    <n v="2E-3"/>
    <n v="2.1810751544953102"/>
    <n v="2.3140435694496464"/>
    <n v="6.5011362665258005E-2"/>
    <n v="9.7847372293499699E-5"/>
    <n v="9.5579561311751795E-3"/>
    <n v="-2.4505189497023801E-2"/>
    <n v="-3.22141498327252E-3"/>
    <b v="0"/>
    <b v="0"/>
    <b v="0"/>
    <b v="0"/>
  </r>
  <r>
    <x v="15"/>
    <x v="5"/>
    <n v="251312.390625"/>
    <n v="0.94513255357742298"/>
    <n v="0"/>
    <n v="2.0326762170385302"/>
    <n v="2.1506784517628175"/>
    <n v="-6.8039350753648795E-2"/>
    <n v="-2.4505189497023801E-2"/>
    <n v="-3.22141498327252E-3"/>
    <n v="-1.54846145808696E-2"/>
    <n v="-1.0046408511698199E-2"/>
    <b v="0"/>
    <b v="0"/>
    <b v="0"/>
    <b v="0"/>
  </r>
  <r>
    <x v="15"/>
    <x v="6"/>
    <n v="251091.90625"/>
    <n v="0.94749015569686901"/>
    <n v="0"/>
    <n v="2.09841502694773"/>
    <n v="2.2147090545804855"/>
    <n v="3.2341013958911702E-2"/>
    <n v="-1.54846145808696E-2"/>
    <n v="-1.01320073008537E-2"/>
    <n v="-4.3961222842335904E-3"/>
    <n v="-1.0522893629968199E-2"/>
    <b v="0"/>
    <b v="1"/>
    <b v="0"/>
    <b v="1"/>
  </r>
  <r>
    <x v="15"/>
    <x v="7"/>
    <n v="251070.6875"/>
    <n v="0.949990093708038"/>
    <n v="0"/>
    <n v="2.0998171717881999"/>
    <n v="2.2103569139253993"/>
    <n v="6.6819233681767105E-4"/>
    <n v="-4.3961222842335904E-3"/>
    <n v="-1.0522893629968199E-2"/>
    <n v="-5.4639663398265998E-3"/>
    <n v="-7.4719898402691E-3"/>
    <b v="0"/>
    <b v="1"/>
    <b v="0"/>
    <b v="1"/>
  </r>
  <r>
    <x v="15"/>
    <x v="8"/>
    <n v="250880"/>
    <n v="0.95105236768722501"/>
    <n v="0"/>
    <n v="2.1182287591926099"/>
    <n v="2.2272472380713708"/>
    <n v="8.7681859410336706E-3"/>
    <n v="-5.4639663398265998E-3"/>
    <n v="-7.4719898402691E-3"/>
    <n v="1.9537909120321301E-2"/>
    <n v="-1.07255429029463E-2"/>
    <b v="0"/>
    <b v="1"/>
    <b v="0"/>
    <b v="1"/>
  </r>
  <r>
    <x v="15"/>
    <x v="9"/>
    <n v="249969.796875"/>
    <n v="0.94890671968460105"/>
    <n v="4.0000000000000001E-3"/>
    <n v="2.0478079875113799"/>
    <n v="2.1580709094272548"/>
    <n v="-3.3245121130388799E-2"/>
    <n v="1.9537909120321301E-2"/>
    <n v="-1.07255429029463E-2"/>
    <n v="3.2644479423760901E-3"/>
    <n v="-9.8891090601682993E-3"/>
    <b v="0"/>
    <b v="0"/>
    <b v="1"/>
    <b v="0"/>
  </r>
  <r>
    <x v="15"/>
    <x v="10"/>
    <n v="249078.40625"/>
    <n v="0.95611733198165905"/>
    <n v="-3.0000000000000001E-3"/>
    <n v="2.1492542090775202"/>
    <n v="2.2478979694081613"/>
    <n v="4.9538932451095703E-2"/>
    <n v="3.2644479423760901E-3"/>
    <n v="-9.8891090601682993E-3"/>
    <n v="-6.4766186326742003E-3"/>
    <n v="-9.2661920934914901E-3"/>
    <b v="0"/>
    <b v="1"/>
    <b v="0"/>
    <b v="0"/>
  </r>
  <r>
    <x v="15"/>
    <x v="11"/>
    <n v="248560.8125"/>
    <n v="0.95067286491393999"/>
    <n v="0"/>
    <n v="1.9693150152290799"/>
    <n v="2.0714959771228485"/>
    <n v="-8.3721689639342595E-2"/>
    <n v="-6.4766186326742003E-3"/>
    <n v="-9.2661920934914901E-3"/>
    <n v="-1.14500995501876E-2"/>
    <n v="-2.0585122518241399E-2"/>
    <b v="0"/>
    <b v="0"/>
    <b v="0"/>
    <b v="0"/>
  </r>
  <r>
    <x v="15"/>
    <x v="12"/>
    <n v="248150.5"/>
    <n v="0.95918387174606301"/>
    <n v="1.4E-2"/>
    <n v="1.92433191788257"/>
    <n v="2.0062179677600156"/>
    <n v="-2.2842001913685999E-2"/>
    <n v="-1.14500995501876E-2"/>
    <n v="-2.0585122518241399E-2"/>
    <n v="3.0684332996607001E-3"/>
    <n v="-1.47327613085508E-2"/>
    <b v="0"/>
    <b v="0"/>
    <b v="0"/>
    <b v="0"/>
  </r>
  <r>
    <x v="15"/>
    <x v="13"/>
    <n v="247385.296875"/>
    <n v="0.96745896339416504"/>
    <n v="3.2000000000000001E-2"/>
    <n v="1.9869809341642499"/>
    <n v="2.0538141764620854"/>
    <n v="3.25562423506515E-2"/>
    <n v="3.0684332996607001E-3"/>
    <n v="-1.47327613085508E-2"/>
    <n v="5.8741756826638999E-3"/>
    <n v="-1.29750147461891E-2"/>
    <b v="0"/>
    <b v="1"/>
    <b v="0"/>
    <b v="0"/>
  </r>
  <r>
    <x v="15"/>
    <x v="14"/>
    <n v="246558.203125"/>
    <n v="0.971233010292053"/>
    <n v="8.9999999999999993E-3"/>
    <n v="1.9311541377500401"/>
    <n v="1.9883530700519905"/>
    <n v="-2.8096291944385302E-2"/>
    <n v="5.8741756826638999E-3"/>
    <n v="-1.29750147461891E-2"/>
    <n v="6.9817739725110096E-4"/>
    <n v="-4.2891435325145798E-2"/>
    <b v="0"/>
    <b v="0"/>
    <b v="1"/>
    <b v="0"/>
  </r>
  <r>
    <x v="16"/>
    <x v="0"/>
    <n v="1100865"/>
    <n v="0.91405725479125999"/>
    <n v="4.0000000000000001E-3"/>
    <n v="2.2076999140551998"/>
    <n v="2.415275304126725"/>
    <n v="-3.7665469313473803E-2"/>
    <n v="2.9463214457035099E-2"/>
    <n v="2.3100174963474301E-2"/>
    <n v="-4.6018873304129E-3"/>
    <n v="-3.6801313981413902E-3"/>
    <b v="1"/>
    <b v="0"/>
    <b v="1"/>
    <b v="0"/>
  </r>
  <r>
    <x v="16"/>
    <x v="1"/>
    <n v="1109710"/>
    <n v="0.90303713083267201"/>
    <n v="0.03"/>
    <n v="2.2096594491419199"/>
    <n v="2.4469198150295752"/>
    <n v="8.8759123205383998E-4"/>
    <n v="-4.6018873304129E-3"/>
    <n v="-3.6801313981413902E-3"/>
    <n v="-5.1956232927739598E-2"/>
    <n v="-2.2445428650826101E-2"/>
    <b v="0"/>
    <b v="1"/>
    <b v="0"/>
    <b v="1"/>
  </r>
  <r>
    <x v="16"/>
    <x v="2"/>
    <n v="1119191"/>
    <n v="0.90070617198944103"/>
    <n v="2E-3"/>
    <n v="2.2345405825914"/>
    <n v="2.4808762858323075"/>
    <n v="1.1260166565097001E-2"/>
    <n v="-5.1956232927739598E-2"/>
    <n v="-2.2445428650826101E-2"/>
    <n v="-2.79386832416058E-2"/>
    <n v="-1.3719815760851401E-3"/>
    <b v="0"/>
    <b v="1"/>
    <b v="0"/>
    <b v="1"/>
  </r>
  <r>
    <x v="16"/>
    <x v="3"/>
    <n v="1126366"/>
    <n v="0.90403270721435502"/>
    <n v="1.0999999999999999E-2"/>
    <n v="2.27500078866841"/>
    <n v="2.5165027443293431"/>
    <n v="1.8106722425279199E-2"/>
    <n v="-2.79386832416058E-2"/>
    <n v="-1.3719815760851401E-3"/>
    <n v="-1.0214449077844599E-2"/>
    <n v="-7.5434031896293499E-4"/>
    <b v="0"/>
    <b v="1"/>
    <b v="0"/>
    <b v="1"/>
  </r>
  <r>
    <x v="16"/>
    <x v="4"/>
    <n v="1130535"/>
    <n v="0.91348785161972001"/>
    <n v="1.2999999999999999E-2"/>
    <n v="2.2350750640178001"/>
    <n v="2.4467485364526222"/>
    <n v="-1.7549762993257501E-2"/>
    <n v="-1.0214449077844599E-2"/>
    <n v="-7.5434031896293499E-4"/>
    <n v="-2.6721088558435399E-2"/>
    <n v="-5.4373140446841396E-3"/>
    <b v="0"/>
    <b v="0"/>
    <b v="0"/>
    <b v="0"/>
  </r>
  <r>
    <x v="16"/>
    <x v="5"/>
    <n v="1135198"/>
    <n v="0.91710197925567605"/>
    <n v="5.0000000000000001E-3"/>
    <n v="2.27101739757877"/>
    <n v="2.4762975644452729"/>
    <n v="1.6081040918756302E-2"/>
    <n v="-2.6721088558435399E-2"/>
    <n v="-5.4373140446841396E-3"/>
    <n v="-9.0068926140666004E-3"/>
    <n v="-3.5686865448951999E-3"/>
    <b v="0"/>
    <b v="1"/>
    <b v="0"/>
    <b v="1"/>
  </r>
  <r>
    <x v="16"/>
    <x v="6"/>
    <n v="1141482"/>
    <n v="0.91125470399856601"/>
    <n v="8.0000000000000002E-3"/>
    <n v="2.2468693562590398"/>
    <n v="2.4656875255620911"/>
    <n v="-1.0633137969557799E-2"/>
    <n v="-9.0068926140666004E-3"/>
    <n v="-3.6542853340507E-3"/>
    <n v="1.0949155911803199E-2"/>
    <n v="4.8223845660685999E-3"/>
    <b v="0"/>
    <b v="0"/>
    <b v="0"/>
    <b v="0"/>
  </r>
  <r>
    <x v="16"/>
    <x v="7"/>
    <n v="1148346"/>
    <n v="0.90932363271713301"/>
    <n v="8.9999999999999993E-3"/>
    <n v="2.25488676292556"/>
    <n v="2.4797406355620328"/>
    <n v="3.5682567142496101E-3"/>
    <n v="1.0949155911803199E-2"/>
    <n v="4.8223845660685999E-3"/>
    <n v="-8.8570669144392E-3"/>
    <n v="-1.0865090414881699E-2"/>
    <b v="0"/>
    <b v="0"/>
    <b v="0"/>
    <b v="0"/>
  </r>
  <r>
    <x v="16"/>
    <x v="8"/>
    <n v="1153943"/>
    <n v="0.89627039432525601"/>
    <n v="1.9E-2"/>
    <n v="2.3354982268270601"/>
    <n v="2.6057964667965026"/>
    <n v="3.5749672767121099E-2"/>
    <n v="-8.8570669144392E-3"/>
    <n v="-1.0865090414881699E-2"/>
    <n v="2.2977395147085199E-2"/>
    <n v="-7.2860568761824902E-3"/>
    <b v="0"/>
    <b v="1"/>
    <b v="0"/>
    <b v="1"/>
  </r>
  <r>
    <x v="16"/>
    <x v="9"/>
    <n v="1159589"/>
    <n v="0.89189058542251598"/>
    <n v="1.2E-2"/>
    <n v="2.1543664622759402"/>
    <n v="2.4155053293396418"/>
    <n v="-7.7555941798851905E-2"/>
    <n v="2.2977395147085199E-2"/>
    <n v="-7.2860568761824902E-3"/>
    <n v="6.9969094246626002E-3"/>
    <n v="-6.1566475778817896E-3"/>
    <b v="0"/>
    <b v="0"/>
    <b v="1"/>
    <b v="0"/>
  </r>
  <r>
    <x v="16"/>
    <x v="10"/>
    <n v="1164841"/>
    <n v="0.88933527469634999"/>
    <n v="2.7E-2"/>
    <n v="2.1897411864304202"/>
    <n v="2.4622223459854036"/>
    <n v="1.6420012460236499E-2"/>
    <n v="6.9969094246626002E-3"/>
    <n v="-6.1566475778817896E-3"/>
    <n v="-1.1895711570978E-3"/>
    <n v="-3.9791446179150902E-3"/>
    <b v="0"/>
    <b v="1"/>
    <b v="0"/>
    <b v="0"/>
  </r>
  <r>
    <x v="16"/>
    <x v="11"/>
    <n v="1169507"/>
    <n v="0.89937084913253795"/>
    <n v="5.0000000000000001E-3"/>
    <n v="2.1532808324330399"/>
    <n v="2.3942079449316425"/>
    <n v="-1.66505312241109E-2"/>
    <n v="-1.1895711570978E-3"/>
    <n v="-3.9791446179150902E-3"/>
    <n v="3.3183776050805899E-2"/>
    <n v="2.40487530827522E-2"/>
    <b v="0"/>
    <b v="0"/>
    <b v="0"/>
    <b v="0"/>
  </r>
  <r>
    <x v="16"/>
    <x v="12"/>
    <n v="1174202"/>
    <n v="0.91259330511093095"/>
    <n v="0"/>
    <n v="2.1830458969745701"/>
    <n v="2.392134464222492"/>
    <n v="1.38231224154348E-2"/>
    <n v="3.3183776050805899E-2"/>
    <n v="2.40487530827522E-2"/>
    <n v="2.2254656225442902E-2"/>
    <n v="4.4534616172313898E-3"/>
    <b v="0"/>
    <b v="0"/>
    <b v="0"/>
    <b v="0"/>
  </r>
  <r>
    <x v="16"/>
    <x v="13"/>
    <n v="1178841"/>
    <n v="0.91269820928573597"/>
    <n v="0"/>
    <n v="2.1558943793748702"/>
    <n v="2.362110889931559"/>
    <n v="-1.24374469805407E-2"/>
    <n v="2.2254656225442902E-2"/>
    <n v="4.4534616172313898E-3"/>
    <n v="1.8849190428853E-2"/>
    <n v="0"/>
    <b v="1"/>
    <b v="0"/>
    <b v="1"/>
    <b v="0"/>
  </r>
  <r>
    <x v="16"/>
    <x v="14"/>
    <n v="1181616"/>
    <n v="0.90743291378021196"/>
    <n v="1.2999999999999999E-2"/>
    <n v="1.93372237149038"/>
    <n v="2.1309810809427439"/>
    <n v="-0.10305328962771799"/>
    <n v="1.8849190428853E-2"/>
    <n v="0"/>
    <n v="4.5810764908790602E-2"/>
    <n v="2.2211521863936901E-3"/>
    <b v="0"/>
    <b v="0"/>
    <b v="1"/>
    <b v="0"/>
  </r>
  <r>
    <x v="16"/>
    <x v="15"/>
    <n v="1180936"/>
    <n v="0.91671782732009899"/>
    <n v="1.6E-2"/>
    <n v="2.1449586315340801"/>
    <n v="2.3398242813762851"/>
    <n v="0.10923815287966999"/>
    <n v="4.5810764908790602E-2"/>
    <n v="2.2211521863936901E-3"/>
    <n v="-4.53510861098766E-2"/>
    <n v="-1.32475793361662E-2"/>
    <b v="0"/>
    <b v="0"/>
    <b v="0"/>
    <b v="0"/>
  </r>
  <r>
    <x v="16"/>
    <x v="16"/>
    <n v="1182311"/>
    <n v="0.89364254474639904"/>
    <n v="1.2999999999999999E-2"/>
    <n v="2.11665898683869"/>
    <n v="2.3685745483831715"/>
    <n v="-1.3193562001310799E-2"/>
    <n v="-4.53510861098766E-2"/>
    <n v="-1.27688758075237E-2"/>
    <n v="-3.2693284362554503E-2"/>
    <n v="-1.3134356588125199E-2"/>
    <b v="0"/>
    <b v="0"/>
    <b v="0"/>
    <b v="0"/>
  </r>
  <r>
    <x v="17"/>
    <x v="0"/>
    <n v="180268.796875"/>
    <n v="0.889248847961426"/>
    <n v="0"/>
    <n v="2.1355093966369898"/>
    <n v="2.4014755841771125"/>
    <n v="-2.12957881793693E-2"/>
    <n v="-1.19688477069139E-2"/>
    <n v="-1.83318872004746E-2"/>
    <n v="-8.4916845858097004E-3"/>
    <n v="-7.5699286535382002E-3"/>
    <b v="0"/>
    <b v="0"/>
    <b v="0"/>
    <b v="0"/>
  </r>
  <r>
    <x v="17"/>
    <x v="1"/>
    <n v="182362"/>
    <n v="0.88890135288238503"/>
    <n v="1.4999999999999999E-2"/>
    <n v="2.0379880408019599"/>
    <n v="2.2927043976179169"/>
    <n v="-4.5666554307183103E-2"/>
    <n v="-8.4916845858097004E-3"/>
    <n v="-7.5699286535382002E-3"/>
    <n v="-2.35974745005368E-2"/>
    <n v="5.9133297763764997E-3"/>
    <b v="0"/>
    <b v="0"/>
    <b v="0"/>
    <b v="0"/>
  </r>
  <r>
    <x v="17"/>
    <x v="2"/>
    <n v="183992.59375"/>
    <n v="0.90368229150772095"/>
    <n v="0"/>
    <n v="2.00652428768031"/>
    <n v="2.2203868622152441"/>
    <n v="-1.54386348161682E-2"/>
    <n v="-2.35974745005368E-2"/>
    <n v="5.9133297763764997E-3"/>
    <n v="-1.69112782031298E-2"/>
    <n v="9.6554234623908494E-3"/>
    <b v="1"/>
    <b v="0"/>
    <b v="0"/>
    <b v="0"/>
  </r>
  <r>
    <x v="17"/>
    <x v="3"/>
    <n v="185560.390625"/>
    <n v="0.90213316679000899"/>
    <n v="3.0000000000000001E-3"/>
    <n v="2.00013515948819"/>
    <n v="2.2171174202641466"/>
    <n v="-3.1841768531494299E-3"/>
    <n v="-1.69112782031298E-2"/>
    <n v="9.6554234623908494E-3"/>
    <n v="-1.5218927056062899E-2"/>
    <n v="-5.7588182971812802E-3"/>
    <b v="1"/>
    <b v="0"/>
    <b v="0"/>
    <b v="0"/>
  </r>
  <r>
    <x v="17"/>
    <x v="4"/>
    <n v="186669.5"/>
    <n v="0.90212339162826505"/>
    <n v="2E-3"/>
    <n v="2.0911321236902598"/>
    <n v="2.3180111979093274"/>
    <n v="4.5495407533034798E-2"/>
    <n v="-1.5218927056062899E-2"/>
    <n v="-5.7588182971812802E-3"/>
    <n v="-2.3841400973498801E-2"/>
    <n v="-2.5576264597475199E-3"/>
    <b v="0"/>
    <b v="1"/>
    <b v="0"/>
    <b v="1"/>
  </r>
  <r>
    <x v="17"/>
    <x v="5"/>
    <n v="187869.796875"/>
    <n v="0.91006618738174405"/>
    <n v="0"/>
    <n v="2.0314199667370798"/>
    <n v="2.2321672806913804"/>
    <n v="-2.8554942213694201E-2"/>
    <n v="-2.3841400973498801E-2"/>
    <n v="-2.5576264597475199E-3"/>
    <n v="-4.1439759582281004E-3"/>
    <n v="1.2942301109432901E-3"/>
    <b v="0"/>
    <b v="0"/>
    <b v="0"/>
    <b v="0"/>
  </r>
  <r>
    <x v="17"/>
    <x v="6"/>
    <n v="189735.703125"/>
    <n v="0.91123580932617199"/>
    <n v="8.0000000000000002E-3"/>
    <n v="2.2052582822356501"/>
    <n v="2.4200742109403754"/>
    <n v="8.5574779388324598E-2"/>
    <n v="-4.1439759582281004E-3"/>
    <n v="1.2086313217877899E-3"/>
    <n v="-6.1984084174036896E-3"/>
    <n v="-1.2325179763138299E-2"/>
    <b v="0"/>
    <b v="0"/>
    <b v="0"/>
    <b v="1"/>
  </r>
  <r>
    <x v="17"/>
    <x v="7"/>
    <n v="191063.40625"/>
    <n v="0.90751302242279097"/>
    <n v="0"/>
    <n v="2.22861260926167"/>
    <n v="2.4557362309930655"/>
    <n v="1.0590291039442999E-2"/>
    <n v="-6.1984084174036896E-3"/>
    <n v="-1.2325179763138299E-2"/>
    <n v="-6.7027268782258002E-3"/>
    <n v="-8.7107503786682996E-3"/>
    <b v="0"/>
    <b v="1"/>
    <b v="0"/>
    <b v="1"/>
  </r>
  <r>
    <x v="17"/>
    <x v="8"/>
    <n v="189999.6875"/>
    <n v="0.90718674659729004"/>
    <n v="0"/>
    <n v="2.26430865519229"/>
    <n v="2.4959675212246468"/>
    <n v="1.6017160533991399E-2"/>
    <n v="-6.7027268782258002E-3"/>
    <n v="-8.7107503786682996E-3"/>
    <n v="3.8115924000740099E-3"/>
    <n v="-2.6451859623193599E-2"/>
    <b v="0"/>
    <b v="1"/>
    <b v="0"/>
    <b v="1"/>
  </r>
  <r>
    <x v="17"/>
    <x v="9"/>
    <n v="189198.59375"/>
    <n v="0.92003619670867898"/>
    <n v="0"/>
    <n v="2.1539134783695899"/>
    <n v="2.3411181930395362"/>
    <n v="-4.87544737196281E-2"/>
    <n v="3.8115924000740099E-3"/>
    <n v="-2.6451859623193599E-2"/>
    <n v="4.7853573113679996E-3"/>
    <n v="-8.3681996911764006E-3"/>
    <b v="0"/>
    <b v="0"/>
    <b v="1"/>
    <b v="0"/>
  </r>
  <r>
    <x v="17"/>
    <x v="10"/>
    <n v="188945.6875"/>
    <n v="0.92123806476592995"/>
    <n v="0"/>
    <n v="2.08736437124454"/>
    <n v="2.2658251445297171"/>
    <n v="-3.08968339691271E-2"/>
    <n v="4.7853573113679996E-3"/>
    <n v="-8.3681996911764006E-3"/>
    <n v="-3.4258996419608598E-2"/>
    <n v="-3.7048569880425798E-2"/>
    <b v="0"/>
    <b v="0"/>
    <b v="1"/>
    <b v="0"/>
  </r>
  <r>
    <x v="17"/>
    <x v="11"/>
    <n v="188297.109375"/>
    <n v="0.92727810144424405"/>
    <n v="5.0000000000000001E-3"/>
    <n v="2.2328925693424102"/>
    <n v="2.4080074422815114"/>
    <n v="6.9718636622654206E-2"/>
    <n v="-3.4258996419608598E-2"/>
    <n v="-3.7048569880425798E-2"/>
    <n v="4.0276872217655003E-3"/>
    <n v="-5.10733574628829E-3"/>
    <b v="0"/>
    <b v="1"/>
    <b v="0"/>
    <b v="1"/>
  </r>
  <r>
    <x v="17"/>
    <x v="12"/>
    <n v="187542.609375"/>
    <n v="0.91305947303771995"/>
    <n v="0"/>
    <n v="2.0018831585705099"/>
    <n v="2.1925002890669409"/>
    <n v="-0.103457467655927"/>
    <n v="4.0276872217655003E-3"/>
    <n v="-5.10733574628829E-3"/>
    <n v="1.20635416060686E-2"/>
    <n v="-5.7376530021429001E-3"/>
    <b v="0"/>
    <b v="0"/>
    <b v="1"/>
    <b v="0"/>
  </r>
  <r>
    <x v="17"/>
    <x v="13"/>
    <n v="186587.296875"/>
    <n v="0.92973595857620195"/>
    <n v="0"/>
    <n v="2.18900299529311"/>
    <n v="2.35443512225272"/>
    <n v="9.34719071497742E-2"/>
    <n v="1.20635416060686E-2"/>
    <n v="-5.7376530021429001E-3"/>
    <n v="1.94342901110648E-2"/>
    <n v="5.8509968221189597E-4"/>
    <b v="0"/>
    <b v="1"/>
    <b v="0"/>
    <b v="0"/>
  </r>
  <r>
    <x v="17"/>
    <x v="14"/>
    <n v="186724.390625"/>
    <n v="0.95507681369781505"/>
    <n v="2.5999999999999999E-2"/>
    <n v="1.82752030578117"/>
    <n v="1.9134799207463482"/>
    <n v="-0.165135767419784"/>
    <n v="1.94342901110648E-2"/>
    <n v="5.8509968221189597E-4"/>
    <n v="8.2428371787071006E-2"/>
    <n v="3.88387590646741E-2"/>
    <b v="1"/>
    <b v="0"/>
    <b v="1"/>
    <b v="0"/>
  </r>
  <r>
    <x v="17"/>
    <x v="15"/>
    <n v="186802.3125"/>
    <n v="0.97779750823974598"/>
    <n v="0"/>
    <n v="1.9849287648651801"/>
    <n v="2.0299998191225659"/>
    <n v="8.6132262709236102E-2"/>
    <n v="8.2428371787071006E-2"/>
    <n v="3.88387590646741E-2"/>
    <n v="-1.87816414237022E-2"/>
    <n v="1.3321865350008099E-2"/>
    <b v="0"/>
    <b v="0"/>
    <b v="0"/>
    <b v="0"/>
  </r>
  <r>
    <x v="17"/>
    <x v="16"/>
    <n v="186856.203125"/>
    <n v="0.96691936254501298"/>
    <n v="0"/>
    <n v="1.7791708975321101"/>
    <n v="1.840040613985827"/>
    <n v="-0.103660076358982"/>
    <n v="-1.87816414237022E-2"/>
    <n v="1.38005688786507E-2"/>
    <n v="4.7734537363052297E-2"/>
    <n v="6.7293465137481606E-2"/>
    <b v="1"/>
    <b v="0"/>
    <b v="0"/>
    <b v="0"/>
  </r>
  <r>
    <x v="18"/>
    <x v="0"/>
    <n v="152990.40625"/>
    <n v="0.91705739498138406"/>
    <n v="4.0000000000000001E-3"/>
    <n v="2.0058768087819399"/>
    <n v="2.1872969126677817"/>
    <n v="6.6528767233141106E-2"/>
    <n v="-1.1777038097381599E-2"/>
    <n v="-1.81400775909423E-2"/>
    <n v="-6.2738870233296998E-3"/>
    <n v="-5.3521310910581996E-3"/>
    <b v="0"/>
    <b v="1"/>
    <b v="0"/>
    <b v="1"/>
  </r>
  <r>
    <x v="18"/>
    <x v="1"/>
    <n v="154804"/>
    <n v="0.92467647790908802"/>
    <n v="1E-3"/>
    <n v="2.1276266010301201"/>
    <n v="2.300941628623653"/>
    <n v="6.0696545129365197E-2"/>
    <n v="-6.2738870233296998E-3"/>
    <n v="-5.3521310910581996E-3"/>
    <n v="-2.3818223096430301E-2"/>
    <n v="5.6925811804831002E-3"/>
    <b v="0"/>
    <b v="1"/>
    <b v="0"/>
    <b v="1"/>
  </r>
  <r>
    <x v="18"/>
    <x v="2"/>
    <n v="156589.59375"/>
    <n v="0.93334490060806297"/>
    <n v="6.0000000000000001E-3"/>
    <n v="1.8175446049277799"/>
    <n v="1.9473450851273431"/>
    <n v="-0.14574079678840901"/>
    <n v="-2.3818223096430301E-2"/>
    <n v="5.6925811804831002E-3"/>
    <n v="-1.6261537283658999E-2"/>
    <n v="1.03051643818616E-2"/>
    <b v="1"/>
    <b v="0"/>
    <b v="0"/>
    <b v="0"/>
  </r>
  <r>
    <x v="18"/>
    <x v="3"/>
    <n v="158375.109375"/>
    <n v="0.930988550186157"/>
    <n v="1E-3"/>
    <n v="2.0782692850518099"/>
    <n v="2.2323252897538288"/>
    <n v="0.143448848197259"/>
    <n v="-1.6261537283658999E-2"/>
    <n v="1.03051643818616E-2"/>
    <n v="-1.39796754196286E-2"/>
    <n v="-4.5195666607469303E-3"/>
    <b v="0"/>
    <b v="0"/>
    <b v="0"/>
    <b v="1"/>
  </r>
  <r>
    <x v="18"/>
    <x v="4"/>
    <n v="160151.796875"/>
    <n v="0.93025285005569502"/>
    <n v="0.02"/>
    <n v="1.99401864532629"/>
    <n v="2.1435232853163595"/>
    <n v="-4.0538846592934497E-2"/>
    <n v="-1.39796754196286E-2"/>
    <n v="-4.5195666607469303E-3"/>
    <n v="-2.34561240002512E-2"/>
    <n v="-2.1723494864999901E-3"/>
    <b v="0"/>
    <b v="0"/>
    <b v="0"/>
    <b v="0"/>
  </r>
  <r>
    <x v="18"/>
    <x v="5"/>
    <n v="160840.296875"/>
    <n v="0.93769735097885099"/>
    <n v="1.0999999999999999E-2"/>
    <n v="1.8364938552942101"/>
    <n v="1.9585144965772978"/>
    <n v="-7.8998654501700002E-2"/>
    <n v="-2.34561240002512E-2"/>
    <n v="-2.1723494864999901E-3"/>
    <n v="-3.8518070280552002E-3"/>
    <n v="1.5863990411161899E-3"/>
    <b v="0"/>
    <b v="0"/>
    <b v="0"/>
    <b v="0"/>
  </r>
  <r>
    <x v="18"/>
    <x v="6"/>
    <n v="161028.5"/>
    <n v="0.94823437929153398"/>
    <n v="0"/>
    <n v="1.9327294685990299"/>
    <n v="2.0382402397633523"/>
    <n v="5.2401816116832499E-2"/>
    <n v="-3.8518070280552002E-3"/>
    <n v="1.50080025196069E-3"/>
    <n v="-5.2392774820327701E-3"/>
    <n v="-1.1366048827767299E-2"/>
    <b v="0"/>
    <b v="0"/>
    <b v="0"/>
    <b v="1"/>
  </r>
  <r>
    <x v="18"/>
    <x v="7"/>
    <n v="160806.59375"/>
    <n v="0.95230561494827304"/>
    <n v="7.0000000000000001E-3"/>
    <n v="1.89744178042904"/>
    <n v="1.9924714825209808"/>
    <n v="-1.82579552613568E-2"/>
    <n v="-5.2392774820327701E-3"/>
    <n v="-1.1366048827767299E-2"/>
    <n v="-1.6737257243599701E-2"/>
    <n v="-1.8745280744042199E-2"/>
    <b v="0"/>
    <b v="0"/>
    <b v="0"/>
    <b v="0"/>
  </r>
  <r>
    <x v="18"/>
    <x v="8"/>
    <n v="161112"/>
    <n v="0.93764626979827903"/>
    <n v="5.0000000000000001E-3"/>
    <n v="2.0804307039725898"/>
    <n v="2.218779907715267"/>
    <n v="9.6439809342749705E-2"/>
    <n v="-1.6737257243599701E-2"/>
    <n v="-1.8745280744042199E-2"/>
    <n v="2.01267601698637E-2"/>
    <n v="-1.0136691853403899E-2"/>
    <b v="0"/>
    <b v="1"/>
    <b v="0"/>
    <b v="1"/>
  </r>
  <r>
    <x v="18"/>
    <x v="9"/>
    <n v="161201.796875"/>
    <n v="0.95414769649505604"/>
    <n v="1.2999999999999999E-2"/>
    <n v="2.02693114013868"/>
    <n v="2.1243368794835034"/>
    <n v="-2.5715619237760098E-2"/>
    <n v="2.01267601698637E-2"/>
    <n v="-1.0136691853403899E-2"/>
    <n v="2.10782441198826E-2"/>
    <n v="7.9246871173381996E-3"/>
    <b v="0"/>
    <b v="0"/>
    <b v="1"/>
    <b v="0"/>
  </r>
  <r>
    <x v="18"/>
    <x v="10"/>
    <n v="161783.09375"/>
    <n v="0.952448129653931"/>
    <n v="2.7E-2"/>
    <n v="2.08933492370336"/>
    <n v="2.193646938508361"/>
    <n v="3.0787322928203398E-2"/>
    <n v="2.10782441198826E-2"/>
    <n v="7.9246871173381996E-3"/>
    <n v="-5.2104055881501501E-5"/>
    <n v="-2.84167751669879E-3"/>
    <b v="0"/>
    <b v="0"/>
    <b v="0"/>
    <b v="0"/>
  </r>
  <r>
    <x v="18"/>
    <x v="11"/>
    <n v="161725.40625"/>
    <n v="0.96468251943588301"/>
    <n v="-1.2E-2"/>
    <n v="2.1079887148266301"/>
    <n v="2.1851631727081751"/>
    <n v="8.9280999956705999E-3"/>
    <n v="-5.2104055881501501E-5"/>
    <n v="-2.84167751669879E-3"/>
    <n v="-8.5543485134839999E-3"/>
    <n v="-1.7689371481537701E-2"/>
    <b v="0"/>
    <b v="1"/>
    <b v="0"/>
    <b v="1"/>
  </r>
  <r>
    <x v="18"/>
    <x v="12"/>
    <n v="161608.3125"/>
    <n v="0.96478509902954102"/>
    <n v="1.2E-2"/>
    <n v="2.0452218430034099"/>
    <n v="2.1198729593363947"/>
    <n v="-2.9775715297597202E-2"/>
    <n v="-8.5543485134839999E-3"/>
    <n v="-1.7689371481537701E-2"/>
    <n v="1.55442461073399E-2"/>
    <n v="-2.2569485008716002E-3"/>
    <b v="0"/>
    <b v="0"/>
    <b v="0"/>
    <b v="0"/>
  </r>
  <r>
    <x v="18"/>
    <x v="13"/>
    <n v="161405.59375"/>
    <n v="0.97929996252059903"/>
    <n v="2E-3"/>
    <n v="2.11259679452548"/>
    <n v="2.1572519916041992"/>
    <n v="3.2942612926101102E-2"/>
    <n v="1.55442461073399E-2"/>
    <n v="-2.2569485008716002E-3"/>
    <n v="1.48529616296291E-2"/>
    <n v="-3.9962287992238998E-3"/>
    <b v="0"/>
    <b v="1"/>
    <b v="0"/>
    <b v="0"/>
  </r>
  <r>
    <x v="18"/>
    <x v="14"/>
    <n v="162162.203125"/>
    <n v="0.97475689649581898"/>
    <n v="2.4E-2"/>
    <n v="1.9809360974567201"/>
    <n v="2.0322360422152879"/>
    <n v="-6.2321734753144301E-2"/>
    <n v="1.48529616296291E-2"/>
    <n v="-3.9962287992238998E-3"/>
    <n v="-7.0417576730250897E-3"/>
    <n v="-5.0631370395422003E-2"/>
    <b v="0"/>
    <b v="0"/>
    <b v="1"/>
    <b v="0"/>
  </r>
  <r>
    <x v="18"/>
    <x v="15"/>
    <n v="162718.59375"/>
    <n v="0.98504269123077404"/>
    <n v="3.0000000000000001E-3"/>
    <n v="1.8882790584217499"/>
    <n v="1.9169514938102996"/>
    <n v="-4.6774370538213199E-2"/>
    <n v="-7.0417576730250897E-3"/>
    <n v="-5.0631370395422003E-2"/>
    <n v="-1.8428930938243899E-2"/>
    <n v="1.36745758354663E-2"/>
    <b v="0"/>
    <b v="0"/>
    <b v="0"/>
    <b v="0"/>
  </r>
  <r>
    <x v="18"/>
    <x v="16"/>
    <n v="162727.09375"/>
    <n v="0.97672778367996205"/>
    <n v="1.6E-2"/>
    <n v="1.8535508103220399"/>
    <n v="1.897714840606378"/>
    <n v="-1.83914808273851E-2"/>
    <n v="-1.8428930938243899E-2"/>
    <n v="1.4153279364108901E-2"/>
    <n v="-5.2733186483382901E-3"/>
    <n v="1.4285609126091E-2"/>
    <b v="1"/>
    <b v="0"/>
    <b v="0"/>
    <b v="0"/>
  </r>
  <r>
    <x v="19"/>
    <x v="0"/>
    <n v="575487.4375"/>
    <n v="0.95532393455505404"/>
    <n v="2.9000000000000001E-2"/>
    <n v="2.3766464121386601"/>
    <n v="2.4877911315449168"/>
    <n v="-6.4797736549123E-3"/>
    <n v="2.72684149742125E-2"/>
    <n v="2.09053754806518E-2"/>
    <n v="1.7820595860481198E-2"/>
    <n v="1.8742351792752798E-2"/>
    <b v="1"/>
    <b v="0"/>
    <b v="1"/>
    <b v="0"/>
  </r>
  <r>
    <x v="19"/>
    <x v="1"/>
    <n v="593548"/>
    <n v="0.94713830947875999"/>
    <n v="0.04"/>
    <n v="2.39691151210054"/>
    <n v="2.5306879556161506"/>
    <n v="8.5267626931692393E-3"/>
    <n v="1.7820595860481198E-2"/>
    <n v="1.8742351792752798E-2"/>
    <n v="-2.9953238844871499E-2"/>
    <n v="-4.4243456795811599E-4"/>
    <b v="0"/>
    <b v="0"/>
    <b v="0"/>
    <b v="0"/>
  </r>
  <r>
    <x v="19"/>
    <x v="2"/>
    <n v="605274.5"/>
    <n v="0.93383759260177601"/>
    <n v="2.3E-2"/>
    <n v="2.4732164420615299"/>
    <n v="2.6484438639601904"/>
    <n v="3.1834687920590299E-2"/>
    <n v="-2.9953238844871499E-2"/>
    <n v="-4.4243456795811599E-4"/>
    <n v="-5.8760762870311602E-2"/>
    <n v="-3.2194061204791E-2"/>
    <b v="0"/>
    <b v="1"/>
    <b v="0"/>
    <b v="1"/>
  </r>
  <r>
    <x v="19"/>
    <x v="3"/>
    <n v="613015.9375"/>
    <n v="0.92540818452835105"/>
    <n v="8.9999999999999993E-3"/>
    <n v="2.5213626150136901"/>
    <n v="2.7245951107496875"/>
    <n v="1.9467027686434799E-2"/>
    <n v="-5.8760762870311602E-2"/>
    <n v="-3.2194061204791E-2"/>
    <n v="-9.2619440369307998E-3"/>
    <n v="1.98164721950885E-4"/>
    <b v="0"/>
    <b v="1"/>
    <b v="0"/>
    <b v="1"/>
  </r>
  <r>
    <x v="19"/>
    <x v="4"/>
    <n v="620364.0625"/>
    <n v="0.93705278635025002"/>
    <n v="0"/>
    <n v="2.4343003286098699"/>
    <n v="2.5978262527677725"/>
    <n v="-3.4529855358923001E-2"/>
    <n v="-9.2619440369307998E-3"/>
    <n v="1.98164721950885E-4"/>
    <n v="-1.9489016726613E-2"/>
    <n v="1.7947577871383E-3"/>
    <b v="1"/>
    <b v="0"/>
    <b v="0"/>
    <b v="0"/>
  </r>
  <r>
    <x v="19"/>
    <x v="5"/>
    <n v="630100.125"/>
    <n v="0.94053381681442305"/>
    <n v="0"/>
    <n v="2.4682138128092501"/>
    <n v="2.6242690785633429"/>
    <n v="1.3931511983464E-2"/>
    <n v="-1.9489016726613E-2"/>
    <n v="1.7947577871383E-3"/>
    <n v="1.54335954785349E-3"/>
    <n v="6.9815656170249003E-3"/>
    <b v="0"/>
    <b v="0"/>
    <b v="0"/>
    <b v="1"/>
  </r>
  <r>
    <x v="19"/>
    <x v="6"/>
    <n v="640452.8125"/>
    <n v="0.93984532356262196"/>
    <n v="2.3E-2"/>
    <n v="2.5134731486286301"/>
    <n v="2.6743476672320297"/>
    <n v="1.8336878103712199E-2"/>
    <n v="1.54335954785349E-3"/>
    <n v="6.8959668278693997E-3"/>
    <n v="1.09682890027761E-2"/>
    <n v="4.8415176570415002E-3"/>
    <b v="0"/>
    <b v="0"/>
    <b v="0"/>
    <b v="0"/>
  </r>
  <r>
    <x v="19"/>
    <x v="7"/>
    <n v="652568.75"/>
    <n v="0.948430895805359"/>
    <n v="1.0999999999999999E-2"/>
    <n v="2.6265739667825398"/>
    <n v="2.7693888699736924"/>
    <n v="4.4997822322316298E-2"/>
    <n v="1.09682890027761E-2"/>
    <n v="4.8415176570415002E-3"/>
    <n v="5.9039767980576001E-3"/>
    <n v="3.8959532976150998E-3"/>
    <b v="0"/>
    <b v="0"/>
    <b v="0"/>
    <b v="0"/>
  </r>
  <r>
    <x v="19"/>
    <x v="8"/>
    <n v="665717.6875"/>
    <n v="0.94614362716674805"/>
    <n v="2.4E-2"/>
    <n v="2.4172475924199999"/>
    <n v="2.5548421222880413"/>
    <n v="-7.9695594721420598E-2"/>
    <n v="5.9039767980576001E-3"/>
    <n v="3.8959532976150998E-3"/>
    <n v="1.9283536985516499E-2"/>
    <n v="-1.0979915037751101E-2"/>
    <b v="1"/>
    <b v="0"/>
    <b v="1"/>
    <b v="0"/>
  </r>
  <r>
    <x v="19"/>
    <x v="9"/>
    <n v="678874.0625"/>
    <n v="0.939830303192139"/>
    <n v="0.08"/>
    <n v="2.2288595024573099"/>
    <n v="2.3715552636332067"/>
    <n v="-7.7934958153827102E-2"/>
    <n v="1.9283536985516499E-2"/>
    <n v="-1.0979915037751101E-2"/>
    <n v="3.0135780841112101E-2"/>
    <n v="1.6982223838567699E-2"/>
    <b v="0"/>
    <b v="0"/>
    <b v="1"/>
    <b v="0"/>
  </r>
  <r>
    <x v="19"/>
    <x v="10"/>
    <n v="696030"/>
    <n v="0.94288808107376099"/>
    <n v="4.2000000000000003E-2"/>
    <n v="2.26719596628537"/>
    <n v="2.4045228821892488"/>
    <n v="1.7200036065885299E-2"/>
    <n v="3.0135780841112101E-2"/>
    <n v="1.6982223838567699E-2"/>
    <n v="1.9970496833324299E-2"/>
    <n v="1.7180923372507099E-2"/>
    <b v="0"/>
    <b v="0"/>
    <b v="0"/>
    <b v="0"/>
  </r>
  <r>
    <x v="19"/>
    <x v="11"/>
    <n v="714540.5625"/>
    <n v="0.94593268632888805"/>
    <n v="5.5E-2"/>
    <n v="2.36688319302112"/>
    <n v="2.5021687348672361"/>
    <n v="4.3969391361915799E-2"/>
    <n v="1.9970496833324299E-2"/>
    <n v="1.7180923372507099E-2"/>
    <n v="1.9071798980236102E-2"/>
    <n v="9.9367760121822999E-3"/>
    <b v="0"/>
    <b v="0"/>
    <b v="0"/>
    <b v="0"/>
  </r>
  <r>
    <x v="19"/>
    <x v="12"/>
    <n v="733983.5625"/>
    <n v="0.95379060506820701"/>
    <n v="8.5000000000000006E-2"/>
    <n v="2.3677950023715"/>
    <n v="2.4825103013068319"/>
    <n v="3.85236311222195E-4"/>
    <n v="1.9071798980236102E-2"/>
    <n v="9.9367760121822999E-3"/>
    <n v="2.1389032870531101E-2"/>
    <n v="3.58783826231959E-3"/>
    <b v="0"/>
    <b v="0"/>
    <b v="0"/>
    <b v="0"/>
  </r>
  <r>
    <x v="19"/>
    <x v="13"/>
    <n v="754370.8125"/>
    <n v="0.93591326475143399"/>
    <n v="0.09"/>
    <n v="2.4234082870136402"/>
    <n v="2.5893513622304143"/>
    <n v="2.3487373098786301E-2"/>
    <n v="2.1389032870531101E-2"/>
    <n v="3.58783826231959E-3"/>
    <n v="4.5967863976955403E-2"/>
    <n v="2.71186735481024E-2"/>
    <b v="0"/>
    <b v="0"/>
    <b v="0"/>
    <b v="0"/>
  </r>
  <r>
    <x v="19"/>
    <x v="14"/>
    <n v="776969.125"/>
    <n v="0.950023293495178"/>
    <n v="9.9000000000000005E-2"/>
    <n v="2.2235385358945199"/>
    <n v="2.3405094918399554"/>
    <n v="-8.2474650346853695E-2"/>
    <n v="4.5967863976955403E-2"/>
    <n v="2.71186735481024E-2"/>
    <n v="5.6655353188515001E-2"/>
    <n v="1.3065740466117999E-2"/>
    <b v="1"/>
    <b v="0"/>
    <b v="1"/>
    <b v="0"/>
  </r>
  <r>
    <x v="19"/>
    <x v="15"/>
    <n v="801222.75"/>
    <n v="0.94453078508377097"/>
    <n v="7.6999999999999999E-2"/>
    <n v="2.4587996611227498"/>
    <n v="2.6031969523414502"/>
    <n v="0.10580483379550799"/>
    <n v="5.6655353188515001E-2"/>
    <n v="1.3065740466117999E-2"/>
    <n v="-5.6720994338393199E-2"/>
    <n v="-2.4617487564682801E-2"/>
    <b v="0"/>
    <b v="0"/>
    <b v="0"/>
    <b v="0"/>
  </r>
  <r>
    <x v="19"/>
    <x v="16"/>
    <n v="817483.25"/>
    <n v="0.91608625650405895"/>
    <n v="7.5999999999999998E-2"/>
    <n v="2.4442942607632698"/>
    <n v="2.6681922618194411"/>
    <n v="-5.8993827715340501E-3"/>
    <n v="-5.6720994338393199E-2"/>
    <n v="-2.4138784036040299E-2"/>
    <n v="-6.8601027861237507E-2"/>
    <n v="-4.9042100086808198E-2"/>
    <b v="0"/>
    <b v="0"/>
    <b v="0"/>
    <b v="0"/>
  </r>
  <r>
    <x v="20"/>
    <x v="0"/>
    <n v="4432227"/>
    <n v="0.94813269376754805"/>
    <n v="3.7999999999999999E-2"/>
    <n v="2.0847331551370298"/>
    <n v="2.1987778386304018"/>
    <n v="-3.06102321502007E-2"/>
    <n v="-1.90361099019647E-2"/>
    <n v="-2.53991493955254E-2"/>
    <n v="2.81068599224089E-3"/>
    <n v="3.7324419245123898E-3"/>
    <b v="0"/>
    <b v="0"/>
    <b v="0"/>
    <b v="0"/>
  </r>
  <r>
    <x v="20"/>
    <x v="1"/>
    <n v="4456634"/>
    <n v="0.94858753681182895"/>
    <n v="2.1000000000000001E-2"/>
    <n v="2.05049958685776"/>
    <n v="2.1616345432382769"/>
    <n v="-1.6421079213385498E-2"/>
    <n v="2.81068599224089E-3"/>
    <n v="3.7324419245123898E-3"/>
    <n v="-2.09187747091054E-2"/>
    <n v="8.5920295678079007E-3"/>
    <b v="1"/>
    <b v="0"/>
    <b v="1"/>
    <b v="0"/>
  </r>
  <r>
    <x v="20"/>
    <x v="2"/>
    <n v="4494352"/>
    <n v="0.94660174846649203"/>
    <n v="2.4E-2"/>
    <n v="2.0718943766523399"/>
    <n v="2.1887709166065217"/>
    <n v="1.0433940065977899E-2"/>
    <n v="-2.09187747091054E-2"/>
    <n v="8.5920295678079007E-3"/>
    <n v="-3.6727373212575798E-2"/>
    <n v="-1.0160671547055199E-2"/>
    <b v="0"/>
    <b v="0"/>
    <b v="0"/>
    <b v="1"/>
  </r>
  <r>
    <x v="20"/>
    <x v="3"/>
    <n v="4537709"/>
    <n v="0.94725227355956998"/>
    <n v="1.6E-2"/>
    <n v="2.07652071312067"/>
    <n v="2.1921517330515896"/>
    <n v="2.2329016963698101E-3"/>
    <n v="-3.6727373212575798E-2"/>
    <n v="-1.0160671547055199E-2"/>
    <n v="4.8350364118813901E-3"/>
    <n v="1.4295145170763E-2"/>
    <b v="0"/>
    <b v="1"/>
    <b v="0"/>
    <b v="1"/>
  </r>
  <r>
    <x v="20"/>
    <x v="4"/>
    <n v="4580697"/>
    <n v="0.95275467634201005"/>
    <n v="7.0000000000000001E-3"/>
    <n v="2.1126571160758401"/>
    <n v="2.2174198338098319"/>
    <n v="1.74023802059073E-2"/>
    <n v="4.8350364118813901E-3"/>
    <n v="1.4295145170763E-2"/>
    <n v="-1.53443313837051E-2"/>
    <n v="5.9394431300461899E-3"/>
    <b v="0"/>
    <b v="0"/>
    <b v="0"/>
    <b v="0"/>
  </r>
  <r>
    <x v="20"/>
    <x v="5"/>
    <n v="4631012"/>
    <n v="0.954489886760712"/>
    <n v="1E-3"/>
    <n v="2.1426473621727502"/>
    <n v="2.2448088679538896"/>
    <n v="1.41955104161023E-2"/>
    <n v="-1.53443313837051E-2"/>
    <n v="5.9394431300461899E-3"/>
    <n v="-4.2552131265402001E-3"/>
    <n v="1.18299294263119E-3"/>
    <b v="0"/>
    <b v="0"/>
    <b v="0"/>
    <b v="1"/>
  </r>
  <r>
    <x v="20"/>
    <x v="6"/>
    <n v="4684876"/>
    <n v="0.95249396562576305"/>
    <n v="1.7000000000000001E-2"/>
    <n v="2.1365753712781999"/>
    <n v="2.2431379603276826"/>
    <n v="-2.8338731803186699E-3"/>
    <n v="-4.2552131265402001E-3"/>
    <n v="1.0973941534756901E-3"/>
    <n v="8.0604913085699E-3"/>
    <n v="1.9337199628353E-3"/>
    <b v="1"/>
    <b v="0"/>
    <b v="0"/>
    <b v="0"/>
  </r>
  <r>
    <x v="20"/>
    <x v="7"/>
    <n v="4736530"/>
    <n v="0.94966101646423295"/>
    <n v="1.7999999999999999E-2"/>
    <n v="2.1475806649614801"/>
    <n v="2.2614181562988951"/>
    <n v="5.1509035586682402E-3"/>
    <n v="8.0604913085699E-3"/>
    <n v="1.9337199628353E-3"/>
    <n v="6.9659732431173E-3"/>
    <n v="4.9579497426747998E-3"/>
    <b v="0"/>
    <b v="0"/>
    <b v="0"/>
    <b v="0"/>
  </r>
  <r>
    <x v="20"/>
    <x v="8"/>
    <n v="4784529"/>
    <n v="0.95106452703475997"/>
    <n v="2.5999999999999999E-2"/>
    <n v="2.1780308965453199"/>
    <n v="2.2900979214691248"/>
    <n v="1.4178853479469801E-2"/>
    <n v="6.9659732431173E-3"/>
    <n v="4.9579497426747998E-3"/>
    <n v="4.7188190907239899E-2"/>
    <n v="1.6924738883972199E-2"/>
    <b v="0"/>
    <b v="0"/>
    <b v="0"/>
    <b v="0"/>
  </r>
  <r>
    <x v="20"/>
    <x v="9"/>
    <n v="4822188"/>
    <n v="0.94234180450439498"/>
    <n v="4.3999999999999997E-2"/>
    <n v="2.1831388210357598"/>
    <n v="2.3167165147511799"/>
    <n v="2.3452029530633398E-3"/>
    <n v="4.7188190907239899E-2"/>
    <n v="1.6924738883972199E-2"/>
    <n v="3.2294637411832902E-3"/>
    <n v="-9.9240932613610996E-3"/>
    <b v="0"/>
    <b v="0"/>
    <b v="0"/>
    <b v="0"/>
  </r>
  <r>
    <x v="20"/>
    <x v="10"/>
    <n v="4860300"/>
    <n v="0.94829541444778398"/>
    <n v="0.03"/>
    <n v="2.1567786157441602"/>
    <n v="2.2743741906630501"/>
    <n v="-1.2074452177570799E-2"/>
    <n v="3.2294637411832902E-3"/>
    <n v="-9.9240932613610996E-3"/>
    <n v="4.0078383833169898E-3"/>
    <n v="1.2182649224997E-3"/>
    <b v="0"/>
    <b v="0"/>
    <b v="1"/>
    <b v="0"/>
  </r>
  <r>
    <x v="20"/>
    <x v="11"/>
    <n v="4895391"/>
    <n v="0.94030553102493297"/>
    <n v="4.2000000000000003E-2"/>
    <n v="2.1653903672908599"/>
    <n v="2.3028582687699224"/>
    <n v="3.9928769155218799E-3"/>
    <n v="4.0078383833169898E-3"/>
    <n v="1.2182649224997E-3"/>
    <n v="1.1543378442525801E-2"/>
    <n v="2.4083554744721001E-3"/>
    <b v="0"/>
    <b v="0"/>
    <b v="0"/>
    <b v="0"/>
  </r>
  <r>
    <x v="20"/>
    <x v="12"/>
    <n v="4917657"/>
    <n v="0.946735620498657"/>
    <n v="3.6999999999999998E-2"/>
    <n v="2.1517315535677999"/>
    <n v="2.2727903196823385"/>
    <n v="-6.3077835430434903E-3"/>
    <n v="1.1543378442525801E-2"/>
    <n v="2.4083554744721001E-3"/>
    <n v="1.99397831857204E-2"/>
    <n v="2.13858857750889E-3"/>
    <b v="1"/>
    <b v="0"/>
    <b v="1"/>
    <b v="0"/>
  </r>
  <r>
    <x v="20"/>
    <x v="13"/>
    <n v="4936642"/>
    <n v="0.94593524932861295"/>
    <n v="3.4000000000000002E-2"/>
    <n v="2.1433410069340599"/>
    <n v="2.2658432577233145"/>
    <n v="-3.8994393235661602E-3"/>
    <n v="1.99397831857204E-2"/>
    <n v="2.13858857750889E-3"/>
    <n v="-5.3301768273115099E-2"/>
    <n v="-7.2150958701968096E-2"/>
    <b v="1"/>
    <b v="0"/>
    <b v="1"/>
    <b v="0"/>
  </r>
  <r>
    <x v="20"/>
    <x v="14"/>
    <n v="4925667"/>
    <n v="0.91970938444137595"/>
    <n v="4.8000000000000001E-2"/>
    <n v="2.1299597039976601"/>
    <n v="2.3159051544215572"/>
    <n v="-6.2431983026066899E-3"/>
    <n v="-5.3301768273115099E-2"/>
    <n v="-7.2150958701968096E-2"/>
    <n v="6.3217459499835996E-2"/>
    <n v="1.9627846777438999E-2"/>
    <b v="0"/>
    <b v="0"/>
    <b v="0"/>
    <b v="0"/>
  </r>
  <r>
    <x v="20"/>
    <x v="15"/>
    <n v="4915604"/>
    <n v="0.95548796653747603"/>
    <n v="3.2000000000000001E-2"/>
    <n v="2.1517727125359198"/>
    <n v="2.2520144553296406"/>
    <n v="1.0241042822228799E-2"/>
    <n v="6.3217459499835996E-2"/>
    <n v="1.9627846777438999E-2"/>
    <n v="-3.25822103023529E-2"/>
    <n v="-4.7870352864259799E-4"/>
    <b v="0"/>
    <b v="0"/>
    <b v="0"/>
    <b v="0"/>
  </r>
  <r>
    <x v="20"/>
    <x v="16"/>
    <n v="4939754"/>
    <n v="0.95054918527603105"/>
    <n v="2.5000000000000001E-2"/>
    <n v="2.1205933971323501"/>
    <n v="2.2309139074339943"/>
    <n v="-1.4490059857122701E-2"/>
    <n v="-3.25822103023529E-2"/>
    <n v="0"/>
    <n v="-1.49620368927717E-2"/>
    <n v="4.5968908816576004E-3"/>
    <b v="0"/>
    <b v="0"/>
    <b v="0"/>
    <b v="0"/>
  </r>
  <r>
    <x v="21"/>
    <x v="0"/>
    <n v="244803"/>
    <n v="0.95120614767074596"/>
    <n v="2E-3"/>
    <n v="2.2251238783982799"/>
    <n v="2.339265661651813"/>
    <n v="-1.7244481738616702E-2"/>
    <n v="2.8408953577279999E-2"/>
    <n v="2.2045914083719201E-2"/>
    <n v="1.6587223023176199E-2"/>
    <n v="1.7508978955447702E-2"/>
    <b v="1"/>
    <b v="0"/>
    <b v="1"/>
    <b v="0"/>
  </r>
  <r>
    <x v="21"/>
    <x v="1"/>
    <n v="244805.09375"/>
    <n v="0.95101130008697499"/>
    <n v="-1E-3"/>
    <n v="2.3017708709794"/>
    <n v="2.420340190246836"/>
    <n v="3.44461687392826E-2"/>
    <n v="1.6587223023176199E-2"/>
    <n v="1.7508978955447702E-2"/>
    <n v="-2.70874614939094E-2"/>
    <n v="2.4233427830039999E-3"/>
    <b v="0"/>
    <b v="0"/>
    <b v="0"/>
    <b v="0"/>
  </r>
  <r>
    <x v="21"/>
    <x v="2"/>
    <n v="247394.5"/>
    <n v="0.94362694025039695"/>
    <n v="0"/>
    <n v="2.2038588562489099"/>
    <n v="2.3355192208311717"/>
    <n v="-4.2537689552403203E-2"/>
    <n v="-2.70874614939094E-2"/>
    <n v="2.4233427830039999E-3"/>
    <n v="-4.9524993360042499E-2"/>
    <n v="-2.2958291694521901E-2"/>
    <b v="1"/>
    <b v="0"/>
    <b v="0"/>
    <b v="0"/>
  </r>
  <r>
    <x v="21"/>
    <x v="3"/>
    <n v="249558.203125"/>
    <n v="0.93235135078430198"/>
    <n v="1.4E-2"/>
    <n v="2.4110645886640301"/>
    <n v="2.5860042854400564"/>
    <n v="9.4019511198549399E-2"/>
    <n v="-4.9524993360042499E-2"/>
    <n v="-2.2958291694521901E-2"/>
    <n v="2.0954150855540901E-3"/>
    <n v="1.15555238444357E-2"/>
    <b v="0"/>
    <b v="1"/>
    <b v="0"/>
    <b v="1"/>
  </r>
  <r>
    <x v="21"/>
    <x v="4"/>
    <n v="252514.09375"/>
    <n v="0.93790382146835305"/>
    <n v="0"/>
    <n v="2.2876198293805499"/>
    <n v="2.4390772028192864"/>
    <n v="-5.11992751516787E-2"/>
    <n v="2.0954150855540901E-3"/>
    <n v="1.15555238444357E-2"/>
    <n v="-2.13093938007951E-2"/>
    <n v="-2.5619287043799401E-5"/>
    <b v="1"/>
    <b v="0"/>
    <b v="1"/>
    <b v="0"/>
  </r>
  <r>
    <x v="21"/>
    <x v="5"/>
    <n v="254777.5"/>
    <n v="0.92752343416214"/>
    <n v="0"/>
    <n v="2.37219272593055"/>
    <n v="2.5575555706292463"/>
    <n v="3.6969821411673001E-2"/>
    <n v="-2.13093938007951E-2"/>
    <n v="-2.5619287043799401E-5"/>
    <n v="-4.1089749932288998E-3"/>
    <n v="1.3292310759425001E-3"/>
    <b v="0"/>
    <b v="1"/>
    <b v="0"/>
    <b v="1"/>
  </r>
  <r>
    <x v="21"/>
    <x v="6"/>
    <n v="254671.203125"/>
    <n v="0.92972034215927102"/>
    <n v="0"/>
    <n v="2.2020979020979001"/>
    <n v="2.3685594498056677"/>
    <n v="-7.1703627607207401E-2"/>
    <n v="-4.1089749932288998E-3"/>
    <n v="1.2436322867869999E-3"/>
    <n v="4.2489642649888998E-3"/>
    <n v="-1.8778070807457001E-3"/>
    <b v="1"/>
    <b v="0"/>
    <b v="0"/>
    <b v="0"/>
  </r>
  <r>
    <x v="21"/>
    <x v="7"/>
    <n v="253770.09375"/>
    <n v="0.94228655099868797"/>
    <n v="0"/>
    <n v="2.4007100066563098"/>
    <n v="2.547749412439245"/>
    <n v="9.0192222775016498E-2"/>
    <n v="4.2489642649888998E-3"/>
    <n v="-1.8778070807457001E-3"/>
    <n v="1.7649872988462399E-2"/>
    <n v="1.5641849488019801E-2"/>
    <b v="0"/>
    <b v="1"/>
    <b v="0"/>
    <b v="0"/>
  </r>
  <r>
    <x v="21"/>
    <x v="8"/>
    <n v="256327.09375"/>
    <n v="0.94155663251876798"/>
    <n v="3.1E-2"/>
    <n v="2.2761495105309999"/>
    <n v="2.417432400685287"/>
    <n v="-5.1884857304693499E-2"/>
    <n v="1.7649872988462399E-2"/>
    <n v="1.5641849488019801E-2"/>
    <n v="7.8267896711826296E-2"/>
    <n v="4.8004444688558599E-2"/>
    <b v="1"/>
    <b v="0"/>
    <b v="1"/>
    <b v="0"/>
  </r>
  <r>
    <x v="21"/>
    <x v="9"/>
    <n v="262004.296875"/>
    <n v="0.95322978496551503"/>
    <n v="1E-3"/>
    <n v="2.3135876418663299"/>
    <n v="2.4271038089205623"/>
    <n v="1.6448010625890901E-2"/>
    <n v="7.8267896711826296E-2"/>
    <n v="4.8004444688558599E-2"/>
    <n v="3.9897453308105499E-2"/>
    <n v="2.67438963055611E-2"/>
    <b v="0"/>
    <b v="0"/>
    <b v="0"/>
    <b v="0"/>
  </r>
  <r>
    <x v="21"/>
    <x v="10"/>
    <n v="266072"/>
    <n v="0.94378054141998302"/>
    <n v="8.9999999999999993E-3"/>
    <n v="2.4512971835923798"/>
    <n v="2.597316935464927"/>
    <n v="5.9522076982984902E-2"/>
    <n v="3.9897453308105499E-2"/>
    <n v="2.67438963055611E-2"/>
    <n v="3.4210944265127198E-2"/>
    <n v="3.14213708043099E-2"/>
    <b v="0"/>
    <b v="0"/>
    <b v="0"/>
    <b v="0"/>
  </r>
  <r>
    <x v="21"/>
    <x v="11"/>
    <n v="269494.8125"/>
    <n v="0.94569230079650901"/>
    <n v="2.7E-2"/>
    <n v="2.2651640987456299"/>
    <n v="2.3952443060367479"/>
    <n v="-7.5932484275109305E-2"/>
    <n v="3.4210944265127198E-2"/>
    <n v="3.14213708043099E-2"/>
    <n v="3.9738234341144603E-2"/>
    <n v="3.06032113730908E-2"/>
    <b v="1"/>
    <b v="0"/>
    <b v="1"/>
    <b v="0"/>
  </r>
  <r>
    <x v="21"/>
    <x v="12"/>
    <n v="272658.5"/>
    <n v="0.94227105379104603"/>
    <n v="1.7999999999999999E-2"/>
    <n v="2.2386573337575499"/>
    <n v="2.3758103623694513"/>
    <n v="-1.1701918197782799E-2"/>
    <n v="3.9738234341144603E-2"/>
    <n v="3.06032113730908E-2"/>
    <n v="2.6325929135084199E-2"/>
    <n v="8.5247345268726904E-3"/>
    <b v="1"/>
    <b v="0"/>
    <b v="1"/>
    <b v="0"/>
  </r>
  <r>
    <x v="21"/>
    <x v="13"/>
    <n v="275165.1875"/>
    <n v="0.93922823667526201"/>
    <n v="1.2E-2"/>
    <n v="2.4492119632663099"/>
    <n v="2.6076856163696496"/>
    <n v="9.4053978844251901E-2"/>
    <n v="2.6325929135084199E-2"/>
    <n v="8.5247345268726904E-3"/>
    <n v="1.5940498664975201E-2"/>
    <n v="-2.9086917638777902E-3"/>
    <b v="0"/>
    <b v="0"/>
    <b v="0"/>
    <b v="0"/>
  </r>
  <r>
    <x v="21"/>
    <x v="14"/>
    <n v="276022.625"/>
    <n v="0.94198602437973"/>
    <n v="3.5000000000000003E-2"/>
    <n v="2.25328433922996"/>
    <n v="2.3920570803730143"/>
    <n v="-7.9996189376380894E-2"/>
    <n v="1.5940498664975201E-2"/>
    <n v="-2.9086917638777902E-3"/>
    <n v="8.3845963954925995E-2"/>
    <n v="4.0256351232529103E-2"/>
    <b v="0"/>
    <b v="0"/>
    <b v="1"/>
    <b v="0"/>
  </r>
  <r>
    <x v="21"/>
    <x v="15"/>
    <n v="276879.3125"/>
    <n v="0.94005882740020796"/>
    <n v="4.3999999999999997E-2"/>
    <n v="2.2432487965245902"/>
    <n v="2.3862855505845695"/>
    <n v="-4.4537400498689903E-3"/>
    <n v="8.3845963954925995E-2"/>
    <n v="4.0256351232529103E-2"/>
    <n v="-9.8796937540173504E-2"/>
    <n v="-6.6693430766463196E-2"/>
    <b v="1"/>
    <b v="0"/>
    <b v="1"/>
    <b v="0"/>
  </r>
  <r>
    <x v="21"/>
    <x v="16"/>
    <n v="277769.1875"/>
    <n v="0.88603454828262296"/>
    <n v="6.3E-2"/>
    <n v="2.3526696606786399"/>
    <n v="2.6552798254184968"/>
    <n v="4.8777854834277601E-2"/>
    <n v="-9.8796937540173504E-2"/>
    <n v="-6.6214727237820598E-2"/>
    <n v="-3.2724533028900597E-2"/>
    <n v="-1.31656052544713E-2"/>
    <b v="0"/>
    <b v="1"/>
    <b v="0"/>
    <b v="1"/>
  </r>
  <r>
    <x v="22"/>
    <x v="0"/>
    <n v="381681.78125"/>
    <n v="0.93242102861404397"/>
    <n v="6.7000000000000004E-2"/>
    <n v="3.0578114440189199"/>
    <n v="3.2794320914920467"/>
    <n v="-5.4241022982337302E-2"/>
    <n v="6.1831303238868898E-3"/>
    <n v="-1.7990916967389799E-4"/>
    <n v="1.45559079051017E-2"/>
    <n v="1.5477663837373199E-2"/>
    <b v="0"/>
    <b v="0"/>
    <b v="1"/>
    <b v="0"/>
  </r>
  <r>
    <x v="22"/>
    <x v="1"/>
    <n v="387976.90625"/>
    <n v="0.93833279609680198"/>
    <n v="8.9999999999999993E-3"/>
    <n v="3.15970961887477"/>
    <n v="3.367365642571873"/>
    <n v="3.3323890868144503E-2"/>
    <n v="1.45559079051017E-2"/>
    <n v="1.5477663837373199E-2"/>
    <n v="-2.72342267557978E-2"/>
    <n v="2.2765775211154998E-3"/>
    <b v="0"/>
    <b v="0"/>
    <b v="0"/>
    <b v="0"/>
  </r>
  <r>
    <x v="22"/>
    <x v="2"/>
    <n v="394842.5"/>
    <n v="0.932958483695984"/>
    <n v="6.0000000000000001E-3"/>
    <n v="2.8606563756647998"/>
    <n v="3.0662204435208071"/>
    <n v="-9.4645799545485895E-2"/>
    <n v="-2.72342267557978E-2"/>
    <n v="2.2765775211154998E-3"/>
    <n v="-3.1904332995414703E-2"/>
    <n v="-5.3376313298940502E-3"/>
    <b v="1"/>
    <b v="0"/>
    <b v="0"/>
    <b v="0"/>
  </r>
  <r>
    <x v="22"/>
    <x v="3"/>
    <n v="402136.40625"/>
    <n v="0.91598016023635898"/>
    <n v="2.5000000000000001E-2"/>
    <n v="3.1498154042011399"/>
    <n v="3.4387375850895761"/>
    <n v="0.101081357060628"/>
    <n v="-3.1904332995414703E-2"/>
    <n v="-5.3376313298940502E-3"/>
    <n v="-1.8584072528406902E-2"/>
    <n v="-9.1239637695252895E-3"/>
    <b v="0"/>
    <b v="1"/>
    <b v="0"/>
    <b v="1"/>
  </r>
  <r>
    <x v="22"/>
    <x v="4"/>
    <n v="408849.6875"/>
    <n v="0.91017132997512795"/>
    <n v="2.5000000000000001E-2"/>
    <n v="3.1950712113938202"/>
    <n v="3.5104063445737532"/>
    <n v="1.43677648957828E-2"/>
    <n v="-1.8584072528406902E-2"/>
    <n v="-9.1239637695252895E-3"/>
    <n v="-2.3250588558614199E-2"/>
    <n v="-1.96681404486295E-3"/>
    <b v="0"/>
    <b v="1"/>
    <b v="0"/>
    <b v="1"/>
  </r>
  <r>
    <x v="22"/>
    <x v="5"/>
    <n v="413276.875"/>
    <n v="0.91461706161499001"/>
    <n v="1.7000000000000001E-2"/>
    <n v="3.1827687700092899"/>
    <n v="3.4798921904969702"/>
    <n v="-3.85044356465571E-3"/>
    <n v="-2.3250588558614199E-2"/>
    <n v="-1.96681404486295E-3"/>
    <n v="-8.1882386505603994E-3"/>
    <n v="-2.7500325813889998E-3"/>
    <b v="0"/>
    <b v="0"/>
    <b v="0"/>
    <b v="0"/>
  </r>
  <r>
    <x v="22"/>
    <x v="6"/>
    <n v="415324.40625"/>
    <n v="0.91661334037780795"/>
    <n v="7.0000000000000001E-3"/>
    <n v="3.1004992354052301"/>
    <n v="3.3825595797321388"/>
    <n v="-2.5848417069839199E-2"/>
    <n v="-8.1882386505603994E-3"/>
    <n v="-2.83563137054449E-3"/>
    <n v="-1.7266369983554E-3"/>
    <n v="-7.8534083440900005E-3"/>
    <b v="0"/>
    <b v="0"/>
    <b v="0"/>
    <b v="0"/>
  </r>
  <r>
    <x v="22"/>
    <x v="7"/>
    <n v="416396.09375"/>
    <n v="0.92324018478393599"/>
    <n v="1E-3"/>
    <n v="3.1040414563132699"/>
    <n v="3.362116930644329"/>
    <n v="1.1424679185816999E-3"/>
    <n v="-1.7266369983554E-3"/>
    <n v="-7.8534083440900005E-3"/>
    <n v="-1.3942522400990099E-2"/>
    <n v="-1.5950545901432599E-2"/>
    <b v="0"/>
    <b v="1"/>
    <b v="0"/>
    <b v="1"/>
  </r>
  <r>
    <x v="22"/>
    <x v="8"/>
    <n v="417394.8125"/>
    <n v="0.91770040988922097"/>
    <n v="4.4999999999999998E-2"/>
    <n v="3.13224572108175"/>
    <n v="3.4131462592022324"/>
    <n v="9.0863041507111605E-3"/>
    <n v="-1.3942522400990099E-2"/>
    <n v="-1.5950545901432599E-2"/>
    <n v="9.5207050219177896E-3"/>
    <n v="-2.0742747001349801E-2"/>
    <b v="0"/>
    <b v="1"/>
    <b v="0"/>
    <b v="1"/>
  </r>
  <r>
    <x v="22"/>
    <x v="9"/>
    <n v="417783.125"/>
    <n v="0.92078453302383401"/>
    <n v="5.1999999999999998E-2"/>
    <n v="3.00416290023312"/>
    <n v="3.2626122534525228"/>
    <n v="-4.0891689941999397E-2"/>
    <n v="9.5207050219177896E-3"/>
    <n v="-2.0742747001349801E-2"/>
    <n v="-5.20115412026643E-3"/>
    <n v="-1.8354711122810799E-2"/>
    <b v="0"/>
    <b v="0"/>
    <b v="1"/>
    <b v="0"/>
  </r>
  <r>
    <x v="22"/>
    <x v="10"/>
    <n v="419020.8125"/>
    <n v="0.91704577207565297"/>
    <n v="4.2000000000000003E-2"/>
    <n v="2.97303816870618"/>
    <n v="3.2419735843467965"/>
    <n v="-1.0360533886002899E-2"/>
    <n v="-5.20115412026643E-3"/>
    <n v="-1.8354711122810799E-2"/>
    <n v="-5.2354822903872E-3"/>
    <n v="-8.0250557512044907E-3"/>
    <b v="0"/>
    <b v="0"/>
    <b v="0"/>
    <b v="0"/>
  </r>
  <r>
    <x v="22"/>
    <x v="11"/>
    <n v="419135.5"/>
    <n v="0.90632820129394498"/>
    <n v="1.2999999999999999E-2"/>
    <n v="3.0790528928776002"/>
    <n v="3.3972824507520607"/>
    <n v="3.5658716153500698E-2"/>
    <n v="-5.2354822903872E-3"/>
    <n v="-8.0250557512044907E-3"/>
    <n v="-9.3110145777464005E-3"/>
    <n v="-1.8446037545800101E-2"/>
    <b v="0"/>
    <b v="1"/>
    <b v="0"/>
    <b v="1"/>
  </r>
  <r>
    <x v="22"/>
    <x v="12"/>
    <n v="419065.40625"/>
    <n v="0.92833721637725797"/>
    <n v="2.7E-2"/>
    <n v="3.0887004025301898"/>
    <n v="3.3271319387404619"/>
    <n v="3.1332718170917801E-3"/>
    <n v="-9.3110145777464005E-3"/>
    <n v="-1.8446037545800101E-2"/>
    <n v="1.1304055497050301E-2"/>
    <n v="-6.4971391111611999E-3"/>
    <b v="0"/>
    <b v="1"/>
    <b v="0"/>
    <b v="1"/>
  </r>
  <r>
    <x v="22"/>
    <x v="13"/>
    <n v="420172.6875"/>
    <n v="0.94107568264007602"/>
    <n v="4.0000000000000001E-3"/>
    <n v="3.0262715612560802"/>
    <n v="3.2157579003276706"/>
    <n v="-2.0212009304291199E-2"/>
    <n v="1.1304055497050301E-2"/>
    <n v="-6.4971391111611999E-3"/>
    <n v="2.0017904341220901E-3"/>
    <n v="-1.6847399994730901E-2"/>
    <b v="0"/>
    <b v="0"/>
    <b v="1"/>
    <b v="0"/>
  </r>
  <r>
    <x v="22"/>
    <x v="14"/>
    <n v="421882"/>
    <n v="0.95772707462310802"/>
    <n v="8.0000000000000002E-3"/>
    <n v="2.9086110418884901"/>
    <n v="3.0369936477290347"/>
    <n v="-3.8879696347789698E-2"/>
    <n v="2.0017904341220901E-3"/>
    <n v="-1.6847399994730901E-2"/>
    <n v="3.31288634538651E-2"/>
    <n v="-1.0460749268531799E-2"/>
    <b v="0"/>
    <b v="0"/>
    <b v="1"/>
    <b v="0"/>
  </r>
  <r>
    <x v="22"/>
    <x v="15"/>
    <n v="423464.5"/>
    <n v="0.96240592002868697"/>
    <n v="3.2000000000000001E-2"/>
    <n v="2.8953267841541099"/>
    <n v="3.0084257836525023"/>
    <n v="-4.5672169785055698E-3"/>
    <n v="3.31288634538651E-2"/>
    <n v="-1.0460749268531799E-2"/>
    <n v="2.3518559336661998E-3"/>
    <n v="3.4455362707376501E-2"/>
    <b v="0"/>
    <b v="0"/>
    <b v="1"/>
    <b v="0"/>
  </r>
  <r>
    <x v="22"/>
    <x v="16"/>
    <n v="426414.09375"/>
    <n v="0.95485424995422397"/>
    <n v="5.0000000000000001E-3"/>
    <n v="2.7191276536372802"/>
    <n v="2.8476886957016068"/>
    <n v="-6.0856388122112699E-2"/>
    <n v="2.3518559336661998E-3"/>
    <n v="3.49340662360191E-2"/>
    <n v="-2.2924717366695001E-3"/>
    <n v="1.7266456037759802E-2"/>
    <b v="1"/>
    <b v="0"/>
    <b v="1"/>
    <b v="0"/>
  </r>
  <r>
    <x v="23"/>
    <x v="0"/>
    <n v="1140639"/>
    <n v="0.91067528724670399"/>
    <n v="1E-3"/>
    <n v="2.03323373456164"/>
    <n v="2.2326659820854813"/>
    <n v="3.6417166565828503E-2"/>
    <n v="-1.3912118673324999E-3"/>
    <n v="-7.7542513608932903E-3"/>
    <n v="3.5344949960708998E-3"/>
    <n v="4.4562509283423996E-3"/>
    <b v="0"/>
    <b v="1"/>
    <b v="0"/>
    <b v="1"/>
  </r>
  <r>
    <x v="23"/>
    <x v="1"/>
    <n v="1137342"/>
    <n v="0.91810971498489402"/>
    <n v="-1E-3"/>
    <n v="2.0446514657980401"/>
    <n v="2.2270230152522474"/>
    <n v="5.6155527238788902E-3"/>
    <n v="3.5344949960708998E-3"/>
    <n v="4.4562509283423996E-3"/>
    <n v="-3.0377463728189402E-2"/>
    <n v="-8.6665945127606305E-4"/>
    <b v="0"/>
    <b v="0"/>
    <b v="0"/>
    <b v="0"/>
  </r>
  <r>
    <x v="23"/>
    <x v="2"/>
    <n v="1136166"/>
    <n v="0.92455798387527499"/>
    <n v="0"/>
    <n v="2.0194744606538899"/>
    <n v="2.1842593930012741"/>
    <n v="-1.2313592592819099E-2"/>
    <n v="-3.0377463728189402E-2"/>
    <n v="-8.6665945127606305E-4"/>
    <n v="-2.6287152156233801E-2"/>
    <n v="2.79549509286849E-4"/>
    <b v="0"/>
    <b v="0"/>
    <b v="0"/>
    <b v="0"/>
  </r>
  <r>
    <x v="23"/>
    <x v="3"/>
    <n v="1135766"/>
    <n v="0.91805016994476296"/>
    <n v="3.0000000000000001E-3"/>
    <n v="1.95074934108005"/>
    <n v="2.1248831544766471"/>
    <n v="-3.4031190249166697E-2"/>
    <n v="-2.6287152156233801E-2"/>
    <n v="2.79549509286849E-4"/>
    <n v="7.0401729643339902E-4"/>
    <n v="1.0164126055315E-2"/>
    <b v="1"/>
    <b v="0"/>
    <b v="0"/>
    <b v="0"/>
  </r>
  <r>
    <x v="23"/>
    <x v="4"/>
    <n v="1137687"/>
    <n v="0.92341363430023204"/>
    <n v="1E-3"/>
    <n v="2.0494926239661599"/>
    <n v="2.2194740773123596"/>
    <n v="5.0618129560123098E-2"/>
    <n v="7.0401729643339902E-4"/>
    <n v="1.0164126055315E-2"/>
    <n v="-2.1399041049182398E-2"/>
    <n v="-1.15266535431101E-4"/>
    <b v="0"/>
    <b v="0"/>
    <b v="0"/>
    <b v="0"/>
  </r>
  <r>
    <x v="23"/>
    <x v="5"/>
    <n v="1141333"/>
    <n v="0.92796051502227805"/>
    <n v="1.0999999999999999E-2"/>
    <n v="2.00398561412978"/>
    <n v="2.1595591425370824"/>
    <n v="-2.2204036893928799E-2"/>
    <n v="-2.1399041049182398E-2"/>
    <n v="-1.15266535431101E-4"/>
    <n v="-8.2489962726830998E-3"/>
    <n v="-2.8107902035117002E-3"/>
    <b v="0"/>
    <b v="0"/>
    <b v="0"/>
    <b v="0"/>
  </r>
  <r>
    <x v="23"/>
    <x v="6"/>
    <n v="1144908"/>
    <n v="0.93270748853683505"/>
    <n v="1E-3"/>
    <n v="2.0319546263232899"/>
    <n v="2.1785550682249539"/>
    <n v="1.3956693100141099E-2"/>
    <n v="-8.2489962726830998E-3"/>
    <n v="-2.8963889926671999E-3"/>
    <n v="2.1609241515397901E-3"/>
    <n v="-3.9658471941947998E-3"/>
    <b v="0"/>
    <b v="1"/>
    <b v="0"/>
    <b v="1"/>
  </r>
  <r>
    <x v="23"/>
    <x v="7"/>
    <n v="1149094"/>
    <n v="0.93025881052017201"/>
    <n v="7.0000000000000001E-3"/>
    <n v="2.04674713202047"/>
    <n v="2.2001910746494215"/>
    <n v="7.2799389836522999E-3"/>
    <n v="2.1609241515397901E-3"/>
    <n v="-3.9658471941947998E-3"/>
    <n v="-8.8562799468636499E-3"/>
    <n v="-1.0864303447306101E-2"/>
    <b v="0"/>
    <b v="1"/>
    <b v="0"/>
    <b v="0"/>
  </r>
  <r>
    <x v="23"/>
    <x v="8"/>
    <n v="1152803"/>
    <n v="0.93061739206314098"/>
    <n v="8.9999999999999993E-3"/>
    <n v="2.1030516431924799"/>
    <n v="2.2598456262783784"/>
    <n v="2.7509265942602699E-2"/>
    <n v="-8.8562799468636499E-3"/>
    <n v="-1.0864303447306101E-2"/>
    <n v="2.21304354965687E-2"/>
    <n v="-8.1330165266989898E-3"/>
    <b v="0"/>
    <b v="1"/>
    <b v="0"/>
    <b v="1"/>
  </r>
  <r>
    <x v="23"/>
    <x v="9"/>
    <n v="1154536"/>
    <n v="0.933310866355896"/>
    <n v="1.6E-2"/>
    <n v="2.0343026495459502"/>
    <n v="2.1796624499711088"/>
    <n v="-3.2690111947116698E-2"/>
    <n v="2.21304354965687E-2"/>
    <n v="-8.1330165266989898E-3"/>
    <n v="8.2620446383949999E-4"/>
    <n v="-1.23273525387049E-2"/>
    <b v="0"/>
    <b v="0"/>
    <b v="1"/>
    <b v="0"/>
  </r>
  <r>
    <x v="23"/>
    <x v="10"/>
    <n v="1156519"/>
    <n v="0.93475860357284501"/>
    <n v="2.5000000000000001E-2"/>
    <n v="2.0027421901042102"/>
    <n v="2.1425234091981675"/>
    <n v="-1.5514141639045799E-2"/>
    <n v="8.2620446383949999E-4"/>
    <n v="-1.23273525387049E-2"/>
    <n v="1.75130525231359E-3"/>
    <n v="-1.03826820850369E-3"/>
    <b v="0"/>
    <b v="0"/>
    <b v="1"/>
    <b v="0"/>
  </r>
  <r>
    <x v="23"/>
    <x v="11"/>
    <n v="1160267"/>
    <n v="0.93752056360244795"/>
    <n v="2.5000000000000001E-2"/>
    <n v="2.0320220246379299"/>
    <n v="2.1674426178235819"/>
    <n v="1.4619872032653801E-2"/>
    <n v="1.75130525231359E-3"/>
    <n v="-1.03826820850369E-3"/>
    <n v="-6.5635310113429997E-4"/>
    <n v="-9.7913760691880902E-3"/>
    <b v="0"/>
    <b v="1"/>
    <b v="0"/>
    <b v="0"/>
  </r>
  <r>
    <x v="23"/>
    <x v="12"/>
    <n v="1163725"/>
    <n v="0.95159256458282504"/>
    <n v="1.6E-2"/>
    <n v="1.99234041536218"/>
    <n v="2.0936906082653297"/>
    <n v="-1.9528139358046401E-2"/>
    <n v="-6.5635310113429997E-4"/>
    <n v="-9.7913760691880902E-3"/>
    <n v="2.9628548473120001E-3"/>
    <n v="-1.48383397608995E-2"/>
    <b v="0"/>
    <b v="0"/>
    <b v="0"/>
    <b v="0"/>
  </r>
  <r>
    <x v="23"/>
    <x v="13"/>
    <n v="1165853"/>
    <n v="0.95631802082061801"/>
    <n v="2.4E-2"/>
    <n v="1.9936207746541601"/>
    <n v="2.0846838930666922"/>
    <n v="6.42640826889809E-4"/>
    <n v="2.9628548473120001E-3"/>
    <n v="-1.48383397608995E-2"/>
    <n v="1.9301233917474601E-2"/>
    <n v="4.5204348862169699E-4"/>
    <b v="0"/>
    <b v="1"/>
    <b v="0"/>
    <b v="0"/>
  </r>
  <r>
    <x v="23"/>
    <x v="14"/>
    <n v="1164522"/>
    <n v="0.96074348688125599"/>
    <n v="1.9E-2"/>
    <n v="1.84672086532559"/>
    <n v="1.9221789067968329"/>
    <n v="-7.3684981214166598E-2"/>
    <n v="1.9301233917474601E-2"/>
    <n v="4.5204348862169699E-4"/>
    <n v="-1.71695810556409E-3"/>
    <n v="-4.5306570827961003E-2"/>
    <b v="1"/>
    <b v="0"/>
    <b v="1"/>
    <b v="0"/>
  </r>
  <r>
    <x v="23"/>
    <x v="15"/>
    <n v="1163127"/>
    <n v="0.963448226451874"/>
    <n v="2.7E-2"/>
    <n v="1.9573266645365801"/>
    <n v="2.0315846879960522"/>
    <n v="5.9893079288669701E-2"/>
    <n v="-1.71695810556409E-3"/>
    <n v="-4.5306570827961003E-2"/>
    <n v="-3.3924216330051403E-2"/>
    <n v="-1.8207095563410999E-3"/>
    <b v="0"/>
    <b v="1"/>
    <b v="0"/>
    <b v="1"/>
  </r>
  <r>
    <x v="23"/>
    <x v="16"/>
    <n v="1158716"/>
    <n v="0.96082341670990001"/>
    <n v="1.6E-2"/>
    <n v="1.9361562686679601"/>
    <n v="2.0151010424973239"/>
    <n v="-1.08159747946961E-2"/>
    <n v="-3.3924216330051403E-2"/>
    <n v="-1.3420060276984999E-3"/>
    <n v="-4.8567790389060896E-3"/>
    <n v="1.47021487355232E-2"/>
    <b v="0"/>
    <b v="0"/>
    <b v="0"/>
    <b v="0"/>
  </r>
  <r>
    <x v="24"/>
    <x v="0"/>
    <n v="405469.21875"/>
    <n v="0.92131990194320701"/>
    <n v="1E-3"/>
    <n v="2.10987089252558"/>
    <n v="2.2900524433212981"/>
    <n v="-5.3522890897298898E-2"/>
    <n v="-1.18474851995707E-2"/>
    <n v="-1.8210524693131499E-2"/>
    <n v="-5.9616238772869003E-3"/>
    <n v="-5.0398679450154001E-3"/>
    <b v="0"/>
    <b v="0"/>
    <b v="0"/>
    <b v="0"/>
  </r>
  <r>
    <x v="24"/>
    <x v="1"/>
    <n v="405986.59375"/>
    <n v="0.92715042829513505"/>
    <n v="4.0000000000000001E-3"/>
    <n v="1.99431870037419"/>
    <n v="2.1510195535813836"/>
    <n v="-5.4767423239378499E-2"/>
    <n v="-5.9616238772869003E-3"/>
    <n v="-5.0398679450154001E-3"/>
    <n v="-2.3328238457441301E-2"/>
    <n v="6.1825658194720997E-3"/>
    <b v="0"/>
    <b v="0"/>
    <b v="0"/>
    <b v="0"/>
  </r>
  <r>
    <x v="24"/>
    <x v="2"/>
    <n v="405904"/>
    <n v="0.93629688024520896"/>
    <n v="0"/>
    <n v="2.3133412950630499"/>
    <n v="2.4707348105840143"/>
    <n v="0.159965703891261"/>
    <n v="-2.3328238457441301E-2"/>
    <n v="6.1825658194720997E-3"/>
    <n v="-1.8538110613822899E-2"/>
    <n v="8.0285910516977501E-3"/>
    <b v="0"/>
    <b v="0"/>
    <b v="0"/>
    <b v="1"/>
  </r>
  <r>
    <x v="24"/>
    <x v="3"/>
    <n v="404952"/>
    <n v="0.93303740024566695"/>
    <n v="0"/>
    <n v="2.1762902401635098"/>
    <n v="2.3324791049002931"/>
    <n v="-5.9243767961096198E-2"/>
    <n v="-1.8538110613822899E-2"/>
    <n v="8.0285910516977501E-3"/>
    <n v="-1.50862555569037E-2"/>
    <n v="-5.6261467980220897E-3"/>
    <b v="1"/>
    <b v="0"/>
    <b v="0"/>
    <b v="0"/>
  </r>
  <r>
    <x v="24"/>
    <x v="4"/>
    <n v="404237.21875"/>
    <n v="0.93236315250396695"/>
    <n v="0"/>
    <n v="2.1513385497689699"/>
    <n v="2.3074040881938611"/>
    <n v="-1.14652402212058E-2"/>
    <n v="-1.50862555569037E-2"/>
    <n v="-5.6261467980220897E-3"/>
    <n v="-2.53075439184904E-2"/>
    <n v="-4.0237694047391102E-3"/>
    <b v="0"/>
    <b v="0"/>
    <b v="0"/>
    <b v="0"/>
  </r>
  <r>
    <x v="24"/>
    <x v="5"/>
    <n v="404026.625"/>
    <n v="0.93928027153015103"/>
    <n v="0"/>
    <n v="2.2756750987298502"/>
    <n v="2.4227860072293668"/>
    <n v="5.7794970937619497E-2"/>
    <n v="-2.53075439184904E-2"/>
    <n v="-4.0237694047391102E-3"/>
    <n v="-1.3656369693577201E-2"/>
    <n v="-8.2181636244058904E-3"/>
    <b v="0"/>
    <b v="1"/>
    <b v="0"/>
    <b v="1"/>
  </r>
  <r>
    <x v="24"/>
    <x v="6"/>
    <n v="404607.6875"/>
    <n v="0.946549892425537"/>
    <n v="0"/>
    <n v="2.1334166071853402"/>
    <n v="2.2538871159960236"/>
    <n v="-6.2512654650881405E-2"/>
    <n v="-1.3656369693577201E-2"/>
    <n v="-8.3037624135613892E-3"/>
    <n v="8.056374639273E-4"/>
    <n v="-5.32113388180729E-3"/>
    <b v="0"/>
    <b v="0"/>
    <b v="0"/>
    <b v="0"/>
  </r>
  <r>
    <x v="24"/>
    <x v="7"/>
    <n v="405052.09375"/>
    <n v="0.94492787122726396"/>
    <n v="3.0000000000000001E-3"/>
    <n v="2.2029915861639102"/>
    <n v="2.3313859747862917"/>
    <n v="3.26119983993007E-2"/>
    <n v="8.056374639273E-4"/>
    <n v="-5.32113388180729E-3"/>
    <n v="2.5849796980618998E-3"/>
    <n v="5.7695619761940001E-4"/>
    <b v="0"/>
    <b v="1"/>
    <b v="0"/>
    <b v="0"/>
  </r>
  <r>
    <x v="24"/>
    <x v="8"/>
    <n v="405484.59375"/>
    <n v="0.94946086406707797"/>
    <n v="3.0000000000000001E-3"/>
    <n v="2.2275973961734001"/>
    <n v="2.3461708433471817"/>
    <n v="1.11692709877009E-2"/>
    <n v="2.5849796980618998E-3"/>
    <n v="5.7695619761940001E-4"/>
    <n v="2.65428760796785E-2"/>
    <n v="-3.7205759435891901E-3"/>
    <b v="0"/>
    <b v="0"/>
    <b v="0"/>
    <b v="0"/>
  </r>
  <r>
    <x v="24"/>
    <x v="9"/>
    <n v="404651"/>
    <n v="0.94225281476974498"/>
    <n v="1.6E-2"/>
    <n v="2.2288877805486198"/>
    <n v="2.3654880575690136"/>
    <n v="5.79271809816796E-4"/>
    <n v="2.65428760796785E-2"/>
    <n v="-3.7205759435891901E-3"/>
    <n v="-7.1376470960676603E-3"/>
    <n v="-2.0291204098612001E-2"/>
    <b v="0"/>
    <b v="1"/>
    <b v="0"/>
    <b v="0"/>
  </r>
  <r>
    <x v="24"/>
    <x v="10"/>
    <n v="403683"/>
    <n v="0.93048912286758401"/>
    <n v="1.9E-2"/>
    <n v="2.1540622518982899"/>
    <n v="2.3149784333425574"/>
    <n v="-3.3570792259408497E-2"/>
    <n v="-7.1376470960676603E-3"/>
    <n v="-2.0291204098612001E-2"/>
    <n v="2.6501432061197501E-5"/>
    <n v="-2.7630720287561E-3"/>
    <b v="0"/>
    <b v="0"/>
    <b v="0"/>
    <b v="0"/>
  </r>
  <r>
    <x v="24"/>
    <x v="11"/>
    <n v="402590.09375"/>
    <n v="0.93452173471450795"/>
    <n v="8.0000000000000002E-3"/>
    <n v="2.3359897220101602"/>
    <n v="2.4996633414029628"/>
    <n v="8.4457851648226098E-2"/>
    <n v="2.6501432061197501E-5"/>
    <n v="-2.7630720287561E-3"/>
    <n v="2.0998755693435998E-3"/>
    <n v="-7.0351473987101901E-3"/>
    <b v="0"/>
    <b v="1"/>
    <b v="0"/>
    <b v="0"/>
  </r>
  <r>
    <x v="24"/>
    <x v="12"/>
    <n v="402138.6875"/>
    <n v="0.94314843416214"/>
    <n v="0"/>
    <n v="2.1165710742520498"/>
    <n v="2.2441547879283044"/>
    <n v="-9.3929628923751604E-2"/>
    <n v="2.0998755693435998E-3"/>
    <n v="-7.0351473987101901E-3"/>
    <n v="1.1196158051490801E-2"/>
    <n v="-6.6050365567206998E-3"/>
    <b v="0"/>
    <b v="0"/>
    <b v="1"/>
    <b v="0"/>
  </r>
  <r>
    <x v="24"/>
    <x v="13"/>
    <n v="401751.59375"/>
    <n v="0.94450414180755604"/>
    <n v="0"/>
    <n v="2.0764594389689099"/>
    <n v="2.1984651491258269"/>
    <n v="-1.8951234745241199E-2"/>
    <n v="1.1196158051490801E-2"/>
    <n v="-6.6050365567206998E-3"/>
    <n v="1.4409957557916599E-2"/>
    <n v="-4.4392328709363998E-3"/>
    <b v="0"/>
    <b v="0"/>
    <b v="1"/>
    <b v="0"/>
  </r>
  <r>
    <x v="24"/>
    <x v="14"/>
    <n v="401068.59375"/>
    <n v="0.96945995092392001"/>
    <n v="0"/>
    <n v="2.0526519926306599"/>
    <n v="2.1173148933841262"/>
    <n v="-1.1465403990784001E-2"/>
    <n v="1.4409957557916599E-2"/>
    <n v="-4.4392328709363998E-3"/>
    <n v="-4.0868574082850899E-3"/>
    <n v="-4.7676470130681999E-2"/>
    <b v="0"/>
    <b v="0"/>
    <b v="1"/>
    <b v="0"/>
  </r>
  <r>
    <x v="24"/>
    <x v="15"/>
    <n v="400254.59375"/>
    <n v="0.96336126327514604"/>
    <n v="1.4E-2"/>
    <n v="2.08169052382154"/>
    <n v="2.1608617692851819"/>
    <n v="1.41468360419299E-2"/>
    <n v="-4.0868574082850899E-3"/>
    <n v="-4.7676470130681999E-2"/>
    <n v="-1.6906829476356501E-2"/>
    <n v="1.5196677297353699E-2"/>
    <b v="0"/>
    <b v="1"/>
    <b v="0"/>
    <b v="1"/>
  </r>
  <r>
    <x v="24"/>
    <x v="16"/>
    <n v="399642.90625"/>
    <n v="0.95815861225128196"/>
    <n v="6.0000000000000001E-3"/>
    <n v="2.1855638607710901"/>
    <n v="2.2810042437920655"/>
    <n v="4.9898549165155501E-2"/>
    <n v="-1.6906829476356501E-2"/>
    <n v="1.5675380825996298E-2"/>
    <n v="-2.1390940845012999E-3"/>
    <n v="1.7419833689927999E-2"/>
    <b v="0"/>
    <b v="0"/>
    <b v="0"/>
    <b v="1"/>
  </r>
  <r>
    <x v="25"/>
    <x v="0"/>
    <n v="225328.296875"/>
    <n v="0.88347780704498302"/>
    <n v="3.3000000000000002E-2"/>
    <n v="1.9346162539149501"/>
    <n v="2.1897734594893423"/>
    <n v="-4.6495862445125401E-2"/>
    <n v="-1.4817009091377301E-2"/>
    <n v="-2.1180048584938001E-2"/>
    <n v="-4.4131678491830997E-3"/>
    <n v="-3.4914119169115999E-3"/>
    <b v="0"/>
    <b v="0"/>
    <b v="0"/>
    <b v="0"/>
  </r>
  <r>
    <x v="25"/>
    <x v="1"/>
    <n v="227717.1875"/>
    <n v="0.89524388313293501"/>
    <n v="1E-3"/>
    <n v="2.21355892096545"/>
    <n v="2.472576426011456"/>
    <n v="0.144185011619757"/>
    <n v="-4.4131678491830997E-3"/>
    <n v="-3.4914119169115999E-3"/>
    <n v="-2.60580576136707E-2"/>
    <n v="3.4527466632426002E-3"/>
    <b v="0"/>
    <b v="1"/>
    <b v="0"/>
    <b v="1"/>
  </r>
  <r>
    <x v="25"/>
    <x v="2"/>
    <n v="229002"/>
    <n v="0.90574085712432895"/>
    <n v="0"/>
    <n v="2.0595478401291798"/>
    <n v="2.2738820093289336"/>
    <n v="-6.9576228298043497E-2"/>
    <n v="-2.60580576136707E-2"/>
    <n v="3.4527466632426002E-3"/>
    <n v="-1.7312838420271901E-2"/>
    <n v="9.2538632452487495E-3"/>
    <b v="1"/>
    <b v="0"/>
    <b v="0"/>
    <b v="0"/>
  </r>
  <r>
    <x v="25"/>
    <x v="3"/>
    <n v="231203.90625"/>
    <n v="0.90216845273971602"/>
    <n v="0"/>
    <n v="2.24762454001208"/>
    <n v="2.4913579422850209"/>
    <n v="9.1319413037328101E-2"/>
    <n v="-1.7312838420271901E-2"/>
    <n v="9.2538632452487495E-3"/>
    <n v="-1.50525715984404E-2"/>
    <n v="-5.5924628395587197E-3"/>
    <b v="0"/>
    <b v="0"/>
    <b v="0"/>
    <b v="1"/>
  </r>
  <r>
    <x v="25"/>
    <x v="4"/>
    <n v="232583.5"/>
    <n v="0.90213203430175803"/>
    <n v="0"/>
    <n v="2.0408510638297801"/>
    <n v="2.2622531804996595"/>
    <n v="-9.1996448918102797E-2"/>
    <n v="-1.50525715984404E-2"/>
    <n v="-5.5924628395587197E-3"/>
    <n v="-2.6585427455604001E-2"/>
    <n v="-5.3016529418527802E-3"/>
    <b v="0"/>
    <b v="0"/>
    <b v="0"/>
    <b v="0"/>
  </r>
  <r>
    <x v="25"/>
    <x v="5"/>
    <n v="233696.203125"/>
    <n v="0.90141731500625599"/>
    <n v="6.7000000000000004E-2"/>
    <n v="2.24721018418201"/>
    <n v="2.4929742825790004"/>
    <n v="0.10111424787900999"/>
    <n v="-2.6585427455604001E-2"/>
    <n v="-5.3016529418527802E-3"/>
    <n v="-8.2275963425635992E-3"/>
    <n v="-2.7893902733922E-3"/>
    <b v="0"/>
    <b v="1"/>
    <b v="0"/>
    <b v="1"/>
  </r>
  <r>
    <x v="25"/>
    <x v="6"/>
    <n v="234803"/>
    <n v="0.90560597181320202"/>
    <n v="3.7999999999999999E-2"/>
    <n v="2.1637504126774498"/>
    <n v="2.3892846116564295"/>
    <n v="-3.7139281448630199E-2"/>
    <n v="-8.2275963425635992E-3"/>
    <n v="-2.8749890625476898E-3"/>
    <n v="1.2322574853900099E-4"/>
    <n v="-6.0035455971955897E-3"/>
    <b v="0"/>
    <b v="0"/>
    <b v="0"/>
    <b v="0"/>
  </r>
  <r>
    <x v="25"/>
    <x v="7"/>
    <n v="236010.890625"/>
    <n v="0.922163546085358"/>
    <n v="0"/>
    <n v="1.99294333916446"/>
    <n v="2.1611604011290941"/>
    <n v="-7.8940284661401794E-2"/>
    <n v="1.2322574853900099E-4"/>
    <n v="-6.0035455971955897E-3"/>
    <n v="3.38883587718009E-3"/>
    <n v="1.3808123767375901E-3"/>
    <b v="0"/>
    <b v="0"/>
    <b v="1"/>
    <b v="0"/>
  </r>
  <r>
    <x v="25"/>
    <x v="8"/>
    <n v="237154.296875"/>
    <n v="0.91651839017867998"/>
    <n v="4.0000000000000001E-3"/>
    <n v="2.2223951129552701"/>
    <n v="2.4248232624355772"/>
    <n v="0.11513211102479599"/>
    <n v="3.38883587718009E-3"/>
    <n v="1.3808123767375901E-3"/>
    <n v="1.7161270767450301E-2"/>
    <n v="-1.3102181255817301E-2"/>
    <b v="0"/>
    <b v="0"/>
    <b v="0"/>
    <b v="0"/>
  </r>
  <r>
    <x v="25"/>
    <x v="9"/>
    <n v="238119"/>
    <n v="0.92842030525207497"/>
    <n v="-2E-3"/>
    <n v="1.9979348779314801"/>
    <n v="2.1519724058480407"/>
    <n v="-0.10099924793540099"/>
    <n v="1.7161270767450301E-2"/>
    <n v="-1.3102181255817301E-2"/>
    <n v="-9.8559700064361003E-3"/>
    <n v="-2.3009527008980499E-2"/>
    <b v="0"/>
    <b v="0"/>
    <b v="1"/>
    <b v="0"/>
  </r>
  <r>
    <x v="25"/>
    <x v="10"/>
    <n v="238506.609375"/>
    <n v="0.91013789176940896"/>
    <n v="1.4999999999999999E-2"/>
    <n v="1.8580439183927699"/>
    <n v="2.0414971568544704"/>
    <n v="-7.0017777398001205E-2"/>
    <n v="-9.8559700064361003E-3"/>
    <n v="-2.3009527008980499E-2"/>
    <n v="-9.8403508812188994E-3"/>
    <n v="-1.26299243420361E-2"/>
    <b v="0"/>
    <b v="0"/>
    <b v="0"/>
    <b v="0"/>
  </r>
  <r>
    <x v="25"/>
    <x v="11"/>
    <n v="238164.09375"/>
    <n v="0.90615886449813798"/>
    <n v="1.2E-2"/>
    <n v="1.93635066582117"/>
    <n v="2.1368776951639576"/>
    <n v="4.2144723627491998E-2"/>
    <n v="-9.8403508812188994E-3"/>
    <n v="-1.26299243420361E-2"/>
    <n v="4.4990575164556897E-3"/>
    <n v="-4.6359654515980902E-3"/>
    <b v="0"/>
    <b v="1"/>
    <b v="0"/>
    <b v="1"/>
  </r>
  <r>
    <x v="25"/>
    <x v="12"/>
    <n v="237265.390625"/>
    <n v="0.90757530927658103"/>
    <n v="-1E-3"/>
    <n v="1.8363955192629799"/>
    <n v="2.023408416351423"/>
    <n v="-5.16203745130061E-2"/>
    <n v="4.4990575164556897E-3"/>
    <n v="-4.6359654515980902E-3"/>
    <n v="5.1410786509513999E-3"/>
    <n v="-1.2660115957260101E-2"/>
    <b v="0"/>
    <b v="0"/>
    <b v="1"/>
    <b v="0"/>
  </r>
  <r>
    <x v="25"/>
    <x v="13"/>
    <n v="236369.296875"/>
    <n v="0.91693615913391102"/>
    <n v="8.0000000000000002E-3"/>
    <n v="2.10635675294946"/>
    <n v="2.2971683818631519"/>
    <n v="0.14700604028636899"/>
    <n v="5.1410786509513999E-3"/>
    <n v="-1.2660115957260101E-2"/>
    <n v="2.8195410147309002E-3"/>
    <n v="-1.6029649414122001E-2"/>
    <b v="0"/>
    <b v="1"/>
    <b v="0"/>
    <b v="0"/>
  </r>
  <r>
    <x v="25"/>
    <x v="14"/>
    <n v="236696.109375"/>
    <n v="0.93327134847641002"/>
    <n v="2.7E-2"/>
    <n v="2.0410684474123499"/>
    <n v="2.1870042948864206"/>
    <n v="-3.0995844101759099E-2"/>
    <n v="2.8195410147309002E-3"/>
    <n v="-1.6029649414122001E-2"/>
    <n v="-1.5235857367515899E-3"/>
    <n v="-4.5113198459148497E-2"/>
    <b v="0"/>
    <b v="0"/>
    <b v="1"/>
    <b v="0"/>
  </r>
  <r>
    <x v="26"/>
    <x v="0"/>
    <n v="617908.375"/>
    <n v="0.92040562629699696"/>
    <n v="2.7E-2"/>
    <n v="2.2821323449253201"/>
    <n v="2.4794854352497411"/>
    <n v="-2.12065594864486E-2"/>
    <n v="3.1100121915340301E-2"/>
    <n v="2.4737082421779501E-2"/>
    <n v="4.88170519471198E-4"/>
    <n v="1.4099264517426901E-3"/>
    <b v="1"/>
    <b v="0"/>
    <b v="1"/>
    <b v="0"/>
  </r>
  <r>
    <x v="26"/>
    <x v="1"/>
    <n v="632187.0625"/>
    <n v="0.91040837764740001"/>
    <n v="2.5999999999999999E-2"/>
    <n v="2.1957412246627501"/>
    <n v="2.411820100268407"/>
    <n v="-3.7855438338039199E-2"/>
    <n v="4.88170519471198E-4"/>
    <n v="1.4099264517426901E-3"/>
    <n v="-6.1148145526647601E-2"/>
    <n v="-3.1637341249734198E-2"/>
    <b v="1"/>
    <b v="0"/>
    <b v="1"/>
    <b v="0"/>
  </r>
  <r>
    <x v="26"/>
    <x v="2"/>
    <n v="646598.875"/>
    <n v="0.89641642570495605"/>
    <n v="6.5000000000000002E-2"/>
    <n v="2.2821546680233999"/>
    <n v="2.5458644025054289"/>
    <n v="3.9355021616409698E-2"/>
    <n v="-6.1148145526647601E-2"/>
    <n v="-3.1637341249734198E-2"/>
    <n v="-2.7187126412987699E-2"/>
    <n v="-6.2042474746704795E-4"/>
    <b v="0"/>
    <b v="1"/>
    <b v="0"/>
    <b v="1"/>
  </r>
  <r>
    <x v="26"/>
    <x v="3"/>
    <n v="658397.5"/>
    <n v="0.905062556266785"/>
    <n v="3.4000000000000002E-2"/>
    <n v="2.2787300241995698"/>
    <n v="2.5177596934281627"/>
    <n v="-1.50061863545637E-3"/>
    <n v="-2.7187126412987699E-2"/>
    <n v="-6.2042474746704795E-4"/>
    <n v="-5.2378514632582997E-3"/>
    <n v="4.22225729562338E-3"/>
    <b v="0"/>
    <b v="0"/>
    <b v="0"/>
    <b v="0"/>
  </r>
  <r>
    <x v="26"/>
    <x v="4"/>
    <n v="670175.625"/>
    <n v="0.91997140645980802"/>
    <n v="1.6E-2"/>
    <n v="2.4272704550147202"/>
    <n v="2.6384194530080358"/>
    <n v="6.5185620603444405E-2"/>
    <n v="-5.2378514632582997E-3"/>
    <n v="4.22225729562338E-3"/>
    <n v="-1.31099767684937E-2"/>
    <n v="8.17379774525759E-3"/>
    <b v="0"/>
    <b v="0"/>
    <b v="0"/>
    <b v="1"/>
  </r>
  <r>
    <x v="26"/>
    <x v="5"/>
    <n v="682831.4375"/>
    <n v="0.925295829772949"/>
    <n v="0"/>
    <n v="2.3705540582335498"/>
    <n v="2.5619417941343596"/>
    <n v="-2.3366327664062402E-2"/>
    <n v="-1.31099767684937E-2"/>
    <n v="8.17379774525759E-3"/>
    <n v="4.7343009710309997E-4"/>
    <n v="5.9116361662744999E-3"/>
    <b v="1"/>
    <b v="0"/>
    <b v="0"/>
    <b v="0"/>
  </r>
  <r>
    <x v="26"/>
    <x v="6"/>
    <n v="696729.625"/>
    <n v="0.93060463666915905"/>
    <n v="0.02"/>
    <n v="2.3090333135348602"/>
    <n v="2.481218363363634"/>
    <n v="-2.59520530590788E-2"/>
    <n v="4.7343009710309997E-4"/>
    <n v="5.8260373771190001E-3"/>
    <n v="5.8064261823892998E-3"/>
    <n v="-3.2034516334529799E-4"/>
    <b v="1"/>
    <b v="0"/>
    <b v="1"/>
    <b v="0"/>
  </r>
  <r>
    <x v="26"/>
    <x v="7"/>
    <n v="709825.5"/>
    <n v="0.91976523399353005"/>
    <n v="4.9000000000000002E-2"/>
    <n v="2.3017426839185098"/>
    <n v="2.5025328190809843"/>
    <n v="-3.1574380385110501E-3"/>
    <n v="5.8064261823892998E-3"/>
    <n v="-3.2034516334529799E-4"/>
    <n v="2.0033079028129501E-2"/>
    <n v="1.8025055527687E-2"/>
    <b v="0"/>
    <b v="0"/>
    <b v="1"/>
    <b v="0"/>
  </r>
  <r>
    <x v="26"/>
    <x v="8"/>
    <n v="724652.5625"/>
    <n v="0.92704254388809204"/>
    <n v="7.2999999999999995E-2"/>
    <n v="2.2591213180229599"/>
    <n v="2.4369122354924735"/>
    <n v="-1.8516998530431698E-2"/>
    <n v="2.0033079028129501E-2"/>
    <n v="1.8025055527687E-2"/>
    <n v="3.9273882448673199E-2"/>
    <n v="9.0104304254055006E-3"/>
    <b v="1"/>
    <b v="0"/>
    <b v="1"/>
    <b v="0"/>
  </r>
  <r>
    <x v="26"/>
    <x v="9"/>
    <n v="740963.3125"/>
    <n v="0.91723197698593095"/>
    <n v="0.05"/>
    <n v="2.20005050186225"/>
    <n v="2.3985758859952999"/>
    <n v="-2.61476954289485E-2"/>
    <n v="3.9273882448673199E-2"/>
    <n v="9.0104304254055006E-3"/>
    <n v="1.19793231487274E-2"/>
    <n v="-1.174233853817E-3"/>
    <b v="1"/>
    <b v="0"/>
    <b v="1"/>
    <b v="0"/>
  </r>
  <r>
    <x v="26"/>
    <x v="10"/>
    <n v="755333.375"/>
    <n v="0.90047538280487105"/>
    <n v="0.04"/>
    <n v="2.11632016317134"/>
    <n v="2.3502254515601089"/>
    <n v="-3.8058371214679698E-2"/>
    <n v="1.19793231487274E-2"/>
    <n v="-1.174233853817E-3"/>
    <n v="-9.3652189746499005E-3"/>
    <n v="-1.2154792435467099E-2"/>
    <b v="0"/>
    <b v="0"/>
    <b v="1"/>
    <b v="0"/>
  </r>
  <r>
    <x v="26"/>
    <x v="11"/>
    <n v="767765.375"/>
    <n v="0.87342494726180997"/>
    <n v="0.1"/>
    <n v="2.0937073221977101"/>
    <n v="2.3971233347083678"/>
    <n v="-1.06849811135117E-2"/>
    <n v="-9.3652189746499005E-3"/>
    <n v="-1.2154792435467099E-2"/>
    <n v="-1.0126510411501001E-3"/>
    <n v="-1.01476740092038E-2"/>
    <b v="0"/>
    <b v="0"/>
    <b v="0"/>
    <b v="0"/>
  </r>
  <r>
    <x v="26"/>
    <x v="12"/>
    <n v="779496.8125"/>
    <n v="0.87849384546279896"/>
    <n v="7.1999999999999995E-2"/>
    <n v="2.21042223793276"/>
    <n v="2.5161499415722015"/>
    <n v="5.5745573651881299E-2"/>
    <n v="-1.0126510411501001E-3"/>
    <n v="-1.01476740092038E-2"/>
    <n v="2.1722617715597199E-2"/>
    <n v="3.92142310738569E-3"/>
    <b v="0"/>
    <b v="1"/>
    <b v="0"/>
    <b v="1"/>
  </r>
  <r>
    <x v="26"/>
    <x v="13"/>
    <n v="792814.375"/>
    <n v="0.89721870422363303"/>
    <n v="0.04"/>
    <n v="2.2191324919554498"/>
    <n v="2.4733462215053508"/>
    <n v="3.9405385420080499E-3"/>
    <n v="2.1722617715597199E-2"/>
    <n v="3.92142310738569E-3"/>
    <n v="9.4490909129381004E-3"/>
    <n v="-9.4000995159148996E-3"/>
    <b v="0"/>
    <b v="0"/>
    <b v="0"/>
    <b v="0"/>
  </r>
  <r>
    <x v="26"/>
    <x v="14"/>
    <n v="806353.5625"/>
    <n v="0.88999783992767301"/>
    <n v="7.0000000000000007E-2"/>
    <n v="2.1844143017745798"/>
    <n v="2.4544040488369046"/>
    <n v="-1.5644937968652E-2"/>
    <n v="9.4490909129381004E-3"/>
    <n v="-9.4000995159148996E-3"/>
    <n v="9.0766674160957003E-2"/>
    <n v="4.7177061438560097E-2"/>
    <b v="0"/>
    <b v="0"/>
    <b v="1"/>
    <b v="0"/>
  </r>
  <r>
    <x v="26"/>
    <x v="15"/>
    <n v="818831.4375"/>
    <n v="0.91229373216628995"/>
    <n v="7.4999999999999997E-2"/>
    <n v="2.1511622797381"/>
    <n v="2.357971126941814"/>
    <n v="-1.52223971475887E-2"/>
    <n v="9.0766674160957003E-2"/>
    <n v="4.7177061438560097E-2"/>
    <n v="-3.1321290135384E-3"/>
    <n v="2.89713777601718E-2"/>
    <b v="1"/>
    <b v="0"/>
    <b v="1"/>
    <b v="0"/>
  </r>
  <r>
    <x v="26"/>
    <x v="16"/>
    <n v="836195.6875"/>
    <n v="0.90881091356277499"/>
    <n v="4.8000000000000001E-2"/>
    <n v="1.9917865295096799"/>
    <n v="2.1916401968604879"/>
    <n v="-7.4088204190630599E-2"/>
    <n v="-3.1321290135384E-3"/>
    <n v="2.9450081288814399E-2"/>
    <n v="-2.9009377382695701E-2"/>
    <n v="-9.45044960826639E-3"/>
    <b v="1"/>
    <b v="0"/>
    <b v="0"/>
    <b v="0"/>
  </r>
  <r>
    <x v="27"/>
    <x v="0"/>
    <n v="2028353"/>
    <n v="0.925442814826965"/>
    <n v="0.02"/>
    <n v="2.2482610128528999"/>
    <n v="2.4293894520897754"/>
    <n v="-3.9521131821104297E-2"/>
    <n v="-6.8878069221973001E-3"/>
    <n v="-1.3250846415757999E-2"/>
    <n v="-9.7447344660760095E-4"/>
    <n v="-5.27175143361004E-5"/>
    <b v="0"/>
    <b v="0"/>
    <b v="0"/>
    <b v="0"/>
  </r>
  <r>
    <x v="27"/>
    <x v="1"/>
    <n v="2102540"/>
    <n v="0.91287809610366799"/>
    <n v="3.3000000000000002E-2"/>
    <n v="2.3100838967514501"/>
    <n v="2.5305502526693475"/>
    <n v="2.7498090099467101E-2"/>
    <n v="-9.7447344660760095E-4"/>
    <n v="-5.27175143361004E-5"/>
    <n v="-5.2310542494058601E-2"/>
    <n v="-2.27997382171451E-2"/>
    <b v="0"/>
    <b v="1"/>
    <b v="0"/>
    <b v="1"/>
  </r>
  <r>
    <x v="27"/>
    <x v="2"/>
    <n v="2162873"/>
    <n v="0.90680074691772505"/>
    <n v="0.03"/>
    <n v="2.32697370260736"/>
    <n v="2.5661356262849315"/>
    <n v="7.3113387265570902E-3"/>
    <n v="-5.2310542494058601E-2"/>
    <n v="-2.27997382171451E-2"/>
    <n v="-5.9818745315074903E-2"/>
    <n v="-3.3252043649554197E-2"/>
    <b v="0"/>
    <b v="1"/>
    <b v="0"/>
    <b v="1"/>
  </r>
  <r>
    <x v="27"/>
    <x v="3"/>
    <n v="2202796"/>
    <n v="0.90831071138382002"/>
    <n v="4.2999999999999997E-2"/>
    <n v="2.3272263985610802"/>
    <n v="2.5621479185415841"/>
    <n v="1.0859424557851299E-4"/>
    <n v="-5.9818745315074903E-2"/>
    <n v="-3.3252043649554197E-2"/>
    <n v="-3.1978524461388602E-2"/>
    <n v="-2.25184157025069E-2"/>
    <b v="0"/>
    <b v="1"/>
    <b v="0"/>
    <b v="1"/>
  </r>
  <r>
    <x v="27"/>
    <x v="4"/>
    <n v="2230784"/>
    <n v="0.92203211784362804"/>
    <n v="0.02"/>
    <n v="2.3751994119302999"/>
    <n v="2.5760484542395536"/>
    <n v="2.0613814538578801E-2"/>
    <n v="-3.1978524461388602E-2"/>
    <n v="-2.25184157025069E-2"/>
    <n v="-1.6140262007713301E-2"/>
    <n v="5.1435125060379904E-3"/>
    <b v="0"/>
    <b v="1"/>
    <b v="0"/>
    <b v="1"/>
  </r>
  <r>
    <x v="27"/>
    <x v="5"/>
    <n v="2262619"/>
    <n v="0.92601460218429599"/>
    <n v="3.0000000000000001E-3"/>
    <n v="2.4296356856872099"/>
    <n v="2.6237552625586593"/>
    <n v="2.2918612005156901E-2"/>
    <n v="-1.6140262007713301E-2"/>
    <n v="5.1435125060379904E-3"/>
    <n v="9.1603488624095904E-3"/>
    <n v="1.4598554931580901E-2"/>
    <b v="0"/>
    <b v="0"/>
    <b v="0"/>
    <b v="1"/>
  </r>
  <r>
    <x v="27"/>
    <x v="6"/>
    <n v="2300258"/>
    <n v="0.93449234962463401"/>
    <n v="1.2E-2"/>
    <n v="2.3442982456140302"/>
    <n v="2.5086328920249437"/>
    <n v="-3.5123553945102103E-2"/>
    <n v="9.1603488624095904E-3"/>
    <n v="1.45129561424254E-2"/>
    <n v="1.11192265897989E-2"/>
    <n v="4.9924552440642998E-3"/>
    <b v="1"/>
    <b v="0"/>
    <b v="1"/>
    <b v="0"/>
  </r>
  <r>
    <x v="27"/>
    <x v="7"/>
    <n v="2339734"/>
    <n v="0.92956817150116"/>
    <n v="3.5000000000000003E-2"/>
    <n v="2.3732839949796798"/>
    <n v="2.5531037612304028"/>
    <n v="1.23643608145322E-2"/>
    <n v="1.11192265897989E-2"/>
    <n v="4.9924552440642998E-3"/>
    <n v="6.2755447030066903E-3"/>
    <n v="4.2675212025641901E-3"/>
    <b v="0"/>
    <b v="0"/>
    <b v="0"/>
    <b v="0"/>
  </r>
  <r>
    <x v="27"/>
    <x v="8"/>
    <n v="2382408"/>
    <n v="0.92482888698577903"/>
    <n v="4.2999999999999997E-2"/>
    <n v="2.35898261630815"/>
    <n v="2.5507233278542949"/>
    <n v="-6.0259870718297496E-3"/>
    <n v="6.2755447030066903E-3"/>
    <n v="4.2675212025641901E-3"/>
    <n v="4.1883019894361502E-2"/>
    <n v="1.16195678710938E-2"/>
    <b v="1"/>
    <b v="0"/>
    <b v="1"/>
    <b v="0"/>
  </r>
  <r>
    <x v="27"/>
    <x v="9"/>
    <n v="2430319"/>
    <n v="0.91992849111556996"/>
    <n v="5.8999999999999997E-2"/>
    <n v="2.3640159185381302"/>
    <n v="2.5697822617401038"/>
    <n v="2.1336749983586201E-3"/>
    <n v="4.1883019894361502E-2"/>
    <n v="1.16195678710938E-2"/>
    <n v="1.33206176459789E-2"/>
    <n v="1.6706064343450001E-4"/>
    <b v="0"/>
    <b v="0"/>
    <b v="0"/>
    <b v="0"/>
  </r>
  <r>
    <x v="27"/>
    <x v="10"/>
    <n v="2481625"/>
    <n v="0.92775267362594604"/>
    <n v="4.1000000000000002E-2"/>
    <n v="2.3542441807532302"/>
    <n v="2.5375773605179832"/>
    <n v="-4.1335329886172997E-3"/>
    <n v="1.33206176459789E-2"/>
    <n v="1.6706064343450001E-4"/>
    <n v="-1.7283561676741E-3"/>
    <n v="-4.5179296284913904E-3"/>
    <b v="1"/>
    <b v="0"/>
    <b v="1"/>
    <b v="0"/>
  </r>
  <r>
    <x v="27"/>
    <x v="11"/>
    <n v="2529668"/>
    <n v="0.909132540225983"/>
    <n v="0.06"/>
    <n v="2.3043123825686398"/>
    <n v="2.5346275494614425"/>
    <n v="-2.1209269026895499E-2"/>
    <n v="-1.7283561676741E-3"/>
    <n v="-4.5179296284913904E-3"/>
    <n v="2.1335710048675498E-2"/>
    <n v="1.22006870806217E-2"/>
    <b v="0"/>
    <b v="0"/>
    <b v="0"/>
    <b v="0"/>
  </r>
  <r>
    <x v="27"/>
    <x v="12"/>
    <n v="2572494"/>
    <n v="0.91126435995101895"/>
    <n v="5.1999999999999998E-2"/>
    <n v="2.2887326019418599"/>
    <n v="2.5116011363210569"/>
    <n v="-6.7611408698900503E-3"/>
    <n v="2.1335710048675498E-2"/>
    <n v="1.22006870806217E-2"/>
    <n v="2.9073330730199801E-2"/>
    <n v="1.1272136121988199E-2"/>
    <b v="1"/>
    <b v="0"/>
    <b v="1"/>
    <b v="0"/>
  </r>
  <r>
    <x v="27"/>
    <x v="13"/>
    <n v="2616341"/>
    <n v="0.923475861549377"/>
    <n v="3.6999999999999998E-2"/>
    <n v="2.2497337839714802"/>
    <n v="2.4361587320722728"/>
    <n v="-1.70394819985932E-2"/>
    <n v="2.9073330730199801E-2"/>
    <n v="1.1272136121988199E-2"/>
    <n v="1.0016867995262101E-2"/>
    <n v="-8.8323224335908994E-3"/>
    <b v="1"/>
    <b v="0"/>
    <b v="1"/>
    <b v="0"/>
  </r>
  <r>
    <x v="27"/>
    <x v="14"/>
    <n v="2655812"/>
    <n v="0.91380137205123901"/>
    <n v="5.8999999999999997E-2"/>
    <n v="2.1030950122941401"/>
    <n v="2.3014793768291852"/>
    <n v="-6.5180499453792506E-2"/>
    <n v="1.0016867995262101E-2"/>
    <n v="-8.8323224335908994E-3"/>
    <n v="9.6766790628433005E-2"/>
    <n v="5.3177177906036099E-2"/>
    <b v="0"/>
    <b v="0"/>
    <b v="1"/>
    <b v="0"/>
  </r>
  <r>
    <x v="27"/>
    <x v="15"/>
    <n v="2697575"/>
    <n v="0.92784321308135997"/>
    <n v="5.7000000000000002E-2"/>
    <n v="2.1368619558945601"/>
    <n v="2.3030420719445241"/>
    <n v="1.6055833618083E-2"/>
    <n v="9.6766790628433005E-2"/>
    <n v="5.3177177906036099E-2"/>
    <n v="-3.1649978756904597E-2"/>
    <n v="4.53528016805697E-4"/>
    <b v="0"/>
    <b v="0"/>
    <b v="0"/>
    <b v="0"/>
  </r>
  <r>
    <x v="27"/>
    <x v="16"/>
    <n v="2753644"/>
    <n v="0.90995633602142301"/>
    <n v="4.2999999999999997E-2"/>
    <n v="2.1152645052338102"/>
    <n v="2.3245780280868451"/>
    <n v="-1.01070874518468E-2"/>
    <n v="-3.1649978756904597E-2"/>
    <n v="9.3223154544829596E-4"/>
    <n v="-5.6138573013246103E-2"/>
    <n v="-3.6579645238816801E-2"/>
    <b v="1"/>
    <b v="0"/>
    <b v="0"/>
    <b v="0"/>
  </r>
  <r>
    <x v="28"/>
    <x v="0"/>
    <n v="508101.09375"/>
    <n v="0.92487722635269198"/>
    <n v="6.0000000000000001E-3"/>
    <n v="2.1462440687028002"/>
    <n v="2.3205718635398132"/>
    <n v="-3.4628488575221501E-2"/>
    <n v="3.3271973609924302E-2"/>
    <n v="2.6908934116363501E-2"/>
    <n v="-3.1677921265363999E-3"/>
    <n v="-2.2460361942649E-3"/>
    <b v="1"/>
    <b v="0"/>
    <b v="1"/>
    <b v="0"/>
  </r>
  <r>
    <x v="28"/>
    <x v="1"/>
    <n v="514516.125"/>
    <n v="0.89906805753707897"/>
    <n v="5.0000000000000001E-3"/>
    <n v="2.21821462295966"/>
    <n v="2.4672377183950585"/>
    <n v="3.3533257147387002E-2"/>
    <n v="-3.1677921265363999E-3"/>
    <n v="-2.2460361942649E-3"/>
    <n v="-5.3314601361751597E-2"/>
    <n v="-2.38037970848381E-2"/>
    <b v="0"/>
    <b v="1"/>
    <b v="0"/>
    <b v="1"/>
  </r>
  <r>
    <x v="28"/>
    <x v="2"/>
    <n v="520126.09375"/>
    <n v="0.89007723331451405"/>
    <n v="2.1000000000000001E-2"/>
    <n v="2.0952440283364702"/>
    <n v="2.3540024954172751"/>
    <n v="-5.5436743293628299E-2"/>
    <n v="-5.3314601361751597E-2"/>
    <n v="-2.38037970848381E-2"/>
    <n v="-2.6734542757272699E-2"/>
    <n v="-1.67841091752048E-4"/>
    <b v="0"/>
    <b v="0"/>
    <b v="0"/>
    <b v="0"/>
  </r>
  <r>
    <x v="28"/>
    <x v="3"/>
    <n v="525348.0625"/>
    <n v="0.90487080812454201"/>
    <n v="1.4999999999999999E-2"/>
    <n v="2.2717310675028601"/>
    <n v="2.5105584654800688"/>
    <n v="8.4232211990366707E-2"/>
    <n v="-2.6734542757272699E-2"/>
    <n v="-1.67841091752048E-4"/>
    <n v="-9.8577725552022495E-3"/>
    <n v="-3.9766379632056399E-4"/>
    <b v="0"/>
    <b v="1"/>
    <b v="0"/>
    <b v="1"/>
  </r>
  <r>
    <x v="28"/>
    <x v="4"/>
    <n v="530022.5625"/>
    <n v="0.91781246662139904"/>
    <n v="3.5000000000000003E-2"/>
    <n v="2.3157835053216398"/>
    <n v="2.5231554261257476"/>
    <n v="1.93915725540546E-2"/>
    <n v="-9.8577725552022495E-3"/>
    <n v="-3.9766379632056399E-4"/>
    <n v="-2.0246714696288099E-2"/>
    <n v="1.0370598174631899E-3"/>
    <b v="0"/>
    <b v="1"/>
    <b v="0"/>
    <b v="1"/>
  </r>
  <r>
    <x v="28"/>
    <x v="5"/>
    <n v="533911.625"/>
    <n v="0.91712969541549705"/>
    <n v="1.6E-2"/>
    <n v="2.2179121131567698"/>
    <n v="2.4183189403238825"/>
    <n v="-4.2262755538230598E-2"/>
    <n v="-2.0246714696288099E-2"/>
    <n v="1.0370598174631899E-3"/>
    <n v="2.7628028392789802E-4"/>
    <n v="5.7144863530992898E-3"/>
    <b v="1"/>
    <b v="0"/>
    <b v="0"/>
    <b v="0"/>
  </r>
  <r>
    <x v="28"/>
    <x v="6"/>
    <n v="537801.25"/>
    <n v="0.92138451337814298"/>
    <n v="2E-3"/>
    <n v="2.3712296983758701"/>
    <n v="2.5735506337978791"/>
    <n v="6.91269885355736E-2"/>
    <n v="2.7628028392789802E-4"/>
    <n v="5.6288875639437996E-3"/>
    <n v="3.0870108306407999E-3"/>
    <n v="-3.0397605150937999E-3"/>
    <b v="0"/>
    <b v="0"/>
    <b v="0"/>
    <b v="0"/>
  </r>
  <r>
    <x v="28"/>
    <x v="7"/>
    <n v="540725"/>
    <n v="0.91452807188034102"/>
    <n v="2.1999999999999999E-2"/>
    <n v="2.3551040890497399"/>
    <n v="2.5752124636343443"/>
    <n v="-6.8005260465378798E-3"/>
    <n v="3.0870108306407999E-3"/>
    <n v="-3.0397605150937999E-3"/>
    <n v="4.6903386861085897E-3"/>
    <n v="2.6823151856660899E-3"/>
    <b v="0"/>
    <b v="0"/>
    <b v="1"/>
    <b v="0"/>
  </r>
  <r>
    <x v="28"/>
    <x v="8"/>
    <n v="542477.75"/>
    <n v="0.89102804660797097"/>
    <n v="4.2000000000000003E-2"/>
    <n v="2.2617860085874102"/>
    <n v="2.5384004658413821"/>
    <n v="-3.9623760536197698E-2"/>
    <n v="4.6903386861085897E-3"/>
    <n v="2.6823151856660899E-3"/>
    <n v="2.4889214128255701E-2"/>
    <n v="-5.3742378950118897E-3"/>
    <b v="1"/>
    <b v="0"/>
    <b v="1"/>
    <b v="0"/>
  </r>
  <r>
    <x v="28"/>
    <x v="9"/>
    <n v="545311.6875"/>
    <n v="0.91564047336578402"/>
    <n v="6.3E-2"/>
    <n v="2.2572569906790898"/>
    <n v="2.4652219471925321"/>
    <n v="-2.0024077835496101E-3"/>
    <n v="2.4889214128255701E-2"/>
    <n v="-5.3742378950118897E-3"/>
    <n v="1.11092070937157E-2"/>
    <n v="-2.0443499088286998E-3"/>
    <b v="0"/>
    <b v="0"/>
    <b v="1"/>
    <b v="0"/>
  </r>
  <r>
    <x v="28"/>
    <x v="10"/>
    <n v="549283.375"/>
    <n v="0.92936587333679199"/>
    <n v="7.0000000000000001E-3"/>
    <n v="2.0290146813985102"/>
    <n v="2.1832248628987667"/>
    <n v="-0.101114897516348"/>
    <n v="1.11092070937157E-2"/>
    <n v="-2.0443499088286998E-3"/>
    <n v="1.28245325386519E-3"/>
    <n v="-1.50712020695209E-3"/>
    <b v="0"/>
    <b v="0"/>
    <b v="1"/>
    <b v="0"/>
  </r>
  <r>
    <x v="28"/>
    <x v="11"/>
    <n v="552888.5"/>
    <n v="0.90625381469726596"/>
    <n v="5.1999999999999998E-2"/>
    <n v="1.99430080803612"/>
    <n v="2.2005985251519369"/>
    <n v="-1.7108734441718801E-2"/>
    <n v="1.28245325386519E-3"/>
    <n v="-1.50712020695209E-3"/>
    <n v="1.30160713791847E-2"/>
    <n v="3.8810484111308999E-3"/>
    <b v="0"/>
    <b v="0"/>
    <b v="1"/>
    <b v="0"/>
  </r>
  <r>
    <x v="28"/>
    <x v="12"/>
    <n v="556810.625"/>
    <n v="0.92080658674240101"/>
    <n v="2.3E-2"/>
    <n v="2.2132314334052801"/>
    <n v="2.403579063476486"/>
    <n v="0.10977813601988901"/>
    <n v="1.30160713791847E-2"/>
    <n v="3.8810484111308999E-3"/>
    <n v="1.3281653791665999E-2"/>
    <n v="-4.5195408165455003E-3"/>
    <b v="0"/>
    <b v="0"/>
    <b v="0"/>
    <b v="0"/>
  </r>
  <r>
    <x v="28"/>
    <x v="13"/>
    <n v="560406.9375"/>
    <n v="0.92071861028671298"/>
    <n v="3.3000000000000002E-2"/>
    <n v="2.2483579196726602"/>
    <n v="2.441959893666664"/>
    <n v="1.58711311149821E-2"/>
    <n v="1.3281653791665999E-2"/>
    <n v="-4.5195408165455003E-3"/>
    <n v="2.9698671877384199E-2"/>
    <n v="1.0849481448531199E-2"/>
    <b v="0"/>
    <b v="1"/>
    <b v="0"/>
    <b v="0"/>
  </r>
  <r>
    <x v="28"/>
    <x v="14"/>
    <n v="565500.5"/>
    <n v="0.91921889781951904"/>
    <n v="5.1999999999999998E-2"/>
    <n v="2.1688020361502902"/>
    <n v="2.3593967022380737"/>
    <n v="-3.5383994170264298E-2"/>
    <n v="2.9698671877384199E-2"/>
    <n v="1.0849481448531199E-2"/>
    <n v="6.3216721892356997E-2"/>
    <n v="1.9627109169960001E-2"/>
    <b v="1"/>
    <b v="0"/>
    <b v="1"/>
    <b v="0"/>
  </r>
  <r>
    <x v="28"/>
    <x v="15"/>
    <n v="569942.6875"/>
    <n v="0.94871532917022705"/>
    <n v="1.4E-2"/>
    <n v="2.2317014875010499"/>
    <n v="2.3523404954918967"/>
    <n v="2.9001933003718301E-2"/>
    <n v="6.3216721892356997E-2"/>
    <n v="1.9627109169960001E-2"/>
    <n v="-1.7690552324056599E-2"/>
    <n v="1.44129544496537E-2"/>
    <b v="0"/>
    <b v="0"/>
    <b v="0"/>
    <b v="0"/>
  </r>
  <r>
    <x v="28"/>
    <x v="16"/>
    <n v="577318.125"/>
    <n v="0.91675847768783603"/>
    <n v="4.2999999999999997E-2"/>
    <n v="2.2317815641263201"/>
    <n v="2.4344269711637838"/>
    <n v="3.5881423085389101E-5"/>
    <n v="-1.7690552324056599E-2"/>
    <n v="1.4891657978296301E-2"/>
    <n v="-4.68063631877303E-2"/>
    <n v="-2.7247435413301001E-2"/>
    <b v="0"/>
    <b v="0"/>
    <b v="0"/>
    <b v="1"/>
  </r>
  <r>
    <x v="29"/>
    <x v="0"/>
    <n v="9307072"/>
    <n v="0.91994160413742099"/>
    <n v="5.0000000000000001E-3"/>
    <n v="2.31000409196308"/>
    <n v="2.5110333977438106"/>
    <n v="-4.0519485646726902E-3"/>
    <n v="1.4261936426162599E-2"/>
    <n v="7.8988969326018992E-3"/>
    <n v="2.53225705623626E-2"/>
    <n v="2.62443264946342E-2"/>
    <b v="1"/>
    <b v="0"/>
    <b v="1"/>
    <b v="0"/>
  </r>
  <r>
    <x v="29"/>
    <x v="1"/>
    <n v="9348932"/>
    <n v="0.922593653202057"/>
    <n v="7.0000000000000001E-3"/>
    <n v="2.3117407487757702"/>
    <n v="2.5056976500460233"/>
    <n v="7.5179815426854903E-4"/>
    <n v="2.53225705623626E-2"/>
    <n v="2.62443264946342E-2"/>
    <n v="-1.69969753473997E-2"/>
    <n v="1.25138289295137E-2"/>
    <b v="0"/>
    <b v="0"/>
    <b v="0"/>
    <b v="0"/>
  </r>
  <r>
    <x v="29"/>
    <x v="2"/>
    <n v="9396189"/>
    <n v="0.92417067289352395"/>
    <n v="4.0000000000000001E-3"/>
    <n v="2.3163448233491399"/>
    <n v="2.506403731787767"/>
    <n v="1.99160506030422E-3"/>
    <n v="-1.69969753473997E-2"/>
    <n v="1.25138289295137E-2"/>
    <n v="-1.8806702181696899E-2"/>
    <n v="7.7599994838237502E-3"/>
    <b v="0"/>
    <b v="0"/>
    <b v="0"/>
    <b v="1"/>
  </r>
  <r>
    <x v="29"/>
    <x v="3"/>
    <n v="9441626"/>
    <n v="0.916972696781158"/>
    <n v="5.0000000000000001E-3"/>
    <n v="2.3109700015254799"/>
    <n v="2.520216806495613"/>
    <n v="-2.3203893347328898E-3"/>
    <n v="-1.8806702181696899E-2"/>
    <n v="7.7599994838237502E-3"/>
    <n v="2.4340191483499999E-4"/>
    <n v="9.7035106737166799E-3"/>
    <b v="1"/>
    <b v="0"/>
    <b v="0"/>
    <b v="0"/>
  </r>
  <r>
    <x v="29"/>
    <x v="4"/>
    <n v="9488415"/>
    <n v="0.92464703321456898"/>
    <n v="6.0000000000000001E-3"/>
    <n v="2.3947602193194402"/>
    <n v="2.5899182426335909"/>
    <n v="3.6257596480547001E-2"/>
    <n v="2.4340191483499999E-4"/>
    <n v="9.7035106737166799E-3"/>
    <n v="-1.72069225162268E-2"/>
    <n v="4.0768519975244999E-3"/>
    <b v="0"/>
    <b v="0"/>
    <b v="0"/>
    <b v="0"/>
  </r>
  <r>
    <x v="29"/>
    <x v="5"/>
    <n v="9536325"/>
    <n v="0.92960947751998901"/>
    <n v="1E-3"/>
    <n v="2.35478669847907"/>
    <n v="2.5330923957027278"/>
    <n v="-1.6692076525192199E-2"/>
    <n v="-1.72069225162268E-2"/>
    <n v="4.0768519975244999E-3"/>
    <n v="-3.4176281690597998E-3"/>
    <n v="2.0205779001115998E-3"/>
    <b v="1"/>
    <b v="0"/>
    <b v="0"/>
    <b v="0"/>
  </r>
  <r>
    <x v="29"/>
    <x v="6"/>
    <n v="9582919"/>
    <n v="0.93547958135604903"/>
    <n v="1E-3"/>
    <n v="2.3716519325029202"/>
    <n v="2.5352257598878105"/>
    <n v="7.1621068841363697E-3"/>
    <n v="-3.4176281690597998E-3"/>
    <n v="1.9349791109561001E-3"/>
    <n v="1.4878107607365001E-3"/>
    <n v="-4.6389605849980996E-3"/>
    <b v="0"/>
    <b v="0"/>
    <b v="0"/>
    <b v="1"/>
  </r>
  <r>
    <x v="29"/>
    <x v="7"/>
    <n v="9620105"/>
    <n v="0.93248760700225797"/>
    <n v="1.2E-2"/>
    <n v="2.3604001468309499"/>
    <n v="2.531293852171522"/>
    <n v="-4.74428204146246E-3"/>
    <n v="1.4878107607365001E-3"/>
    <n v="-4.6389605849980996E-3"/>
    <n v="4.6510368734597896E-3"/>
    <n v="2.6430133730172898E-3"/>
    <b v="0"/>
    <b v="0"/>
    <b v="1"/>
    <b v="0"/>
  </r>
  <r>
    <x v="29"/>
    <x v="8"/>
    <n v="9646115"/>
    <n v="0.93465870618820202"/>
    <n v="0.01"/>
    <n v="2.37056706739016"/>
    <n v="2.5362916449556132"/>
    <n v="4.3072868695026899E-3"/>
    <n v="4.6510368734597896E-3"/>
    <n v="2.6430133730172898E-3"/>
    <n v="3.92478724718094E-2"/>
    <n v="8.9844204485417002E-3"/>
    <b v="0"/>
    <b v="0"/>
    <b v="0"/>
    <b v="0"/>
  </r>
  <r>
    <x v="29"/>
    <x v="9"/>
    <n v="9654273"/>
    <n v="0.93692159652710005"/>
    <n v="0.01"/>
    <n v="2.3611501872240201"/>
    <n v="2.5201150192034505"/>
    <n v="-3.9724166827768302E-3"/>
    <n v="3.92478724718094E-2"/>
    <n v="8.9844204485417002E-3"/>
    <n v="2.7683510333299899E-3"/>
    <n v="-1.0385205969214399E-2"/>
    <b v="1"/>
    <b v="0"/>
    <b v="1"/>
    <b v="0"/>
  </r>
  <r>
    <x v="29"/>
    <x v="10"/>
    <n v="9655397"/>
    <n v="0.93007081747055098"/>
    <n v="1.7999999999999999E-2"/>
    <n v="2.2986550583143499"/>
    <n v="2.4714839076080706"/>
    <n v="-2.6468087141523901E-2"/>
    <n v="2.7683510333299899E-3"/>
    <n v="-1.0385205969214399E-2"/>
    <n v="-7.0894512385130002E-3"/>
    <n v="-9.87902469933029E-3"/>
    <b v="0"/>
    <b v="0"/>
    <b v="1"/>
    <b v="0"/>
  </r>
  <r>
    <x v="29"/>
    <x v="11"/>
    <n v="9652473"/>
    <n v="0.92894625663757302"/>
    <n v="1.9E-2"/>
    <n v="2.2932544536221799"/>
    <n v="2.4686621397484028"/>
    <n v="-2.34946286204831E-3"/>
    <n v="-7.0894512385130002E-3"/>
    <n v="-9.87902469933029E-3"/>
    <n v="4.0697401612996903E-3"/>
    <n v="-5.0652828067540897E-3"/>
    <b v="0"/>
    <b v="0"/>
    <b v="0"/>
    <b v="0"/>
  </r>
  <r>
    <x v="29"/>
    <x v="12"/>
    <n v="9642400"/>
    <n v="0.930727779865265"/>
    <n v="1.9E-2"/>
    <n v="2.2619196379264599"/>
    <n v="2.4302698241734038"/>
    <n v="-1.3663907049753E-2"/>
    <n v="4.0697401612996903E-3"/>
    <n v="-5.0652828067540897E-3"/>
    <n v="9.5832079350948E-3"/>
    <n v="-8.2179866731166996E-3"/>
    <b v="0"/>
    <b v="0"/>
    <b v="1"/>
    <b v="0"/>
  </r>
  <r>
    <x v="29"/>
    <x v="13"/>
    <n v="9630651"/>
    <n v="0.93392485380172696"/>
    <n v="1.7999999999999999E-2"/>
    <n v="2.1534359220966501"/>
    <n v="2.3057914277906413"/>
    <n v="-4.7960906307552398E-2"/>
    <n v="9.5832079350948E-3"/>
    <n v="-8.2179866731166996E-3"/>
    <n v="-2.3636423878371698E-2"/>
    <n v="-4.2485614307224598E-2"/>
    <b v="0"/>
    <b v="0"/>
    <b v="1"/>
    <b v="0"/>
  </r>
  <r>
    <x v="29"/>
    <x v="14"/>
    <n v="9588870"/>
    <n v="0.92155790328979503"/>
    <n v="0.02"/>
    <n v="2.1441088004241902"/>
    <n v="2.3266132196035754"/>
    <n v="-4.3312743029677199E-3"/>
    <n v="-2.3636423878371698E-2"/>
    <n v="-4.2485614307224598E-2"/>
    <n v="3.2158768057823098E-2"/>
    <n v="-1.1430844664573701E-2"/>
    <b v="0"/>
    <b v="0"/>
    <b v="0"/>
    <b v="0"/>
  </r>
  <r>
    <x v="29"/>
    <x v="15"/>
    <n v="9515238"/>
    <n v="0.94278889894485496"/>
    <n v="1.7999999999999999E-2"/>
    <n v="2.1673539998460098"/>
    <n v="2.2988751800871401"/>
    <n v="1.0841427178144999E-2"/>
    <n v="3.2158768057823098E-2"/>
    <n v="-1.1430844664573701E-2"/>
    <n v="-3.1803423464298201E-2"/>
    <n v="3.00083309412099E-4"/>
    <b v="0"/>
    <b v="1"/>
    <b v="0"/>
    <b v="0"/>
  </r>
  <r>
    <x v="29"/>
    <x v="16"/>
    <n v="9483157"/>
    <n v="0.94601380825042702"/>
    <n v="1.0999999999999999E-2"/>
    <n v="2.1032550359826798"/>
    <n v="2.2232815394866945"/>
    <n v="-2.9574755147465399E-2"/>
    <n v="-3.1803423464298201E-2"/>
    <n v="7.7878683805469797E-4"/>
    <n v="-1.10349662452936E-2"/>
    <n v="8.5239615291357006E-3"/>
    <b v="1"/>
    <b v="0"/>
    <b v="0"/>
    <b v="0"/>
  </r>
  <r>
    <x v="30"/>
    <x v="0"/>
    <n v="216973"/>
    <n v="0.95863568782806396"/>
    <n v="2E-3"/>
    <n v="2.2912316123449599"/>
    <n v="2.390096301897644"/>
    <n v="-7.1336179478293502E-2"/>
    <n v="2.49253861904144E-2"/>
    <n v="1.85623466968536E-2"/>
    <n v="1.6355912297964102E-2"/>
    <n v="1.7277668230235601E-2"/>
    <b v="1"/>
    <b v="0"/>
    <b v="1"/>
    <b v="0"/>
  </r>
  <r>
    <x v="30"/>
    <x v="1"/>
    <n v="217858.796875"/>
    <n v="0.95843350887298595"/>
    <n v="2E-3"/>
    <n v="2.6140064212819598"/>
    <n v="2.7273737792783854"/>
    <n v="0.140873933127455"/>
    <n v="1.6355912297964102E-2"/>
    <n v="1.7277668230235601E-2"/>
    <n v="-3.1209878914058201E-2"/>
    <n v="-1.6990746371448001E-3"/>
    <b v="0"/>
    <b v="0"/>
    <b v="0"/>
    <b v="0"/>
  </r>
  <r>
    <x v="30"/>
    <x v="2"/>
    <n v="219229.09375"/>
    <n v="0.95074307918548595"/>
    <n v="0"/>
    <n v="2.4042191314843699"/>
    <n v="2.5287789983642015"/>
    <n v="-8.0255078216181899E-2"/>
    <n v="-3.1209878914058201E-2"/>
    <n v="-1.6990746371448001E-3"/>
    <n v="-5.0381363093852903E-2"/>
    <n v="-2.3814661428332301E-2"/>
    <b v="0"/>
    <b v="0"/>
    <b v="0"/>
    <b v="0"/>
  </r>
  <r>
    <x v="30"/>
    <x v="3"/>
    <n v="219818.203125"/>
    <n v="0.94093918800354004"/>
    <n v="3.0000000000000001E-3"/>
    <n v="2.40927744171201"/>
    <n v="2.5605028172160109"/>
    <n v="2.1039306115621498E-3"/>
    <n v="-5.0381363093852903E-2"/>
    <n v="-2.3814661428332301E-2"/>
    <n v="-1.1584038086235499E-2"/>
    <n v="-2.1239293273538299E-3"/>
    <b v="0"/>
    <b v="1"/>
    <b v="0"/>
    <b v="1"/>
  </r>
  <r>
    <x v="30"/>
    <x v="4"/>
    <n v="219834.109375"/>
    <n v="0.94749891757965099"/>
    <n v="2E-3"/>
    <n v="2.3686002886002799"/>
    <n v="2.499844849058801"/>
    <n v="-1.6883548738503399E-2"/>
    <n v="-1.1584038086235499E-2"/>
    <n v="-2.1239293273538299E-3"/>
    <n v="-2.1834290929138699E-2"/>
    <n v="-5.5051641538740202E-4"/>
    <b v="0"/>
    <b v="0"/>
    <b v="0"/>
    <b v="0"/>
  </r>
  <r>
    <x v="30"/>
    <x v="5"/>
    <n v="219783.296875"/>
    <n v="0.94734901189804099"/>
    <n v="3.0000000000000001E-3"/>
    <n v="2.3072443714145598"/>
    <n v="2.4354745109111682"/>
    <n v="-2.59038713627689E-2"/>
    <n v="-2.1834290929138699E-2"/>
    <n v="-5.5051641538740202E-4"/>
    <n v="-2.5995804965495998E-3"/>
    <n v="2.8386255726217998E-3"/>
    <b v="0"/>
    <b v="0"/>
    <b v="0"/>
    <b v="0"/>
  </r>
  <r>
    <x v="30"/>
    <x v="6"/>
    <n v="220400.296875"/>
    <n v="0.94963866472244296"/>
    <n v="2.7E-2"/>
    <n v="2.4280826882375099"/>
    <n v="2.5568490189341451"/>
    <n v="5.2373436606914597E-2"/>
    <n v="-2.5995804965495998E-3"/>
    <n v="2.7530267834663001E-3"/>
    <n v="7.3856940865516998E-3"/>
    <n v="1.2589227408170999E-3"/>
    <b v="0"/>
    <b v="0"/>
    <b v="0"/>
    <b v="1"/>
  </r>
  <r>
    <x v="30"/>
    <x v="7"/>
    <n v="221144.8125"/>
    <n v="0.95589751005172696"/>
    <n v="7.0000000000000001E-3"/>
    <n v="2.3296383690939999"/>
    <n v="2.4371214953451807"/>
    <n v="-4.0544055447702801E-2"/>
    <n v="7.3856940865516998E-3"/>
    <n v="1.2589227408170999E-3"/>
    <n v="5.4358940720557903E-3"/>
    <n v="3.4278705716132901E-3"/>
    <b v="1"/>
    <b v="0"/>
    <b v="1"/>
    <b v="0"/>
  </r>
  <r>
    <x v="30"/>
    <x v="8"/>
    <n v="222580.59375"/>
    <n v="0.95853823423385598"/>
    <n v="3.0000000000000001E-3"/>
    <n v="2.41788521680331"/>
    <n v="2.5224713323364574"/>
    <n v="3.7880062794308403E-2"/>
    <n v="5.4358940720557903E-3"/>
    <n v="3.4278705716132901E-3"/>
    <n v="2.7701547533273699E-2"/>
    <n v="-2.5619044899939901E-3"/>
    <b v="0"/>
    <b v="0"/>
    <b v="0"/>
    <b v="0"/>
  </r>
  <r>
    <x v="30"/>
    <x v="9"/>
    <n v="223524.703125"/>
    <n v="0.95777672529220603"/>
    <n v="3.1E-2"/>
    <n v="2.3416427150121599"/>
    <n v="2.444873270748726"/>
    <n v="-3.1532721760859E-2"/>
    <n v="2.7701547533273699E-2"/>
    <n v="-2.5619044899939901E-3"/>
    <n v="2.4920381873846102E-2"/>
    <n v="1.17668248713017E-2"/>
    <b v="0"/>
    <b v="0"/>
    <b v="1"/>
    <b v="0"/>
  </r>
  <r>
    <x v="30"/>
    <x v="10"/>
    <n v="225067.90625"/>
    <n v="0.95204883813857999"/>
    <n v="1.4999999999999999E-2"/>
    <n v="2.3443729354140501"/>
    <n v="2.4624502877370285"/>
    <n v="1.1659423465386399E-3"/>
    <n v="2.4920381873846102E-2"/>
    <n v="1.17668248713017E-2"/>
    <n v="9.9994481503962902E-3"/>
    <n v="7.2098746895789996E-3"/>
    <b v="0"/>
    <b v="0"/>
    <b v="0"/>
    <b v="0"/>
  </r>
  <r>
    <x v="30"/>
    <x v="11"/>
    <n v="227051"/>
    <n v="0.95540434122085605"/>
    <n v="0.01"/>
    <n v="2.4397037987542398"/>
    <n v="2.5535824922426911"/>
    <n v="4.0663693860358598E-2"/>
    <n v="9.9994481503962902E-3"/>
    <n v="7.2098746895789996E-3"/>
    <n v="2.0340923428535499E-2"/>
    <n v="1.1205900460481699E-2"/>
    <b v="0"/>
    <b v="0"/>
    <b v="0"/>
    <b v="0"/>
  </r>
  <r>
    <x v="30"/>
    <x v="12"/>
    <n v="225092"/>
    <n v="0.97272431850433305"/>
    <n v="2E-3"/>
    <n v="2.4087790383576402"/>
    <n v="2.4763224199651899"/>
    <n v="-1.26756208734805E-2"/>
    <n v="2.0340923428535499E-2"/>
    <n v="1.1205900460481699E-2"/>
    <n v="2.0486257195472701E-2"/>
    <n v="2.6850625872612E-3"/>
    <b v="1"/>
    <b v="0"/>
    <b v="1"/>
    <b v="0"/>
  </r>
  <r>
    <x v="30"/>
    <x v="13"/>
    <n v="214693.609375"/>
    <n v="0.97495198249816895"/>
    <n v="5.0000000000000001E-3"/>
    <n v="2.2893160339580301"/>
    <n v="2.3481320875844567"/>
    <n v="-4.95948372587399E-2"/>
    <n v="2.0486257195472701E-2"/>
    <n v="2.6850625872612E-3"/>
    <n v="1.27208196669817E-2"/>
    <n v="-6.1283707618712997E-3"/>
    <b v="1"/>
    <b v="0"/>
    <b v="1"/>
    <b v="0"/>
  </r>
  <r>
    <x v="30"/>
    <x v="14"/>
    <n v="209247.703125"/>
    <n v="0.97239089012145996"/>
    <n v="1.7999999999999999E-2"/>
    <n v="2.3912075516504299"/>
    <n v="2.4591011453755471"/>
    <n v="4.4507405784532099E-2"/>
    <n v="1.27208196669817E-2"/>
    <n v="-6.1283707618712997E-3"/>
    <n v="-1.71193161308765E-2"/>
    <n v="-6.0708928853273399E-2"/>
    <b v="0"/>
    <b v="1"/>
    <b v="0"/>
    <b v="0"/>
  </r>
  <r>
    <x v="30"/>
    <x v="15"/>
    <n v="206563.40625"/>
    <n v="0.95639884471893299"/>
    <n v="4.7E-2"/>
    <n v="2.25751997845021"/>
    <n v="2.360437793202951"/>
    <n v="-5.5907975494622099E-2"/>
    <n v="-1.71193161308765E-2"/>
    <n v="-6.0708928853273399E-2"/>
    <n v="-2.8450122028589198E-2"/>
    <n v="3.6533847451210898E-3"/>
    <b v="0"/>
    <b v="0"/>
    <b v="0"/>
    <b v="0"/>
  </r>
  <r>
    <x v="30"/>
    <x v="16"/>
    <n v="207339"/>
    <n v="0.95828461647033703"/>
    <n v="1.2999999999999999E-2"/>
    <n v="2.24721721027064"/>
    <n v="2.345041516525483"/>
    <n v="-4.5637550400056204E-3"/>
    <n v="-2.8450122028589198E-2"/>
    <n v="4.1320882737636896E-3"/>
    <n v="-7.4015732705592901E-3"/>
    <n v="1.215735450387E-2"/>
    <b v="1"/>
    <b v="0"/>
    <b v="0"/>
    <b v="0"/>
  </r>
  <r>
    <x v="31"/>
    <x v="0"/>
    <n v="2073364"/>
    <n v="0.91673713922500599"/>
    <n v="0.01"/>
    <n v="2.1010699808380302"/>
    <n v="2.2919001433870556"/>
    <n v="3.4499190167386201E-3"/>
    <n v="-1.90221158489585E-2"/>
    <n v="-2.53851553425192E-2"/>
    <n v="-1.18298110514879E-2"/>
    <n v="-1.09080551192163E-2"/>
    <b v="0"/>
    <b v="1"/>
    <b v="0"/>
    <b v="1"/>
  </r>
  <r>
    <x v="31"/>
    <x v="1"/>
    <n v="2086778.125"/>
    <n v="0.92023861408233598"/>
    <n v="-1E-3"/>
    <n v="2.0746726509099802"/>
    <n v="2.2544942356921727"/>
    <n v="-1.2563755690572101E-2"/>
    <n v="-1.18298110514879E-2"/>
    <n v="-1.09080551192163E-2"/>
    <n v="-2.3677737742662401E-2"/>
    <n v="5.8330665342509998E-3"/>
    <b v="0"/>
    <b v="0"/>
    <b v="0"/>
    <b v="0"/>
  </r>
  <r>
    <x v="31"/>
    <x v="2"/>
    <n v="2098281"/>
    <n v="0.916464984416962"/>
    <n v="0"/>
    <n v="2.1565434984813101"/>
    <n v="2.3531106317752695"/>
    <n v="3.94620556334127E-2"/>
    <n v="-2.3677737742662401E-2"/>
    <n v="5.8330665342509998E-3"/>
    <n v="-1.34553021788597E-2"/>
    <n v="1.31113994866609E-2"/>
    <b v="0"/>
    <b v="0"/>
    <b v="0"/>
    <b v="1"/>
  </r>
  <r>
    <x v="31"/>
    <x v="3"/>
    <n v="2110508"/>
    <n v="0.91140753030777"/>
    <n v="1E-3"/>
    <n v="2.2162611401895602"/>
    <n v="2.4316906175233806"/>
    <n v="2.7691368966262699E-2"/>
    <n v="-1.34553021788597E-2"/>
    <n v="1.31113994866609E-2"/>
    <n v="-9.5005735605955093E-3"/>
    <n v="-4.0464801713824198E-5"/>
    <b v="0"/>
    <b v="0"/>
    <b v="0"/>
    <b v="1"/>
  </r>
  <r>
    <x v="31"/>
    <x v="4"/>
    <n v="2120738"/>
    <n v="0.91586643457412698"/>
    <n v="1E-3"/>
    <n v="2.30277874374256"/>
    <n v="2.5143172157120706"/>
    <n v="3.9037639556144303E-2"/>
    <n v="-9.5005735605955093E-3"/>
    <n v="-4.0464801713824198E-5"/>
    <n v="-2.20350114330649E-2"/>
    <n v="-7.5123691931363798E-4"/>
    <b v="0"/>
    <b v="1"/>
    <b v="0"/>
    <b v="1"/>
  </r>
  <r>
    <x v="31"/>
    <x v="5"/>
    <n v="2129093"/>
    <n v="0.91883838176727295"/>
    <n v="5.0000000000000001E-3"/>
    <n v="2.22316429693478"/>
    <n v="2.4195379090050593"/>
    <n v="-3.45732072714846E-2"/>
    <n v="-2.20350114330649E-2"/>
    <n v="-7.5123691931363798E-4"/>
    <n v="-3.4078939855099002E-3"/>
    <n v="2.0303120836614899E-3"/>
    <b v="0"/>
    <b v="0"/>
    <b v="0"/>
    <b v="0"/>
  </r>
  <r>
    <x v="31"/>
    <x v="6"/>
    <n v="2139233"/>
    <n v="0.92302513122558605"/>
    <n v="4.0000000000000001E-3"/>
    <n v="2.1956002053237502"/>
    <n v="2.3787003528370332"/>
    <n v="-1.23985850479164E-2"/>
    <n v="-3.4078939855099002E-3"/>
    <n v="1.9447132945059999E-3"/>
    <n v="9.2796521633863004E-3"/>
    <n v="3.1528808176517001E-3"/>
    <b v="1"/>
    <b v="0"/>
    <b v="0"/>
    <b v="0"/>
  </r>
  <r>
    <x v="31"/>
    <x v="7"/>
    <n v="2151333"/>
    <n v="0.92236423492431596"/>
    <n v="6.0000000000000001E-3"/>
    <n v="2.2104667075645299"/>
    <n v="2.3965225708756024"/>
    <n v="6.7710424715452296E-3"/>
    <n v="9.2796521633863004E-3"/>
    <n v="3.1528808176517001E-3"/>
    <n v="-4.5102479308839998E-4"/>
    <n v="-2.4590482935308998E-3"/>
    <b v="0"/>
    <b v="0"/>
    <b v="0"/>
    <b v="0"/>
  </r>
  <r>
    <x v="31"/>
    <x v="8"/>
    <n v="2164203"/>
    <n v="0.92289406061172496"/>
    <n v="7.0000000000000001E-3"/>
    <n v="2.1821473430121099"/>
    <n v="2.3644613570984623"/>
    <n v="-1.28114865767943E-2"/>
    <n v="-4.5102479308839998E-4"/>
    <n v="-2.4590482935308998E-3"/>
    <n v="3.0263452023267599E-2"/>
    <n v="0"/>
    <b v="0"/>
    <b v="0"/>
    <b v="0"/>
    <b v="0"/>
  </r>
  <r>
    <x v="31"/>
    <x v="9"/>
    <n v="2176396"/>
    <n v="0.92960858345031705"/>
    <n v="1.0999999999999999E-2"/>
    <n v="2.1504419151777099"/>
    <n v="2.3132767419123561"/>
    <n v="-1.4529462428799199E-2"/>
    <n v="3.0263452023267599E-2"/>
    <n v="0"/>
    <n v="1.13887882679701E-2"/>
    <n v="-1.7647687345742999E-3"/>
    <b v="0"/>
    <b v="0"/>
    <b v="1"/>
    <b v="0"/>
  </r>
  <r>
    <x v="31"/>
    <x v="10"/>
    <n v="2189974"/>
    <n v="0.92516702413559004"/>
    <n v="2.5000000000000001E-2"/>
    <n v="2.17379914211776"/>
    <n v="2.3496288620412109"/>
    <n v="1.08615939706114E-2"/>
    <n v="1.13887882679701E-2"/>
    <n v="-1.7647687345742999E-3"/>
    <n v="2.1550838798284999E-3"/>
    <n v="-6.3448958098879702E-4"/>
    <b v="0"/>
    <b v="1"/>
    <b v="0"/>
    <b v="0"/>
  </r>
  <r>
    <x v="31"/>
    <x v="11"/>
    <n v="2203303"/>
    <n v="0.92432695627212502"/>
    <n v="1.4E-2"/>
    <n v="2.2064315713957301"/>
    <n v="2.3870682948536115"/>
    <n v="1.50117040004811E-2"/>
    <n v="2.1550838798284999E-3"/>
    <n v="-6.3448958098879702E-4"/>
    <n v="1.1711161792278201E-2"/>
    <n v="2.5761388242244998E-3"/>
    <b v="0"/>
    <b v="1"/>
    <b v="0"/>
    <b v="0"/>
  </r>
  <r>
    <x v="31"/>
    <x v="12"/>
    <n v="2215341"/>
    <n v="0.93518686294555697"/>
    <n v="8.9999999999999993E-3"/>
    <n v="2.19264196269553"/>
    <n v="2.3446030409252843"/>
    <n v="-6.2497332248930698E-3"/>
    <n v="1.1711161792278201E-2"/>
    <n v="2.5761388242244998E-3"/>
    <n v="1.86988033056259E-2"/>
    <n v="8.9760869741439798E-4"/>
    <b v="1"/>
    <b v="0"/>
    <b v="1"/>
    <b v="0"/>
  </r>
  <r>
    <x v="31"/>
    <x v="13"/>
    <n v="2228235"/>
    <n v="0.93662416934966997"/>
    <n v="7.0000000000000001E-3"/>
    <n v="2.1452193116475402"/>
    <n v="2.2903736438245437"/>
    <n v="-2.16280869630378E-2"/>
    <n v="1.86988033056259E-2"/>
    <n v="8.9760869741439798E-4"/>
    <n v="1.4104321703314699E-2"/>
    <n v="-4.7448687255382E-3"/>
    <b v="1"/>
    <b v="0"/>
    <b v="1"/>
    <b v="0"/>
  </r>
  <r>
    <x v="31"/>
    <x v="14"/>
    <n v="2236436"/>
    <n v="0.93731743097305298"/>
    <n v="1.7999999999999999E-2"/>
    <n v="2.0537811866349198"/>
    <n v="2.1911266330583841"/>
    <n v="-4.2624138481389802E-2"/>
    <n v="1.4104321703314699E-2"/>
    <n v="-4.7448687255382E-3"/>
    <n v="3.0401407063007299E-2"/>
    <n v="-1.3188205659389499E-2"/>
    <b v="0"/>
    <b v="0"/>
    <b v="1"/>
    <b v="0"/>
  </r>
  <r>
    <x v="31"/>
    <x v="15"/>
    <n v="2238966"/>
    <n v="0.95439994335174605"/>
    <n v="7.0000000000000001E-3"/>
    <n v="2.0775408494080398"/>
    <n v="2.1768031985751679"/>
    <n v="1.1568741075109501E-2"/>
    <n v="3.0401407063007299E-2"/>
    <n v="-1.3188205659389499E-2"/>
    <n v="-1.3250144124030999E-2"/>
    <n v="1.8853362649679201E-2"/>
    <b v="0"/>
    <b v="1"/>
    <b v="0"/>
    <b v="0"/>
  </r>
  <r>
    <x v="31"/>
    <x v="16"/>
    <n v="2251509"/>
    <n v="0.94219160079956099"/>
    <n v="1.7000000000000001E-2"/>
    <n v="2.00794759317052"/>
    <n v="2.1311457154431634"/>
    <n v="-3.3497900297528901E-2"/>
    <n v="-1.3250144124030999E-2"/>
    <n v="1.93320661783218E-2"/>
    <n v="-5.7181443870068004E-3"/>
    <n v="1.3840783387422499E-2"/>
    <b v="1"/>
    <b v="0"/>
    <b v="0"/>
    <b v="0"/>
  </r>
  <r>
    <x v="32"/>
    <x v="0"/>
    <n v="240018.203125"/>
    <n v="0.91225409507751498"/>
    <n v="8.0000000000000002E-3"/>
    <n v="2.49525732142363"/>
    <n v="2.7352656840763272"/>
    <n v="-7.0117832542796396E-2"/>
    <n v="3.1713140785693997E-2"/>
    <n v="2.5350101292133199E-2"/>
    <n v="-4.6009038537741E-3"/>
    <n v="-3.6791479215025902E-3"/>
    <b v="1"/>
    <b v="0"/>
    <b v="1"/>
    <b v="0"/>
  </r>
  <r>
    <x v="32"/>
    <x v="1"/>
    <n v="247967.796875"/>
    <n v="0.87425714731216397"/>
    <n v="5.0999999999999997E-2"/>
    <n v="2.52756165700381"/>
    <n v="2.8910963608071181"/>
    <n v="1.29462942770771E-2"/>
    <n v="-4.6009038537741E-3"/>
    <n v="-3.6791479215025902E-3"/>
    <n v="-5.3056199394166503E-2"/>
    <n v="-2.35453951172531E-2"/>
    <b v="0"/>
    <b v="1"/>
    <b v="0"/>
    <b v="1"/>
  </r>
  <r>
    <x v="32"/>
    <x v="2"/>
    <n v="250395.09375"/>
    <n v="0.87899351119995095"/>
    <n v="5.3999999999999999E-2"/>
    <n v="2.7638253765014298"/>
    <n v="3.1443069161323112"/>
    <n v="9.3474957907727599E-2"/>
    <n v="-5.3056199394166503E-2"/>
    <n v="-2.35453951172531E-2"/>
    <n v="-3.1784665495157197E-2"/>
    <n v="-5.21796382963654E-3"/>
    <b v="0"/>
    <b v="1"/>
    <b v="0"/>
    <b v="1"/>
  </r>
  <r>
    <x v="32"/>
    <x v="3"/>
    <n v="257883.703125"/>
    <n v="0.88510501384735096"/>
    <n v="5.8999999999999997E-2"/>
    <n v="2.5186530478479301"/>
    <n v="2.8455979894407286"/>
    <n v="-8.8707604589638306E-2"/>
    <n v="-3.1784665495157197E-2"/>
    <n v="-5.21796382963654E-3"/>
    <n v="-4.2157258689403997E-3"/>
    <n v="5.2443828899412801E-3"/>
    <b v="0"/>
    <b v="0"/>
    <b v="0"/>
    <b v="0"/>
  </r>
  <r>
    <x v="32"/>
    <x v="4"/>
    <n v="262701.1875"/>
    <n v="0.89155423641204801"/>
    <n v="1.9E-2"/>
    <n v="2.62612994350282"/>
    <n v="2.9455638661663048"/>
    <n v="4.2672370355544997E-2"/>
    <n v="-4.2157258689403997E-3"/>
    <n v="5.2443828899412801E-3"/>
    <n v="-2.3778314113616899E-2"/>
    <n v="-2.4945395998656398E-3"/>
    <b v="0"/>
    <b v="0"/>
    <b v="0"/>
    <b v="1"/>
  </r>
  <r>
    <x v="32"/>
    <x v="5"/>
    <n v="267925.125"/>
    <n v="0.88988929986953702"/>
    <n v="6.3E-2"/>
    <n v="2.6943962340410299"/>
    <n v="3.0277881017740569"/>
    <n v="2.5995016243238401E-2"/>
    <n v="-2.3778314113616899E-2"/>
    <n v="-2.4945395998656398E-3"/>
    <n v="-1.00825487673283E-2"/>
    <n v="-4.6443426981568996E-3"/>
    <b v="0"/>
    <b v="1"/>
    <b v="0"/>
    <b v="1"/>
  </r>
  <r>
    <x v="32"/>
    <x v="6"/>
    <n v="275740"/>
    <n v="0.88701778650283802"/>
    <n v="2.1999999999999999E-2"/>
    <n v="2.6421011095120899"/>
    <n v="2.9786337429927472"/>
    <n v="-1.94088470983758E-2"/>
    <n v="-1.00825487673283E-2"/>
    <n v="-4.7299414873124002E-3"/>
    <n v="-1.00783407688098E-4"/>
    <n v="-6.2275547534226903E-3"/>
    <b v="0"/>
    <b v="0"/>
    <b v="0"/>
    <b v="0"/>
  </r>
  <r>
    <x v="32"/>
    <x v="7"/>
    <n v="276159.78125"/>
    <n v="0.89623934030532804"/>
    <n v="3.4000000000000002E-2"/>
    <n v="2.5527367387481998"/>
    <n v="2.8482757048787231"/>
    <n v="-3.3823221390794599E-2"/>
    <n v="-1.00783407688098E-4"/>
    <n v="-6.2275547534226903E-3"/>
    <n v="-1.7717088744044301E-2"/>
    <n v="-1.9725112244486798E-2"/>
    <b v="0"/>
    <b v="0"/>
    <b v="0"/>
    <b v="0"/>
  </r>
  <r>
    <x v="32"/>
    <x v="8"/>
    <n v="281025.5"/>
    <n v="0.89095920324325595"/>
    <n v="4.2000000000000003E-2"/>
    <n v="2.5925302379158999"/>
    <n v="2.9098192470301796"/>
    <n v="1.5588563663334E-2"/>
    <n v="-1.7717088744044301E-2"/>
    <n v="-1.9725112244486798E-2"/>
    <n v="4.8654737658798703E-3"/>
    <n v="-2.53979782573878E-2"/>
    <b v="0"/>
    <b v="1"/>
    <b v="0"/>
    <b v="1"/>
  </r>
  <r>
    <x v="32"/>
    <x v="9"/>
    <n v="284481.125"/>
    <n v="0.88630127906799305"/>
    <n v="0.02"/>
    <n v="2.51425203149341"/>
    <n v="2.8367916089857386"/>
    <n v="-3.01937486698034E-2"/>
    <n v="4.8654737658798703E-3"/>
    <n v="-2.53979782573878E-2"/>
    <n v="-8.0355696491896996E-3"/>
    <n v="-2.11891266517341E-2"/>
    <b v="0"/>
    <b v="0"/>
    <b v="1"/>
    <b v="0"/>
  </r>
  <r>
    <x v="32"/>
    <x v="10"/>
    <n v="287111.6875"/>
    <n v="0.88376867771148704"/>
    <n v="3.4000000000000002E-2"/>
    <n v="2.5600052178450299"/>
    <n v="2.8966915013034247"/>
    <n v="1.8197533810658799E-2"/>
    <n v="-8.0355696491896996E-3"/>
    <n v="-2.11891266517341E-2"/>
    <n v="2.4889992266893399E-2"/>
    <n v="2.2100418806076098E-2"/>
    <b v="0"/>
    <b v="1"/>
    <b v="0"/>
    <b v="1"/>
  </r>
  <r>
    <x v="32"/>
    <x v="11"/>
    <n v="292874.90625"/>
    <n v="0.91940665245056197"/>
    <n v="1.7000000000000001E-2"/>
    <n v="2.5342204535090902"/>
    <n v="2.756365147842303"/>
    <n v="-1.0072153039451999E-2"/>
    <n v="2.4889992266893399E-2"/>
    <n v="2.2100418806076098E-2"/>
    <n v="1.45420583188533E-2"/>
    <n v="5.4070353507995996E-3"/>
    <b v="1"/>
    <b v="0"/>
    <b v="1"/>
    <b v="0"/>
  </r>
  <r>
    <x v="32"/>
    <x v="12"/>
    <n v="298929.28125"/>
    <n v="0.92218333482742298"/>
    <n v="2E-3"/>
    <n v="2.5233490615941201"/>
    <n v="2.7362770137961108"/>
    <n v="-4.2898367030063597E-3"/>
    <n v="1.45420583188533E-2"/>
    <n v="5.4070353507995996E-3"/>
    <n v="2.7743692666292199E-2"/>
    <n v="9.9424980580806906E-3"/>
    <b v="1"/>
    <b v="0"/>
    <b v="1"/>
    <b v="0"/>
  </r>
  <r>
    <x v="32"/>
    <x v="13"/>
    <n v="304203"/>
    <n v="0.90253043174743697"/>
    <n v="1.9E-2"/>
    <n v="2.3288896968228001"/>
    <n v="2.5804001891811152"/>
    <n v="-7.7063997102515894E-2"/>
    <n v="2.7743692666292199E-2"/>
    <n v="9.9424980580806906E-3"/>
    <n v="2.75068489015101E-2"/>
    <n v="8.6576584726571898E-3"/>
    <b v="1"/>
    <b v="0"/>
    <b v="1"/>
    <b v="0"/>
  </r>
  <r>
    <x v="32"/>
    <x v="14"/>
    <n v="309881"/>
    <n v="0.93174082040786699"/>
    <n v="8.1000000000000003E-2"/>
    <n v="2.3584033339845001"/>
    <n v="2.5311795751871378"/>
    <n v="1.26728359878814E-2"/>
    <n v="2.75068489015101E-2"/>
    <n v="8.6576584726571898E-3"/>
    <n v="4.3049929916858701E-2"/>
    <n v="-5.3968280553820503E-4"/>
    <b v="0"/>
    <b v="0"/>
    <b v="0"/>
    <b v="0"/>
  </r>
  <r>
    <x v="32"/>
    <x v="15"/>
    <n v="316742.1875"/>
    <n v="0.94900846481323198"/>
    <n v="4.9000000000000002E-2"/>
    <n v="2.7440498715369701"/>
    <n v="2.89149146006512"/>
    <n v="0.16352017994349"/>
    <n v="4.3049929916858701E-2"/>
    <n v="-5.3968280553820503E-4"/>
    <n v="-5.2624590620398502E-2"/>
    <n v="-2.0521083846688201E-2"/>
    <b v="0"/>
    <b v="1"/>
    <b v="0"/>
    <b v="0"/>
  </r>
  <r>
    <x v="32"/>
    <x v="16"/>
    <n v="322794.59375"/>
    <n v="0.89984619617462203"/>
    <n v="6.3E-2"/>
    <n v="2.4888037904848401"/>
    <n v="2.765810202971474"/>
    <n v="-9.30180182582339E-2"/>
    <n v="-5.2624590620398502E-2"/>
    <n v="-2.0042380318045599E-2"/>
    <n v="-2.5011190012097399E-2"/>
    <n v="-5.4522622376680999E-3"/>
    <b v="0"/>
    <b v="0"/>
    <b v="0"/>
    <b v="0"/>
  </r>
  <r>
    <x v="33"/>
    <x v="0"/>
    <n v="2097342"/>
    <n v="0.92194926738739003"/>
    <n v="2E-3"/>
    <n v="2.03881031998041"/>
    <n v="2.2114127014363478"/>
    <n v="-2.1143855859063101E-2"/>
    <n v="-1.24387670010328E-2"/>
    <n v="-1.8801806494593599E-2"/>
    <n v="-1.6141926772892501E-2"/>
    <n v="-1.5220170840621E-2"/>
    <b v="0"/>
    <b v="0"/>
    <b v="0"/>
    <b v="0"/>
  </r>
  <r>
    <x v="33"/>
    <x v="1"/>
    <n v="2089961"/>
    <n v="0.924335718154907"/>
    <n v="8.0000000000000002E-3"/>
    <n v="2.0510865609171698"/>
    <n v="2.2189844237669432"/>
    <n v="6.0212766319906299E-3"/>
    <n v="-1.6141926772892501E-2"/>
    <n v="-1.5220170840621E-2"/>
    <n v="-2.8743800997733999E-2"/>
    <n v="7.6700327917933399E-4"/>
    <b v="0"/>
    <b v="1"/>
    <b v="0"/>
    <b v="1"/>
  </r>
  <r>
    <x v="33"/>
    <x v="2"/>
    <n v="2084187"/>
    <n v="0.92240816354751598"/>
    <n v="0"/>
    <n v="2.0136950450332498"/>
    <n v="2.1830845872923788"/>
    <n v="-1.82301013503758E-2"/>
    <n v="-2.8743800997733999E-2"/>
    <n v="7.6700327917933399E-4"/>
    <n v="-1.49589690417051E-2"/>
    <n v="1.16077326238155E-2"/>
    <b v="1"/>
    <b v="0"/>
    <b v="0"/>
    <b v="0"/>
  </r>
  <r>
    <x v="33"/>
    <x v="3"/>
    <n v="2080065.875"/>
    <n v="0.91386216878891002"/>
    <n v="6.0000000000000001E-3"/>
    <n v="2.0848076080476301"/>
    <n v="2.281315147130456"/>
    <n v="3.5314464913531997E-2"/>
    <n v="-1.49589690417051E-2"/>
    <n v="1.16077326238155E-2"/>
    <n v="-1.6966408639214899E-2"/>
    <n v="-7.5062998803332396E-3"/>
    <b v="0"/>
    <b v="0"/>
    <b v="0"/>
    <b v="1"/>
  </r>
  <r>
    <x v="33"/>
    <x v="4"/>
    <n v="2076093"/>
    <n v="0.92050975561142001"/>
    <n v="3.0000000000000001E-3"/>
    <n v="2.18805326792946"/>
    <n v="2.377001715181295"/>
    <n v="4.9522871790798499E-2"/>
    <n v="-1.6966408639214899E-2"/>
    <n v="-7.5062998803332396E-3"/>
    <n v="-2.19243591353297E-2"/>
    <n v="-6.4058462157840195E-4"/>
    <b v="0"/>
    <b v="1"/>
    <b v="0"/>
    <b v="1"/>
  </r>
  <r>
    <x v="33"/>
    <x v="5"/>
    <n v="2074283"/>
    <n v="0.92760640382766701"/>
    <n v="0"/>
    <n v="2.0724842939836998"/>
    <n v="2.2342281008753484"/>
    <n v="-5.2818172043461502E-2"/>
    <n v="-2.19243591353297E-2"/>
    <n v="-6.4058462157840195E-4"/>
    <n v="-8.2717009857296991E-3"/>
    <n v="-2.8334949165582999E-3"/>
    <b v="0"/>
    <b v="0"/>
    <b v="0"/>
    <b v="0"/>
  </r>
  <r>
    <x v="33"/>
    <x v="6"/>
    <n v="2076295.875"/>
    <n v="0.93149578571319602"/>
    <n v="4.0000000000000001E-3"/>
    <n v="2.0537169191615199"/>
    <n v="2.2047517022195646"/>
    <n v="-9.0554967662059994E-3"/>
    <n v="-8.2717009857296991E-3"/>
    <n v="-2.9190937057137901E-3"/>
    <n v="2.2632727771997002E-3"/>
    <n v="-3.8634985685348901E-3"/>
    <b v="0"/>
    <b v="0"/>
    <b v="0"/>
    <b v="0"/>
  </r>
  <r>
    <x v="33"/>
    <x v="7"/>
    <n v="2082131.125"/>
    <n v="0.93259900808334395"/>
    <n v="2E-3"/>
    <n v="2.0732435062857602"/>
    <n v="2.2230813975951387"/>
    <n v="9.5079253338433197E-3"/>
    <n v="2.2632727771997002E-3"/>
    <n v="-3.8634985685348901E-3"/>
    <n v="-4.35736420005559E-3"/>
    <n v="-6.3653877004980998E-3"/>
    <b v="0"/>
    <b v="1"/>
    <b v="0"/>
    <b v="0"/>
  </r>
  <r>
    <x v="33"/>
    <x v="8"/>
    <n v="2086001"/>
    <n v="0.93596422672271695"/>
    <n v="6.0000000000000001E-3"/>
    <n v="2.0571557111052998"/>
    <n v="2.197899932894273"/>
    <n v="-7.7597229325359098E-3"/>
    <n v="-4.35736420005559E-3"/>
    <n v="-6.3653877004980998E-3"/>
    <n v="2.9579578131437301E-2"/>
    <n v="-6.83873891830395E-4"/>
    <b v="0"/>
    <b v="0"/>
    <b v="0"/>
    <b v="0"/>
  </r>
  <r>
    <x v="33"/>
    <x v="9"/>
    <n v="2086842"/>
    <n v="0.93790924549102805"/>
    <n v="2.1999999999999999E-2"/>
    <n v="2.1073660877726601"/>
    <n v="2.2468763346813803"/>
    <n v="2.44076694808802E-2"/>
    <n v="2.9579578131437301E-2"/>
    <n v="-6.83873891830395E-4"/>
    <n v="4.4660533666611001E-3"/>
    <n v="-8.6875036358833001E-3"/>
    <b v="0"/>
    <b v="1"/>
    <b v="0"/>
    <b v="0"/>
  </r>
  <r>
    <x v="33"/>
    <x v="10"/>
    <n v="2087846"/>
    <n v="0.93238794803619396"/>
    <n v="7.0000000000000001E-3"/>
    <n v="2.0673028393803099"/>
    <n v="2.2172131715499823"/>
    <n v="-1.9011053003464898E-2"/>
    <n v="4.4660533666611001E-3"/>
    <n v="-8.6875036358833001E-3"/>
    <n v="-8.2779324650763993E-3"/>
    <n v="-1.10675059258936E-2"/>
    <b v="0"/>
    <b v="0"/>
    <b v="1"/>
    <b v="0"/>
  </r>
  <r>
    <x v="33"/>
    <x v="11"/>
    <n v="2088238"/>
    <n v="0.924416303634644"/>
    <n v="1.4E-2"/>
    <n v="2.0384936093703101"/>
    <n v="2.2051683871815198"/>
    <n v="-1.39356602531608E-2"/>
    <n v="-8.2779324650763993E-3"/>
    <n v="-1.10675059258936E-2"/>
    <n v="7.19952790439129E-3"/>
    <n v="-1.93549506366249E-3"/>
    <b v="0"/>
    <b v="0"/>
    <b v="0"/>
    <b v="0"/>
  </r>
  <r>
    <x v="33"/>
    <x v="12"/>
    <n v="2088316.875"/>
    <n v="0.92630100250244096"/>
    <n v="1.2E-2"/>
    <n v="2.01715318465935"/>
    <n v="2.177643313793169"/>
    <n v="-1.04687228907031E-2"/>
    <n v="7.19952790439129E-3"/>
    <n v="-1.93549506366249E-3"/>
    <n v="1.5055126667022699E-2"/>
    <n v="-2.7460679411888001E-3"/>
    <b v="0"/>
    <b v="0"/>
    <b v="1"/>
    <b v="0"/>
  </r>
  <r>
    <x v="33"/>
    <x v="13"/>
    <n v="2087927"/>
    <n v="0.928300380706787"/>
    <n v="8.0000000000000002E-3"/>
    <n v="2.0022085779762202"/>
    <n v="2.1568542032179105"/>
    <n v="-7.4087614152357102E-3"/>
    <n v="1.5055126667022699E-2"/>
    <n v="-2.7460679411888001E-3"/>
    <n v="6.2467792183160901E-3"/>
    <n v="-1.26024112105369E-2"/>
    <b v="0"/>
    <b v="0"/>
    <b v="1"/>
    <b v="0"/>
  </r>
  <r>
    <x v="33"/>
    <x v="14"/>
    <n v="2083327.875"/>
    <n v="0.92995953559875499"/>
    <n v="1.2999999999999999E-2"/>
    <n v="1.87472637273785"/>
    <n v="2.0159225224039519"/>
    <n v="-6.3670791665087795E-2"/>
    <n v="6.2467792183160901E-3"/>
    <n v="-1.26024112105369E-2"/>
    <n v="1.9188275814056299E-2"/>
    <n v="-2.4401336908340499E-2"/>
    <b v="0"/>
    <b v="0"/>
    <b v="1"/>
    <b v="0"/>
  </r>
  <r>
    <x v="33"/>
    <x v="15"/>
    <n v="2071446"/>
    <n v="0.94806504249572798"/>
    <n v="4.0000000000000001E-3"/>
    <n v="1.9600308410054601"/>
    <n v="2.0674012363601015"/>
    <n v="4.5502356774892998E-2"/>
    <n v="1.9188275814056299E-2"/>
    <n v="-2.4401336908340499E-2"/>
    <n v="-3.18273808062077E-2"/>
    <n v="2.7612596750260001E-4"/>
    <b v="0"/>
    <b v="1"/>
    <b v="0"/>
    <b v="0"/>
  </r>
  <r>
    <x v="33"/>
    <x v="16"/>
    <n v="2067485.125"/>
    <n v="0.92997986078262296"/>
    <n v="1.4E-2"/>
    <n v="1.87908203801413"/>
    <n v="2.0205620758634404"/>
    <n v="-4.1299759829189799E-2"/>
    <n v="-3.18273808062077E-2"/>
    <n v="7.5482949614519897E-4"/>
    <n v="-1.54694903492928E-2"/>
    <n v="4.0894374251365002E-3"/>
    <b v="1"/>
    <b v="0"/>
    <b v="0"/>
    <b v="0"/>
  </r>
  <r>
    <x v="34"/>
    <x v="0"/>
    <n v="209998.703125"/>
    <n v="0.92382931709289595"/>
    <n v="5.0000000000000001E-3"/>
    <n v="2.2097680259070702"/>
    <n v="2.3919656856753186"/>
    <n v="-4.2238399983420402E-3"/>
    <n v="8.5591465532779895E-3"/>
    <n v="2.1961070597171901E-3"/>
    <n v="7.8576310575007892E-3"/>
    <n v="8.7793869897722903E-3"/>
    <b v="1"/>
    <b v="0"/>
    <b v="1"/>
    <b v="0"/>
  </r>
  <r>
    <x v="34"/>
    <x v="1"/>
    <n v="214413.09375"/>
    <n v="0.91201514005661"/>
    <n v="4.4999999999999998E-2"/>
    <n v="2.1992501828822202"/>
    <n v="2.4114185020499876"/>
    <n v="-4.7597045941222896E-3"/>
    <n v="7.8576310575007892E-3"/>
    <n v="8.7793869897722903E-3"/>
    <n v="-2.50582222938538E-2"/>
    <n v="4.4525819830595996E-3"/>
    <b v="1"/>
    <b v="0"/>
    <b v="1"/>
    <b v="0"/>
  </r>
  <r>
    <x v="34"/>
    <x v="2"/>
    <n v="220281.40625"/>
    <n v="0.91222262382507302"/>
    <n v="4.0000000000000001E-3"/>
    <n v="2.1181245709851599"/>
    <n v="2.3219382151514472"/>
    <n v="-3.6887850472171899E-2"/>
    <n v="-2.50582222938538E-2"/>
    <n v="4.4525819830595996E-3"/>
    <n v="-3.0788146615028399E-2"/>
    <n v="-4.2214449495077497E-3"/>
    <b v="1"/>
    <b v="0"/>
    <b v="0"/>
    <b v="0"/>
  </r>
  <r>
    <x v="34"/>
    <x v="3"/>
    <n v="226219.609375"/>
    <n v="0.90274399518966697"/>
    <n v="1E-3"/>
    <n v="2.3816069151197299"/>
    <n v="2.6381863826403555"/>
    <n v="0.12439416819192201"/>
    <n v="-3.0788146615028399E-2"/>
    <n v="-4.2214449495077497E-3"/>
    <n v="-1.3854388551786501E-2"/>
    <n v="-4.3942797929048504E-3"/>
    <b v="0"/>
    <b v="1"/>
    <b v="0"/>
    <b v="1"/>
  </r>
  <r>
    <x v="34"/>
    <x v="4"/>
    <n v="230005.09375"/>
    <n v="0.90697652101516701"/>
    <n v="8.9999999999999993E-3"/>
    <n v="2.2979536455016198"/>
    <n v="2.5336418223148161"/>
    <n v="-3.5124717302020998E-2"/>
    <n v="-1.3854388551786501E-2"/>
    <n v="-4.3942797929048504E-3"/>
    <n v="-2.4280337028205298E-2"/>
    <n v="-2.9965625144540899E-3"/>
    <b v="0"/>
    <b v="0"/>
    <b v="0"/>
    <b v="0"/>
  </r>
  <r>
    <x v="34"/>
    <x v="5"/>
    <n v="232228.5"/>
    <n v="0.89714258909225497"/>
    <n v="1.9E-2"/>
    <n v="2.26318918918918"/>
    <n v="2.5226638626966928"/>
    <n v="-1.51284410721182E-2"/>
    <n v="-2.4280337028205298E-2"/>
    <n v="-2.9965625144540899E-3"/>
    <n v="-6.9791444614529996E-3"/>
    <n v="-1.5409383922815999E-3"/>
    <b v="0"/>
    <b v="0"/>
    <b v="0"/>
    <b v="0"/>
  </r>
  <r>
    <x v="34"/>
    <x v="6"/>
    <n v="235284.296875"/>
    <n v="0.91051518917083696"/>
    <n v="6.0000000000000001E-3"/>
    <n v="2.3155818018113399"/>
    <n v="2.5431555995458246"/>
    <n v="2.31499040700727E-2"/>
    <n v="-6.9791444614529996E-3"/>
    <n v="-1.6265371814371001E-3"/>
    <n v="4.0746393054723997E-3"/>
    <n v="-2.0521320402621902E-3"/>
    <b v="0"/>
    <b v="1"/>
    <b v="0"/>
    <b v="1"/>
  </r>
  <r>
    <x v="34"/>
    <x v="7"/>
    <n v="239325.703125"/>
    <n v="0.92608487606048595"/>
    <n v="7.9000000000000001E-2"/>
    <n v="2.3228522464793899"/>
    <n v="2.5082498446154045"/>
    <n v="3.1397917630747898E-3"/>
    <n v="4.0746393054723997E-3"/>
    <n v="-2.0521320402621902E-3"/>
    <n v="1.5046375632286099E-2"/>
    <n v="1.3038352131843499E-2"/>
    <b v="0"/>
    <b v="1"/>
    <b v="0"/>
    <b v="0"/>
  </r>
  <r>
    <x v="34"/>
    <x v="8"/>
    <n v="245125.90625"/>
    <n v="0.92321115732193004"/>
    <n v="0.02"/>
    <n v="2.4225495060670301"/>
    <n v="2.6240470415180117"/>
    <n v="4.2920189925440798E-2"/>
    <n v="1.5046375632286099E-2"/>
    <n v="1.3038352131843499E-2"/>
    <n v="3.8910718798637299E-2"/>
    <n v="8.6472667753696997E-3"/>
    <b v="0"/>
    <b v="0"/>
    <b v="0"/>
    <b v="0"/>
  </r>
  <r>
    <x v="34"/>
    <x v="9"/>
    <n v="251971.296875"/>
    <n v="0.92278450727462802"/>
    <n v="0.02"/>
    <n v="2.153539241457"/>
    <n v="2.3337401359471346"/>
    <n v="-0.111044279564284"/>
    <n v="3.8910718798637299E-2"/>
    <n v="8.6472667753696997E-3"/>
    <n v="5.0100426077842996E-3"/>
    <n v="-8.1435143947601006E-3"/>
    <b v="1"/>
    <b v="0"/>
    <b v="1"/>
    <b v="0"/>
  </r>
  <r>
    <x v="34"/>
    <x v="10"/>
    <n v="256153.59375"/>
    <n v="0.923223435878754"/>
    <n v="1.9E-2"/>
    <n v="2.3836562485268402"/>
    <n v="2.5818844668495649"/>
    <n v="0.106855265341789"/>
    <n v="5.0100426077842996E-3"/>
    <n v="-8.1435143947601006E-3"/>
    <n v="-3.5398768544197101E-2"/>
    <n v="-3.8188342005014399E-2"/>
    <b v="0"/>
    <b v="1"/>
    <b v="0"/>
    <b v="0"/>
  </r>
  <r>
    <x v="34"/>
    <x v="11"/>
    <n v="260276.390625"/>
    <n v="0.86992180347442605"/>
    <n v="3.6999999999999998E-2"/>
    <n v="2.4080251809259399"/>
    <n v="2.7680938347658404"/>
    <n v="1.0223341731492501E-2"/>
    <n v="-3.5398768544197101E-2"/>
    <n v="-3.8188342005014399E-2"/>
    <n v="-4.5409722030162903E-3"/>
    <n v="-1.367599517107E-2"/>
    <b v="0"/>
    <b v="1"/>
    <b v="0"/>
    <b v="1"/>
  </r>
  <r>
    <x v="34"/>
    <x v="12"/>
    <n v="262964.59375"/>
    <n v="0.85078758001327504"/>
    <n v="3.3000000000000002E-2"/>
    <n v="2.1300933738328198"/>
    <n v="2.5036723899984334"/>
    <n v="-0.11541897871111299"/>
    <n v="-4.5409722030162903E-3"/>
    <n v="-1.367599517107E-2"/>
    <n v="-1.2988362759351901E-3"/>
    <n v="-1.9100030884146701E-2"/>
    <b v="0"/>
    <b v="0"/>
    <b v="0"/>
    <b v="0"/>
  </r>
  <r>
    <x v="34"/>
    <x v="13"/>
    <n v="266449.8125"/>
    <n v="0.85629296302795399"/>
    <n v="4.3999999999999997E-2"/>
    <n v="2.24991494532199"/>
    <n v="2.6275060551309712"/>
    <n v="5.6251792978240303E-2"/>
    <n v="-1.2988362759351901E-3"/>
    <n v="-1.9100030884146701E-2"/>
    <n v="-2.0142475962638901E-3"/>
    <n v="-2.0863438025116799E-2"/>
    <b v="0"/>
    <b v="1"/>
    <b v="0"/>
    <b v="1"/>
  </r>
  <r>
    <x v="34"/>
    <x v="14"/>
    <n v="269889.5"/>
    <n v="0.88300615549087502"/>
    <n v="1.2999999999999999E-2"/>
    <n v="2.2068773997247102"/>
    <n v="2.4992774806851457"/>
    <n v="-1.91285211411059E-2"/>
    <n v="-2.0142475962638901E-3"/>
    <n v="-2.0863438025116799E-2"/>
    <n v="1.0702112942934E-2"/>
    <n v="-3.2887499779462898E-2"/>
    <b v="0"/>
    <b v="0"/>
    <b v="0"/>
    <b v="0"/>
  </r>
  <r>
    <x v="34"/>
    <x v="15"/>
    <n v="274059.125"/>
    <n v="0.94010376930236805"/>
    <n v="0.02"/>
    <n v="2.18676692406402"/>
    <n v="2.3260910076839445"/>
    <n v="-9.1126383654989793E-3"/>
    <n v="1.0702112942934E-2"/>
    <n v="-3.2887499779462898E-2"/>
    <n v="-2.82109881937504E-2"/>
    <n v="3.8925185799598902E-3"/>
    <b v="0"/>
    <b v="0"/>
    <b v="1"/>
    <b v="0"/>
  </r>
  <r>
    <x v="34"/>
    <x v="16"/>
    <n v="279781.09375"/>
    <n v="0.94345229864120495"/>
    <n v="0"/>
    <n v="2.2593041438623902"/>
    <n v="2.394720058572462"/>
    <n v="3.3170988183577402E-2"/>
    <n v="-2.82109881937504E-2"/>
    <n v="4.37122210860249E-3"/>
    <n v="1.56420070827007E-2"/>
    <n v="3.5200934857130002E-2"/>
    <b v="0"/>
    <b v="0"/>
    <b v="0"/>
    <b v="1"/>
  </r>
  <r>
    <x v="35"/>
    <x v="0"/>
    <n v="604237.5"/>
    <n v="0.90161669254303001"/>
    <n v="8.0000000000000002E-3"/>
    <n v="2.1924368520951898"/>
    <n v="2.4316728718845839"/>
    <n v="-2.2985069902491901E-2"/>
    <n v="-8.5539411455393E-3"/>
    <n v="-1.49169806391E-2"/>
    <n v="4.3382748067378896E-3"/>
    <n v="5.2600307390093899E-3"/>
    <b v="0"/>
    <b v="0"/>
    <b v="0"/>
    <b v="0"/>
  </r>
  <r>
    <x v="35"/>
    <x v="1"/>
    <n v="612274.4375"/>
    <n v="0.90665328502654996"/>
    <n v="-7.0000000000000001E-3"/>
    <n v="2.3081898139281298"/>
    <n v="2.5458351632846488"/>
    <n v="5.2796486121057098E-2"/>
    <n v="4.3382748067378896E-3"/>
    <n v="5.2600307390093899E-3"/>
    <n v="-3.4366792824119301E-2"/>
    <n v="-4.8559885472059198E-3"/>
    <b v="0"/>
    <b v="0"/>
    <b v="0"/>
    <b v="0"/>
  </r>
  <r>
    <x v="35"/>
    <x v="2"/>
    <n v="623259"/>
    <n v="0.89904755353927601"/>
    <n v="1.2999999999999999E-2"/>
    <n v="2.3049320549079102"/>
    <n v="2.5637487648279511"/>
    <n v="-1.41139129917509E-3"/>
    <n v="-3.4366792824119301E-2"/>
    <n v="-4.8559885472059198E-3"/>
    <n v="-2.94197618067264E-2"/>
    <n v="-2.8530601412058401E-3"/>
    <b v="0"/>
    <b v="0"/>
    <b v="0"/>
    <b v="0"/>
  </r>
  <r>
    <x v="35"/>
    <x v="3"/>
    <n v="635947.375"/>
    <n v="0.91598641872405995"/>
    <n v="0"/>
    <n v="2.25787536155666"/>
    <n v="2.4649659813753666"/>
    <n v="-2.04156531430277E-2"/>
    <n v="-2.94197618067264E-2"/>
    <n v="-2.8530601412058401E-3"/>
    <n v="-3.4069821089505901E-3"/>
    <n v="6.0531266499310801E-3"/>
    <b v="0"/>
    <b v="0"/>
    <b v="0"/>
    <b v="0"/>
  </r>
  <r>
    <x v="35"/>
    <x v="4"/>
    <n v="653274.4375"/>
    <n v="0.92857944965362504"/>
    <n v="1E-3"/>
    <n v="2.3823794476322999"/>
    <n v="2.5656172431136244"/>
    <n v="5.51421430055372E-2"/>
    <n v="-3.4069821089505901E-3"/>
    <n v="6.0531266499310801E-3"/>
    <n v="-9.3221015930175996E-3"/>
    <n v="1.1961672920733701E-2"/>
    <b v="0"/>
    <b v="0"/>
    <b v="0"/>
    <b v="1"/>
  </r>
  <r>
    <x v="35"/>
    <x v="5"/>
    <n v="663261.125"/>
    <n v="0.92160820960998502"/>
    <n v="0"/>
    <n v="2.4256329650696"/>
    <n v="2.6319567683713481"/>
    <n v="1.8155595440636101E-2"/>
    <n v="-9.3221015930175996E-3"/>
    <n v="1.1961672920733701E-2"/>
    <n v="5.8982909619807898E-3"/>
    <n v="1.1336497031152099E-2"/>
    <b v="0"/>
    <b v="0"/>
    <b v="0"/>
    <b v="1"/>
  </r>
  <r>
    <x v="35"/>
    <x v="6"/>
    <n v="672359.3125"/>
    <n v="0.93283289670944203"/>
    <n v="6.0000000000000001E-3"/>
    <n v="2.5598636131411099"/>
    <n v="2.7441823955512303"/>
    <n v="5.5338400328701701E-2"/>
    <n v="5.8982909619807898E-3"/>
    <n v="1.1250898241996699E-2"/>
    <n v="1.8579446375369998E-2"/>
    <n v="1.2452675029635299E-2"/>
    <b v="0"/>
    <b v="0"/>
    <b v="0"/>
    <b v="0"/>
  </r>
  <r>
    <x v="35"/>
    <x v="7"/>
    <n v="681393.3125"/>
    <n v="0.93496859073638905"/>
    <n v="3.1E-2"/>
    <n v="2.5198272176115202"/>
    <n v="2.6950929074813983"/>
    <n v="-1.5640050244890302E-2"/>
    <n v="1.8579446375369998E-2"/>
    <n v="1.2452675029635299E-2"/>
    <n v="1.8669119864702099E-2"/>
    <n v="1.6661096364259598E-2"/>
    <b v="1"/>
    <b v="0"/>
    <b v="1"/>
    <b v="0"/>
  </r>
  <r>
    <x v="35"/>
    <x v="8"/>
    <n v="690409.125"/>
    <n v="0.94267362356185902"/>
    <n v="0"/>
    <n v="2.4573199655023701"/>
    <n v="2.6067558315861996"/>
    <n v="-2.4806165943552901E-2"/>
    <n v="1.8669119864702099E-2"/>
    <n v="1.6661096364259598E-2"/>
    <n v="5.3830428212881101E-2"/>
    <n v="2.3566976189613401E-2"/>
    <b v="1"/>
    <b v="0"/>
    <b v="1"/>
    <b v="0"/>
  </r>
  <r>
    <x v="35"/>
    <x v="9"/>
    <n v="702754.1875"/>
    <n v="0.95088702440261796"/>
    <n v="1.4E-2"/>
    <n v="2.4607361840259601"/>
    <n v="2.5878323301044985"/>
    <n v="1.3902212864243999E-3"/>
    <n v="5.3830428212881101E-2"/>
    <n v="2.3566976189613401E-2"/>
    <n v="4.8245955526828803E-2"/>
    <n v="3.5092398524284397E-2"/>
    <b v="0"/>
    <b v="0"/>
    <b v="0"/>
    <b v="0"/>
  </r>
  <r>
    <x v="35"/>
    <x v="10"/>
    <n v="717695.625"/>
    <n v="0.94888198375701904"/>
    <n v="1.2E-2"/>
    <n v="2.4670445917902502"/>
    <n v="2.599948817683515"/>
    <n v="2.56362620472441E-3"/>
    <n v="4.8245955526828803E-2"/>
    <n v="3.5092398524284397E-2"/>
    <n v="2.02860848009585E-2"/>
    <n v="1.74965113401413E-2"/>
    <b v="0"/>
    <b v="0"/>
    <b v="0"/>
    <b v="0"/>
  </r>
  <r>
    <x v="35"/>
    <x v="11"/>
    <n v="730606.5"/>
    <n v="0.92739731073379505"/>
    <n v="2.7E-2"/>
    <n v="2.40003355106577"/>
    <n v="2.5879237768834638"/>
    <n v="-2.71624764900797E-2"/>
    <n v="2.02860848009585E-2"/>
    <n v="1.74965113401413E-2"/>
    <n v="2.0774629175663001E-2"/>
    <n v="1.1639606207609199E-2"/>
    <b v="1"/>
    <b v="0"/>
    <b v="1"/>
    <b v="0"/>
  </r>
  <r>
    <x v="35"/>
    <x v="12"/>
    <n v="742469.9375"/>
    <n v="0.93159371614456199"/>
    <n v="5.0000000000000001E-3"/>
    <n v="2.3584664466927401"/>
    <n v="2.5316470107305449"/>
    <n v="-1.73193847038383E-2"/>
    <n v="2.0774629175663001E-2"/>
    <n v="1.1639606207609199E-2"/>
    <n v="4.1409696608781799E-2"/>
    <n v="2.36085020005702E-2"/>
    <b v="1"/>
    <b v="0"/>
    <b v="1"/>
    <b v="0"/>
  </r>
  <r>
    <x v="35"/>
    <x v="13"/>
    <n v="751587.375"/>
    <n v="0.92135101556777999"/>
    <n v="2.4E-2"/>
    <n v="2.43126656939106"/>
    <n v="2.6388059798173651"/>
    <n v="3.0867567694427899E-2"/>
    <n v="4.1409696608781799E-2"/>
    <n v="2.36085020005702E-2"/>
    <n v="2.7261009544134001E-2"/>
    <n v="8.4118191152810894E-3"/>
    <b v="0"/>
    <b v="0"/>
    <b v="0"/>
    <b v="0"/>
  </r>
  <r>
    <x v="35"/>
    <x v="14"/>
    <n v="759828.4375"/>
    <n v="0.92585641145706199"/>
    <n v="4.5999999999999999E-2"/>
    <n v="2.3061096387222699"/>
    <n v="2.4907854070946498"/>
    <n v="-5.1478078234810098E-2"/>
    <n v="2.7261009544134001E-2"/>
    <n v="8.4118191152810894E-3"/>
    <n v="4.8335222780704498E-2"/>
    <n v="4.7456100583075896E-3"/>
    <b v="1"/>
    <b v="0"/>
    <b v="1"/>
    <b v="0"/>
  </r>
  <r>
    <x v="35"/>
    <x v="15"/>
    <n v="764535.1875"/>
    <n v="0.93619930744171098"/>
    <n v="4.0000000000000001E-3"/>
    <n v="2.3813195331978401"/>
    <n v="2.5436031775168817"/>
    <n v="3.2613321245749803E-2"/>
    <n v="4.8335222780704498E-2"/>
    <n v="4.7456100583075896E-3"/>
    <n v="-3.5823373049497599E-2"/>
    <n v="-3.7198662757872902E-3"/>
    <b v="0"/>
    <b v="0"/>
    <b v="0"/>
    <b v="0"/>
  </r>
  <r>
    <x v="35"/>
    <x v="16"/>
    <n v="768422.75"/>
    <n v="0.90295773744583097"/>
    <n v="2.9000000000000001E-2"/>
    <n v="2.2763324545684802"/>
    <n v="2.5209734189857795"/>
    <n v="-4.4087774515659997E-2"/>
    <n v="-3.5823373049497599E-2"/>
    <n v="-3.24116274714469E-3"/>
    <n v="-5.6267409384250601E-2"/>
    <n v="-3.6708481609821299E-2"/>
    <b v="0"/>
    <b v="0"/>
    <b v="0"/>
    <b v="0"/>
  </r>
  <r>
    <x v="36"/>
    <x v="0"/>
    <n v="153495.796875"/>
    <n v="0.94231861829757702"/>
    <n v="2.8000000000000001E-2"/>
    <n v="2.1066387467038901"/>
    <n v="2.2355907076417645"/>
    <n v="0.12751827442982799"/>
    <n v="-9.7340795844792997E-3"/>
    <n v="-1.6097119078040099E-2"/>
    <n v="-1.08624425679445E-2"/>
    <n v="-9.9406866356729993E-3"/>
    <b v="0"/>
    <b v="1"/>
    <b v="0"/>
    <b v="1"/>
  </r>
  <r>
    <x v="36"/>
    <x v="1"/>
    <n v="156270.703125"/>
    <n v="0.92709290981292702"/>
    <n v="0.06"/>
    <n v="2.24618652249469"/>
    <n v="2.4228278511459393"/>
    <n v="6.6241910725859901E-2"/>
    <n v="-1.08624425679445E-2"/>
    <n v="-9.9406866356729993E-3"/>
    <n v="-2.20913526713848E-2"/>
    <n v="7.4194516055286E-3"/>
    <b v="0"/>
    <b v="1"/>
    <b v="0"/>
    <b v="1"/>
  </r>
  <r>
    <x v="36"/>
    <x v="2"/>
    <n v="158714.703125"/>
    <n v="0.94608217477798495"/>
    <n v="4.9000000000000002E-2"/>
    <n v="2.2853315718007998"/>
    <n v="2.4155740724499895"/>
    <n v="1.7427336917075799E-2"/>
    <n v="-2.20913526713848E-2"/>
    <n v="7.4194516055286E-3"/>
    <n v="-1.6259134471416501E-2"/>
    <n v="1.0307567194104099E-2"/>
    <b v="0"/>
    <b v="0"/>
    <b v="0"/>
    <b v="1"/>
  </r>
  <r>
    <x v="36"/>
    <x v="3"/>
    <n v="161242.5"/>
    <n v="0.94542849063873302"/>
    <n v="0.02"/>
    <n v="2.19893574946967"/>
    <n v="2.3258615233649933"/>
    <n v="-3.7804502155041199E-2"/>
    <n v="-1.6259134471416501E-2"/>
    <n v="1.0307567194104099E-2"/>
    <n v="-1.21646040901541E-2"/>
    <n v="-2.7044953312724798E-3"/>
    <b v="1"/>
    <b v="0"/>
    <b v="0"/>
    <b v="0"/>
  </r>
  <r>
    <x v="36"/>
    <x v="4"/>
    <n v="164034.8125"/>
    <n v="0.94773656129837003"/>
    <n v="0"/>
    <n v="2.1487163907033202"/>
    <n v="2.2672085033415241"/>
    <n v="-2.2838029159541098E-2"/>
    <n v="-1.21646040901541E-2"/>
    <n v="-2.7044953312724798E-3"/>
    <n v="-2.2812870673835198E-2"/>
    <n v="-1.5290961600839699E-3"/>
    <b v="0"/>
    <b v="0"/>
    <b v="0"/>
    <b v="0"/>
  </r>
  <r>
    <x v="36"/>
    <x v="5"/>
    <n v="167068.296875"/>
    <n v="0.95490664243698098"/>
    <n v="0"/>
    <n v="2.1869803644082699"/>
    <n v="2.2902556828246166"/>
    <n v="1.78078288370235E-2"/>
    <n v="-2.2812870673835198E-2"/>
    <n v="-1.5290961600839699E-3"/>
    <n v="-5.1113388538360999E-3"/>
    <n v="3.2686721533529799E-4"/>
    <b v="0"/>
    <b v="1"/>
    <b v="0"/>
    <b v="1"/>
  </r>
  <r>
    <x v="36"/>
    <x v="6"/>
    <n v="169669.5"/>
    <n v="0.95770782232284501"/>
    <n v="0.02"/>
    <n v="2.2994083649669901"/>
    <n v="2.4009497587583195"/>
    <n v="5.1407869219319099E-2"/>
    <n v="-5.1113388538360999E-3"/>
    <n v="2.4126842617979899E-4"/>
    <n v="2.040928825736E-3"/>
    <n v="-4.0858425199985903E-3"/>
    <b v="0"/>
    <b v="0"/>
    <b v="0"/>
    <b v="1"/>
  </r>
  <r>
    <x v="36"/>
    <x v="7"/>
    <n v="171852.09375"/>
    <n v="0.945667564868927"/>
    <n v="2.1999999999999999E-2"/>
    <n v="2.1892386299123099"/>
    <n v="2.3150192638950733"/>
    <n v="-4.7912209389679203E-2"/>
    <n v="2.040928825736E-3"/>
    <n v="-4.0858425199985903E-3"/>
    <n v="-2.8553569540381001E-3"/>
    <n v="-4.8633804544806003E-3"/>
    <b v="0"/>
    <b v="0"/>
    <b v="1"/>
    <b v="0"/>
  </r>
  <r>
    <x v="36"/>
    <x v="8"/>
    <n v="173773.296875"/>
    <n v="0.95304328203201305"/>
    <n v="6.0000000000000001E-3"/>
    <n v="2.0962414010833799"/>
    <n v="2.1995238208005818"/>
    <n v="-4.24792562849413E-2"/>
    <n v="-2.8553569540381001E-3"/>
    <n v="-4.8633804544806003E-3"/>
    <n v="1.6243431881070001E-2"/>
    <n v="-1.40200201421975E-2"/>
    <b v="0"/>
    <b v="0"/>
    <b v="0"/>
    <b v="0"/>
  </r>
  <r>
    <x v="36"/>
    <x v="9"/>
    <n v="175594.5"/>
    <n v="0.95263290405273404"/>
    <n v="5.0000000000000001E-3"/>
    <n v="1.85029488859764"/>
    <n v="1.9422958001198907"/>
    <n v="-0.117327380500465"/>
    <n v="1.6243431881070001E-2"/>
    <n v="-1.40200201421975E-2"/>
    <n v="-1.04059818778187E-2"/>
    <n v="-2.35595388803631E-2"/>
    <b v="0"/>
    <b v="0"/>
    <b v="1"/>
    <b v="0"/>
  </r>
  <r>
    <x v="36"/>
    <x v="10"/>
    <n v="177643.40625"/>
    <n v="0.92370843887329102"/>
    <n v="0.10100000000000001"/>
    <n v="2.2848735437918699"/>
    <n v="2.4735873871401273"/>
    <n v="0.234869943095182"/>
    <n v="-1.04059818778187E-2"/>
    <n v="-2.35595388803631E-2"/>
    <n v="-6.3895073756575996E-3"/>
    <n v="-9.1790808364748903E-3"/>
    <b v="0"/>
    <b v="1"/>
    <b v="0"/>
    <b v="1"/>
  </r>
  <r>
    <x v="36"/>
    <x v="11"/>
    <n v="179339.5"/>
    <n v="0.93454355001449596"/>
    <n v="0"/>
    <n v="2.1796487772853999"/>
    <n v="2.3323137560059033"/>
    <n v="-4.6052774689595802E-2"/>
    <n v="-6.3895073756575996E-3"/>
    <n v="-9.1790808364748903E-3"/>
    <n v="-2.1282965341582801E-2"/>
    <n v="-3.0417988309636601E-2"/>
    <b v="0"/>
    <b v="0"/>
    <b v="0"/>
    <b v="0"/>
  </r>
  <r>
    <x v="36"/>
    <x v="12"/>
    <n v="180763.703125"/>
    <n v="0.94075465202331499"/>
    <n v="0"/>
    <n v="2.3917927212820098"/>
    <n v="2.5424192334716547"/>
    <n v="9.73294166507013E-2"/>
    <n v="-2.1282965341582801E-2"/>
    <n v="-3.0417988309636601E-2"/>
    <n v="2.1564926177263299E-2"/>
    <n v="3.7637315690517898E-3"/>
    <b v="0"/>
    <b v="1"/>
    <b v="0"/>
    <b v="1"/>
  </r>
  <r>
    <x v="36"/>
    <x v="13"/>
    <n v="182512.609375"/>
    <n v="0.92826771736144997"/>
    <n v="3.5000000000000003E-2"/>
    <n v="2.0088980824796399"/>
    <n v="2.1641365361598726"/>
    <n v="-0.16008688185869899"/>
    <n v="2.1564926177263299E-2"/>
    <n v="3.7637315690517898E-3"/>
    <n v="4.2438396364450001E-3"/>
    <n v="-1.4605350792408E-2"/>
    <b v="1"/>
    <b v="0"/>
    <b v="1"/>
    <b v="0"/>
  </r>
  <r>
    <x v="36"/>
    <x v="14"/>
    <n v="184564.703125"/>
    <n v="0.96275359392166104"/>
    <n v="0"/>
    <n v="1.8708058742849401"/>
    <n v="1.9431824363952122"/>
    <n v="-6.8740275775584406E-2"/>
    <n v="4.2438396364450001E-3"/>
    <n v="-1.4605350792408E-2"/>
    <n v="3.12023295760155E-2"/>
    <n v="-1.2387283146381401E-2"/>
    <b v="0"/>
    <b v="0"/>
    <b v="1"/>
    <b v="0"/>
  </r>
  <r>
    <x v="37"/>
    <x v="0"/>
    <n v="1823026"/>
    <n v="0.93255180120468095"/>
    <n v="5.0000000000000001E-3"/>
    <n v="2.2441387559808601"/>
    <n v="2.4064494359260862"/>
    <n v="6.1049136926461002E-3"/>
    <n v="-1.21098257303237E-2"/>
    <n v="-1.8472865223884499E-2"/>
    <n v="-1.8675205260515E-3"/>
    <n v="-9.4576459377999997E-4"/>
    <b v="0"/>
    <b v="1"/>
    <b v="0"/>
    <b v="1"/>
  </r>
  <r>
    <x v="37"/>
    <x v="1"/>
    <n v="1847554"/>
    <n v="0.93777042627334595"/>
    <n v="5.0000000000000001E-3"/>
    <n v="2.2110570694305798"/>
    <n v="2.357780761137044"/>
    <n v="-1.47413730377032E-2"/>
    <n v="-1.8675205260515E-3"/>
    <n v="-9.4576459377999997E-4"/>
    <n v="-1.8030743405222899E-2"/>
    <n v="1.14800608716905E-2"/>
    <b v="0"/>
    <b v="0"/>
    <b v="0"/>
    <b v="0"/>
  </r>
  <r>
    <x v="37"/>
    <x v="2"/>
    <n v="1871202"/>
    <n v="0.93348652124404896"/>
    <n v="8.9999999999999993E-3"/>
    <n v="2.1749997908352299"/>
    <n v="2.3299745002601937"/>
    <n v="-1.6307710503659499E-2"/>
    <n v="-1.8030743405222899E-2"/>
    <n v="1.14800608716905E-2"/>
    <n v="1.16287013143301E-3"/>
    <n v="2.7729571796953598E-2"/>
    <b v="1"/>
    <b v="0"/>
    <b v="0"/>
    <b v="0"/>
  </r>
  <r>
    <x v="37"/>
    <x v="3"/>
    <n v="1892404"/>
    <n v="0.92538058757782005"/>
    <n v="8.9999999999999993E-3"/>
    <n v="2.2269353549890001"/>
    <n v="2.4065075330983485"/>
    <n v="2.3878422596917501E-2"/>
    <n v="1.16287013143301E-3"/>
    <n v="2.7729571796953598E-2"/>
    <n v="-6.4065662994980798E-3"/>
    <n v="3.0535424593836E-3"/>
    <b v="0"/>
    <b v="0"/>
    <b v="0"/>
    <b v="0"/>
  </r>
  <r>
    <x v="37"/>
    <x v="4"/>
    <n v="1911667"/>
    <n v="0.93421882390975997"/>
    <n v="7.0000000000000001E-3"/>
    <n v="2.3186477071731399"/>
    <n v="2.4819107128129412"/>
    <n v="4.1183212605913601E-2"/>
    <n v="-6.4065662994980798E-3"/>
    <n v="3.0535424593836E-3"/>
    <n v="-1.93905656859279E-2"/>
    <n v="1.8932088278233901E-3"/>
    <b v="0"/>
    <b v="0"/>
    <b v="0"/>
    <b v="1"/>
  </r>
  <r>
    <x v="37"/>
    <x v="5"/>
    <n v="1932081"/>
    <n v="0.94052165746688798"/>
    <n v="8.9999999999999993E-3"/>
    <n v="2.23312060960507"/>
    <n v="2.3743425702918373"/>
    <n v="-3.6886628918862303E-2"/>
    <n v="-1.93905656859279E-2"/>
    <n v="1.8932088278233901E-3"/>
    <n v="-2.3799206167458998E-3"/>
    <n v="3.0582854524254899E-3"/>
    <b v="1"/>
    <b v="0"/>
    <b v="0"/>
    <b v="0"/>
  </r>
  <r>
    <x v="37"/>
    <x v="6"/>
    <n v="1955121"/>
    <n v="0.94204539060592696"/>
    <n v="0.01"/>
    <n v="2.2315801197871501"/>
    <n v="2.3688668741872299"/>
    <n v="-6.8983726687047505E-4"/>
    <n v="-2.3799206167458998E-3"/>
    <n v="2.9726866632700001E-3"/>
    <n v="7.5962267816069898E-4"/>
    <n v="-5.3671486675739002E-3"/>
    <b v="1"/>
    <b v="0"/>
    <b v="0"/>
    <b v="0"/>
  </r>
  <r>
    <x v="37"/>
    <x v="7"/>
    <n v="1982324"/>
    <n v="0.93737018108367898"/>
    <n v="2.3E-2"/>
    <n v="2.2591407992077999"/>
    <n v="2.4100839186030458"/>
    <n v="1.23502979688111E-2"/>
    <n v="7.5962267816069898E-4"/>
    <n v="-5.3671486675739002E-3"/>
    <n v="-1.2765686810017E-3"/>
    <n v="-3.2845921814442002E-3"/>
    <b v="0"/>
    <b v="1"/>
    <b v="0"/>
    <b v="0"/>
  </r>
  <r>
    <x v="37"/>
    <x v="8"/>
    <n v="2010125"/>
    <n v="0.93354856967926003"/>
    <n v="0.03"/>
    <n v="2.2510222875875301"/>
    <n v="2.4112535337726624"/>
    <n v="-3.5936279948163199E-3"/>
    <n v="-1.2765686810017E-3"/>
    <n v="-3.2845921814442002E-3"/>
    <n v="3.3102275967598002E-2"/>
    <n v="2.8388239443303E-3"/>
    <b v="0"/>
    <b v="0"/>
    <b v="0"/>
    <b v="0"/>
  </r>
  <r>
    <x v="37"/>
    <x v="9"/>
    <n v="2036063"/>
    <n v="0.937996506690979"/>
    <n v="3.2000000000000001E-2"/>
    <n v="2.2869873112926702"/>
    <n v="2.4381618641210072"/>
    <n v="1.5977195740556099E-2"/>
    <n v="3.3102275967598002E-2"/>
    <n v="2.8388239443303E-3"/>
    <n v="2.0236239105462999E-2"/>
    <n v="7.0826821029185997E-3"/>
    <b v="0"/>
    <b v="0"/>
    <b v="0"/>
    <b v="0"/>
  </r>
  <r>
    <x v="37"/>
    <x v="10"/>
    <n v="2062829.125"/>
    <n v="0.93927299976348899"/>
    <n v="1.2999999999999999E-2"/>
    <n v="2.2587818928393899"/>
    <n v="2.4048193585977198"/>
    <n v="-1.2333001724152E-2"/>
    <n v="2.0236239105462999E-2"/>
    <n v="7.0826821029185997E-3"/>
    <n v="1.07863598465919E-2"/>
    <n v="7.9967863857746003E-3"/>
    <b v="1"/>
    <b v="0"/>
    <b v="1"/>
    <b v="0"/>
  </r>
  <r>
    <x v="37"/>
    <x v="11"/>
    <n v="2091322"/>
    <n v="0.93047803640365601"/>
    <n v="3.2000000000000001E-2"/>
    <n v="2.2466840691818302"/>
    <n v="2.4145482013367841"/>
    <n v="-5.3559060730533799E-3"/>
    <n v="1.07863598465919E-2"/>
    <n v="7.9967863857746003E-3"/>
    <n v="2.2625031173229E-3"/>
    <n v="-6.8725198507308899E-3"/>
    <b v="1"/>
    <b v="0"/>
    <b v="1"/>
    <b v="0"/>
  </r>
  <r>
    <x v="37"/>
    <x v="12"/>
    <n v="2112673"/>
    <n v="0.932137191295624"/>
    <n v="2.8000000000000001E-2"/>
    <n v="2.2050221785295601"/>
    <n v="2.3655554130016951"/>
    <n v="-1.8543724604519501E-2"/>
    <n v="2.2625031173229E-3"/>
    <n v="-6.8725198507308899E-3"/>
    <n v="1.7801194608211501E-2"/>
    <n v="0"/>
    <b v="0"/>
    <b v="0"/>
    <b v="1"/>
    <b v="0"/>
  </r>
  <r>
    <x v="37"/>
    <x v="13"/>
    <n v="2131431"/>
    <n v="0.93043911457061801"/>
    <n v="0.02"/>
    <n v="2.2608029253370598"/>
    <n v="2.4298236068680135"/>
    <n v="2.52971363964716E-2"/>
    <n v="1.7801194608211501E-2"/>
    <n v="0"/>
    <n v="2.0999001443386098E-2"/>
    <n v="2.1498110145330902E-3"/>
    <b v="0"/>
    <b v="0"/>
    <b v="0"/>
    <b v="0"/>
  </r>
  <r>
    <x v="37"/>
    <x v="14"/>
    <n v="2143346"/>
    <n v="0.930295050144196"/>
    <n v="3.5000000000000003E-2"/>
    <n v="2.1945043032217901"/>
    <n v="2.358933655383463"/>
    <n v="-2.93252549226009E-2"/>
    <n v="2.0999001443386098E-2"/>
    <n v="2.1498110145330902E-3"/>
    <n v="2.5069227695465102E-2"/>
    <n v="-1.8520385026931801E-2"/>
    <b v="1"/>
    <b v="0"/>
    <b v="1"/>
    <b v="0"/>
  </r>
  <r>
    <x v="37"/>
    <x v="15"/>
    <n v="2152443"/>
    <n v="0.94475859403610196"/>
    <n v="3.2000000000000001E-2"/>
    <n v="2.2904791048757902"/>
    <n v="2.4244067419282604"/>
    <n v="4.37341596975181E-2"/>
    <n v="2.5069227695465102E-2"/>
    <n v="-1.8520385026931801E-2"/>
    <n v="-2.3490859121084201E-2"/>
    <n v="8.6126476526261E-3"/>
    <b v="0"/>
    <b v="1"/>
    <b v="0"/>
    <b v="0"/>
  </r>
  <r>
    <x v="37"/>
    <x v="16"/>
    <n v="2175061"/>
    <n v="0.93456530570983898"/>
    <n v="2.3E-2"/>
    <n v="2.1128523468287601"/>
    <n v="2.2607862007288682"/>
    <n v="-7.75500451712961E-2"/>
    <n v="-2.3490859121084201E-2"/>
    <n v="9.0913511812686903E-3"/>
    <n v="-1.8297155186533898E-2"/>
    <n v="1.2617725878954001E-3"/>
    <b v="1"/>
    <b v="0"/>
    <b v="0"/>
    <b v="0"/>
  </r>
  <r>
    <x v="38"/>
    <x v="0"/>
    <n v="419725.59375"/>
    <n v="0.94655197858810403"/>
    <n v="3.3000000000000002E-2"/>
    <n v="2.46893016093594"/>
    <n v="2.6083408167596311"/>
    <n v="-2.8159002515851599E-3"/>
    <n v="7.3419004976748997E-3"/>
    <n v="9.78861004114102E-4"/>
    <n v="1.29040620326995E-2"/>
    <n v="1.3825817964971E-2"/>
    <b v="1"/>
    <b v="0"/>
    <b v="1"/>
    <b v="0"/>
  </r>
  <r>
    <x v="38"/>
    <x v="1"/>
    <n v="421094.5"/>
    <n v="0.95404928922653198"/>
    <n v="1.7000000000000001E-2"/>
    <n v="2.4257339441034098"/>
    <n v="2.5425666907314652"/>
    <n v="-1.7495924962153998E-2"/>
    <n v="1.29040620326995E-2"/>
    <n v="1.3825817964971E-2"/>
    <n v="-2.69950715005398E-2"/>
    <n v="2.5157327763736001E-3"/>
    <b v="1"/>
    <b v="0"/>
    <b v="1"/>
    <b v="0"/>
  </r>
  <r>
    <x v="38"/>
    <x v="2"/>
    <n v="424209.5"/>
    <n v="0.94696635007858299"/>
    <n v="1.4E-2"/>
    <n v="2.5146455436516901"/>
    <n v="2.6554750793869446"/>
    <n v="3.6653483686625202E-2"/>
    <n v="-2.69950715005398E-2"/>
    <n v="2.5157327763736001E-3"/>
    <n v="-2.95894711315632E-2"/>
    <n v="-3.0227694660425498E-3"/>
    <b v="0"/>
    <b v="0"/>
    <b v="0"/>
    <b v="1"/>
  </r>
  <r>
    <x v="38"/>
    <x v="3"/>
    <n v="427390.5"/>
    <n v="0.93359786272048995"/>
    <n v="1.4999999999999999E-2"/>
    <n v="2.4866616285660301"/>
    <n v="2.6635254083807949"/>
    <n v="-1.11283736017244E-2"/>
    <n v="-2.95894711315632E-2"/>
    <n v="-3.0227694660425498E-3"/>
    <n v="-1.4987497412599599E-2"/>
    <n v="-5.5273886537179299E-3"/>
    <b v="0"/>
    <b v="0"/>
    <b v="0"/>
    <b v="0"/>
  </r>
  <r>
    <x v="38"/>
    <x v="4"/>
    <n v="428254"/>
    <n v="0.94062787294387795"/>
    <n v="1E-3"/>
    <n v="2.61235210030484"/>
    <n v="2.7772429198052317"/>
    <n v="5.05458685230495E-2"/>
    <n v="-1.4987497412599599E-2"/>
    <n v="-5.5273886537179299E-3"/>
    <n v="-1.9867749296128698E-2"/>
    <n v="1.4160252176225901E-3"/>
    <b v="0"/>
    <b v="1"/>
    <b v="0"/>
    <b v="1"/>
  </r>
  <r>
    <x v="38"/>
    <x v="5"/>
    <n v="431146.09375"/>
    <n v="0.94185358285903897"/>
    <n v="1E-3"/>
    <n v="2.5255809428057101"/>
    <n v="2.6815005949642359"/>
    <n v="-3.3215720610173902E-2"/>
    <n v="-1.9867749296128698E-2"/>
    <n v="1.4160252176225901E-3"/>
    <n v="1.3890767186879999E-2"/>
    <n v="1.9328973256051499E-2"/>
    <b v="1"/>
    <b v="0"/>
    <b v="0"/>
    <b v="0"/>
  </r>
  <r>
    <x v="38"/>
    <x v="6"/>
    <n v="436269.40625"/>
    <n v="0.94299453496932995"/>
    <n v="0"/>
    <n v="2.5030939548881399"/>
    <n v="2.6544098211232483"/>
    <n v="-8.9036892607336701E-3"/>
    <n v="1.3890767186879999E-2"/>
    <n v="1.9243374466895901E-2"/>
    <n v="3.34835207462311E-2"/>
    <n v="2.73567494004965E-2"/>
    <b v="1"/>
    <b v="0"/>
    <b v="1"/>
    <b v="0"/>
  </r>
  <r>
    <x v="38"/>
    <x v="7"/>
    <n v="441369.375"/>
    <n v="0.932911276817322"/>
    <n v="8.9999999999999993E-3"/>
    <n v="2.58642020659153"/>
    <n v="2.7724182040281948"/>
    <n v="3.3289302441352198E-2"/>
    <n v="3.34835207462311E-2"/>
    <n v="2.73567494004965E-2"/>
    <n v="1.37107789665461E-2"/>
    <n v="1.17027554661035E-2"/>
    <b v="0"/>
    <b v="0"/>
    <b v="0"/>
    <b v="0"/>
  </r>
  <r>
    <x v="38"/>
    <x v="8"/>
    <n v="445445.71875"/>
    <n v="0.92731595039367698"/>
    <n v="2.4E-2"/>
    <n v="2.5308702425995899"/>
    <n v="2.729242650819443"/>
    <n v="-2.1477547944593198E-2"/>
    <n v="1.37107789665461E-2"/>
    <n v="1.17027554661035E-2"/>
    <n v="2.5257328689098399E-2"/>
    <n v="-5.0061233341692898E-3"/>
    <b v="1"/>
    <b v="0"/>
    <b v="1"/>
    <b v="0"/>
  </r>
  <r>
    <x v="38"/>
    <x v="9"/>
    <n v="448477.125"/>
    <n v="0.92689043283462502"/>
    <n v="1.2999999999999999E-2"/>
    <n v="2.46939142710827"/>
    <n v="2.6641675646131699"/>
    <n v="-2.4291571514221701E-2"/>
    <n v="2.5257328689098399E-2"/>
    <n v="-5.0061233341692898E-3"/>
    <n v="-2.3316422209143602E-2"/>
    <n v="-3.6469979211688E-2"/>
    <b v="0"/>
    <b v="0"/>
    <b v="1"/>
    <b v="0"/>
  </r>
  <r>
    <x v="38"/>
    <x v="10"/>
    <n v="448940.78125"/>
    <n v="0.87910294532775901"/>
    <n v="5.2999999999999999E-2"/>
    <n v="2.5240050260066602"/>
    <n v="2.8711142869230484"/>
    <n v="2.2116217906506998E-2"/>
    <n v="-2.3316422209143602E-2"/>
    <n v="-3.6469979211688E-2"/>
    <n v="-1.04712809473276E-2"/>
    <n v="-1.32608544081448E-2"/>
    <b v="0"/>
    <b v="1"/>
    <b v="0"/>
    <b v="1"/>
  </r>
  <r>
    <x v="38"/>
    <x v="11"/>
    <n v="447383.5"/>
    <n v="0.88354599475860596"/>
    <n v="4.8000000000000001E-2"/>
    <n v="2.5505075201896701"/>
    <n v="2.8866720412065199"/>
    <n v="1.0500174884730699E-2"/>
    <n v="-1.04712809473276E-2"/>
    <n v="-1.32608544081448E-2"/>
    <n v="-5.3598804175854003E-3"/>
    <n v="-1.44949033856391E-2"/>
    <b v="0"/>
    <b v="1"/>
    <b v="0"/>
    <b v="1"/>
  </r>
  <r>
    <x v="38"/>
    <x v="12"/>
    <n v="445187.90625"/>
    <n v="0.88965350389480602"/>
    <n v="1.4999999999999999E-2"/>
    <n v="2.5253548127763499"/>
    <n v="2.8385824388041208"/>
    <n v="-9.8618440503360095E-3"/>
    <n v="-5.3598804175854003E-3"/>
    <n v="-1.44949033856391E-2"/>
    <n v="2.43193909227848E-2"/>
    <n v="6.5181963145732897E-3"/>
    <b v="0"/>
    <b v="0"/>
    <b v="0"/>
    <b v="0"/>
  </r>
  <r>
    <x v="38"/>
    <x v="13"/>
    <n v="445149"/>
    <n v="0.87947803735732999"/>
    <n v="2.1000000000000001E-2"/>
    <n v="2.41515388268455"/>
    <n v="2.7461218814987625"/>
    <n v="-4.3637800729727297E-2"/>
    <n v="2.43193909227848E-2"/>
    <n v="6.5181963145732897E-3"/>
    <n v="1.41105969548224E-2"/>
    <n v="-4.7385934740304999E-3"/>
    <b v="1"/>
    <b v="0"/>
    <b v="1"/>
    <b v="0"/>
  </r>
  <r>
    <x v="38"/>
    <x v="14"/>
    <n v="446738.71875"/>
    <n v="0.88450086116790805"/>
    <n v="3.1E-2"/>
    <n v="2.22099767981438"/>
    <n v="2.5110181089951022"/>
    <n v="-8.0390820751496103E-2"/>
    <n v="1.41105969548224E-2"/>
    <n v="-4.7385934740304999E-3"/>
    <n v="2.2436252117156899E-2"/>
    <n v="-2.1153360605239899E-2"/>
    <b v="0"/>
    <b v="0"/>
    <b v="1"/>
    <b v="0"/>
  </r>
  <r>
    <x v="38"/>
    <x v="15"/>
    <n v="447505.40625"/>
    <n v="0.88639670610427901"/>
    <n v="1.0999999999999999E-2"/>
    <n v="2.4018787334310501"/>
    <n v="2.7097108065612376"/>
    <n v="8.1441351902620598E-2"/>
    <n v="2.2436252117156899E-2"/>
    <n v="-2.1153360605239899E-2"/>
    <n v="-5.4443146958947197E-2"/>
    <n v="-2.2339640185236799E-2"/>
    <b v="0"/>
    <b v="1"/>
    <b v="0"/>
    <b v="0"/>
  </r>
  <r>
    <x v="38"/>
    <x v="16"/>
    <n v="447262.3125"/>
    <n v="0.86041247844696001"/>
    <n v="0.02"/>
    <n v="2.3524694619712099"/>
    <n v="2.7341182524658461"/>
    <n v="-2.05710932746608E-2"/>
    <n v="-5.4443146958947197E-2"/>
    <n v="-2.18609366565942E-2"/>
    <n v="-3.6311873964965297E-2"/>
    <n v="-1.6752946190536001E-2"/>
    <b v="0"/>
    <b v="0"/>
    <b v="0"/>
    <b v="0"/>
  </r>
  <r>
    <x v="39"/>
    <x v="0"/>
    <n v="5977207"/>
    <n v="0.91037452220916704"/>
    <n v="1.4999999999999999E-2"/>
    <n v="2.3710766517584001"/>
    <n v="2.6045068199015602"/>
    <n v="9.7021290661162499E-3"/>
    <n v="-1.04568790346384E-2"/>
    <n v="-1.6819918528199199E-2"/>
    <n v="-5.3227291405200999E-3"/>
    <n v="-4.4009732082485997E-3"/>
    <b v="0"/>
    <b v="1"/>
    <b v="0"/>
    <b v="1"/>
  </r>
  <r>
    <x v="39"/>
    <x v="1"/>
    <n v="6114168"/>
    <n v="0.91610741615295399"/>
    <n v="1.0999999999999999E-2"/>
    <n v="2.40405404882353"/>
    <n v="2.6242054222407334"/>
    <n v="1.3908195266767599E-2"/>
    <n v="-5.3227291405200999E-3"/>
    <n v="-4.4009732082485997E-3"/>
    <n v="-1.9466775760054501E-2"/>
    <n v="1.0044028516858801E-2"/>
    <b v="0"/>
    <b v="1"/>
    <b v="0"/>
    <b v="1"/>
  </r>
  <r>
    <x v="39"/>
    <x v="2"/>
    <n v="6244037"/>
    <n v="0.90790957212448098"/>
    <n v="2.7E-2"/>
    <n v="2.4052034519470098"/>
    <n v="2.6491663110445089"/>
    <n v="4.7811035032465998E-4"/>
    <n v="-1.9466775760054501E-2"/>
    <n v="1.0044028516858801E-2"/>
    <n v="-1.8260783240199099E-2"/>
    <n v="8.3059184253215495E-3"/>
    <b v="0"/>
    <b v="0"/>
    <b v="0"/>
    <b v="1"/>
  </r>
  <r>
    <x v="39"/>
    <x v="3"/>
    <n v="6369491"/>
    <n v="0.89640682935714699"/>
    <n v="2.1000000000000001E-2"/>
    <n v="2.43298589600938"/>
    <n v="2.7141536814865432"/>
    <n v="1.1550974633714999E-2"/>
    <n v="-1.8260783240199099E-2"/>
    <n v="8.3059184253215495E-3"/>
    <n v="-1.27200013343244E-2"/>
    <n v="-3.2598925754427901E-3"/>
    <b v="0"/>
    <b v="0"/>
    <b v="0"/>
    <b v="1"/>
  </r>
  <r>
    <x v="39"/>
    <x v="4"/>
    <n v="6480242"/>
    <n v="0.90726590156555198"/>
    <n v="2E-3"/>
    <n v="2.4270594830672398"/>
    <n v="2.6751357886140941"/>
    <n v="-2.4358599660839401E-3"/>
    <n v="-1.27200013343244E-2"/>
    <n v="-3.2598925754427901E-3"/>
    <n v="-1.3337757781147999E-2"/>
    <n v="7.9460167326032994E-3"/>
    <b v="0"/>
    <b v="0"/>
    <b v="0"/>
    <b v="0"/>
  </r>
  <r>
    <x v="39"/>
    <x v="5"/>
    <n v="6598944"/>
    <n v="0.91524916887283303"/>
    <n v="4.0000000000000001E-3"/>
    <n v="2.4288683236561202"/>
    <n v="2.6537782346717358"/>
    <n v="7.4528069934062097E-4"/>
    <n v="-1.3337757781147999E-2"/>
    <n v="7.9460167326032994E-3"/>
    <n v="5.0403100401162897E-3"/>
    <n v="1.04785161092876E-2"/>
    <b v="0"/>
    <b v="0"/>
    <b v="0"/>
    <b v="1"/>
  </r>
  <r>
    <x v="39"/>
    <x v="6"/>
    <n v="6725017"/>
    <n v="0.92665570974349998"/>
    <n v="1.2E-2"/>
    <n v="2.446130639972"/>
    <n v="2.6397405360498922"/>
    <n v="7.1071437458145896E-3"/>
    <n v="5.0403100401162897E-3"/>
    <n v="1.03929173201322E-2"/>
    <n v="1.50708692520857E-2"/>
    <n v="8.9440979063510999E-3"/>
    <b v="0"/>
    <b v="0"/>
    <b v="0"/>
    <b v="0"/>
  </r>
  <r>
    <x v="39"/>
    <x v="7"/>
    <n v="6837534"/>
    <n v="0.92609715461731001"/>
    <n v="1.9E-2"/>
    <n v="2.44471338946793"/>
    <n v="2.6398022899424154"/>
    <n v="-5.7938463339287695E-4"/>
    <n v="1.50708692520857E-2"/>
    <n v="8.9440979063510999E-3"/>
    <n v="1.31088912636041E-2"/>
    <n v="1.11008677631616E-2"/>
    <b v="1"/>
    <b v="0"/>
    <b v="1"/>
    <b v="0"/>
  </r>
  <r>
    <x v="39"/>
    <x v="8"/>
    <n v="6976119"/>
    <n v="0.92555284500122104"/>
    <n v="2.1000000000000001E-2"/>
    <n v="2.4469496869067"/>
    <n v="2.6437709095945481"/>
    <n v="9.1474830890222005E-4"/>
    <n v="1.31088912636041E-2"/>
    <n v="1.11008677631616E-2"/>
    <n v="5.6168845087289802E-2"/>
    <n v="2.5905393064022099E-2"/>
    <b v="0"/>
    <b v="0"/>
    <b v="0"/>
    <b v="0"/>
  </r>
  <r>
    <x v="39"/>
    <x v="9"/>
    <n v="7126653"/>
    <n v="0.93227434158325195"/>
    <n v="2.4E-2"/>
    <n v="2.45450907551866"/>
    <n v="2.6328184377039112"/>
    <n v="3.08931101134262E-3"/>
    <n v="5.6168845087289802E-2"/>
    <n v="2.5905393064022099E-2"/>
    <n v="1.8311545521020899E-2"/>
    <n v="5.1579885184765001E-3"/>
    <b v="0"/>
    <b v="0"/>
    <b v="0"/>
    <b v="0"/>
  </r>
  <r>
    <x v="39"/>
    <x v="10"/>
    <n v="7275681"/>
    <n v="0.92544698715210005"/>
    <n v="3.3000000000000002E-2"/>
    <n v="2.4393163378001299"/>
    <n v="2.6358250355395243"/>
    <n v="-6.18972562377571E-3"/>
    <n v="1.8311545521020899E-2"/>
    <n v="5.1579885184765001E-3"/>
    <n v="5.34956991672497E-4"/>
    <n v="-2.2546164691447999E-3"/>
    <b v="1"/>
    <b v="0"/>
    <b v="1"/>
    <b v="0"/>
  </r>
  <r>
    <x v="39"/>
    <x v="11"/>
    <n v="7410584"/>
    <n v="0.91056931018829301"/>
    <n v="0.04"/>
    <n v="2.4053140623296501"/>
    <n v="2.6415496716359401"/>
    <n v="-1.3939264433881901E-2"/>
    <n v="5.34956991672497E-4"/>
    <n v="-2.2546164691447999E-3"/>
    <n v="3.5793932378292001E-3"/>
    <n v="-5.5556297302245903E-3"/>
    <b v="0"/>
    <b v="0"/>
    <b v="1"/>
    <b v="0"/>
  </r>
  <r>
    <x v="39"/>
    <x v="12"/>
    <n v="7528420"/>
    <n v="0.911313116550446"/>
    <n v="3.4000000000000002E-2"/>
    <n v="2.3846052104511299"/>
    <n v="2.616669470837282"/>
    <n v="-8.6096249146198102E-3"/>
    <n v="3.5793932378292001E-3"/>
    <n v="-5.5556297302245903E-3"/>
    <n v="2.0495350629091299E-2"/>
    <n v="2.6941560208797902E-3"/>
    <b v="0"/>
    <b v="0"/>
    <b v="1"/>
    <b v="0"/>
  </r>
  <r>
    <x v="39"/>
    <x v="13"/>
    <n v="7646131"/>
    <n v="0.91251081228256203"/>
    <n v="3.5999999999999997E-2"/>
    <n v="2.3666148747902298"/>
    <n v="2.5935198168998785"/>
    <n v="-7.5443664980909099E-3"/>
    <n v="2.0495350629091299E-2"/>
    <n v="2.6941560208797902E-3"/>
    <n v="3.9598384052514897E-3"/>
    <n v="-1.4889352023601501E-2"/>
    <b v="1"/>
    <b v="0"/>
    <b v="1"/>
    <b v="0"/>
  </r>
  <r>
    <x v="39"/>
    <x v="14"/>
    <n v="7766493"/>
    <n v="0.91099065542221103"/>
    <n v="3.4000000000000002E-2"/>
    <n v="2.2233878395784301"/>
    <n v="2.4406263953914773"/>
    <n v="-6.0519789990965703E-2"/>
    <n v="3.9598384052514897E-3"/>
    <n v="-1.4889352023601501E-2"/>
    <n v="8.9355191469193004E-2"/>
    <n v="4.5765578746796098E-2"/>
    <b v="0"/>
    <b v="0"/>
    <b v="1"/>
    <b v="0"/>
  </r>
  <r>
    <x v="39"/>
    <x v="15"/>
    <n v="7898458"/>
    <n v="0.93935108184814498"/>
    <n v="3.5999999999999997E-2"/>
    <n v="2.2811788268955602"/>
    <n v="2.4284624470835863"/>
    <n v="2.59923106029444E-2"/>
    <n v="8.9355191469193004E-2"/>
    <n v="4.5765578746796098E-2"/>
    <n v="-3.5398283898830402E-2"/>
    <n v="-3.2947771251201001E-3"/>
    <b v="0"/>
    <b v="0"/>
    <b v="0"/>
    <b v="0"/>
  </r>
  <r>
    <x v="39"/>
    <x v="16"/>
    <n v="8096734"/>
    <n v="0.91536229848861705"/>
    <n v="0.03"/>
    <n v="2.2368612631396001"/>
    <n v="2.4436895279966748"/>
    <n v="-1.9427483384225001E-2"/>
    <n v="-3.5398283898830402E-2"/>
    <n v="-2.8160735964774999E-3"/>
    <n v="-4.96481841281056E-2"/>
    <n v="-3.0089256353676298E-2"/>
    <b v="0"/>
    <b v="0"/>
    <b v="0"/>
    <b v="0"/>
  </r>
  <r>
    <x v="40"/>
    <x v="0"/>
    <n v="374080.6875"/>
    <n v="0.91934454441070601"/>
    <n v="0"/>
    <n v="2.1781933662667599"/>
    <n v="2.3692894894622647"/>
    <n v="9.0481702455510002E-2"/>
    <n v="-8.5541199594736002E-3"/>
    <n v="-1.49171594530343E-2"/>
    <n v="-4.8659098297357999E-3"/>
    <n v="-3.9441538974642996E-3"/>
    <b v="0"/>
    <b v="1"/>
    <b v="0"/>
    <b v="1"/>
  </r>
  <r>
    <x v="40"/>
    <x v="1"/>
    <n v="375455"/>
    <n v="0.92682111263275102"/>
    <n v="2E-3"/>
    <n v="2.0709338829111599"/>
    <n v="2.2344483252311913"/>
    <n v="-4.92424065818498E-2"/>
    <n v="-4.8659098297357999E-3"/>
    <n v="-3.9441538974642996E-3"/>
    <n v="-2.2954974614083801E-2"/>
    <n v="6.5558296628296002E-3"/>
    <b v="0"/>
    <b v="0"/>
    <b v="0"/>
    <b v="0"/>
  </r>
  <r>
    <x v="40"/>
    <x v="2"/>
    <n v="376893.1875"/>
    <n v="0.93578809499740601"/>
    <n v="0"/>
    <n v="2.10242162310489"/>
    <n v="2.2466855844225266"/>
    <n v="1.5204609115508499E-2"/>
    <n v="-2.2954974614083801E-2"/>
    <n v="6.5558296628296002E-3"/>
    <n v="-1.7661149337887799E-2"/>
    <n v="8.9055523276328503E-3"/>
    <b v="0"/>
    <b v="0"/>
    <b v="0"/>
    <b v="1"/>
  </r>
  <r>
    <x v="40"/>
    <x v="3"/>
    <n v="378586.5"/>
    <n v="0.93298989534378096"/>
    <n v="3.0000000000000001E-3"/>
    <n v="1.97285764560971"/>
    <n v="2.11455413982031"/>
    <n v="-6.1626067802630302E-2"/>
    <n v="-1.7661149337887799E-2"/>
    <n v="8.9055523276328503E-3"/>
    <n v="-1.49243579329922E-2"/>
    <n v="-5.4642491741105897E-3"/>
    <b v="1"/>
    <b v="0"/>
    <b v="0"/>
    <b v="0"/>
  </r>
  <r>
    <x v="40"/>
    <x v="4"/>
    <n v="380340.90625"/>
    <n v="0.92787063121795699"/>
    <n v="1.2E-2"/>
    <n v="2.1681021114159602"/>
    <n v="2.3366426724488845"/>
    <n v="9.8965308642888397E-2"/>
    <n v="-1.49243579329922E-2"/>
    <n v="-5.4642491741105897E-3"/>
    <n v="-2.62713198252022E-2"/>
    <n v="-4.9875453114509296E-3"/>
    <b v="0"/>
    <b v="1"/>
    <b v="0"/>
    <b v="1"/>
  </r>
  <r>
    <x v="41"/>
    <x v="0"/>
    <n v="803041.3125"/>
    <n v="0.91141879558563199"/>
    <n v="6.0000000000000001E-3"/>
    <n v="2.2235517264157099"/>
    <n v="2.4396597230441874"/>
    <n v="3.4827314633786299E-2"/>
    <n v="-1.2742614716291401E-2"/>
    <n v="-1.9105654209852101E-2"/>
    <n v="-7.7045214325190004E-3"/>
    <n v="-6.7827655002475002E-3"/>
    <b v="0"/>
    <b v="1"/>
    <b v="0"/>
    <b v="1"/>
  </r>
  <r>
    <x v="41"/>
    <x v="1"/>
    <n v="801435.9375"/>
    <n v="0.91582196950912498"/>
    <n v="1.2E-2"/>
    <n v="2.1871869840713498"/>
    <n v="2.3882228827112204"/>
    <n v="-1.6354349625580501E-2"/>
    <n v="-7.7045214325190004E-3"/>
    <n v="-6.7827655002475002E-3"/>
    <n v="-2.4692775040864898E-2"/>
    <n v="4.8180292360484999E-3"/>
    <b v="0"/>
    <b v="0"/>
    <b v="0"/>
    <b v="0"/>
  </r>
  <r>
    <x v="41"/>
    <x v="2"/>
    <n v="799914.5"/>
    <n v="0.90791487693786599"/>
    <n v="0"/>
    <n v="2.1818781753421601"/>
    <n v="2.4031748248260931"/>
    <n v="-2.4272313102837299E-3"/>
    <n v="-2.4692775040864898E-2"/>
    <n v="4.8180292360484999E-3"/>
    <n v="-1.6515603944659198E-2"/>
    <n v="1.00510977208614E-2"/>
    <b v="1"/>
    <b v="0"/>
    <b v="0"/>
    <b v="0"/>
  </r>
  <r>
    <x v="41"/>
    <x v="3"/>
    <n v="799179.625"/>
    <n v="0.902765512466431"/>
    <n v="4.0000000000000001E-3"/>
    <n v="2.12599154348813"/>
    <n v="2.3549764741009467"/>
    <n v="-2.56140019574044E-2"/>
    <n v="-1.6515603944659198E-2"/>
    <n v="1.00510977208614E-2"/>
    <n v="-1.59494922740268E-2"/>
    <n v="-6.4893835151451596E-3"/>
    <b v="1"/>
    <b v="0"/>
    <b v="0"/>
    <b v="0"/>
  </r>
  <r>
    <x v="41"/>
    <x v="4"/>
    <n v="800297.1875"/>
    <n v="0.90879267454147294"/>
    <n v="5.0000000000000001E-3"/>
    <n v="2.2016726424770501"/>
    <n v="2.4226346714204023"/>
    <n v="3.5598024470382697E-2"/>
    <n v="-1.59494922740268E-2"/>
    <n v="-6.4893835151451596E-3"/>
    <n v="-2.26307663768529E-2"/>
    <n v="-1.34699186310168E-3"/>
    <b v="0"/>
    <b v="1"/>
    <b v="0"/>
    <b v="1"/>
  </r>
  <r>
    <x v="41"/>
    <x v="5"/>
    <n v="801838.9375"/>
    <n v="0.91427195072174094"/>
    <n v="0"/>
    <n v="2.1518035073734501"/>
    <n v="2.3535705166004295"/>
    <n v="-2.26505676372903E-2"/>
    <n v="-2.26307663768529E-2"/>
    <n v="-1.34699186310168E-3"/>
    <n v="-8.0121804997325009E-3"/>
    <n v="-2.5739744305610999E-3"/>
    <b v="0"/>
    <b v="0"/>
    <b v="0"/>
    <b v="0"/>
  </r>
  <r>
    <x v="41"/>
    <x v="6"/>
    <n v="802994.375"/>
    <n v="0.91878390312194802"/>
    <n v="-1E-3"/>
    <n v="2.2154373219961201"/>
    <n v="2.4112713712857357"/>
    <n v="2.95723166193449E-2"/>
    <n v="-8.0121804997325009E-3"/>
    <n v="-2.6595732197165901E-3"/>
    <n v="4.8014488071199899E-4"/>
    <n v="-5.6466264650226004E-3"/>
    <b v="0"/>
    <b v="1"/>
    <b v="0"/>
    <b v="1"/>
  </r>
  <r>
    <x v="41"/>
    <x v="7"/>
    <n v="803171.375"/>
    <n v="0.91868221759796098"/>
    <n v="-1E-3"/>
    <n v="2.2595008556276501"/>
    <n v="2.4595021132938331"/>
    <n v="1.9889316296177802E-2"/>
    <n v="4.8014488071199899E-4"/>
    <n v="-5.6466264650226004E-3"/>
    <n v="-1.6144832447171E-3"/>
    <n v="-3.6225067451596E-3"/>
    <b v="0"/>
    <b v="1"/>
    <b v="0"/>
    <b v="0"/>
  </r>
  <r>
    <x v="41"/>
    <x v="8"/>
    <n v="803295.3125"/>
    <n v="0.92496776580810502"/>
    <n v="-1E-3"/>
    <n v="2.1618882440940999"/>
    <n v="2.337257928340184"/>
    <n v="-4.3200962411869798E-2"/>
    <n v="-1.6144832447171E-3"/>
    <n v="-3.6225067451596E-3"/>
    <n v="2.73248592168093E-2"/>
    <n v="-2.9385928064583899E-3"/>
    <b v="0"/>
    <b v="0"/>
    <b v="0"/>
    <b v="0"/>
  </r>
  <r>
    <x v="41"/>
    <x v="9"/>
    <n v="803538.3125"/>
    <n v="0.91978824138641402"/>
    <n v="1.4E-2"/>
    <n v="2.1574525413349601"/>
    <n v="2.3455970018522869"/>
    <n v="-2.0517724592152599E-3"/>
    <n v="2.73248592168093E-2"/>
    <n v="-2.9385928064583899E-3"/>
    <n v="1.44582859128714E-2"/>
    <n v="1.30472891032699E-3"/>
    <b v="0"/>
    <b v="0"/>
    <b v="1"/>
    <b v="0"/>
  </r>
  <r>
    <x v="41"/>
    <x v="10"/>
    <n v="805749.3125"/>
    <n v="0.91686707735061601"/>
    <n v="1.6E-2"/>
    <n v="2.1779378934048998"/>
    <n v="2.3754129112131288"/>
    <n v="9.4951576813177892E-3"/>
    <n v="1.44582859128714E-2"/>
    <n v="1.30472891032699E-3"/>
    <n v="6.1722257733349704E-4"/>
    <n v="-2.1723508834838E-3"/>
    <b v="0"/>
    <b v="0"/>
    <b v="0"/>
    <b v="0"/>
  </r>
  <r>
    <x v="41"/>
    <x v="11"/>
    <n v="807812.0625"/>
    <n v="0.91844785213470503"/>
    <n v="7.0000000000000001E-3"/>
    <n v="2.1351162116919902"/>
    <n v="2.3247005333285284"/>
    <n v="-1.9661571545534402E-2"/>
    <n v="6.1722257733349704E-4"/>
    <n v="-2.1723508834838E-3"/>
    <n v="8.3337465524672902E-3"/>
    <n v="-8.0127641558649899E-4"/>
    <b v="0"/>
    <b v="0"/>
    <b v="1"/>
    <b v="0"/>
  </r>
  <r>
    <x v="41"/>
    <x v="12"/>
    <n v="810291.375"/>
    <n v="0.92587167024612405"/>
    <n v="8.9999999999999993E-3"/>
    <n v="2.1234341269716199"/>
    <n v="2.2934432440374253"/>
    <n v="-5.47140462725061E-3"/>
    <n v="8.3337465524672902E-3"/>
    <n v="-8.0127641558649899E-4"/>
    <n v="2.9607690095901501E-2"/>
    <n v="1.180649548769E-2"/>
    <b v="0"/>
    <b v="0"/>
    <b v="1"/>
    <b v="0"/>
  </r>
  <r>
    <x v="41"/>
    <x v="13"/>
    <n v="813162.5"/>
    <n v="0.92639100551605202"/>
    <n v="1.7999999999999999E-2"/>
    <n v="2.1375657805964101"/>
    <n v="2.3074120623674075"/>
    <n v="6.6550939561960598E-3"/>
    <n v="2.9607690095901501E-2"/>
    <n v="1.180649548769E-2"/>
    <n v="1.9138613820075999E-2"/>
    <n v="2.8942339122299798E-4"/>
    <b v="0"/>
    <b v="0"/>
    <b v="0"/>
    <b v="0"/>
  </r>
  <r>
    <x v="41"/>
    <x v="14"/>
    <n v="814123.875"/>
    <n v="0.93653523921966597"/>
    <n v="8.9999999999999993E-3"/>
    <n v="2.03785988606269"/>
    <n v="2.1759564410631924"/>
    <n v="-4.6644597064002501E-2"/>
    <n v="1.9138613820075999E-2"/>
    <n v="2.8942339122299798E-4"/>
    <n v="3.5177489995956303E-2"/>
    <n v="-8.4121227264405095E-3"/>
    <b v="1"/>
    <b v="0"/>
    <b v="1"/>
    <b v="0"/>
  </r>
  <r>
    <x v="41"/>
    <x v="15"/>
    <n v="813743"/>
    <n v="0.95058321952819802"/>
    <n v="1E-3"/>
    <n v="2.1570822541368"/>
    <n v="2.2692197903592515"/>
    <n v="5.85037120998817E-2"/>
    <n v="3.5177489995956303E-2"/>
    <n v="-8.4121227264405095E-3"/>
    <n v="-1.9092528074979801E-2"/>
    <n v="1.3010978698730399E-2"/>
    <b v="0"/>
    <b v="1"/>
    <b v="0"/>
    <b v="0"/>
  </r>
  <r>
    <x v="41"/>
    <x v="16"/>
    <n v="814474.125"/>
    <n v="0.93923181295394897"/>
    <n v="4.0000000000000001E-3"/>
    <n v="1.98094056520508"/>
    <n v="2.1091071851313097"/>
    <n v="-8.1657381675602603E-2"/>
    <n v="-1.9092528074979801E-2"/>
    <n v="1.3489682227373E-2"/>
    <n v="-6.4657887816430004E-4"/>
    <n v="1.8912348896264999E-2"/>
    <b v="1"/>
    <b v="0"/>
    <b v="0"/>
    <b v="0"/>
  </r>
  <r>
    <x v="42"/>
    <x v="0"/>
    <n v="581645.3125"/>
    <n v="0.90461975336074796"/>
    <n v="5.2999999999999999E-2"/>
    <n v="2.2119122842513099"/>
    <n v="2.4451293220536545"/>
    <n v="3.9163047845962598E-2"/>
    <n v="2.8034066438674898E-2"/>
    <n v="2.1671026945114101E-2"/>
    <n v="-8.6105331778499995E-5"/>
    <n v="8.3565060049300098E-4"/>
    <b v="0"/>
    <b v="0"/>
    <b v="0"/>
    <b v="0"/>
  </r>
  <r>
    <x v="42"/>
    <x v="1"/>
    <n v="589812.3125"/>
    <n v="0.89459466934204102"/>
    <n v="2.1000000000000001E-2"/>
    <n v="2.20976468704978"/>
    <n v="2.4701295042088995"/>
    <n v="-9.7092331229658199E-4"/>
    <n v="-8.6105331778499995E-5"/>
    <n v="8.3565060049300098E-4"/>
    <n v="-5.4003146767616299E-2"/>
    <n v="-2.4492342490702802E-2"/>
    <b v="1"/>
    <b v="0"/>
    <b v="0"/>
    <b v="0"/>
  </r>
  <r>
    <x v="42"/>
    <x v="2"/>
    <n v="590556.0625"/>
    <n v="0.89178234338760398"/>
    <n v="2.5000000000000001E-2"/>
    <n v="2.2644061152489199"/>
    <n v="2.5391914653155667"/>
    <n v="2.4727261015329498E-2"/>
    <n v="-5.4003146767616299E-2"/>
    <n v="-2.4492342490702802E-2"/>
    <n v="-3.4440018892288198E-2"/>
    <n v="-7.8733172267675504E-3"/>
    <b v="0"/>
    <b v="1"/>
    <b v="0"/>
    <b v="1"/>
  </r>
  <r>
    <x v="42"/>
    <x v="3"/>
    <n v="589657.125"/>
    <n v="0.89450395107269298"/>
    <n v="3.2000000000000001E-2"/>
    <n v="2.3248479422025898"/>
    <n v="2.5990359678284509"/>
    <n v="2.6692132010530799E-2"/>
    <n v="-3.4440018892288198E-2"/>
    <n v="-7.8733172267675504E-3"/>
    <n v="-7.6650019586086303E-3"/>
    <n v="1.79510680027305E-3"/>
    <b v="0"/>
    <b v="1"/>
    <b v="0"/>
    <b v="1"/>
  </r>
  <r>
    <x v="42"/>
    <x v="4"/>
    <n v="590493.6875"/>
    <n v="0.90740430355071999"/>
    <n v="1.2E-2"/>
    <n v="2.33299553104181"/>
    <n v="2.5710650940409669"/>
    <n v="3.5045684886799802E-3"/>
    <n v="-7.6650019586086303E-3"/>
    <n v="1.79510680027305E-3"/>
    <n v="-1.8737215891480401E-2"/>
    <n v="2.5465586222708902E-3"/>
    <b v="0"/>
    <b v="0"/>
    <b v="0"/>
    <b v="1"/>
  </r>
  <r>
    <x v="42"/>
    <x v="5"/>
    <n v="591459.875"/>
    <n v="0.91426020860671997"/>
    <n v="0"/>
    <n v="2.1601946774360501"/>
    <n v="2.3627788425004983"/>
    <n v="-7.4068231724641595E-2"/>
    <n v="-1.8737215891480401E-2"/>
    <n v="2.5465586222708902E-3"/>
    <n v="-7.3195649683480103E-4"/>
    <n v="4.7062495723365896E-3"/>
    <b v="1"/>
    <b v="0"/>
    <b v="0"/>
    <b v="0"/>
  </r>
  <r>
    <x v="42"/>
    <x v="6"/>
    <n v="594350.25"/>
    <n v="0.92965090274810802"/>
    <n v="0.02"/>
    <n v="2.2727259141922"/>
    <n v="2.4447089842798793"/>
    <n v="5.2093099724565099E-2"/>
    <n v="-7.3195649683480103E-4"/>
    <n v="4.6206507831811003E-3"/>
    <n v="1.21268747746944E-2"/>
    <n v="6.0001034289597997E-3"/>
    <b v="0"/>
    <b v="0"/>
    <b v="0"/>
    <b v="1"/>
  </r>
  <r>
    <x v="42"/>
    <x v="7"/>
    <n v="599533.625"/>
    <n v="0.94178026914596602"/>
    <n v="0"/>
    <n v="2.32890287293792"/>
    <n v="2.4728728656099768"/>
    <n v="2.4717876623360099E-2"/>
    <n v="1.21268747746944E-2"/>
    <n v="6.0001034289597997E-3"/>
    <n v="9.9230509400367994E-3"/>
    <n v="7.9150274395943E-3"/>
    <b v="0"/>
    <b v="0"/>
    <b v="0"/>
    <b v="0"/>
  </r>
  <r>
    <x v="42"/>
    <x v="8"/>
    <n v="608230"/>
    <n v="0.94363921880722001"/>
    <n v="1.7000000000000001E-2"/>
    <n v="2.3143547935309798"/>
    <n v="2.4525843642407885"/>
    <n v="-6.2467523124269701E-3"/>
    <n v="9.9230509400367994E-3"/>
    <n v="7.9150274395943E-3"/>
    <n v="3.3953758120536699E-2"/>
    <n v="3.6903060972690999E-3"/>
    <b v="1"/>
    <b v="0"/>
    <b v="1"/>
    <b v="0"/>
  </r>
  <r>
    <x v="42"/>
    <x v="9"/>
    <n v="620563.75"/>
    <n v="0.95519065856933605"/>
    <n v="1E-3"/>
    <n v="2.2857709673005799"/>
    <n v="2.3929997082720202"/>
    <n v="-1.23506673697092E-2"/>
    <n v="3.3953758120536699E-2"/>
    <n v="3.6903060972690999E-3"/>
    <n v="2.3893021315336199E-2"/>
    <n v="1.07394643127918E-2"/>
    <b v="1"/>
    <b v="0"/>
    <b v="1"/>
    <b v="0"/>
  </r>
  <r>
    <x v="42"/>
    <x v="10"/>
    <n v="634081.8125"/>
    <n v="0.95521342754364003"/>
    <n v="0"/>
    <n v="2.1662079693669898"/>
    <n v="2.267773784270871"/>
    <n v="-5.23075144640541E-2"/>
    <n v="2.3893021315336199E-2"/>
    <n v="1.07394643127918E-2"/>
    <n v="7.0393231660127904E-3"/>
    <n v="4.2497497051954998E-3"/>
    <b v="1"/>
    <b v="0"/>
    <b v="1"/>
    <b v="0"/>
  </r>
  <r>
    <x v="42"/>
    <x v="11"/>
    <n v="645063.1875"/>
    <n v="0.94787758588790905"/>
    <n v="1.4E-2"/>
    <n v="2.3390163849019201"/>
    <n v="2.4676355045476512"/>
    <n v="7.9774619047969203E-2"/>
    <n v="7.0393231660127904E-3"/>
    <n v="4.2497497051954998E-3"/>
    <n v="2.68199669420719E-2"/>
    <n v="1.76849439740181E-2"/>
    <b v="0"/>
    <b v="0"/>
    <b v="0"/>
    <b v="0"/>
  </r>
  <r>
    <x v="42"/>
    <x v="12"/>
    <n v="654510.375"/>
    <n v="0.962488353252411"/>
    <n v="1.7999999999999999E-2"/>
    <n v="2.2364940374305"/>
    <n v="2.3236582862254989"/>
    <n v="-4.3831393458030901E-2"/>
    <n v="2.68199669420719E-2"/>
    <n v="1.76849439740181E-2"/>
    <n v="1.38438299000263E-2"/>
    <n v="-3.9573647081852003E-3"/>
    <b v="1"/>
    <b v="0"/>
    <b v="1"/>
    <b v="0"/>
  </r>
  <r>
    <x v="42"/>
    <x v="13"/>
    <n v="663863.25"/>
    <n v="0.92997163534164395"/>
    <n v="3.5999999999999997E-2"/>
    <n v="2.31569076891018"/>
    <n v="2.4900660201958353"/>
    <n v="3.5411107811702799E-2"/>
    <n v="1.38438299000263E-2"/>
    <n v="-3.9573647081852003E-3"/>
    <n v="8.7931417971848901E-3"/>
    <n v="-1.0056048631668099E-2"/>
    <b v="0"/>
    <b v="1"/>
    <b v="0"/>
    <b v="0"/>
  </r>
  <r>
    <x v="42"/>
    <x v="14"/>
    <n v="675686"/>
    <n v="0.90079659223556496"/>
    <n v="0.123"/>
    <n v="2.0916262397973102"/>
    <n v="2.3219739704014493"/>
    <n v="-9.6759261694654097E-2"/>
    <n v="8.7931417971848901E-3"/>
    <n v="-1.0056048631668099E-2"/>
    <n v="8.8794401168822895E-2"/>
    <n v="4.5204788446426003E-2"/>
    <b v="0"/>
    <b v="0"/>
    <b v="1"/>
    <b v="0"/>
  </r>
  <r>
    <x v="42"/>
    <x v="15"/>
    <n v="692317.6875"/>
    <n v="0.96208178997039795"/>
    <n v="3.5999999999999997E-2"/>
    <n v="2.3203301548806698"/>
    <n v="2.4117805565700019"/>
    <n v="0.10934263050052299"/>
    <n v="8.8794401168822895E-2"/>
    <n v="4.5204788446426003E-2"/>
    <n v="-1.0473566055297799E-2"/>
    <n v="2.1629940718412399E-2"/>
    <b v="0"/>
    <b v="0"/>
    <b v="0"/>
    <b v="0"/>
  </r>
  <r>
    <x v="42"/>
    <x v="16"/>
    <n v="711591"/>
    <n v="0.922721207141876"/>
    <n v="5.3999999999999999E-2"/>
    <n v="2.1954650800319802"/>
    <n v="2.3793374022825611"/>
    <n v="-5.38134948537555E-2"/>
    <n v="-1.0473566055297799E-2"/>
    <n v="2.2108644247055002E-2"/>
    <n v="-7.0316874220967301E-2"/>
    <n v="-5.0757946446537999E-2"/>
    <b v="1"/>
    <b v="0"/>
    <b v="0"/>
    <b v="0"/>
  </r>
  <r>
    <x v="43"/>
    <x v="0"/>
    <n v="2385183"/>
    <n v="0.92941576242446899"/>
    <n v="6.0000000000000001E-3"/>
    <n v="2.1630939189971299"/>
    <n v="2.3273695222840796"/>
    <n v="5.4973732060138699E-3"/>
    <n v="-1.05689860582352E-2"/>
    <n v="-1.69320255517959E-2"/>
    <n v="7.1772738397120998E-3"/>
    <n v="8.0990297719835992E-3"/>
    <b v="0"/>
    <b v="1"/>
    <b v="0"/>
    <b v="1"/>
  </r>
  <r>
    <x v="43"/>
    <x v="1"/>
    <n v="2429991"/>
    <n v="0.92811191082000699"/>
    <n v="1.2E-2"/>
    <n v="2.2002610915184202"/>
    <n v="2.3706851144431944"/>
    <n v="1.718241274448E-2"/>
    <n v="7.1772738397120998E-3"/>
    <n v="8.0990297719835992E-3"/>
    <n v="-2.1552223071456E-2"/>
    <n v="7.9585812054574004E-3"/>
    <b v="0"/>
    <b v="0"/>
    <b v="0"/>
    <b v="0"/>
  </r>
  <r>
    <x v="43"/>
    <x v="2"/>
    <n v="2475438"/>
    <n v="0.91626143455505404"/>
    <n v="1.4999999999999999E-2"/>
    <n v="2.1579009839137901"/>
    <n v="2.3551149295743183"/>
    <n v="-1.9252309540863901E-2"/>
    <n v="-2.1552223071456E-2"/>
    <n v="7.9585812054574004E-3"/>
    <n v="-3.8591337114572397E-2"/>
    <n v="-1.20246354490518E-2"/>
    <b v="1"/>
    <b v="0"/>
    <b v="0"/>
    <b v="0"/>
  </r>
  <r>
    <x v="43"/>
    <x v="3"/>
    <n v="2520739"/>
    <n v="0.91566562652587902"/>
    <n v="0.02"/>
    <n v="2.2349336087516498"/>
    <n v="2.4407748243550396"/>
    <n v="3.5697942311583603E-2"/>
    <n v="-3.8591337114572397E-2"/>
    <n v="-1.20246354490518E-2"/>
    <n v="2.7605271726846702E-2"/>
    <n v="3.70653804857283E-2"/>
    <b v="0"/>
    <b v="1"/>
    <b v="0"/>
    <b v="1"/>
  </r>
  <r>
    <x v="43"/>
    <x v="4"/>
    <n v="2565782"/>
    <n v="0.93138557672500599"/>
    <n v="5.0000000000000001E-3"/>
    <n v="2.2721566124055701"/>
    <n v="2.4395445551079544"/>
    <n v="1.6655082508115999E-2"/>
    <n v="2.7605271726846702E-2"/>
    <n v="3.70653804857283E-2"/>
    <n v="-5.3195863664150002E-3"/>
    <n v="1.59641881473363E-2"/>
    <b v="0"/>
    <b v="0"/>
    <b v="0"/>
    <b v="0"/>
  </r>
  <r>
    <x v="43"/>
    <x v="5"/>
    <n v="2611694"/>
    <n v="0.93465977907180797"/>
    <n v="0"/>
    <n v="2.24167453437473"/>
    <n v="2.3983855779061045"/>
    <n v="-1.3415482834421E-2"/>
    <n v="-5.3195863664150002E-3"/>
    <n v="1.59641881473363E-2"/>
    <n v="1.8165083318948599E-2"/>
    <n v="2.3603289388120001E-2"/>
    <b v="1"/>
    <b v="0"/>
    <b v="0"/>
    <b v="0"/>
  </r>
  <r>
    <x v="43"/>
    <x v="6"/>
    <n v="2658167"/>
    <n v="0.94649666547775302"/>
    <n v="1.0999999999999999E-2"/>
    <n v="2.3119904747485802"/>
    <n v="2.4426821129703415"/>
    <n v="3.1367595650307202E-2"/>
    <n v="1.8165083318948599E-2"/>
    <n v="2.35176905989645E-2"/>
    <n v="2.7364813387394001E-2"/>
    <n v="2.12380420416594E-2"/>
    <b v="0"/>
    <b v="0"/>
    <b v="0"/>
    <b v="0"/>
  </r>
  <r>
    <x v="43"/>
    <x v="7"/>
    <n v="2706927"/>
    <n v="0.94569063186645497"/>
    <n v="1.7999999999999999E-2"/>
    <n v="2.2863843777087598"/>
    <n v="2.4176874557763726"/>
    <n v="-1.10753471173383E-2"/>
    <n v="2.7364813387394001E-2"/>
    <n v="2.12380420416594E-2"/>
    <n v="2.56496619582176E-2"/>
    <n v="2.3641638457775099E-2"/>
    <b v="1"/>
    <b v="0"/>
    <b v="1"/>
    <b v="0"/>
  </r>
  <r>
    <x v="43"/>
    <x v="8"/>
    <n v="2760078"/>
    <n v="0.93965232372283902"/>
    <n v="4.3999999999999997E-2"/>
    <n v="2.3204646017699102"/>
    <n v="2.4694927508680937"/>
    <n v="1.49057281852561E-2"/>
    <n v="2.56496619582176E-2"/>
    <n v="2.3641638457775099E-2"/>
    <n v="5.1809335291385698E-2"/>
    <n v="2.1545883268117998E-2"/>
    <b v="0"/>
    <b v="0"/>
    <b v="0"/>
    <b v="0"/>
  </r>
  <r>
    <x v="43"/>
    <x v="9"/>
    <n v="2813115"/>
    <n v="0.93718242645263705"/>
    <n v="4.2999999999999997E-2"/>
    <n v="2.3172144476199801"/>
    <n v="2.4725329692650684"/>
    <n v="-1.40064801998971E-3"/>
    <n v="5.1809335291385698E-2"/>
    <n v="2.1545883268117998E-2"/>
    <n v="5.3209758251904996E-3"/>
    <n v="-7.8325811773539006E-3"/>
    <b v="1"/>
    <b v="0"/>
    <b v="1"/>
    <b v="0"/>
  </r>
  <r>
    <x v="43"/>
    <x v="10"/>
    <n v="2852935"/>
    <n v="0.92610472440719604"/>
    <n v="2.8000000000000001E-2"/>
    <n v="2.3200313281801401"/>
    <n v="2.5051500840417407"/>
    <n v="1.21563222732974E-3"/>
    <n v="5.3209758251904996E-3"/>
    <n v="-7.8325811773539006E-3"/>
    <n v="4.8286241441964899E-3"/>
    <n v="2.0390506833792002E-3"/>
    <b v="0"/>
    <b v="1"/>
    <b v="0"/>
    <b v="0"/>
  </r>
  <r>
    <x v="43"/>
    <x v="11"/>
    <n v="2887072"/>
    <n v="0.92054426670074496"/>
    <n v="4.2000000000000003E-2"/>
    <n v="2.2415199336785001"/>
    <n v="2.434994181987757"/>
    <n v="-3.3840661351423502E-2"/>
    <n v="4.8286241441964899E-3"/>
    <n v="2.0390506833792002E-3"/>
    <n v="1.26117879748344E-2"/>
    <n v="3.4767650067806001E-3"/>
    <b v="1"/>
    <b v="0"/>
    <b v="1"/>
    <b v="0"/>
  </r>
  <r>
    <x v="43"/>
    <x v="12"/>
    <n v="2922716"/>
    <n v="0.92490065097808805"/>
    <n v="4.5999999999999999E-2"/>
    <n v="2.2063169287787598"/>
    <n v="2.3854636997450118"/>
    <n v="-1.5704970707968901E-2"/>
    <n v="1.26117879748344E-2"/>
    <n v="3.4767650067806001E-3"/>
    <n v="1.0527101501822501E-2"/>
    <n v="-7.2740931063889997E-3"/>
    <b v="1"/>
    <b v="0"/>
    <b v="1"/>
    <b v="0"/>
  </r>
  <r>
    <x v="43"/>
    <x v="13"/>
    <n v="2950935"/>
    <n v="0.92134112119674705"/>
    <n v="3.9E-2"/>
    <n v="2.1872864238923801"/>
    <n v="2.3740245318164823"/>
    <n v="-8.6254629324303694E-3"/>
    <n v="1.0527101501822501E-2"/>
    <n v="-7.2740931063889997E-3"/>
    <n v="-9.0773169770836798E-3"/>
    <n v="-2.79265074059366E-2"/>
    <b v="0"/>
    <b v="0"/>
    <b v="1"/>
    <b v="0"/>
  </r>
  <r>
    <x v="43"/>
    <x v="14"/>
    <n v="2972191"/>
    <n v="0.92346256971359297"/>
    <n v="0.03"/>
    <n v="2.0774456489877799"/>
    <n v="2.2496262622014975"/>
    <n v="-5.0217828677934603E-2"/>
    <n v="-9.0773169770836798E-3"/>
    <n v="-2.79265074059366E-2"/>
    <n v="6.8908473730087003E-2"/>
    <n v="2.5318861007689999E-2"/>
    <b v="0"/>
    <b v="0"/>
    <b v="0"/>
    <b v="0"/>
  </r>
  <r>
    <x v="43"/>
    <x v="15"/>
    <n v="2981072"/>
    <n v="0.93273788690567005"/>
    <n v="3.6999999999999998E-2"/>
    <n v="2.09756253371568"/>
    <n v="2.248823129372691"/>
    <n v="9.6834710153297296E-3"/>
    <n v="6.8908473730087003E-2"/>
    <n v="2.5318861007689999E-2"/>
    <n v="-4.4062601327896099E-2"/>
    <n v="-1.1959094554185701E-2"/>
    <b v="0"/>
    <b v="0"/>
    <b v="0"/>
    <b v="0"/>
  </r>
  <r>
    <x v="43"/>
    <x v="16"/>
    <n v="2998424"/>
    <n v="0.92496645450591997"/>
    <n v="3.4000000000000002E-2"/>
    <n v="2.0732066995235798"/>
    <n v="2.2413858247767524"/>
    <n v="-1.16114937221698E-2"/>
    <n v="-4.4062601327896099E-2"/>
    <n v="-1.14803910255431E-2"/>
    <n v="-3.10180120021104E-2"/>
    <n v="-1.1459084227681099E-2"/>
    <b v="0"/>
    <b v="0"/>
    <b v="0"/>
    <b v="0"/>
  </r>
  <r>
    <x v="44"/>
    <x v="0"/>
    <n v="4401304"/>
    <n v="0.92175990343093905"/>
    <n v="0"/>
    <n v="2.1586323130930301"/>
    <n v="2.3418596372637301"/>
    <n v="-1.2946250141096301E-2"/>
    <n v="-3.00485445121303E-2"/>
    <n v="-3.6411584005691097E-2"/>
    <n v="-3.5488719489425398E-2"/>
    <n v="-3.4566963557153899E-2"/>
    <b v="0"/>
    <b v="0"/>
    <b v="0"/>
    <b v="0"/>
  </r>
  <r>
    <x v="44"/>
    <x v="1"/>
    <n v="4367684"/>
    <n v="0.91950678825378396"/>
    <n v="3.0000000000000001E-3"/>
    <n v="2.2124280916243402"/>
    <n v="2.4061030542535917"/>
    <n v="2.4921232858888399E-2"/>
    <n v="-3.5488719489425398E-2"/>
    <n v="-3.4566963557153899E-2"/>
    <n v="-3.8565677939448498E-2"/>
    <n v="-9.0548736625350994E-3"/>
    <b v="0"/>
    <b v="1"/>
    <b v="0"/>
    <b v="1"/>
  </r>
  <r>
    <x v="44"/>
    <x v="2"/>
    <n v="4332744"/>
    <n v="0.91991215944290206"/>
    <n v="2E-3"/>
    <n v="2.2295994840461"/>
    <n v="2.4237091130487323"/>
    <n v="7.76133357136655E-3"/>
    <n v="-3.8565677939448498E-2"/>
    <n v="-9.0548736625350994E-3"/>
    <n v="-1.9257169872522399E-2"/>
    <n v="7.3095317929982497E-3"/>
    <b v="0"/>
    <b v="1"/>
    <b v="0"/>
    <b v="1"/>
  </r>
  <r>
    <x v="44"/>
    <x v="3"/>
    <n v="4307412"/>
    <n v="0.91438645124435403"/>
    <n v="3.0000000000000001E-3"/>
    <n v="2.2805779328789"/>
    <n v="2.4941073107276988"/>
    <n v="2.2864397483751801E-2"/>
    <n v="-1.9257169872522399E-2"/>
    <n v="7.3095317929982497E-3"/>
    <n v="-2.6038059204816701E-2"/>
    <n v="-1.6577950445935099E-2"/>
    <b v="0"/>
    <b v="0"/>
    <b v="0"/>
    <b v="1"/>
  </r>
  <r>
    <x v="44"/>
    <x v="4"/>
    <n v="4295672"/>
    <n v="0.925686836242676"/>
    <n v="1E-3"/>
    <n v="2.25248941787854"/>
    <n v="2.4333168947516852"/>
    <n v="-1.2316402169557501E-2"/>
    <n v="-2.6038059204816701E-2"/>
    <n v="-1.6577950445935099E-2"/>
    <n v="-2.4167827673256401E-2"/>
    <n v="-2.8840531595050998E-3"/>
    <b v="0"/>
    <b v="0"/>
    <b v="0"/>
    <b v="0"/>
  </r>
  <r>
    <x v="44"/>
    <x v="5"/>
    <n v="4305976"/>
    <n v="0.93014091253280595"/>
    <n v="-1E-3"/>
    <n v="2.2657444759172098"/>
    <n v="2.4359152956163483"/>
    <n v="5.8846261089901403E-3"/>
    <n v="-2.4167827673256401E-2"/>
    <n v="-2.8840531595050998E-3"/>
    <n v="-2.4606513828039E-3"/>
    <n v="2.9775546863674901E-3"/>
    <b v="0"/>
    <b v="1"/>
    <b v="0"/>
    <b v="1"/>
  </r>
  <r>
    <x v="44"/>
    <x v="6"/>
    <n v="4322914"/>
    <n v="0.93629276752471902"/>
    <n v="2E-3"/>
    <n v="2.2332834771239201"/>
    <n v="2.3852405514442458"/>
    <n v="-1.4326857745136401E-2"/>
    <n v="-2.4606513828039E-3"/>
    <n v="2.8919558972119999E-3"/>
    <n v="4.99718882143499E-3"/>
    <n v="-1.1295825242995999E-3"/>
    <b v="1"/>
    <b v="0"/>
    <b v="0"/>
    <b v="0"/>
  </r>
  <r>
    <x v="44"/>
    <x v="7"/>
    <n v="4335569"/>
    <n v="0.93920499086380005"/>
    <n v="0"/>
    <n v="2.24517699980442"/>
    <n v="2.3905079526243775"/>
    <n v="5.32557680309025E-3"/>
    <n v="4.99718882143499E-3"/>
    <n v="-1.1295825242995999E-3"/>
    <n v="-1.48040445894E-3"/>
    <n v="-3.4884279593825002E-3"/>
    <b v="0"/>
    <b v="1"/>
    <b v="0"/>
    <b v="0"/>
  </r>
  <r>
    <x v="44"/>
    <x v="8"/>
    <n v="4348159"/>
    <n v="0.93956470489501998"/>
    <n v="4.0000000000000001E-3"/>
    <n v="2.1800573351614099"/>
    <n v="2.3202844080919296"/>
    <n v="-2.90042453885292E-2"/>
    <n v="-1.48040445894E-3"/>
    <n v="-3.4884279593825002E-3"/>
    <n v="3.93649993240833E-2"/>
    <n v="9.1015473008155996E-3"/>
    <b v="0"/>
    <b v="0"/>
    <b v="0"/>
    <b v="0"/>
  </r>
  <r>
    <x v="44"/>
    <x v="9"/>
    <n v="4356755"/>
    <n v="0.94465166330337502"/>
    <n v="0"/>
    <n v="2.21969622157062"/>
    <n v="2.3497510328923905"/>
    <n v="1.8182497207706601E-2"/>
    <n v="3.93649993240833E-2"/>
    <n v="9.1015473008155996E-3"/>
    <n v="2.4104066461324701E-2"/>
    <n v="1.0950509458780301E-2"/>
    <b v="0"/>
    <b v="0"/>
    <b v="0"/>
    <b v="0"/>
  </r>
  <r>
    <x v="44"/>
    <x v="10"/>
    <n v="4371736"/>
    <n v="0.942607402801514"/>
    <n v="1.2999999999999999E-2"/>
    <n v="2.1752029597284599"/>
    <n v="2.3076446814056002"/>
    <n v="-2.0044752705247599E-2"/>
    <n v="2.4104066461324701E-2"/>
    <n v="1.0950509458780301E-2"/>
    <n v="6.6510491967200899E-3"/>
    <n v="3.8614757359028001E-3"/>
    <b v="1"/>
    <b v="0"/>
    <b v="1"/>
    <b v="0"/>
  </r>
  <r>
    <x v="44"/>
    <x v="11"/>
    <n v="4384199"/>
    <n v="0.94257485866546598"/>
    <n v="0.01"/>
    <n v="2.2088961066190902"/>
    <n v="2.3434702149243942"/>
    <n v="1.5489656604195001E-2"/>
    <n v="6.6510491967200899E-3"/>
    <n v="3.8614757359028001E-3"/>
    <n v="8.8550077974795995E-3"/>
    <n v="-2.8001517057419501E-4"/>
    <b v="0"/>
    <b v="0"/>
    <b v="0"/>
    <b v="0"/>
  </r>
  <r>
    <x v="44"/>
    <x v="12"/>
    <n v="4392160"/>
    <n v="0.94112628698348999"/>
    <n v="2E-3"/>
    <n v="2.1538504577332298"/>
    <n v="2.2885881390443132"/>
    <n v="-2.4919980944740398E-2"/>
    <n v="8.8550077974795995E-3"/>
    <n v="-2.8001517057419501E-4"/>
    <n v="1.6701827913522701E-2"/>
    <n v="-1.0993666946888E-3"/>
    <b v="0"/>
    <b v="0"/>
    <b v="1"/>
    <b v="0"/>
  </r>
  <r>
    <x v="44"/>
    <x v="13"/>
    <n v="4394259"/>
    <n v="0.93546324968338002"/>
    <n v="1.0999999999999999E-2"/>
    <n v="2.0777921295431798"/>
    <n v="2.2211370999838169"/>
    <n v="-3.5312724668031703E-2"/>
    <n v="1.6701827913522701E-2"/>
    <n v="-1.0993666946888E-3"/>
    <n v="3.0402759194374001E-2"/>
    <n v="1.1553568765520999E-2"/>
    <b v="0"/>
    <b v="0"/>
    <b v="1"/>
    <b v="0"/>
  </r>
  <r>
    <x v="44"/>
    <x v="14"/>
    <n v="4381450"/>
    <n v="0.94734442234039296"/>
    <n v="1.0999999999999999E-2"/>
    <n v="2.0163274080946798"/>
    <n v="2.1283995139944865"/>
    <n v="-2.95817471702591E-2"/>
    <n v="3.0402759194374001E-2"/>
    <n v="1.1553568765520999E-2"/>
    <n v="3.2838149249553597E-2"/>
    <n v="-1.07514634728432E-2"/>
    <b v="1"/>
    <b v="0"/>
    <b v="1"/>
    <b v="0"/>
  </r>
  <r>
    <x v="44"/>
    <x v="15"/>
    <n v="4366169"/>
    <n v="0.95201152563095104"/>
    <n v="1.4999999999999999E-2"/>
    <n v="2.1327483241435798"/>
    <n v="2.2402547308763818"/>
    <n v="5.77390931559639E-2"/>
    <n v="3.2838149249553597E-2"/>
    <n v="-1.07514634728432E-2"/>
    <n v="-4.6095406562089901E-2"/>
    <n v="-1.39918997883796E-2"/>
    <b v="0"/>
    <b v="1"/>
    <b v="0"/>
    <b v="0"/>
  </r>
  <r>
    <x v="44"/>
    <x v="16"/>
    <n v="4360491"/>
    <n v="0.929157495498657"/>
    <n v="8.9999999999999993E-3"/>
    <n v="2.0244807121661701"/>
    <n v="2.1788348282975201"/>
    <n v="-5.0764363873495498E-2"/>
    <n v="-4.6095406562089901E-2"/>
    <n v="-1.3513196259736999E-2"/>
    <n v="-2.4339212834835099E-2"/>
    <n v="-4.7802850604057997E-3"/>
    <b v="0"/>
    <b v="0"/>
    <b v="0"/>
    <b v="0"/>
  </r>
  <r>
    <x v="45"/>
    <x v="0"/>
    <n v="470826.6875"/>
    <n v="0.91336131095886197"/>
    <n v="3.2000000000000001E-2"/>
    <n v="2.0953063470002302"/>
    <n v="2.2940607641903976"/>
    <n v="3.3171641821234797E-2"/>
    <n v="2.70704604983329E-2"/>
    <n v="2.07074210047722E-2"/>
    <n v="-1.6116769015788999E-3"/>
    <n v="-6.8992096930739998E-4"/>
    <b v="0"/>
    <b v="0"/>
    <b v="0"/>
    <b v="0"/>
  </r>
  <r>
    <x v="45"/>
    <x v="1"/>
    <n v="481500.78125"/>
    <n v="0.902277171611786"/>
    <n v="1.7000000000000001E-2"/>
    <n v="2.10372621373272"/>
    <n v="2.3315742433943232"/>
    <n v="4.0184418591336602E-3"/>
    <n v="-1.6116769015788999E-3"/>
    <n v="-6.8992096930739998E-4"/>
    <n v="-5.0947715818882001E-2"/>
    <n v="-2.1436911541968501E-2"/>
    <b v="0"/>
    <b v="1"/>
    <b v="0"/>
    <b v="1"/>
  </r>
  <r>
    <x v="45"/>
    <x v="2"/>
    <n v="492398.40625"/>
    <n v="0.89950758218765303"/>
    <n v="1.6E-2"/>
    <n v="2.11575803875269"/>
    <n v="2.352129187846363"/>
    <n v="5.7192922450764296E-3"/>
    <n v="-5.0947715818882001E-2"/>
    <n v="-2.1436911541968501E-2"/>
    <n v="-2.8472100108861899E-2"/>
    <n v="-1.90539844334125E-3"/>
    <b v="0"/>
    <b v="1"/>
    <b v="0"/>
    <b v="1"/>
  </r>
  <r>
    <x v="45"/>
    <x v="3"/>
    <n v="501989.5"/>
    <n v="0.90338301658630404"/>
    <n v="3.0000000000000001E-3"/>
    <n v="2.2261557859344299"/>
    <n v="2.4642435656435167"/>
    <n v="5.2178814949382098E-2"/>
    <n v="-2.8472100108861899E-2"/>
    <n v="-1.90539844334125E-3"/>
    <n v="-7.5925404056906703E-3"/>
    <n v="1.8675683531910101E-3"/>
    <b v="0"/>
    <b v="1"/>
    <b v="0"/>
    <b v="1"/>
  </r>
  <r>
    <x v="45"/>
    <x v="4"/>
    <n v="510172.78125"/>
    <n v="0.91384768486022905"/>
    <n v="1.2E-2"/>
    <n v="2.2301456481206201"/>
    <n v="2.4403909809781004"/>
    <n v="1.7922654880666699E-3"/>
    <n v="-7.5925404056906703E-3"/>
    <n v="1.8675683531910101E-3"/>
    <n v="-1.30790307819843E-2"/>
    <n v="8.2047437317669895E-3"/>
    <b v="0"/>
    <b v="0"/>
    <b v="0"/>
    <b v="1"/>
  </r>
  <r>
    <x v="46"/>
    <x v="0"/>
    <n v="750908.1875"/>
    <n v="0.92648053169250499"/>
    <n v="1.7999999999999999E-2"/>
    <n v="2.8630524028012498"/>
    <n v="3.0902456175425441"/>
    <n v="3.4005855976218399E-2"/>
    <n v="3.7264839112758899E-3"/>
    <n v="-2.6365555822848901E-3"/>
    <n v="9.6177338659762905E-3"/>
    <n v="1.05394897982477E-2"/>
    <b v="0"/>
    <b v="1"/>
    <b v="0"/>
    <b v="0"/>
  </r>
  <r>
    <x v="46"/>
    <x v="1"/>
    <n v="762601"/>
    <n v="0.92128288745880105"/>
    <n v="1.9E-2"/>
    <n v="2.72620838991448"/>
    <n v="2.9591436322390106"/>
    <n v="-4.7796544957709797E-2"/>
    <n v="9.6177338659762905E-3"/>
    <n v="1.05394897982477E-2"/>
    <n v="-2.38062984421849E-2"/>
    <n v="5.7045058347285002E-3"/>
    <b v="1"/>
    <b v="0"/>
    <b v="1"/>
    <b v="0"/>
  </r>
  <r>
    <x v="46"/>
    <x v="2"/>
    <n v="777556.5"/>
    <n v="0.91636079549789395"/>
    <n v="8.0000000000000002E-3"/>
    <n v="2.7408811576965002"/>
    <n v="2.991050218606607"/>
    <n v="5.3821152617298997E-3"/>
    <n v="-2.38062984421849E-2"/>
    <n v="5.7045058347285002E-3"/>
    <n v="-3.0167863428592699E-2"/>
    <n v="-3.6011617630720499E-3"/>
    <b v="0"/>
    <b v="0"/>
    <b v="0"/>
    <b v="1"/>
  </r>
  <r>
    <x v="46"/>
    <x v="3"/>
    <n v="794587.25"/>
    <n v="0.90855622291564897"/>
    <n v="2.5999999999999999E-2"/>
    <n v="2.7265484920387801"/>
    <n v="3.0009683751755172"/>
    <n v="-5.2292182087040904E-3"/>
    <n v="-3.0167863428592699E-2"/>
    <n v="-3.6011617630720499E-3"/>
    <n v="-1.2010836213827101E-2"/>
    <n v="-2.5507274549454399E-3"/>
    <b v="0"/>
    <b v="0"/>
    <b v="0"/>
    <b v="0"/>
  </r>
  <r>
    <x v="46"/>
    <x v="4"/>
    <n v="812254.5625"/>
    <n v="0.91409564018249501"/>
    <n v="1.0999999999999999E-2"/>
    <n v="2.8003613076307299"/>
    <n v="3.0635320687796415"/>
    <n v="2.70718880692844E-2"/>
    <n v="-1.2010836213827101E-2"/>
    <n v="-2.5507274549454399E-3"/>
    <n v="-2.31554725840687E-2"/>
    <n v="-1.8716980703174799E-3"/>
    <b v="0"/>
    <b v="1"/>
    <b v="0"/>
    <b v="1"/>
  </r>
  <r>
    <x v="46"/>
    <x v="5"/>
    <n v="829669.375"/>
    <n v="0.90561711788177501"/>
    <n v="4.3999999999999997E-2"/>
    <n v="2.8101589298526601"/>
    <n v="3.1030320367900952"/>
    <n v="3.4986993268474702E-3"/>
    <n v="-2.31554725840687E-2"/>
    <n v="-1.8716980703174799E-3"/>
    <n v="-1.1328684449195801E-2"/>
    <n v="-5.89047838002446E-3"/>
    <b v="0"/>
    <b v="1"/>
    <b v="0"/>
    <b v="1"/>
  </r>
  <r>
    <x v="46"/>
    <x v="6"/>
    <n v="840886.75"/>
    <n v="0.90602505207061801"/>
    <n v="2.9000000000000001E-2"/>
    <n v="2.8517244106945099"/>
    <n v="3.1475116545367214"/>
    <n v="1.4791149497022E-2"/>
    <n v="-1.1328684449195801E-2"/>
    <n v="-5.9760771691799597E-3"/>
    <n v="-4.81455713510509E-3"/>
    <n v="-1.09413284808397E-2"/>
    <b v="0"/>
    <b v="1"/>
    <b v="0"/>
    <b v="1"/>
  </r>
  <r>
    <x v="46"/>
    <x v="7"/>
    <n v="842592.25"/>
    <n v="0.90834963321685802"/>
    <n v="2.5999999999999999E-2"/>
    <n v="2.7197148941204299"/>
    <n v="2.9941278057092906"/>
    <n v="-4.6291119884873402E-2"/>
    <n v="-4.81455713510509E-3"/>
    <n v="-1.09413284808397E-2"/>
    <n v="-9.9536205492913692E-3"/>
    <n v="-1.1961644049733801E-2"/>
    <b v="0"/>
    <b v="0"/>
    <b v="0"/>
    <b v="0"/>
  </r>
  <r>
    <x v="46"/>
    <x v="8"/>
    <n v="846604.1875"/>
    <n v="0.90750926733017001"/>
    <n v="1.2E-2"/>
    <n v="2.5964033736112202"/>
    <n v="2.8610213328726228"/>
    <n v="-4.5339870284118997E-2"/>
    <n v="-9.9536205492913692E-3"/>
    <n v="-1.1961644049733801E-2"/>
    <n v="-6.4418523795902703E-3"/>
    <n v="-3.6705304402857901E-2"/>
    <b v="0"/>
    <b v="0"/>
    <b v="0"/>
    <b v="0"/>
  </r>
  <r>
    <x v="46"/>
    <x v="9"/>
    <n v="848389.875"/>
    <n v="0.914423227310181"/>
    <n v="0.01"/>
    <n v="2.57729941291585"/>
    <n v="2.8184973171526906"/>
    <n v="-7.3578554432401598E-3"/>
    <n v="-6.4418523795902703E-3"/>
    <n v="-3.6705304402857901E-2"/>
    <n v="-5.0685952529311096E-3"/>
    <n v="-1.82221522554755E-2"/>
    <b v="0"/>
    <b v="0"/>
    <b v="0"/>
    <b v="0"/>
  </r>
  <r>
    <x v="46"/>
    <x v="10"/>
    <n v="853916.0625"/>
    <n v="0.89955168962478604"/>
    <n v="1.7999999999999999E-2"/>
    <n v="2.69877373967689"/>
    <n v="3.0001319221606724"/>
    <n v="4.7132407725809199E-2"/>
    <n v="-5.0685952529311096E-3"/>
    <n v="-1.82221522554755E-2"/>
    <n v="-3.3980722576379902E-3"/>
    <n v="-6.1876457184552904E-3"/>
    <b v="0"/>
    <b v="1"/>
    <b v="0"/>
    <b v="1"/>
  </r>
  <r>
    <x v="46"/>
    <x v="11"/>
    <n v="857845.5625"/>
    <n v="0.90439355373382602"/>
    <n v="1.6E-2"/>
    <n v="2.6389848832943898"/>
    <n v="2.9179607399889487"/>
    <n v="-2.2154082612960702E-2"/>
    <n v="-3.3980722576379902E-3"/>
    <n v="-6.1876457184552904E-3"/>
    <n v="3.3483768105506901E-3"/>
    <n v="-5.7866461575030899E-3"/>
    <b v="0"/>
    <b v="0"/>
    <b v="0"/>
    <b v="0"/>
  </r>
  <r>
    <x v="46"/>
    <x v="12"/>
    <n v="860369.1875"/>
    <n v="0.92202144861221302"/>
    <n v="5.0000000000000001E-3"/>
    <n v="2.5021807090392501"/>
    <n v="2.7137988089164571"/>
    <n v="-5.1839696059329303E-2"/>
    <n v="3.3483768105506901E-3"/>
    <n v="-5.7866461575030899E-3"/>
    <n v="2.2754940360784501E-2"/>
    <n v="4.9537457525729899E-3"/>
    <b v="0"/>
    <b v="0"/>
    <b v="1"/>
    <b v="0"/>
  </r>
  <r>
    <x v="46"/>
    <x v="13"/>
    <n v="865373"/>
    <n v="0.93830841779708896"/>
    <n v="0.01"/>
    <n v="2.6600305262459298"/>
    <n v="2.8349213071017836"/>
    <n v="6.3084898958912894E-2"/>
    <n v="2.2754940360784501E-2"/>
    <n v="4.9537457525729899E-3"/>
    <n v="1.8711352825164701E-2"/>
    <n v="-1.3783760368820099E-4"/>
    <b v="0"/>
    <b v="0"/>
    <b v="0"/>
    <b v="0"/>
  </r>
  <r>
    <x v="46"/>
    <x v="14"/>
    <n v="870124.875"/>
    <n v="0.95665186643600497"/>
    <n v="5.0000000000000001E-3"/>
    <n v="2.35999924601566"/>
    <n v="2.4669363316122603"/>
    <n v="-0.112792419962826"/>
    <n v="1.8711352825164701E-2"/>
    <n v="-1.3783760368820099E-4"/>
    <n v="6.0946500182152002E-2"/>
    <n v="1.7356887459754999E-2"/>
    <b v="0"/>
    <b v="0"/>
    <b v="1"/>
    <b v="0"/>
  </r>
  <r>
    <x v="46"/>
    <x v="15"/>
    <n v="871126"/>
    <n v="0.967229604721069"/>
    <n v="0.01"/>
    <n v="2.5421487761102801"/>
    <n v="2.6282785015078076"/>
    <n v="7.7182028935873004E-2"/>
    <n v="6.0946500182152002E-2"/>
    <n v="1.7356887459754999E-2"/>
    <n v="-7.9281049966811994E-3"/>
    <n v="2.41754017770291E-2"/>
    <b v="0"/>
    <b v="0"/>
    <b v="0"/>
    <b v="0"/>
  </r>
  <r>
    <x v="46"/>
    <x v="16"/>
    <n v="873679.625"/>
    <n v="0.95553249120712302"/>
    <n v="0.01"/>
    <n v="2.5454512820052502"/>
    <n v="2.6639086639425362"/>
    <n v="1.2991001651872201E-3"/>
    <n v="-7.9281049966811994E-3"/>
    <n v="2.4654105305671699E-2"/>
    <n v="-1.63556661307812E-2"/>
    <n v="3.2032616436480899E-3"/>
    <b v="0"/>
    <b v="0"/>
    <b v="0"/>
    <b v="1"/>
  </r>
  <r>
    <x v="47"/>
    <x v="0"/>
    <n v="195350.296875"/>
    <n v="0.889426529407501"/>
    <n v="4.0000000000000001E-3"/>
    <n v="2.3589668329908999"/>
    <n v="2.6522334953988222"/>
    <n v="-5.7757381574983099E-2"/>
    <n v="-1.21206924021244E-2"/>
    <n v="-1.8483731895685199E-2"/>
    <n v="-6.8442140668630996E-3"/>
    <n v="-5.9224581345916003E-3"/>
    <b v="0"/>
    <b v="0"/>
    <b v="0"/>
    <b v="0"/>
  </r>
  <r>
    <x v="47"/>
    <x v="1"/>
    <n v="196667.203125"/>
    <n v="0.89555299282073997"/>
    <n v="0"/>
    <n v="2.4922992046342598"/>
    <n v="2.782972336214542"/>
    <n v="5.6521511781629397E-2"/>
    <n v="-6.8442140668630996E-3"/>
    <n v="-5.9224581345916003E-3"/>
    <n v="-2.3790633596479899E-2"/>
    <n v="5.7201706804334996E-3"/>
    <b v="0"/>
    <b v="1"/>
    <b v="0"/>
    <b v="1"/>
  </r>
  <r>
    <x v="47"/>
    <x v="2"/>
    <n v="197708.40625"/>
    <n v="0.90446871519088701"/>
    <n v="0"/>
    <n v="2.3757984386089399"/>
    <n v="2.6267336821125213"/>
    <n v="-4.6744293706269799E-2"/>
    <n v="-2.3790633596479899E-2"/>
    <n v="5.7201706804334996E-3"/>
    <n v="-1.8563621401786801E-2"/>
    <n v="8.00308026373385E-3"/>
    <b v="1"/>
    <b v="0"/>
    <b v="0"/>
    <b v="0"/>
  </r>
  <r>
    <x v="47"/>
    <x v="3"/>
    <n v="197516.90625"/>
    <n v="0.90330797433853105"/>
    <n v="4.1000000000000002E-2"/>
    <n v="2.6132413947751898"/>
    <n v="2.8929683662859267"/>
    <n v="9.9942382446080794E-2"/>
    <n v="-1.8563621401786801E-2"/>
    <n v="8.00308026373385E-3"/>
    <n v="-1.5329426093026901E-2"/>
    <n v="-5.8693173341453101E-3"/>
    <b v="0"/>
    <b v="0"/>
    <b v="0"/>
    <b v="1"/>
  </r>
  <r>
    <x v="47"/>
    <x v="4"/>
    <n v="197712.40625"/>
    <n v="0.90319663286209095"/>
    <n v="0"/>
    <n v="2.5077150708095499"/>
    <n v="2.7764885071183087"/>
    <n v="-4.0381391545622203E-2"/>
    <n v="-1.5329426093026901E-2"/>
    <n v="-5.8693173341453101E-3"/>
    <n v="-2.5946095928549701E-2"/>
    <n v="-4.6623214147984704E-3"/>
    <b v="0"/>
    <b v="0"/>
    <b v="0"/>
    <b v="0"/>
  </r>
  <r>
    <x v="47"/>
    <x v="5"/>
    <n v="198571.109375"/>
    <n v="0.91148763895034801"/>
    <n v="0"/>
    <n v="2.50406169665809"/>
    <n v="2.7472250743210518"/>
    <n v="-1.45685376858902E-3"/>
    <n v="-2.5946095928549701E-2"/>
    <n v="-4.6623214147984704E-3"/>
    <n v="-1.13409024700522E-2"/>
    <n v="-5.9026964008808396E-3"/>
    <b v="0"/>
    <b v="0"/>
    <b v="0"/>
    <b v="0"/>
  </r>
  <r>
    <x v="47"/>
    <x v="6"/>
    <n v="199505.5"/>
    <n v="0.91786938905715898"/>
    <n v="0"/>
    <n v="2.4884187177408998"/>
    <n v="2.7110814974416115"/>
    <n v="-6.2470421308193497E-3"/>
    <n v="-1.13409024700522E-2"/>
    <n v="-5.9882951900363402E-3"/>
    <n v="-6.3322003558278E-3"/>
    <n v="-1.2458971701562399E-2"/>
    <b v="0"/>
    <b v="0"/>
    <b v="0"/>
    <b v="0"/>
  </r>
  <r>
    <x v="47"/>
    <x v="7"/>
    <n v="200788.703125"/>
    <n v="0.92593008279800404"/>
    <n v="0"/>
    <n v="2.3301470253539001"/>
    <n v="2.5165474895389401"/>
    <n v="-6.3603320156135804E-2"/>
    <n v="-6.3322003558278E-3"/>
    <n v="-1.2458971701562399E-2"/>
    <n v="5.10440766809949E-6"/>
    <n v="-2.0029190927743998E-3"/>
    <b v="0"/>
    <b v="0"/>
    <b v="0"/>
    <b v="0"/>
  </r>
  <r>
    <x v="47"/>
    <x v="8"/>
    <n v="202196.703125"/>
    <n v="0.93734788894653298"/>
    <n v="0"/>
    <n v="2.7297472456254002"/>
    <n v="2.9122029054690781"/>
    <n v="0.17149141917806801"/>
    <n v="5.10440766809949E-6"/>
    <n v="-2.0029190927743998E-3"/>
    <n v="4.1750172317027899E-2"/>
    <n v="1.14867202937603E-2"/>
    <b v="0"/>
    <b v="1"/>
    <b v="0"/>
    <b v="0"/>
  </r>
  <r>
    <x v="47"/>
    <x v="9"/>
    <n v="203593.90625"/>
    <n v="0.953679859638214"/>
    <n v="0"/>
    <n v="2.5000945447669398"/>
    <n v="2.6215238997658714"/>
    <n v="-8.4129657508214606E-2"/>
    <n v="4.1750172317027899E-2"/>
    <n v="1.14867202937603E-2"/>
    <n v="1.7519029125571298E-2"/>
    <n v="4.3654721230268999E-3"/>
    <b v="1"/>
    <b v="0"/>
    <b v="1"/>
    <b v="0"/>
  </r>
  <r>
    <x v="47"/>
    <x v="10"/>
    <n v="204300"/>
    <n v="0.93758583068847701"/>
    <n v="0"/>
    <n v="2.4233220847394001"/>
    <n v="2.5846402595055586"/>
    <n v="-3.0707822705439401E-2"/>
    <n v="1.7519029125571298E-2"/>
    <n v="4.3654721230268999E-3"/>
    <n v="2.3595729559659901E-2"/>
    <n v="2.0806156098842701E-2"/>
    <b v="1"/>
    <b v="0"/>
    <b v="1"/>
    <b v="0"/>
  </r>
  <r>
    <x v="47"/>
    <x v="11"/>
    <n v="205185.890625"/>
    <n v="0.94263613224029497"/>
    <n v="0"/>
    <n v="2.5407776936439301"/>
    <n v="2.6953960353773496"/>
    <n v="4.8468839385482798E-2"/>
    <n v="2.3595729559659901E-2"/>
    <n v="2.0806156098842701E-2"/>
    <n v="3.8628673404455002E-3"/>
    <n v="-5.2721556276082897E-3"/>
    <b v="0"/>
    <b v="0"/>
    <b v="0"/>
    <b v="0"/>
  </r>
  <r>
    <x v="47"/>
    <x v="12"/>
    <n v="206409.296875"/>
    <n v="0.94066661596298196"/>
    <n v="2.5999999999999999E-2"/>
    <n v="2.39726722983889"/>
    <n v="2.5484769940355037"/>
    <n v="-5.6482888748609697E-2"/>
    <n v="3.8628673404455002E-3"/>
    <n v="-5.2721556276082897E-3"/>
    <n v="7.5887582898140002E-3"/>
    <n v="-1.0212436318397499E-2"/>
    <b v="0"/>
    <b v="0"/>
    <b v="1"/>
    <b v="0"/>
  </r>
  <r>
    <x v="47"/>
    <x v="13"/>
    <n v="207007.703125"/>
    <n v="0.88523697853088401"/>
    <n v="2.7E-2"/>
    <n v="1.95074809648048"/>
    <n v="2.2036450620464252"/>
    <n v="-0.186261726602927"/>
    <n v="7.5887582898140002E-3"/>
    <n v="-1.0212436318397499E-2"/>
    <n v="3.2211875647306397E-2"/>
    <n v="1.33626852184534E-2"/>
    <b v="0"/>
    <b v="0"/>
    <b v="1"/>
    <b v="0"/>
  </r>
  <r>
    <x v="47"/>
    <x v="14"/>
    <n v="207023.5"/>
    <n v="0.943165123462677"/>
    <n v="1E-3"/>
    <n v="2.3943596617859302"/>
    <n v="2.5386431306910811"/>
    <n v="0.227405868602823"/>
    <n v="3.2211875647306397E-2"/>
    <n v="1.33626852184534E-2"/>
    <n v="9.9494239568709994E-2"/>
    <n v="5.5904626846312998E-2"/>
    <b v="0"/>
    <b v="0"/>
    <b v="0"/>
    <b v="0"/>
  </r>
  <r>
    <x v="47"/>
    <x v="15"/>
    <n v="207064"/>
    <n v="0.96608799695968595"/>
    <n v="0"/>
    <n v="2.3310829817158898"/>
    <n v="2.4129095786842325"/>
    <n v="-2.64273914566555E-2"/>
    <n v="9.9494239568709994E-2"/>
    <n v="5.5904626846312998E-2"/>
    <n v="-4.1891304701566698E-2"/>
    <n v="-9.7877979278564002E-3"/>
    <b v="1"/>
    <b v="0"/>
    <b v="1"/>
    <b v="0"/>
  </r>
  <r>
    <x v="47"/>
    <x v="16"/>
    <n v="207074"/>
    <n v="0.96054446697235096"/>
    <n v="0"/>
    <n v="2.2241522279928398"/>
    <n v="2.3155119876994319"/>
    <n v="-4.5871706224863501E-2"/>
    <n v="-4.1891304701566698E-2"/>
    <n v="-9.3090943992137996E-3"/>
    <n v="-3.4074388243258001E-2"/>
    <n v="-1.45154604688286E-2"/>
    <b v="0"/>
    <b v="0"/>
    <b v="0"/>
    <b v="0"/>
  </r>
  <r>
    <x v="48"/>
    <x v="0"/>
    <n v="341136.28125"/>
    <n v="0.96931278705596902"/>
    <n v="1.7999999999999999E-2"/>
    <n v="2.1151344237638598"/>
    <n v="2.1820968958719926"/>
    <n v="9.4504559030433692E-3"/>
    <n v="3.0668211758136599E-2"/>
    <n v="2.4305172264575799E-2"/>
    <n v="1.8960560768842599E-2"/>
    <n v="1.9882316701114199E-2"/>
    <b v="0"/>
    <b v="0"/>
    <b v="0"/>
    <b v="0"/>
  </r>
  <r>
    <x v="48"/>
    <x v="1"/>
    <n v="345674.71875"/>
    <n v="0.96721047163009599"/>
    <n v="2E-3"/>
    <n v="2.10250397456279"/>
    <n v="2.1737812360729696"/>
    <n v="-5.9714640635422896E-3"/>
    <n v="1.8960560768842599E-2"/>
    <n v="1.9882316701114199E-2"/>
    <n v="-2.7855870604515099E-2"/>
    <n v="1.6549336723982999E-3"/>
    <b v="1"/>
    <b v="0"/>
    <b v="1"/>
    <b v="0"/>
  </r>
  <r>
    <x v="48"/>
    <x v="2"/>
    <n v="348859.3125"/>
    <n v="0.96188563108444203"/>
    <n v="8.9999999999999993E-3"/>
    <n v="2.0725623582766399"/>
    <n v="2.1546868892718636"/>
    <n v="-1.4240932073567299E-2"/>
    <n v="-2.7855870604515099E-2"/>
    <n v="1.6549336723982999E-3"/>
    <n v="-5.6936033725738397E-2"/>
    <n v="-3.0369332060217798E-2"/>
    <b v="1"/>
    <b v="0"/>
    <b v="0"/>
    <b v="0"/>
  </r>
  <r>
    <x v="48"/>
    <x v="3"/>
    <n v="351147.875"/>
    <n v="0.95661735534668002"/>
    <n v="4.0000000000000001E-3"/>
    <n v="2.2042356888236498"/>
    <n v="2.3041978869647735"/>
    <n v="6.3531661675307396E-2"/>
    <n v="-5.6936033725738397E-2"/>
    <n v="-3.0369332060217798E-2"/>
    <n v="-7.3516929373145098E-3"/>
    <n v="2.10841582156717E-3"/>
    <b v="0"/>
    <b v="1"/>
    <b v="0"/>
    <b v="1"/>
  </r>
  <r>
    <x v="48"/>
    <x v="4"/>
    <n v="352510.40625"/>
    <n v="0.95792126655578602"/>
    <n v="2E-3"/>
    <n v="2.2395935981514801"/>
    <n v="2.3379725206477122"/>
    <n v="1.60408932253065E-2"/>
    <n v="-7.3516929373145098E-3"/>
    <n v="2.10841582156717E-3"/>
    <n v="-2.2214281715452599E-2"/>
    <n v="-9.3050720170137101E-4"/>
    <b v="0"/>
    <b v="0"/>
    <b v="0"/>
    <b v="1"/>
  </r>
  <r>
    <x v="48"/>
    <x v="5"/>
    <n v="354378.59375"/>
    <n v="0.95828992128372203"/>
    <n v="0"/>
    <n v="2.32074671192193"/>
    <n v="2.4217584473945686"/>
    <n v="3.62356428583442E-2"/>
    <n v="-2.2214281715452599E-2"/>
    <n v="-9.3050720170137101E-4"/>
    <n v="-4.2746665924788003E-3"/>
    <n v="1.16353947669259E-3"/>
    <b v="0"/>
    <b v="1"/>
    <b v="0"/>
    <b v="1"/>
  </r>
  <r>
    <x v="48"/>
    <x v="6"/>
    <n v="355359.8125"/>
    <n v="0.95513898134231601"/>
    <n v="1.4E-2"/>
    <n v="2.30940866491011"/>
    <n v="2.4178770943518133"/>
    <n v="-4.8855167837032398E-3"/>
    <n v="-4.2746665924788003E-3"/>
    <n v="1.0779406875370901E-3"/>
    <n v="6.7504743486642999E-3"/>
    <n v="6.2370300292970105E-4"/>
    <b v="1"/>
    <b v="0"/>
    <b v="0"/>
    <b v="0"/>
  </r>
  <r>
    <x v="48"/>
    <x v="7"/>
    <n v="356296.59375"/>
    <n v="0.95690792798996005"/>
    <n v="0.01"/>
    <n v="2.16053842813721"/>
    <n v="2.2578331362303006"/>
    <n v="-6.4462491647703998E-2"/>
    <n v="6.7504743486642999E-3"/>
    <n v="6.2370300292970105E-4"/>
    <n v="1.9664753377438E-3"/>
    <n v="-4.1548162698700598E-5"/>
    <b v="1"/>
    <b v="0"/>
    <b v="1"/>
    <b v="0"/>
  </r>
  <r>
    <x v="48"/>
    <x v="8"/>
    <n v="359298"/>
    <n v="0.954770088195801"/>
    <n v="1.7000000000000001E-2"/>
    <n v="2.3163169965174499"/>
    <n v="2.4260468830716317"/>
    <n v="7.2101734619250998E-2"/>
    <n v="1.9664753377438E-3"/>
    <n v="-4.1548162698700598E-5"/>
    <n v="5.8057053178548798E-2"/>
    <n v="2.7793601155281102E-2"/>
    <b v="0"/>
    <b v="1"/>
    <b v="0"/>
    <b v="0"/>
  </r>
  <r>
    <x v="48"/>
    <x v="9"/>
    <n v="363999.375"/>
    <n v="0.96176910400390603"/>
    <n v="2.5999999999999999E-2"/>
    <n v="2.19703156393803"/>
    <n v="2.2843648800857168"/>
    <n v="-5.1497887706544503E-2"/>
    <n v="5.8057053178548798E-2"/>
    <n v="2.7793601155281102E-2"/>
    <n v="4.9914989888668097E-2"/>
    <n v="3.6761432886123699E-2"/>
    <b v="1"/>
    <b v="0"/>
    <b v="1"/>
    <b v="0"/>
  </r>
  <r>
    <x v="48"/>
    <x v="10"/>
    <n v="370854.71875"/>
    <n v="0.96302014589309703"/>
    <n v="1.4999999999999999E-2"/>
    <n v="2.4166915645852001"/>
    <n v="2.5094922207925152"/>
    <n v="9.9980357247774307E-2"/>
    <n v="4.9914989888668097E-2"/>
    <n v="3.6761432886123699E-2"/>
    <n v="2.3274758547544499E-2"/>
    <n v="2.0485185086727201E-2"/>
    <b v="0"/>
    <b v="0"/>
    <b v="0"/>
    <b v="0"/>
  </r>
  <r>
    <x v="48"/>
    <x v="11"/>
    <n v="376489.6875"/>
    <n v="0.96346753835678101"/>
    <n v="8.0000000000000002E-3"/>
    <n v="2.1416304208775698"/>
    <n v="2.2228360952670769"/>
    <n v="-0.113817231680881"/>
    <n v="2.3274758547544499E-2"/>
    <n v="2.0485185086727201E-2"/>
    <n v="1.93240011334418E-2"/>
    <n v="1.01889781653881E-2"/>
    <b v="1"/>
    <b v="0"/>
    <b v="1"/>
    <b v="0"/>
  </r>
  <r>
    <x v="48"/>
    <x v="12"/>
    <n v="379634.71875"/>
    <n v="0.96342253684997603"/>
    <n v="7.0000000000000001E-3"/>
    <n v="2.2378970839941501"/>
    <n v="2.3228614635808911"/>
    <n v="4.4950175426223399E-2"/>
    <n v="1.93240011334418E-2"/>
    <n v="1.01889781653881E-2"/>
    <n v="1.87047972977161E-2"/>
    <n v="9.0360268950459501E-4"/>
    <b v="0"/>
    <b v="0"/>
    <b v="0"/>
    <b v="0"/>
  </r>
  <r>
    <x v="48"/>
    <x v="13"/>
    <n v="382371.78125"/>
    <n v="0.93342769145965598"/>
    <n v="3.9E-2"/>
    <n v="2.1503456484914998"/>
    <n v="2.3037088658992722"/>
    <n v="-3.9122190260148397E-2"/>
    <n v="1.87047972977161E-2"/>
    <n v="9.0360268950459501E-4"/>
    <n v="1.9541757285594898E-2"/>
    <n v="6.9256685674189795E-4"/>
    <b v="1"/>
    <b v="0"/>
    <b v="1"/>
    <b v="0"/>
  </r>
  <r>
    <x v="48"/>
    <x v="14"/>
    <n v="384674.1875"/>
    <n v="0.97037404775619496"/>
    <n v="1.6E-2"/>
    <n v="2.1662918189485501"/>
    <n v="2.2324296738537961"/>
    <n v="7.4156312815248596E-3"/>
    <n v="1.9541757285594898E-2"/>
    <n v="6.9256685674189795E-4"/>
    <n v="3.7280423820018699E-2"/>
    <n v="-6.30918890237811E-3"/>
    <b v="0"/>
    <b v="0"/>
    <b v="0"/>
    <b v="0"/>
  </r>
  <r>
    <x v="48"/>
    <x v="15"/>
    <n v="386022.5"/>
    <n v="0.98109120130538896"/>
    <n v="0"/>
    <n v="2.2424272066255799"/>
    <n v="2.2856460272418331"/>
    <n v="3.5145490100213901E-2"/>
    <n v="3.7280423820018699E-2"/>
    <n v="-6.30918890237811E-3"/>
    <n v="-8.9046823978423898E-3"/>
    <n v="2.3198824375867899E-2"/>
    <b v="0"/>
    <b v="1"/>
    <b v="0"/>
    <b v="0"/>
  </r>
  <r>
    <x v="48"/>
    <x v="16"/>
    <n v="385108.3125"/>
    <n v="0.94619911909103405"/>
    <n v="0.04"/>
    <n v="2.0069625761531702"/>
    <n v="2.1210784661067517"/>
    <n v="-0.105004358570343"/>
    <n v="-8.9046823978423898E-3"/>
    <n v="2.3677527904510502E-2"/>
    <n v="-2.4777083456516299E-2"/>
    <n v="-5.2181556820870001E-3"/>
    <b v="1"/>
    <b v="0"/>
    <b v="0"/>
    <b v="0"/>
  </r>
  <r>
    <x v="49"/>
    <x v="0"/>
    <n v="306011.5"/>
    <n v="0.90996348857879605"/>
    <n v="1E-3"/>
    <n v="1.9904933381346701"/>
    <n v="2.1874430821872566"/>
    <n v="-4.3838817834566897E-2"/>
    <n v="-1.12863335460424E-2"/>
    <n v="-1.7649373039603199E-2"/>
    <n v="-6.7782615274191004E-3"/>
    <n v="-5.8565055951476002E-3"/>
    <b v="0"/>
    <b v="0"/>
    <b v="0"/>
    <b v="0"/>
  </r>
  <r>
    <x v="49"/>
    <x v="1"/>
    <n v="307752.5"/>
    <n v="0.91654348373413097"/>
    <n v="1E-3"/>
    <n v="2.06469611424775"/>
    <n v="2.2526984817303801"/>
    <n v="3.7278585510171498E-2"/>
    <n v="-6.7782615274191004E-3"/>
    <n v="-5.8565055951476002E-3"/>
    <n v="-2.4643318086862501E-2"/>
    <n v="4.8674861900507996E-3"/>
    <b v="0"/>
    <b v="1"/>
    <b v="0"/>
    <b v="1"/>
  </r>
  <r>
    <x v="49"/>
    <x v="2"/>
    <n v="309016.125"/>
    <n v="0.92680335044860795"/>
    <n v="2.5000000000000001E-2"/>
    <n v="1.96818209819503"/>
    <n v="2.1236242804283725"/>
    <n v="-4.67449012892081E-2"/>
    <n v="-2.4643318086862501E-2"/>
    <n v="4.8674861900507996E-3"/>
    <n v="-1.64620566219091E-2"/>
    <n v="1.01046450436115E-2"/>
    <b v="1"/>
    <b v="0"/>
    <b v="0"/>
    <b v="0"/>
  </r>
  <r>
    <x v="49"/>
    <x v="3"/>
    <n v="310590.5"/>
    <n v="0.92148351669311501"/>
    <n v="3.0000000000000001E-3"/>
    <n v="2.1104404618194201"/>
    <n v="2.2902639315709732"/>
    <n v="7.2279065923242805E-2"/>
    <n v="-1.64620566219091E-2"/>
    <n v="1.01046450436115E-2"/>
    <n v="-1.46227785702794E-2"/>
    <n v="-5.16266981139779E-3"/>
    <b v="0"/>
    <b v="0"/>
    <b v="0"/>
    <b v="1"/>
  </r>
  <r>
    <x v="49"/>
    <x v="4"/>
    <n v="311979.1875"/>
    <n v="0.92210435867309604"/>
    <n v="0"/>
    <n v="2.25296764936081"/>
    <n v="2.4432892309530128"/>
    <n v="6.7534332344310902E-2"/>
    <n v="-1.46227785702794E-2"/>
    <n v="-5.16266981139779E-3"/>
    <n v="-2.35333995595574E-2"/>
    <n v="-2.24962504580613E-3"/>
    <b v="0"/>
    <b v="1"/>
    <b v="0"/>
    <b v="1"/>
  </r>
  <r>
    <x v="50"/>
    <x v="0"/>
    <n v="349219.09375"/>
    <n v="0.85793304443359397"/>
    <n v="6.5000000000000002E-2"/>
    <n v="2.5801287445304601"/>
    <n v="3.0073777450009014"/>
    <n v="6.9563357314731497E-2"/>
    <n v="3.1543282449245397E-2"/>
    <n v="2.5180242955684599E-2"/>
    <n v="-2.9495720714331E-3"/>
    <n v="-2.0278161391615898E-3"/>
    <b v="0"/>
    <b v="0"/>
    <b v="0"/>
    <b v="0"/>
  </r>
  <r>
    <x v="50"/>
    <x v="1"/>
    <n v="352010.71875"/>
    <n v="0.83105015754699696"/>
    <n v="9.6000000000000002E-2"/>
    <n v="2.5484983194188402"/>
    <n v="3.0665998872333038"/>
    <n v="-1.22592429461782E-2"/>
    <n v="-2.9495720714331E-3"/>
    <n v="-2.0278161391615898E-3"/>
    <n v="-5.0822563759982599E-2"/>
    <n v="-2.1311759483069102E-2"/>
    <b v="0"/>
    <b v="0"/>
    <b v="0"/>
    <b v="0"/>
  </r>
  <r>
    <x v="50"/>
    <x v="2"/>
    <n v="357463.71875"/>
    <n v="0.83711302280426003"/>
    <n v="1.9E-2"/>
    <n v="2.5313927301046002"/>
    <n v="3.0239557397215515"/>
    <n v="-6.7120269155749798E-3"/>
    <n v="-5.0822563759982599E-2"/>
    <n v="-2.1311759483069102E-2"/>
    <n v="-2.8014887779951099E-2"/>
    <n v="-1.4481861144304501E-3"/>
    <b v="0"/>
    <b v="0"/>
    <b v="0"/>
    <b v="0"/>
  </r>
  <r>
    <x v="50"/>
    <x v="3"/>
    <n v="365670.1875"/>
    <n v="0.85168319940567005"/>
    <n v="4.8000000000000001E-2"/>
    <n v="2.47681918203202"/>
    <n v="2.908146108506565"/>
    <n v="-2.1558704591180301E-2"/>
    <n v="-2.8014887779951099E-2"/>
    <n v="-1.4481861144304501E-3"/>
    <n v="-9.6776780523359796E-3"/>
    <n v="-2.17569293454296E-4"/>
    <b v="0"/>
    <b v="0"/>
    <b v="0"/>
    <b v="0"/>
  </r>
  <r>
    <x v="50"/>
    <x v="4"/>
    <n v="375830.40625"/>
    <n v="0.85187983512878396"/>
    <n v="5.8999999999999997E-2"/>
    <n v="2.4369168681197899"/>
    <n v="2.8606345257032477"/>
    <n v="-1.6110305589401502E-2"/>
    <n v="-9.6776780523359796E-3"/>
    <n v="-2.17569293454296E-4"/>
    <n v="-3.1088979675434499E-2"/>
    <n v="-9.8052051616832302E-3"/>
    <b v="0"/>
    <b v="0"/>
    <b v="0"/>
    <b v="0"/>
  </r>
  <r>
    <x v="50"/>
    <x v="5"/>
    <n v="379397.1875"/>
    <n v="0.84673327207565297"/>
    <n v="6.5000000000000002E-2"/>
    <n v="2.4235615830900499"/>
    <n v="2.8622491438762219"/>
    <n v="-5.4804023906000797E-3"/>
    <n v="-3.1088979675434499E-2"/>
    <n v="-9.8052051616832302E-3"/>
    <n v="-5.4382060691713996E-3"/>
    <n v="0"/>
    <b v="0"/>
    <b v="0"/>
    <b v="0"/>
    <b v="0"/>
  </r>
  <r>
    <x v="50"/>
    <x v="6"/>
    <n v="380263.875"/>
    <n v="0.867606520652771"/>
    <n v="5.0999999999999997E-2"/>
    <n v="2.4724096513229901"/>
    <n v="2.8496900293727565"/>
    <n v="2.01554887541406E-2"/>
    <n v="-5.4382060691713996E-3"/>
    <n v="-8.5598789155498804E-5"/>
    <n v="-1.12557691615074E-2"/>
    <n v="-1.7382540507242E-2"/>
    <b v="0"/>
    <b v="1"/>
    <b v="0"/>
    <b v="1"/>
  </r>
  <r>
    <x v="50"/>
    <x v="7"/>
    <n v="382469.59375"/>
    <n v="0.88045561313629195"/>
    <n v="3.5999999999999997E-2"/>
    <n v="2.28626945093928"/>
    <n v="2.5966890514733674"/>
    <n v="-7.5286957516971897E-2"/>
    <n v="-1.12557691615074E-2"/>
    <n v="-1.7382540507242E-2"/>
    <n v="-2.0035664256662099E-2"/>
    <n v="-2.2043687757104601E-2"/>
    <b v="0"/>
    <b v="0"/>
    <b v="0"/>
    <b v="0"/>
  </r>
  <r>
    <x v="50"/>
    <x v="8"/>
    <n v="381888.6875"/>
    <n v="0.87080097198486295"/>
    <n v="3.9E-2"/>
    <n v="2.3578220833263699"/>
    <n v="2.7076475098001564"/>
    <n v="3.1296675183095403E-2"/>
    <n v="-2.0035664256662099E-2"/>
    <n v="-2.2043687757104601E-2"/>
    <n v="-3.3731796536594599E-3"/>
    <n v="-3.3636631676927098E-2"/>
    <b v="0"/>
    <b v="1"/>
    <b v="0"/>
    <b v="1"/>
  </r>
  <r>
    <x v="50"/>
    <x v="9"/>
    <n v="381984.1875"/>
    <n v="0.88691383600234996"/>
    <n v="0"/>
    <n v="2.27049636538429"/>
    <n v="2.5599965557175883"/>
    <n v="-3.7036601938548901E-2"/>
    <n v="-3.3731796536594599E-3"/>
    <n v="-3.3636631676927098E-2"/>
    <n v="2.0719770610332498E-2"/>
    <n v="7.5662136077880998E-3"/>
    <b v="0"/>
    <b v="0"/>
    <b v="0"/>
    <b v="0"/>
  </r>
  <r>
    <x v="50"/>
    <x v="10"/>
    <n v="383039.09375"/>
    <n v="0.898176789283752"/>
    <n v="0"/>
    <n v="2.2757018033091598"/>
    <n v="2.5336902828717167"/>
    <n v="2.2926431436912798E-3"/>
    <n v="2.0719770610332498E-2"/>
    <n v="7.5662136077880998E-3"/>
    <n v="-7.8820663541555001E-3"/>
    <n v="-1.0671639814972799E-2"/>
    <b v="0"/>
    <b v="0"/>
    <b v="0"/>
    <b v="0"/>
  </r>
  <r>
    <x v="50"/>
    <x v="11"/>
    <n v="382614.40625"/>
    <n v="0.915999054908752"/>
    <n v="0"/>
    <n v="2.19722980580877"/>
    <n v="2.3987249703305085"/>
    <n v="-3.4482548366524403E-2"/>
    <n v="-7.8820663541555001E-3"/>
    <n v="-1.0671639814972799E-2"/>
    <n v="3.6274824500083902E-2"/>
    <n v="2.7139801532030099E-2"/>
    <b v="0"/>
    <b v="0"/>
    <b v="0"/>
    <b v="0"/>
  </r>
  <r>
    <x v="50"/>
    <x v="12"/>
    <n v="385124.21875"/>
    <n v="0.93708890676498402"/>
    <n v="0"/>
    <n v="2.2573958770203499"/>
    <n v="2.4089452566601457"/>
    <n v="2.7382693905083001E-2"/>
    <n v="3.6274824500083902E-2"/>
    <n v="2.7139801532030099E-2"/>
    <n v="3.1767535179853298E-2"/>
    <n v="1.3966340571641801E-2"/>
    <b v="0"/>
    <b v="0"/>
    <b v="0"/>
    <b v="0"/>
  </r>
  <r>
    <x v="50"/>
    <x v="13"/>
    <n v="386696"/>
    <n v="0.93352919816970803"/>
    <n v="0"/>
    <n v="2.2350917251841498"/>
    <n v="2.394238690730087"/>
    <n v="-9.8804786804353797E-3"/>
    <n v="3.1767535179853298E-2"/>
    <n v="1.3966340571641801E-2"/>
    <n v="7.0877255976200093E-2"/>
    <n v="5.2028065547347097E-2"/>
    <b v="1"/>
    <b v="0"/>
    <b v="1"/>
    <b v="0"/>
  </r>
  <r>
    <x v="50"/>
    <x v="14"/>
    <n v="390275.6875"/>
    <n v="0.96600443124771096"/>
    <n v="4.0000000000000001E-3"/>
    <n v="2.08587901473074"/>
    <n v="2.1592851412043488"/>
    <n v="-6.6759099312185405E-2"/>
    <n v="7.0877255976200093E-2"/>
    <n v="5.2028065547347097E-2"/>
    <n v="8.6325397968291903E-2"/>
    <n v="4.2735785245894997E-2"/>
    <b v="1"/>
    <b v="0"/>
    <b v="1"/>
    <b v="0"/>
  </r>
  <r>
    <x v="50"/>
    <x v="15"/>
    <n v="392734.5"/>
    <n v="0.96350038051605202"/>
    <n v="-3.0000000000000001E-3"/>
    <n v="2.2112274484536001"/>
    <n v="2.2949938507229897"/>
    <n v="6.0093817924069502E-2"/>
    <n v="8.6325397968291903E-2"/>
    <n v="4.2735785245894997E-2"/>
    <n v="1.05469730496406E-2"/>
    <n v="4.2650479823350997E-2"/>
    <b v="0"/>
    <b v="0"/>
    <b v="0"/>
    <b v="0"/>
  </r>
  <r>
    <x v="50"/>
    <x v="16"/>
    <n v="392798.71875"/>
    <n v="0.942202389240265"/>
    <n v="1E-3"/>
    <n v="2.3018784755187802"/>
    <n v="2.4430828257343689"/>
    <n v="4.09957949502536E-2"/>
    <n v="1.05469730496406E-2"/>
    <n v="4.3129183351993498E-2"/>
    <n v="-4.3663618419319303E-2"/>
    <n v="-2.4104690644890001E-2"/>
    <b v="0"/>
    <b v="0"/>
    <b v="0"/>
    <b v="0"/>
  </r>
  <r>
    <x v="51"/>
    <x v="0"/>
    <n v="440375.5"/>
    <n v="0.91302865743637096"/>
    <n v="0"/>
    <n v="2.3118513154718801"/>
    <n v="2.5320687326103926"/>
    <n v="9.3733819816129799E-2"/>
    <n v="-1.19713362008333E-2"/>
    <n v="-1.8334375694394001E-2"/>
    <n v="-1.09709677249193E-2"/>
    <n v="-1.00492117926477E-2"/>
    <b v="0"/>
    <b v="1"/>
    <b v="0"/>
    <b v="1"/>
  </r>
  <r>
    <x v="51"/>
    <x v="1"/>
    <n v="436849.40625"/>
    <n v="0.904213666915894"/>
    <n v="0.01"/>
    <n v="2.2183839164894601"/>
    <n v="2.4533846342490691"/>
    <n v="-4.0429675713525702E-2"/>
    <n v="-1.09709677249193E-2"/>
    <n v="-1.00492117926477E-2"/>
    <n v="-2.5533014267683E-2"/>
    <n v="3.9777900092303996E-3"/>
    <b v="0"/>
    <b v="0"/>
    <b v="0"/>
    <b v="0"/>
  </r>
  <r>
    <x v="51"/>
    <x v="2"/>
    <n v="431827.09375"/>
    <n v="0.91650480031967196"/>
    <n v="0"/>
    <n v="2.2372487860206198"/>
    <n v="2.4410660863317677"/>
    <n v="8.5038795092859006E-3"/>
    <n v="-2.5533014267683E-2"/>
    <n v="3.9777900092303996E-3"/>
    <n v="-1.44317007660865E-2"/>
    <n v="1.2135000899433999E-2"/>
    <b v="0"/>
    <b v="0"/>
    <b v="0"/>
    <b v="1"/>
  </r>
  <r>
    <x v="51"/>
    <x v="3"/>
    <n v="427266"/>
    <n v="0.91817796230316195"/>
    <n v="0"/>
    <n v="2.19542027661107"/>
    <n v="2.3910618276048221"/>
    <n v="-1.8696405009097701E-2"/>
    <n v="-1.44317007660865E-2"/>
    <n v="1.2135000899433999E-2"/>
    <n v="-1.4685937141999599E-2"/>
    <n v="-5.2258283831179099E-3"/>
    <b v="1"/>
    <b v="0"/>
    <b v="0"/>
    <b v="0"/>
  </r>
  <r>
    <x v="51"/>
    <x v="4"/>
    <n v="424306.3125"/>
    <n v="0.922183036804199"/>
    <n v="0"/>
    <n v="2.0808184143222501"/>
    <n v="2.2564049990913642"/>
    <n v="-5.2200420807685902E-2"/>
    <n v="-1.4685937141999599E-2"/>
    <n v="-5.2258283831179099E-3"/>
    <n v="-2.3258096881210801E-2"/>
    <n v="-1.9743223674595E-3"/>
    <b v="0"/>
    <b v="0"/>
    <b v="0"/>
    <b v="0"/>
  </r>
  <r>
    <x v="52"/>
    <x v="0"/>
    <n v="282046.90625"/>
    <n v="0.966533184051514"/>
    <n v="0"/>
    <n v="2.23385418112181"/>
    <n v="2.3112027791512957"/>
    <n v="2.7561142202286299E-2"/>
    <n v="3.85753217339519E-3"/>
    <n v="-2.5055073201655899E-3"/>
    <n v="1.29108569622039E-2"/>
    <n v="1.38326128944755E-2"/>
    <b v="0"/>
    <b v="1"/>
    <b v="0"/>
    <b v="0"/>
  </r>
  <r>
    <x v="52"/>
    <x v="1"/>
    <n v="287494.59375"/>
    <n v="0.96426570415496804"/>
    <n v="2.7E-2"/>
    <n v="2.09029885057471"/>
    <n v="2.1677623102924088"/>
    <n v="-6.4263518971058101E-2"/>
    <n v="1.29108569622039E-2"/>
    <n v="1.38326128944755E-2"/>
    <n v="-2.54402480199932E-2"/>
    <n v="4.0705562569201001E-3"/>
    <b v="1"/>
    <b v="0"/>
    <b v="1"/>
    <b v="0"/>
  </r>
  <r>
    <x v="52"/>
    <x v="2"/>
    <n v="292924"/>
    <n v="0.93608045578002896"/>
    <n v="1.4999999999999999E-2"/>
    <n v="2.2367545638945199"/>
    <n v="2.3894896534621575"/>
    <n v="7.0064485410563995E-2"/>
    <n v="-2.54402480199932E-2"/>
    <n v="4.0705562569201001E-3"/>
    <n v="-3.1621490329503898E-2"/>
    <n v="-5.0547886639833398E-3"/>
    <b v="0"/>
    <b v="0"/>
    <b v="0"/>
    <b v="1"/>
  </r>
  <r>
    <x v="52"/>
    <x v="3"/>
    <n v="297650.59375"/>
    <n v="0.93938195705413796"/>
    <n v="1.4999999999999999E-2"/>
    <n v="2.13789633910373"/>
    <n v="2.2758541645914536"/>
    <n v="-4.4197171377917302E-2"/>
    <n v="-3.1621490329503898E-2"/>
    <n v="-5.0547886639833398E-3"/>
    <n v="-6.8454949036240598E-3"/>
    <n v="2.6146138552576199E-3"/>
    <b v="0"/>
    <b v="0"/>
    <b v="0"/>
    <b v="0"/>
  </r>
  <r>
    <x v="52"/>
    <x v="4"/>
    <n v="301650.09375"/>
    <n v="0.946644306182861"/>
    <n v="3.4000000000000002E-2"/>
    <n v="2.1678365148022398"/>
    <n v="2.2900222402895687"/>
    <n v="1.40045030017973E-2"/>
    <n v="-6.8454949036240598E-3"/>
    <n v="2.6146138552576199E-3"/>
    <n v="-5.8247618079184998E-3"/>
    <n v="1.54590127058328E-2"/>
    <b v="0"/>
    <b v="0"/>
    <b v="0"/>
    <b v="1"/>
  </r>
  <r>
    <x v="52"/>
    <x v="5"/>
    <n v="306612.625"/>
    <n v="0.94982159137725797"/>
    <n v="1E-3"/>
    <n v="2.2531812198332601"/>
    <n v="2.3722152036637825"/>
    <n v="3.9368607571773899E-2"/>
    <n v="-5.8247618079184998E-3"/>
    <n v="1.54590127058328E-2"/>
    <n v="8.3240770697593901E-3"/>
    <n v="1.3762283138930799E-2"/>
    <b v="0"/>
    <b v="0"/>
    <b v="0"/>
    <b v="1"/>
  </r>
  <r>
    <x v="52"/>
    <x v="6"/>
    <n v="312189.09375"/>
    <n v="0.93942838907241799"/>
    <n v="5.3999999999999999E-2"/>
    <n v="2.2051174496644199"/>
    <n v="2.3472970109427185"/>
    <n v="-2.1331515523810001E-2"/>
    <n v="8.3240770697593901E-3"/>
    <n v="1.36766843497753E-2"/>
    <n v="1.0058981031179399E-2"/>
    <n v="3.9322096854447998E-3"/>
    <b v="1"/>
    <b v="0"/>
    <b v="1"/>
    <b v="0"/>
  </r>
  <r>
    <x v="52"/>
    <x v="7"/>
    <n v="318118.59375"/>
    <n v="0.94575560092926003"/>
    <n v="3.3000000000000002E-2"/>
    <n v="2.3041391858084999"/>
    <n v="2.436294517890826"/>
    <n v="4.4905424951013302E-2"/>
    <n v="1.0058981031179399E-2"/>
    <n v="3.9322096854447998E-3"/>
    <n v="2.3821848273277199E-2"/>
    <n v="2.1813824772834702E-2"/>
    <b v="0"/>
    <b v="0"/>
    <b v="0"/>
    <b v="0"/>
  </r>
  <r>
    <x v="52"/>
    <x v="8"/>
    <n v="326308"/>
    <n v="0.95473992824554399"/>
    <n v="1.4999999999999999E-2"/>
    <n v="2.15736840968487"/>
    <n v="2.2596398724512432"/>
    <n v="-6.3698745730124101E-2"/>
    <n v="2.3821848273277199E-2"/>
    <n v="2.1813824772834702E-2"/>
    <n v="2.09739899039268E-2"/>
    <n v="-9.2894621193408897E-3"/>
    <b v="1"/>
    <b v="0"/>
    <b v="1"/>
    <b v="0"/>
  </r>
  <r>
    <x v="52"/>
    <x v="9"/>
    <n v="334678"/>
    <n v="0.92404347658157304"/>
    <n v="6.9000000000000006E-2"/>
    <n v="2.2031128740191401"/>
    <n v="2.3842091090447224"/>
    <n v="2.1203825980260001E-2"/>
    <n v="2.09739899039268E-2"/>
    <n v="-9.2894621193408897E-3"/>
    <n v="-1.1415915411897E-2"/>
    <n v="-2.45694724144414E-2"/>
    <b v="0"/>
    <b v="1"/>
    <b v="0"/>
    <b v="0"/>
  </r>
  <r>
    <x v="52"/>
    <x v="10"/>
    <n v="340223.78125"/>
    <n v="0.93352079391479503"/>
    <n v="3.1E-2"/>
    <n v="2.1185787489941901"/>
    <n v="2.2694499820510248"/>
    <n v="-3.8370310491958097E-2"/>
    <n v="-1.1415915411897E-2"/>
    <n v="-2.45694724144414E-2"/>
    <n v="2.1023200541734701E-2"/>
    <n v="1.82336270809174E-2"/>
    <b v="0"/>
    <b v="0"/>
    <b v="0"/>
    <b v="0"/>
  </r>
  <r>
    <x v="52"/>
    <x v="11"/>
    <n v="345610.28125"/>
    <n v="0.88987374305725098"/>
    <n v="0.115"/>
    <n v="2.1306743695144901"/>
    <n v="2.3943558129879676"/>
    <n v="5.70930890628581E-3"/>
    <n v="2.1023200541734701E-2"/>
    <n v="1.82336270809174E-2"/>
    <n v="1.4123900234699801E-4"/>
    <n v="-8.9937839657067906E-3"/>
    <b v="0"/>
    <b v="0"/>
    <b v="0"/>
    <b v="0"/>
  </r>
  <r>
    <x v="52"/>
    <x v="12"/>
    <n v="351979.875"/>
    <n v="0.90460169315338101"/>
    <n v="3.7999999999999999E-2"/>
    <n v="2.3089773584176001"/>
    <n v="2.5524795895181884"/>
    <n v="8.3683828676144795E-2"/>
    <n v="1.4123900234699801E-4"/>
    <n v="-8.9937839657067906E-3"/>
    <n v="1.7510495781898E-3"/>
    <n v="-1.6050145030021699E-2"/>
    <b v="0"/>
    <b v="1"/>
    <b v="0"/>
    <b v="0"/>
  </r>
  <r>
    <x v="52"/>
    <x v="13"/>
    <n v="357434.21875"/>
    <n v="0.88340264558792103"/>
    <n v="0.17"/>
    <n v="2.16828557552209"/>
    <n v="2.4544703214908932"/>
    <n v="-6.0932508663456099E-2"/>
    <n v="1.7510495781898E-3"/>
    <n v="-1.6050145030021699E-2"/>
    <n v="-3.8432859703898298E-3"/>
    <n v="-2.2692476399242802E-2"/>
    <b v="0"/>
    <b v="0"/>
    <b v="1"/>
    <b v="0"/>
  </r>
  <r>
    <x v="52"/>
    <x v="14"/>
    <n v="360633.90625"/>
    <n v="0.90889769792556796"/>
    <n v="0.02"/>
    <n v="1.96872802481902"/>
    <n v="2.1660611852272997"/>
    <n v="-9.2034717638620395E-2"/>
    <n v="-3.8432859703898298E-3"/>
    <n v="-2.2692476399242802E-2"/>
    <n v="7.4069394052029003E-2"/>
    <n v="3.0479781329632E-2"/>
    <b v="0"/>
    <b v="0"/>
    <b v="0"/>
    <b v="0"/>
  </r>
  <r>
    <x v="52"/>
    <x v="15"/>
    <n v="364012.21875"/>
    <n v="0.95371836423873901"/>
    <n v="2.4E-2"/>
    <n v="2.1747682192590401"/>
    <n v="2.2803044387165041"/>
    <n v="0.104656505033981"/>
    <n v="7.4069394052029003E-2"/>
    <n v="3.0479781329632E-2"/>
    <n v="-3.4570829868316701E-2"/>
    <n v="-2.46732309460639E-3"/>
    <b v="0"/>
    <b v="0"/>
    <b v="0"/>
    <b v="0"/>
  </r>
  <r>
    <x v="52"/>
    <x v="16"/>
    <n v="368828.5"/>
    <n v="0.931329846382141"/>
    <n v="5.8999999999999997E-2"/>
    <n v="2.2126425603394901"/>
    <n v="2.375788308443842"/>
    <n v="1.7415346033222701E-2"/>
    <n v="-3.4570829868316701E-2"/>
    <n v="-1.9886195659638002E-3"/>
    <n v="-1.8490292862057701E-2"/>
    <n v="1.0686349123716001E-3"/>
    <b v="0"/>
    <b v="1"/>
    <b v="0"/>
    <b v="1"/>
  </r>
  <r>
    <x v="53"/>
    <x v="0"/>
    <n v="588154.4375"/>
    <n v="0.90436279773712203"/>
    <n v="3.2000000000000001E-2"/>
    <n v="2.4978795867240802"/>
    <n v="2.762032663190285"/>
    <n v="-8.0061533216672295E-3"/>
    <n v="2.4186497211456201E-2"/>
    <n v="1.7823457717895501E-2"/>
    <n v="-4.4339754581450997E-3"/>
    <n v="-3.5122195258735999E-3"/>
    <b v="1"/>
    <b v="0"/>
    <b v="1"/>
    <b v="0"/>
  </r>
  <r>
    <x v="53"/>
    <x v="1"/>
    <n v="606279"/>
    <n v="0.86029404401779197"/>
    <n v="2.8000000000000001E-2"/>
    <n v="2.35341547099189"/>
    <n v="2.7355942858802571"/>
    <n v="-5.7834699678880497E-2"/>
    <n v="-4.4339754581450997E-3"/>
    <n v="-3.5122195258735999E-3"/>
    <n v="-5.4520129516720799E-2"/>
    <n v="-2.5009325239807301E-2"/>
    <b v="0"/>
    <b v="0"/>
    <b v="0"/>
    <b v="0"/>
  </r>
  <r>
    <x v="53"/>
    <x v="2"/>
    <n v="611338.1875"/>
    <n v="0.86680686473846402"/>
    <n v="2.3E-2"/>
    <n v="2.2781429946332099"/>
    <n v="2.6282013760015377"/>
    <n v="-3.1984355200550298E-2"/>
    <n v="-5.4520129516720799E-2"/>
    <n v="-2.5009325239807301E-2"/>
    <n v="-3.6349077433347698E-2"/>
    <n v="-9.7823757678270392E-3"/>
    <b v="0"/>
    <b v="0"/>
    <b v="0"/>
    <b v="0"/>
  </r>
  <r>
    <x v="53"/>
    <x v="3"/>
    <n v="614222.25"/>
    <n v="0.88379150629043601"/>
    <n v="1.7999999999999999E-2"/>
    <n v="2.49136306288064"/>
    <n v="2.8189488642380272"/>
    <n v="9.3593803703157799E-2"/>
    <n v="-3.6349077433347698E-2"/>
    <n v="-9.7823757678270392E-3"/>
    <n v="-1.1057706721127001E-2"/>
    <n v="-1.5975979622453399E-3"/>
    <b v="0"/>
    <b v="1"/>
    <b v="0"/>
    <b v="1"/>
  </r>
  <r>
    <x v="53"/>
    <x v="4"/>
    <n v="621899.4375"/>
    <n v="0.90116167068481401"/>
    <n v="4.0000000000000001E-3"/>
    <n v="2.4265553038043999"/>
    <n v="2.6926969740739231"/>
    <n v="-2.6012972593927E-2"/>
    <n v="-1.1057706721127001E-2"/>
    <n v="-1.5975979622453399E-3"/>
    <n v="-1.38801674991846E-2"/>
    <n v="7.4036070145666903E-3"/>
    <b v="0"/>
    <b v="0"/>
    <b v="0"/>
    <b v="0"/>
  </r>
  <r>
    <x v="53"/>
    <x v="5"/>
    <n v="630593.3125"/>
    <n v="0.91195219755172696"/>
    <n v="0"/>
    <n v="2.4696612984762001"/>
    <n v="2.7081038952550123"/>
    <n v="1.7764274568239698E-2"/>
    <n v="-1.38801674991846E-2"/>
    <n v="7.4036070145666903E-3"/>
    <n v="1.2786334097385299E-2"/>
    <n v="1.82245401665568E-2"/>
    <b v="0"/>
    <b v="0"/>
    <b v="0"/>
    <b v="1"/>
  </r>
  <r>
    <x v="53"/>
    <x v="6"/>
    <n v="641955.875"/>
    <n v="0.92890703678131104"/>
    <n v="1E-3"/>
    <n v="2.4597148541113998"/>
    <n v="2.6479666497461154"/>
    <n v="-4.0274528215407902E-3"/>
    <n v="1.2786334097385299E-2"/>
    <n v="1.81389413774013E-2"/>
    <n v="1.55584743618965E-2"/>
    <n v="9.4317030161618996E-3"/>
    <b v="1"/>
    <b v="0"/>
    <b v="1"/>
    <b v="0"/>
  </r>
  <r>
    <x v="53"/>
    <x v="7"/>
    <n v="655466"/>
    <n v="0.94047921895980802"/>
    <n v="0"/>
    <n v="2.5416783347335001"/>
    <n v="2.7025353495260167"/>
    <n v="3.3322350550143501E-2"/>
    <n v="1.55584743618965E-2"/>
    <n v="9.4317030161618996E-3"/>
    <n v="4.0393958628177601E-2"/>
    <n v="3.8385935127734999E-2"/>
    <b v="0"/>
    <b v="0"/>
    <b v="0"/>
    <b v="0"/>
  </r>
  <r>
    <x v="53"/>
    <x v="8"/>
    <n v="671716.8125"/>
    <n v="0.94869017601013195"/>
    <n v="-8.9999999999999993E-3"/>
    <n v="2.46735799871947"/>
    <n v="2.600804837145398"/>
    <n v="-2.92406537044432E-2"/>
    <n v="4.0393958628177601E-2"/>
    <n v="3.8385935127734999E-2"/>
    <n v="5.0268503069877499E-2"/>
    <n v="2.0005051046609899E-2"/>
    <b v="1"/>
    <b v="0"/>
    <b v="1"/>
    <b v="0"/>
  </r>
  <r>
    <x v="53"/>
    <x v="9"/>
    <n v="691785.375"/>
    <n v="0.93234944343566895"/>
    <n v="6.8000000000000005E-2"/>
    <n v="2.4712835334222598"/>
    <n v="2.6505979606913077"/>
    <n v="1.59098708206338E-3"/>
    <n v="5.0268503069877499E-2"/>
    <n v="2.0005051046609899E-2"/>
    <n v="2.6876937866210902E-2"/>
    <n v="1.37233808636665E-2"/>
    <b v="0"/>
    <b v="0"/>
    <b v="0"/>
    <b v="0"/>
  </r>
  <r>
    <x v="53"/>
    <x v="10"/>
    <n v="711083.125"/>
    <n v="0.93165302276611295"/>
    <n v="4.3999999999999997E-2"/>
    <n v="2.3874362409191598"/>
    <n v="2.5625808993038754"/>
    <n v="-3.3928641278561697E-2"/>
    <n v="2.6876937866210902E-2"/>
    <n v="1.37233808636665E-2"/>
    <n v="1.45799570679665E-2"/>
    <n v="1.17903836071492E-2"/>
    <b v="1"/>
    <b v="0"/>
    <b v="1"/>
    <b v="0"/>
  </r>
  <r>
    <x v="53"/>
    <x v="11"/>
    <n v="725251.75"/>
    <n v="0.92945277690887496"/>
    <n v="5.1999999999999998E-2"/>
    <n v="2.47241553336166"/>
    <n v="2.66007654695948"/>
    <n v="3.55943714793353E-2"/>
    <n v="1.45799570679665E-2"/>
    <n v="1.17903836071492E-2"/>
    <n v="-3.9038693308829902E-3"/>
    <n v="-1.30388922989367E-2"/>
    <b v="0"/>
    <b v="0"/>
    <b v="0"/>
    <b v="0"/>
  </r>
  <r>
    <x v="53"/>
    <x v="12"/>
    <n v="737396.125"/>
    <n v="0.90687346458435103"/>
    <n v="9.5000000000000001E-2"/>
    <n v="2.2827879684939401"/>
    <n v="2.5172067081488754"/>
    <n v="-7.6697287453896507E-2"/>
    <n v="-3.9038693308829902E-3"/>
    <n v="-1.30388922989367E-2"/>
    <n v="2.0406316190958E-2"/>
    <n v="2.6051215827464901E-3"/>
    <b v="0"/>
    <b v="0"/>
    <b v="0"/>
    <b v="0"/>
  </r>
  <r>
    <x v="53"/>
    <x v="13"/>
    <n v="752447.3125"/>
    <n v="0.89868414402008101"/>
    <n v="5.6000000000000001E-2"/>
    <n v="2.4562615298811599"/>
    <n v="2.73317555030355"/>
    <n v="7.59919728776485E-2"/>
    <n v="2.0406316190958E-2"/>
    <n v="2.6051215827464901E-3"/>
    <n v="-1.4468643710017199E-2"/>
    <n v="-3.3317834138870198E-2"/>
    <b v="0"/>
    <b v="0"/>
    <b v="0"/>
    <b v="0"/>
  </r>
  <r>
    <x v="53"/>
    <x v="14"/>
    <n v="771903.375"/>
    <n v="0.83374935388565097"/>
    <n v="0.20499999999999999"/>
    <n v="2.4508103372755099"/>
    <n v="2.9395049313725039"/>
    <n v="-2.21930463809796E-3"/>
    <n v="-1.4468643710017199E-2"/>
    <n v="-3.3317834138870198E-2"/>
    <n v="0.18197046804428099"/>
    <n v="0.13838085532188399"/>
    <b v="0"/>
    <b v="0"/>
    <b v="0"/>
    <b v="0"/>
  </r>
  <r>
    <x v="53"/>
    <x v="15"/>
    <n v="799723.875"/>
    <n v="0.93478286266326904"/>
    <n v="0.106"/>
    <n v="2.3280389515233102"/>
    <n v="2.4904595970988881"/>
    <n v="-5.0094201042370001E-2"/>
    <n v="0.18197046804428099"/>
    <n v="0.13838085532188399"/>
    <n v="2.0868909358977899E-3"/>
    <n v="3.4190397709608099E-2"/>
    <b v="1"/>
    <b v="0"/>
    <b v="1"/>
    <b v="0"/>
  </r>
  <r>
    <x v="53"/>
    <x v="16"/>
    <n v="830831.4375"/>
    <n v="0.93239635229110696"/>
    <n v="5.7000000000000002E-2"/>
    <n v="2.3725799138517298"/>
    <n v="2.5446044571300273"/>
    <n v="1.9132395658274098E-2"/>
    <n v="2.0868909358977899E-3"/>
    <n v="3.4669101238250698E-2"/>
    <n v="-9.5916311055421796E-2"/>
    <n v="-7.6357383280992494E-2"/>
    <b v="0"/>
    <b v="0"/>
    <b v="0"/>
    <b v="0"/>
  </r>
  <r>
    <x v="54"/>
    <x v="0"/>
    <n v="407620.09375"/>
    <n v="0.89029031991958596"/>
    <n v="4.0000000000000001E-3"/>
    <n v="2.0562756561761399"/>
    <n v="2.3096686666905124"/>
    <n v="-2.1071967982628101E-2"/>
    <n v="-1.20740666687489E-2"/>
    <n v="-1.8437106162309699E-2"/>
    <n v="-5.4139745384455002E-3"/>
    <n v="-4.492218606174E-3"/>
    <b v="0"/>
    <b v="0"/>
    <b v="0"/>
    <b v="0"/>
  </r>
  <r>
    <x v="54"/>
    <x v="1"/>
    <n v="410680"/>
    <n v="0.89654767513275102"/>
    <n v="0"/>
    <n v="2.06580527277473"/>
    <n v="2.3041778257568377"/>
    <n v="4.6344061750515902E-3"/>
    <n v="-5.4139745384455002E-3"/>
    <n v="-4.492218606174E-3"/>
    <n v="-2.2828443266451399E-2"/>
    <n v="6.6823610104619997E-3"/>
    <b v="0"/>
    <b v="1"/>
    <b v="0"/>
    <b v="1"/>
  </r>
  <r>
    <x v="54"/>
    <x v="2"/>
    <n v="412673.5"/>
    <n v="0.90498197078704801"/>
    <n v="5.0000000000000001E-3"/>
    <n v="2.21661643297077"/>
    <n v="2.4493487213264755"/>
    <n v="7.3003570173620205E-2"/>
    <n v="-2.2828443266451399E-2"/>
    <n v="6.6823610104619997E-3"/>
    <n v="-1.12004957199096E-2"/>
    <n v="1.5366205945610899E-2"/>
    <b v="0"/>
    <b v="0"/>
    <b v="0"/>
    <b v="1"/>
  </r>
  <r>
    <x v="54"/>
    <x v="3"/>
    <n v="415127"/>
    <n v="0.90266197919845603"/>
    <n v="0"/>
    <n v="2.10991080277502"/>
    <n v="2.3374317866457321"/>
    <n v="-4.8138969200341997E-2"/>
    <n v="-1.12004957199096E-2"/>
    <n v="1.5366205945610899E-2"/>
    <n v="-1.56308253030292E-2"/>
    <n v="-6.17071654414758E-3"/>
    <b v="1"/>
    <b v="0"/>
    <b v="0"/>
    <b v="0"/>
  </r>
  <r>
    <x v="54"/>
    <x v="4"/>
    <n v="417982"/>
    <n v="0.90245532989501998"/>
    <n v="4.0000000000000001E-3"/>
    <n v="2.2571596129410598"/>
    <n v="2.5011316772915828"/>
    <n v="6.9789116190300607E-2"/>
    <n v="-1.56308253030292E-2"/>
    <n v="-6.17071654414758E-3"/>
    <n v="-2.62827671766281E-2"/>
    <n v="-4.9989926628768097E-3"/>
    <b v="0"/>
    <b v="1"/>
    <b v="0"/>
    <b v="1"/>
  </r>
  <r>
    <x v="54"/>
    <x v="5"/>
    <n v="421133.78125"/>
    <n v="0.91096132993698098"/>
    <n v="0"/>
    <n v="2.1931914072859602"/>
    <n v="2.4075570885513682"/>
    <n v="-2.83401338958683E-2"/>
    <n v="-2.62827671766281E-2"/>
    <n v="-4.9989926628768097E-3"/>
    <n v="-3.7975258231162999E-3"/>
    <n v="1.6406802460551E-3"/>
    <b v="0"/>
    <b v="0"/>
    <b v="0"/>
    <b v="0"/>
  </r>
  <r>
    <x v="54"/>
    <x v="6"/>
    <n v="423595.625"/>
    <n v="0.90947026014328003"/>
    <n v="1.2999999999999999E-2"/>
    <n v="2.2043693725134301"/>
    <n v="2.4237948937067482"/>
    <n v="5.0966665245617297E-3"/>
    <n v="-3.7975258231162999E-3"/>
    <n v="1.5550814568996E-3"/>
    <n v="-1.3257128745317E-3"/>
    <n v="-7.4524842202662997E-3"/>
    <b v="0"/>
    <b v="0"/>
    <b v="0"/>
    <b v="1"/>
  </r>
  <r>
    <x v="54"/>
    <x v="7"/>
    <n v="426279.59375"/>
    <n v="0.91079175472259499"/>
    <n v="1.2999999999999999E-2"/>
    <n v="2.3143835007556199"/>
    <n v="2.5410676905617406"/>
    <n v="4.9907302112779502E-2"/>
    <n v="-1.3257128745317E-3"/>
    <n v="-7.4524842202662997E-3"/>
    <n v="-6.6050302088260697E-3"/>
    <n v="-8.6130537092685699E-3"/>
    <b v="0"/>
    <b v="1"/>
    <b v="0"/>
    <b v="1"/>
  </r>
  <r>
    <x v="54"/>
    <x v="8"/>
    <n v="428848.59375"/>
    <n v="0.91894865036010698"/>
    <n v="8.0000000000000002E-3"/>
    <n v="2.0588452400175301"/>
    <n v="2.2404355664603606"/>
    <n v="-0.110413101655218"/>
    <n v="-6.6050302088260697E-3"/>
    <n v="-8.6130537092685699E-3"/>
    <n v="4.3789116829633698E-2"/>
    <n v="1.3525664806366E-2"/>
    <b v="0"/>
    <b v="0"/>
    <b v="0"/>
    <b v="0"/>
  </r>
  <r>
    <x v="54"/>
    <x v="9"/>
    <n v="431438.125"/>
    <n v="0.92536038160324097"/>
    <n v="2.1000000000000001E-2"/>
    <n v="2.2324162318340499"/>
    <n v="2.4124830457580844"/>
    <n v="8.4305021301673805E-2"/>
    <n v="4.3789116829633698E-2"/>
    <n v="1.3525664806366E-2"/>
    <n v="1.7124230310320801E-2"/>
    <n v="3.9706733077764901E-3"/>
    <b v="0"/>
    <b v="0"/>
    <b v="0"/>
    <b v="0"/>
  </r>
  <r>
    <x v="54"/>
    <x v="10"/>
    <n v="434042.3125"/>
    <n v="0.91614413261413596"/>
    <n v="0.01"/>
    <n v="2.2177232210631299"/>
    <n v="2.4207143200656143"/>
    <n v="-6.5816627568843003E-3"/>
    <n v="1.7124230310320801E-2"/>
    <n v="3.9706733077764901E-3"/>
    <n v="2.7243101000785901E-3"/>
    <n v="-6.5263360738698694E-5"/>
    <b v="1"/>
    <b v="0"/>
    <b v="1"/>
    <b v="0"/>
  </r>
  <r>
    <x v="54"/>
    <x v="11"/>
    <n v="437269.59375"/>
    <n v="0.92177009582519498"/>
    <n v="1.7000000000000001E-2"/>
    <n v="2.2588728830488498"/>
    <n v="2.4505816507603688"/>
    <n v="1.8554913252878301E-2"/>
    <n v="2.7243101000785901E-3"/>
    <n v="-6.5263360738698694E-5"/>
    <n v="1.18974225819111E-2"/>
    <n v="2.7623996138573001E-3"/>
    <b v="0"/>
    <b v="1"/>
    <b v="0"/>
    <b v="0"/>
  </r>
  <r>
    <x v="54"/>
    <x v="12"/>
    <n v="441337.875"/>
    <n v="0.92204183340072599"/>
    <n v="1.9E-2"/>
    <n v="2.1488070276116198"/>
    <n v="2.3304875655004396"/>
    <n v="-4.8726006790017998E-2"/>
    <n v="1.18974225819111E-2"/>
    <n v="2.7623996138573001E-3"/>
    <n v="1.9260651588439901E-2"/>
    <n v="1.45945698022839E-3"/>
    <b v="1"/>
    <b v="0"/>
    <b v="1"/>
    <b v="0"/>
  </r>
  <r>
    <x v="54"/>
    <x v="13"/>
    <n v="445638.875"/>
    <n v="0.93992632627487205"/>
    <n v="0"/>
    <n v="2.0954451345755598"/>
    <n v="2.2293716815872737"/>
    <n v="-2.4833264388272599E-2"/>
    <n v="1.9260651588439901E-2"/>
    <n v="1.45945698022839E-3"/>
    <n v="1.8534636229276698E-2"/>
    <n v="-3.14554199576301E-4"/>
    <b v="1"/>
    <b v="0"/>
    <b v="1"/>
    <b v="0"/>
  </r>
  <r>
    <x v="54"/>
    <x v="14"/>
    <n v="449419.59375"/>
    <n v="0.95081615447998002"/>
    <n v="1.0999999999999999E-2"/>
    <n v="2.1058680367766298"/>
    <n v="2.2148004394481182"/>
    <n v="4.9740754501680596E-3"/>
    <n v="1.8534636229276698E-2"/>
    <n v="-3.14554199576301E-4"/>
    <n v="8.2126280546187994E-2"/>
    <n v="3.8536667823790997E-2"/>
    <b v="0"/>
    <b v="1"/>
    <b v="0"/>
    <b v="0"/>
  </r>
  <r>
    <x v="54"/>
    <x v="15"/>
    <n v="452563.5"/>
    <n v="0.95882838964462302"/>
    <n v="8.0000000000000002E-3"/>
    <n v="2.1644831050033102"/>
    <n v="2.2574249243971041"/>
    <n v="2.7834160167223201E-2"/>
    <n v="8.2126280546187994E-2"/>
    <n v="3.8536667823790997E-2"/>
    <n v="-2.0672084689140301E-2"/>
    <n v="1.143142208457E-2"/>
    <b v="0"/>
    <b v="0"/>
    <b v="0"/>
    <b v="0"/>
  </r>
  <r>
    <x v="54"/>
    <x v="16"/>
    <n v="455849.21875"/>
    <n v="0.93635594844818104"/>
    <n v="3.1E-2"/>
    <n v="2.0734545917069398"/>
    <n v="2.2143871624282068"/>
    <n v="-4.2055543462525102E-2"/>
    <n v="-2.0672084689140301E-2"/>
    <n v="1.1910125613212599E-2"/>
    <n v="-3.15743692070245E-2"/>
    <n v="-1.2015441432595199E-2"/>
    <b v="1"/>
    <b v="0"/>
    <b v="0"/>
    <b v="0"/>
  </r>
  <r>
    <x v="55"/>
    <x v="0"/>
    <n v="886829.75"/>
    <n v="0.94924426078796398"/>
    <n v="1.4999999999999999E-2"/>
    <n v="2.86588407806759"/>
    <n v="3.0191218387653254"/>
    <n v="-5.7356422449087903E-2"/>
    <n v="1.93183213770389E-2"/>
    <n v="1.2955281883478199E-2"/>
    <n v="1.17808721065521E-2"/>
    <n v="1.2702628038823599E-2"/>
    <b v="1"/>
    <b v="0"/>
    <b v="1"/>
    <b v="0"/>
  </r>
  <r>
    <x v="55"/>
    <x v="1"/>
    <n v="899351.3125"/>
    <n v="0.94801878929138195"/>
    <n v="1.0999999999999999E-2"/>
    <n v="2.94505841490369"/>
    <n v="3.1065401320843447"/>
    <n v="2.7626496633975501E-2"/>
    <n v="1.17808721065521E-2"/>
    <n v="1.2702628038823599E-2"/>
    <n v="-2.8140864625573098E-2"/>
    <n v="1.3699396513402399E-3"/>
    <b v="0"/>
    <b v="0"/>
    <b v="0"/>
    <b v="0"/>
  </r>
  <r>
    <x v="55"/>
    <x v="2"/>
    <n v="912630.6875"/>
    <n v="0.94012570381164595"/>
    <n v="4.0000000000000001E-3"/>
    <n v="3.00931298302846"/>
    <n v="3.2009687330401673"/>
    <n v="2.18177567547072E-2"/>
    <n v="-2.8140864625573098E-2"/>
    <n v="1.3699396513402399E-3"/>
    <n v="-4.69878061711788E-2"/>
    <n v="-2.0421104505658101E-2"/>
    <b v="0"/>
    <b v="0"/>
    <b v="0"/>
    <b v="1"/>
  </r>
  <r>
    <x v="55"/>
    <x v="3"/>
    <n v="924220.6875"/>
    <n v="0.927881360054016"/>
    <n v="1.2E-2"/>
    <n v="3.1249560811074502"/>
    <n v="3.367840130903732"/>
    <n v="3.8428404998476502E-2"/>
    <n v="-4.69878061711788E-2"/>
    <n v="-2.0421104505658101E-2"/>
    <n v="-9.4560079127550094E-3"/>
    <n v="4.1008461266755998E-6"/>
    <b v="0"/>
    <b v="1"/>
    <b v="0"/>
    <b v="1"/>
  </r>
  <r>
    <x v="55"/>
    <x v="4"/>
    <n v="934254.25"/>
    <n v="0.93907469511032104"/>
    <n v="3.0000000000000001E-3"/>
    <n v="3.1623180865227098"/>
    <n v="3.3674830159822435"/>
    <n v="1.19560097631893E-2"/>
    <n v="-9.4560079127550094E-3"/>
    <n v="4.1008461266755998E-6"/>
    <n v="-2.5917763233184801E-2"/>
    <n v="-4.6339887194335096E-3"/>
    <b v="0"/>
    <b v="0"/>
    <b v="0"/>
    <b v="1"/>
  </r>
  <r>
    <x v="55"/>
    <x v="5"/>
    <n v="941736.1875"/>
    <n v="0.93792682886123702"/>
    <n v="5.0000000000000001E-3"/>
    <n v="3.0325786221525401"/>
    <n v="3.2332784699574892"/>
    <n v="-4.1026696499351201E-2"/>
    <n v="-2.5917763233184801E-2"/>
    <n v="-4.6339887194335096E-3"/>
    <n v="-1.3787062190472999E-2"/>
    <n v="-8.3488561213016805E-3"/>
    <b v="0"/>
    <b v="0"/>
    <b v="0"/>
    <b v="0"/>
  </r>
  <r>
    <x v="55"/>
    <x v="6"/>
    <n v="948364.0625"/>
    <n v="0.93802696466445901"/>
    <n v="4.0000000000000001E-3"/>
    <n v="3.1536400051317801"/>
    <n v="3.3619929105767943"/>
    <n v="3.99202784372715E-2"/>
    <n v="-1.3787062190472999E-2"/>
    <n v="-8.4344549104571793E-3"/>
    <n v="2.5068061798810999E-3"/>
    <n v="-3.6199651658534999E-3"/>
    <b v="0"/>
    <b v="1"/>
    <b v="0"/>
    <b v="1"/>
  </r>
  <r>
    <x v="55"/>
    <x v="7"/>
    <n v="956009.1875"/>
    <n v="0.94481688737869296"/>
    <n v="3.0000000000000001E-3"/>
    <n v="3.14040425683879"/>
    <n v="3.323823164879653"/>
    <n v="-4.1969750102903696E-3"/>
    <n v="2.5068061798810999E-3"/>
    <n v="-3.6199651658534999E-3"/>
    <n v="-1.8565237373114E-3"/>
    <n v="-3.8645472377539002E-3"/>
    <b v="0"/>
    <b v="0"/>
    <b v="1"/>
    <b v="0"/>
  </r>
  <r>
    <x v="55"/>
    <x v="8"/>
    <n v="965783.0625"/>
    <n v="0.94730979204177901"/>
    <n v="4.0000000000000001E-3"/>
    <n v="3.1188429763550798"/>
    <n v="3.2923157794377893"/>
    <n v="-6.8657659079272102E-3"/>
    <n v="-1.8565237373114E-3"/>
    <n v="-3.8645472377539002E-3"/>
    <n v="3.9636338293552398E-2"/>
    <n v="9.3728862702846995E-3"/>
    <b v="0"/>
    <b v="0"/>
    <b v="0"/>
    <b v="0"/>
  </r>
  <r>
    <x v="55"/>
    <x v="9"/>
    <n v="974936.25"/>
    <n v="0.95606702566146895"/>
    <n v="5.0000000000000001E-3"/>
    <n v="3.0635153969365598"/>
    <n v="3.204289359124191"/>
    <n v="-1.7739777166718099E-2"/>
    <n v="3.9636338293552398E-2"/>
    <n v="9.3728862702846995E-3"/>
    <n v="4.2116888135671597E-2"/>
    <n v="2.8963331133127199E-2"/>
    <b v="1"/>
    <b v="0"/>
    <b v="1"/>
    <b v="0"/>
  </r>
  <r>
    <x v="55"/>
    <x v="10"/>
    <n v="983397.25"/>
    <n v="0.95970648527145397"/>
    <n v="3.0000000000000001E-3"/>
    <n v="2.9816581383152099"/>
    <n v="3.1068437945085314"/>
    <n v="-2.6720041525889599E-2"/>
    <n v="4.2116888135671597E-2"/>
    <n v="2.8963331133127199E-2"/>
    <n v="2.4443657785654101E-2"/>
    <n v="2.16540843248368E-2"/>
    <b v="1"/>
    <b v="0"/>
    <b v="1"/>
    <b v="0"/>
  </r>
  <r>
    <x v="55"/>
    <x v="11"/>
    <n v="992144.25"/>
    <n v="0.96135425567626998"/>
    <n v="8.9999999999999993E-3"/>
    <n v="2.92434258646511"/>
    <n v="3.041899038984297"/>
    <n v="-1.9222710717091598E-2"/>
    <n v="2.4443657785654101E-2"/>
    <n v="2.16540843248368E-2"/>
    <n v="2.8415542304515699E-2"/>
    <n v="1.9280519336462E-2"/>
    <b v="1"/>
    <b v="0"/>
    <b v="1"/>
    <b v="0"/>
  </r>
  <r>
    <x v="55"/>
    <x v="12"/>
    <n v="999450.5"/>
    <n v="0.96746164560318004"/>
    <n v="0"/>
    <n v="2.91732559771674"/>
    <n v="3.0154431557830748"/>
    <n v="-2.3995098183262498E-3"/>
    <n v="2.8415542304515699E-2"/>
    <n v="1.9280519336462E-2"/>
    <n v="3.4452713251113903E-2"/>
    <n v="1.6651518642902399E-2"/>
    <b v="1"/>
    <b v="0"/>
    <b v="1"/>
    <b v="0"/>
  </r>
  <r>
    <x v="55"/>
    <x v="13"/>
    <n v="1006304"/>
    <n v="0.97159385681152299"/>
    <n v="1.2E-2"/>
    <n v="2.88438039078232"/>
    <n v="2.9687099918972146"/>
    <n v="-1.12929482263514E-2"/>
    <n v="3.4452713251113903E-2"/>
    <n v="1.6651518642902399E-2"/>
    <n v="4.7800241142511399E-2"/>
    <n v="2.8951050713658399E-2"/>
    <b v="1"/>
    <b v="0"/>
    <b v="1"/>
    <b v="0"/>
  </r>
  <r>
    <x v="55"/>
    <x v="14"/>
    <n v="1010398"/>
    <n v="0.98050081729888905"/>
    <n v="1.2E-2"/>
    <n v="2.7681944326451999"/>
    <n v="2.8232454107188802"/>
    <n v="-4.0281080300094002E-2"/>
    <n v="4.7800241142511399E-2"/>
    <n v="2.8951050713658399E-2"/>
    <n v="6.1124509453772999E-2"/>
    <n v="1.7534896731375999E-2"/>
    <b v="1"/>
    <b v="0"/>
    <b v="1"/>
    <b v="0"/>
  </r>
  <r>
    <x v="55"/>
    <x v="15"/>
    <n v="1013711"/>
    <n v="0.97640389204025302"/>
    <n v="8.0000000000000002E-3"/>
    <n v="2.8860871472954899"/>
    <n v="2.9558333091696736"/>
    <n v="4.2588307114552602E-2"/>
    <n v="6.1124509453772999E-2"/>
    <n v="1.7534896731375999E-2"/>
    <n v="-3.06905637681484E-2"/>
    <n v="1.41294300556189E-3"/>
    <b v="0"/>
    <b v="0"/>
    <b v="0"/>
    <b v="0"/>
  </r>
  <r>
    <x v="55"/>
    <x v="16"/>
    <n v="1017621"/>
    <n v="0.96039801836013805"/>
    <n v="2.1999999999999999E-2"/>
    <n v="2.8589757492781702"/>
    <n v="2.976865523067008"/>
    <n v="-9.3938251458290205E-3"/>
    <n v="-3.06905637681484E-2"/>
    <n v="1.89164653420449E-3"/>
    <n v="-1.2285549923777599E-2"/>
    <n v="7.2733778506516899E-3"/>
    <b v="1"/>
    <b v="0"/>
    <b v="0"/>
    <b v="0"/>
  </r>
  <r>
    <x v="56"/>
    <x v="0"/>
    <n v="256605.984375"/>
    <n v="0.92360740900039695"/>
    <n v="1.4E-2"/>
    <n v="2.0567524115755602"/>
    <n v="2.2268686798447677"/>
    <n v="-2.1170788230523699E-3"/>
    <n v="3.0446121126413199E-2"/>
    <n v="2.4083081632852499E-2"/>
    <n v="-4.2398952841759003E-3"/>
    <n v="-3.3181393519044E-3"/>
    <b v="1"/>
    <b v="0"/>
    <b v="1"/>
    <b v="0"/>
  </r>
  <r>
    <x v="56"/>
    <x v="1"/>
    <n v="259890.8125"/>
    <n v="0.89010328054428101"/>
    <n v="0.03"/>
    <n v="1.9252609504959799"/>
    <n v="2.1629635488128072"/>
    <n v="-6.3931594459078298E-2"/>
    <n v="-4.2398952841759003E-3"/>
    <n v="-3.3181393519044E-3"/>
    <n v="-5.2739703387021997E-2"/>
    <n v="-2.3228899110108499E-2"/>
    <b v="0"/>
    <b v="0"/>
    <b v="0"/>
    <b v="0"/>
  </r>
  <r>
    <x v="56"/>
    <x v="2"/>
    <n v="262146.40625"/>
    <n v="0.89210200309753396"/>
    <n v="1.4999999999999999E-2"/>
    <n v="1.9699951381010801"/>
    <n v="2.2082622068562934"/>
    <n v="2.3235389256492298E-2"/>
    <n v="-5.2739703387021997E-2"/>
    <n v="-2.3228899110108499E-2"/>
    <n v="-2.7235512346029299E-2"/>
    <n v="-6.6881068050864796E-4"/>
    <b v="0"/>
    <b v="1"/>
    <b v="0"/>
    <b v="1"/>
  </r>
  <r>
    <x v="56"/>
    <x v="3"/>
    <n v="263830.40625"/>
    <n v="0.90274965763091997"/>
    <n v="8.0000000000000002E-3"/>
    <n v="2.1082911111629898"/>
    <n v="2.3354105906788871"/>
    <n v="7.0201174808594696E-2"/>
    <n v="-2.7235512346029299E-2"/>
    <n v="-6.6881068050864796E-4"/>
    <n v="-9.4642096050083606E-3"/>
    <n v="-4.1008461266755998E-6"/>
    <b v="0"/>
    <b v="1"/>
    <b v="0"/>
    <b v="1"/>
  </r>
  <r>
    <x v="56"/>
    <x v="4"/>
    <n v="265532.8125"/>
    <n v="0.91295975446701005"/>
    <n v="0"/>
    <n v="2.14718986014819"/>
    <n v="2.3518997958477685"/>
    <n v="1.84503690117707E-2"/>
    <n v="-9.4642096050083606E-3"/>
    <n v="-4.1008461266755998E-6"/>
    <n v="-2.2566203370690301E-2"/>
    <n v="-1.2824288569390401E-3"/>
    <b v="0"/>
    <b v="1"/>
    <b v="0"/>
    <b v="1"/>
  </r>
  <r>
    <x v="56"/>
    <x v="5"/>
    <n v="268250.625"/>
    <n v="0.91470247507095304"/>
    <n v="0"/>
    <n v="2.13197442710063"/>
    <n v="2.3307845831894722"/>
    <n v="-7.0862075729574503E-3"/>
    <n v="-2.2566203370690301E-2"/>
    <n v="-1.2824288569390401E-3"/>
    <n v="-2.1922572553158002E-3"/>
    <n v="3.2459488138555899E-3"/>
    <b v="0"/>
    <b v="0"/>
    <b v="0"/>
    <b v="0"/>
  </r>
  <r>
    <x v="56"/>
    <x v="6"/>
    <n v="270418.5"/>
    <n v="0.924921214580536"/>
    <n v="0"/>
    <n v="2.1311318438497402"/>
    <n v="2.3041225676894399"/>
    <n v="-3.9521264428783498E-4"/>
    <n v="-2.1922572553158002E-3"/>
    <n v="3.1603500247000902E-3"/>
    <n v="1.06209541112185E-2"/>
    <n v="4.4941827654838996E-3"/>
    <b v="1"/>
    <b v="0"/>
    <b v="0"/>
    <b v="0"/>
  </r>
  <r>
    <x v="56"/>
    <x v="7"/>
    <n v="272586.6875"/>
    <n v="0.94144147634506203"/>
    <n v="0"/>
    <n v="2.0140630938806501"/>
    <n v="2.1393396663378419"/>
    <n v="-5.4932664211713902E-2"/>
    <n v="1.06209541112185E-2"/>
    <n v="4.4941827654838996E-3"/>
    <n v="-4.7434458360075997E-3"/>
    <n v="-6.7514693364500999E-3"/>
    <b v="1"/>
    <b v="0"/>
    <b v="1"/>
    <b v="0"/>
  </r>
  <r>
    <x v="56"/>
    <x v="8"/>
    <n v="276560.90625"/>
    <n v="0.93478816747665405"/>
    <n v="2E-3"/>
    <n v="2.1004604527067698"/>
    <n v="2.2469908432588586"/>
    <n v="4.28970468147803E-2"/>
    <n v="-4.7434458360075997E-3"/>
    <n v="-6.7514693364500999E-3"/>
    <n v="4.18556054830551E-2"/>
    <n v="1.15921534597874E-2"/>
    <b v="0"/>
    <b v="1"/>
    <b v="0"/>
    <b v="1"/>
  </r>
  <r>
    <x v="56"/>
    <x v="9"/>
    <n v="281472.09375"/>
    <n v="0.95429813861846902"/>
    <n v="-1.4999999999999999E-2"/>
    <n v="2.1447294598173201"/>
    <n v="2.2474417302356162"/>
    <n v="2.10758584164248E-2"/>
    <n v="4.18556054830551E-2"/>
    <n v="1.15921534597874E-2"/>
    <n v="3.4089371830225E-2"/>
    <n v="2.0935814827680602E-2"/>
    <b v="0"/>
    <b v="0"/>
    <b v="0"/>
    <b v="0"/>
  </r>
  <r>
    <x v="56"/>
    <x v="10"/>
    <n v="286653.1875"/>
    <n v="0.94940412044525102"/>
    <n v="1.2E-2"/>
    <n v="1.98216010964567"/>
    <n v="2.087793877191177"/>
    <n v="-7.5799467120433006E-2"/>
    <n v="3.4089371830225E-2"/>
    <n v="2.0935814827680602E-2"/>
    <n v="2.2352026492357301E-2"/>
    <n v="1.956245303154E-2"/>
    <b v="1"/>
    <b v="0"/>
    <b v="1"/>
    <b v="0"/>
  </r>
  <r>
    <x v="56"/>
    <x v="11"/>
    <n v="290058.28125"/>
    <n v="0.95911252498626698"/>
    <n v="-1E-3"/>
    <n v="1.8483102033288701"/>
    <n v="1.9271046464077144"/>
    <n v="-6.7527292909110206E-2"/>
    <n v="2.2352026492357301E-2"/>
    <n v="1.956245303154E-2"/>
    <n v="1.67529808580874E-2"/>
    <n v="7.6179578900337002E-3"/>
    <b v="1"/>
    <b v="0"/>
    <b v="1"/>
    <b v="0"/>
  </r>
  <r>
    <x v="56"/>
    <x v="12"/>
    <n v="293142.6875"/>
    <n v="0.95114237070083596"/>
    <n v="8.9999999999999993E-3"/>
    <n v="1.9720237784846399"/>
    <n v="2.0733213441344032"/>
    <n v="6.6933339940965494E-2"/>
    <n v="1.67529808580874E-2"/>
    <n v="7.6179578900337002E-3"/>
    <n v="3.4711859345436101E-2"/>
    <n v="1.69106647372246E-2"/>
    <b v="0"/>
    <b v="0"/>
    <b v="0"/>
    <b v="0"/>
  </r>
  <r>
    <x v="56"/>
    <x v="13"/>
    <n v="294829.8125"/>
    <n v="0.95551621913909901"/>
    <n v="0.01"/>
    <n v="1.8503281439160599"/>
    <n v="1.9364696347940265"/>
    <n v="-6.1711038120490697E-2"/>
    <n v="3.4711859345436101E-2"/>
    <n v="1.69106647372246E-2"/>
    <n v="7.4030757993460003E-3"/>
    <n v="-1.14461146295069E-2"/>
    <b v="1"/>
    <b v="0"/>
    <b v="1"/>
    <b v="0"/>
  </r>
  <r>
    <x v="56"/>
    <x v="14"/>
    <n v="298235.40625"/>
    <n v="0.92275005578994795"/>
    <n v="2.1000000000000001E-2"/>
    <n v="1.80817941952506"/>
    <n v="1.959554928422208"/>
    <n v="-2.27790538286862E-2"/>
    <n v="7.4030757993460003E-3"/>
    <n v="-1.14461146295069E-2"/>
    <n v="6.4618518829345994E-2"/>
    <n v="2.1028906106949002E-2"/>
    <b v="0"/>
    <b v="0"/>
    <b v="1"/>
    <b v="0"/>
  </r>
  <r>
    <x v="56"/>
    <x v="15"/>
    <n v="301021.90625"/>
    <n v="0.96002328395843495"/>
    <n v="1.9E-2"/>
    <n v="2.0440094671528102"/>
    <n v="2.1291248882264688"/>
    <n v="0.13042403042597001"/>
    <n v="6.4618518829345994E-2"/>
    <n v="2.1028906106949002E-2"/>
    <n v="-1.6821915209293301E-2"/>
    <n v="1.5281591564416899E-2"/>
    <b v="0"/>
    <b v="0"/>
    <b v="0"/>
    <b v="0"/>
  </r>
  <r>
    <x v="56"/>
    <x v="16"/>
    <n v="305320"/>
    <n v="0.93703460693359397"/>
    <n v="1.7999999999999999E-2"/>
    <n v="2.1297992853341401"/>
    <n v="2.2729142227775534"/>
    <n v="4.1971340915962697E-2"/>
    <n v="-1.6821915209293301E-2"/>
    <n v="1.5760295093059502E-2"/>
    <n v="-2.4270820230245599E-2"/>
    <n v="-4.7118924558163001E-3"/>
    <b v="0"/>
    <b v="0"/>
    <b v="0"/>
    <b v="1"/>
  </r>
  <r>
    <x v="57"/>
    <x v="0"/>
    <n v="977813.1875"/>
    <n v="0.94258314371108998"/>
    <n v="2.9000000000000001E-2"/>
    <n v="2.19964339959057"/>
    <n v="2.333633286640632"/>
    <n v="-5.3675284473172404E-3"/>
    <n v="-1.41744412183762E-2"/>
    <n v="-2.0537480711936999E-2"/>
    <n v="-4.3683172166348004E-3"/>
    <n v="-3.4465612843632902E-3"/>
    <b v="0"/>
    <b v="0"/>
    <b v="0"/>
    <b v="0"/>
  </r>
  <r>
    <x v="57"/>
    <x v="1"/>
    <n v="982366.5"/>
    <n v="0.95147949457168601"/>
    <n v="0"/>
    <n v="2.2172843115756602"/>
    <n v="2.3303542790207827"/>
    <n v="8.0198963106375507E-3"/>
    <n v="-4.3683172166348004E-3"/>
    <n v="-3.4465612843632902E-3"/>
    <n v="-2.6478362560272199E-2"/>
    <n v="3.0324417166411998E-3"/>
    <b v="0"/>
    <b v="1"/>
    <b v="0"/>
    <b v="1"/>
  </r>
  <r>
    <x v="57"/>
    <x v="2"/>
    <n v="985284.4375"/>
    <n v="0.94281435012817405"/>
    <n v="6.0000000000000001E-3"/>
    <n v="2.2243842613665099"/>
    <n v="2.3593025085629091"/>
    <n v="3.2020926471986099E-3"/>
    <n v="-2.6478362560272199E-2"/>
    <n v="3.0324417166411998E-3"/>
    <n v="-1.5606588408350899E-2"/>
    <n v="1.0960113257169699E-2"/>
    <b v="0"/>
    <b v="0"/>
    <b v="0"/>
    <b v="1"/>
  </r>
  <r>
    <x v="57"/>
    <x v="3"/>
    <n v="987937.375"/>
    <n v="0.93702340126037598"/>
    <n v="0"/>
    <n v="2.2504638687282998"/>
    <n v="2.4017157583270974"/>
    <n v="1.17244164215467E-2"/>
    <n v="-1.5606588408350899E-2"/>
    <n v="1.0960113257169699E-2"/>
    <n v="-1.38430322371423E-2"/>
    <n v="-4.3829234782606303E-3"/>
    <b v="0"/>
    <b v="0"/>
    <b v="0"/>
    <b v="1"/>
  </r>
  <r>
    <x v="57"/>
    <x v="4"/>
    <n v="991859.6875"/>
    <n v="0.94368165731430098"/>
    <n v="2E-3"/>
    <n v="2.3916448473035898"/>
    <n v="2.5343767453424526"/>
    <n v="6.2734168069567595E-2"/>
    <n v="-1.38430322371423E-2"/>
    <n v="-4.3829234782606303E-3"/>
    <n v="-1.4771771028637901E-2"/>
    <n v="6.5120034851133997E-3"/>
    <b v="0"/>
    <b v="1"/>
    <b v="0"/>
    <b v="1"/>
  </r>
  <r>
    <x v="57"/>
    <x v="5"/>
    <n v="1001180"/>
    <n v="0.95148879289627097"/>
    <n v="1E-3"/>
    <n v="2.3149266609145802"/>
    <n v="2.4329521043207367"/>
    <n v="-3.2077583122556402E-2"/>
    <n v="-1.4771771028637901E-2"/>
    <n v="6.5120034851133997E-3"/>
    <n v="-2.4076684415339999E-3"/>
    <n v="3.0305376276373898E-3"/>
    <b v="1"/>
    <b v="0"/>
    <b v="0"/>
    <b v="0"/>
  </r>
  <r>
    <x v="57"/>
    <x v="6"/>
    <n v="1013204"/>
    <n v="0.95594286918640103"/>
    <n v="2E-3"/>
    <n v="2.3321165140274198"/>
    <n v="2.4395982115670516"/>
    <n v="7.4256577554161797E-3"/>
    <n v="-2.4076684415339999E-3"/>
    <n v="2.9449388384818901E-3"/>
    <n v="8.4056189656257999E-3"/>
    <n v="2.2788476198912001E-3"/>
    <b v="0"/>
    <b v="0"/>
    <b v="0"/>
    <b v="1"/>
  </r>
  <r>
    <x v="57"/>
    <x v="7"/>
    <n v="1025156"/>
    <n v="0.96086901426315297"/>
    <n v="2E-3"/>
    <n v="2.31550849036954"/>
    <n v="2.4098065979838039"/>
    <n v="-7.1214382120207004E-3"/>
    <n v="8.4056189656257999E-3"/>
    <n v="2.2788476198912001E-3"/>
    <n v="1.16786498725414E-2"/>
    <n v="9.6706263720988898E-3"/>
    <b v="1"/>
    <b v="0"/>
    <b v="1"/>
    <b v="0"/>
  </r>
  <r>
    <x v="57"/>
    <x v="8"/>
    <n v="1036115"/>
    <n v="0.96154409646987904"/>
    <n v="3.0000000000000001E-3"/>
    <n v="2.31378249145423"/>
    <n v="2.4063196892881247"/>
    <n v="-7.4540815656122398E-4"/>
    <n v="1.16786498725414E-2"/>
    <n v="9.6706263720988898E-3"/>
    <n v="5.4128216743469099E-2"/>
    <n v="2.3864764720201499E-2"/>
    <b v="1"/>
    <b v="0"/>
    <b v="1"/>
    <b v="0"/>
  </r>
  <r>
    <x v="57"/>
    <x v="9"/>
    <n v="1045863.0625"/>
    <n v="0.95954269170761097"/>
    <n v="1.4999999999999999E-2"/>
    <n v="2.2940112029440698"/>
    <n v="2.3907338597531562"/>
    <n v="-8.5450073994339203E-3"/>
    <n v="5.4128216743469099E-2"/>
    <n v="2.3864764720201499E-2"/>
    <n v="1.91309491991997E-2"/>
    <n v="5.9773921966552899E-3"/>
    <b v="1"/>
    <b v="0"/>
    <b v="1"/>
    <b v="0"/>
  </r>
  <r>
    <x v="57"/>
    <x v="10"/>
    <n v="1056563"/>
    <n v="0.94877904653549205"/>
    <n v="2.1000000000000001E-2"/>
    <n v="2.4062041134853702"/>
    <n v="2.5361058744622671"/>
    <n v="4.8906871246884198E-2"/>
    <n v="1.91309491991997E-2"/>
    <n v="5.9773921966552899E-3"/>
    <n v="1.3179642796516299E-2"/>
    <n v="1.0390069335699E-2"/>
    <b v="0"/>
    <b v="0"/>
    <b v="0"/>
    <b v="0"/>
  </r>
  <r>
    <x v="57"/>
    <x v="11"/>
    <n v="1066299"/>
    <n v="0.942049980163574"/>
    <n v="2.8000000000000001E-2"/>
    <n v="2.2978761006746899"/>
    <n v="2.4392294984982597"/>
    <n v="-4.5020292419732003E-2"/>
    <n v="1.3179642796516299E-2"/>
    <n v="1.0390069335699E-2"/>
    <n v="1.1213451832532801E-2"/>
    <n v="2.0784288644790901E-3"/>
    <b v="1"/>
    <b v="0"/>
    <b v="1"/>
    <b v="0"/>
  </r>
  <r>
    <x v="57"/>
    <x v="12"/>
    <n v="1073972"/>
    <n v="0.92614066600799605"/>
    <n v="4.4999999999999998E-2"/>
    <n v="2.25827686765588"/>
    <n v="2.4383735112182006"/>
    <n v="-1.7232971354366799E-2"/>
    <n v="1.1213451832532801E-2"/>
    <n v="2.0784288644790901E-3"/>
    <n v="2.5620999902486799E-2"/>
    <n v="7.8198052942752908E-3"/>
    <b v="1"/>
    <b v="0"/>
    <b v="1"/>
    <b v="0"/>
  </r>
  <r>
    <x v="57"/>
    <x v="13"/>
    <n v="1079943"/>
    <n v="0.94038897752761796"/>
    <n v="2.4E-2"/>
    <n v="2.2690140564647701"/>
    <n v="2.4128462909361699"/>
    <n v="4.75459362962731E-3"/>
    <n v="2.5620999902486799E-2"/>
    <n v="7.8198052942752908E-3"/>
    <n v="3.56483292877674E-2"/>
    <n v="1.67991388589144E-2"/>
    <b v="0"/>
    <b v="0"/>
    <b v="0"/>
    <b v="0"/>
  </r>
  <r>
    <x v="57"/>
    <x v="14"/>
    <n v="1085451"/>
    <n v="0.94891691207885698"/>
    <n v="4.3999999999999997E-2"/>
    <n v="1.96349824738135"/>
    <n v="2.0691993391494945"/>
    <n v="-0.134646944214807"/>
    <n v="3.56483292877674E-2"/>
    <n v="1.67991388589144E-2"/>
    <n v="4.7060063362121499E-2"/>
    <n v="3.4704506397246898E-3"/>
    <b v="1"/>
    <b v="0"/>
    <b v="1"/>
    <b v="0"/>
  </r>
  <r>
    <x v="57"/>
    <x v="15"/>
    <n v="1088602"/>
    <n v="0.963750600814819"/>
    <n v="1.9E-2"/>
    <n v="2.10221394148199"/>
    <n v="2.1812841825516252"/>
    <n v="7.0647220737602795E-2"/>
    <n v="4.7060063362121499E-2"/>
    <n v="3.4704506397246898E-3"/>
    <n v="-1.9781550318002699E-2"/>
    <n v="1.23219564557075E-2"/>
    <b v="0"/>
    <b v="0"/>
    <b v="0"/>
    <b v="0"/>
  </r>
  <r>
    <x v="57"/>
    <x v="16"/>
    <n v="1093864"/>
    <n v="0.95666748285293601"/>
    <n v="2.1000000000000001E-2"/>
    <n v="2.1159496177537398"/>
    <n v="2.211792138521985"/>
    <n v="6.5339097989534399E-3"/>
    <n v="-1.9781550318002699E-2"/>
    <n v="1.28006599843501E-2"/>
    <n v="-4.9173410832881997E-3"/>
    <n v="1.4641586691141101E-2"/>
    <b v="0"/>
    <b v="0"/>
    <b v="0"/>
    <b v="1"/>
  </r>
  <r>
    <x v="58"/>
    <x v="0"/>
    <n v="232437.1875"/>
    <n v="0.94693052768707298"/>
    <n v="5.0000000000000001E-3"/>
    <n v="2.5130782169890602"/>
    <n v="2.6539203706183012"/>
    <n v="1.96196387811923E-2"/>
    <n v="8.3232276439667002E-3"/>
    <n v="1.9601881504058998E-3"/>
    <n v="7.3430939614772903E-3"/>
    <n v="8.2648498937488001E-3"/>
    <b v="0"/>
    <b v="0"/>
    <b v="0"/>
    <b v="0"/>
  </r>
  <r>
    <x v="58"/>
    <x v="1"/>
    <n v="239127.90625"/>
    <n v="0.931537926197052"/>
    <n v="2.9000000000000001E-2"/>
    <n v="2.52175798186834"/>
    <n v="2.7070910490604141"/>
    <n v="3.4538379349295699E-3"/>
    <n v="7.3430939614772903E-3"/>
    <n v="8.2648498937488001E-3"/>
    <n v="-2.43249659538269E-2"/>
    <n v="5.1858383230865002E-3"/>
    <b v="0"/>
    <b v="0"/>
    <b v="0"/>
    <b v="0"/>
  </r>
  <r>
    <x v="58"/>
    <x v="2"/>
    <n v="244640.109375"/>
    <n v="0.93236505985259999"/>
    <n v="1E-3"/>
    <n v="2.6143918943904101"/>
    <n v="2.8040431875511573"/>
    <n v="3.6733863117758503E-2"/>
    <n v="-2.43249659538269E-2"/>
    <n v="5.1858383230865002E-3"/>
    <n v="-3.09654331803321E-2"/>
    <n v="-4.3987315148115401E-3"/>
    <b v="0"/>
    <b v="0"/>
    <b v="0"/>
    <b v="1"/>
  </r>
  <r>
    <x v="58"/>
    <x v="3"/>
    <n v="249700.1875"/>
    <n v="0.92444586753845204"/>
    <n v="0"/>
    <n v="2.8382427727574999"/>
    <n v="3.0702098115436098"/>
    <n v="8.5622541458835105E-2"/>
    <n v="-3.09654331803321E-2"/>
    <n v="-4.3987315148115401E-3"/>
    <n v="-1.5489391047973099E-2"/>
    <n v="-6.0292822890915003E-3"/>
    <b v="0"/>
    <b v="1"/>
    <b v="0"/>
    <b v="1"/>
  </r>
  <r>
    <x v="58"/>
    <x v="4"/>
    <n v="255259.796875"/>
    <n v="0.92832183837890603"/>
    <n v="0"/>
    <n v="2.3812625250500998"/>
    <n v="2.5651260442266555"/>
    <n v="-0.16100816043421801"/>
    <n v="-1.5489391047973099E-2"/>
    <n v="-6.0292822890915003E-3"/>
    <n v="-2.1353279583156099E-2"/>
    <n v="-6.9505069404802305E-5"/>
    <b v="0"/>
    <b v="0"/>
    <b v="0"/>
    <b v="0"/>
  </r>
  <r>
    <x v="58"/>
    <x v="5"/>
    <n v="259725.3125"/>
    <n v="0.92863762378692605"/>
    <n v="0"/>
    <n v="2.6099217921526998"/>
    <n v="2.8104846554779916"/>
    <n v="9.6024383996801493E-2"/>
    <n v="-2.1353279583156099E-2"/>
    <n v="-6.9505069404802305E-5"/>
    <n v="-4.34253457188606E-2"/>
    <n v="-3.7987139649689201E-2"/>
    <b v="0"/>
    <b v="1"/>
    <b v="0"/>
    <b v="1"/>
  </r>
  <r>
    <x v="58"/>
    <x v="16"/>
    <n v="352947.59375"/>
    <n v="0.90655684471130404"/>
    <n v="4.2999999999999997E-2"/>
    <n v="2.3193912340515199"/>
    <n v="2.5584619956072778"/>
    <n v="-0.111317725678493"/>
    <n v="-4.34253457188606E-2"/>
    <n v="-1.08431354165077E-2"/>
    <n v="-4.2110007287934403E-2"/>
    <n v="-2.2551079513505101E-2"/>
    <b v="0"/>
    <b v="0"/>
    <b v="0"/>
    <b v="0"/>
  </r>
  <r>
    <x v="59"/>
    <x v="0"/>
    <n v="692310"/>
    <n v="0.90627610683441195"/>
    <n v="3.0000000000000001E-3"/>
    <n v="2.2533106791264799"/>
    <n v="2.486340158516601"/>
    <n v="-2.6534887365457099E-2"/>
    <n v="3.09369243979454E-2"/>
    <n v="2.4573884904384599E-2"/>
    <n v="-6.0294055342674001E-3"/>
    <n v="-5.1076496019958999E-3"/>
    <b v="1"/>
    <b v="0"/>
    <b v="1"/>
    <b v="0"/>
  </r>
  <r>
    <x v="59"/>
    <x v="1"/>
    <n v="703210.3125"/>
    <n v="0.89224231243133501"/>
    <n v="2.1999999999999999E-2"/>
    <n v="2.1685654820031699"/>
    <n v="2.4304669839002484"/>
    <n v="-3.7609193400777098E-2"/>
    <n v="-6.0294055342674001E-3"/>
    <n v="-5.1076496019958999E-3"/>
    <n v="-5.1640849851071799E-2"/>
    <n v="-2.2130045574158302E-2"/>
    <b v="0"/>
    <b v="0"/>
    <b v="0"/>
    <b v="0"/>
  </r>
  <r>
    <x v="59"/>
    <x v="2"/>
    <n v="713309.5625"/>
    <n v="0.88576263189315796"/>
    <n v="0.03"/>
    <n v="2.2201909901105701"/>
    <n v="2.5065304294507347"/>
    <n v="2.3806294315684901E-2"/>
    <n v="-5.1640849851071799E-2"/>
    <n v="-2.2130045574158302E-2"/>
    <n v="-2.3664424851536799E-2"/>
    <n v="2.90227681398385E-3"/>
    <b v="0"/>
    <b v="1"/>
    <b v="0"/>
    <b v="1"/>
  </r>
  <r>
    <x v="59"/>
    <x v="3"/>
    <n v="720551.875"/>
    <n v="0.89057409763336204"/>
    <n v="8.9999999999999993E-3"/>
    <n v="2.2915388585395302"/>
    <n v="2.57310297327211"/>
    <n v="3.2135914768935299E-2"/>
    <n v="-2.3664424851536799E-2"/>
    <n v="2.90227681398385E-3"/>
    <n v="-1.0528884999453999E-2"/>
    <n v="-1.0687762405723301E-3"/>
    <b v="0"/>
    <b v="0"/>
    <b v="0"/>
    <b v="1"/>
  </r>
  <r>
    <x v="59"/>
    <x v="4"/>
    <n v="726592.25"/>
    <n v="0.90571212768554699"/>
    <n v="0.02"/>
    <n v="2.3345236394800701"/>
    <n v="2.5775559011732594"/>
    <n v="1.87580414708476E-2"/>
    <n v="-1.0528884999453999E-2"/>
    <n v="-1.0687762405723301E-3"/>
    <n v="-2.30772126168012E-2"/>
    <n v="-1.7934381030499599E-3"/>
    <b v="0"/>
    <b v="1"/>
    <b v="0"/>
    <b v="1"/>
  </r>
  <r>
    <x v="59"/>
    <x v="5"/>
    <n v="731621.375"/>
    <n v="0.909112989902496"/>
    <n v="0"/>
    <n v="2.36536192823778"/>
    <n v="2.6018349253721138"/>
    <n v="1.32096708022977E-2"/>
    <n v="-2.30772126168012E-2"/>
    <n v="-1.7934381030499599E-3"/>
    <n v="-1.09913417175412E-2"/>
    <n v="-5.5531356483698004E-3"/>
    <b v="0"/>
    <b v="1"/>
    <b v="0"/>
    <b v="1"/>
  </r>
  <r>
    <x v="59"/>
    <x v="6"/>
    <n v="737147.25"/>
    <n v="0.91128200292587302"/>
    <n v="3.3000000000000002E-2"/>
    <n v="2.25617551314433"/>
    <n v="2.475825821096409"/>
    <n v="-4.6160553186376699E-2"/>
    <n v="-1.09913417175412E-2"/>
    <n v="-5.6387344375253001E-3"/>
    <n v="6.3609766215085902E-3"/>
    <n v="2.3420527577399801E-4"/>
    <b v="0"/>
    <b v="0"/>
    <b v="0"/>
    <b v="0"/>
  </r>
  <r>
    <x v="59"/>
    <x v="7"/>
    <n v="742477.75"/>
    <n v="0.92559224367141701"/>
    <n v="8.9999999999999993E-3"/>
    <n v="2.3040323970360101"/>
    <n v="2.4892520575765933"/>
    <n v="2.12115075324892E-2"/>
    <n v="6.3609766215085902E-3"/>
    <n v="2.3420527577399801E-4"/>
    <n v="1.4907706677914001E-3"/>
    <n v="-5.1725283265110003E-4"/>
    <b v="0"/>
    <b v="0"/>
    <b v="0"/>
    <b v="0"/>
  </r>
  <r>
    <x v="59"/>
    <x v="8"/>
    <n v="748285.375"/>
    <n v="0.90900135040283203"/>
    <n v="3.1E-2"/>
    <n v="2.3079642136654601"/>
    <n v="2.5390107645524016"/>
    <n v="1.7064936389393601E-3"/>
    <n v="1.4907706677914001E-3"/>
    <n v="-5.1725283265110003E-4"/>
    <n v="2.78230273872614E-2"/>
    <n v="-2.4404246360062898E-3"/>
    <b v="0"/>
    <b v="1"/>
    <b v="0"/>
    <b v="0"/>
  </r>
  <r>
    <x v="59"/>
    <x v="9"/>
    <n v="753779.625"/>
    <n v="0.91279125213623002"/>
    <n v="6.0000000000000001E-3"/>
    <n v="2.3018062924537799"/>
    <n v="2.5217225593111245"/>
    <n v="-2.6681181515815899E-3"/>
    <n v="2.78230273872614E-2"/>
    <n v="-2.4404246360062898E-3"/>
    <n v="2.3558616906404501E-2"/>
    <n v="1.0405059903860101E-2"/>
    <b v="0"/>
    <b v="0"/>
    <b v="1"/>
    <b v="0"/>
  </r>
  <r>
    <x v="59"/>
    <x v="10"/>
    <n v="760321.6875"/>
    <n v="0.92735737562179599"/>
    <n v="6.0000000000000001E-3"/>
    <n v="2.29862443882684"/>
    <n v="2.4786824359763195"/>
    <n v="-1.3823290158586001E-3"/>
    <n v="2.3558616906404501E-2"/>
    <n v="1.0405059903860101E-2"/>
    <n v="2.1699887663125901E-3"/>
    <n v="-6.1958469450469904E-4"/>
    <b v="1"/>
    <b v="0"/>
    <b v="1"/>
    <b v="0"/>
  </r>
  <r>
    <x v="59"/>
    <x v="11"/>
    <n v="764189.875"/>
    <n v="0.91078823804855302"/>
    <n v="2.4E-2"/>
    <n v="2.2279705866941399"/>
    <n v="2.4462004378402717"/>
    <n v="-3.0737449293262799E-2"/>
    <n v="2.1699887663125901E-3"/>
    <n v="-6.1958469450469904E-4"/>
    <n v="2.5028608947992199E-2"/>
    <n v="1.58935859799385E-2"/>
    <b v="0"/>
    <b v="0"/>
    <b v="1"/>
    <b v="0"/>
  </r>
  <r>
    <x v="59"/>
    <x v="12"/>
    <n v="769063.75"/>
    <n v="0.93424594402313199"/>
    <n v="1.0999999999999999E-2"/>
    <n v="2.2560111726203398"/>
    <n v="2.4147936494166689"/>
    <n v="1.25857074117881E-2"/>
    <n v="2.5028608947992199E-2"/>
    <n v="1.58935859799385E-2"/>
    <n v="3.1701243638992301E-2"/>
    <n v="1.3900049030780799E-2"/>
    <b v="0"/>
    <b v="0"/>
    <b v="0"/>
    <b v="0"/>
  </r>
  <r>
    <x v="59"/>
    <x v="13"/>
    <n v="774324.8125"/>
    <n v="0.93093514442443803"/>
    <n v="1.4999999999999999E-2"/>
    <n v="2.3073353305975801"/>
    <n v="2.4785135080748488"/>
    <n v="2.2749957358421499E-2"/>
    <n v="3.1701243638992301E-2"/>
    <n v="1.3900049030780799E-2"/>
    <n v="4.4420873850583999E-2"/>
    <n v="2.5571683421730999E-2"/>
    <b v="0"/>
    <b v="0"/>
    <b v="0"/>
    <b v="0"/>
  </r>
  <r>
    <x v="59"/>
    <x v="14"/>
    <n v="775367.125"/>
    <n v="0.94514554738998402"/>
    <n v="2.1999999999999999E-2"/>
    <n v="2.03536519731245"/>
    <n v="2.1534939279279297"/>
    <n v="-0.11787195804551399"/>
    <n v="4.4420873850583999E-2"/>
    <n v="2.5571683421730999E-2"/>
    <n v="9.3019863843917999E-2"/>
    <n v="4.94302511215211E-2"/>
    <b v="1"/>
    <b v="0"/>
    <b v="1"/>
    <b v="0"/>
  </r>
  <r>
    <x v="59"/>
    <x v="15"/>
    <n v="779995.125"/>
    <n v="0.95697635412216198"/>
    <n v="0.01"/>
    <n v="2.1095045214770098"/>
    <n v="2.2043434118203122"/>
    <n v="3.6425563462742602E-2"/>
    <n v="9.3019863843917999E-2"/>
    <n v="4.94302511215211E-2"/>
    <n v="-1.9941968768835101E-2"/>
    <n v="1.21615380048751E-2"/>
    <b v="0"/>
    <b v="0"/>
    <b v="0"/>
    <b v="0"/>
  </r>
  <r>
    <x v="59"/>
    <x v="16"/>
    <n v="787207"/>
    <n v="0.91254353523254395"/>
    <n v="2.3E-2"/>
    <n v="2.2234806162180401"/>
    <n v="2.4365748376612295"/>
    <n v="5.4029794001686997E-2"/>
    <n v="-1.9941968768835101E-2"/>
    <n v="1.26402415335177E-2"/>
    <n v="-2.2597522273659701E-2"/>
    <n v="-3.03859449923039E-3"/>
    <b v="0"/>
    <b v="0"/>
    <b v="0"/>
    <b v="1"/>
  </r>
  <r>
    <x v="60"/>
    <x v="0"/>
    <n v="154061.59375"/>
    <n v="0.91554147005081199"/>
    <n v="9.7000000000000003E-2"/>
    <n v="2.01934841895776"/>
    <n v="2.2056329341866814"/>
    <n v="-5.3013769237583497E-2"/>
    <n v="2.71668337583542E-2"/>
    <n v="2.0803794264793399E-2"/>
    <n v="-3.5003450661897999E-3"/>
    <n v="-2.5785891339183001E-3"/>
    <b v="1"/>
    <b v="0"/>
    <b v="1"/>
    <b v="0"/>
  </r>
  <r>
    <x v="60"/>
    <x v="1"/>
    <n v="158637.203125"/>
    <n v="0.88620626926422097"/>
    <n v="1.6E-2"/>
    <n v="2.0516896586787698"/>
    <n v="2.3151378294606286"/>
    <n v="1.6015680809409301E-2"/>
    <n v="-3.5003450661897999E-3"/>
    <n v="-2.5785891339183001E-3"/>
    <n v="-4.93419815897942E-2"/>
    <n v="-1.9831177312880699E-2"/>
    <b v="0"/>
    <b v="1"/>
    <b v="0"/>
    <b v="1"/>
  </r>
  <r>
    <x v="60"/>
    <x v="2"/>
    <n v="162989.203125"/>
    <n v="0.88530039787292503"/>
    <n v="3.5999999999999997E-2"/>
    <n v="2.1478987946574"/>
    <n v="2.4261807628439662"/>
    <n v="4.6892635819287397E-2"/>
    <n v="-4.93419815897942E-2"/>
    <n v="-1.9831177312880699E-2"/>
    <n v="-2.5272655025124501E-2"/>
    <n v="1.2940466403961401E-3"/>
    <b v="0"/>
    <b v="1"/>
    <b v="0"/>
    <b v="1"/>
  </r>
  <r>
    <x v="60"/>
    <x v="3"/>
    <n v="166336.296875"/>
    <n v="0.89437228441238403"/>
    <n v="2.4E-2"/>
    <n v="2.0838373241174999"/>
    <n v="2.3299439846647441"/>
    <n v="-2.98251811022208E-2"/>
    <n v="-2.5272655025124501E-2"/>
    <n v="1.2940466403961401E-3"/>
    <n v="-8.35212849453092E-3"/>
    <n v="1.10798026435076E-3"/>
    <b v="1"/>
    <b v="0"/>
    <b v="0"/>
    <b v="0"/>
  </r>
  <r>
    <x v="60"/>
    <x v="4"/>
    <n v="168746.3125"/>
    <n v="0.90394359827041604"/>
    <n v="1E-3"/>
    <n v="2.1176771927256701"/>
    <n v="2.3427094309618242"/>
    <n v="1.6239208414459701E-2"/>
    <n v="-8.35212849453092E-3"/>
    <n v="1.10798026435076E-3"/>
    <n v="-2.3382338106632199E-2"/>
    <n v="-2.09856359288092E-3"/>
    <b v="0"/>
    <b v="0"/>
    <b v="0"/>
    <b v="1"/>
  </r>
  <r>
    <x v="60"/>
    <x v="5"/>
    <n v="169509.40625"/>
    <n v="0.90730106830596902"/>
    <n v="0"/>
    <n v="2.2048903297006399"/>
    <n v="2.4301639298379896"/>
    <n v="4.1183395313768197E-2"/>
    <n v="-2.3382338106632199E-2"/>
    <n v="-2.09856359288092E-3"/>
    <n v="-6.1372558623551997E-3"/>
    <n v="-6.9904979318379998E-4"/>
    <b v="0"/>
    <b v="1"/>
    <b v="0"/>
    <b v="1"/>
  </r>
  <r>
    <x v="60"/>
    <x v="6"/>
    <n v="170308.8125"/>
    <n v="0.89138716459274303"/>
    <n v="3.4000000000000002E-2"/>
    <n v="2.32741353208338"/>
    <n v="2.6110018458104327"/>
    <n v="5.5568842011007397E-2"/>
    <n v="-6.1372558623551997E-3"/>
    <n v="-7.8464858233929895E-4"/>
    <n v="1.08714836090803E-2"/>
    <n v="4.7447122633457002E-3"/>
    <b v="0"/>
    <b v="1"/>
    <b v="0"/>
    <b v="1"/>
  </r>
  <r>
    <x v="60"/>
    <x v="7"/>
    <n v="170272.59375"/>
    <n v="0.92505544424056996"/>
    <n v="0"/>
    <n v="2.2767493929551201"/>
    <n v="2.4612031712588123"/>
    <n v="-2.17684302466454E-2"/>
    <n v="1.08714836090803E-2"/>
    <n v="4.7447122633457002E-3"/>
    <n v="-1.4280593892559401E-2"/>
    <n v="-1.62886173930019E-2"/>
    <b v="1"/>
    <b v="0"/>
    <b v="1"/>
    <b v="0"/>
  </r>
  <r>
    <x v="60"/>
    <x v="8"/>
    <n v="169798.796875"/>
    <n v="0.91126215457916304"/>
    <n v="5.0000000000000001E-3"/>
    <n v="2.30529905244734"/>
    <n v="2.529786890482649"/>
    <n v="1.2539658330669E-2"/>
    <n v="-1.4280593892559401E-2"/>
    <n v="-1.62886173930019E-2"/>
    <n v="2.5696979999542201E-2"/>
    <n v="-4.5664720237254897E-3"/>
    <b v="0"/>
    <b v="1"/>
    <b v="0"/>
    <b v="1"/>
  </r>
  <r>
    <x v="60"/>
    <x v="9"/>
    <n v="169678"/>
    <n v="0.91301232576370195"/>
    <n v="1E-3"/>
    <n v="2.2954367747787101"/>
    <n v="2.5141355817498519"/>
    <n v="-4.2780903666931897E-3"/>
    <n v="2.5696979999542201E-2"/>
    <n v="-4.5664720237254897E-3"/>
    <n v="2.0446490764617901E-2"/>
    <n v="7.2929337620735004E-3"/>
    <b v="0"/>
    <b v="0"/>
    <b v="1"/>
    <b v="0"/>
  </r>
  <r>
    <x v="60"/>
    <x v="10"/>
    <n v="169632.09375"/>
    <n v="0.92578727006912198"/>
    <n v="2.1999999999999999E-2"/>
    <n v="2.1037623264870202"/>
    <n v="2.272403601239783"/>
    <n v="-8.3502386298645606E-2"/>
    <n v="2.0446490764617901E-2"/>
    <n v="7.2929337620735004E-3"/>
    <n v="2.7895734608172902E-3"/>
    <n v="0"/>
    <b v="1"/>
    <b v="0"/>
    <b v="1"/>
    <b v="0"/>
  </r>
  <r>
    <x v="60"/>
    <x v="11"/>
    <n v="169675.203125"/>
    <n v="0.93099647760391202"/>
    <n v="-4.0000000000000001E-3"/>
    <n v="2.2748086775030001"/>
    <n v="2.4434127649522712"/>
    <n v="8.1304978638721201E-2"/>
    <n v="2.7895734608172902E-3"/>
    <n v="0"/>
    <n v="5.4768754392862003E-3"/>
    <n v="-3.6581475287675901E-3"/>
    <b v="0"/>
    <b v="0"/>
    <b v="0"/>
    <b v="0"/>
  </r>
  <r>
    <x v="60"/>
    <x v="12"/>
    <n v="169594.09375"/>
    <n v="0.92466980218887296"/>
    <n v="7.0000000000000001E-3"/>
    <n v="2.24708533653846"/>
    <n v="2.4301489366465443"/>
    <n v="-1.21871088495116E-2"/>
    <n v="5.4768754392862003E-3"/>
    <n v="-3.6581475287675901E-3"/>
    <n v="2.3045866906642901E-2"/>
    <n v="5.2446722984313904E-3"/>
    <b v="0"/>
    <b v="0"/>
    <b v="1"/>
    <b v="0"/>
  </r>
  <r>
    <x v="60"/>
    <x v="13"/>
    <n v="169994.90625"/>
    <n v="0.92218184471130404"/>
    <n v="2.4E-2"/>
    <n v="2.3423820834747202"/>
    <n v="2.540043590001515"/>
    <n v="4.2409046682249901E-2"/>
    <n v="2.3045866906642901E-2"/>
    <n v="5.2446722984313904E-3"/>
    <n v="2.85895300209521E-2"/>
    <n v="9.7403395920991898E-3"/>
    <b v="0"/>
    <b v="0"/>
    <b v="0"/>
    <b v="0"/>
  </r>
  <r>
    <x v="60"/>
    <x v="14"/>
    <n v="174099.5"/>
    <n v="0.96710401773452803"/>
    <n v="4.0000000000000001E-3"/>
    <n v="2.18189427165288"/>
    <n v="2.2561112679110122"/>
    <n v="-6.8514787981884595E-2"/>
    <n v="2.85895300209521E-2"/>
    <n v="9.7403395920991898E-3"/>
    <n v="6.9872392594813995E-2"/>
    <n v="2.6282779872416999E-2"/>
    <b v="1"/>
    <b v="0"/>
    <b v="1"/>
    <b v="0"/>
  </r>
  <r>
    <x v="60"/>
    <x v="15"/>
    <n v="175851.703125"/>
    <n v="0.95233291387557995"/>
    <n v="2.1000000000000001E-2"/>
    <n v="1.80955521553316"/>
    <n v="1.9001288196257535"/>
    <n v="-0.170649449406024"/>
    <n v="6.9872392594813995E-2"/>
    <n v="2.6282779872416999E-2"/>
    <n v="-9.1829317808150897E-3"/>
    <n v="2.2920574992895199E-2"/>
    <b v="1"/>
    <b v="0"/>
    <b v="1"/>
    <b v="0"/>
  </r>
  <r>
    <x v="60"/>
    <x v="16"/>
    <n v="177524.40625"/>
    <n v="0.91577112674713101"/>
    <n v="2.3E-2"/>
    <n v="1.9957263747771199"/>
    <n v="2.1792851035455212"/>
    <n v="0.102882276067551"/>
    <n v="-9.1829317808150897E-3"/>
    <n v="2.3399278521537802E-2"/>
    <n v="-2.4775442466139799E-2"/>
    <n v="-5.2165146917104999E-3"/>
    <b v="0"/>
    <b v="0"/>
    <b v="0"/>
    <b v="1"/>
  </r>
  <r>
    <x v="61"/>
    <x v="0"/>
    <n v="781451.5"/>
    <n v="0.91865539550781306"/>
    <n v="1E-3"/>
    <n v="2.2374930276393901"/>
    <n v="2.4356173583485585"/>
    <n v="-2.37129210961428E-2"/>
    <n v="3.06883804798125E-2"/>
    <n v="2.4325340986251699E-2"/>
    <n v="-2.7164769321680001E-3"/>
    <n v="-1.7947209998965001E-3"/>
    <b v="1"/>
    <b v="0"/>
    <b v="1"/>
    <b v="0"/>
  </r>
  <r>
    <x v="61"/>
    <x v="1"/>
    <n v="797311"/>
    <n v="0.90733355283737205"/>
    <n v="2.5999999999999999E-2"/>
    <n v="2.26232787585697"/>
    <n v="2.4933805972261487"/>
    <n v="1.1099408092360199E-2"/>
    <n v="-2.7164769321680001E-3"/>
    <n v="-1.7947209998965001E-3"/>
    <n v="-5.6215628340840297E-2"/>
    <n v="-2.6704824063926901E-2"/>
    <b v="0"/>
    <b v="1"/>
    <b v="0"/>
    <b v="1"/>
  </r>
  <r>
    <x v="61"/>
    <x v="2"/>
    <n v="811428"/>
    <n v="0.89865237474441495"/>
    <n v="4.2999999999999997E-2"/>
    <n v="2.1630630630630598"/>
    <n v="2.4070075636068453"/>
    <n v="-4.3877288457277397E-2"/>
    <n v="-5.6215628340840297E-2"/>
    <n v="-2.6704824063926901E-2"/>
    <n v="-2.4574828058481199E-2"/>
    <n v="1.9918736070394499E-3"/>
    <b v="0"/>
    <b v="0"/>
    <b v="0"/>
    <b v="0"/>
  </r>
  <r>
    <x v="61"/>
    <x v="3"/>
    <n v="820912"/>
    <n v="0.90880531072616599"/>
    <n v="1.7999999999999999E-2"/>
    <n v="2.3454973354613502"/>
    <n v="2.5808578666724769"/>
    <n v="8.4340709022118598E-2"/>
    <n v="-2.4574828058481199E-2"/>
    <n v="1.9918736070394499E-3"/>
    <n v="-6.3727555647492299E-3"/>
    <n v="3.0873531941324399E-3"/>
    <b v="0"/>
    <b v="0"/>
    <b v="0"/>
    <b v="1"/>
  </r>
  <r>
    <x v="61"/>
    <x v="4"/>
    <n v="827509.5"/>
    <n v="0.92006933689117398"/>
    <n v="1.0999999999999999E-2"/>
    <n v="2.27529407503327"/>
    <n v="2.472959356216859"/>
    <n v="-2.9931076606518298E-2"/>
    <n v="-6.3727555647492299E-3"/>
    <n v="3.0873531941324399E-3"/>
    <n v="-1.7682353377342201E-2"/>
    <n v="3.6014211364090898E-3"/>
    <b v="1"/>
    <b v="0"/>
    <b v="0"/>
    <b v="0"/>
  </r>
  <r>
    <x v="61"/>
    <x v="5"/>
    <n v="834932.625"/>
    <n v="0.92460429668426503"/>
    <n v="0"/>
    <n v="2.3518180263998398"/>
    <n v="2.5435940919090725"/>
    <n v="3.3632554229479299E-2"/>
    <n v="-1.7682353377342201E-2"/>
    <n v="3.6014211364090898E-3"/>
    <n v="5.5422314405440898E-3"/>
    <n v="1.09804375097155E-2"/>
    <b v="0"/>
    <b v="0"/>
    <b v="0"/>
    <b v="1"/>
  </r>
  <r>
    <x v="61"/>
    <x v="6"/>
    <n v="842572.8125"/>
    <n v="0.93204718828201305"/>
    <n v="7.0000000000000001E-3"/>
    <n v="2.23732877017548"/>
    <n v="2.4004458125123627"/>
    <n v="-4.8681171306277797E-2"/>
    <n v="5.5422314405440898E-3"/>
    <n v="1.0894838720559999E-2"/>
    <n v="1.36791175603867E-2"/>
    <n v="7.5523462146520996E-3"/>
    <b v="1"/>
    <b v="0"/>
    <b v="1"/>
    <b v="0"/>
  </r>
  <r>
    <x v="61"/>
    <x v="7"/>
    <n v="850969.1875"/>
    <n v="0.93051952123642001"/>
    <n v="4.8000000000000001E-2"/>
    <n v="2.30957415221831"/>
    <n v="2.4820265448590297"/>
    <n v="3.2290910037849098E-2"/>
    <n v="1.36791175603867E-2"/>
    <n v="7.5523462146520996E-3"/>
    <n v="2.4461882948875399E-2"/>
    <n v="2.2453859448432801E-2"/>
    <b v="0"/>
    <b v="0"/>
    <b v="0"/>
    <b v="0"/>
  </r>
  <r>
    <x v="61"/>
    <x v="8"/>
    <n v="862922.8125"/>
    <n v="0.93446242809295699"/>
    <n v="7.0000000000000001E-3"/>
    <n v="2.3628434628822799"/>
    <n v="2.52855908578834"/>
    <n v="2.3064559591129099E-2"/>
    <n v="2.4461882948875399E-2"/>
    <n v="2.2453859448432801E-2"/>
    <n v="3.36273444592953E-2"/>
    <n v="3.3638924360276001E-3"/>
    <b v="0"/>
    <b v="0"/>
    <b v="0"/>
    <b v="0"/>
  </r>
  <r>
    <x v="61"/>
    <x v="9"/>
    <n v="874923"/>
    <n v="0.93327111005783103"/>
    <n v="4.2000000000000003E-2"/>
    <n v="2.2700180285941798"/>
    <n v="2.4323243311940899"/>
    <n v="-3.9285477750127001E-2"/>
    <n v="3.36273444592953E-2"/>
    <n v="3.3638924360276001E-3"/>
    <n v="1.2749790102243E-3"/>
    <n v="-1.187857799232E-2"/>
    <b v="1"/>
    <b v="0"/>
    <b v="1"/>
    <b v="0"/>
  </r>
  <r>
    <x v="61"/>
    <x v="10"/>
    <n v="886519.5625"/>
    <n v="0.92149192094802901"/>
    <n v="5.1999999999999998E-2"/>
    <n v="2.3102134514699899"/>
    <n v="2.5070360346656617"/>
    <n v="1.7707094115327199E-2"/>
    <n v="1.2749790102243E-3"/>
    <n v="-1.187857799232E-2"/>
    <n v="-1.4333862163126401E-2"/>
    <n v="-1.7123435623943702E-2"/>
    <b v="0"/>
    <b v="1"/>
    <b v="0"/>
    <b v="0"/>
  </r>
  <r>
    <x v="61"/>
    <x v="11"/>
    <n v="897496.25"/>
    <n v="0.90104013681411699"/>
    <n v="6.5000000000000002E-2"/>
    <n v="2.2953654142855902"/>
    <n v="2.5474618948735244"/>
    <n v="-6.4271278374546797E-3"/>
    <n v="-1.4333862163126401E-2"/>
    <n v="-1.7123435623943702E-2"/>
    <n v="1.67743901014328E-2"/>
    <n v="7.6393671333789999E-3"/>
    <b v="0"/>
    <b v="0"/>
    <b v="0"/>
    <b v="0"/>
  </r>
  <r>
    <x v="61"/>
    <x v="12"/>
    <n v="909420.5"/>
    <n v="0.91878557205200195"/>
    <n v="0.03"/>
    <n v="2.2026469159786299"/>
    <n v="2.3973459999586968"/>
    <n v="-4.0393785551490598E-2"/>
    <n v="1.67743901014328E-2"/>
    <n v="7.6393671333789999E-3"/>
    <n v="1.6875642508268399E-2"/>
    <n v="-9.2555209994310496E-4"/>
    <b v="1"/>
    <b v="0"/>
    <b v="1"/>
    <b v="0"/>
  </r>
  <r>
    <x v="61"/>
    <x v="13"/>
    <n v="922441.75"/>
    <n v="0.90973860025405895"/>
    <n v="4.7E-2"/>
    <n v="2.1775225609811999"/>
    <n v="2.3935694938887853"/>
    <n v="-1.1406437779547699E-2"/>
    <n v="1.6875642508268399E-2"/>
    <n v="-9.2555209994310496E-4"/>
    <n v="1.7102208092808699E-2"/>
    <n v="-1.7469823360443E-3"/>
    <b v="0"/>
    <b v="0"/>
    <b v="1"/>
    <b v="0"/>
  </r>
  <r>
    <x v="61"/>
    <x v="14"/>
    <n v="933451.875"/>
    <n v="0.923705995082855"/>
    <n v="3.6999999999999998E-2"/>
    <n v="1.9823138549703101"/>
    <n v="2.1460441585555583"/>
    <n v="-8.9647156593834598E-2"/>
    <n v="1.7102208092808699E-2"/>
    <n v="-1.7469823360443E-3"/>
    <n v="6.8390278398991006E-2"/>
    <n v="2.48006656765941E-2"/>
    <b v="0"/>
    <b v="0"/>
    <b v="1"/>
    <b v="0"/>
  </r>
  <r>
    <x v="61"/>
    <x v="15"/>
    <n v="946247.375"/>
    <n v="0.92952287197113004"/>
    <n v="5.7000000000000002E-2"/>
    <n v="2.19670478984261"/>
    <n v="2.3632606104509466"/>
    <n v="0.108151862196166"/>
    <n v="6.8390278398991006E-2"/>
    <n v="2.48006656765941E-2"/>
    <n v="-1.31408515572548E-2"/>
    <n v="1.8962655216455401E-2"/>
    <b v="0"/>
    <b v="0"/>
    <b v="0"/>
    <b v="0"/>
  </r>
  <r>
    <x v="61"/>
    <x v="16"/>
    <n v="965499.8125"/>
    <n v="0.91046351194381703"/>
    <n v="2.5999999999999999E-2"/>
    <n v="2.2661539517956402"/>
    <n v="2.4890112805920772"/>
    <n v="3.16151547873686E-2"/>
    <n v="-1.31408515572548E-2"/>
    <n v="1.9441358745098E-2"/>
    <n v="-4.3850429853424397E-2"/>
    <n v="-2.4291502078995102E-2"/>
    <b v="0"/>
    <b v="0"/>
    <b v="0"/>
    <b v="1"/>
  </r>
  <r>
    <x v="62"/>
    <x v="0"/>
    <n v="349617.3125"/>
    <n v="0.89985626935958896"/>
    <n v="2.9000000000000001E-2"/>
    <n v="2.4756631552227399"/>
    <n v="2.7511762039337944"/>
    <n v="2.3974013562037998E-2"/>
    <n v="3.0460027635097399E-2"/>
    <n v="2.4096988141536699E-2"/>
    <n v="-1.9720633476972998E-3"/>
    <n v="-1.0503074154258E-3"/>
    <b v="0"/>
    <b v="0"/>
    <b v="0"/>
    <b v="0"/>
  </r>
  <r>
    <x v="62"/>
    <x v="1"/>
    <n v="358411.90625"/>
    <n v="0.88128936290741"/>
    <n v="0.03"/>
    <n v="2.3754162638306999"/>
    <n v="2.6953874218952372"/>
    <n v="-4.0492944761308998E-2"/>
    <n v="-1.9720633476972998E-3"/>
    <n v="-1.0503074154258E-3"/>
    <n v="-5.8091569051146499E-2"/>
    <n v="-2.8580764774232999E-2"/>
    <b v="0"/>
    <b v="0"/>
    <b v="0"/>
    <b v="0"/>
  </r>
  <r>
    <x v="62"/>
    <x v="2"/>
    <n v="364377.1875"/>
    <n v="0.85572224855422996"/>
    <n v="0.108"/>
    <n v="2.3948882466792099"/>
    <n v="2.7986747460702932"/>
    <n v="8.1972928892527792E-3"/>
    <n v="-5.8091569051146499E-2"/>
    <n v="-2.8580764774232999E-2"/>
    <n v="-2.66072812527418E-2"/>
    <n v="-4.0579587221149099E-5"/>
    <b v="0"/>
    <b v="1"/>
    <b v="0"/>
    <b v="1"/>
  </r>
  <r>
    <x v="62"/>
    <x v="3"/>
    <n v="368554.09375"/>
    <n v="0.87044298648834195"/>
    <n v="3.2000000000000001E-2"/>
    <n v="2.5412738375830299"/>
    <n v="2.9195178512901556"/>
    <n v="6.11241844402527E-2"/>
    <n v="-2.66072812527418E-2"/>
    <n v="-4.0579587221149099E-5"/>
    <n v="-8.0722134411334995E-3"/>
    <n v="1.3878953177481801E-3"/>
    <b v="0"/>
    <b v="1"/>
    <b v="0"/>
    <b v="1"/>
  </r>
  <r>
    <x v="62"/>
    <x v="4"/>
    <n v="372471.1875"/>
    <n v="0.89127677679061901"/>
    <n v="0.01"/>
    <n v="2.39972058366966"/>
    <n v="2.6924527219375856"/>
    <n v="-5.5701692521255897E-2"/>
    <n v="-8.0722134411334995E-3"/>
    <n v="1.3878953177481801E-3"/>
    <n v="-3.3188137335702701E-2"/>
    <n v="-1.1904362821951399E-2"/>
    <b v="1"/>
    <b v="0"/>
    <b v="0"/>
    <b v="0"/>
  </r>
  <r>
    <x v="62"/>
    <x v="5"/>
    <n v="376305.125"/>
    <n v="0.89226764440536499"/>
    <n v="7.0000000000000001E-3"/>
    <n v="2.4312443063698499"/>
    <n v="2.7247926354990795"/>
    <n v="1.31364138453086E-2"/>
    <n v="-3.3188137335702701E-2"/>
    <n v="-1.1904362821951399E-2"/>
    <n v="-1.6643581729382202E-2"/>
    <n v="-1.1205375660210799E-2"/>
    <b v="0"/>
    <b v="1"/>
    <b v="0"/>
    <b v="1"/>
  </r>
  <r>
    <x v="62"/>
    <x v="6"/>
    <n v="379154.125"/>
    <n v="0.90200412273407005"/>
    <n v="1E-3"/>
    <n v="2.4397290902381301"/>
    <n v="2.7047870721954714"/>
    <n v="3.4898935685085098E-3"/>
    <n v="-1.6643581729382202E-2"/>
    <n v="-1.12909744493663E-2"/>
    <n v="-4.3899971991779902E-4"/>
    <n v="-6.5657710656523999E-3"/>
    <b v="0"/>
    <b v="1"/>
    <b v="0"/>
    <b v="1"/>
  </r>
  <r>
    <x v="62"/>
    <x v="7"/>
    <n v="382272.875"/>
    <n v="0.90686768293380704"/>
    <n v="0"/>
    <n v="2.36145820696348"/>
    <n v="2.6039721686011879"/>
    <n v="-3.2081792846519602E-2"/>
    <n v="-4.3899971991779902E-4"/>
    <n v="-6.5657710656523999E-3"/>
    <n v="-1.8075051423162201E-2"/>
    <n v="-2.0083074923604699E-2"/>
    <b v="0"/>
    <b v="0"/>
    <b v="0"/>
    <b v="0"/>
  </r>
  <r>
    <x v="62"/>
    <x v="8"/>
    <n v="385600"/>
    <n v="0.90617132186889604"/>
    <n v="0"/>
    <n v="2.2698368261078201"/>
    <n v="2.5048649977429078"/>
    <n v="-3.87986459321987E-2"/>
    <n v="-1.8075051423162201E-2"/>
    <n v="-2.0083074923604699E-2"/>
    <n v="7.1844236701726896E-3"/>
    <n v="-2.3079028353094999E-2"/>
    <b v="0"/>
    <b v="0"/>
    <b v="0"/>
    <b v="0"/>
  </r>
  <r>
    <x v="62"/>
    <x v="9"/>
    <n v="387915.71875"/>
    <n v="0.90802413225173995"/>
    <n v="1.7999999999999999E-2"/>
    <n v="2.51953338007322"/>
    <n v="2.7747427525138799"/>
    <n v="0.110006389487286"/>
    <n v="7.1844236701726896E-3"/>
    <n v="-2.3079028353094999E-2"/>
    <n v="6.963166296482E-4"/>
    <n v="-1.24572403728962E-2"/>
    <b v="0"/>
    <b v="1"/>
    <b v="0"/>
    <b v="0"/>
  </r>
  <r>
    <x v="62"/>
    <x v="10"/>
    <n v="390359.8125"/>
    <n v="0.90537768602371205"/>
    <n v="0"/>
    <n v="2.4524443000182701"/>
    <n v="2.7087527535486888"/>
    <n v="-2.6627581355162199E-2"/>
    <n v="6.963166296482E-4"/>
    <n v="-1.24572403728962E-2"/>
    <n v="-9.5268891230225992E-3"/>
    <n v="-1.23164625838398E-2"/>
    <b v="0"/>
    <b v="0"/>
    <b v="1"/>
    <b v="0"/>
  </r>
  <r>
    <x v="62"/>
    <x v="11"/>
    <n v="393182"/>
    <n v="0.90540492534637496"/>
    <n v="0"/>
    <n v="2.42415775187609"/>
    <n v="2.6774293843704191"/>
    <n v="-1.1534022665456899E-2"/>
    <n v="-9.5268891230225992E-3"/>
    <n v="-1.23164625838398E-2"/>
    <n v="2.67312603294848E-2"/>
    <n v="1.7596237361431101E-2"/>
    <b v="0"/>
    <b v="0"/>
    <b v="0"/>
    <b v="0"/>
  </r>
  <r>
    <x v="62"/>
    <x v="12"/>
    <n v="395190.3125"/>
    <n v="0.920088350772858"/>
    <n v="0"/>
    <n v="2.2761207923741398"/>
    <n v="2.4738067713412941"/>
    <n v="-6.1067378716333602E-2"/>
    <n v="2.67312603294848E-2"/>
    <n v="1.7596237361431101E-2"/>
    <n v="3.8495178490877198E-2"/>
    <n v="2.06939838826657E-2"/>
    <b v="1"/>
    <b v="0"/>
    <b v="1"/>
    <b v="0"/>
  </r>
  <r>
    <x v="62"/>
    <x v="13"/>
    <n v="397032"/>
    <n v="0.92067348957061801"/>
    <n v="0"/>
    <n v="2.4544043213814799"/>
    <n v="2.6658792168830239"/>
    <n v="7.8327797718228995E-2"/>
    <n v="3.8495178490877198E-2"/>
    <n v="2.06939838826657E-2"/>
    <n v="-8.0118485614657405E-3"/>
    <n v="-2.6861038990318699E-2"/>
    <b v="0"/>
    <b v="0"/>
    <b v="0"/>
    <b v="0"/>
  </r>
  <r>
    <x v="62"/>
    <x v="14"/>
    <n v="398747.71875"/>
    <n v="0.93884605169296298"/>
    <n v="2E-3"/>
    <n v="2.0622700254741"/>
    <n v="2.1966008396747645"/>
    <n v="-0.159767603280075"/>
    <n v="-8.0118485614657405E-3"/>
    <n v="-2.6861038990318699E-2"/>
    <n v="5.27021719813347E-2"/>
    <n v="9.1125592589377906E-3"/>
    <b v="0"/>
    <b v="0"/>
    <b v="0"/>
    <b v="0"/>
  </r>
  <r>
    <x v="62"/>
    <x v="15"/>
    <n v="400479.3125"/>
    <n v="0.93254464864730802"/>
    <n v="2.3E-2"/>
    <n v="2.2688426533554198"/>
    <n v="2.4329587399879067"/>
    <n v="0.10016759460674"/>
    <n v="5.27021719813347E-2"/>
    <n v="9.1125592589377906E-3"/>
    <n v="-2.4029108881949901E-3"/>
    <n v="2.97005958855153E-2"/>
    <b v="0"/>
    <b v="0"/>
    <b v="0"/>
    <b v="0"/>
  </r>
  <r>
    <x v="62"/>
    <x v="16"/>
    <n v="402534.90625"/>
    <n v="0.91730469465255704"/>
    <n v="1.2999999999999999E-2"/>
    <n v="2.3220541639265799"/>
    <n v="2.531388073628134"/>
    <n v="2.3453151540706201E-2"/>
    <n v="-2.4029108881949901E-3"/>
    <n v="3.0179299414157899E-2"/>
    <n v="-1.8263410627841999E-3"/>
    <n v="1.7732586711645099E-2"/>
    <b v="0"/>
    <b v="0"/>
    <b v="0"/>
    <b v="1"/>
  </r>
  <r>
    <x v="63"/>
    <x v="0"/>
    <n v="533488"/>
    <n v="0.94032537937164296"/>
    <n v="1.7999999999999999E-2"/>
    <n v="1.9949450213805699"/>
    <n v="2.1215475676235171"/>
    <n v="-6.0354077267464203E-2"/>
    <n v="-1.2379664629697999E-3"/>
    <n v="-7.6010059565305901E-3"/>
    <n v="2.8220816552638902E-3"/>
    <n v="3.7438375875354E-3"/>
    <b v="0"/>
    <b v="0"/>
    <b v="0"/>
    <b v="0"/>
  </r>
  <r>
    <x v="63"/>
    <x v="1"/>
    <n v="538522.6875"/>
    <n v="0.94276237487793002"/>
    <n v="5.0000000000000001E-3"/>
    <n v="2.0675292648165602"/>
    <n v="2.1930544959266816"/>
    <n v="3.6384082096537901E-2"/>
    <n v="2.8220816552638902E-3"/>
    <n v="3.7438375875354E-3"/>
    <n v="-3.2533662684261798E-2"/>
    <n v="-3.0228584073483901E-3"/>
    <b v="0"/>
    <b v="0"/>
    <b v="0"/>
    <b v="0"/>
  </r>
  <r>
    <x v="63"/>
    <x v="2"/>
    <n v="543467.3125"/>
    <n v="0.93168610334396396"/>
    <n v="3.2000000000000001E-2"/>
    <n v="2.0949945369036098"/>
    <n v="2.2486055436314376"/>
    <n v="1.32841031826865E-2"/>
    <n v="-3.2533662684261798E-2"/>
    <n v="-3.0228584073483901E-3"/>
    <n v="-2.18103534579277E-2"/>
    <n v="4.7563482075929503E-3"/>
    <b v="0"/>
    <b v="1"/>
    <b v="0"/>
    <b v="1"/>
  </r>
  <r>
    <x v="63"/>
    <x v="3"/>
    <n v="547785.25"/>
    <n v="0.941342532634735"/>
    <n v="1.2999999999999999E-2"/>
    <n v="2.0477712968963702"/>
    <n v="2.1753731780979217"/>
    <n v="-2.2540984797521198E-2"/>
    <n v="-2.18103534579277E-2"/>
    <n v="4.7563482075929503E-3"/>
    <n v="-4.7826970368619902E-4"/>
    <n v="8.9818390551954803E-3"/>
    <b v="1"/>
    <b v="0"/>
    <b v="0"/>
    <b v="0"/>
  </r>
  <r>
    <x v="63"/>
    <x v="4"/>
    <n v="551224.5"/>
    <n v="0.93261361122131303"/>
    <n v="1.2E-2"/>
    <n v="2.0241996695986"/>
    <n v="2.1704590681963025"/>
    <n v="-1.15108690767841E-2"/>
    <n v="-4.7826970368619902E-4"/>
    <n v="8.9818390551954803E-3"/>
    <n v="-1.7626119188964399E-2"/>
    <n v="3.6576553247868902E-3"/>
    <b v="1"/>
    <b v="0"/>
    <b v="0"/>
    <b v="0"/>
  </r>
  <r>
    <x v="63"/>
    <x v="5"/>
    <n v="554600.5625"/>
    <n v="0.93203473091125499"/>
    <n v="1.7999999999999999E-2"/>
    <n v="2.1936463933691699"/>
    <n v="2.353610139854371"/>
    <n v="8.3710478919389097E-2"/>
    <n v="-1.7626119188964399E-2"/>
    <n v="3.6576553247868902E-3"/>
    <n v="-9.5077457875013E-3"/>
    <n v="-4.0695397183299004E-3"/>
    <b v="0"/>
    <b v="0"/>
    <b v="0"/>
    <b v="1"/>
  </r>
  <r>
    <x v="63"/>
    <x v="6"/>
    <n v="558620.4375"/>
    <n v="0.93717783689498901"/>
    <n v="1.2999999999999999E-2"/>
    <n v="2.1813864588693601"/>
    <n v="2.3276120849129565"/>
    <n v="-5.5888380811360697E-3"/>
    <n v="-9.5077457875013E-3"/>
    <n v="-4.1551385074854001E-3"/>
    <n v="4.2280691117047896E-3"/>
    <n v="-1.8987022340298E-3"/>
    <b v="0"/>
    <b v="0"/>
    <b v="0"/>
    <b v="0"/>
  </r>
  <r>
    <x v="63"/>
    <x v="7"/>
    <n v="562700.3125"/>
    <n v="0.93415743112564098"/>
    <n v="0.01"/>
    <n v="2.0961494461716499"/>
    <n v="2.2438931344214987"/>
    <n v="-3.9074695981148301E-2"/>
    <n v="4.2280691117047896E-3"/>
    <n v="-1.8987022340298E-3"/>
    <n v="-6.4857414364810097E-4"/>
    <n v="-2.6565976440906E-3"/>
    <b v="0"/>
    <b v="0"/>
    <b v="1"/>
    <b v="0"/>
  </r>
  <r>
    <x v="63"/>
    <x v="8"/>
    <n v="567000.5"/>
    <n v="0.94227081537246704"/>
    <n v="1.2E-2"/>
    <n v="2.0973350844072298"/>
    <n v="2.2258304621035951"/>
    <n v="5.6562676756978405E-4"/>
    <n v="-6.4857414364810097E-4"/>
    <n v="-2.6565976440906E-3"/>
    <n v="2.3161281064152699E-2"/>
    <n v="-7.1021709591149902E-3"/>
    <b v="0"/>
    <b v="1"/>
    <b v="0"/>
    <b v="1"/>
  </r>
  <r>
    <x v="63"/>
    <x v="9"/>
    <n v="571416"/>
    <n v="0.93908160924911499"/>
    <n v="2.9000000000000001E-2"/>
    <n v="2.1254553086620298"/>
    <n v="2.2633339719660075"/>
    <n v="1.34075973190277E-2"/>
    <n v="2.3161281064152699E-2"/>
    <n v="-7.1021709591149902E-3"/>
    <n v="2.0054713159799599E-2"/>
    <n v="6.9011561572551901E-3"/>
    <b v="0"/>
    <b v="1"/>
    <b v="0"/>
    <b v="0"/>
  </r>
  <r>
    <x v="63"/>
    <x v="10"/>
    <n v="575526.8125"/>
    <n v="0.94656670093536399"/>
    <n v="0"/>
    <n v="2.19652950331758"/>
    <n v="2.3205226859840375"/>
    <n v="3.34395149904574E-2"/>
    <n v="2.0054713159799599E-2"/>
    <n v="6.9011561572551901E-3"/>
    <n v="-2.0198992490767999E-3"/>
    <n v="-4.8094727098940996E-3"/>
    <b v="0"/>
    <b v="0"/>
    <b v="0"/>
    <b v="0"/>
  </r>
  <r>
    <x v="63"/>
    <x v="11"/>
    <n v="579876"/>
    <n v="0.94432926177978505"/>
    <n v="1.9E-2"/>
    <n v="2.1935973878478099"/>
    <n v="2.3229158267461911"/>
    <n v="-1.3348855389124601E-3"/>
    <n v="-2.0198992490767999E-3"/>
    <n v="-4.8094727098940996E-3"/>
    <n v="1.6849190205335599E-2"/>
    <n v="7.7141672372818002E-3"/>
    <b v="0"/>
    <b v="0"/>
    <b v="0"/>
    <b v="0"/>
  </r>
  <r>
    <x v="63"/>
    <x v="12"/>
    <n v="584293.1875"/>
    <n v="0.945415079593658"/>
    <n v="1.2E-2"/>
    <n v="2.2717389936711201"/>
    <n v="2.4029011623630119"/>
    <n v="3.56225833674872E-2"/>
    <n v="1.6849190205335599E-2"/>
    <n v="7.7141672372818002E-3"/>
    <n v="1.30602411627769E-2"/>
    <n v="-4.7409534454345998E-3"/>
    <b v="0"/>
    <b v="0"/>
    <b v="0"/>
    <b v="0"/>
  </r>
  <r>
    <x v="63"/>
    <x v="13"/>
    <n v="588931.25"/>
    <n v="0.94845455884933505"/>
    <n v="2.8000000000000001E-2"/>
    <n v="2.0822684361745698"/>
    <n v="2.1954329986043586"/>
    <n v="-8.3403312627196594E-2"/>
    <n v="1.30602411627769E-2"/>
    <n v="-4.7409534454345998E-3"/>
    <n v="2.28218977451323E-2"/>
    <n v="3.9727073162793896E-3"/>
    <b v="0"/>
    <b v="0"/>
    <b v="1"/>
    <b v="0"/>
  </r>
  <r>
    <x v="63"/>
    <x v="14"/>
    <n v="594537.3125"/>
    <n v="0.96443068981170699"/>
    <n v="5.0000000000000001E-3"/>
    <n v="2.0727807070619702"/>
    <n v="2.1492272373317514"/>
    <n v="-4.5564390007435803E-3"/>
    <n v="2.28218977451323E-2"/>
    <n v="3.9727073162793896E-3"/>
    <n v="3.36028768420219E-2"/>
    <n v="-9.9867358803750004E-3"/>
    <b v="1"/>
    <b v="0"/>
    <b v="1"/>
    <b v="0"/>
  </r>
  <r>
    <x v="63"/>
    <x v="15"/>
    <n v="600715.0625"/>
    <n v="0.96947884559631303"/>
    <n v="1.0999999999999999E-2"/>
    <n v="1.99415285514839"/>
    <n v="2.05693281932502"/>
    <n v="-3.7933512042880403E-2"/>
    <n v="3.36028768420219E-2"/>
    <n v="-9.9867358803750004E-3"/>
    <n v="-5.2316941246390303E-2"/>
    <n v="-2.0213434472680002E-2"/>
    <b v="0"/>
    <b v="0"/>
    <b v="1"/>
    <b v="0"/>
  </r>
  <r>
    <x v="63"/>
    <x v="16"/>
    <n v="605094.1875"/>
    <n v="0.95181411504745495"/>
    <n v="2.5999999999999999E-2"/>
    <n v="2.0831409055189498"/>
    <n v="2.1886005603258889"/>
    <n v="4.4624488108229103E-2"/>
    <n v="-5.2316941246390303E-2"/>
    <n v="-1.9734730944037399E-2"/>
    <n v="-1.46342113465071E-2"/>
    <n v="4.9247164279222003E-3"/>
    <b v="0"/>
    <b v="1"/>
    <b v="0"/>
    <b v="1"/>
  </r>
  <r>
    <x v="64"/>
    <x v="0"/>
    <n v="1194825"/>
    <n v="0.94074767827987704"/>
    <n v="5.0000000000000001E-3"/>
    <n v="2.1557959247073399"/>
    <n v="2.2915771938434486"/>
    <n v="7.9246920665338901E-3"/>
    <n v="-1.7202915966510801E-2"/>
    <n v="-2.3565955460071598E-2"/>
    <n v="-2.2360206484794601E-2"/>
    <n v="-2.1438450552523101E-2"/>
    <b v="0"/>
    <b v="1"/>
    <b v="0"/>
    <b v="1"/>
  </r>
  <r>
    <x v="64"/>
    <x v="1"/>
    <n v="1199897"/>
    <n v="0.93727266788482699"/>
    <n v="8.9999999999999993E-3"/>
    <n v="2.13601501247485"/>
    <n v="2.2789686349173746"/>
    <n v="-9.1756886659736907E-3"/>
    <n v="-2.2360206484794601E-2"/>
    <n v="-2.1438450552523101E-2"/>
    <n v="-3.0464451584964899E-2"/>
    <n v="-9.5364730805158604E-4"/>
    <b v="0"/>
    <b v="0"/>
    <b v="0"/>
    <b v="0"/>
  </r>
  <r>
    <x v="64"/>
    <x v="2"/>
    <n v="1205779"/>
    <n v="0.94287294149398804"/>
    <n v="7.0000000000000001E-3"/>
    <n v="2.11487019174738"/>
    <n v="2.2430065586529135"/>
    <n v="-9.8991910655937196E-3"/>
    <n v="-3.0464451584964899E-2"/>
    <n v="-9.5364730805158604E-4"/>
    <n v="-3.0151818603277199E-2"/>
    <n v="-3.5851169377565401E-3"/>
    <b v="0"/>
    <b v="0"/>
    <b v="0"/>
    <b v="0"/>
  </r>
  <r>
    <x v="64"/>
    <x v="3"/>
    <n v="1210869"/>
    <n v="0.93615776300430298"/>
    <n v="4.0000000000000001E-3"/>
    <n v="2.20175533722283"/>
    <n v="2.3519062963885391"/>
    <n v="4.1082968502978802E-2"/>
    <n v="-3.0151818603277199E-2"/>
    <n v="-3.5851169377565401E-3"/>
    <n v="-1.6967348692938599E-2"/>
    <n v="-7.5072399340569999E-3"/>
    <b v="0"/>
    <b v="1"/>
    <b v="0"/>
    <b v="1"/>
  </r>
  <r>
    <x v="64"/>
    <x v="4"/>
    <n v="1215191"/>
    <n v="0.94454222917556796"/>
    <n v="0"/>
    <n v="2.14282671210991"/>
    <n v="2.2686404545196988"/>
    <n v="-2.67643839061836E-2"/>
    <n v="-1.6967348692938599E-2"/>
    <n v="-7.5072399340569999E-3"/>
    <n v="-2.3439487785100899E-2"/>
    <n v="-2.1557132713496399E-3"/>
    <b v="0"/>
    <b v="0"/>
    <b v="0"/>
    <b v="0"/>
  </r>
  <r>
    <x v="64"/>
    <x v="5"/>
    <n v="1217505"/>
    <n v="0.94623124599456798"/>
    <n v="-1E-3"/>
    <n v="2.23163845508856"/>
    <n v="2.3584493373423974"/>
    <n v="4.1446068632960797E-2"/>
    <n v="-2.3439487785100899E-2"/>
    <n v="-2.1557132713496399E-3"/>
    <n v="-1.0894821308553199E-2"/>
    <n v="-5.4566152393817997E-3"/>
    <b v="0"/>
    <b v="1"/>
    <b v="0"/>
    <b v="1"/>
  </r>
  <r>
    <x v="64"/>
    <x v="6"/>
    <n v="1218092"/>
    <n v="0.94299644231796298"/>
    <n v="1.0999999999999999E-2"/>
    <n v="2.1367937871268001"/>
    <n v="2.2659616635184592"/>
    <n v="-4.2500015065387399E-2"/>
    <n v="-1.0894821308553199E-2"/>
    <n v="-5.5422140285372899E-3"/>
    <n v="-1.12641729414459E-3"/>
    <n v="-7.2531886398791903E-3"/>
    <b v="0"/>
    <b v="0"/>
    <b v="0"/>
    <b v="0"/>
  </r>
  <r>
    <x v="64"/>
    <x v="7"/>
    <n v="1218458"/>
    <n v="0.94437384605407704"/>
    <n v="4.0000000000000001E-3"/>
    <n v="2.1851341514142999"/>
    <n v="2.3138444171707548"/>
    <n v="2.2622849513478899E-2"/>
    <n v="-1.12641729414459E-3"/>
    <n v="-7.2531886398791903E-3"/>
    <n v="6.3675407469272896E-3"/>
    <n v="4.3595172464847903E-3"/>
    <b v="0"/>
    <b v="1"/>
    <b v="0"/>
    <b v="1"/>
  </r>
  <r>
    <x v="64"/>
    <x v="8"/>
    <n v="1218515"/>
    <n v="0.94464904069900502"/>
    <n v="7.0000000000000001E-3"/>
    <n v="2.21846371136006"/>
    <n v="2.3484528282784045"/>
    <n v="1.52528667057717E-2"/>
    <n v="6.3675407469272896E-3"/>
    <n v="4.3595172464847903E-3"/>
    <n v="2.2839708417653998E-2"/>
    <n v="-7.4237436056136903E-3"/>
    <b v="0"/>
    <b v="0"/>
    <b v="0"/>
    <b v="0"/>
  </r>
  <r>
    <x v="64"/>
    <x v="9"/>
    <n v="1217123"/>
    <n v="0.94412207603454601"/>
    <n v="1.9E-2"/>
    <n v="2.1183568364542298"/>
    <n v="2.2437319179651487"/>
    <n v="-4.5124413977657603E-2"/>
    <n v="2.2839708417653998E-2"/>
    <n v="-7.4237436056136903E-3"/>
    <n v="7.7394901663064997E-3"/>
    <n v="-5.4140668362378996E-3"/>
    <b v="0"/>
    <b v="0"/>
    <b v="1"/>
    <b v="0"/>
  </r>
  <r>
    <x v="64"/>
    <x v="10"/>
    <n v="1215398"/>
    <n v="0.94441848993301403"/>
    <n v="1.9E-2"/>
    <n v="2.0893586836584901"/>
    <n v="2.2123229330322456"/>
    <n v="-1.36889839788651E-2"/>
    <n v="7.7394901663064997E-3"/>
    <n v="-5.4140668362378996E-3"/>
    <n v="-2.9407854229211998E-3"/>
    <n v="-5.7303588837385004E-3"/>
    <b v="0"/>
    <b v="0"/>
    <b v="1"/>
    <b v="0"/>
  </r>
  <r>
    <x v="64"/>
    <x v="11"/>
    <n v="1215074"/>
    <n v="0.93989682197570801"/>
    <n v="2.3E-2"/>
    <n v="2.0891566570853799"/>
    <n v="2.2227510597321447"/>
    <n v="-9.6693102381485198E-5"/>
    <n v="-2.9407854229211998E-3"/>
    <n v="-5.7303588837385004E-3"/>
    <n v="6.4341148585080896E-3"/>
    <n v="-2.7009081095456899E-3"/>
    <b v="0"/>
    <b v="0"/>
    <b v="0"/>
    <b v="0"/>
  </r>
  <r>
    <x v="64"/>
    <x v="12"/>
    <n v="1215141"/>
    <n v="0.94957804679870605"/>
    <n v="0.01"/>
    <n v="2.1645163188835999"/>
    <n v="2.2794506740976073"/>
    <n v="3.6071809905990598E-2"/>
    <n v="6.4341148585080896E-3"/>
    <n v="-2.7009081095456899E-3"/>
    <n v="1.0857348486781101E-2"/>
    <n v="-6.9438461214303996E-3"/>
    <b v="0"/>
    <b v="1"/>
    <b v="0"/>
    <b v="0"/>
  </r>
  <r>
    <x v="64"/>
    <x v="13"/>
    <n v="1214215"/>
    <n v="0.94141924381256104"/>
    <n v="2.4E-2"/>
    <n v="2.0100028526424101"/>
    <n v="2.1350772951084975"/>
    <n v="-7.1384754595375396E-2"/>
    <n v="1.0857348486781101E-2"/>
    <n v="-6.9438461214303996E-3"/>
    <n v="1.7077459126710898E-2"/>
    <n v="-1.7717313021421001E-3"/>
    <b v="0"/>
    <b v="0"/>
    <b v="1"/>
    <b v="0"/>
  </r>
  <r>
    <x v="64"/>
    <x v="14"/>
    <n v="1206782"/>
    <n v="0.95468300580978405"/>
    <n v="1.9E-2"/>
    <n v="1.9820447565795101"/>
    <n v="2.0761286673352841"/>
    <n v="-1.3909480788124E-2"/>
    <n v="1.7077459126710898E-2"/>
    <n v="-1.7717313021421001E-3"/>
    <n v="1.7722649753093699E-2"/>
    <n v="-2.58669629693032E-2"/>
    <b v="0"/>
    <b v="0"/>
    <b v="1"/>
    <b v="0"/>
  </r>
  <r>
    <x v="64"/>
    <x v="15"/>
    <n v="1215449"/>
    <n v="0.96177285909652699"/>
    <n v="6.0000000000000001E-3"/>
    <n v="2.10273507558288"/>
    <n v="2.1863115138829698"/>
    <n v="6.0891823256127603E-2"/>
    <n v="1.7722649753093699E-2"/>
    <n v="-2.58669629693032E-2"/>
    <n v="-2.6616426110267599E-2"/>
    <n v="5.4870806634427002E-3"/>
    <b v="0"/>
    <b v="1"/>
    <b v="0"/>
    <b v="0"/>
  </r>
  <r>
    <x v="64"/>
    <x v="16"/>
    <n v="1220828"/>
    <n v="0.95645546913146995"/>
    <n v="6.0000000000000001E-3"/>
    <n v="1.9511550686064201"/>
    <n v="2.0399852701748977"/>
    <n v="-7.2087068283883796E-2"/>
    <n v="-2.6616426110267599E-2"/>
    <n v="5.9657841920852999E-3"/>
    <n v="-2.3644268513020501E-6"/>
    <n v="1.9556563347578E-2"/>
    <b v="1"/>
    <b v="0"/>
    <b v="0"/>
    <b v="0"/>
  </r>
  <r>
    <x v="65"/>
    <x v="0"/>
    <n v="926497.0625"/>
    <n v="0.96103650331497203"/>
    <n v="0"/>
    <n v="2.6208104330145798"/>
    <n v="2.7270664787179579"/>
    <n v="9.7613446486272907E-3"/>
    <n v="5.0445144653320298E-2"/>
    <n v="4.4082105159759501E-2"/>
    <n v="3.1111496597528401E-2"/>
    <n v="3.2033252529800001E-2"/>
    <b v="0"/>
    <b v="0"/>
    <b v="0"/>
    <b v="0"/>
  </r>
  <r>
    <x v="65"/>
    <x v="1"/>
    <n v="927415.125"/>
    <n v="0.96140450239181496"/>
    <n v="0"/>
    <n v="2.54258954176581"/>
    <n v="2.6446615711079664"/>
    <n v="-2.9846069850534802E-2"/>
    <n v="3.1111496597528401E-2"/>
    <n v="3.2033252529800001E-2"/>
    <n v="-3.88424302213825E-2"/>
    <n v="-9.3316259444691206E-3"/>
    <b v="1"/>
    <b v="0"/>
    <b v="1"/>
    <b v="0"/>
  </r>
  <r>
    <x v="65"/>
    <x v="2"/>
    <n v="936094"/>
    <n v="0.95483303070068404"/>
    <n v="0"/>
    <n v="2.6471507374701102"/>
    <n v="2.7723703017767982"/>
    <n v="4.11238990748286E-2"/>
    <n v="-3.88424302213825E-2"/>
    <n v="-9.3316259444691206E-3"/>
    <n v="-4.9752642124891298E-2"/>
    <n v="-2.3185940459370599E-2"/>
    <b v="0"/>
    <b v="1"/>
    <b v="0"/>
    <b v="1"/>
  </r>
  <r>
    <x v="65"/>
    <x v="3"/>
    <n v="946832.6875"/>
    <n v="0.94823998212814298"/>
    <n v="3.0000000000000001E-3"/>
    <n v="2.6373794022217898"/>
    <n v="2.7813416982299111"/>
    <n v="-3.6912651440683202E-3"/>
    <n v="-4.9752642124891298E-2"/>
    <n v="-2.3185940459370599E-2"/>
    <n v="2.14034158885478E-2"/>
    <n v="3.0863524647429499E-2"/>
    <b v="0"/>
    <b v="0"/>
    <b v="0"/>
    <b v="0"/>
  </r>
  <r>
    <x v="65"/>
    <x v="4"/>
    <n v="961626.75"/>
    <n v="0.95627415180206299"/>
    <n v="0"/>
    <n v="2.5980190728671801"/>
    <n v="2.7168140725871446"/>
    <n v="-1.4924030013067E-2"/>
    <n v="2.14034158885478E-2"/>
    <n v="3.0863524647429499E-2"/>
    <n v="-1.9640019506216001E-2"/>
    <n v="1.6437550075352901E-3"/>
    <b v="1"/>
    <b v="0"/>
    <b v="1"/>
    <b v="0"/>
  </r>
  <r>
    <x v="65"/>
    <x v="5"/>
    <n v="977539.125"/>
    <n v="0.95437389612197898"/>
    <n v="0"/>
    <n v="2.6322630572016101"/>
    <n v="2.7581046253440058"/>
    <n v="1.31808055961007E-2"/>
    <n v="-1.9640019506216001E-2"/>
    <n v="1.6437550075352901E-3"/>
    <n v="5.8331449478865004E-3"/>
    <n v="1.1271351017057901E-2"/>
    <b v="0"/>
    <b v="0"/>
    <b v="0"/>
    <b v="1"/>
  </r>
  <r>
    <x v="65"/>
    <x v="6"/>
    <n v="992736.3125"/>
    <n v="0.95495414733886697"/>
    <n v="2E-3"/>
    <n v="2.6764221318720098"/>
    <n v="2.8026708290971767"/>
    <n v="1.6776087233982301E-2"/>
    <n v="5.8331449478865004E-3"/>
    <n v="1.11857522279024E-2"/>
    <n v="2.12651161849499E-2"/>
    <n v="1.5138344839215299E-2"/>
    <b v="0"/>
    <b v="0"/>
    <b v="0"/>
    <b v="0"/>
  </r>
  <r>
    <x v="65"/>
    <x v="7"/>
    <n v="1004051"/>
    <n v="0.95419639348983798"/>
    <n v="0"/>
    <n v="2.7135452470646402"/>
    <n v="2.8438016173381597"/>
    <n v="1.38704260253085E-2"/>
    <n v="2.12651161849499E-2"/>
    <n v="1.5138344839215299E-2"/>
    <n v="2.72271286845207E-2"/>
    <n v="2.5219105184078199E-2"/>
    <b v="0"/>
    <b v="0"/>
    <b v="0"/>
    <b v="0"/>
  </r>
  <r>
    <x v="65"/>
    <x v="8"/>
    <n v="1011153"/>
    <n v="0.958407282829285"/>
    <n v="0"/>
    <n v="2.7227061268930002"/>
    <n v="2.8408654396441793"/>
    <n v="3.37598196981062E-3"/>
    <n v="2.72271286845207E-2"/>
    <n v="2.5219105184078199E-2"/>
    <n v="1.43816780075431E-2"/>
    <n v="-1.5881774015724499E-2"/>
    <b v="0"/>
    <b v="0"/>
    <b v="0"/>
    <b v="0"/>
  </r>
  <r>
    <x v="65"/>
    <x v="9"/>
    <n v="1019147"/>
    <n v="0.94770032167434703"/>
    <n v="1.7999999999999999E-2"/>
    <n v="2.7430672492806099"/>
    <n v="2.8944458354032245"/>
    <n v="7.4782666357190901E-3"/>
    <n v="1.43816780075431E-2"/>
    <n v="-1.5881774015724499E-2"/>
    <n v="-3.28479028493165E-3"/>
    <n v="-1.6438347287476E-2"/>
    <b v="0"/>
    <b v="1"/>
    <b v="0"/>
    <b v="0"/>
  </r>
  <r>
    <x v="65"/>
    <x v="10"/>
    <n v="1023593"/>
    <n v="0.95330399274826005"/>
    <n v="2E-3"/>
    <n v="2.67833071934212"/>
    <n v="2.8095242857641001"/>
    <n v="-2.3600052078733801E-2"/>
    <n v="-3.28479028493165E-3"/>
    <n v="-1.6438347287476E-2"/>
    <n v="7.6920275539159901E-3"/>
    <n v="4.9024540930986899E-3"/>
    <b v="0"/>
    <b v="0"/>
    <b v="0"/>
    <b v="0"/>
  </r>
  <r>
    <x v="65"/>
    <x v="11"/>
    <n v="1022452"/>
    <n v="0.95053642988205"/>
    <n v="8.0000000000000002E-3"/>
    <n v="2.5919556494038898"/>
    <n v="2.7268346250816711"/>
    <n v="-3.2249590879293903E-2"/>
    <n v="7.6920275539159901E-3"/>
    <n v="4.9024540930986899E-3"/>
    <n v="-1.4436652660369999E-3"/>
    <n v="-1.0578688234090699E-2"/>
    <b v="1"/>
    <b v="0"/>
    <b v="1"/>
    <b v="0"/>
  </r>
  <r>
    <x v="65"/>
    <x v="12"/>
    <n v="1021025"/>
    <n v="0.94564467668533303"/>
    <n v="0"/>
    <n v="2.62812342296878"/>
    <n v="2.779187032682148"/>
    <n v="1.3953855102886501E-2"/>
    <n v="-1.4436652660369999E-3"/>
    <n v="-1.0578688234090699E-2"/>
    <n v="1.7518199205398599E-2"/>
    <n v="-2.8299540281290198E-4"/>
    <b v="0"/>
    <b v="1"/>
    <b v="0"/>
    <b v="1"/>
  </r>
  <r>
    <x v="65"/>
    <x v="13"/>
    <n v="1018163"/>
    <n v="0.94726103544235196"/>
    <n v="0"/>
    <n v="2.5523677688718198"/>
    <n v="2.6944714005679704"/>
    <n v="-2.88249986415735E-2"/>
    <n v="1.7518199205398599E-2"/>
    <n v="-2.8299540281290198E-4"/>
    <n v="5.3746664077043904E-3"/>
    <n v="-1.34745240211486E-2"/>
    <b v="0"/>
    <b v="0"/>
    <b v="1"/>
    <b v="0"/>
  </r>
  <r>
    <x v="65"/>
    <x v="14"/>
    <n v="1010361"/>
    <n v="0.942582607269287"/>
    <n v="2.8000000000000001E-2"/>
    <n v="2.5943061332999702"/>
    <n v="2.7523382176717814"/>
    <n v="1.64311604854217E-2"/>
    <n v="5.3746664077043904E-3"/>
    <n v="-1.34745240211486E-2"/>
    <n v="3.6041332662105602E-2"/>
    <n v="-7.5482800602912998E-3"/>
    <b v="0"/>
    <b v="1"/>
    <b v="0"/>
    <b v="0"/>
  </r>
  <r>
    <x v="65"/>
    <x v="15"/>
    <n v="1001952"/>
    <n v="0.96450543403625499"/>
    <n v="-1E-3"/>
    <n v="2.59985151654941"/>
    <n v="2.6955281171092746"/>
    <n v="2.1375207722274E-3"/>
    <n v="3.6041332662105602E-2"/>
    <n v="-7.5482800602912998E-3"/>
    <n v="-8.2361691789701499E-2"/>
    <n v="-5.0258185015991198E-2"/>
    <b v="0"/>
    <b v="1"/>
    <b v="0"/>
    <b v="0"/>
  </r>
  <r>
    <x v="65"/>
    <x v="16"/>
    <n v="995202.875"/>
    <n v="0.94985234737396196"/>
    <n v="1.2E-2"/>
    <n v="2.5604341172382599"/>
    <n v="2.6956127700447774"/>
    <n v="-1.51614040495143E-2"/>
    <n v="-8.2361691789701499E-2"/>
    <n v="-4.9779481487348599E-2"/>
    <n v="-8.8041264414786997E-3"/>
    <n v="1.07548013329505E-2"/>
    <b v="0"/>
    <b v="0"/>
    <b v="0"/>
    <b v="0"/>
  </r>
  <r>
    <x v="66"/>
    <x v="0"/>
    <n v="5452625"/>
    <n v="0.90926349163055398"/>
    <n v="1.2999999999999999E-2"/>
    <n v="2.4428780479881298"/>
    <n v="2.6866558159146945"/>
    <n v="-2.8292369993125701E-2"/>
    <n v="-6.8770501464604896E-3"/>
    <n v="-1.3240089640021199E-2"/>
    <n v="8.6036167144774908E-3"/>
    <n v="9.5253726467489901E-3"/>
    <b v="0"/>
    <b v="0"/>
    <b v="0"/>
    <b v="0"/>
  </r>
  <r>
    <x v="66"/>
    <x v="1"/>
    <n v="5574720"/>
    <n v="0.902010917663574"/>
    <n v="2.5000000000000001E-2"/>
    <n v="2.4387936383432001"/>
    <n v="2.7037296229853451"/>
    <n v="-1.6719662482934999E-3"/>
    <n v="8.6036167144774908E-3"/>
    <n v="9.5253726467489901E-3"/>
    <n v="-1.14697490930557E-2"/>
    <n v="1.80410551838577E-2"/>
    <b v="1"/>
    <b v="0"/>
    <b v="1"/>
    <b v="0"/>
  </r>
  <r>
    <x v="66"/>
    <x v="2"/>
    <n v="5714056"/>
    <n v="0.90101557970046997"/>
    <n v="4.3999999999999997E-2"/>
    <n v="2.4321172023212401"/>
    <n v="2.6993064904934978"/>
    <n v="-2.7375977684172899E-3"/>
    <n v="-1.14697490930557E-2"/>
    <n v="1.80410551838577E-2"/>
    <n v="-1.45954514890908E-2"/>
    <n v="1.19712501764297E-2"/>
    <b v="1"/>
    <b v="0"/>
    <b v="0"/>
    <b v="0"/>
  </r>
  <r>
    <x v="66"/>
    <x v="3"/>
    <n v="5856678"/>
    <n v="0.88630998134613004"/>
    <n v="1.4999999999999999E-2"/>
    <n v="2.5308877064506601"/>
    <n v="2.8555333458015908"/>
    <n v="4.0610914652942601E-2"/>
    <n v="-1.45954514890908E-2"/>
    <n v="1.19712501764297E-2"/>
    <n v="-1.3752834809943999E-2"/>
    <n v="-4.2927260510623403E-3"/>
    <b v="0"/>
    <b v="0"/>
    <b v="0"/>
    <b v="1"/>
  </r>
  <r>
    <x v="66"/>
    <x v="4"/>
    <n v="5973997"/>
    <n v="0.89308464527130105"/>
    <n v="7.0000000000000001E-3"/>
    <n v="2.5225521781762099"/>
    <n v="2.8245387394493942"/>
    <n v="-3.2935196031055598E-3"/>
    <n v="-1.3752834809943999E-2"/>
    <n v="-4.2927260510623403E-3"/>
    <n v="-1.6881634823977899E-2"/>
    <n v="4.4021396897734001E-3"/>
    <b v="0"/>
    <b v="0"/>
    <b v="0"/>
    <b v="0"/>
  </r>
  <r>
    <x v="66"/>
    <x v="5"/>
    <n v="6085334"/>
    <n v="0.90473878383636497"/>
    <n v="1E-3"/>
    <n v="2.5089012415520902"/>
    <n v="2.7730669739983878"/>
    <n v="-5.4115576844056597E-3"/>
    <n v="-1.6881634823977899E-2"/>
    <n v="4.4021396897734001E-3"/>
    <n v="6.2618718445300904E-3"/>
    <n v="1.1700077913701401E-2"/>
    <b v="1"/>
    <b v="0"/>
    <b v="0"/>
    <b v="0"/>
  </r>
  <r>
    <x v="66"/>
    <x v="6"/>
    <n v="6216155"/>
    <n v="0.920246541500092"/>
    <n v="4.0000000000000001E-3"/>
    <n v="2.48819255165875"/>
    <n v="2.7038325486154529"/>
    <n v="-8.2540873073683203E-3"/>
    <n v="6.2618718445300904E-3"/>
    <n v="1.16144791245459E-2"/>
    <n v="1.92758931219578E-2"/>
    <n v="1.31491217762232E-2"/>
    <b v="1"/>
    <b v="0"/>
    <b v="1"/>
    <b v="0"/>
  </r>
  <r>
    <x v="66"/>
    <x v="7"/>
    <n v="6365199"/>
    <n v="0.92668414115905795"/>
    <n v="1.2999999999999999E-2"/>
    <n v="2.4970264613121702"/>
    <n v="2.6945820591997975"/>
    <n v="3.5503320060702899E-3"/>
    <n v="1.92758931219578E-2"/>
    <n v="1.31491217762232E-2"/>
    <n v="1.07571378499269E-2"/>
    <n v="8.7491143494843899E-3"/>
    <b v="0"/>
    <b v="0"/>
    <b v="0"/>
    <b v="0"/>
  </r>
  <r>
    <x v="66"/>
    <x v="8"/>
    <n v="6536154"/>
    <n v="0.919741570949554"/>
    <n v="3.1E-2"/>
    <n v="2.49719927351657"/>
    <n v="2.7151097138497575"/>
    <n v="6.92071978733031E-5"/>
    <n v="1.07571378499269E-2"/>
    <n v="8.7491143494843899E-3"/>
    <n v="2.9652981251478101E-2"/>
    <n v="-6.1047077178949798E-4"/>
    <b v="0"/>
    <b v="0"/>
    <b v="0"/>
    <b v="0"/>
  </r>
  <r>
    <x v="66"/>
    <x v="9"/>
    <n v="6696740"/>
    <n v="0.91160273551940896"/>
    <n v="3.3000000000000002E-2"/>
    <n v="2.53061228869023"/>
    <n v="2.7760033949967791"/>
    <n v="1.33801957769283E-2"/>
    <n v="2.9652981251478101E-2"/>
    <n v="-6.1047077178949798E-4"/>
    <n v="-2.90095933824778E-2"/>
    <n v="-4.2163150385022198E-2"/>
    <b v="0"/>
    <b v="1"/>
    <b v="0"/>
    <b v="0"/>
  </r>
  <r>
    <x v="66"/>
    <x v="10"/>
    <n v="6820520"/>
    <n v="0.89208406209945701"/>
    <n v="3.3000000000000002E-2"/>
    <n v="2.4869364307029498"/>
    <n v="2.7877826052066439"/>
    <n v="-1.7259008099532201E-2"/>
    <n v="-2.90095933824778E-2"/>
    <n v="-4.2163150385022198E-2"/>
    <n v="1.25936881601809E-2"/>
    <n v="9.8041146993636894E-3"/>
    <b v="0"/>
    <b v="0"/>
    <b v="0"/>
    <b v="0"/>
  </r>
  <r>
    <x v="66"/>
    <x v="11"/>
    <n v="6907312"/>
    <n v="0.89605003595352195"/>
    <n v="2.5999999999999999E-2"/>
    <n v="2.4847083815631299"/>
    <n v="2.77295718081084"/>
    <n v="-8.9590112248653898E-4"/>
    <n v="1.25936881601809E-2"/>
    <n v="9.8041146993636894E-3"/>
    <n v="-1.23644264191389E-2"/>
    <n v="-2.1499449387192698E-2"/>
    <b v="1"/>
    <b v="0"/>
    <b v="1"/>
    <b v="0"/>
  </r>
  <r>
    <x v="66"/>
    <x v="12"/>
    <n v="6984831"/>
    <n v="0.89791417121887196"/>
    <n v="1.2999999999999999E-2"/>
    <n v="2.4912518263636101"/>
    <n v="2.7744877029637083"/>
    <n v="2.6334860255764901E-3"/>
    <n v="-1.23644264191389E-2"/>
    <n v="-2.1499449387192698E-2"/>
    <n v="1.48487306833267E-2"/>
    <n v="-2.9524639248848E-3"/>
    <b v="0"/>
    <b v="1"/>
    <b v="0"/>
    <b v="1"/>
  </r>
  <r>
    <x v="66"/>
    <x v="13"/>
    <n v="7074333"/>
    <n v="0.90026974678039595"/>
    <n v="2.1000000000000001E-2"/>
    <n v="2.4834354220779802"/>
    <n v="2.7585459035576902"/>
    <n v="-3.1375408149857701E-3"/>
    <n v="1.48487306833267E-2"/>
    <n v="-2.9524639248848E-3"/>
    <n v="-1.34050938189029E-2"/>
    <n v="-3.22542842477559E-2"/>
    <b v="0"/>
    <b v="0"/>
    <b v="1"/>
    <b v="0"/>
  </r>
  <r>
    <x v="66"/>
    <x v="14"/>
    <n v="7161202"/>
    <n v="0.89095151424408003"/>
    <n v="3.5999999999999997E-2"/>
    <n v="2.2430096827198298"/>
    <n v="2.517544049097769"/>
    <n v="-9.6811754080959406E-2"/>
    <n v="-1.34050938189029E-2"/>
    <n v="-3.22542842477559E-2"/>
    <n v="4.4813914477825199E-2"/>
    <n v="1.2243017554282999E-3"/>
    <b v="0"/>
    <b v="0"/>
    <b v="0"/>
    <b v="0"/>
  </r>
  <r>
    <x v="66"/>
    <x v="15"/>
    <n v="7256409"/>
    <n v="0.92494761943817105"/>
    <n v="2.8000000000000001E-2"/>
    <n v="2.39575287252601"/>
    <n v="2.5901497794883035"/>
    <n v="6.8097427747602607E-2"/>
    <n v="4.4813914477825199E-2"/>
    <n v="1.2243017554282999E-3"/>
    <n v="-4.6591771692037598E-2"/>
    <n v="-1.44882649183273E-2"/>
    <b v="0"/>
    <b v="0"/>
    <b v="0"/>
    <b v="0"/>
  </r>
  <r>
    <x v="66"/>
    <x v="16"/>
    <n v="7421880"/>
    <n v="0.90407317876815796"/>
    <n v="2.5999999999999999E-2"/>
    <n v="2.35523771713674"/>
    <n v="2.60514057097221"/>
    <n v="-1.6911241494852399E-2"/>
    <n v="-4.6591771692037598E-2"/>
    <n v="-1.40095613896847E-2"/>
    <n v="-3.7438271598890398E-2"/>
    <n v="-1.7879343824461099E-2"/>
    <b v="0"/>
    <b v="0"/>
    <b v="0"/>
    <b v="0"/>
  </r>
  <r>
    <x v="67"/>
    <x v="0"/>
    <n v="385074.59375"/>
    <n v="0.91982990503311202"/>
    <n v="1.2E-2"/>
    <n v="2.1031009478555598"/>
    <n v="2.2864020144896817"/>
    <n v="3.3765439027746202E-2"/>
    <n v="2.9545103788375899E-2"/>
    <n v="2.3182064294815102E-2"/>
    <n v="-1.1160661429166999E-3"/>
    <n v="-1.9431021064519999E-4"/>
    <b v="0"/>
    <b v="0"/>
    <b v="0"/>
    <b v="0"/>
  </r>
  <r>
    <x v="67"/>
    <x v="1"/>
    <n v="394529.125"/>
    <n v="0.89658737182617199"/>
    <n v="1.4999999999999999E-2"/>
    <n v="2.0880750605326801"/>
    <n v="2.3289141986013946"/>
    <n v="-7.1446343734489102E-3"/>
    <n v="-1.1160661429166999E-3"/>
    <n v="-1.9431021064519999E-4"/>
    <n v="-5.3353322029113803E-2"/>
    <n v="-2.38425177522004E-2"/>
    <b v="0"/>
    <b v="0"/>
    <b v="0"/>
    <b v="0"/>
  </r>
  <r>
    <x v="67"/>
    <x v="2"/>
    <n v="404833.40625"/>
    <n v="0.88476681709289595"/>
    <n v="5.0999999999999997E-2"/>
    <n v="2.10414586602006"/>
    <n v="2.3781925648316165"/>
    <n v="7.6964692463096203E-3"/>
    <n v="-5.3353322029113803E-2"/>
    <n v="-2.38425177522004E-2"/>
    <n v="-3.08824113607407E-2"/>
    <n v="-4.31570969522005E-3"/>
    <b v="0"/>
    <b v="1"/>
    <b v="0"/>
    <b v="1"/>
  </r>
  <r>
    <x v="67"/>
    <x v="3"/>
    <n v="414061.1875"/>
    <n v="0.89664483070373502"/>
    <n v="4.2999999999999997E-2"/>
    <n v="2.0592604479493799"/>
    <n v="2.2966289186468201"/>
    <n v="-2.1331894711073902E-2"/>
    <n v="-3.08824113607407E-2"/>
    <n v="-4.31570969522005E-3"/>
    <n v="-7.7652029544115096E-3"/>
    <n v="1.69490580447017E-3"/>
    <b v="0"/>
    <b v="0"/>
    <b v="0"/>
    <b v="0"/>
  </r>
  <r>
    <x v="67"/>
    <x v="4"/>
    <n v="421393.1875"/>
    <n v="0.91222465038299605"/>
    <n v="2.9000000000000001E-2"/>
    <n v="2.16656036446469"/>
    <n v="2.3750294004388754"/>
    <n v="5.21060444890106E-2"/>
    <n v="-7.7652029544115096E-3"/>
    <n v="1.69490580447017E-3"/>
    <n v="-1.6232701361179401E-2"/>
    <n v="5.0510731525718897E-3"/>
    <b v="0"/>
    <b v="0"/>
    <b v="0"/>
    <b v="1"/>
  </r>
  <r>
    <x v="67"/>
    <x v="5"/>
    <n v="428251.1875"/>
    <n v="0.91653549671173096"/>
    <n v="0"/>
    <n v="2.1389689723997498"/>
    <n v="2.3337546446087063"/>
    <n v="-1.2735113462559801E-2"/>
    <n v="-1.6232701361179401E-2"/>
    <n v="5.0510731525718897E-3"/>
    <n v="-5.3526072800158999E-3"/>
    <n v="8.5598789155498804E-5"/>
    <b v="1"/>
    <b v="0"/>
    <b v="0"/>
    <b v="0"/>
  </r>
  <r>
    <x v="67"/>
    <x v="6"/>
    <n v="434665.5"/>
    <n v="0.91921538114547696"/>
    <n v="3.0000000000000001E-3"/>
    <n v="2.3001701024664798"/>
    <n v="2.5023189881789523"/>
    <n v="7.5363940359490594E-2"/>
    <n v="-5.3526072800158999E-3"/>
    <n v="0"/>
    <n v="-1.27808075491339E-2"/>
    <n v="-1.89075788948685E-2"/>
    <b v="0"/>
    <b v="0"/>
    <b v="0"/>
    <b v="1"/>
  </r>
  <r>
    <x v="67"/>
    <x v="7"/>
    <n v="441219.09375"/>
    <n v="0.89684623479843095"/>
    <n v="3.3000000000000002E-2"/>
    <n v="2.2407332988881801"/>
    <n v="2.4984587234084694"/>
    <n v="-2.5840177434948802E-2"/>
    <n v="-1.27808075491339E-2"/>
    <n v="-1.89075788948685E-2"/>
    <n v="-1.9887358121573901E-2"/>
    <n v="-2.1895381622016399E-2"/>
    <b v="0"/>
    <b v="0"/>
    <b v="0"/>
    <b v="0"/>
  </r>
  <r>
    <x v="67"/>
    <x v="8"/>
    <n v="447227.125"/>
    <n v="0.88356918096542403"/>
    <n v="4.5999999999999999E-2"/>
    <n v="2.2681952978117099"/>
    <n v="2.5670828574321556"/>
    <n v="1.22558088181033E-2"/>
    <n v="-1.9887358121573901E-2"/>
    <n v="-2.1895381622016399E-2"/>
    <n v="1.92279984951019E-2"/>
    <n v="-1.1035453528165699E-2"/>
    <b v="0"/>
    <b v="1"/>
    <b v="0"/>
    <b v="1"/>
  </r>
  <r>
    <x v="67"/>
    <x v="9"/>
    <n v="452852.375"/>
    <n v="0.90770345926284801"/>
    <n v="8.0000000000000002E-3"/>
    <n v="2.33032063285818"/>
    <n v="2.567270851595794"/>
    <n v="2.7389764499731399E-2"/>
    <n v="1.92279984951019E-2"/>
    <n v="-1.1035453528165699E-2"/>
    <n v="1.0468729108572E-2"/>
    <n v="-2.6848278939723999E-3"/>
    <b v="0"/>
    <b v="1"/>
    <b v="0"/>
    <b v="0"/>
  </r>
  <r>
    <x v="67"/>
    <x v="10"/>
    <n v="459518.09375"/>
    <n v="0.91127532720565796"/>
    <n v="2.8000000000000001E-2"/>
    <n v="2.2134459536582498"/>
    <n v="2.4289541125244534"/>
    <n v="-5.0153904811190197E-2"/>
    <n v="1.0468729108572E-2"/>
    <n v="-2.6848278939723999E-3"/>
    <n v="1.92255058288574E-2"/>
    <n v="1.6435932368040099E-2"/>
    <b v="0"/>
    <b v="0"/>
    <b v="1"/>
    <b v="0"/>
  </r>
  <r>
    <x v="67"/>
    <x v="11"/>
    <n v="467325"/>
    <n v="0.917838275432587"/>
    <n v="1.0999999999999999E-2"/>
    <n v="2.1810302390998499"/>
    <n v="2.3762685622060236"/>
    <n v="-1.46449089957783E-2"/>
    <n v="1.92255058288574E-2"/>
    <n v="1.6435932368040099E-2"/>
    <n v="2.66228655576706E-2"/>
    <n v="1.74878425896168E-2"/>
    <b v="1"/>
    <b v="0"/>
    <b v="1"/>
    <b v="0"/>
  </r>
  <r>
    <x v="67"/>
    <x v="12"/>
    <n v="476105"/>
    <n v="0.92468643188476596"/>
    <n v="1.9E-2"/>
    <n v="2.0888908205841399"/>
    <n v="2.2590261396248721"/>
    <n v="-4.2245823493828098E-2"/>
    <n v="2.66228655576706E-2"/>
    <n v="1.74878425896168E-2"/>
    <n v="3.9395584881305699E-2"/>
    <n v="2.1594390273094202E-2"/>
    <b v="1"/>
    <b v="0"/>
    <b v="1"/>
    <b v="0"/>
  </r>
  <r>
    <x v="67"/>
    <x v="13"/>
    <n v="486001.90625"/>
    <n v="0.938149094581604"/>
    <n v="1.4999999999999999E-2"/>
    <n v="2.0663233706711899"/>
    <n v="2.2025532856189871"/>
    <n v="-1.0803556457123401E-2"/>
    <n v="3.9395584881305699E-2"/>
    <n v="2.1594390273094202E-2"/>
    <n v="2.6997091352939599E-2"/>
    <n v="8.1479009240865898E-3"/>
    <b v="1"/>
    <b v="0"/>
    <b v="1"/>
    <b v="0"/>
  </r>
  <r>
    <x v="67"/>
    <x v="14"/>
    <n v="497023.40625"/>
    <n v="0.92966777086257901"/>
    <n v="4.7E-2"/>
    <n v="1.8987355730353599"/>
    <n v="2.0423807649840815"/>
    <n v="-8.1104342144375993E-2"/>
    <n v="2.6997091352939599E-2"/>
    <n v="8.1479009240865898E-3"/>
    <n v="2.3676818490028301E-2"/>
    <n v="-1.99127942323685E-2"/>
    <b v="1"/>
    <b v="0"/>
    <b v="1"/>
    <b v="0"/>
  </r>
  <r>
    <x v="67"/>
    <x v="15"/>
    <n v="506618.71875"/>
    <n v="0.90786719322204601"/>
    <n v="7.8E-2"/>
    <n v="2.0096726056705201"/>
    <n v="2.2136195918018977"/>
    <n v="5.84267942364474E-2"/>
    <n v="2.3676818490028301E-2"/>
    <n v="-1.99127942323685E-2"/>
    <n v="-5.2064243629574798E-2"/>
    <n v="-1.9960736855864501E-2"/>
    <b v="0"/>
    <b v="1"/>
    <b v="0"/>
    <b v="0"/>
  </r>
  <r>
    <x v="67"/>
    <x v="16"/>
    <n v="518390.375"/>
    <n v="0.86933356523513805"/>
    <n v="0.106"/>
    <n v="2.06334225003785"/>
    <n v="2.3734758814699113"/>
    <n v="2.67056654979019E-2"/>
    <n v="-5.2064243629574798E-2"/>
    <n v="-1.9482033327221902E-2"/>
    <n v="-6.8981003746390296E-2"/>
    <n v="-4.9422075971960903E-2"/>
    <b v="0"/>
    <b v="1"/>
    <b v="0"/>
    <b v="1"/>
  </r>
  <r>
    <x v="68"/>
    <x v="0"/>
    <n v="1807070"/>
    <n v="0.89683598279953003"/>
    <n v="1.6E-2"/>
    <n v="2.1568407538741199"/>
    <n v="2.4049444884463775"/>
    <n v="-8.2342595768656098E-3"/>
    <n v="-1.8400001682341099E-2"/>
    <n v="-2.47630411759018E-2"/>
    <n v="-1.16705157756805E-2"/>
    <n v="-1.0748759843409001E-2"/>
    <b v="0"/>
    <b v="0"/>
    <b v="0"/>
    <b v="0"/>
  </r>
  <r>
    <x v="68"/>
    <x v="1"/>
    <n v="1832454"/>
    <n v="0.90341293811798096"/>
    <n v="8.9999999999999993E-3"/>
    <n v="2.1049824323752202"/>
    <n v="2.3300335246032535"/>
    <n v="-2.4043648751421402E-2"/>
    <n v="-1.16705157756805E-2"/>
    <n v="-1.0748759843409001E-2"/>
    <n v="-1.8425463989377E-2"/>
    <n v="1.10853402875364E-2"/>
    <b v="0"/>
    <b v="0"/>
    <b v="0"/>
    <b v="0"/>
  </r>
  <r>
    <x v="68"/>
    <x v="2"/>
    <n v="1856185"/>
    <n v="0.89965873956680298"/>
    <n v="8.9999999999999993E-3"/>
    <n v="2.1723828970512602"/>
    <n v="2.4146743665240109"/>
    <n v="3.2019490347947099E-2"/>
    <n v="-1.8425463989377E-2"/>
    <n v="1.10853402875364E-2"/>
    <n v="-8.5702153891324996E-3"/>
    <n v="1.7996486276388099E-2"/>
    <b v="0"/>
    <b v="0"/>
    <b v="0"/>
    <b v="1"/>
  </r>
  <r>
    <x v="68"/>
    <x v="3"/>
    <n v="1878532"/>
    <n v="0.89230495691299405"/>
    <n v="7.0000000000000001E-3"/>
    <n v="2.2432523358118002"/>
    <n v="2.5139973934164002"/>
    <n v="3.26229040270654E-2"/>
    <n v="-8.5702153891324996E-3"/>
    <n v="1.7996486276388099E-2"/>
    <n v="-2.17640634477138E-2"/>
    <n v="-1.23039546888321E-2"/>
    <b v="0"/>
    <b v="0"/>
    <b v="0"/>
    <b v="1"/>
  </r>
  <r>
    <x v="68"/>
    <x v="4"/>
    <n v="1898493"/>
    <n v="0.90110307931900002"/>
    <n v="1.7000000000000001E-2"/>
    <n v="2.26013664655625"/>
    <n v="2.5081887948538877"/>
    <n v="7.5267104261537597E-3"/>
    <n v="-2.17640634477138E-2"/>
    <n v="-1.23039546888321E-2"/>
    <n v="-1.8065178178250801E-2"/>
    <n v="3.21859633550049E-3"/>
    <b v="0"/>
    <b v="1"/>
    <b v="0"/>
    <b v="1"/>
  </r>
  <r>
    <x v="68"/>
    <x v="5"/>
    <n v="1919091"/>
    <n v="0.90946716070175204"/>
    <n v="2E-3"/>
    <n v="2.20021484881164"/>
    <n v="2.4192350684921231"/>
    <n v="-2.65124667731544E-2"/>
    <n v="-1.8065178178250801E-2"/>
    <n v="3.21859633550049E-3"/>
    <n v="-7.6985240951180003E-3"/>
    <n v="-2.2603180259466002E-3"/>
    <b v="1"/>
    <b v="0"/>
    <b v="0"/>
    <b v="0"/>
  </r>
  <r>
    <x v="68"/>
    <x v="6"/>
    <n v="1942046"/>
    <n v="0.91187340021133401"/>
    <n v="1.6E-2"/>
    <n v="2.2296915015168799"/>
    <n v="2.4451766012695741"/>
    <n v="1.3397170154160001E-2"/>
    <n v="-7.6985240951180003E-3"/>
    <n v="-2.3459168151020999E-3"/>
    <n v="3.8748294115069999E-4"/>
    <n v="-5.7392884045838997E-3"/>
    <b v="0"/>
    <b v="1"/>
    <b v="0"/>
    <b v="1"/>
  </r>
  <r>
    <x v="68"/>
    <x v="7"/>
    <n v="1966576"/>
    <n v="0.90716880559921298"/>
    <n v="1.4999999999999999E-2"/>
    <n v="2.2650945306321999"/>
    <n v="2.496883178358448"/>
    <n v="1.5877994373318299E-2"/>
    <n v="3.8748294115069999E-4"/>
    <n v="-5.7392884045838997E-3"/>
    <n v="-6.0610400363802896E-3"/>
    <n v="-8.0690635368227907E-3"/>
    <b v="0"/>
    <b v="1"/>
    <b v="0"/>
    <b v="0"/>
  </r>
  <r>
    <x v="68"/>
    <x v="8"/>
    <n v="1986103"/>
    <n v="0.90121287107467696"/>
    <n v="2.9000000000000001E-2"/>
    <n v="2.2452681989415399"/>
    <n v="2.4913849668659371"/>
    <n v="-8.7529820157787996E-3"/>
    <n v="-6.0610400363802896E-3"/>
    <n v="-8.0690635368227907E-3"/>
    <n v="2.62620376199484E-2"/>
    <n v="-4.0014144033192903E-3"/>
    <b v="0"/>
    <b v="0"/>
    <b v="0"/>
    <b v="0"/>
  </r>
  <r>
    <x v="68"/>
    <x v="9"/>
    <n v="2005012"/>
    <n v="0.91007488965988204"/>
    <n v="0.02"/>
    <n v="2.2059094764209801"/>
    <n v="2.4238768715455761"/>
    <n v="-1.7529630776008501E-2"/>
    <n v="2.62620376199484E-2"/>
    <n v="-4.0014144033192903E-3"/>
    <n v="1.5099723160266899E-2"/>
    <n v="1.9461661577225E-3"/>
    <b v="0"/>
    <b v="0"/>
    <b v="1"/>
    <b v="0"/>
  </r>
  <r>
    <x v="68"/>
    <x v="10"/>
    <n v="2028459"/>
    <n v="0.91126996278762795"/>
    <n v="1.7000000000000001E-2"/>
    <n v="2.1670419502581901"/>
    <n v="2.3780460662053233"/>
    <n v="-1.7619728542009501E-2"/>
    <n v="1.5099723160266899E-2"/>
    <n v="1.9461661577225E-3"/>
    <n v="9.8164097368716903E-3"/>
    <n v="7.0268362760543997E-3"/>
    <b v="1"/>
    <b v="0"/>
    <b v="1"/>
    <b v="0"/>
  </r>
  <r>
    <x v="68"/>
    <x v="11"/>
    <n v="2052709"/>
    <n v="0.91296720504760698"/>
    <n v="1.4E-2"/>
    <n v="2.1224321670798201"/>
    <n v="2.3247627684163588"/>
    <n v="-2.0585565117027499E-2"/>
    <n v="9.8164097368716903E-3"/>
    <n v="7.0268362760543997E-3"/>
    <n v="9.1350229680537895E-3"/>
    <n v="0"/>
    <b v="1"/>
    <b v="0"/>
    <b v="1"/>
    <b v="0"/>
  </r>
  <r>
    <x v="68"/>
    <x v="12"/>
    <n v="2078336"/>
    <n v="0.91157513856887795"/>
    <n v="0.02"/>
    <n v="2.16601697773168"/>
    <n v="2.3761255502560168"/>
    <n v="2.0535313838474602E-2"/>
    <n v="9.1350229680537895E-3"/>
    <n v="0"/>
    <n v="2.59054034650326E-2"/>
    <n v="8.1042088568210897E-3"/>
    <b v="0"/>
    <b v="0"/>
    <b v="0"/>
    <b v="0"/>
  </r>
  <r>
    <x v="68"/>
    <x v="13"/>
    <n v="2100410"/>
    <n v="0.91674125194549605"/>
    <n v="5.0000000000000001E-3"/>
    <n v="2.00210162660141"/>
    <n v="2.1839331680041414"/>
    <n v="-7.5675930897795299E-2"/>
    <n v="2.59054034650326E-2"/>
    <n v="8.1042088568210897E-3"/>
    <n v="2.83578355908394E-2"/>
    <n v="9.5086451619863996E-3"/>
    <b v="1"/>
    <b v="0"/>
    <b v="1"/>
    <b v="0"/>
  </r>
  <r>
    <x v="68"/>
    <x v="14"/>
    <n v="2117928"/>
    <n v="0.92778569459915206"/>
    <n v="2.1000000000000001E-2"/>
    <n v="2.0597147339242698"/>
    <n v="2.2200328652557695"/>
    <n v="2.87763151267512E-2"/>
    <n v="2.83578355908394E-2"/>
    <n v="9.5086451619863996E-3"/>
    <n v="5.4212784647941999E-2"/>
    <n v="1.06231719255451E-2"/>
    <b v="0"/>
    <b v="0"/>
    <b v="0"/>
    <b v="0"/>
  </r>
  <r>
    <x v="68"/>
    <x v="15"/>
    <n v="2133781"/>
    <n v="0.94100296497345004"/>
    <n v="1.6E-2"/>
    <n v="2.0885124506574"/>
    <n v="2.2194536344700322"/>
    <n v="1.39814102695014E-2"/>
    <n v="5.4212784647941999E-2"/>
    <n v="1.06231719255451E-2"/>
    <n v="-1.1310744285582899E-3"/>
    <n v="3.0972432345151998E-2"/>
    <b v="0"/>
    <b v="0"/>
    <b v="0"/>
    <b v="0"/>
  </r>
  <r>
    <x v="68"/>
    <x v="16"/>
    <n v="2153608"/>
    <n v="0.92287856340408303"/>
    <n v="1.0999999999999999E-2"/>
    <n v="2.0925677333679702"/>
    <n v="2.2674356262533948"/>
    <n v="1.94170865933445E-3"/>
    <n v="-1.1310744285582899E-3"/>
    <n v="3.1451135873794597E-2"/>
    <n v="-1.55440501719713E-2"/>
    <n v="4.0148776024580002E-3"/>
    <b v="0"/>
    <b v="0"/>
    <b v="0"/>
    <b v="1"/>
  </r>
  <r>
    <x v="69"/>
    <x v="0"/>
    <n v="4006493"/>
    <n v="0.93624645471572898"/>
    <n v="2.5000000000000001E-2"/>
    <n v="2.9769073890342002"/>
    <n v="3.1796193983325405"/>
    <n v="4.3068690712248104E-3"/>
    <n v="1.43862828910351E-2"/>
    <n v="8.0232433974742993E-3"/>
    <n v="-1.08693045526743E-2"/>
    <n v="-9.9475486204028008E-3"/>
    <b v="0"/>
    <b v="0"/>
    <b v="0"/>
    <b v="0"/>
  </r>
  <r>
    <x v="69"/>
    <x v="1"/>
    <n v="4078843"/>
    <n v="0.92854863405227706"/>
    <n v="2.4E-2"/>
    <n v="2.9912175063876001"/>
    <n v="3.2213902392313414"/>
    <n v="4.8070414975338602E-3"/>
    <n v="-1.08693045526743E-2"/>
    <n v="-9.9475486204028008E-3"/>
    <n v="-6.5099471539258894E-2"/>
    <n v="-3.5588667262345497E-2"/>
    <b v="0"/>
    <b v="1"/>
    <b v="0"/>
    <b v="1"/>
  </r>
  <r>
    <x v="69"/>
    <x v="2"/>
    <n v="4125432.25"/>
    <n v="0.92335534095764205"/>
    <n v="1.2E-2"/>
    <n v="2.9686575179138699"/>
    <n v="3.2150759152321338"/>
    <n v="-7.5420755680771501E-3"/>
    <n v="-6.5099471539258894E-2"/>
    <n v="-3.5588667262345497E-2"/>
    <n v="-4.1042160898446998E-2"/>
    <n v="-1.4475459232926299E-2"/>
    <b v="0"/>
    <b v="0"/>
    <b v="0"/>
    <b v="0"/>
  </r>
  <r>
    <x v="69"/>
    <x v="3"/>
    <n v="4180928.25"/>
    <n v="0.92557489871978804"/>
    <n v="1.2999999999999999E-2"/>
    <n v="3.0456921257173399"/>
    <n v="3.2905949912103267"/>
    <n v="2.5949307839863E-2"/>
    <n v="-4.1042160898446998E-2"/>
    <n v="-1.4475459232926299E-2"/>
    <n v="-2.19349834918975E-2"/>
    <n v="-1.2474874733015799E-2"/>
    <b v="0"/>
    <b v="1"/>
    <b v="0"/>
    <b v="1"/>
  </r>
  <r>
    <x v="69"/>
    <x v="4"/>
    <n v="4251961"/>
    <n v="0.93379133939742998"/>
    <n v="3.0000000000000001E-3"/>
    <n v="3.1475757400220101"/>
    <n v="3.3707484822606322"/>
    <n v="3.3451711499128803E-2"/>
    <n v="-2.19349834918975E-2"/>
    <n v="-1.2474874733015799E-2"/>
    <n v="-1.6176160767674402E-2"/>
    <n v="5.1076137460768899E-3"/>
    <b v="0"/>
    <b v="1"/>
    <b v="0"/>
    <b v="1"/>
  </r>
  <r>
    <x v="69"/>
    <x v="5"/>
    <n v="4293112"/>
    <n v="0.93332517147064198"/>
    <n v="0"/>
    <n v="3.0858072351680299"/>
    <n v="3.3062509503581889"/>
    <n v="-1.96241520318566E-2"/>
    <n v="-1.6176160767674402E-2"/>
    <n v="5.1076137460768899E-3"/>
    <n v="-1.5764723569155E-3"/>
    <n v="3.8617337122558901E-3"/>
    <b v="1"/>
    <b v="0"/>
    <b v="0"/>
    <b v="0"/>
  </r>
  <r>
    <x v="69"/>
    <x v="6"/>
    <n v="4324491"/>
    <n v="0.93599158525466897"/>
    <n v="3.0000000000000001E-3"/>
    <n v="3.0804204059884799"/>
    <n v="3.2910770294482345"/>
    <n v="-1.7456790943249699E-3"/>
    <n v="-1.5764723569155E-3"/>
    <n v="3.77613492310039E-3"/>
    <n v="1.28964955359697E-2"/>
    <n v="6.7697241902350998E-3"/>
    <b v="1"/>
    <b v="0"/>
    <b v="0"/>
    <b v="0"/>
  </r>
  <r>
    <x v="69"/>
    <x v="7"/>
    <n v="4353704"/>
    <n v="0.94360548257827803"/>
    <n v="1E-3"/>
    <n v="3.05911007957828"/>
    <n v="3.2419375852073937"/>
    <n v="-6.9179928716122403E-3"/>
    <n v="1.28964955359697E-2"/>
    <n v="6.7697241902350998E-3"/>
    <n v="1.48210067451E-2"/>
    <n v="1.28129832446574E-2"/>
    <b v="1"/>
    <b v="0"/>
    <b v="1"/>
    <b v="0"/>
  </r>
  <r>
    <x v="69"/>
    <x v="8"/>
    <n v="4392279"/>
    <n v="0.94653803110122703"/>
    <n v="0.02"/>
    <n v="3.0726616609552502"/>
    <n v="3.2462104638103506"/>
    <n v="4.4299096876023198E-3"/>
    <n v="1.48210067451E-2"/>
    <n v="1.28129832446574E-2"/>
    <n v="5.8898741543292998E-2"/>
    <n v="2.8635289520025298E-2"/>
    <b v="0"/>
    <b v="0"/>
    <b v="0"/>
    <b v="0"/>
  </r>
  <r>
    <x v="69"/>
    <x v="9"/>
    <n v="4431241"/>
    <n v="0.95377051830291704"/>
    <n v="8.9999999999999993E-3"/>
    <n v="2.99920154607989"/>
    <n v="3.1445735515252582"/>
    <n v="-2.3907648475856799E-2"/>
    <n v="5.8898741543292998E-2"/>
    <n v="2.8635289520025298E-2"/>
    <n v="4.5452386409044303E-2"/>
    <n v="3.2298829406499897E-2"/>
    <b v="1"/>
    <b v="0"/>
    <b v="1"/>
    <b v="0"/>
  </r>
  <r>
    <x v="69"/>
    <x v="10"/>
    <n v="4475180"/>
    <n v="0.956717729568481"/>
    <n v="5.0000000000000001E-3"/>
    <n v="3.0611643867093501"/>
    <n v="3.1996526165455936"/>
    <n v="2.0659778836953802E-2"/>
    <n v="4.5452386409044303E-2"/>
    <n v="3.2298829406499897E-2"/>
    <n v="2.71324046850203E-2"/>
    <n v="2.4342831224203099E-2"/>
    <b v="0"/>
    <b v="0"/>
    <b v="0"/>
    <b v="0"/>
  </r>
  <r>
    <x v="69"/>
    <x v="11"/>
    <n v="4519626"/>
    <n v="0.95555669069290206"/>
    <n v="7.0000000000000001E-3"/>
    <n v="2.9920589457378099"/>
    <n v="3.1312207584127538"/>
    <n v="-2.25748872787035E-2"/>
    <n v="2.71324046850203E-2"/>
    <n v="2.4342831224203099E-2"/>
    <n v="2.1218352228403001E-2"/>
    <n v="1.20833292603493E-2"/>
    <b v="1"/>
    <b v="0"/>
    <b v="1"/>
    <b v="0"/>
  </r>
  <r>
    <x v="69"/>
    <x v="12"/>
    <n v="4555150"/>
    <n v="0.95098775625228904"/>
    <n v="1.4999999999999999E-2"/>
    <n v="2.9968757191339899"/>
    <n v="3.1513294460743237"/>
    <n v="1.6098524405888401E-3"/>
    <n v="2.1218352228403001E-2"/>
    <n v="1.20833292603493E-2"/>
    <n v="3.3324628293514298E-2"/>
    <n v="1.55234336853028E-2"/>
    <b v="0"/>
    <b v="0"/>
    <b v="0"/>
    <b v="0"/>
  </r>
  <r>
    <x v="69"/>
    <x v="13"/>
    <n v="4583987"/>
    <n v="0.94652253389358498"/>
    <n v="1.2999999999999999E-2"/>
    <n v="2.9305475881364198"/>
    <n v="3.0961202540856712"/>
    <n v="-2.2132426304528E-2"/>
    <n v="3.3324628293514298E-2"/>
    <n v="1.55234336853028E-2"/>
    <n v="5.9084134280681599E-2"/>
    <n v="4.0234943851828603E-2"/>
    <b v="1"/>
    <b v="0"/>
    <b v="1"/>
    <b v="0"/>
  </r>
  <r>
    <x v="69"/>
    <x v="14"/>
    <n v="4617522"/>
    <n v="0.97338795661926303"/>
    <n v="1.0999999999999999E-2"/>
    <n v="2.9719799183534499"/>
    <n v="3.0532326788546125"/>
    <n v="1.41380847677592E-2"/>
    <n v="5.9084134280681599E-2"/>
    <n v="4.0234943851828603E-2"/>
    <n v="9.1576284050940995E-2"/>
    <n v="4.7986671328543999E-2"/>
    <b v="0"/>
    <b v="0"/>
    <b v="0"/>
    <b v="0"/>
  </r>
  <r>
    <x v="69"/>
    <x v="15"/>
    <n v="4652458"/>
    <n v="0.97324252128601096"/>
    <n v="5.0000000000000001E-3"/>
    <n v="2.93328673765498"/>
    <n v="3.013931957862908"/>
    <n v="-1.3019327775239099E-2"/>
    <n v="9.1576284050940995E-2"/>
    <n v="4.7986671328543999E-2"/>
    <n v="-4.4775178581476199E-2"/>
    <n v="-1.2671671807765799E-2"/>
    <b v="1"/>
    <b v="0"/>
    <b v="1"/>
    <b v="0"/>
  </r>
  <r>
    <x v="69"/>
    <x v="16"/>
    <n v="4681984"/>
    <n v="0.94970196485519398"/>
    <n v="1.2999999999999999E-2"/>
    <n v="2.9387713880007"/>
    <n v="3.094414349715271"/>
    <n v="1.8697968648319499E-3"/>
    <n v="-4.4775178581476199E-2"/>
    <n v="-1.2192968279123299E-2"/>
    <n v="-3.7923453174531399E-2"/>
    <n v="-1.83645254001021E-2"/>
    <b v="0"/>
    <b v="1"/>
    <b v="0"/>
    <b v="1"/>
  </r>
  <r>
    <x v="70"/>
    <x v="0"/>
    <n v="557414.625"/>
    <n v="0.91632515192031905"/>
    <n v="0"/>
    <n v="2.2224099305887099"/>
    <n v="2.4253507894345829"/>
    <n v="-3.2681362160881799E-2"/>
    <n v="2.9861906200647399E-2"/>
    <n v="2.3498866707086601E-2"/>
    <n v="-3.9981034547090996E-3"/>
    <n v="-3.0763475224375998E-3"/>
    <b v="1"/>
    <b v="0"/>
    <b v="1"/>
    <b v="0"/>
  </r>
  <r>
    <x v="70"/>
    <x v="1"/>
    <n v="559814"/>
    <n v="0.89225000143051103"/>
    <n v="2E-3"/>
    <n v="2.3066436426429102"/>
    <n v="2.5851988108094757"/>
    <n v="3.7901968891891999E-2"/>
    <n v="-3.9981034547090996E-3"/>
    <n v="-3.0763475224375998E-3"/>
    <n v="-5.2447180554270598E-2"/>
    <n v="-2.2936376277357201E-2"/>
    <b v="0"/>
    <b v="1"/>
    <b v="0"/>
    <b v="1"/>
  </r>
  <r>
    <x v="70"/>
    <x v="2"/>
    <n v="562476.9375"/>
    <n v="0.88871771097183205"/>
    <n v="4.0000000000000001E-3"/>
    <n v="2.4100649935333802"/>
    <n v="2.7118453517685857"/>
    <n v="4.4836293295818702E-2"/>
    <n v="-5.2447180554270598E-2"/>
    <n v="-2.2936376277357201E-2"/>
    <n v="-2.7497474759817099E-2"/>
    <n v="-9.3077309429645105E-4"/>
    <b v="0"/>
    <b v="1"/>
    <b v="0"/>
    <b v="1"/>
  </r>
  <r>
    <x v="70"/>
    <x v="3"/>
    <n v="565545.25"/>
    <n v="0.89249825477600098"/>
    <n v="2E-3"/>
    <n v="2.3911680458306801"/>
    <n v="2.6791851222508161"/>
    <n v="-7.8408456840009695E-3"/>
    <n v="-2.7497474759817099E-2"/>
    <n v="-9.3077309429645105E-4"/>
    <n v="-9.5293402522802304E-3"/>
    <n v="-6.9231493398554098E-5"/>
    <b v="0"/>
    <b v="0"/>
    <b v="0"/>
    <b v="0"/>
  </r>
  <r>
    <x v="70"/>
    <x v="4"/>
    <n v="570328.3125"/>
    <n v="0.89703720808029197"/>
    <n v="6.0000000000000001E-3"/>
    <n v="2.57881798803548"/>
    <n v="2.8748171924264878"/>
    <n v="7.8476267082939796E-2"/>
    <n v="-9.5293402522802304E-3"/>
    <n v="-6.9231493398554098E-5"/>
    <n v="-2.32747889757156E-2"/>
    <n v="-1.9910144619643402E-3"/>
    <b v="0"/>
    <b v="1"/>
    <b v="0"/>
    <b v="1"/>
  </r>
  <r>
    <x v="70"/>
    <x v="5"/>
    <n v="575077.875"/>
    <n v="0.90506446361541704"/>
    <n v="-3.0000000000000001E-3"/>
    <n v="2.40095078884129"/>
    <n v="2.6527953370860775"/>
    <n v="-6.8972374172745293E-2"/>
    <n v="-2.32747889757156E-2"/>
    <n v="-1.9910144619643402E-3"/>
    <n v="-8.6150330528617005E-3"/>
    <n v="-3.1768269836903E-3"/>
    <b v="0"/>
    <b v="0"/>
    <b v="0"/>
    <b v="0"/>
  </r>
  <r>
    <x v="70"/>
    <x v="6"/>
    <n v="577272"/>
    <n v="0.912475645542145"/>
    <n v="-1E-3"/>
    <n v="2.4565421658444899"/>
    <n v="2.6921728572656227"/>
    <n v="2.3153901055185101E-2"/>
    <n v="-8.6150330528617005E-3"/>
    <n v="-3.2624257728457902E-3"/>
    <n v="1.9844329357147001E-3"/>
    <n v="-4.1423384100198902E-3"/>
    <b v="0"/>
    <b v="1"/>
    <b v="0"/>
    <b v="1"/>
  </r>
  <r>
    <x v="70"/>
    <x v="7"/>
    <n v="578309.8125"/>
    <n v="0.91862767934799205"/>
    <n v="0"/>
    <n v="2.5286112413397901"/>
    <n v="2.7525963980690249"/>
    <n v="2.93376097904373E-2"/>
    <n v="1.9844329357147001E-3"/>
    <n v="-4.1423384100198902E-3"/>
    <n v="1.1191387489437999E-2"/>
    <n v="9.1833639889955902E-3"/>
    <b v="0"/>
    <b v="1"/>
    <b v="0"/>
    <b v="0"/>
  </r>
  <r>
    <x v="70"/>
    <x v="8"/>
    <n v="579676.375"/>
    <n v="0.91305506229400601"/>
    <n v="1.0999999999999999E-2"/>
    <n v="2.45865162921192"/>
    <n v="2.6927747632598176"/>
    <n v="-2.76672075897288E-2"/>
    <n v="1.1191387489437999E-2"/>
    <n v="9.1833639889955902E-3"/>
    <n v="3.39684171378613E-2"/>
    <n v="3.7049651145936E-3"/>
    <b v="1"/>
    <b v="0"/>
    <b v="1"/>
    <b v="0"/>
  </r>
  <r>
    <x v="70"/>
    <x v="9"/>
    <n v="580845.0625"/>
    <n v="0.92138910293579102"/>
    <n v="0"/>
    <n v="2.5454913113813"/>
    <n v="2.762667046170491"/>
    <n v="3.5320043367518303E-2"/>
    <n v="3.39684171378613E-2"/>
    <n v="3.7049651145936E-3"/>
    <n v="1.3823884427546999E-3"/>
    <n v="-1.1771168559789699E-2"/>
    <b v="0"/>
    <b v="0"/>
    <b v="0"/>
    <b v="0"/>
  </r>
  <r>
    <x v="70"/>
    <x v="10"/>
    <n v="582511.75"/>
    <n v="0.90610086917877197"/>
    <n v="1.0999999999999999E-2"/>
    <n v="2.3951444172279999"/>
    <n v="2.6433529628978234"/>
    <n v="-5.9063998168477801E-2"/>
    <n v="1.3823884427546999E-3"/>
    <n v="-1.1771168559789699E-2"/>
    <n v="-1.3875923402607401E-2"/>
    <n v="-1.6665496863424702E-2"/>
    <b v="0"/>
    <b v="0"/>
    <b v="1"/>
    <b v="0"/>
  </r>
  <r>
    <x v="70"/>
    <x v="11"/>
    <n v="582015.625"/>
    <n v="0.90166181325912498"/>
    <n v="4.0000000000000001E-3"/>
    <n v="2.4633960878913399"/>
    <n v="2.7320621231448272"/>
    <n v="2.8495847754485999E-2"/>
    <n v="-1.3875923402607401E-2"/>
    <n v="-1.6665496863424702E-2"/>
    <n v="6.3799491375685002E-3"/>
    <n v="-2.7550738304852902E-3"/>
    <b v="0"/>
    <b v="1"/>
    <b v="0"/>
    <b v="1"/>
  </r>
  <r>
    <x v="70"/>
    <x v="12"/>
    <n v="580436.875"/>
    <n v="0.91603463888168302"/>
    <n v="0"/>
    <n v="2.4158454132049498"/>
    <n v="2.6372860923188139"/>
    <n v="-1.9302894455389699E-2"/>
    <n v="6.3799491375685002E-3"/>
    <n v="-2.7550738304852902E-3"/>
    <n v="2.4997464537620501E-2"/>
    <n v="7.1962699294089898E-3"/>
    <b v="0"/>
    <b v="0"/>
    <b v="1"/>
    <b v="0"/>
  </r>
  <r>
    <x v="70"/>
    <x v="13"/>
    <n v="577676.5"/>
    <n v="0.913646459579468"/>
    <n v="0"/>
    <n v="2.2153961588584501"/>
    <n v="2.4247849215966424"/>
    <n v="-8.2972715576440703E-2"/>
    <n v="2.4997464537620501E-2"/>
    <n v="7.1962699294089898E-3"/>
    <n v="2.61125360727309E-2"/>
    <n v="7.26334564387799E-3"/>
    <b v="1"/>
    <b v="0"/>
    <b v="1"/>
    <b v="0"/>
  </r>
  <r>
    <x v="70"/>
    <x v="14"/>
    <n v="572601"/>
    <n v="0.91570472717285201"/>
    <n v="3.5000000000000003E-2"/>
    <n v="2.1844621880795998"/>
    <n v="2.3855530317331781"/>
    <n v="-1.39631779423062E-2"/>
    <n v="2.61125360727309E-2"/>
    <n v="7.26334564387799E-3"/>
    <n v="3.9528971791267298E-2"/>
    <n v="-4.0606409311295102E-3"/>
    <b v="1"/>
    <b v="0"/>
    <b v="1"/>
    <b v="0"/>
  </r>
  <r>
    <x v="70"/>
    <x v="15"/>
    <n v="567647"/>
    <n v="0.91885602474212602"/>
    <n v="5.0000000000000001E-3"/>
    <n v="2.2320457188590201"/>
    <n v="2.4291571897626034"/>
    <n v="2.1782721183767E-2"/>
    <n v="3.9528971791267298E-2"/>
    <n v="-4.0606409311295102E-3"/>
    <n v="-2.6032594889402402E-2"/>
    <n v="6.07091188430789E-3"/>
    <b v="0"/>
    <b v="1"/>
    <b v="0"/>
    <b v="0"/>
  </r>
  <r>
    <x v="70"/>
    <x v="16"/>
    <n v="565788.5625"/>
    <n v="0.88319665193557695"/>
    <n v="0"/>
    <n v="2.08296867955552"/>
    <n v="2.3584426809030274"/>
    <n v="-6.6789420146695797E-2"/>
    <n v="-2.6032594889402402E-2"/>
    <n v="6.5496154129504897E-3"/>
    <n v="-1.8804863825440402E-2"/>
    <n v="7.5406394898889996E-4"/>
    <b v="1"/>
    <b v="0"/>
    <b v="0"/>
    <b v="0"/>
  </r>
  <r>
    <x v="71"/>
    <x v="0"/>
    <n v="1288358"/>
    <n v="0.89693486690521196"/>
    <n v="1.6E-2"/>
    <n v="2.2100894359672498"/>
    <n v="2.4640467413123899"/>
    <n v="-1.41707121538807E-2"/>
    <n v="1.3471515506506E-2"/>
    <n v="7.1084760129452003E-3"/>
    <n v="-1.7037478178739501E-2"/>
    <n v="-1.6115722246467901E-2"/>
    <b v="1"/>
    <b v="0"/>
    <b v="1"/>
    <b v="0"/>
  </r>
  <r>
    <x v="71"/>
    <x v="1"/>
    <n v="1310764"/>
    <n v="0.87614202499389604"/>
    <n v="4.7E-2"/>
    <n v="2.3291745276923401"/>
    <n v="2.6584440207722797"/>
    <n v="5.3882476331994701E-2"/>
    <n v="-1.7037478178739501E-2"/>
    <n v="-1.6115722246467901E-2"/>
    <n v="-6.1492822423577301E-2"/>
    <n v="-3.1982018146663897E-2"/>
    <b v="0"/>
    <b v="1"/>
    <b v="0"/>
    <b v="1"/>
  </r>
  <r>
    <x v="71"/>
    <x v="2"/>
    <n v="1325845"/>
    <n v="0.86911416053771995"/>
    <n v="2.7E-2"/>
    <n v="2.2653613711322498"/>
    <n v="2.6065176175827962"/>
    <n v="-2.73973271652251E-2"/>
    <n v="-6.1492822423577301E-2"/>
    <n v="-3.1982018146663897E-2"/>
    <n v="-3.2205932497978103E-2"/>
    <n v="-5.6392308324575398E-3"/>
    <b v="0"/>
    <b v="0"/>
    <b v="0"/>
    <b v="0"/>
  </r>
  <r>
    <x v="71"/>
    <x v="3"/>
    <n v="1338707"/>
    <n v="0.873180091381073"/>
    <n v="3.3000000000000002E-2"/>
    <n v="2.2984812685655398"/>
    <n v="2.6323106667836718"/>
    <n v="1.46201386919301E-2"/>
    <n v="-3.2205932497978103E-2"/>
    <n v="-5.6392308324575398E-3"/>
    <n v="-1.4112458502873701E-2"/>
    <n v="-4.6523497439920902E-3"/>
    <b v="0"/>
    <b v="1"/>
    <b v="0"/>
    <b v="1"/>
  </r>
  <r>
    <x v="71"/>
    <x v="4"/>
    <n v="1353527"/>
    <n v="0.889209985733032"/>
    <n v="3.0000000000000001E-3"/>
    <n v="2.2813505019003899"/>
    <n v="2.5655925355131144"/>
    <n v="-7.45308082316348E-3"/>
    <n v="-1.4112458502873701E-2"/>
    <n v="-4.6523497439920902E-3"/>
    <n v="-1.8533006653189701E-2"/>
    <n v="2.7507678605615902E-3"/>
    <b v="0"/>
    <b v="0"/>
    <b v="0"/>
    <b v="0"/>
  </r>
  <r>
    <x v="71"/>
    <x v="5"/>
    <n v="1369629"/>
    <n v="0.89456874132156405"/>
    <n v="0"/>
    <n v="2.3367839041621798"/>
    <n v="2.6121904289993441"/>
    <n v="2.42985031084046E-2"/>
    <n v="-1.8533006653189701E-2"/>
    <n v="2.7507678605615902E-3"/>
    <n v="-4.3485707640647997E-3"/>
    <n v="1.0896353051066E-3"/>
    <b v="0"/>
    <b v="0"/>
    <b v="0"/>
    <b v="1"/>
  </r>
  <r>
    <x v="71"/>
    <x v="6"/>
    <n v="1388039"/>
    <n v="0.90397107601165805"/>
    <n v="7.0000000000000001E-3"/>
    <n v="2.2551213084080102"/>
    <n v="2.4946830360520593"/>
    <n v="-3.4946575765399897E-2"/>
    <n v="-4.3485707640647997E-3"/>
    <n v="1.0040365159511E-3"/>
    <n v="9.3040302395819903E-4"/>
    <n v="-5.1963683217763996E-3"/>
    <b v="1"/>
    <b v="0"/>
    <b v="0"/>
    <b v="0"/>
  </r>
  <r>
    <x v="71"/>
    <x v="7"/>
    <n v="1408009"/>
    <n v="0.90934705734252896"/>
    <n v="2.5000000000000001E-2"/>
    <n v="2.3060770905452901"/>
    <n v="2.535970256817631"/>
    <n v="2.2595583637694001E-2"/>
    <n v="9.3040302395819903E-4"/>
    <n v="-5.1963683217763996E-3"/>
    <n v="9.1073017716407894E-3"/>
    <n v="7.0992782711982901E-3"/>
    <b v="0"/>
    <b v="1"/>
    <b v="0"/>
    <b v="0"/>
  </r>
  <r>
    <x v="71"/>
    <x v="8"/>
    <n v="1435023"/>
    <n v="0.92824518680572499"/>
    <n v="5.0000000000000001E-3"/>
    <n v="2.40391871758507"/>
    <n v="2.5897454161409974"/>
    <n v="4.24277347192447E-2"/>
    <n v="9.1073017716407894E-3"/>
    <n v="7.0992782711982901E-3"/>
    <n v="4.0068334132432902E-2"/>
    <n v="9.8048821091652003E-3"/>
    <b v="0"/>
    <b v="0"/>
    <b v="0"/>
    <b v="0"/>
  </r>
  <r>
    <x v="71"/>
    <x v="9"/>
    <n v="1466608"/>
    <n v="0.93052566051483199"/>
    <n v="2.8000000000000001E-2"/>
    <n v="2.36429830376091"/>
    <n v="2.5408201021053136"/>
    <n v="-1.6481594628943001E-2"/>
    <n v="4.0068334132432902E-2"/>
    <n v="9.8048821091652003E-3"/>
    <n v="2.2470958799123801E-2"/>
    <n v="9.3174017965794009E-3"/>
    <b v="1"/>
    <b v="0"/>
    <b v="1"/>
    <b v="0"/>
  </r>
  <r>
    <x v="71"/>
    <x v="10"/>
    <n v="1500427"/>
    <n v="0.92845070362091098"/>
    <n v="0.02"/>
    <n v="2.3526575348190799"/>
    <n v="2.5339606353291932"/>
    <n v="-4.9235618548255904E-3"/>
    <n v="2.2470958799123801E-2"/>
    <n v="9.3174017965794009E-3"/>
    <n v="1.9393263101577799E-2"/>
    <n v="1.6603689640760502E-2"/>
    <b v="1"/>
    <b v="0"/>
    <b v="1"/>
    <b v="0"/>
  </r>
  <r>
    <x v="71"/>
    <x v="11"/>
    <n v="1531576"/>
    <n v="0.92904788255691495"/>
    <n v="2.7E-2"/>
    <n v="2.3732157745747502"/>
    <n v="2.5544601297009719"/>
    <n v="8.7383052787792393E-3"/>
    <n v="1.9393263101577799E-2"/>
    <n v="1.6603689640760502E-2"/>
    <n v="1.7181694716215098E-2"/>
    <n v="8.0466717481613003E-3"/>
    <b v="0"/>
    <b v="0"/>
    <b v="0"/>
    <b v="0"/>
  </r>
  <r>
    <x v="71"/>
    <x v="12"/>
    <n v="1561516"/>
    <n v="0.92352473735809304"/>
    <n v="2.9000000000000001E-2"/>
    <n v="2.3268425310299601"/>
    <n v="2.5195237733277263"/>
    <n v="-1.9540255901554299E-2"/>
    <n v="1.7181694716215098E-2"/>
    <n v="8.0466717481613003E-3"/>
    <n v="1.8203209310770001E-2"/>
    <n v="4.0201470255849599E-4"/>
    <b v="1"/>
    <b v="0"/>
    <b v="1"/>
    <b v="0"/>
  </r>
  <r>
    <x v="71"/>
    <x v="13"/>
    <n v="1591005"/>
    <n v="0.91639322042465199"/>
    <n v="4.3999999999999997E-2"/>
    <n v="2.2535899099393601"/>
    <n v="2.4591953101694251"/>
    <n v="-3.1481554988670203E-2"/>
    <n v="1.8203209310770001E-2"/>
    <n v="4.0201470255849599E-4"/>
    <n v="2.7563421159982698E-2"/>
    <n v="8.7142307311297001E-3"/>
    <b v="1"/>
    <b v="0"/>
    <b v="1"/>
    <b v="0"/>
  </r>
  <r>
    <x v="71"/>
    <x v="14"/>
    <n v="1620148"/>
    <n v="0.92644053697586104"/>
    <n v="4.5999999999999999E-2"/>
    <n v="2.03453181450663"/>
    <n v="2.196073825901296"/>
    <n v="-9.7204062933801696E-2"/>
    <n v="2.7563421159982698E-2"/>
    <n v="8.7142307311297001E-3"/>
    <n v="0.11796904194355"/>
    <n v="7.4379429221152996E-2"/>
    <b v="1"/>
    <b v="0"/>
    <b v="1"/>
    <b v="0"/>
  </r>
  <r>
    <x v="71"/>
    <x v="15"/>
    <n v="1651216"/>
    <n v="0.94472593069076505"/>
    <n v="3.2000000000000001E-2"/>
    <n v="2.2938150574509102"/>
    <n v="2.4280216970161046"/>
    <n v="0.12744123296354001"/>
    <n v="0.11796904194355"/>
    <n v="7.4379429221152996E-2"/>
    <n v="-5.68393933773041E-2"/>
    <n v="-2.4735886603593799E-2"/>
    <b v="0"/>
    <b v="0"/>
    <b v="0"/>
    <b v="0"/>
  </r>
  <r>
    <x v="71"/>
    <x v="16"/>
    <n v="1691503"/>
    <n v="0.90136468410491899"/>
    <n v="5.8000000000000003E-2"/>
    <n v="2.24100432963834"/>
    <n v="2.4862348937752334"/>
    <n v="-2.3023097542684199E-2"/>
    <n v="-5.68393933773041E-2"/>
    <n v="-2.42571830749512E-2"/>
    <n v="-7.0805527999997106E-2"/>
    <n v="-5.1246600225567797E-2"/>
    <b v="0"/>
    <b v="0"/>
    <b v="0"/>
    <b v="0"/>
  </r>
  <r>
    <x v="72"/>
    <x v="0"/>
    <n v="321397.1875"/>
    <n v="0.92474424839019798"/>
    <n v="0"/>
    <n v="2.0267924824215102"/>
    <n v="2.1917329963930747"/>
    <n v="-5.8406863263781299E-2"/>
    <n v="-1.2835996568203001E-2"/>
    <n v="-1.9199036061763701E-2"/>
    <n v="-9.1158998161554004E-3"/>
    <n v="-8.1941438838838993E-3"/>
    <b v="0"/>
    <b v="0"/>
    <b v="0"/>
    <b v="0"/>
  </r>
  <r>
    <x v="72"/>
    <x v="1"/>
    <n v="322391.125"/>
    <n v="0.92026090621948198"/>
    <n v="1.2E-2"/>
    <n v="2.1118224827728"/>
    <n v="2.2948084271539519"/>
    <n v="4.1952987831146399E-2"/>
    <n v="-9.1158998161554004E-3"/>
    <n v="-8.1941438838838993E-3"/>
    <n v="-2.3170659609138999E-2"/>
    <n v="6.3401446677743998E-3"/>
    <b v="0"/>
    <b v="1"/>
    <b v="0"/>
    <b v="1"/>
  </r>
  <r>
    <x v="72"/>
    <x v="2"/>
    <n v="323937"/>
    <n v="0.93814212083816495"/>
    <n v="-6.0000000000000001E-3"/>
    <n v="2.0897506925207701"/>
    <n v="2.2275416976840594"/>
    <n v="-1.04515367328842E-2"/>
    <n v="-2.3170659609138999E-2"/>
    <n v="6.3401446677743998E-3"/>
    <n v="-1.5392879679799101E-2"/>
    <n v="1.11738219857215E-2"/>
    <b v="1"/>
    <b v="0"/>
    <b v="0"/>
    <b v="0"/>
  </r>
  <r>
    <x v="72"/>
    <x v="3"/>
    <n v="325925"/>
    <n v="0.93625545501708995"/>
    <n v="0"/>
    <n v="1.9797746384924999"/>
    <n v="2.1145667327047639"/>
    <n v="-5.2626399130706103E-2"/>
    <n v="-1.5392879679799101E-2"/>
    <n v="1.11738219857215E-2"/>
    <n v="-1.49047029521316E-2"/>
    <n v="-5.44459419324994E-3"/>
    <b v="1"/>
    <b v="0"/>
    <b v="0"/>
    <b v="0"/>
  </r>
  <r>
    <x v="72"/>
    <x v="4"/>
    <n v="327129"/>
    <n v="0.936118423938751"/>
    <n v="0"/>
    <n v="2.3227202699728502"/>
    <n v="2.481224822175728"/>
    <n v="0.17322458062271301"/>
    <n v="-1.49047029521316E-2"/>
    <n v="-5.44459419324994E-3"/>
    <n v="-2.1169158041477201E-2"/>
    <n v="1.1461647227409899E-4"/>
    <b v="0"/>
    <b v="1"/>
    <b v="0"/>
    <b v="1"/>
  </r>
  <r>
    <x v="72"/>
    <x v="5"/>
    <n v="328456.09375"/>
    <n v="0.94453328847885099"/>
    <n v="0"/>
    <n v="2.2260061919504599"/>
    <n v="2.3567260350721906"/>
    <n v="-4.1638280456183299E-2"/>
    <n v="-2.1169158041477201E-2"/>
    <n v="1.1461647227409899E-4"/>
    <n v="-9.1127681583165997E-3"/>
    <n v="-3.6745620891452E-3"/>
    <b v="1"/>
    <b v="0"/>
    <b v="0"/>
    <b v="0"/>
  </r>
  <r>
    <x v="72"/>
    <x v="6"/>
    <n v="330185.90625"/>
    <n v="0.94392645359039296"/>
    <n v="7.0000000000000001E-3"/>
    <n v="2.0159936399560401"/>
    <n v="2.1357528780847788"/>
    <n v="-9.4344999018356995E-2"/>
    <n v="-9.1127681583165997E-3"/>
    <n v="-3.7601608783006898E-3"/>
    <n v="8.1563132256268992E-3"/>
    <n v="2.0295418798922998E-3"/>
    <b v="0"/>
    <b v="0"/>
    <b v="0"/>
    <b v="0"/>
  </r>
  <r>
    <x v="72"/>
    <x v="7"/>
    <n v="331617.71875"/>
    <n v="0.94375252723693803"/>
    <n v="0"/>
    <n v="2.1231935809107698"/>
    <n v="2.2497355181945085"/>
    <n v="5.3174741641083503E-2"/>
    <n v="8.1563132256268992E-3"/>
    <n v="2.0295418798922998E-3"/>
    <n v="1.0411658152937899E-2"/>
    <n v="8.4036346524953894E-3"/>
    <b v="0"/>
    <b v="0"/>
    <b v="0"/>
    <b v="0"/>
  </r>
  <r>
    <x v="72"/>
    <x v="8"/>
    <n v="332559.6875"/>
    <n v="0.94256097078323398"/>
    <n v="0"/>
    <n v="2.1726184447730299"/>
    <n v="2.305016346017025"/>
    <n v="2.3278548082772101E-2"/>
    <n v="1.0411658152937899E-2"/>
    <n v="8.4036346524953894E-3"/>
    <n v="4.5549372375011402E-2"/>
    <n v="1.52859203517437E-2"/>
    <b v="0"/>
    <b v="0"/>
    <b v="0"/>
    <b v="0"/>
  </r>
  <r>
    <x v="72"/>
    <x v="9"/>
    <n v="333043.78125"/>
    <n v="0.94606345891952504"/>
    <n v="2E-3"/>
    <n v="2.13614028957655"/>
    <n v="2.2579249514786053"/>
    <n v="-1.6789950064283798E-2"/>
    <n v="4.5549372375011402E-2"/>
    <n v="1.52859203517437E-2"/>
    <n v="2.9011868208646801E-2"/>
    <n v="1.5858311206102399E-2"/>
    <b v="1"/>
    <b v="0"/>
    <b v="1"/>
    <b v="0"/>
  </r>
  <r>
    <x v="72"/>
    <x v="10"/>
    <n v="334564"/>
    <n v="0.95524430274963401"/>
    <n v="3.0000000000000001E-3"/>
    <n v="2.3152298241897902"/>
    <n v="2.4237044047533076"/>
    <n v="8.3837908721218102E-2"/>
    <n v="2.9011868208646801E-2"/>
    <n v="1.5858311206102399E-2"/>
    <n v="8.8638101667165899E-3"/>
    <n v="6.0742367058993002E-3"/>
    <b v="0"/>
    <b v="0"/>
    <b v="0"/>
    <b v="0"/>
  </r>
  <r>
    <x v="72"/>
    <x v="11"/>
    <n v="335955.1875"/>
    <n v="0.95275706052780196"/>
    <n v="0"/>
    <n v="2.1054703774685399"/>
    <n v="2.2098711882567059"/>
    <n v="-9.0599837877715E-2"/>
    <n v="8.8638101667165899E-3"/>
    <n v="6.0742367058993002E-3"/>
    <n v="1.8879339307546601E-2"/>
    <n v="9.7443163394927996E-3"/>
    <b v="1"/>
    <b v="0"/>
    <b v="1"/>
    <b v="0"/>
  </r>
  <r>
    <x v="72"/>
    <x v="12"/>
    <n v="337065.71875"/>
    <n v="0.94905096292495705"/>
    <n v="4.1000000000000002E-2"/>
    <n v="2.0708263069139901"/>
    <n v="2.181996950439566"/>
    <n v="-1.6454313926848499E-2"/>
    <n v="1.8879339307546601E-2"/>
    <n v="9.7443163394927996E-3"/>
    <n v="1.6286379814147899E-2"/>
    <n v="-1.5148147940636E-3"/>
    <b v="1"/>
    <b v="0"/>
    <b v="1"/>
    <b v="0"/>
  </r>
  <r>
    <x v="72"/>
    <x v="13"/>
    <n v="337216.09375"/>
    <n v="0.94499266147613503"/>
    <n v="2.1000000000000001E-2"/>
    <n v="2.0943217665615101"/>
    <n v="2.2162307200249094"/>
    <n v="1.1345934504053599E-2"/>
    <n v="1.6286379814147899E-2"/>
    <n v="-1.5148147940636E-3"/>
    <n v="3.3064039528369803E-2"/>
    <n v="1.4214849099516799E-2"/>
    <b v="0"/>
    <b v="1"/>
    <b v="0"/>
    <b v="0"/>
  </r>
  <r>
    <x v="72"/>
    <x v="14"/>
    <n v="337087.1875"/>
    <n v="0.96448397636413596"/>
    <n v="1.7999999999999999E-2"/>
    <n v="2.28330294219111"/>
    <n v="2.3673829717716957"/>
    <n v="9.0235024362983599E-2"/>
    <n v="3.3064039528369803E-2"/>
    <n v="1.4214849099516799E-2"/>
    <n v="5.9621347367763998E-2"/>
    <n v="1.6031734645367099E-2"/>
    <b v="0"/>
    <b v="0"/>
    <b v="0"/>
    <b v="0"/>
  </r>
  <r>
    <x v="72"/>
    <x v="15"/>
    <n v="336390.28125"/>
    <n v="0.9677374958992"/>
    <n v="7.0000000000000001E-3"/>
    <n v="1.85540900498367"/>
    <n v="1.917264767404373"/>
    <n v="-0.187401298925681"/>
    <n v="5.9621347367763998E-2"/>
    <n v="1.6031734645367099E-2"/>
    <n v="-3.1002705842256499E-2"/>
    <n v="1.1008009314538E-3"/>
    <b v="1"/>
    <b v="0"/>
    <b v="1"/>
    <b v="0"/>
  </r>
  <r>
    <x v="72"/>
    <x v="16"/>
    <n v="337569.6875"/>
    <n v="0.95291846990585305"/>
    <n v="2E-3"/>
    <n v="1.91284988564836"/>
    <n v="2.0073594395093912"/>
    <n v="3.0958608323233099E-2"/>
    <n v="-3.1002705842256499E-2"/>
    <n v="1.5795044600964E-3"/>
    <n v="-1.6685939192771899E-2"/>
    <n v="2.8729885816573902E-3"/>
    <b v="0"/>
    <b v="0"/>
    <b v="0"/>
    <b v="1"/>
  </r>
  <r>
    <x v="73"/>
    <x v="0"/>
    <n v="1937386"/>
    <n v="0.91928893327713002"/>
    <n v="1.2999999999999999E-2"/>
    <n v="2.18727810376632"/>
    <n v="2.3793151691372971"/>
    <n v="1.33484384631743E-2"/>
    <n v="-1.80456380993128E-2"/>
    <n v="-2.44086775928735E-2"/>
    <n v="1.6906439363955899E-3"/>
    <n v="2.6123998686670901E-3"/>
    <b v="0"/>
    <b v="1"/>
    <b v="0"/>
    <b v="1"/>
  </r>
  <r>
    <x v="73"/>
    <x v="1"/>
    <n v="1959475"/>
    <n v="0.91575151681900002"/>
    <n v="1.7000000000000001E-2"/>
    <n v="2.18017570405835"/>
    <n v="2.3807503061873341"/>
    <n v="-3.2471406794313501E-3"/>
    <n v="1.6906439363955899E-3"/>
    <n v="2.6123998686670901E-3"/>
    <n v="-2.0879338786006001E-2"/>
    <n v="8.6314654909073994E-3"/>
    <b v="1"/>
    <b v="0"/>
    <b v="1"/>
    <b v="0"/>
  </r>
  <r>
    <x v="73"/>
    <x v="2"/>
    <n v="1979209"/>
    <n v="0.90899288654327404"/>
    <n v="1.4E-2"/>
    <n v="2.10178408351066"/>
    <n v="2.312211805642773"/>
    <n v="-3.5956560933033302E-2"/>
    <n v="-2.0879338786006001E-2"/>
    <n v="8.6314654909073994E-3"/>
    <n v="-1.3598634585738199E-2"/>
    <n v="1.2968067079782399E-2"/>
    <b v="1"/>
    <b v="0"/>
    <b v="0"/>
    <b v="0"/>
  </r>
  <r>
    <x v="73"/>
    <x v="3"/>
    <n v="1999744"/>
    <n v="0.90001964569091797"/>
    <n v="8.9999999999999993E-3"/>
    <n v="2.1749197840454402"/>
    <n v="2.4165247886070529"/>
    <n v="3.4796961832832998E-2"/>
    <n v="-1.3598634585738199E-2"/>
    <n v="1.2968067079782399E-2"/>
    <n v="-1.1490824803709899E-2"/>
    <n v="-2.0307160448282901E-3"/>
    <b v="0"/>
    <b v="0"/>
    <b v="0"/>
    <b v="1"/>
  </r>
  <r>
    <x v="73"/>
    <x v="4"/>
    <n v="2017674"/>
    <n v="0.90461337566375699"/>
    <n v="7.0000000000000001E-3"/>
    <n v="2.2181371819036602"/>
    <n v="2.4520278403755742"/>
    <n v="1.98708008337838E-2"/>
    <n v="-1.1490824803709899E-2"/>
    <n v="-2.0307160448282901E-3"/>
    <n v="-2.1512911997735501E-2"/>
    <n v="-2.2913748398419999E-4"/>
    <b v="0"/>
    <b v="1"/>
    <b v="0"/>
    <b v="1"/>
  </r>
  <r>
    <x v="73"/>
    <x v="5"/>
    <n v="2032196"/>
    <n v="0.91443651914596602"/>
    <n v="3.0000000000000001E-3"/>
    <n v="2.2000924061912102"/>
    <n v="2.4059542244069352"/>
    <n v="-8.1351035723419996E-3"/>
    <n v="-2.1512911997735501E-2"/>
    <n v="-2.2913748398419999E-4"/>
    <n v="-5.4498867169022998E-3"/>
    <n v="-1.16806477309001E-5"/>
    <b v="0"/>
    <b v="0"/>
    <b v="0"/>
    <b v="0"/>
  </r>
  <r>
    <x v="73"/>
    <x v="6"/>
    <n v="2048427"/>
    <n v="0.92066675424575795"/>
    <n v="6.0000000000000001E-3"/>
    <n v="2.1842513632150999"/>
    <n v="2.3724668596342595"/>
    <n v="-7.2001716525780498E-3"/>
    <n v="-5.4498867169022998E-3"/>
    <n v="-9.7279436886398994E-5"/>
    <n v="6.2768670171498998E-3"/>
    <n v="1.5009567141530101E-4"/>
    <b v="0"/>
    <b v="0"/>
    <b v="0"/>
    <b v="0"/>
  </r>
  <r>
    <x v="73"/>
    <x v="7"/>
    <n v="2065789"/>
    <n v="0.92029309272766102"/>
    <n v="1.4999999999999999E-2"/>
    <n v="2.2225310560066598"/>
    <n v="2.4150252496400788"/>
    <n v="1.7525314822381701E-2"/>
    <n v="6.2768670171498998E-3"/>
    <n v="1.5009567141530101E-4"/>
    <n v="1.6391471177339999E-3"/>
    <n v="-3.6887638270850001E-4"/>
    <b v="0"/>
    <b v="0"/>
    <b v="0"/>
    <b v="0"/>
  </r>
  <r>
    <x v="73"/>
    <x v="8"/>
    <n v="2084054"/>
    <n v="0.92129278182983398"/>
    <n v="1.4E-2"/>
    <n v="2.22179816563514"/>
    <n v="2.4116092185399474"/>
    <n v="-3.2975483943756002E-4"/>
    <n v="1.6391471177339999E-3"/>
    <n v="-3.6887638270850001E-4"/>
    <n v="3.0520817428827299E-2"/>
    <n v="2.5736540555960197E-4"/>
    <b v="0"/>
    <b v="0"/>
    <b v="1"/>
    <b v="0"/>
  </r>
  <r>
    <x v="73"/>
    <x v="9"/>
    <n v="2104093"/>
    <n v="0.916293084621429"/>
    <n v="3.1E-2"/>
    <n v="2.2229471745965501"/>
    <n v="2.4260219922045705"/>
    <n v="5.1715271854212597E-4"/>
    <n v="3.0520817428827299E-2"/>
    <n v="2.5736540555960197E-4"/>
    <n v="1.66333841979504E-2"/>
    <n v="3.479827195406E-3"/>
    <b v="0"/>
    <b v="0"/>
    <b v="0"/>
    <b v="0"/>
  </r>
  <r>
    <x v="73"/>
    <x v="10"/>
    <n v="2127481"/>
    <n v="0.91245961189269997"/>
    <n v="2.4E-2"/>
    <n v="2.1997859424385799"/>
    <n v="2.4108310261268442"/>
    <n v="-1.0419155444922701E-2"/>
    <n v="1.66333841979504E-2"/>
    <n v="3.479827195406E-3"/>
    <n v="-4.3906888961791997E-3"/>
    <n v="-7.1802623569964903E-3"/>
    <b v="1"/>
    <b v="0"/>
    <b v="1"/>
    <b v="0"/>
  </r>
  <r>
    <x v="73"/>
    <x v="11"/>
    <n v="2149511"/>
    <n v="0.91645574569702104"/>
    <n v="3.2000000000000001E-2"/>
    <n v="2.16367945884044"/>
    <n v="2.3609208289646637"/>
    <n v="-1.6413635027646999E-2"/>
    <n v="-4.3906888961791997E-3"/>
    <n v="-7.1802623569964903E-3"/>
    <n v="4.0055832266809902E-4"/>
    <n v="-8.7344646453856901E-3"/>
    <b v="0"/>
    <b v="0"/>
    <b v="0"/>
    <b v="0"/>
  </r>
  <r>
    <x v="73"/>
    <x v="12"/>
    <n v="2168662"/>
    <n v="0.91757708787918102"/>
    <n v="2.4E-2"/>
    <n v="2.1917338272346498"/>
    <n v="2.3886100210942049"/>
    <n v="1.2966046462926499E-2"/>
    <n v="4.0055832266809902E-4"/>
    <n v="-8.7344646453856901E-3"/>
    <n v="1.8121789366006901E-2"/>
    <n v="3.2059475779539599E-4"/>
    <b v="0"/>
    <b v="1"/>
    <b v="0"/>
    <b v="0"/>
  </r>
  <r>
    <x v="73"/>
    <x v="13"/>
    <n v="2184463"/>
    <n v="0.92251068353652999"/>
    <n v="1.4999999999999999E-2"/>
    <n v="2.1733385605454001"/>
    <n v="2.3558952750701008"/>
    <n v="-8.3930203844419897E-3"/>
    <n v="1.8121789366006901E-2"/>
    <n v="3.2059475779539599E-4"/>
    <n v="9.7921510338782897E-3"/>
    <n v="-9.0570393949746999E-3"/>
    <b v="1"/>
    <b v="0"/>
    <b v="1"/>
    <b v="0"/>
  </r>
  <r>
    <x v="73"/>
    <x v="14"/>
    <n v="2197301"/>
    <n v="0.90880727767944303"/>
    <n v="3.7999999999999999E-2"/>
    <n v="2.0385747721311298"/>
    <n v="2.2431320943384669"/>
    <n v="-6.2007728966282698E-2"/>
    <n v="9.7921510338782897E-3"/>
    <n v="-9.0570393949746999E-3"/>
    <n v="2.5074972093105299E-2"/>
    <n v="-1.85146406292916E-2"/>
    <b v="0"/>
    <b v="0"/>
    <b v="1"/>
    <b v="0"/>
  </r>
  <r>
    <x v="73"/>
    <x v="15"/>
    <n v="2204588"/>
    <n v="0.92864751815795898"/>
    <n v="2.9000000000000001E-2"/>
    <n v="2.1229439554046801"/>
    <n v="2.2860600108162634"/>
    <n v="4.1386356991633497E-2"/>
    <n v="2.5074972093105299E-2"/>
    <n v="-1.85146406292916E-2"/>
    <n v="-2.14767362177372E-2"/>
    <n v="1.06267705559731E-2"/>
    <b v="0"/>
    <b v="1"/>
    <b v="0"/>
    <b v="0"/>
  </r>
  <r>
    <x v="73"/>
    <x v="16"/>
    <n v="2213883"/>
    <n v="0.92542815208435103"/>
    <n v="2.7E-2"/>
    <n v="2.0170864926192"/>
    <n v="2.1796251692539244"/>
    <n v="-4.9863522075552801E-2"/>
    <n v="-2.14767362177372E-2"/>
    <n v="1.11054740846157E-2"/>
    <n v="-1.30659274607897E-2"/>
    <n v="6.4930003136395896E-3"/>
    <b v="1"/>
    <b v="0"/>
    <b v="0"/>
    <b v="0"/>
  </r>
  <r>
    <x v="74"/>
    <x v="0"/>
    <n v="225412.796875"/>
    <n v="0.91421002149581898"/>
    <n v="5.5E-2"/>
    <n v="2.5260455486542401"/>
    <n v="2.7630910723568269"/>
    <n v="-2.7624909320052501E-2"/>
    <n v="1.9184948533773401E-2"/>
    <n v="1.28219090402126E-2"/>
    <n v="2.2030691713094599E-2"/>
    <n v="2.2952447645366199E-2"/>
    <b v="1"/>
    <b v="0"/>
    <b v="1"/>
    <b v="0"/>
  </r>
  <r>
    <x v="74"/>
    <x v="1"/>
    <n v="231276.703125"/>
    <n v="0.92583620548248302"/>
    <n v="0"/>
    <n v="2.3726196156682402"/>
    <n v="2.5626775034486706"/>
    <n v="-6.07375955939271E-2"/>
    <n v="2.2030691713094599E-2"/>
    <n v="2.2952447645366199E-2"/>
    <n v="-2.2837410971522299E-2"/>
    <n v="6.6733933053911001E-3"/>
    <b v="1"/>
    <b v="0"/>
    <b v="1"/>
    <b v="0"/>
  </r>
  <r>
    <x v="74"/>
    <x v="2"/>
    <n v="239421.203125"/>
    <n v="0.92420172691345204"/>
    <n v="0"/>
    <n v="2.7604381976023098"/>
    <n v="2.9868351434716742"/>
    <n v="0.16345586092815101"/>
    <n v="-2.2837410971522299E-2"/>
    <n v="6.6733933053911001E-3"/>
    <n v="-4.3088269144296601E-2"/>
    <n v="-1.6521567478775898E-2"/>
    <b v="0"/>
    <b v="0"/>
    <b v="0"/>
    <b v="1"/>
  </r>
  <r>
    <x v="74"/>
    <x v="3"/>
    <n v="248107.796875"/>
    <n v="0.92263370752334595"/>
    <n v="0"/>
    <n v="2.5036383937165501"/>
    <n v="2.7135778514283242"/>
    <n v="-9.3028637304329601E-2"/>
    <n v="-4.3088269144296601E-2"/>
    <n v="-1.6521567478775898E-2"/>
    <n v="-6.5770762413739996E-4"/>
    <n v="8.8024011347442796E-3"/>
    <b v="0"/>
    <b v="0"/>
    <b v="0"/>
    <b v="0"/>
  </r>
  <r>
    <x v="74"/>
    <x v="4"/>
    <n v="257589.390625"/>
    <n v="0.92763042449951205"/>
    <n v="0"/>
    <n v="2.5876965238713399"/>
    <n v="2.7895770293082931"/>
    <n v="3.35743893230551E-2"/>
    <n v="-6.5770762413739996E-4"/>
    <n v="8.8024011347442796E-3"/>
    <n v="-2.77943311892449E-2"/>
    <n v="-6.5105566754936799E-3"/>
    <b v="0"/>
    <b v="0"/>
    <b v="0"/>
    <b v="1"/>
  </r>
  <r>
    <x v="75"/>
    <x v="0"/>
    <n v="369275.21875"/>
    <n v="0.93831896781921398"/>
    <n v="1.2999999999999999E-2"/>
    <n v="2.5270186929800298"/>
    <n v="2.6931339764485189"/>
    <n v="-3.3705808355510403E-2"/>
    <n v="7.1506813466548896E-3"/>
    <n v="7.8764185309410095E-4"/>
    <n v="6.3417992591857904E-3"/>
    <n v="7.2635551914572898E-3"/>
    <b v="1"/>
    <b v="0"/>
    <b v="1"/>
    <b v="0"/>
  </r>
  <r>
    <x v="75"/>
    <x v="1"/>
    <n v="383659.6875"/>
    <n v="0.93072146177291903"/>
    <n v="4.1000000000000002E-2"/>
    <n v="2.5251045530798799"/>
    <n v="2.7130614870208767"/>
    <n v="-7.5746962436916301E-4"/>
    <n v="6.3417992591857904E-3"/>
    <n v="7.2635551914572898E-3"/>
    <n v="-2.23972362577914E-2"/>
    <n v="7.1135680191219E-3"/>
    <b v="1"/>
    <b v="0"/>
    <b v="1"/>
    <b v="0"/>
  </r>
  <r>
    <x v="75"/>
    <x v="2"/>
    <n v="393038.21875"/>
    <n v="0.92491751909256004"/>
    <n v="3.0000000000000001E-3"/>
    <n v="2.6475810653733598"/>
    <n v="2.8625050458238821"/>
    <n v="4.8503541029257698E-2"/>
    <n v="-2.23972362577914E-2"/>
    <n v="7.1135680191219E-3"/>
    <n v="-2.71041511595249E-2"/>
    <n v="-5.3744949400424903E-4"/>
    <b v="0"/>
    <b v="0"/>
    <b v="0"/>
    <b v="1"/>
  </r>
  <r>
    <x v="75"/>
    <x v="3"/>
    <n v="398684.90625"/>
    <n v="0.92097574472427401"/>
    <n v="2.4E-2"/>
    <n v="2.6161373051884"/>
    <n v="2.8406147720770121"/>
    <n v="-1.1876410734387499E-2"/>
    <n v="-2.71041511595249E-2"/>
    <n v="-5.3744949400424903E-4"/>
    <n v="-1.3981579508632399E-2"/>
    <n v="-4.5214707497507299E-3"/>
    <b v="0"/>
    <b v="0"/>
    <b v="0"/>
    <b v="0"/>
  </r>
  <r>
    <x v="75"/>
    <x v="4"/>
    <n v="409787.8125"/>
    <n v="0.91373658180236805"/>
    <n v="0"/>
    <n v="2.5253905886296302"/>
    <n v="2.763805935894823"/>
    <n v="-3.4687291213192001E-2"/>
    <n v="-1.3981579508632399E-2"/>
    <n v="-4.5214707497507299E-3"/>
    <n v="-2.37745292186737E-2"/>
    <n v="-2.4907547049224099E-3"/>
    <b v="0"/>
    <b v="0"/>
    <b v="0"/>
    <b v="0"/>
  </r>
  <r>
    <x v="76"/>
    <x v="0"/>
    <n v="807719.5"/>
    <n v="0.92708951234817505"/>
    <n v="7.0000000000000001E-3"/>
    <n v="2.09834915313699"/>
    <n v="2.2633727651844477"/>
    <n v="-2.4011018975750701E-2"/>
    <n v="3.1670679926872197E-2"/>
    <n v="2.53076404333114E-2"/>
    <n v="-9.7940200567250097E-4"/>
    <n v="-5.76460734010002E-5"/>
    <b v="1"/>
    <b v="0"/>
    <b v="1"/>
    <b v="0"/>
  </r>
  <r>
    <x v="76"/>
    <x v="1"/>
    <n v="819129.25"/>
    <n v="0.92345595359802202"/>
    <n v="0.02"/>
    <n v="2.0519915741095298"/>
    <n v="2.2220784501030533"/>
    <n v="-2.2092404859390801E-2"/>
    <n v="-9.7940200567250097E-4"/>
    <n v="-5.76460734010002E-5"/>
    <n v="-5.3403911471366902E-2"/>
    <n v="-2.3893107194453499E-2"/>
    <b v="0"/>
    <b v="0"/>
    <b v="0"/>
    <b v="0"/>
  </r>
  <r>
    <x v="76"/>
    <x v="2"/>
    <n v="828825"/>
    <n v="0.91592246294021595"/>
    <n v="1.7999999999999999E-2"/>
    <n v="1.99118040422367"/>
    <n v="2.1739617541770437"/>
    <n v="-2.96351947313655E-2"/>
    <n v="-5.3403911471366902E-2"/>
    <n v="-2.3893107194453499E-2"/>
    <n v="-2.9409763127565301E-2"/>
    <n v="-2.8430614620447402E-3"/>
    <b v="0"/>
    <b v="0"/>
    <b v="0"/>
    <b v="0"/>
  </r>
  <r>
    <x v="76"/>
    <x v="3"/>
    <n v="835159"/>
    <n v="0.91852766275405895"/>
    <n v="2.1000000000000001E-2"/>
    <n v="2.13890968236805"/>
    <n v="2.3286284878507306"/>
    <n v="7.4191809959063701E-2"/>
    <n v="-2.9409763127565301E-2"/>
    <n v="-2.8430614620447402E-3"/>
    <n v="-8.1829514205455801E-3"/>
    <n v="1.2771573383360999E-3"/>
    <b v="0"/>
    <b v="1"/>
    <b v="0"/>
    <b v="1"/>
  </r>
  <r>
    <x v="76"/>
    <x v="4"/>
    <n v="840165.875"/>
    <n v="0.92711079120635997"/>
    <n v="1.0999999999999999E-2"/>
    <n v="2.11446481853678"/>
    <n v="2.2807034915270812"/>
    <n v="-1.14286564003985E-2"/>
    <n v="-8.1829514205455801E-3"/>
    <n v="1.2771573383360999E-3"/>
    <n v="-2.82887174915522E-2"/>
    <n v="-7.0049429778009297E-3"/>
    <b v="1"/>
    <b v="0"/>
    <b v="0"/>
    <b v="0"/>
  </r>
  <r>
    <x v="76"/>
    <x v="5"/>
    <n v="845128.4375"/>
    <n v="0.92477434873580899"/>
    <n v="3.3000000000000002E-2"/>
    <n v="2.1309936173579702"/>
    <n v="2.3043390209418058"/>
    <n v="7.8170129274729803E-3"/>
    <n v="-2.82887174915522E-2"/>
    <n v="-7.0049429778009297E-3"/>
    <n v="-6.5537535622715998E-3"/>
    <n v="-1.1155474931001999E-3"/>
    <b v="0"/>
    <b v="1"/>
    <b v="0"/>
    <b v="1"/>
  </r>
  <r>
    <x v="76"/>
    <x v="6"/>
    <n v="849873.25"/>
    <n v="0.92724919319152799"/>
    <n v="6.0000000000000001E-3"/>
    <n v="2.1552439365790299"/>
    <n v="2.3243416682421998"/>
    <n v="1.13798178575153E-2"/>
    <n v="-6.5537535622715998E-3"/>
    <n v="-1.2011462822556899E-3"/>
    <n v="7.0375750213861003E-3"/>
    <n v="9.1080367565150096E-4"/>
    <b v="0"/>
    <b v="1"/>
    <b v="0"/>
    <b v="1"/>
  </r>
  <r>
    <x v="76"/>
    <x v="7"/>
    <n v="854260.0625"/>
    <n v="0.93077766895294201"/>
    <n v="8.0000000000000002E-3"/>
    <n v="2.2679810909332998"/>
    <n v="2.4366518091099194"/>
    <n v="5.2308303687058702E-2"/>
    <n v="7.0375750213861003E-3"/>
    <n v="9.1080367565150096E-4"/>
    <n v="-9.4111125767230904E-3"/>
    <n v="-1.14191360771656E-2"/>
    <b v="0"/>
    <b v="0"/>
    <b v="0"/>
    <b v="0"/>
  </r>
  <r>
    <x v="76"/>
    <x v="8"/>
    <n v="859060.125"/>
    <n v="0.92162054777145397"/>
    <n v="0.02"/>
    <n v="2.2318212964231798"/>
    <n v="2.4216271021950275"/>
    <n v="-1.5943604933334899E-2"/>
    <n v="-9.4111125767230904E-3"/>
    <n v="-1.14191360771656E-2"/>
    <n v="2.93949043154716E-2"/>
    <n v="-8.6854770779609604E-4"/>
    <b v="0"/>
    <b v="0"/>
    <b v="0"/>
    <b v="0"/>
  </r>
  <r>
    <x v="76"/>
    <x v="9"/>
    <n v="864952"/>
    <n v="0.93826448917388905"/>
    <n v="1.2999999999999999E-2"/>
    <n v="2.22830985088153"/>
    <n v="2.3749271944028099"/>
    <n v="-1.5733542588195601E-3"/>
    <n v="2.93949043154716E-2"/>
    <n v="-8.6854770779609604E-4"/>
    <n v="2.10580642223358E-2"/>
    <n v="7.9045072197914002E-3"/>
    <b v="0"/>
    <b v="0"/>
    <b v="1"/>
    <b v="0"/>
  </r>
  <r>
    <x v="76"/>
    <x v="10"/>
    <n v="873170.6875"/>
    <n v="0.93564832210540805"/>
    <n v="1.4999999999999999E-2"/>
    <n v="2.2647848233798298"/>
    <n v="2.4205513651577779"/>
    <n v="1.63688961316906E-2"/>
    <n v="2.10580642223358E-2"/>
    <n v="7.9045072197914002E-3"/>
    <n v="1.4363964736461499E-2"/>
    <n v="1.15743912756442E-2"/>
    <b v="0"/>
    <b v="0"/>
    <b v="0"/>
    <b v="0"/>
  </r>
  <r>
    <x v="76"/>
    <x v="11"/>
    <n v="882071.5"/>
    <n v="0.94436568021774303"/>
    <n v="1.2999999999999999E-2"/>
    <n v="2.23051095731461"/>
    <n v="2.3619144617795933"/>
    <n v="-1.5133387380297E-2"/>
    <n v="1.4363964736461499E-2"/>
    <n v="1.15743912756442E-2"/>
    <n v="-5.6266931593417996E-3"/>
    <n v="-1.47617161273955E-2"/>
    <b v="1"/>
    <b v="0"/>
    <b v="1"/>
    <b v="0"/>
  </r>
  <r>
    <x v="76"/>
    <x v="12"/>
    <n v="890111.3125"/>
    <n v="0.93945151567459095"/>
    <n v="1.6E-2"/>
    <n v="2.2093690248565898"/>
    <n v="2.3517648202101316"/>
    <n v="-9.4785153996604608E-3"/>
    <n v="-5.6266931593417996E-3"/>
    <n v="-1.47617161273955E-2"/>
    <n v="3.2068840384483301E-2"/>
    <n v="1.4267645776271799E-2"/>
    <b v="0"/>
    <b v="0"/>
    <b v="0"/>
    <b v="0"/>
  </r>
  <r>
    <x v="76"/>
    <x v="13"/>
    <n v="898334.75"/>
    <n v="0.93963611125946001"/>
    <n v="3.2000000000000001E-2"/>
    <n v="2.2195409858181101"/>
    <n v="2.3621282315800998"/>
    <n v="4.6040117549752896E-3"/>
    <n v="3.2068840384483301E-2"/>
    <n v="1.4267645776271799E-2"/>
    <n v="3.5050084918737401E-2"/>
    <n v="1.6200894489884401E-2"/>
    <b v="0"/>
    <b v="0"/>
    <b v="0"/>
    <b v="0"/>
  </r>
  <r>
    <x v="76"/>
    <x v="14"/>
    <n v="908686.875"/>
    <n v="0.96329504251480103"/>
    <n v="0.01"/>
    <n v="2.1250490070740602"/>
    <n v="2.2060209108170601"/>
    <n v="-4.2572756866312303E-2"/>
    <n v="3.5050084918737401E-2"/>
    <n v="1.6200894489884401E-2"/>
    <n v="7.0017902433872001E-2"/>
    <n v="2.6428289711475001E-2"/>
    <b v="1"/>
    <b v="0"/>
    <b v="1"/>
    <b v="0"/>
  </r>
  <r>
    <x v="76"/>
    <x v="15"/>
    <n v="920661.8125"/>
    <n v="0.96093350648880005"/>
    <n v="5.3999999999999999E-2"/>
    <n v="2.1590418075368998"/>
    <n v="2.246817072105149"/>
    <n v="1.5996243074713999E-2"/>
    <n v="7.0017902433872001E-2"/>
    <n v="2.6428289711475001E-2"/>
    <n v="9.9292826652526908E-3"/>
    <n v="4.2032789438962999E-2"/>
    <b v="0"/>
    <b v="0"/>
    <b v="0"/>
    <b v="0"/>
  </r>
  <r>
    <x v="76"/>
    <x v="16"/>
    <n v="936869.6875"/>
    <n v="0.95357507467269897"/>
    <n v="2.5999999999999999E-2"/>
    <n v="2.0865558498493"/>
    <n v="2.1881400901397097"/>
    <n v="-3.3573207074805898E-2"/>
    <n v="9.9292826652526908E-3"/>
    <n v="4.2511492967605598E-2"/>
    <n v="-4.5289870202541004E-3"/>
    <n v="1.50299407541752E-2"/>
    <b v="1"/>
    <b v="0"/>
    <b v="1"/>
    <b v="0"/>
  </r>
  <r>
    <x v="77"/>
    <x v="0"/>
    <n v="451608.3125"/>
    <n v="0.93615770339965798"/>
    <n v="0"/>
    <n v="2.4374360366757801"/>
    <n v="2.6036596481813139"/>
    <n v="0.112449539495159"/>
    <n v="3.2478479325771303E-2"/>
    <n v="2.6115439832210499E-2"/>
    <n v="-8.6903841793539998E-4"/>
    <n v="5.27175143361004E-5"/>
    <b v="0"/>
    <b v="0"/>
    <b v="0"/>
    <b v="0"/>
  </r>
  <r>
    <x v="77"/>
    <x v="1"/>
    <n v="455511"/>
    <n v="0.91365766525268599"/>
    <n v="0"/>
    <n v="2.26526401049099"/>
    <n v="2.479335638107405"/>
    <n v="-7.0636531008052006E-2"/>
    <n v="-8.6903841793539998E-4"/>
    <n v="5.27175143361004E-5"/>
    <n v="-6.4450026780366904E-2"/>
    <n v="-3.49392225034535E-2"/>
    <b v="1"/>
    <b v="0"/>
    <b v="0"/>
    <b v="0"/>
  </r>
  <r>
    <x v="77"/>
    <x v="2"/>
    <n v="460352.28125"/>
    <n v="0.87861073017120395"/>
    <n v="0.13400000000000001"/>
    <n v="2.3125770524688098"/>
    <n v="2.6320837807412012"/>
    <n v="2.0886325725699501E-2"/>
    <n v="-6.4450026780366904E-2"/>
    <n v="-3.49392225034535E-2"/>
    <n v="-2.070812946558E-2"/>
    <n v="5.8585721999406502E-3"/>
    <b v="0"/>
    <b v="1"/>
    <b v="0"/>
    <b v="1"/>
  </r>
  <r>
    <x v="77"/>
    <x v="3"/>
    <n v="464861.5"/>
    <n v="0.91272348165512096"/>
    <n v="3.3000000000000002E-2"/>
    <n v="2.1522276690815998"/>
    <n v="2.3580281567630736"/>
    <n v="-6.9337963557162E-2"/>
    <n v="-2.070812946558E-2"/>
    <n v="5.8585721999406502E-3"/>
    <n v="-6.6575363129377403E-3"/>
    <n v="2.8025724459439399E-3"/>
    <b v="1"/>
    <b v="0"/>
    <b v="0"/>
    <b v="0"/>
  </r>
  <r>
    <x v="77"/>
    <x v="4"/>
    <n v="467906.5"/>
    <n v="0.93346464633941695"/>
    <n v="1.0999999999999999E-2"/>
    <n v="2.4541553339377402"/>
    <n v="2.6290822513329393"/>
    <n v="0.140286118050411"/>
    <n v="-6.6575363129377403E-3"/>
    <n v="2.8025724459439399E-3"/>
    <n v="-2.4221320513635802E-2"/>
    <n v="-2.9375459998845698E-3"/>
    <b v="0"/>
    <b v="0"/>
    <b v="0"/>
    <b v="1"/>
  </r>
  <r>
    <x v="77"/>
    <x v="5"/>
    <n v="470056.5"/>
    <n v="0.93148499727249101"/>
    <n v="4.9000000000000002E-2"/>
    <n v="2.2094506179250102"/>
    <n v="2.3719658656817537"/>
    <n v="-9.9710361699107797E-2"/>
    <n v="-2.4221320513635802E-2"/>
    <n v="-2.9375459998845698E-3"/>
    <n v="3.9758530408143897E-3"/>
    <n v="9.4140591099857902E-3"/>
    <b v="0"/>
    <b v="0"/>
    <b v="0"/>
    <b v="0"/>
  </r>
  <r>
    <x v="77"/>
    <x v="6"/>
    <n v="472852.125"/>
    <n v="0.937680423259735"/>
    <n v="0"/>
    <n v="2.3447311513259499"/>
    <n v="2.5005653239242958"/>
    <n v="6.1228131691841402E-2"/>
    <n v="3.9758530408143897E-3"/>
    <n v="9.3284603208303001E-3"/>
    <n v="7.0151338726282004E-3"/>
    <n v="8.8836252689360098E-4"/>
    <b v="0"/>
    <b v="0"/>
    <b v="0"/>
    <b v="0"/>
  </r>
  <r>
    <x v="77"/>
    <x v="7"/>
    <n v="477126"/>
    <n v="0.94548016786575295"/>
    <n v="2E-3"/>
    <n v="2.3182846207376402"/>
    <n v="2.4519653605963412"/>
    <n v="-1.12791313295549E-2"/>
    <n v="7.0151338726282004E-3"/>
    <n v="8.8836252689360098E-4"/>
    <n v="7.3373021185399803E-4"/>
    <n v="-1.2742932885885E-3"/>
    <b v="1"/>
    <b v="0"/>
    <b v="1"/>
    <b v="0"/>
  </r>
  <r>
    <x v="77"/>
    <x v="8"/>
    <n v="481024.09375"/>
    <n v="0.94213539361953702"/>
    <n v="0"/>
    <n v="2.3927240219400501"/>
    <n v="2.5396817040781987"/>
    <n v="3.2109690301411503E-2"/>
    <n v="7.3373021185399803E-4"/>
    <n v="-1.2742932885885E-3"/>
    <n v="-2.06972861886024E-2"/>
    <n v="-5.0960738211869999E-2"/>
    <b v="0"/>
    <b v="1"/>
    <b v="0"/>
    <b v="0"/>
  </r>
  <r>
    <x v="77"/>
    <x v="9"/>
    <n v="483691"/>
    <n v="0.91001361608505205"/>
    <n v="2.7E-2"/>
    <n v="2.3442731485860202"/>
    <n v="2.5760857938271977"/>
    <n v="-2.0249252696829201E-2"/>
    <n v="-2.06972861886024E-2"/>
    <n v="-5.0960738211869999E-2"/>
    <n v="-2.1233615197241301E-2"/>
    <n v="-3.4387172199785702E-2"/>
    <b v="0"/>
    <b v="0"/>
    <b v="0"/>
    <b v="0"/>
  </r>
  <r>
    <x v="77"/>
    <x v="10"/>
    <n v="483467.40625"/>
    <n v="0.88144153356552102"/>
    <n v="2.5000000000000001E-2"/>
    <n v="2.227676064248"/>
    <n v="2.5273100703989098"/>
    <n v="-4.9736987521416497E-2"/>
    <n v="-2.1233615197241301E-2"/>
    <n v="-3.4387172199785702E-2"/>
    <n v="-1.92540218625217E-2"/>
    <n v="-2.2043595323339001E-2"/>
    <b v="0"/>
    <b v="0"/>
    <b v="0"/>
    <b v="0"/>
  </r>
  <r>
    <x v="77"/>
    <x v="11"/>
    <n v="481674.1875"/>
    <n v="0.87609791755676303"/>
    <n v="1.4999999999999999E-2"/>
    <n v="2.1670315236427302"/>
    <n v="2.4735037947425855"/>
    <n v="-2.72232312312185E-2"/>
    <n v="-1.92540218625217E-2"/>
    <n v="-2.2043595323339001E-2"/>
    <n v="-1.13829074203968E-2"/>
    <n v="-2.0517930388450501E-2"/>
    <b v="0"/>
    <b v="0"/>
    <b v="0"/>
    <b v="0"/>
  </r>
  <r>
    <x v="77"/>
    <x v="12"/>
    <n v="480062.28125"/>
    <n v="0.89951044321060203"/>
    <n v="1.2E-2"/>
    <n v="2.3305082100268399"/>
    <n v="2.5908628717067592"/>
    <n v="7.54380748967204E-2"/>
    <n v="-1.13829074203968E-2"/>
    <n v="-2.0517930388450501E-2"/>
    <n v="5.9458251744509E-3"/>
    <n v="-1.18553694337606E-2"/>
    <b v="0"/>
    <b v="1"/>
    <b v="0"/>
    <b v="1"/>
  </r>
  <r>
    <x v="77"/>
    <x v="13"/>
    <n v="478773.1875"/>
    <n v="0.90783858299255404"/>
    <n v="1.6E-2"/>
    <n v="2.3604499814057198"/>
    <n v="2.6000767378985477"/>
    <n v="1.28477433591771E-2"/>
    <n v="5.9458251744509E-3"/>
    <n v="-1.18553694337606E-2"/>
    <n v="3.2667087495326999E-2"/>
    <n v="1.38178970664739E-2"/>
    <b v="0"/>
    <b v="1"/>
    <b v="0"/>
    <b v="0"/>
  </r>
  <r>
    <x v="77"/>
    <x v="14"/>
    <n v="478687"/>
    <n v="0.93699049949645996"/>
    <n v="2E-3"/>
    <n v="2.2727181443919999"/>
    <n v="2.4255508947138331"/>
    <n v="-3.7167420493897797E-2"/>
    <n v="3.2667087495326999E-2"/>
    <n v="1.38178970664739E-2"/>
    <n v="5.0971133887767799E-2"/>
    <n v="7.38152116537089E-3"/>
    <b v="1"/>
    <b v="0"/>
    <b v="1"/>
    <b v="0"/>
  </r>
  <r>
    <x v="77"/>
    <x v="15"/>
    <n v="480224.40625"/>
    <n v="0.936074018478394"/>
    <n v="1.0999999999999999E-2"/>
    <n v="2.2705380893859899"/>
    <n v="2.4255967418867073"/>
    <n v="-9.5922805535313398E-4"/>
    <n v="5.0971133887767799E-2"/>
    <n v="7.38152116537089E-3"/>
    <n v="-6.00828918814659E-2"/>
    <n v="-2.7979385107755599E-2"/>
    <b v="1"/>
    <b v="0"/>
    <b v="1"/>
    <b v="0"/>
  </r>
  <r>
    <x v="77"/>
    <x v="16"/>
    <n v="481837.09375"/>
    <n v="0.91619855165481601"/>
    <n v="6.0000000000000001E-3"/>
    <n v="2.1697075930204699"/>
    <n v="2.3681630898691073"/>
    <n v="-4.4408194179550699E-2"/>
    <n v="-6.00828918814659E-2"/>
    <n v="-2.7500681579113E-2"/>
    <n v="-1.4241550847888E-2"/>
    <n v="5.3173769265412998E-3"/>
    <b v="0"/>
    <b v="0"/>
    <b v="0"/>
    <b v="0"/>
  </r>
  <r>
    <x v="78"/>
    <x v="0"/>
    <n v="572706.1875"/>
    <n v="0.92097449302673295"/>
    <n v="1.9E-2"/>
    <n v="2.5690412571894301"/>
    <n v="2.7894814423648309"/>
    <n v="-4.4885733563948198E-2"/>
    <n v="2.8660187155008301E-2"/>
    <n v="2.2297147661447501E-2"/>
    <n v="-3.7626613825559999E-3"/>
    <n v="-2.8409054502845001E-3"/>
    <b v="1"/>
    <b v="0"/>
    <b v="1"/>
    <b v="0"/>
  </r>
  <r>
    <x v="78"/>
    <x v="1"/>
    <n v="588182.9375"/>
    <n v="0.89109563827514604"/>
    <n v="0"/>
    <n v="2.6440274628977498"/>
    <n v="2.9671646334344937"/>
    <n v="2.9188400730609701E-2"/>
    <n v="-3.7626613825559999E-3"/>
    <n v="-2.8409054502845001E-3"/>
    <n v="-5.2690304175019298E-2"/>
    <n v="-2.3179499898105801E-2"/>
    <b v="0"/>
    <b v="1"/>
    <b v="0"/>
    <b v="1"/>
  </r>
  <r>
    <x v="78"/>
    <x v="2"/>
    <n v="595796.8125"/>
    <n v="0.88492035865783703"/>
    <n v="3.6999999999999998E-2"/>
    <n v="2.8737472864067501"/>
    <n v="3.2474643150547204"/>
    <n v="8.6882540643975895E-2"/>
    <n v="-5.2690304175019298E-2"/>
    <n v="-2.3179499898105801E-2"/>
    <n v="-2.8840628176927601E-2"/>
    <n v="-2.2739265114069501E-3"/>
    <b v="0"/>
    <b v="1"/>
    <b v="0"/>
    <b v="1"/>
  </r>
  <r>
    <x v="78"/>
    <x v="3"/>
    <n v="599738"/>
    <n v="0.88061916828155495"/>
    <n v="5.3999999999999999E-2"/>
    <n v="2.5606651322279101"/>
    <n v="2.9078008115867"/>
    <n v="-0.108945611070176"/>
    <n v="-2.8840628176927601E-2"/>
    <n v="-2.2739265114069501E-3"/>
    <n v="-4.0175562575458998E-3"/>
    <n v="5.44255250133578E-3"/>
    <b v="0"/>
    <b v="0"/>
    <b v="0"/>
    <b v="0"/>
  </r>
  <r>
    <x v="78"/>
    <x v="4"/>
    <n v="604126.5"/>
    <n v="0.89615797996520996"/>
    <n v="1E-3"/>
    <n v="2.66225123689992"/>
    <n v="2.9707387496602689"/>
    <n v="3.96717647276391E-2"/>
    <n v="-4.0175562575458998E-3"/>
    <n v="5.44255250133578E-3"/>
    <n v="-1.9425736151635599E-2"/>
    <n v="1.8580383621157001E-3"/>
    <b v="0"/>
    <b v="0"/>
    <b v="0"/>
    <b v="1"/>
  </r>
  <r>
    <x v="78"/>
    <x v="5"/>
    <n v="609126.5625"/>
    <n v="0.89997386932373002"/>
    <n v="0"/>
    <n v="2.5708766401018099"/>
    <n v="2.8566125392436685"/>
    <n v="-3.4322304195644603E-2"/>
    <n v="-1.9425736151635599E-2"/>
    <n v="1.8580383621157001E-3"/>
    <n v="-3.0183776319026999E-3"/>
    <n v="2.4198284372686902E-3"/>
    <b v="1"/>
    <b v="0"/>
    <b v="0"/>
    <b v="0"/>
  </r>
  <r>
    <x v="78"/>
    <x v="6"/>
    <n v="613669.625"/>
    <n v="0.91775155067443803"/>
    <n v="-1E-3"/>
    <n v="2.5353971946535898"/>
    <n v="2.7626182628516127"/>
    <n v="-1.38005242627322E-2"/>
    <n v="-3.0183776319026999E-3"/>
    <n v="2.33422964811319E-3"/>
    <n v="1.23933634161948E-2"/>
    <n v="6.26659207046029E-3"/>
    <b v="1"/>
    <b v="0"/>
    <b v="0"/>
    <b v="0"/>
  </r>
  <r>
    <x v="78"/>
    <x v="7"/>
    <n v="620456.625"/>
    <n v="0.919652760028839"/>
    <n v="0.01"/>
    <n v="2.7051593692078599"/>
    <n v="2.9415008433433396"/>
    <n v="6.6956836156576494E-2"/>
    <n v="1.23933634161948E-2"/>
    <n v="6.26659207046029E-3"/>
    <n v="1.0627119630575201E-2"/>
    <n v="8.6190961301326995E-3"/>
    <b v="0"/>
    <b v="0"/>
    <b v="0"/>
    <b v="0"/>
  </r>
  <r>
    <x v="78"/>
    <x v="8"/>
    <n v="631432.375"/>
    <n v="0.93687170743942305"/>
    <n v="-5.0000000000000001E-3"/>
    <n v="2.7185658082460198"/>
    <n v="2.9017482187354866"/>
    <n v="4.95587771676766E-3"/>
    <n v="1.0627119630575201E-2"/>
    <n v="8.6190961301326995E-3"/>
    <n v="4.43890487551689E-2"/>
    <n v="1.41255967319012E-2"/>
    <b v="0"/>
    <b v="0"/>
    <b v="0"/>
    <b v="0"/>
  </r>
  <r>
    <x v="78"/>
    <x v="9"/>
    <n v="644896.1875"/>
    <n v="0.94588923454284701"/>
    <n v="0"/>
    <n v="2.6276663737317199"/>
    <n v="2.777985283870668"/>
    <n v="-3.3436540045704503E-2"/>
    <n v="4.43890487551689E-2"/>
    <n v="1.41255967319012E-2"/>
    <n v="2.3841444671154E-2"/>
    <n v="1.06878876686096E-2"/>
    <b v="1"/>
    <b v="0"/>
    <b v="1"/>
    <b v="0"/>
  </r>
  <r>
    <x v="78"/>
    <x v="10"/>
    <n v="661395.6875"/>
    <n v="0.94374179840087902"/>
    <n v="5.0000000000000001E-3"/>
    <n v="2.5702942032399698"/>
    <n v="2.72351421500584"/>
    <n v="-2.1833886929210601E-2"/>
    <n v="2.3841444671154E-2"/>
    <n v="1.06878876686096E-2"/>
    <n v="1.7538139313459399E-2"/>
    <n v="1.4748565852642099E-2"/>
    <b v="1"/>
    <b v="0"/>
    <b v="1"/>
    <b v="0"/>
  </r>
  <r>
    <x v="78"/>
    <x v="11"/>
    <n v="679834.25"/>
    <n v="0.93615615367889404"/>
    <n v="3.7999999999999999E-2"/>
    <n v="2.68341897818074"/>
    <n v="2.8664224100172557"/>
    <n v="4.4012383795662503E-2"/>
    <n v="1.7538139313459399E-2"/>
    <n v="1.4748565852642099E-2"/>
    <n v="9.7166264653206005E-3"/>
    <n v="5.81603497266804E-4"/>
    <b v="0"/>
    <b v="0"/>
    <b v="0"/>
    <b v="0"/>
  </r>
  <r>
    <x v="78"/>
    <x v="12"/>
    <n v="698757"/>
    <n v="0.930927515029907"/>
    <n v="1.7000000000000001E-2"/>
    <n v="2.6414354226152499"/>
    <n v="2.8374233009219747"/>
    <n v="-1.5645546188226001E-2"/>
    <n v="9.7166264653206005E-3"/>
    <n v="5.81603497266804E-4"/>
    <n v="2.2402006357908202E-2"/>
    <n v="4.6008117496966899E-3"/>
    <b v="1"/>
    <b v="0"/>
    <b v="1"/>
    <b v="0"/>
  </r>
  <r>
    <x v="78"/>
    <x v="13"/>
    <n v="715691"/>
    <n v="0.92789345979690596"/>
    <n v="2.5000000000000001E-2"/>
    <n v="2.5803343219933499"/>
    <n v="2.7808519337533903"/>
    <n v="-2.3131779069351401E-2"/>
    <n v="2.2402006357908202E-2"/>
    <n v="4.6008117496966899E-3"/>
    <n v="-7.6428883522750002E-4"/>
    <n v="-1.96134792640805E-2"/>
    <b v="1"/>
    <b v="0"/>
    <b v="1"/>
    <b v="0"/>
  </r>
  <r>
    <x v="78"/>
    <x v="14"/>
    <n v="736539.125"/>
    <n v="0.90952801704406705"/>
    <n v="9.5000000000000001E-2"/>
    <n v="2.7299240406984802"/>
    <n v="3.0014732801421928"/>
    <n v="5.7972998859144198E-2"/>
    <n v="-7.6428883522750002E-4"/>
    <n v="-1.96134792640805E-2"/>
    <n v="8.2172995686530997E-2"/>
    <n v="3.8583382964134098E-2"/>
    <b v="0"/>
    <b v="1"/>
    <b v="0"/>
    <b v="1"/>
  </r>
  <r>
    <x v="78"/>
    <x v="15"/>
    <n v="764246.8125"/>
    <n v="0.94562220573425304"/>
    <n v="7.0000000000000007E-2"/>
    <n v="2.7439279584303198"/>
    <n v="2.9017169243606387"/>
    <n v="5.1297829254800097E-3"/>
    <n v="8.2172995686530997E-2"/>
    <n v="3.8583382964134098E-2"/>
    <n v="-3.4768273979425397E-2"/>
    <n v="-2.6647672057151001E-3"/>
    <b v="0"/>
    <b v="0"/>
    <b v="0"/>
    <b v="0"/>
  </r>
  <r>
    <x v="78"/>
    <x v="16"/>
    <n v="798796"/>
    <n v="0.91483354568481401"/>
    <n v="6.6000000000000003E-2"/>
    <n v="2.4773762094479199"/>
    <n v="2.7080076163947817"/>
    <n v="-9.7142400609847301E-2"/>
    <n v="-3.4768273979425397E-2"/>
    <n v="-2.1860636770724999E-3"/>
    <n v="-4.7470677442848601E-2"/>
    <n v="-2.7911749668419299E-2"/>
    <b v="0"/>
    <b v="0"/>
    <b v="0"/>
    <b v="0"/>
  </r>
  <r>
    <x v="79"/>
    <x v="0"/>
    <n v="502323"/>
    <n v="0.95769065618515004"/>
    <n v="0"/>
    <n v="2.1943920742301501"/>
    <n v="2.2913370408888158"/>
    <n v="-2.5001124199484599E-2"/>
    <n v="-9.8349933326239911E-4"/>
    <n v="-7.3465388268231903E-3"/>
    <n v="2.2118586152791902E-3"/>
    <n v="3.1336145475506999E-3"/>
    <b v="0"/>
    <b v="0"/>
    <b v="0"/>
    <b v="0"/>
  </r>
  <r>
    <x v="79"/>
    <x v="1"/>
    <n v="507965.09375"/>
    <n v="0.95543128252029397"/>
    <n v="2.7E-2"/>
    <n v="2.2916965781287302"/>
    <n v="2.3985990620733659"/>
    <n v="4.4342351141929803E-2"/>
    <n v="2.2118586152791902E-3"/>
    <n v="3.1336145475506999E-3"/>
    <n v="-3.1782400153577299E-2"/>
    <n v="-2.2715958766639198E-3"/>
    <b v="0"/>
    <b v="0"/>
    <b v="0"/>
    <b v="0"/>
  </r>
  <r>
    <x v="79"/>
    <x v="2"/>
    <n v="513133.78125"/>
    <n v="0.94725859165191695"/>
    <n v="1.4E-2"/>
    <n v="2.2956292513871701"/>
    <n v="2.4234451623012889"/>
    <n v="1.7160532052833001E-3"/>
    <n v="-3.1782400153577299E-2"/>
    <n v="-2.2715958766639198E-3"/>
    <n v="-2.48898702710867E-2"/>
    <n v="1.6768313944339501E-3"/>
    <b v="0"/>
    <b v="1"/>
    <b v="0"/>
    <b v="1"/>
  </r>
  <r>
    <x v="79"/>
    <x v="3"/>
    <n v="517590.28125"/>
    <n v="0.95037245750427202"/>
    <n v="3.4000000000000002E-2"/>
    <n v="2.2676494382022399"/>
    <n v="2.3860639271441078"/>
    <n v="-1.21882979004641E-2"/>
    <n v="-2.48898702710867E-2"/>
    <n v="1.6768313944339501E-3"/>
    <n v="-9.8652377724599201E-5"/>
    <n v="9.3614563811570805E-3"/>
    <b v="1"/>
    <b v="0"/>
    <b v="0"/>
    <b v="0"/>
  </r>
  <r>
    <x v="79"/>
    <x v="4"/>
    <n v="521605.40625"/>
    <n v="0.95050895214080799"/>
    <n v="8.0000000000000002E-3"/>
    <n v="2.2880389718076199"/>
    <n v="2.4071724591907588"/>
    <n v="8.9914839842023496E-3"/>
    <n v="-9.8652377724599201E-5"/>
    <n v="9.3614563811570805E-3"/>
    <n v="-2.0949400372803201E-2"/>
    <n v="3.3437414094809799E-4"/>
    <b v="0"/>
    <b v="0"/>
    <b v="0"/>
    <b v="1"/>
  </r>
  <r>
    <x v="79"/>
    <x v="5"/>
    <n v="525712.5"/>
    <n v="0.95375132560730003"/>
    <n v="3.0000000000000001E-3"/>
    <n v="2.2207339706551799"/>
    <n v="2.3284203240725563"/>
    <n v="-2.9416020435733398E-2"/>
    <n v="-2.0949400372803201E-2"/>
    <n v="3.3437414094809799E-4"/>
    <n v="-3.3226723819970998E-3"/>
    <n v="2.1155336871742899E-3"/>
    <b v="1"/>
    <b v="0"/>
    <b v="0"/>
    <b v="0"/>
  </r>
  <r>
    <x v="79"/>
    <x v="6"/>
    <n v="529456.125"/>
    <n v="0.95105659961700395"/>
    <n v="1.7000000000000001E-2"/>
    <n v="2.35640208088605"/>
    <n v="2.4776675561002226"/>
    <n v="6.10915634306472E-2"/>
    <n v="-3.3226723819970998E-3"/>
    <n v="2.0299348980187901E-3"/>
    <n v="3.7401752918958999E-3"/>
    <n v="-2.38659605383869E-3"/>
    <b v="0"/>
    <b v="0"/>
    <b v="0"/>
    <b v="1"/>
  </r>
  <r>
    <x v="79"/>
    <x v="7"/>
    <n v="533250.9375"/>
    <n v="0.945778608322144"/>
    <n v="0.01"/>
    <n v="2.2727552854574999"/>
    <n v="2.4030521154305609"/>
    <n v="-3.5497675081452899E-2"/>
    <n v="3.7401752918958999E-3"/>
    <n v="-2.38659605383869E-3"/>
    <n v="-2.1047407612205002E-3"/>
    <n v="-4.112764261663E-3"/>
    <b v="0"/>
    <b v="0"/>
    <b v="1"/>
    <b v="0"/>
  </r>
  <r>
    <x v="79"/>
    <x v="8"/>
    <n v="537095.25"/>
    <n v="0.945218145847321"/>
    <n v="4.0000000000000001E-3"/>
    <n v="2.3772667668788099"/>
    <n v="2.5150456297554031"/>
    <n v="4.59844850389503E-2"/>
    <n v="-2.1047407612205002E-3"/>
    <n v="-4.112764261663E-3"/>
    <n v="2.83761361390352E-2"/>
    <n v="-1.88731588423249E-3"/>
    <b v="0"/>
    <b v="1"/>
    <b v="0"/>
    <b v="1"/>
  </r>
  <r>
    <x v="79"/>
    <x v="9"/>
    <n v="540225.25"/>
    <n v="0.949379563331604"/>
    <n v="1.0999999999999999E-2"/>
    <n v="2.3235720361677301"/>
    <n v="2.4474637183190993"/>
    <n v="-2.2586750237367101E-2"/>
    <n v="2.83761361390352E-2"/>
    <n v="-1.88731588423249E-3"/>
    <n v="1.7323868617415399E-2"/>
    <n v="4.1703116148709999E-3"/>
    <b v="0"/>
    <b v="0"/>
    <b v="1"/>
    <b v="0"/>
  </r>
  <r>
    <x v="79"/>
    <x v="10"/>
    <n v="543450.625"/>
    <n v="0.94984728097915605"/>
    <n v="2.5999999999999999E-2"/>
    <n v="2.3745982454778298"/>
    <n v="2.499978989285478"/>
    <n v="2.19602441912067E-2"/>
    <n v="1.7323868617415399E-2"/>
    <n v="4.1703116148709999E-3"/>
    <n v="8.2307380586863002E-3"/>
    <n v="5.441164597869E-3"/>
    <b v="0"/>
    <b v="0"/>
    <b v="0"/>
    <b v="0"/>
  </r>
  <r>
    <x v="79"/>
    <x v="11"/>
    <n v="547039.9375"/>
    <n v="0.95846718549728405"/>
    <n v="0.03"/>
    <n v="2.33934932320114"/>
    <n v="2.44071926363072"/>
    <n v="-1.48441625204698E-2"/>
    <n v="8.2307380586863002E-3"/>
    <n v="5.441164597869E-3"/>
    <n v="1.31741056442261E-2"/>
    <n v="4.0390826761722998E-3"/>
    <b v="1"/>
    <b v="0"/>
    <b v="1"/>
    <b v="0"/>
  </r>
  <r>
    <x v="79"/>
    <x v="12"/>
    <n v="550020.625"/>
    <n v="0.95619571208953902"/>
    <n v="2.4E-2"/>
    <n v="2.1612844204555799"/>
    <n v="2.2602950349281583"/>
    <n v="-7.6117277988176898E-2"/>
    <n v="1.31741056442261E-2"/>
    <n v="4.0390826761722998E-3"/>
    <n v="1.0752401471138E-2"/>
    <n v="-7.0487931370735004E-3"/>
    <b v="1"/>
    <b v="0"/>
    <b v="1"/>
    <b v="0"/>
  </r>
  <r>
    <x v="79"/>
    <x v="13"/>
    <n v="552077.5"/>
    <n v="0.96684193611144997"/>
    <n v="4.1000000000000002E-2"/>
    <n v="2.2105585285855498"/>
    <n v="2.2863701356151496"/>
    <n v="2.27985301997321E-2"/>
    <n v="1.0752401471138E-2"/>
    <n v="-7.0487931370735004E-3"/>
    <n v="3.5375746071338698E-2"/>
    <n v="1.6526555642485698E-2"/>
    <b v="0"/>
    <b v="1"/>
    <b v="0"/>
    <b v="0"/>
  </r>
  <r>
    <x v="79"/>
    <x v="14"/>
    <n v="553699.125"/>
    <n v="0.97195029258728005"/>
    <n v="0.02"/>
    <n v="2.09166868686868"/>
    <n v="2.152032570822906"/>
    <n v="-5.37827160780667E-2"/>
    <n v="3.5375746071338698E-2"/>
    <n v="1.6526555642485698E-2"/>
    <n v="2.1199187517165999E-2"/>
    <n v="-2.23904252052308E-2"/>
    <b v="1"/>
    <b v="0"/>
    <b v="1"/>
    <b v="0"/>
  </r>
  <r>
    <x v="79"/>
    <x v="15"/>
    <n v="556397.1875"/>
    <n v="0.97780191898345903"/>
    <n v="2.8000000000000001E-2"/>
    <n v="2.4059718187326098"/>
    <n v="2.4605922447297943"/>
    <n v="0.150264300382321"/>
    <n v="2.1199187517165999E-2"/>
    <n v="-2.23904252052308E-2"/>
    <n v="-2.04073320329189E-2"/>
    <n v="1.16961747407913E-2"/>
    <b v="0"/>
    <b v="1"/>
    <b v="0"/>
    <b v="0"/>
  </r>
  <r>
    <x v="79"/>
    <x v="16"/>
    <n v="557685.9375"/>
    <n v="0.97068452835082997"/>
    <n v="2.4E-2"/>
    <n v="2.1704494189754602"/>
    <n v="2.2359987777522345"/>
    <n v="-9.7890755794977094E-2"/>
    <n v="-2.04073320329189E-2"/>
    <n v="1.2174878269433901E-2"/>
    <n v="-7.4547415971760295E-4"/>
    <n v="1.8813453614711699E-2"/>
    <b v="1"/>
    <b v="0"/>
    <b v="0"/>
    <b v="0"/>
  </r>
  <r>
    <x v="80"/>
    <x v="0"/>
    <n v="463436.625"/>
    <n v="0.89501100778579701"/>
    <n v="6.0000000000000001E-3"/>
    <n v="2.1966580976863699"/>
    <n v="2.4543364032144912"/>
    <n v="1.07732515630251E-2"/>
    <n v="-1.1472883045673401E-2"/>
    <n v="-1.78359225392342E-2"/>
    <n v="-9.2114609628915992E-3"/>
    <n v="-8.2897050306200998E-3"/>
    <b v="0"/>
    <b v="1"/>
    <b v="0"/>
    <b v="1"/>
  </r>
  <r>
    <x v="80"/>
    <x v="1"/>
    <n v="463759.40625"/>
    <n v="0.917369604110718"/>
    <n v="2.1000000000000001E-2"/>
    <n v="1.9947365505014101"/>
    <n v="2.1744088114136644"/>
    <n v="-9.1922155476828998E-2"/>
    <n v="-9.2114609628915992E-3"/>
    <n v="-8.2897050306200998E-3"/>
    <n v="-2.2905494377016999E-2"/>
    <n v="6.6053098998963998E-3"/>
    <b v="0"/>
    <b v="0"/>
    <b v="0"/>
    <b v="0"/>
  </r>
  <r>
    <x v="80"/>
    <x v="2"/>
    <n v="463534.90625"/>
    <n v="0.92591142654418901"/>
    <n v="0"/>
    <n v="2.0335486051139502"/>
    <n v="2.1962668855959944"/>
    <n v="1.9457233388934202E-2"/>
    <n v="-2.2905494377016999E-2"/>
    <n v="6.6053098998963998E-3"/>
    <n v="-1.5915521144866902E-2"/>
    <n v="1.06511805206537E-2"/>
    <b v="0"/>
    <b v="0"/>
    <b v="0"/>
    <b v="1"/>
  </r>
  <r>
    <x v="80"/>
    <x v="3"/>
    <n v="463409.6875"/>
    <n v="0.92239046096801802"/>
    <n v="0"/>
    <n v="2.1493667328332702"/>
    <n v="2.3302135308051444"/>
    <n v="5.6953705177276097E-2"/>
    <n v="-1.5915521144866902E-2"/>
    <n v="1.06511805206537E-2"/>
    <n v="-1.5120121123269201E-2"/>
    <n v="-5.6600123643875096E-3"/>
    <b v="0"/>
    <b v="0"/>
    <b v="0"/>
    <b v="1"/>
  </r>
  <r>
    <x v="80"/>
    <x v="4"/>
    <n v="464503.28125"/>
    <n v="0.92197728157043501"/>
    <n v="0"/>
    <n v="2.2324718244216499"/>
    <n v="2.4213956992725518"/>
    <n v="3.8664919447614701E-2"/>
    <n v="-1.5120121123269201E-2"/>
    <n v="-5.6600123643875096E-3"/>
    <n v="-2.3244018077850301E-2"/>
    <n v="-1.96024356409904E-3"/>
    <b v="0"/>
    <b v="1"/>
    <b v="0"/>
    <b v="1"/>
  </r>
  <r>
    <x v="80"/>
    <x v="5"/>
    <n v="465752.5"/>
    <n v="0.928045094013214"/>
    <n v="0"/>
    <n v="2.0840998034974101"/>
    <n v="2.245688078027527"/>
    <n v="-6.6460870547685597E-2"/>
    <n v="-2.3244018077850301E-2"/>
    <n v="-1.96024356409904E-3"/>
    <n v="-1.17654179260134E-2"/>
    <n v="-6.3272118568420696E-3"/>
    <b v="0"/>
    <b v="0"/>
    <b v="0"/>
    <b v="0"/>
  </r>
  <r>
    <x v="80"/>
    <x v="6"/>
    <n v="466265"/>
    <n v="0.93192493915557895"/>
    <n v="4.0000000000000001E-3"/>
    <n v="2.0985020353654802"/>
    <n v="2.2517929794506215"/>
    <n v="6.9105288738551601E-3"/>
    <n v="-1.17654179260134E-2"/>
    <n v="-6.4128106459975598E-3"/>
    <n v="-1.1677251756190899E-3"/>
    <n v="-7.2944965213536904E-3"/>
    <b v="0"/>
    <b v="1"/>
    <b v="0"/>
    <b v="1"/>
  </r>
  <r>
    <x v="80"/>
    <x v="7"/>
    <n v="467114.40625"/>
    <n v="0.93708914518356301"/>
    <n v="8.9999999999999993E-3"/>
    <n v="2.2113889598965399"/>
    <n v="2.3598490829422198"/>
    <n v="5.37940505315758E-2"/>
    <n v="-1.1677251756190899E-3"/>
    <n v="-7.2944965213536904E-3"/>
    <n v="-4.2642254233359999E-3"/>
    <n v="-6.2722489237785001E-3"/>
    <b v="0"/>
    <b v="1"/>
    <b v="0"/>
    <b v="1"/>
  </r>
  <r>
    <x v="80"/>
    <x v="8"/>
    <n v="468337.5"/>
    <n v="0.93513530492782604"/>
    <n v="8.0000000000000002E-3"/>
    <n v="2.16790146467235"/>
    <n v="2.3182757118122805"/>
    <n v="-1.9665240268826E-2"/>
    <n v="-4.2642254233359999E-3"/>
    <n v="-6.2722489237785001E-3"/>
    <n v="3.3298520535230601E-2"/>
    <n v="3.0350685119629002E-3"/>
    <b v="0"/>
    <b v="0"/>
    <b v="0"/>
    <b v="0"/>
  </r>
  <r>
    <x v="80"/>
    <x v="9"/>
    <n v="469600.5"/>
    <n v="0.93741816282272294"/>
    <n v="4.0000000000000001E-3"/>
    <n v="2.08516835956955"/>
    <n v="2.2243737557748604"/>
    <n v="-3.81627608316139E-2"/>
    <n v="3.3298520535230601E-2"/>
    <n v="3.0350685119629002E-3"/>
    <n v="1.9030552625656099E-2"/>
    <n v="5.8769956231116997E-3"/>
    <b v="1"/>
    <b v="0"/>
    <b v="1"/>
    <b v="0"/>
  </r>
  <r>
    <x v="80"/>
    <x v="10"/>
    <n v="472281.71875"/>
    <n v="0.94227379560470603"/>
    <n v="8.0000000000000002E-3"/>
    <n v="2.1365032073693402"/>
    <n v="2.2673910888058129"/>
    <n v="2.4619042181510599E-2"/>
    <n v="1.9030552625656099E-2"/>
    <n v="5.8769956231116997E-3"/>
    <n v="-5.7568429410460105E-4"/>
    <n v="-3.3652577549218902E-3"/>
    <b v="0"/>
    <b v="0"/>
    <b v="0"/>
    <b v="0"/>
  </r>
  <r>
    <x v="80"/>
    <x v="11"/>
    <n v="474021.21875"/>
    <n v="0.94035154581069902"/>
    <n v="7.0000000000000001E-3"/>
    <n v="2.0862055730405999"/>
    <n v="2.2185379311968201"/>
    <n v="-2.3542035488292999E-2"/>
    <n v="-5.7568429410460105E-4"/>
    <n v="-3.3652577549218902E-3"/>
    <n v="6.5204913020134002E-3"/>
    <n v="-2.6145316660403902E-3"/>
    <b v="0"/>
    <b v="0"/>
    <b v="0"/>
    <b v="0"/>
  </r>
  <r>
    <x v="80"/>
    <x v="12"/>
    <n v="473832.5"/>
    <n v="0.93177473545074496"/>
    <n v="2.4E-2"/>
    <n v="2.12327097036379"/>
    <n v="2.2787385079041234"/>
    <n v="1.7766895938813001E-2"/>
    <n v="6.5204913020134002E-3"/>
    <n v="-2.6145316660403902E-3"/>
    <n v="1.5462613821029699E-2"/>
    <n v="-2.3385807871818E-3"/>
    <b v="0"/>
    <b v="1"/>
    <b v="0"/>
    <b v="0"/>
  </r>
  <r>
    <x v="80"/>
    <x v="13"/>
    <n v="473743"/>
    <n v="0.94098705053329501"/>
    <n v="0"/>
    <n v="2.0115190901705899"/>
    <n v="2.1376692580738297"/>
    <n v="-5.2631944651912198E-2"/>
    <n v="1.5462613821029699E-2"/>
    <n v="-2.3385807871818E-3"/>
    <n v="1.7789799824357001E-2"/>
    <n v="-1.0593906044959901E-3"/>
    <b v="0"/>
    <b v="0"/>
    <b v="1"/>
    <b v="0"/>
  </r>
  <r>
    <x v="80"/>
    <x v="14"/>
    <n v="470021.6875"/>
    <n v="0.93237179517746005"/>
    <n v="2.4E-2"/>
    <n v="1.9036114211644399"/>
    <n v="2.0416870512498955"/>
    <n v="-5.3644864487466103E-2"/>
    <n v="1.7789799824357001E-2"/>
    <n v="-1.0593906044959901E-3"/>
    <n v="3.1900374472141203E-2"/>
    <n v="-1.16892382502556E-2"/>
    <b v="0"/>
    <b v="0"/>
    <b v="1"/>
    <b v="0"/>
  </r>
  <r>
    <x v="80"/>
    <x v="15"/>
    <n v="463252.09375"/>
    <n v="0.949718177318573"/>
    <n v="1.0999999999999999E-2"/>
    <n v="1.8272994814780199"/>
    <n v="1.924043916519744"/>
    <n v="-4.0087981632164697E-2"/>
    <n v="3.1900374472141203E-2"/>
    <n v="-1.16892382502556E-2"/>
    <n v="-2.1703889518976199E-2"/>
    <n v="1.03996172547341E-2"/>
    <b v="0"/>
    <b v="0"/>
    <b v="1"/>
    <b v="0"/>
  </r>
  <r>
    <x v="80"/>
    <x v="16"/>
    <n v="474096.71875"/>
    <n v="0.94255834817886397"/>
    <n v="6.0000000000000001E-3"/>
    <n v="1.9328901351649299"/>
    <n v="2.0506848609420372"/>
    <n v="5.7785083812047097E-2"/>
    <n v="-2.1703889518976199E-2"/>
    <n v="1.0878320783376701E-2"/>
    <n v="-9.8409306108952002E-3"/>
    <n v="9.7179971635341002E-3"/>
    <b v="0"/>
    <b v="0"/>
    <b v="0"/>
    <b v="1"/>
  </r>
  <r>
    <x v="81"/>
    <x v="0"/>
    <n v="1819682"/>
    <n v="0.93433851003646895"/>
    <n v="8.0000000000000002E-3"/>
    <n v="2.4966216216216202"/>
    <n v="2.6720739804722085"/>
    <n v="2.5748296871499099E-2"/>
    <n v="1.50584668219089E-2"/>
    <n v="8.6954273283481997E-3"/>
    <n v="-2.9586506038904001E-3"/>
    <n v="-2.0368946716188998E-3"/>
    <b v="0"/>
    <b v="0"/>
    <b v="0"/>
    <b v="0"/>
  </r>
  <r>
    <x v="81"/>
    <x v="1"/>
    <n v="1878938"/>
    <n v="0.91445553302764904"/>
    <n v="3.2000000000000001E-2"/>
    <n v="2.53856702091189"/>
    <n v="2.7760420591551442"/>
    <n v="1.6800863585820201E-2"/>
    <n v="-2.9586506038904001E-3"/>
    <n v="-2.0368946716188998E-3"/>
    <n v="-5.1833861798047998E-2"/>
    <n v="-2.23230575211345E-2"/>
    <b v="0"/>
    <b v="1"/>
    <b v="0"/>
    <b v="1"/>
  </r>
  <r>
    <x v="81"/>
    <x v="2"/>
    <n v="1919195"/>
    <n v="0.90620219707489003"/>
    <n v="2.1999999999999999E-2"/>
    <n v="2.5416184890572899"/>
    <n v="2.8046924817235315"/>
    <n v="1.2020435624762601E-3"/>
    <n v="-5.1833861798047998E-2"/>
    <n v="-2.23230575211345E-2"/>
    <n v="-7.5398505389690396E-2"/>
    <n v="-4.8831803724169703E-2"/>
    <b v="0"/>
    <b v="1"/>
    <b v="0"/>
    <b v="1"/>
  </r>
  <r>
    <x v="81"/>
    <x v="3"/>
    <n v="1942583"/>
    <n v="0.88794195652008101"/>
    <n v="2.9000000000000001E-2"/>
    <n v="2.5620719349541301"/>
    <n v="2.8854047453677096"/>
    <n v="8.0474099416975291E-3"/>
    <n v="-7.5398505389690396E-2"/>
    <n v="-4.8831803724169703E-2"/>
    <n v="-3.7370586007833502E-2"/>
    <n v="-2.79104772489518E-2"/>
    <b v="0"/>
    <b v="1"/>
    <b v="0"/>
    <b v="1"/>
  </r>
  <r>
    <x v="81"/>
    <x v="4"/>
    <n v="1953029"/>
    <n v="0.89780646562576305"/>
    <n v="3.0000000000000001E-3"/>
    <n v="2.5781124931708699"/>
    <n v="2.871568196352817"/>
    <n v="6.2607758969976E-3"/>
    <n v="-3.7370586007833502E-2"/>
    <n v="-2.79104772489518E-2"/>
    <n v="-2.7492273475974799E-2"/>
    <n v="-6.2084989622234899E-3"/>
    <b v="0"/>
    <b v="1"/>
    <b v="0"/>
    <b v="1"/>
  </r>
  <r>
    <x v="81"/>
    <x v="5"/>
    <n v="1962635"/>
    <n v="0.90179151296615601"/>
    <n v="0"/>
    <n v="2.5894264054493301"/>
    <n v="2.8714246787843862"/>
    <n v="4.3884478696835302E-3"/>
    <n v="-2.7492273475974799E-2"/>
    <n v="-6.2084989622234899E-3"/>
    <n v="-1.4615630082786E-2"/>
    <n v="-9.1774240136146806E-3"/>
    <b v="0"/>
    <b v="1"/>
    <b v="0"/>
    <b v="1"/>
  </r>
  <r>
    <x v="81"/>
    <x v="6"/>
    <n v="1986332"/>
    <n v="0.90405631065368697"/>
    <n v="3.0000000000000001E-3"/>
    <n v="2.6372626336916101"/>
    <n v="2.9171442117191915"/>
    <n v="1.8473677468343101E-2"/>
    <n v="-1.4615630082786E-2"/>
    <n v="-9.2630228027701794E-3"/>
    <n v="8.0837985873221992E-3"/>
    <n v="1.9570272415875998E-3"/>
    <b v="0"/>
    <b v="1"/>
    <b v="0"/>
    <b v="1"/>
  </r>
  <r>
    <x v="81"/>
    <x v="7"/>
    <n v="2012015"/>
    <n v="0.909076988697052"/>
    <n v="2E-3"/>
    <n v="2.5716240942478299"/>
    <n v="2.8288298199403861"/>
    <n v="-2.4888889944154401E-2"/>
    <n v="8.0837985873221992E-3"/>
    <n v="1.9570272415875998E-3"/>
    <n v="1.0052996516227699E-2"/>
    <n v="8.0449730157851999E-3"/>
    <b v="1"/>
    <b v="0"/>
    <b v="1"/>
    <b v="0"/>
  </r>
  <r>
    <x v="81"/>
    <x v="8"/>
    <n v="2046114"/>
    <n v="0.92116057872772195"/>
    <n v="7.0000000000000001E-3"/>
    <n v="2.4673847448524802"/>
    <n v="2.6785609391365339"/>
    <n v="-4.0534442661551803E-2"/>
    <n v="1.0052996516227699E-2"/>
    <n v="8.0449730157851999E-3"/>
    <n v="5.4770970880985301E-2"/>
    <n v="2.4507518857717601E-2"/>
    <b v="1"/>
    <b v="0"/>
    <b v="1"/>
    <b v="0"/>
  </r>
  <r>
    <x v="81"/>
    <x v="9"/>
    <n v="2085304.875"/>
    <n v="0.93024015426635698"/>
    <n v="1.4999999999999999E-2"/>
    <n v="2.4814812758361202"/>
    <n v="2.667570588578994"/>
    <n v="5.7131466882305304E-3"/>
    <n v="5.4770970880985301E-2"/>
    <n v="2.4507518857717601E-2"/>
    <n v="4.05493269562721E-2"/>
    <n v="2.7395769953727701E-2"/>
    <b v="0"/>
    <b v="0"/>
    <b v="0"/>
    <b v="0"/>
  </r>
  <r>
    <x v="81"/>
    <x v="10"/>
    <n v="2123796"/>
    <n v="0.93095463514328003"/>
    <n v="1.7999999999999999E-2"/>
    <n v="2.48244781123217"/>
    <n v="2.6665615246118892"/>
    <n v="3.8949937098538501E-4"/>
    <n v="4.05493269562721E-2"/>
    <n v="2.7395769953727701E-2"/>
    <n v="2.8919623881578298E-2"/>
    <n v="2.6130050420761001E-2"/>
    <b v="0"/>
    <b v="0"/>
    <b v="0"/>
    <b v="0"/>
  </r>
  <r>
    <x v="81"/>
    <x v="11"/>
    <n v="2163224"/>
    <n v="0.92957568168640103"/>
    <n v="2.1999999999999999E-2"/>
    <n v="2.4873317984710899"/>
    <n v="2.6757711582543409"/>
    <n v="1.9674078209516799E-3"/>
    <n v="2.8919623881578298E-2"/>
    <n v="2.6130050420761001E-2"/>
    <n v="4.5440633058548001E-2"/>
    <n v="3.6305610090494198E-2"/>
    <b v="0"/>
    <b v="0"/>
    <b v="0"/>
    <b v="0"/>
  </r>
  <r>
    <x v="81"/>
    <x v="12"/>
    <n v="2204967"/>
    <n v="0.93485343456268299"/>
    <n v="1.6E-2"/>
    <n v="2.3756176942843101"/>
    <n v="2.5411659266092395"/>
    <n v="-4.4913229612330803E-2"/>
    <n v="4.5440633058548001E-2"/>
    <n v="3.6305610090494198E-2"/>
    <n v="4.2124959796667097E-2"/>
    <n v="2.4323765188455498E-2"/>
    <b v="1"/>
    <b v="0"/>
    <b v="1"/>
    <b v="0"/>
  </r>
  <r>
    <x v="81"/>
    <x v="13"/>
    <n v="2246692"/>
    <n v="0.92581278085708596"/>
    <n v="1.7000000000000001E-2"/>
    <n v="2.4022686059588501"/>
    <n v="2.5947671663539915"/>
    <n v="1.12185187619474E-2"/>
    <n v="4.2124959796667097E-2"/>
    <n v="2.4323765188455498E-2"/>
    <n v="3.8351165235042603E-2"/>
    <n v="1.9501974806189599E-2"/>
    <b v="0"/>
    <b v="0"/>
    <b v="0"/>
    <b v="0"/>
  </r>
  <r>
    <x v="81"/>
    <x v="14"/>
    <n v="2281069"/>
    <n v="0.93908560276031505"/>
    <n v="2.1999999999999999E-2"/>
    <n v="2.46185631484314"/>
    <n v="2.6215462228436328"/>
    <n v="2.4804765269163798E-2"/>
    <n v="3.8351165235042603E-2"/>
    <n v="1.9501974806189599E-2"/>
    <n v="0.152291244149208"/>
    <n v="0.108701631426811"/>
    <b v="0"/>
    <b v="0"/>
    <b v="0"/>
    <b v="0"/>
  </r>
  <r>
    <x v="81"/>
    <x v="15"/>
    <n v="2302467"/>
    <n v="0.94300377368927002"/>
    <n v="1.7000000000000001E-2"/>
    <n v="2.42457771553876"/>
    <n v="2.5711219649240604"/>
    <n v="-1.51424756512476E-2"/>
    <n v="0.152291244149208"/>
    <n v="0.108701631426811"/>
    <n v="-8.6463308352976997E-2"/>
    <n v="-5.4359801579266703E-2"/>
    <b v="1"/>
    <b v="0"/>
    <b v="1"/>
    <b v="0"/>
  </r>
  <r>
    <x v="81"/>
    <x v="16"/>
    <n v="2329620"/>
    <n v="0.91366267204284701"/>
    <n v="1.4999999999999999E-2"/>
    <n v="2.4819393932658498"/>
    <n v="2.7164723581368517"/>
    <n v="2.3658419921732701E-2"/>
    <n v="-8.6463308352976997E-2"/>
    <n v="-5.3881098050624097E-2"/>
    <n v="-5.0446386247873301E-2"/>
    <n v="-3.0887458473443999E-2"/>
    <b v="0"/>
    <b v="1"/>
    <b v="0"/>
    <b v="1"/>
  </r>
  <r>
    <x v="82"/>
    <x v="0"/>
    <n v="800788.875"/>
    <n v="0.957100629806519"/>
    <n v="0.01"/>
    <n v="2.2389896533756701"/>
    <n v="2.3393461289731774"/>
    <n v="4.77178534334948E-2"/>
    <n v="-5.9282749891302597E-5"/>
    <n v="-6.4223222434520999E-3"/>
    <n v="3.1694426238536898E-3"/>
    <n v="4.0911985561251901E-3"/>
    <b v="0"/>
    <b v="1"/>
    <b v="0"/>
    <b v="1"/>
  </r>
  <r>
    <x v="82"/>
    <x v="1"/>
    <n v="809190.625"/>
    <n v="0.95619881153106701"/>
    <n v="1E-3"/>
    <n v="2.2710246311210298"/>
    <n v="2.3750548565153116"/>
    <n v="1.43077828417213E-2"/>
    <n v="3.1694426238536898E-3"/>
    <n v="4.0911985561251901E-3"/>
    <n v="-3.2020135607570402E-2"/>
    <n v="-2.5093313306570001E-3"/>
    <b v="0"/>
    <b v="0"/>
    <b v="0"/>
    <b v="0"/>
  </r>
  <r>
    <x v="82"/>
    <x v="2"/>
    <n v="815016.8125"/>
    <n v="0.94932675361633301"/>
    <n v="1.6E-2"/>
    <n v="2.2224711907810502"/>
    <n v="2.3411024521481609"/>
    <n v="-2.1379530487972601E-2"/>
    <n v="-3.2020135607570402E-2"/>
    <n v="-2.5093313306570001E-3"/>
    <n v="-2.3607340365648301E-2"/>
    <n v="2.9593612998723498E-3"/>
    <b v="0"/>
    <b v="0"/>
    <b v="0"/>
    <b v="0"/>
  </r>
  <r>
    <x v="82"/>
    <x v="3"/>
    <n v="818927.4375"/>
    <n v="0.945309698581696"/>
    <n v="1.2999999999999999E-2"/>
    <n v="2.22601215899491"/>
    <n v="2.354796700313905"/>
    <n v="1.59325719431495E-3"/>
    <n v="-2.3607340365648301E-2"/>
    <n v="2.9593612998723498E-3"/>
    <n v="-1.7635982334614001E-3"/>
    <n v="7.6965105254202804E-3"/>
    <b v="0"/>
    <b v="0"/>
    <b v="0"/>
    <b v="1"/>
  </r>
  <r>
    <x v="82"/>
    <x v="4"/>
    <n v="823360.5"/>
    <n v="0.94228219985961903"/>
    <n v="2.1000000000000001E-2"/>
    <n v="2.25594292919858"/>
    <n v="2.3941266528590583"/>
    <n v="1.34459149662393E-2"/>
    <n v="-1.7635982334614001E-3"/>
    <n v="7.6965105254202804E-3"/>
    <n v="-2.1744883961975599E-2"/>
    <n v="-4.6110944822430199E-4"/>
    <b v="0"/>
    <b v="0"/>
    <b v="0"/>
    <b v="1"/>
  </r>
  <r>
    <x v="82"/>
    <x v="5"/>
    <n v="827474.1875"/>
    <n v="0.94374346733093295"/>
    <n v="0.01"/>
    <n v="2.2615854483162701"/>
    <n v="2.3963985199414606"/>
    <n v="2.5011799033861802E-3"/>
    <n v="-2.1744883961975599E-2"/>
    <n v="-4.6110944822430199E-4"/>
    <n v="-5.6003931015730004E-3"/>
    <n v="-1.6218703240160101E-4"/>
    <b v="0"/>
    <b v="1"/>
    <b v="0"/>
    <b v="1"/>
  </r>
  <r>
    <x v="82"/>
    <x v="6"/>
    <n v="830026.5"/>
    <n v="0.94435399770736705"/>
    <n v="-2E-3"/>
    <n v="2.2357901607588402"/>
    <n v="2.3675339609793853"/>
    <n v="-1.14058425590957E-2"/>
    <n v="-5.6003931015730004E-3"/>
    <n v="-2.4778582155710001E-4"/>
    <n v="-6.6477994993328904E-3"/>
    <n v="-1.2774570845067499E-2"/>
    <b v="0"/>
    <b v="0"/>
    <b v="0"/>
    <b v="0"/>
  </r>
  <r>
    <x v="82"/>
    <x v="7"/>
    <n v="831915.5625"/>
    <n v="0.94389456510543801"/>
    <n v="7.0000000000000001E-3"/>
    <n v="2.3816314947629098"/>
    <n v="2.5231965336052857"/>
    <n v="6.5230331792216101E-2"/>
    <n v="-6.6477994993328904E-3"/>
    <n v="-1.2774570845067499E-2"/>
    <n v="3.7373274713754902E-3"/>
    <n v="1.72930397093299E-3"/>
    <b v="0"/>
    <b v="1"/>
    <b v="0"/>
    <b v="1"/>
  </r>
  <r>
    <x v="82"/>
    <x v="8"/>
    <n v="836138"/>
    <n v="0.94534343481063798"/>
    <n v="0"/>
    <n v="2.3555560230571801"/>
    <n v="2.4917463181293709"/>
    <n v="-1.0948575278362901E-2"/>
    <n v="3.7373274713754902E-3"/>
    <n v="1.72930397093299E-3"/>
    <n v="3.0336411833763101E-2"/>
    <n v="7.2959810495404302E-5"/>
    <b v="1"/>
    <b v="0"/>
    <b v="1"/>
    <b v="0"/>
  </r>
  <r>
    <x v="82"/>
    <x v="9"/>
    <n v="839834.4375"/>
    <n v="0.94074010848999001"/>
    <n v="3.5999999999999997E-2"/>
    <n v="2.4254433806003299"/>
    <n v="2.5782289483686216"/>
    <n v="2.9669155332780899E-2"/>
    <n v="3.0336411833763101E-2"/>
    <n v="7.2959810495404302E-5"/>
    <n v="1.5235478326678299E-2"/>
    <n v="2.0819213241338999E-3"/>
    <b v="0"/>
    <b v="0"/>
    <b v="0"/>
    <b v="0"/>
  </r>
  <r>
    <x v="82"/>
    <x v="10"/>
    <n v="845038.8125"/>
    <n v="0.94565904140472401"/>
    <n v="2.3E-2"/>
    <n v="2.4386491042377201"/>
    <n v="2.5787826240367164"/>
    <n v="5.4446637439626404E-3"/>
    <n v="1.5235478326678299E-2"/>
    <n v="2.0819213241338999E-3"/>
    <n v="1.34050712883472E-2"/>
    <n v="1.06154978275299E-2"/>
    <b v="0"/>
    <b v="0"/>
    <b v="0"/>
    <b v="0"/>
  </r>
  <r>
    <x v="82"/>
    <x v="11"/>
    <n v="851444.5625"/>
    <n v="0.95150077342987105"/>
    <n v="1.9E-2"/>
    <n v="2.3023990613710899"/>
    <n v="2.4197553230268443"/>
    <n v="-5.5871114310728803E-2"/>
    <n v="1.34050712883472E-2"/>
    <n v="1.06154978275299E-2"/>
    <n v="8.6950550079345906E-3"/>
    <n v="-4.39967960119198E-4"/>
    <b v="1"/>
    <b v="0"/>
    <b v="1"/>
    <b v="0"/>
  </r>
  <r>
    <x v="82"/>
    <x v="12"/>
    <n v="856768.6875"/>
    <n v="0.95813882350921598"/>
    <n v="2.4E-2"/>
    <n v="2.3744263600617099"/>
    <n v="2.4781652739686435"/>
    <n v="3.1283585847072297E-2"/>
    <n v="8.6950550079345906E-3"/>
    <n v="-4.39967960119198E-4"/>
    <n v="1.83711193203926E-2"/>
    <n v="5.6992471218109803E-4"/>
    <b v="0"/>
    <b v="1"/>
    <b v="0"/>
    <b v="0"/>
  </r>
  <r>
    <x v="82"/>
    <x v="13"/>
    <n v="859808.75"/>
    <n v="0.95860773324966397"/>
    <n v="1.7999999999999999E-2"/>
    <n v="2.32063759526645"/>
    <n v="2.420841721565846"/>
    <n v="-2.2653372494510701E-2"/>
    <n v="1.83711193203926E-2"/>
    <n v="5.6992471218109803E-4"/>
    <n v="4.0119828760623803E-2"/>
    <n v="2.12706383317708E-2"/>
    <b v="1"/>
    <b v="0"/>
    <b v="1"/>
    <b v="0"/>
  </r>
  <r>
    <x v="82"/>
    <x v="14"/>
    <n v="863685.125"/>
    <n v="0.97815066576003995"/>
    <n v="1.7000000000000001E-2"/>
    <n v="2.2403412385623098"/>
    <n v="2.2903846176105458"/>
    <n v="-3.4600989343585797E-2"/>
    <n v="4.0119828760623803E-2"/>
    <n v="2.12706383317708E-2"/>
    <n v="5.3667454302310999E-2"/>
    <n v="1.0077841579913999E-2"/>
    <b v="1"/>
    <b v="0"/>
    <b v="1"/>
    <b v="0"/>
  </r>
  <r>
    <x v="82"/>
    <x v="15"/>
    <n v="870253.1875"/>
    <n v="0.98158031702041604"/>
    <n v="1.4E-2"/>
    <n v="2.2611699459602699"/>
    <n v="2.3036015563393164"/>
    <n v="9.2971137786668993E-3"/>
    <n v="5.3667454302310999E-2"/>
    <n v="1.0077841579913999E-2"/>
    <n v="-2.5418607443571099E-2"/>
    <n v="6.6848993301392001E-3"/>
    <b v="0"/>
    <b v="0"/>
    <b v="0"/>
    <b v="0"/>
  </r>
  <r>
    <x v="82"/>
    <x v="16"/>
    <n v="873024.3125"/>
    <n v="0.960363149642944"/>
    <n v="5.0999999999999997E-2"/>
    <n v="2.1570768940821701"/>
    <n v="2.2461054392644653"/>
    <n v="-4.60350413130459E-2"/>
    <n v="-2.5418607443571099E-2"/>
    <n v="7.1636028587817998E-3"/>
    <n v="-1.7605422794818901E-2"/>
    <n v="1.9535049796104002E-3"/>
    <b v="1"/>
    <b v="0"/>
    <b v="0"/>
    <b v="0"/>
  </r>
  <r>
    <x v="83"/>
    <x v="0"/>
    <n v="289814.21875"/>
    <n v="0.92818266153335605"/>
    <n v="0.03"/>
    <n v="2.05502860216105"/>
    <n v="2.2140346801632198"/>
    <n v="2.29917580507801E-2"/>
    <n v="-1.2606717988848701E-2"/>
    <n v="-1.8969757482409401E-2"/>
    <n v="-8.0677297860384002E-3"/>
    <n v="-7.1459738537668904E-3"/>
    <b v="0"/>
    <b v="1"/>
    <b v="0"/>
    <b v="1"/>
  </r>
  <r>
    <x v="83"/>
    <x v="1"/>
    <n v="293439.09375"/>
    <n v="0.93214303255081199"/>
    <n v="3.1E-2"/>
    <n v="2.3305895325281401"/>
    <n v="2.500248836437124"/>
    <n v="0.134091043831367"/>
    <n v="-8.0677297860384002E-3"/>
    <n v="-7.1459738537668904E-3"/>
    <n v="-2.1254337683319999E-2"/>
    <n v="8.2564665935934006E-3"/>
    <b v="0"/>
    <b v="1"/>
    <b v="0"/>
    <b v="1"/>
  </r>
  <r>
    <x v="83"/>
    <x v="2"/>
    <n v="297114.40625"/>
    <n v="0.94547468423843395"/>
    <n v="0"/>
    <n v="1.88628219340534"/>
    <n v="1.9950636699751647"/>
    <n v="-0.19064160931025301"/>
    <n v="-2.1254337683319999E-2"/>
    <n v="8.2564665935934006E-3"/>
    <n v="-1.91821220368147E-2"/>
    <n v="7.3845796287059498E-3"/>
    <b v="1"/>
    <b v="0"/>
    <b v="0"/>
    <b v="0"/>
  </r>
  <r>
    <x v="83"/>
    <x v="3"/>
    <n v="300505.8125"/>
    <n v="0.94198536872863803"/>
    <n v="1E-3"/>
    <n v="2.1574693486152601"/>
    <n v="2.290342738048166"/>
    <n v="0.14376807253867899"/>
    <n v="-1.91821220368147E-2"/>
    <n v="7.3845796287059498E-3"/>
    <n v="-1.6253441889071799E-2"/>
    <n v="-6.7933331301901498E-3"/>
    <b v="0"/>
    <b v="0"/>
    <b v="0"/>
    <b v="1"/>
  </r>
  <r>
    <x v="83"/>
    <x v="4"/>
    <n v="304054.40625"/>
    <n v="0.94158446788787797"/>
    <n v="8.0000000000000002E-3"/>
    <n v="2.2393202941366699"/>
    <n v="2.3782468493345239"/>
    <n v="3.79384048139286E-2"/>
    <n v="-1.6253441889071799E-2"/>
    <n v="-6.7933331301901498E-3"/>
    <n v="-2.1426183514296999E-2"/>
    <n v="-1.4240900054570099E-4"/>
    <b v="0"/>
    <b v="1"/>
    <b v="0"/>
    <b v="1"/>
  </r>
  <r>
    <x v="83"/>
    <x v="5"/>
    <n v="308011.28125"/>
    <n v="0.94888067245483398"/>
    <n v="0"/>
    <n v="2.18738028904753"/>
    <n v="2.3052216706960564"/>
    <n v="-2.3194540426010098E-2"/>
    <n v="-2.1426183514296999E-2"/>
    <n v="-1.4240900054570099E-4"/>
    <n v="-7.2368842586875001E-3"/>
    <n v="-1.7986781895161E-3"/>
    <b v="0"/>
    <b v="0"/>
    <b v="0"/>
    <b v="0"/>
  </r>
  <r>
    <x v="83"/>
    <x v="6"/>
    <n v="312094.59375"/>
    <n v="0.94831693172454801"/>
    <n v="1.2999999999999999E-2"/>
    <n v="1.9698747960934599"/>
    <n v="2.0772325476791527"/>
    <n v="-9.9436524157752795E-2"/>
    <n v="-7.2368842586875001E-3"/>
    <n v="-1.88427697867159E-3"/>
    <n v="2.6339447498321899E-3"/>
    <n v="-3.4928265959024E-3"/>
    <b v="0"/>
    <b v="0"/>
    <b v="0"/>
    <b v="0"/>
  </r>
  <r>
    <x v="83"/>
    <x v="7"/>
    <n v="316583.59375"/>
    <n v="0.94839096069335904"/>
    <n v="2.1999999999999999E-2"/>
    <n v="2.22831570019195"/>
    <n v="2.3495750091954175"/>
    <n v="0.13119661443001901"/>
    <n v="2.6339447498321899E-3"/>
    <n v="-3.4928265959024E-3"/>
    <n v="1.0518904924393E-3"/>
    <n v="-9.5613300800319995E-4"/>
    <b v="0"/>
    <b v="1"/>
    <b v="0"/>
    <b v="0"/>
  </r>
  <r>
    <x v="83"/>
    <x v="8"/>
    <n v="321948.6875"/>
    <n v="0.95502102375030495"/>
    <n v="1.2E-2"/>
    <n v="2.1448937716410801"/>
    <n v="2.2459126221307915"/>
    <n v="-3.7437212574358301E-2"/>
    <n v="1.0518904924393E-3"/>
    <n v="-9.5613300800319995E-4"/>
    <n v="2.6543818578124E-2"/>
    <n v="-3.7196334451436901E-3"/>
    <b v="0"/>
    <b v="0"/>
    <b v="1"/>
    <b v="0"/>
  </r>
  <r>
    <x v="83"/>
    <x v="9"/>
    <n v="325922.5"/>
    <n v="0.95189267396926902"/>
    <n v="4.2000000000000003E-2"/>
    <n v="2.1406068938426701"/>
    <n v="2.2487901760149249"/>
    <n v="-1.9986434084008102E-3"/>
    <n v="2.6543818578124E-2"/>
    <n v="-3.7196334451436901E-3"/>
    <n v="1.22470877021551E-2"/>
    <n v="-9.0646930038930005E-4"/>
    <b v="0"/>
    <b v="0"/>
    <b v="1"/>
    <b v="0"/>
  </r>
  <r>
    <x v="83"/>
    <x v="10"/>
    <n v="330350.71875"/>
    <n v="0.94492828845977805"/>
    <n v="2.8000000000000001E-2"/>
    <n v="2.18924319034415"/>
    <n v="2.3168352742540819"/>
    <n v="2.27207978454021E-2"/>
    <n v="1.22470877021551E-2"/>
    <n v="-9.0646930038930005E-4"/>
    <n v="-8.9439591765399997E-4"/>
    <n v="-3.6839693784712899E-3"/>
    <b v="0"/>
    <b v="1"/>
    <b v="0"/>
    <b v="0"/>
  </r>
  <r>
    <x v="83"/>
    <x v="11"/>
    <n v="333842.59375"/>
    <n v="0.95319885015487704"/>
    <n v="2.4E-2"/>
    <n v="2.1873286497600999"/>
    <n v="2.2947243897794252"/>
    <n v="-8.7452165775246096E-4"/>
    <n v="-8.9439591765399997E-4"/>
    <n v="-3.6839693784712899E-3"/>
    <n v="1.48315934836859E-3"/>
    <n v="-7.6518636196851904E-3"/>
    <b v="0"/>
    <b v="0"/>
    <b v="0"/>
    <b v="0"/>
  </r>
  <r>
    <x v="83"/>
    <x v="12"/>
    <n v="336550.6875"/>
    <n v="0.94543552398681596"/>
    <n v="1.7999999999999999E-2"/>
    <n v="2.0492325928347999"/>
    <n v="2.1675011577662873"/>
    <n v="-6.3134571451092497E-2"/>
    <n v="1.48315934836859E-3"/>
    <n v="-7.6518636196851904E-3"/>
    <n v="1.9445176392793698E-2"/>
    <n v="1.6439817845821901E-3"/>
    <b v="0"/>
    <b v="0"/>
    <b v="1"/>
    <b v="0"/>
  </r>
  <r>
    <x v="83"/>
    <x v="13"/>
    <n v="338946.28125"/>
    <n v="0.94628006219863903"/>
    <n v="1.6E-2"/>
    <n v="2.0757193435439998"/>
    <n v="2.1935570942086211"/>
    <n v="1.29252046848194E-2"/>
    <n v="1.9445176392793698E-2"/>
    <n v="1.6439817845821901E-3"/>
    <n v="1.3627383038402E-3"/>
    <n v="-1.7486452125012798E-2"/>
    <b v="0"/>
    <b v="0"/>
    <b v="0"/>
    <b v="0"/>
  </r>
  <r>
    <x v="83"/>
    <x v="14"/>
    <n v="340815.5"/>
    <n v="0.95045119524002097"/>
    <n v="2.5000000000000001E-2"/>
    <n v="1.92441892767848"/>
    <n v="2.0247424984220252"/>
    <n v="-7.2890593969793804E-2"/>
    <n v="1.3627383038402E-3"/>
    <n v="-1.7486452125012798E-2"/>
    <n v="1.9327854990959101E-2"/>
    <n v="-2.42617577314377E-2"/>
    <b v="0"/>
    <b v="0"/>
    <b v="1"/>
    <b v="0"/>
  </r>
  <r>
    <x v="83"/>
    <x v="15"/>
    <n v="341364.40625"/>
    <n v="0.96775895357132002"/>
    <n v="0.01"/>
    <n v="1.9398703342827099"/>
    <n v="2.0044974289558448"/>
    <n v="8.0291283680457293E-3"/>
    <n v="1.9327854990959101E-2"/>
    <n v="-2.42617577314377E-2"/>
    <n v="-2.2195337265729899E-2"/>
    <n v="9.9081695079804005E-3"/>
    <b v="0"/>
    <b v="1"/>
    <b v="0"/>
    <b v="0"/>
  </r>
  <r>
    <x v="83"/>
    <x v="16"/>
    <n v="343704"/>
    <n v="0.95750367641448997"/>
    <n v="2.3E-2"/>
    <n v="1.89597125713556"/>
    <n v="1.9801190364462062"/>
    <n v="-2.2629902819451101E-2"/>
    <n v="-2.2195337265729899E-2"/>
    <n v="1.0386873036622999E-2"/>
    <n v="-4.8612317442889899E-4"/>
    <n v="1.9072804600000399E-2"/>
    <b v="1"/>
    <b v="0"/>
    <b v="0"/>
    <b v="0"/>
  </r>
  <r>
    <x v="84"/>
    <x v="0"/>
    <n v="664112.125"/>
    <n v="0.91500335931777999"/>
    <n v="7.5999999999999998E-2"/>
    <n v="2.2448669734414"/>
    <n v="2.453397520983045"/>
    <n v="1.9635894023564901E-2"/>
    <n v="2.9912659555673599E-2"/>
    <n v="2.3549620062112801E-2"/>
    <n v="-2.2829034924509999E-4"/>
    <n v="6.9346558302640004E-4"/>
    <b v="0"/>
    <b v="0"/>
    <b v="0"/>
    <b v="0"/>
  </r>
  <r>
    <x v="84"/>
    <x v="1"/>
    <n v="674048.25"/>
    <n v="0.90628731250762895"/>
    <n v="1.2999999999999999E-2"/>
    <n v="2.1863047121451098"/>
    <n v="2.4123748418101196"/>
    <n v="-2.6087185561164201E-2"/>
    <n v="-2.2829034924509999E-4"/>
    <n v="6.9346558302640004E-4"/>
    <n v="-5.5354646697640397E-2"/>
    <n v="-2.58438424207269E-2"/>
    <b v="1"/>
    <b v="0"/>
    <b v="0"/>
    <b v="0"/>
  </r>
  <r>
    <x v="84"/>
    <x v="2"/>
    <n v="684420.75"/>
    <n v="0.90128409862518299"/>
    <n v="4.2999999999999997E-2"/>
    <n v="2.28393246245827"/>
    <n v="2.5340871606879296"/>
    <n v="4.4654228557817803E-2"/>
    <n v="-5.5354646697640397E-2"/>
    <n v="-2.58438424207269E-2"/>
    <n v="-2.6859587714076E-2"/>
    <n v="-2.9288604855534899E-4"/>
    <b v="0"/>
    <b v="1"/>
    <b v="0"/>
    <b v="1"/>
  </r>
  <r>
    <x v="84"/>
    <x v="3"/>
    <n v="694567.375"/>
    <n v="0.90674054622650102"/>
    <n v="2.8000000000000001E-2"/>
    <n v="2.0669974650773901"/>
    <n v="2.2795908638688585"/>
    <n v="-9.4983105212919403E-2"/>
    <n v="-2.6859587714076E-2"/>
    <n v="-2.9288604855534899E-4"/>
    <n v="-7.9167105108499496E-3"/>
    <n v="1.54339824803173E-3"/>
    <b v="0"/>
    <b v="0"/>
    <b v="0"/>
    <b v="0"/>
  </r>
  <r>
    <x v="84"/>
    <x v="4"/>
    <n v="704585.1875"/>
    <n v="0.91531109809875499"/>
    <n v="2.9000000000000001E-2"/>
    <n v="2.2209907260800699"/>
    <n v="2.4264872683106504"/>
    <n v="7.4500943326948094E-2"/>
    <n v="-7.9167105108499496E-3"/>
    <n v="1.54339824803173E-3"/>
    <n v="-2.45716314464807E-2"/>
    <n v="-3.2878569327294501E-3"/>
    <b v="0"/>
    <b v="0"/>
    <b v="0"/>
    <b v="1"/>
  </r>
  <r>
    <x v="84"/>
    <x v="5"/>
    <n v="712854.3125"/>
    <n v="0.915496826171875"/>
    <n v="0.02"/>
    <n v="2.1017215256581898"/>
    <n v="2.2957168889885518"/>
    <n v="-5.37008997927595E-2"/>
    <n v="-2.45716314464807E-2"/>
    <n v="-3.2878569327294501E-3"/>
    <n v="-1.06050188690424E-2"/>
    <n v="-5.166812799871E-3"/>
    <b v="0"/>
    <b v="0"/>
    <b v="0"/>
    <b v="0"/>
  </r>
  <r>
    <x v="84"/>
    <x v="6"/>
    <n v="719881.3125"/>
    <n v="0.91233843564987205"/>
    <n v="2.3E-2"/>
    <n v="2.14496141407025"/>
    <n v="2.3510589165766786"/>
    <n v="2.0573557383400502E-2"/>
    <n v="-1.06050188690424E-2"/>
    <n v="-5.2524115890264997E-3"/>
    <n v="-8.6770377680659202E-3"/>
    <n v="-1.48038091138005E-2"/>
    <b v="0"/>
    <b v="1"/>
    <b v="0"/>
    <b v="1"/>
  </r>
  <r>
    <x v="84"/>
    <x v="7"/>
    <n v="725468.8125"/>
    <n v="0.90151786804199197"/>
    <n v="3.9E-2"/>
    <n v="2.1019901061995099"/>
    <n v="2.3316122516404754"/>
    <n v="-2.0033604142651401E-2"/>
    <n v="-8.6770377680659202E-3"/>
    <n v="-1.48038091138005E-2"/>
    <n v="-6.5649572610855097E-3"/>
    <n v="-8.5729807615280099E-3"/>
    <b v="0"/>
    <b v="0"/>
    <b v="0"/>
    <b v="0"/>
  </r>
  <r>
    <x v="84"/>
    <x v="8"/>
    <n v="730249"/>
    <n v="0.90656280517578103"/>
    <n v="1.6E-2"/>
    <n v="2.1662990421338502"/>
    <n v="2.3895741472801859"/>
    <n v="3.0594309528230699E-2"/>
    <n v="-6.5649572610855097E-3"/>
    <n v="-8.5729807615280099E-3"/>
    <n v="1.7839009106159199E-2"/>
    <n v="-1.24244429171084E-2"/>
    <b v="0"/>
    <b v="1"/>
    <b v="0"/>
    <b v="1"/>
  </r>
  <r>
    <x v="84"/>
    <x v="9"/>
    <n v="733232.8125"/>
    <n v="0.91852736473083496"/>
    <n v="8.0000000000000002E-3"/>
    <n v="2.2649532063077502"/>
    <n v="2.4658527260877761"/>
    <n v="4.5540418130230499E-2"/>
    <n v="1.7839009106159199E-2"/>
    <n v="-1.24244429171084E-2"/>
    <n v="6.7045672684907997E-3"/>
    <n v="-6.4489897340535901E-3"/>
    <b v="0"/>
    <b v="1"/>
    <b v="0"/>
    <b v="0"/>
  </r>
  <r>
    <x v="84"/>
    <x v="10"/>
    <n v="736718.8125"/>
    <n v="0.90248137712478604"/>
    <n v="3.2000000000000001E-2"/>
    <n v="2.2525486827033201"/>
    <n v="2.4959503207475717"/>
    <n v="-5.4767240090799803E-3"/>
    <n v="6.7045672684907997E-3"/>
    <n v="-6.4489897340535901E-3"/>
    <n v="-9.2401116192341003E-3"/>
    <n v="-1.20296850800514E-2"/>
    <b v="0"/>
    <b v="0"/>
    <b v="1"/>
    <b v="0"/>
  </r>
  <r>
    <x v="84"/>
    <x v="11"/>
    <n v="740351.625"/>
    <n v="0.901361763477325"/>
    <n v="3.2000000000000001E-2"/>
    <n v="2.2367045320545502"/>
    <n v="2.4814726147531081"/>
    <n v="-7.0338771234676502E-3"/>
    <n v="-9.2401116192341003E-3"/>
    <n v="-1.20296850800514E-2"/>
    <n v="-4.5160742104050002E-4"/>
    <n v="-9.5866303890942903E-3"/>
    <b v="0"/>
    <b v="0"/>
    <b v="0"/>
    <b v="0"/>
  </r>
  <r>
    <x v="84"/>
    <x v="12"/>
    <n v="743073.75"/>
    <n v="0.89980745315551802"/>
    <n v="1.2E-2"/>
    <n v="2.1231038567579699"/>
    <n v="2.3595090808733539"/>
    <n v="-5.0789307961133699E-2"/>
    <n v="-4.5160742104050002E-4"/>
    <n v="-9.5866303890942903E-3"/>
    <n v="1.26219719350338E-2"/>
    <n v="-5.1792226731777E-3"/>
    <b v="0"/>
    <b v="0"/>
    <b v="0"/>
    <b v="0"/>
  </r>
  <r>
    <x v="84"/>
    <x v="13"/>
    <n v="745944.1875"/>
    <n v="0.91628587245941195"/>
    <n v="5.0000000000000001E-3"/>
    <n v="2.19740714786264"/>
    <n v="2.3981676613266534"/>
    <n v="3.4997482986129702E-2"/>
    <n v="1.26219719350338E-2"/>
    <n v="-5.1792226731777E-3"/>
    <n v="2.59578955471516E-2"/>
    <n v="7.1087051182986E-3"/>
    <b v="0"/>
    <b v="1"/>
    <b v="0"/>
    <b v="0"/>
  </r>
  <r>
    <x v="84"/>
    <x v="14"/>
    <n v="749692.0625"/>
    <n v="0.93064278364181496"/>
    <n v="4.1000000000000002E-2"/>
    <n v="2.0091141438009301"/>
    <n v="2.158845670020471"/>
    <n v="-8.5688719200199298E-2"/>
    <n v="2.59578955471516E-2"/>
    <n v="7.1087051182986E-3"/>
    <n v="2.7534252285957201E-2"/>
    <n v="-1.6055360436439601E-2"/>
    <b v="1"/>
    <b v="0"/>
    <b v="1"/>
    <b v="0"/>
  </r>
  <r>
    <x v="84"/>
    <x v="15"/>
    <n v="753280"/>
    <n v="0.94497048854827903"/>
    <n v="1.6E-2"/>
    <n v="2.1585647597950199"/>
    <n v="2.2842668484929494"/>
    <n v="7.4386324169390797E-2"/>
    <n v="2.7534252285957201E-2"/>
    <n v="-1.6055360436439601E-2"/>
    <n v="-1.42636615037917E-2"/>
    <n v="1.7839845269918501E-2"/>
    <b v="0"/>
    <b v="1"/>
    <b v="0"/>
    <b v="0"/>
  </r>
  <r>
    <x v="84"/>
    <x v="16"/>
    <n v="759818.1875"/>
    <n v="0.91828811168670699"/>
    <n v="7.0000000000000001E-3"/>
    <n v="1.96157387301311"/>
    <n v="2.1361202960692816"/>
    <n v="-9.1260123602041401E-2"/>
    <n v="-1.42636615037917E-2"/>
    <n v="1.83185487985611E-2"/>
    <n v="-1.34937863647938E-2"/>
    <n v="6.0651414096354996E-3"/>
    <b v="1"/>
    <b v="0"/>
    <b v="0"/>
    <b v="0"/>
  </r>
  <r>
    <x v="85"/>
    <x v="0"/>
    <n v="9728008"/>
    <n v="0.96035355329513505"/>
    <n v="4.0000000000000001E-3"/>
    <n v="2.6456140457603499"/>
    <n v="2.754833401389313"/>
    <n v="-1.8576614360940599E-2"/>
    <n v="2.77992762923241E-2"/>
    <n v="2.1436236798763299E-2"/>
    <n v="1.3129356414079699E-2"/>
    <n v="1.40511123463512E-2"/>
    <b v="1"/>
    <b v="0"/>
    <b v="1"/>
    <b v="0"/>
  </r>
  <r>
    <x v="85"/>
    <x v="1"/>
    <n v="9708991"/>
    <n v="0.95796382427215598"/>
    <n v="5.0000000000000001E-3"/>
    <n v="2.67116196833783"/>
    <n v="2.7883745718345176"/>
    <n v="9.6567080970952207E-3"/>
    <n v="1.3129356414079699E-2"/>
    <n v="1.40511123463512E-2"/>
    <n v="-2.5649508751928798E-2"/>
    <n v="3.8612955249845999E-3"/>
    <b v="0"/>
    <b v="0"/>
    <b v="0"/>
    <b v="0"/>
  </r>
  <r>
    <x v="85"/>
    <x v="2"/>
    <n v="9748624"/>
    <n v="0.950139939785004"/>
    <n v="7.0000000000000001E-3"/>
    <n v="2.6619290466840302"/>
    <n v="2.8016178830313847"/>
    <n v="-3.4565188345886898E-3"/>
    <n v="-2.5649508751928798E-2"/>
    <n v="3.8612955249845999E-3"/>
    <n v="-6.5898881018161798E-2"/>
    <n v="-3.9332179352641099E-2"/>
    <b v="1"/>
    <b v="0"/>
    <b v="0"/>
    <b v="0"/>
  </r>
  <r>
    <x v="85"/>
    <x v="3"/>
    <n v="9796896"/>
    <n v="0.947016000747681"/>
    <n v="4.0000000000000001E-3"/>
    <n v="2.7314905167674501"/>
    <n v="2.8843129520630106"/>
    <n v="2.6131977548413399E-2"/>
    <n v="-6.5898881018161798E-2"/>
    <n v="-3.9332179352641099E-2"/>
    <n v="-2.54772074371576E-2"/>
    <n v="-1.6017098678275901E-2"/>
    <b v="0"/>
    <b v="1"/>
    <b v="0"/>
    <b v="1"/>
  </r>
  <r>
    <x v="85"/>
    <x v="4"/>
    <n v="9837448"/>
    <n v="0.949254870414734"/>
    <n v="3.0000000000000001E-3"/>
    <n v="2.7270718058544499"/>
    <n v="2.8728552160738232"/>
    <n v="-1.61769220353264E-3"/>
    <n v="-2.54772074371576E-2"/>
    <n v="-1.6017098678275901E-2"/>
    <n v="-1.9595724873244801E-2"/>
    <n v="1.6880496405064899E-3"/>
    <b v="0"/>
    <b v="0"/>
    <b v="0"/>
    <b v="0"/>
  </r>
  <r>
    <x v="85"/>
    <x v="5"/>
    <n v="9894416"/>
    <n v="0.95190495252609297"/>
    <n v="0"/>
    <n v="2.7194071900082002"/>
    <n v="2.8568053804023648"/>
    <n v="-2.8105662013720601E-3"/>
    <n v="-1.9595724873244801E-2"/>
    <n v="1.6880496405064899E-3"/>
    <n v="-2.1652563512325001E-3"/>
    <n v="3.27294971793889E-3"/>
    <b v="1"/>
    <b v="0"/>
    <b v="0"/>
    <b v="0"/>
  </r>
  <r>
    <x v="85"/>
    <x v="6"/>
    <n v="9957451"/>
    <n v="0.95442414283752397"/>
    <n v="1E-3"/>
    <n v="2.6981334807606001"/>
    <n v="2.8269753033897382"/>
    <n v="-7.8229216006226003E-3"/>
    <n v="-2.1652563512325001E-3"/>
    <n v="3.1873509287833899E-3"/>
    <n v="1.09333997964859E-2"/>
    <n v="4.8066284507513003E-3"/>
    <b v="1"/>
    <b v="0"/>
    <b v="0"/>
    <b v="0"/>
  </r>
  <r>
    <x v="85"/>
    <x v="7"/>
    <n v="10014050"/>
    <n v="0.95671969652175903"/>
    <n v="3.0000000000000001E-3"/>
    <n v="2.70588769471712"/>
    <n v="2.8282972583867765"/>
    <n v="2.87391784424944E-3"/>
    <n v="1.09333997964859E-2"/>
    <n v="4.8066284507513003E-3"/>
    <n v="1.3834419488906799E-2"/>
    <n v="1.18263959884643E-2"/>
    <b v="0"/>
    <b v="0"/>
    <b v="0"/>
    <b v="0"/>
  </r>
  <r>
    <x v="85"/>
    <x v="8"/>
    <n v="10065330"/>
    <n v="0.95723634958267201"/>
    <n v="7.0000000000000001E-3"/>
    <n v="2.708463510718"/>
    <n v="2.8294616182292005"/>
    <n v="9.5193012108423598E-4"/>
    <n v="1.3834419488906799E-2"/>
    <n v="1.18263959884643E-2"/>
    <n v="5.0613859832286799E-2"/>
    <n v="2.0350407809019099E-2"/>
    <b v="0"/>
    <b v="0"/>
    <b v="0"/>
    <b v="0"/>
  </r>
  <r>
    <x v="85"/>
    <x v="9"/>
    <n v="10106460"/>
    <n v="0.95834237337112405"/>
    <n v="8.0000000000000002E-3"/>
    <n v="2.68491637881186"/>
    <n v="2.8016254455776939"/>
    <n v="-8.6939077498930494E-3"/>
    <n v="5.0613859832286799E-2"/>
    <n v="2.0350407809019099E-2"/>
    <n v="2.38984714150429E-2"/>
    <n v="1.07449144124985E-2"/>
    <b v="1"/>
    <b v="0"/>
    <b v="1"/>
    <b v="0"/>
  </r>
  <r>
    <x v="85"/>
    <x v="10"/>
    <n v="10124210"/>
    <n v="0.95450836420059204"/>
    <n v="1.0999999999999999E-2"/>
    <n v="2.67735884895865"/>
    <n v="2.8049611185973822"/>
    <n v="-2.8148101418914101E-3"/>
    <n v="2.38984714150429E-2"/>
    <n v="1.07449144124985E-2"/>
    <n v="1.0617771834135E-2"/>
    <n v="7.8281983733177896E-3"/>
    <b v="1"/>
    <b v="0"/>
    <b v="1"/>
    <b v="0"/>
  </r>
  <r>
    <x v="85"/>
    <x v="11"/>
    <n v="10118800"/>
    <n v="0.95657926797866799"/>
    <n v="4.0000000000000001E-3"/>
    <n v="2.6684840419593501"/>
    <n v="2.7896109933451516"/>
    <n v="-3.3147618604637999E-3"/>
    <n v="1.0617771834135E-2"/>
    <n v="7.8281983733177896E-3"/>
    <n v="8.2121754288672893E-3"/>
    <n v="-9.2284753918649804E-4"/>
    <b v="1"/>
    <b v="0"/>
    <b v="1"/>
    <b v="0"/>
  </r>
  <r>
    <x v="85"/>
    <x v="12"/>
    <n v="10087440"/>
    <n v="0.95433163642883301"/>
    <n v="0.01"/>
    <n v="2.64111216040645"/>
    <n v="2.767499325800046"/>
    <n v="-1.02574649585691E-2"/>
    <n v="8.2121754288672893E-3"/>
    <n v="-9.2284753918649804E-4"/>
    <n v="6.2220237851143001E-3"/>
    <n v="-1.15791708230972E-2"/>
    <b v="0"/>
    <b v="0"/>
    <b v="1"/>
    <b v="0"/>
  </r>
  <r>
    <x v="85"/>
    <x v="13"/>
    <n v="10041540"/>
    <n v="0.94974148273467995"/>
    <n v="1.0999999999999999E-2"/>
    <n v="2.6503616664891898"/>
    <n v="2.7906137771909827"/>
    <n v="3.5021254384430202E-3"/>
    <n v="6.2220237851143001E-3"/>
    <n v="-1.15791708230972E-2"/>
    <n v="-2.17293443977832E-2"/>
    <n v="-4.0578534826636203E-2"/>
    <b v="0"/>
    <b v="1"/>
    <b v="0"/>
    <b v="0"/>
  </r>
  <r>
    <x v="85"/>
    <x v="14"/>
    <n v="9949473"/>
    <n v="0.94025248289108299"/>
    <n v="1.0999999999999999E-2"/>
    <n v="2.5960749845634798"/>
    <n v="2.7610402863080812"/>
    <n v="-2.0482744906894799E-2"/>
    <n v="-2.17293443977832E-2"/>
    <n v="-4.0578534826636203E-2"/>
    <n v="1.5677927315234999E-2"/>
    <n v="-2.7911685407161799E-2"/>
    <b v="0"/>
    <b v="0"/>
    <b v="0"/>
    <b v="0"/>
  </r>
  <r>
    <x v="85"/>
    <x v="15"/>
    <n v="9791866"/>
    <n v="0.95932030677795399"/>
    <n v="1.0999999999999999E-2"/>
    <n v="2.60868053719663"/>
    <n v="2.7193008620429837"/>
    <n v="4.8556196211999303E-3"/>
    <n v="1.5677927315234999E-2"/>
    <n v="-2.7911685407161799E-2"/>
    <n v="-4.7551570385694499E-2"/>
    <n v="-1.54480636119841E-2"/>
    <b v="0"/>
    <b v="1"/>
    <b v="0"/>
    <b v="0"/>
  </r>
  <r>
    <x v="85"/>
    <x v="16"/>
    <n v="9742531"/>
    <n v="0.95459681749343905"/>
    <n v="8.9999999999999993E-3"/>
    <n v="2.5475231506711702"/>
    <n v="2.6686901778704906"/>
    <n v="-2.3443800669892101E-2"/>
    <n v="-4.7551570385694499E-2"/>
    <n v="-1.49693600833415E-2"/>
    <n v="-3.8165144886821503E-2"/>
    <n v="-1.8606217112392201E-2"/>
    <b v="0"/>
    <b v="0"/>
    <b v="0"/>
    <b v="0"/>
  </r>
  <r>
    <x v="86"/>
    <x v="0"/>
    <n v="1191005"/>
    <n v="0.92997735738754295"/>
    <n v="6.0000000000000001E-3"/>
    <n v="2.13482285441762"/>
    <n v="2.2955643354744497"/>
    <n v="-1.52980326276894E-2"/>
    <n v="3.1407972455024698E-2"/>
    <n v="2.50449329614639E-2"/>
    <n v="-4.4420667886733997E-3"/>
    <n v="-3.5203108564018999E-3"/>
    <b v="1"/>
    <b v="0"/>
    <b v="1"/>
    <b v="0"/>
  </r>
  <r>
    <x v="86"/>
    <x v="1"/>
    <n v="1206245"/>
    <n v="0.91400521993637096"/>
    <n v="1.2E-2"/>
    <n v="2.1466455613859998"/>
    <n v="2.3486141157218334"/>
    <n v="5.5380271688232601E-3"/>
    <n v="-4.4420667886733997E-3"/>
    <n v="-3.5203108564018999E-3"/>
    <n v="-5.08999287262559E-2"/>
    <n v="-2.1389124449342399E-2"/>
    <b v="0"/>
    <b v="1"/>
    <b v="0"/>
    <b v="1"/>
  </r>
  <r>
    <x v="86"/>
    <x v="2"/>
    <n v="1219683"/>
    <n v="0.91252386569976796"/>
    <n v="8.9999999999999993E-3"/>
    <n v="2.1421657119301698"/>
    <n v="2.3475174649678365"/>
    <n v="-2.0869069102113099E-3"/>
    <n v="-5.08999287262559E-2"/>
    <n v="-2.1389124449342399E-2"/>
    <n v="-2.7827855855226499E-2"/>
    <n v="-1.26115418970585E-3"/>
    <b v="0"/>
    <b v="0"/>
    <b v="0"/>
    <b v="0"/>
  </r>
  <r>
    <x v="86"/>
    <x v="3"/>
    <n v="1230579"/>
    <n v="0.916528820991516"/>
    <n v="1.0999999999999999E-2"/>
    <n v="2.25280951426471"/>
    <n v="2.4579800031029939"/>
    <n v="5.1650440354981897E-2"/>
    <n v="-2.7827855855226499E-2"/>
    <n v="-1.26115418970585E-3"/>
    <n v="-6.8212060108780899E-3"/>
    <n v="2.6389027480035899E-3"/>
    <b v="0"/>
    <b v="1"/>
    <b v="0"/>
    <b v="1"/>
  </r>
  <r>
    <x v="86"/>
    <x v="4"/>
    <n v="1240353"/>
    <n v="0.92830425500869795"/>
    <n v="0"/>
    <n v="2.2087632353983602"/>
    <n v="2.3793526998081731"/>
    <n v="-1.9551710247781399E-2"/>
    <n v="-6.8212060108780899E-3"/>
    <n v="2.6389027480035899E-3"/>
    <n v="-2.34531437680125E-2"/>
    <n v="-2.1693692542612201E-3"/>
    <b v="1"/>
    <b v="0"/>
    <b v="0"/>
    <b v="0"/>
  </r>
  <r>
    <x v="86"/>
    <x v="5"/>
    <n v="1249306"/>
    <n v="0.92894726991653398"/>
    <n v="2E-3"/>
    <n v="2.29396832991115"/>
    <n v="2.4694279257823357"/>
    <n v="3.8575929346914298E-2"/>
    <n v="-2.34531437680125E-2"/>
    <n v="-2.1693692542612201E-3"/>
    <n v="5.0808430612086898E-3"/>
    <n v="1.05190491303801E-2"/>
    <b v="0"/>
    <b v="1"/>
    <b v="0"/>
    <b v="1"/>
  </r>
  <r>
    <x v="86"/>
    <x v="6"/>
    <n v="1260417"/>
    <n v="0.93494242429733299"/>
    <n v="6.0000000000000001E-3"/>
    <n v="2.25423092094141"/>
    <n v="2.4110906322767458"/>
    <n v="-1.73225621520589E-2"/>
    <n v="5.0808430612086898E-3"/>
    <n v="1.0433450341224599E-2"/>
    <n v="8.1683328747749005E-3"/>
    <n v="2.0415615290403002E-3"/>
    <b v="1"/>
    <b v="0"/>
    <b v="1"/>
    <b v="0"/>
  </r>
  <r>
    <x v="86"/>
    <x v="7"/>
    <n v="1272802"/>
    <n v="0.92914193868637096"/>
    <n v="0.01"/>
    <n v="2.1833448355187399"/>
    <n v="2.3498507005351326"/>
    <n v="-3.1445795887256899E-2"/>
    <n v="8.1683328747749005E-3"/>
    <n v="2.0415615290403002E-3"/>
    <n v="-4.0968062207102996E-3"/>
    <n v="-6.1048297211527998E-3"/>
    <b v="1"/>
    <b v="0"/>
    <b v="1"/>
    <b v="0"/>
  </r>
  <r>
    <x v="86"/>
    <x v="8"/>
    <n v="1281726"/>
    <n v="0.92679601907730103"/>
    <n v="2.3E-2"/>
    <n v="2.1892966212613301"/>
    <n v="2.3622205708662287"/>
    <n v="2.7259943760411399E-3"/>
    <n v="-4.0968062207102996E-3"/>
    <n v="-6.1048297211527998E-3"/>
    <n v="2.5861472055315901E-2"/>
    <n v="-4.4019799679516896E-3"/>
    <b v="0"/>
    <b v="1"/>
    <b v="0"/>
    <b v="1"/>
  </r>
  <r>
    <x v="86"/>
    <x v="9"/>
    <n v="1290165"/>
    <n v="0.93215334415435802"/>
    <n v="2.9000000000000001E-2"/>
    <n v="2.2466023217977402"/>
    <n v="2.4101209697808246"/>
    <n v="2.6175393493913599E-2"/>
    <n v="2.5861472055315901E-2"/>
    <n v="-4.4019799679516896E-3"/>
    <n v="1.56055691540241E-2"/>
    <n v="2.4520121514796998E-3"/>
    <b v="0"/>
    <b v="1"/>
    <b v="0"/>
    <b v="0"/>
  </r>
  <r>
    <x v="86"/>
    <x v="10"/>
    <n v="1298407"/>
    <n v="0.92865264415741"/>
    <n v="2.1000000000000001E-2"/>
    <n v="2.1573567989767302"/>
    <n v="2.3231041364601448"/>
    <n v="-3.972466419851E-2"/>
    <n v="1.56055691540241E-2"/>
    <n v="2.4520121514796998E-3"/>
    <n v="-3.1738004684447999E-3"/>
    <n v="-5.9633739292620901E-3"/>
    <b v="1"/>
    <b v="0"/>
    <b v="1"/>
    <b v="0"/>
  </r>
  <r>
    <x v="86"/>
    <x v="11"/>
    <n v="1306147"/>
    <n v="0.9237419962883"/>
    <n v="1.4E-2"/>
    <n v="2.1711492194758701"/>
    <n v="2.3503848782450008"/>
    <n v="6.3932032502389199E-3"/>
    <n v="-3.1738004684447999E-3"/>
    <n v="-5.9633739292620901E-3"/>
    <n v="6.0476904958487003E-3"/>
    <n v="-3.0873324722050901E-3"/>
    <b v="0"/>
    <b v="1"/>
    <b v="0"/>
    <b v="1"/>
  </r>
  <r>
    <x v="86"/>
    <x v="12"/>
    <n v="1310495"/>
    <n v="0.91973793506622303"/>
    <n v="3.7999999999999999E-2"/>
    <n v="2.1767608270072198"/>
    <n v="2.3667185445063637"/>
    <n v="2.58462545135465E-3"/>
    <n v="6.0476904958487003E-3"/>
    <n v="-3.0873324722050901E-3"/>
    <n v="1.42512239217757E-2"/>
    <n v="-3.5499706864356999E-3"/>
    <b v="0"/>
    <b v="1"/>
    <b v="0"/>
    <b v="0"/>
  </r>
  <r>
    <x v="86"/>
    <x v="13"/>
    <n v="1315686"/>
    <n v="0.91622328758239702"/>
    <n v="2.5999999999999999E-2"/>
    <n v="2.2050352542541698"/>
    <n v="2.4066570716320812"/>
    <n v="1.29892209084957E-2"/>
    <n v="1.42512239217757E-2"/>
    <n v="-3.5499706864356999E-3"/>
    <n v="9.5074326843022899E-3"/>
    <n v="-9.3417577445506998E-3"/>
    <b v="0"/>
    <b v="1"/>
    <b v="0"/>
    <b v="0"/>
  </r>
  <r>
    <x v="86"/>
    <x v="14"/>
    <n v="1318634"/>
    <n v="0.92186337709426902"/>
    <n v="3.1E-2"/>
    <n v="2.0146376896187101"/>
    <n v="2.1853972504785761"/>
    <n v="-8.6346721336144405E-2"/>
    <n v="9.5074326843022899E-3"/>
    <n v="-9.3417577445506998E-3"/>
    <n v="2.4597583591938001E-2"/>
    <n v="-1.8992029130458901E-2"/>
    <b v="0"/>
    <b v="0"/>
    <b v="1"/>
    <b v="0"/>
  </r>
  <r>
    <x v="86"/>
    <x v="15"/>
    <n v="1318255"/>
    <n v="0.94304621219634999"/>
    <n v="2.5999999999999999E-2"/>
    <n v="2.1197106163967798"/>
    <n v="2.247727194047028"/>
    <n v="5.2154750861407598E-2"/>
    <n v="2.4597583591938001E-2"/>
    <n v="-1.8992029130458901E-2"/>
    <n v="-2.5426333695650099E-2"/>
    <n v="6.67717307806019E-3"/>
    <b v="0"/>
    <b v="1"/>
    <b v="0"/>
    <b v="0"/>
  </r>
  <r>
    <x v="86"/>
    <x v="16"/>
    <n v="1324078"/>
    <n v="0.92945080995559703"/>
    <n v="0.03"/>
    <n v="1.99233022407535"/>
    <n v="2.1435563912957698"/>
    <n v="-6.0093293554360501E-2"/>
    <n v="-2.5426333695650099E-2"/>
    <n v="7.1558766067027898E-3"/>
    <n v="-1.8833007514476999E-3"/>
    <n v="1.7675627022981599E-2"/>
    <b v="1"/>
    <b v="0"/>
    <b v="0"/>
    <b v="0"/>
  </r>
  <r>
    <x v="87"/>
    <x v="0"/>
    <n v="275165.3125"/>
    <n v="0.915926873683929"/>
    <n v="1E-3"/>
    <n v="2.3983684086072299"/>
    <n v="2.6185151648196605"/>
    <n v="1.2588339957316201E-2"/>
    <n v="9.5952503681182993E-3"/>
    <n v="3.2322108745574999E-3"/>
    <n v="1.3139276862144399E-2"/>
    <n v="1.40610327944159E-2"/>
    <b v="0"/>
    <b v="0"/>
    <b v="0"/>
    <b v="0"/>
  </r>
  <r>
    <x v="87"/>
    <x v="1"/>
    <n v="278177.875"/>
    <n v="0.91310048103332497"/>
    <n v="-5.0000000000000001E-3"/>
    <n v="2.3177408003217299"/>
    <n v="2.5383195480291731"/>
    <n v="-3.3617691092053502E-2"/>
    <n v="1.3139276862144399E-2"/>
    <n v="1.40610327944159E-2"/>
    <n v="-2.8377309732139099E-2"/>
    <n v="1.13349454477429E-3"/>
    <b v="1"/>
    <b v="0"/>
    <b v="1"/>
    <b v="0"/>
  </r>
  <r>
    <x v="87"/>
    <x v="2"/>
    <n v="281811.71875"/>
    <n v="0.90372580289840698"/>
    <n v="1E-3"/>
    <n v="2.1865015078633201"/>
    <n v="2.4194302086438459"/>
    <n v="-5.6623800400890101E-2"/>
    <n v="-2.8377309732139099E-2"/>
    <n v="1.13349454477429E-3"/>
    <n v="-2.7707428395748E-2"/>
    <n v="-1.14072673022744E-3"/>
    <b v="1"/>
    <b v="0"/>
    <b v="0"/>
    <b v="0"/>
  </r>
  <r>
    <x v="87"/>
    <x v="3"/>
    <n v="287737"/>
    <n v="0.89146876335143999"/>
    <n v="0"/>
    <n v="2.40608795205064"/>
    <n v="2.6990154349380138"/>
    <n v="0.100428215300846"/>
    <n v="-2.7707428395748E-2"/>
    <n v="-1.14072673022744E-3"/>
    <n v="-1.54532386190257E-2"/>
    <n v="-5.9931298601441103E-3"/>
    <b v="0"/>
    <b v="1"/>
    <b v="0"/>
    <b v="1"/>
  </r>
  <r>
    <x v="87"/>
    <x v="4"/>
    <n v="292854.09375"/>
    <n v="0.89643639326095603"/>
    <n v="2.9000000000000001E-2"/>
    <n v="2.39131332125576"/>
    <n v="2.6675772416567201"/>
    <n v="-6.1405198352326501E-3"/>
    <n v="-1.54532386190257E-2"/>
    <n v="-5.9931298601441103E-3"/>
    <n v="-2.1844923838973001E-2"/>
    <n v="-5.6114932522169998E-4"/>
    <b v="0"/>
    <b v="0"/>
    <b v="0"/>
    <b v="0"/>
  </r>
  <r>
    <x v="87"/>
    <x v="5"/>
    <n v="295364.09375"/>
    <n v="0.89605402946472201"/>
    <n v="0"/>
    <n v="2.22207853017904"/>
    <n v="2.4798488228510602"/>
    <n v="-7.0770647063449293E-2"/>
    <n v="-2.1844923838973001E-2"/>
    <n v="-5.6114932522169998E-4"/>
    <n v="-3.4110176414250998E-3"/>
    <n v="2.0271884277462899E-3"/>
    <b v="0"/>
    <b v="0"/>
    <b v="0"/>
    <b v="0"/>
  </r>
  <r>
    <x v="87"/>
    <x v="6"/>
    <n v="297691.40625"/>
    <n v="0.90645128488540605"/>
    <n v="2.8000000000000001E-2"/>
    <n v="2.2472852804299799"/>
    <n v="2.4792124164886395"/>
    <n v="1.1343771117265001E-2"/>
    <n v="-3.4110176414250998E-3"/>
    <n v="1.9415896385907899E-3"/>
    <n v="7.7076746523379999E-3"/>
    <n v="1.5809033066034E-3"/>
    <b v="0"/>
    <b v="0"/>
    <b v="0"/>
    <b v="1"/>
  </r>
  <r>
    <x v="87"/>
    <x v="7"/>
    <n v="301006.59375"/>
    <n v="0.91003531217575095"/>
    <n v="1.4E-2"/>
    <n v="2.3502497908990199"/>
    <n v="2.5825918614959491"/>
    <n v="4.5817285133169697E-2"/>
    <n v="7.7076746523379999E-3"/>
    <n v="1.5809033066034E-3"/>
    <n v="-7.9417618364100004E-4"/>
    <n v="-2.8021996840834999E-3"/>
    <b v="0"/>
    <b v="0"/>
    <b v="0"/>
    <b v="0"/>
  </r>
  <r>
    <x v="87"/>
    <x v="8"/>
    <n v="305290.59375"/>
    <n v="0.90982747077941895"/>
    <n v="0.01"/>
    <n v="2.3083889225793399"/>
    <n v="2.5371721526519968"/>
    <n v="-1.7811242227009201E-2"/>
    <n v="-7.9417618364100004E-4"/>
    <n v="-2.8021996840834999E-3"/>
    <n v="1.6527103424072299E-2"/>
    <n v="-1.37363485991953E-2"/>
    <b v="0"/>
    <b v="0"/>
    <b v="0"/>
    <b v="0"/>
  </r>
  <r>
    <x v="87"/>
    <x v="9"/>
    <n v="308768.71875"/>
    <n v="0.91953992843627896"/>
    <n v="4.9000000000000002E-2"/>
    <n v="2.3830875958174"/>
    <n v="2.591608610046932"/>
    <n v="3.2359656775080299E-2"/>
    <n v="1.6527103424072299E-2"/>
    <n v="-1.37363485991953E-2"/>
    <n v="-4.8782114982604896E-3"/>
    <n v="-1.8031768500804901E-2"/>
    <b v="0"/>
    <b v="1"/>
    <b v="0"/>
    <b v="0"/>
  </r>
  <r>
    <x v="87"/>
    <x v="10"/>
    <n v="312074.40625"/>
    <n v="0.90616184473037698"/>
    <n v="2.5000000000000001E-2"/>
    <n v="2.5970268607750602"/>
    <n v="2.8659635978689768"/>
    <n v="8.9773982850294295E-2"/>
    <n v="-4.8782114982604896E-3"/>
    <n v="-1.8031768500804901E-2"/>
    <n v="-1.9055461677722599E-2"/>
    <n v="-2.1845035138539901E-2"/>
    <b v="0"/>
    <b v="1"/>
    <b v="0"/>
    <b v="1"/>
  </r>
  <r>
    <x v="87"/>
    <x v="11"/>
    <n v="314732.40625"/>
    <n v="0.89960592985153198"/>
    <n v="3.1E-2"/>
    <n v="2.3162296136527001"/>
    <n v="2.5747158136618364"/>
    <n v="-0.108122581003479"/>
    <n v="-1.9055461677722599E-2"/>
    <n v="-2.1845035138539901E-2"/>
    <n v="-6.4946653097867997E-3"/>
    <n v="-1.56296882778405E-2"/>
    <b v="0"/>
    <b v="0"/>
    <b v="0"/>
    <b v="0"/>
  </r>
  <r>
    <x v="87"/>
    <x v="12"/>
    <n v="316792"/>
    <n v="0.88857543468475297"/>
    <n v="2.3E-2"/>
    <n v="2.22562624955897"/>
    <n v="2.5047127825996824"/>
    <n v="-3.9116745403683102E-2"/>
    <n v="-6.4946653097867997E-3"/>
    <n v="-1.56296882778405E-2"/>
    <n v="1.48215770423411E-2"/>
    <n v="-2.9796175658703002E-3"/>
    <b v="0"/>
    <b v="0"/>
    <b v="0"/>
    <b v="0"/>
  </r>
  <r>
    <x v="87"/>
    <x v="13"/>
    <n v="319643.40625"/>
    <n v="0.89538359642028797"/>
    <n v="1.4E-2"/>
    <n v="2.4921720596783499"/>
    <n v="2.7833568424102988"/>
    <n v="0.119762161401625"/>
    <n v="1.48215770423411E-2"/>
    <n v="-2.9796175658703002E-3"/>
    <n v="6.9971290528773903E-3"/>
    <n v="-1.18520613759756E-2"/>
    <b v="0"/>
    <b v="1"/>
    <b v="0"/>
    <b v="0"/>
  </r>
  <r>
    <x v="87"/>
    <x v="14"/>
    <n v="323058.28125"/>
    <n v="0.90744966268539395"/>
    <n v="1.7999999999999999E-2"/>
    <n v="2.08169301810908"/>
    <n v="2.2940038480468172"/>
    <n v="-0.16470734433249901"/>
    <n v="6.9971290528773903E-3"/>
    <n v="-1.18520613759756E-2"/>
    <n v="1.0385571300983399E-2"/>
    <n v="-3.3204041421413498E-2"/>
    <b v="0"/>
    <b v="0"/>
    <b v="1"/>
    <b v="0"/>
  </r>
  <r>
    <x v="87"/>
    <x v="15"/>
    <n v="326249.5"/>
    <n v="0.92042058706283603"/>
    <n v="3.1E-2"/>
    <n v="2.1470750247879198"/>
    <n v="2.3327107791444277"/>
    <n v="3.14080924084741E-2"/>
    <n v="1.0385571300983399E-2"/>
    <n v="-3.3204041421413498E-2"/>
    <n v="-3.5356877297162997E-2"/>
    <n v="-3.2533705234526998E-3"/>
    <b v="0"/>
    <b v="1"/>
    <b v="0"/>
    <b v="0"/>
  </r>
  <r>
    <x v="87"/>
    <x v="16"/>
    <n v="330062.8125"/>
    <n v="0.904333055019379"/>
    <n v="2.5000000000000001E-2"/>
    <n v="2.2051150193698699"/>
    <n v="2.4383881658761397"/>
    <n v="2.70321222648875E-2"/>
    <n v="-3.5356877297162997E-2"/>
    <n v="-2.7746669948101E-3"/>
    <n v="-2.23730027526617E-2"/>
    <n v="-2.8140749782324002E-3"/>
    <b v="0"/>
    <b v="1"/>
    <b v="0"/>
    <b v="1"/>
  </r>
  <r>
    <x v="88"/>
    <x v="0"/>
    <n v="398315.09375"/>
    <n v="0.93423324823379505"/>
    <n v="1.2E-2"/>
    <n v="2.1324841360900999"/>
    <n v="2.2826035576464929"/>
    <n v="1.45625829991257E-2"/>
    <n v="-6.5833594352006997E-3"/>
    <n v="-1.29463989287615E-2"/>
    <n v="4.7654203176497904E-3"/>
    <n v="5.6871762499212898E-3"/>
    <b v="0"/>
    <b v="1"/>
    <b v="0"/>
    <b v="1"/>
  </r>
  <r>
    <x v="88"/>
    <x v="1"/>
    <n v="399018.59375"/>
    <n v="0.935843765735626"/>
    <n v="1.7000000000000001E-2"/>
    <n v="2.2280032236654899"/>
    <n v="2.3807427107388524"/>
    <n v="4.4792402418771998E-2"/>
    <n v="4.7654203176497904E-3"/>
    <n v="5.6871762499212898E-3"/>
    <n v="-3.02157982364296E-2"/>
    <n v="-7.0499395951628598E-4"/>
    <b v="0"/>
    <b v="0"/>
    <b v="0"/>
    <b v="0"/>
  </r>
  <r>
    <x v="88"/>
    <x v="2"/>
    <n v="399721"/>
    <n v="0.93658238649368297"/>
    <n v="1E-3"/>
    <n v="2.2337154168392899"/>
    <n v="2.3849641516340387"/>
    <n v="2.56381728407002E-3"/>
    <n v="-3.02157982364296E-2"/>
    <n v="-7.0499395951628598E-4"/>
    <n v="-2.42020550221205E-2"/>
    <n v="2.3646466434001502E-3"/>
    <b v="0"/>
    <b v="1"/>
    <b v="0"/>
    <b v="1"/>
  </r>
  <r>
    <x v="88"/>
    <x v="3"/>
    <n v="400429.6875"/>
    <n v="0.93820542097091697"/>
    <n v="1E-3"/>
    <n v="2.2251920259290499"/>
    <n v="2.3717535373290364"/>
    <n v="-3.8157908773826898E-3"/>
    <n v="-2.42020550221205E-2"/>
    <n v="2.3646466434001502E-3"/>
    <n v="-2.3903289660810998E-3"/>
    <n v="7.0697797928005804E-3"/>
    <b v="1"/>
    <b v="0"/>
    <b v="0"/>
    <b v="0"/>
  </r>
  <r>
    <x v="88"/>
    <x v="4"/>
    <n v="401737.3125"/>
    <n v="0.92851501703262296"/>
    <n v="2.1999999999999999E-2"/>
    <n v="2.2847499836162202"/>
    <n v="2.4606494689960909"/>
    <n v="2.6765311484661498E-2"/>
    <n v="-2.3903289660810998E-3"/>
    <n v="7.0697797928005804E-3"/>
    <n v="-1.8688344739377499E-2"/>
    <n v="2.5954297743738001E-3"/>
    <b v="0"/>
    <b v="0"/>
    <b v="0"/>
    <b v="1"/>
  </r>
  <r>
    <x v="88"/>
    <x v="5"/>
    <n v="403845.09375"/>
    <n v="0.93990856409072898"/>
    <n v="0"/>
    <n v="2.1479293607352998"/>
    <n v="2.2852535265632086"/>
    <n v="-5.9884286623064997E-2"/>
    <n v="-1.8688344739377499E-2"/>
    <n v="2.5954297743738001E-3"/>
    <n v="-1.32988256439566E-2"/>
    <n v="-7.8606195747852603E-3"/>
    <b v="1"/>
    <b v="0"/>
    <b v="0"/>
    <b v="0"/>
  </r>
  <r>
    <x v="88"/>
    <x v="6"/>
    <n v="405768.09375"/>
    <n v="0.94126915931701705"/>
    <n v="1.4999999999999999E-2"/>
    <n v="2.1886287047437998"/>
    <n v="2.3251890100509236"/>
    <n v="1.89481762075072E-2"/>
    <n v="-1.32988256439566E-2"/>
    <n v="-7.9462183639407592E-3"/>
    <n v="5.9187399595976003E-3"/>
    <n v="-2.0803138613699799E-4"/>
    <b v="0"/>
    <b v="1"/>
    <b v="0"/>
    <b v="1"/>
  </r>
  <r>
    <x v="88"/>
    <x v="7"/>
    <n v="407377.5"/>
    <n v="0.94387346506118797"/>
    <n v="3.0000000000000001E-3"/>
    <n v="2.2137790883009201"/>
    <n v="2.3454193493588771"/>
    <n v="1.1491388878621301E-2"/>
    <n v="5.9187399595976003E-3"/>
    <n v="-2.0803138613699799E-4"/>
    <n v="-7.8999268263579999E-4"/>
    <n v="-2.7980161830782999E-3"/>
    <b v="0"/>
    <b v="1"/>
    <b v="0"/>
    <b v="0"/>
  </r>
  <r>
    <x v="88"/>
    <x v="8"/>
    <n v="409814.78125"/>
    <n v="0.94475299119949296"/>
    <n v="4.9000000000000002E-2"/>
    <n v="2.2756952341569301"/>
    <n v="2.4087727219234565"/>
    <n v="2.7968529553474099E-2"/>
    <n v="-7.8999268263579999E-4"/>
    <n v="-2.7980161830782999E-3"/>
    <n v="6.1469586730003398E-2"/>
    <n v="3.1206134706735701E-2"/>
    <b v="0"/>
    <b v="1"/>
    <b v="0"/>
    <b v="1"/>
  </r>
  <r>
    <x v="88"/>
    <x v="9"/>
    <n v="412130"/>
    <n v="0.95583057403564498"/>
    <n v="1E-3"/>
    <n v="2.3095441964196799"/>
    <n v="2.4162694301234522"/>
    <n v="1.48741192382422E-2"/>
    <n v="6.1469586730003398E-2"/>
    <n v="3.1206134706735701E-2"/>
    <n v="1.83367061316967E-2"/>
    <n v="5.1831491291522997E-3"/>
    <b v="0"/>
    <b v="0"/>
    <b v="0"/>
    <b v="0"/>
  </r>
  <r>
    <x v="88"/>
    <x v="10"/>
    <n v="414837.71875"/>
    <n v="0.94724386930465698"/>
    <n v="1.9E-2"/>
    <n v="2.2085397583490698"/>
    <n v="2.3315429425479333"/>
    <n v="-4.3733494352342903E-2"/>
    <n v="1.83367061316967E-2"/>
    <n v="5.1831491291522997E-3"/>
    <n v="6.0214136689900897E-3"/>
    <n v="3.2318402081727999E-3"/>
    <b v="1"/>
    <b v="0"/>
    <b v="1"/>
    <b v="0"/>
  </r>
  <r>
    <x v="88"/>
    <x v="11"/>
    <n v="417052.40625"/>
    <n v="0.95145905017852805"/>
    <n v="1.0999999999999999E-2"/>
    <n v="2.2584520815870301"/>
    <n v="2.3736723941647968"/>
    <n v="2.2599694232025298E-2"/>
    <n v="6.0214136689900897E-3"/>
    <n v="3.2318402081727999E-3"/>
    <n v="3.4375827968120602E-2"/>
    <n v="2.5240805000066799E-2"/>
    <b v="0"/>
    <b v="0"/>
    <b v="0"/>
    <b v="0"/>
  </r>
  <r>
    <x v="88"/>
    <x v="12"/>
    <n v="419196.59375"/>
    <n v="0.96296072006225597"/>
    <n v="7.0000000000000001E-3"/>
    <n v="2.17756397921878"/>
    <n v="2.2613217069518674"/>
    <n v="-3.5815726633179001E-2"/>
    <n v="3.4375827968120602E-2"/>
    <n v="2.5240805000066799E-2"/>
    <n v="2.05272093117237E-2"/>
    <n v="2.72601470351219E-3"/>
    <b v="1"/>
    <b v="0"/>
    <b v="1"/>
    <b v="0"/>
  </r>
  <r>
    <x v="88"/>
    <x v="13"/>
    <n v="422059"/>
    <n v="0.94835680723190297"/>
    <n v="2.4E-2"/>
    <n v="2.1015642037231599"/>
    <n v="2.2160058194312739"/>
    <n v="-3.4901282451817499E-2"/>
    <n v="2.05272093117237E-2"/>
    <n v="2.72601470351219E-3"/>
    <n v="3.3023381710052403E-2"/>
    <n v="1.41741912811994E-2"/>
    <b v="1"/>
    <b v="0"/>
    <b v="1"/>
    <b v="0"/>
  </r>
  <r>
    <x v="88"/>
    <x v="14"/>
    <n v="423302.1875"/>
    <n v="0.96812921762466397"/>
    <n v="3.0000000000000001E-3"/>
    <n v="2.0189567154996002"/>
    <n v="2.0854207049480182"/>
    <n v="-3.9307620522467897E-2"/>
    <n v="3.3023381710052403E-2"/>
    <n v="1.41741912811994E-2"/>
    <n v="5.6797107934951997E-2"/>
    <n v="1.3207495212554999E-2"/>
    <b v="1"/>
    <b v="0"/>
    <b v="1"/>
    <b v="0"/>
  </r>
  <r>
    <x v="89"/>
    <x v="0"/>
    <n v="700290.5625"/>
    <n v="0.93336218595504805"/>
    <n v="6.9000000000000006E-2"/>
    <n v="3.36178800006754"/>
    <n v="3.6018043698948912"/>
    <n v="-4.8281186139241601E-2"/>
    <n v="1.12747639715672E-2"/>
    <n v="4.9117244780064002E-3"/>
    <n v="1.1771681815385701E-2"/>
    <n v="1.26934377476572E-2"/>
    <b v="1"/>
    <b v="0"/>
    <b v="1"/>
    <b v="0"/>
  </r>
  <r>
    <x v="89"/>
    <x v="1"/>
    <n v="720616.6875"/>
    <n v="0.93317455053329501"/>
    <n v="5.1999999999999998E-2"/>
    <n v="3.3350553137769499"/>
    <n v="3.573881555032782"/>
    <n v="-7.9519250738178792E-3"/>
    <n v="1.1771681815385701E-2"/>
    <n v="1.26934377476572E-2"/>
    <n v="-2.6555738702416301E-2"/>
    <n v="2.9550655744970001E-3"/>
    <b v="1"/>
    <b v="0"/>
    <b v="1"/>
    <b v="0"/>
  </r>
  <r>
    <x v="89"/>
    <x v="2"/>
    <n v="741919"/>
    <n v="0.93510460853576705"/>
    <n v="1.4999999999999999E-2"/>
    <n v="2.98641098265001"/>
    <n v="3.1936651315688409"/>
    <n v="-0.104539294951632"/>
    <n v="-2.6555738702416301E-2"/>
    <n v="2.9550655744970001E-3"/>
    <n v="-3.10600779056549E-2"/>
    <n v="-4.4933762401342496E-3"/>
    <b v="1"/>
    <b v="0"/>
    <b v="0"/>
    <b v="0"/>
  </r>
  <r>
    <x v="89"/>
    <x v="3"/>
    <n v="762905.1875"/>
    <n v="0.93209666013717696"/>
    <n v="1.2E-2"/>
    <n v="3.1076648168056402"/>
    <n v="3.3340585260205571"/>
    <n v="4.0601857835400601E-2"/>
    <n v="-3.10600779056549E-2"/>
    <n v="-4.4933762401342496E-3"/>
    <n v="-1.53192025576718E-2"/>
    <n v="-5.8590937987901296E-3"/>
    <b v="0"/>
    <b v="1"/>
    <b v="0"/>
    <b v="1"/>
  </r>
  <r>
    <x v="89"/>
    <x v="4"/>
    <n v="783030.5"/>
    <n v="0.93997675180435203"/>
    <n v="1.7000000000000001E-2"/>
    <n v="3.05122627171678"/>
    <n v="3.2460656775390824"/>
    <n v="-1.81610786284476E-2"/>
    <n v="-1.53192025576718E-2"/>
    <n v="-5.8590937987901296E-3"/>
    <n v="-2.3733306087553498E-2"/>
    <n v="-2.4495315738022002E-3"/>
    <b v="0"/>
    <b v="0"/>
    <b v="0"/>
    <b v="0"/>
  </r>
  <r>
    <x v="89"/>
    <x v="5"/>
    <n v="797951.4375"/>
    <n v="0.92483460903167702"/>
    <n v="2.1999999999999999E-2"/>
    <n v="3.2080635625603802"/>
    <n v="3.4687970489332098"/>
    <n v="5.1401396316425103E-2"/>
    <n v="-2.3733306087553498E-2"/>
    <n v="-2.4495315738022002E-3"/>
    <n v="6.0692028701309704E-4"/>
    <n v="6.0451263561844904E-3"/>
    <b v="0"/>
    <b v="1"/>
    <b v="0"/>
    <b v="1"/>
  </r>
  <r>
    <x v="89"/>
    <x v="6"/>
    <n v="809739.3125"/>
    <n v="0.93238919973373402"/>
    <n v="2.7E-2"/>
    <n v="3.0709181478860499"/>
    <n v="3.2936011579317133"/>
    <n v="-4.2750217381875198E-2"/>
    <n v="6.0692028701309704E-4"/>
    <n v="5.9595275670289898E-3"/>
    <n v="-3.4960485994819902E-4"/>
    <n v="-6.4763762056827996E-3"/>
    <b v="1"/>
    <b v="0"/>
    <b v="1"/>
    <b v="0"/>
  </r>
  <r>
    <x v="89"/>
    <x v="7"/>
    <n v="819658.875"/>
    <n v="0.93059259653091397"/>
    <n v="2.9000000000000001E-2"/>
    <n v="3.1763790783720101"/>
    <n v="3.413286426534011"/>
    <n v="3.43418239781344E-2"/>
    <n v="-3.4960485994819902E-4"/>
    <n v="-6.4763762056827996E-3"/>
    <n v="-8.9545144550502304E-3"/>
    <n v="-1.09625379554927E-2"/>
    <b v="0"/>
    <b v="1"/>
    <b v="0"/>
    <b v="1"/>
  </r>
  <r>
    <x v="89"/>
    <x v="8"/>
    <n v="830119.625"/>
    <n v="0.92089140415191695"/>
    <n v="0.03"/>
    <n v="3.0998365152816598"/>
    <n v="3.366126018014485"/>
    <n v="-2.40974270393382E-2"/>
    <n v="-8.9545144550502304E-3"/>
    <n v="-1.09625379554927E-2"/>
    <n v="8.2171803116798392E-3"/>
    <n v="-2.2046271711587798E-2"/>
    <b v="0"/>
    <b v="0"/>
    <b v="0"/>
    <b v="0"/>
  </r>
  <r>
    <x v="89"/>
    <x v="9"/>
    <n v="839263.125"/>
    <n v="0.91968953609466597"/>
    <n v="1.2999999999999999E-2"/>
    <n v="3.12644700372033"/>
    <n v="3.3994591446547857"/>
    <n v="8.5844812484425197E-3"/>
    <n v="8.2171803116798392E-3"/>
    <n v="-2.2046271711587798E-2"/>
    <n v="-6.8761834055185199E-3"/>
    <n v="-2.00297404080629E-2"/>
    <b v="0"/>
    <b v="1"/>
    <b v="0"/>
    <b v="0"/>
  </r>
  <r>
    <x v="89"/>
    <x v="10"/>
    <n v="847511.25"/>
    <n v="0.91820830106735196"/>
    <n v="4.2999999999999997E-2"/>
    <n v="3.1152458445306999"/>
    <n v="3.3927441528348719"/>
    <n v="-3.5827119974536701E-3"/>
    <n v="-6.8761834055185199E-3"/>
    <n v="-2.00297404080629E-2"/>
    <n v="-3.1932237841188899E-2"/>
    <n v="-3.4721811302006099E-2"/>
    <b v="0"/>
    <b v="0"/>
    <b v="0"/>
    <b v="0"/>
  </r>
  <r>
    <x v="89"/>
    <x v="11"/>
    <n v="853909.75"/>
    <n v="0.904929459095001"/>
    <n v="7.0999999999999994E-2"/>
    <n v="3.05261385323504"/>
    <n v="3.3733169171969366"/>
    <n v="-2.0104991522779701E-2"/>
    <n v="-3.1932237841188899E-2"/>
    <n v="-3.4721811302006099E-2"/>
    <n v="9.2094412446019902E-4"/>
    <n v="-8.2140788435935905E-3"/>
    <b v="0"/>
    <b v="0"/>
    <b v="0"/>
    <b v="0"/>
  </r>
  <r>
    <x v="89"/>
    <x v="12"/>
    <n v="859706.5"/>
    <n v="0.91085189580917403"/>
    <n v="3.7999999999999999E-2"/>
    <n v="2.9359163209319199"/>
    <n v="3.2232642150058197"/>
    <n v="-3.8228723944051898E-2"/>
    <n v="9.2094412446019902E-4"/>
    <n v="-8.2140788435935905E-3"/>
    <n v="2.5732099711894998E-3"/>
    <n v="-1.5227984637021999E-2"/>
    <b v="0"/>
    <b v="0"/>
    <b v="1"/>
    <b v="0"/>
  </r>
  <r>
    <x v="89"/>
    <x v="13"/>
    <n v="866495.4375"/>
    <n v="0.91738677024841297"/>
    <n v="3.2000000000000001E-2"/>
    <n v="3.0100793316215002"/>
    <n v="3.2811453459334508"/>
    <n v="2.5260600978585401E-2"/>
    <n v="2.5732099711894998E-3"/>
    <n v="-1.5227984637021999E-2"/>
    <n v="8.2822256833314997E-3"/>
    <n v="-1.05669647455215E-2"/>
    <b v="0"/>
    <b v="1"/>
    <b v="0"/>
    <b v="0"/>
  </r>
  <r>
    <x v="89"/>
    <x v="14"/>
    <n v="874623.6875"/>
    <n v="0.93777304887771595"/>
    <n v="2.5000000000000001E-2"/>
    <n v="2.9504532666458201"/>
    <n v="3.146233803772446"/>
    <n v="-1.9808801831000498E-2"/>
    <n v="8.2822256833314997E-3"/>
    <n v="-1.05669647455215E-2"/>
    <n v="-4.2174698114395004E-3"/>
    <n v="-4.7807082533836399E-2"/>
    <b v="0"/>
    <b v="0"/>
    <b v="1"/>
    <b v="0"/>
  </r>
  <r>
    <x v="89"/>
    <x v="15"/>
    <n v="882200.625"/>
    <n v="0.95539861917495705"/>
    <n v="1.7000000000000001E-2"/>
    <n v="2.8873237939319201"/>
    <n v="3.0221142630761744"/>
    <n v="-2.1396533687745599E-2"/>
    <n v="-4.2174698114395004E-3"/>
    <n v="-4.7807082533836399E-2"/>
    <n v="-4.0806459188461298E-2"/>
    <n v="-8.7029524147509904E-3"/>
    <b v="0"/>
    <b v="0"/>
    <b v="0"/>
    <b v="0"/>
  </r>
  <r>
    <x v="89"/>
    <x v="16"/>
    <n v="892798.5"/>
    <n v="0.92822396755218495"/>
    <n v="0.06"/>
    <n v="2.89750636361588"/>
    <n v="3.121559521089377"/>
    <n v="3.5266462685498599E-3"/>
    <n v="-4.0806459188461298E-2"/>
    <n v="-8.2242488861083898E-3"/>
    <n v="-3.59266351759433E-2"/>
    <n v="-1.6367707401514001E-2"/>
    <b v="0"/>
    <b v="1"/>
    <b v="0"/>
    <b v="1"/>
  </r>
  <r>
    <x v="90"/>
    <x v="0"/>
    <n v="536253.125"/>
    <n v="0.87858772277831998"/>
    <n v="7.0999999999999994E-2"/>
    <n v="2.0911407890712601"/>
    <n v="2.3801161054909077"/>
    <n v="1.95760280172886E-2"/>
    <n v="1.7571648240089398E-2"/>
    <n v="1.1208608746528599E-2"/>
    <n v="-4.4502866417170002E-3"/>
    <n v="-3.52853070944549E-3"/>
    <b v="0"/>
    <b v="0"/>
    <b v="0"/>
    <b v="0"/>
  </r>
  <r>
    <x v="90"/>
    <x v="1"/>
    <n v="540380.1875"/>
    <n v="0.87024945020675704"/>
    <n v="5.0000000000000001E-3"/>
    <n v="2.1104634631788399"/>
    <n v="2.4251247302453662"/>
    <n v="9.2402549883628202E-3"/>
    <n v="-4.4502866417170002E-3"/>
    <n v="-3.52853070944549E-3"/>
    <n v="-5.42473022937775E-2"/>
    <n v="-2.4736498016863999E-2"/>
    <b v="0"/>
    <b v="1"/>
    <b v="0"/>
    <b v="1"/>
  </r>
  <r>
    <x v="90"/>
    <x v="2"/>
    <n v="542333.8125"/>
    <n v="0.86849880218505904"/>
    <n v="2.3E-2"/>
    <n v="2.2698195533205099"/>
    <n v="2.6134976209637402"/>
    <n v="7.5507628026709295E-2"/>
    <n v="-5.42473022937775E-2"/>
    <n v="-2.4736498016863999E-2"/>
    <n v="-2.8795313745736999E-2"/>
    <n v="-2.2286120802164399E-3"/>
    <b v="0"/>
    <b v="1"/>
    <b v="0"/>
    <b v="1"/>
  </r>
  <r>
    <x v="90"/>
    <x v="3"/>
    <n v="542615.5"/>
    <n v="0.88706380128860496"/>
    <n v="0"/>
    <n v="2.2422586212731299"/>
    <n v="2.5277309456387278"/>
    <n v="-1.2142344974981E-2"/>
    <n v="-2.8795313745736999E-2"/>
    <n v="-2.2286120802164399E-3"/>
    <n v="-9.8339521177113094E-3"/>
    <n v="-3.7384335882962401E-4"/>
    <b v="0"/>
    <b v="0"/>
    <b v="0"/>
    <b v="0"/>
  </r>
  <r>
    <x v="90"/>
    <x v="4"/>
    <n v="544120.75"/>
    <n v="0.895147144794464"/>
    <n v="1.6E-2"/>
    <n v="2.3370994323383898"/>
    <n v="2.6108550375536463"/>
    <n v="4.2296999179965197E-2"/>
    <n v="-9.8339521177113094E-3"/>
    <n v="-3.7384335882962401E-4"/>
    <n v="-1.9027653492987101E-2"/>
    <n v="2.2561210207640999E-3"/>
    <b v="0"/>
    <b v="1"/>
    <b v="0"/>
    <b v="1"/>
  </r>
  <r>
    <x v="90"/>
    <x v="5"/>
    <n v="545026.8125"/>
    <n v="0.89890670776367199"/>
    <n v="6.0000000000000001E-3"/>
    <n v="2.1492529623905199"/>
    <n v="2.3909633155786523"/>
    <n v="-8.0375899864871495E-2"/>
    <n v="-1.9027653492987101E-2"/>
    <n v="2.2561210207640999E-3"/>
    <n v="-2.521237641573E-3"/>
    <n v="2.9169684275983901E-3"/>
    <b v="1"/>
    <b v="0"/>
    <b v="0"/>
    <b v="0"/>
  </r>
  <r>
    <x v="90"/>
    <x v="6"/>
    <n v="547905.6875"/>
    <n v="0.92217874526977495"/>
    <n v="0"/>
    <n v="2.3839900470379698"/>
    <n v="2.5851713230937192"/>
    <n v="0.10921798818244401"/>
    <n v="-2.521237641573E-3"/>
    <n v="2.8313696384428899E-3"/>
    <n v="5.7099467515944902E-3"/>
    <n v="-4.1682459414010099E-4"/>
    <b v="0"/>
    <b v="0"/>
    <b v="0"/>
    <b v="1"/>
  </r>
  <r>
    <x v="90"/>
    <x v="7"/>
    <n v="551653.625"/>
    <n v="0.93141788244247403"/>
    <n v="0"/>
    <n v="2.3012260896324901"/>
    <n v="2.4706698604475394"/>
    <n v="-3.47165700244031E-2"/>
    <n v="5.7099467515944902E-3"/>
    <n v="-4.1682459414010099E-4"/>
    <n v="9.7065054029225901E-3"/>
    <n v="7.6984819024800899E-3"/>
    <b v="0"/>
    <b v="0"/>
    <b v="1"/>
    <b v="0"/>
  </r>
  <r>
    <x v="90"/>
    <x v="8"/>
    <n v="558270.3125"/>
    <n v="0.93977981805801403"/>
    <n v="0"/>
    <n v="2.2620247562211699"/>
    <n v="2.4069731151446496"/>
    <n v="-1.7034976957687398E-2"/>
    <n v="9.7065054029225901E-3"/>
    <n v="7.6984819024800899E-3"/>
    <n v="4.47562282681465E-2"/>
    <n v="1.44927762448788E-2"/>
    <b v="1"/>
    <b v="0"/>
    <b v="1"/>
    <b v="0"/>
  </r>
  <r>
    <x v="90"/>
    <x v="9"/>
    <n v="568728.5"/>
    <n v="0.95204812288284302"/>
    <n v="0"/>
    <n v="2.2617313735126299"/>
    <n v="2.3756481622630683"/>
    <n v="-1.2969915901026599E-4"/>
    <n v="4.47562282681465E-2"/>
    <n v="1.44927762448788E-2"/>
    <n v="4.4518702000379599E-2"/>
    <n v="3.1365144997835201E-2"/>
    <b v="1"/>
    <b v="0"/>
    <b v="1"/>
    <b v="0"/>
  </r>
  <r>
    <x v="90"/>
    <x v="10"/>
    <n v="579858.0625"/>
    <n v="0.95195472240447998"/>
    <n v="1.4E-2"/>
    <n v="2.2642271895632802"/>
    <n v="2.3785030277954999"/>
    <n v="1.1034980015192199E-3"/>
    <n v="4.4518702000379599E-2"/>
    <n v="3.1365144997835201E-2"/>
    <n v="2.92900667488574E-2"/>
    <n v="2.6500493288040199E-2"/>
    <b v="0"/>
    <b v="0"/>
    <b v="0"/>
    <b v="0"/>
  </r>
  <r>
    <x v="90"/>
    <x v="11"/>
    <n v="589591.9375"/>
    <n v="0.952717065811157"/>
    <n v="1.0999999999999999E-2"/>
    <n v="2.1251574545271299"/>
    <n v="2.2306280959895899"/>
    <n v="-6.14203979517495E-2"/>
    <n v="2.92900667488574E-2"/>
    <n v="2.6500493288040199E-2"/>
    <n v="1.6187902748584601E-2"/>
    <n v="7.0528797805309001E-3"/>
    <b v="1"/>
    <b v="0"/>
    <b v="1"/>
    <b v="0"/>
  </r>
  <r>
    <x v="90"/>
    <x v="12"/>
    <n v="596159.125"/>
    <n v="0.93256026506423995"/>
    <n v="2.8000000000000001E-2"/>
    <n v="2.06197943072354"/>
    <n v="2.2110950980540642"/>
    <n v="-2.9728631951011799E-2"/>
    <n v="1.6187902748584601E-2"/>
    <n v="7.0528797805309001E-3"/>
    <n v="1.42603993117809E-2"/>
    <n v="-3.5407952964305999E-3"/>
    <b v="1"/>
    <b v="0"/>
    <b v="1"/>
    <b v="0"/>
  </r>
  <r>
    <x v="90"/>
    <x v="13"/>
    <n v="602639.125"/>
    <n v="0.93408811092376698"/>
    <n v="0.03"/>
    <n v="2.1291195089200001"/>
    <n v="2.2793561806652329"/>
    <n v="3.2560983488037001E-2"/>
    <n v="1.42603993117809E-2"/>
    <n v="-3.5407952964305999E-3"/>
    <n v="8.2719960361718903E-3"/>
    <n v="-1.0577194392681099E-2"/>
    <b v="0"/>
    <b v="1"/>
    <b v="0"/>
    <b v="0"/>
  </r>
  <r>
    <x v="90"/>
    <x v="14"/>
    <n v="611074.8125"/>
    <n v="0.91538727283477805"/>
    <n v="0.125"/>
    <n v="2.04872121093495"/>
    <n v="2.2380923044630663"/>
    <n v="-3.7761289419511297E-2"/>
    <n v="8.2719960361718903E-3"/>
    <n v="-1.0577194392681099E-2"/>
    <n v="0.116891956210136"/>
    <n v="7.3302343487738994E-2"/>
    <b v="0"/>
    <b v="0"/>
    <b v="1"/>
    <b v="0"/>
  </r>
  <r>
    <x v="90"/>
    <x v="15"/>
    <n v="621351"/>
    <n v="0.95448637008667003"/>
    <n v="4.1000000000000002E-2"/>
    <n v="2.1761531825639802"/>
    <n v="2.2799206471291771"/>
    <n v="6.2200738172118103E-2"/>
    <n v="0.116891956210136"/>
    <n v="7.3302343487738994E-2"/>
    <n v="-2.21573169529438E-2"/>
    <n v="9.9461898207664906E-3"/>
    <b v="0"/>
    <b v="0"/>
    <b v="0"/>
    <b v="0"/>
  </r>
  <r>
    <x v="90"/>
    <x v="16"/>
    <n v="635528.3125"/>
    <n v="0.92432171106338501"/>
    <n v="4.9000000000000002E-2"/>
    <n v="2.2577497597289402"/>
    <n v="2.4426016750504695"/>
    <n v="3.7495787437547001E-2"/>
    <n v="-2.21573169529438E-2"/>
    <n v="1.0424893349408999E-2"/>
    <n v="-6.4466931656002993E-2"/>
    <n v="-4.4908003881573698E-2"/>
    <b v="0"/>
    <b v="0"/>
    <b v="0"/>
    <b v="1"/>
  </r>
  <r>
    <x v="91"/>
    <x v="0"/>
    <n v="1294396"/>
    <n v="0.87429010868072499"/>
    <n v="8.0000000000000002E-3"/>
    <n v="2.3986327406499002"/>
    <n v="2.7435203908109611"/>
    <n v="-7.2635138354246401E-3"/>
    <n v="-2.7557613205164599E-2"/>
    <n v="-3.39206526987254E-2"/>
    <n v="-1.7797598518431199E-2"/>
    <n v="-1.6875842586159699E-2"/>
    <b v="0"/>
    <b v="0"/>
    <b v="0"/>
    <b v="0"/>
  </r>
  <r>
    <x v="91"/>
    <x v="1"/>
    <n v="1304403"/>
    <n v="0.862707078456879"/>
    <n v="1.0999999999999999E-2"/>
    <n v="2.3551570135852402"/>
    <n v="2.7299613882824527"/>
    <n v="-1.8125212054300201E-2"/>
    <n v="-1.7797598518431199E-2"/>
    <n v="-1.6875842586159699E-2"/>
    <n v="-4.3047071725129997E-2"/>
    <n v="-1.35362674482166E-2"/>
    <b v="0"/>
    <b v="0"/>
    <b v="0"/>
    <b v="0"/>
  </r>
  <r>
    <x v="91"/>
    <x v="2"/>
    <n v="1312607"/>
    <n v="0.85832327604293801"/>
    <n v="2.1000000000000001E-2"/>
    <n v="2.4461896141695898"/>
    <n v="2.8499630412530235"/>
    <n v="3.8652455041957301E-2"/>
    <n v="-4.3047071725129997E-2"/>
    <n v="-1.35362674482166E-2"/>
    <n v="-3.5216041564941403E-2"/>
    <n v="-8.6493398994207504E-3"/>
    <b v="0"/>
    <b v="1"/>
    <b v="0"/>
    <b v="1"/>
  </r>
  <r>
    <x v="91"/>
    <x v="3"/>
    <n v="1319861"/>
    <n v="0.866463303565979"/>
    <n v="2E-3"/>
    <n v="2.4960259301014598"/>
    <n v="2.8807058762084017"/>
    <n v="2.03730388041845E-2"/>
    <n v="-3.5216041564941403E-2"/>
    <n v="-8.6493398994207504E-3"/>
    <n v="-2.0822008777409699E-2"/>
    <n v="-1.13619000185281E-2"/>
    <b v="0"/>
    <b v="1"/>
    <b v="0"/>
    <b v="1"/>
  </r>
  <r>
    <x v="91"/>
    <x v="4"/>
    <n v="1327327"/>
    <n v="0.87637245655059803"/>
    <n v="-1E-3"/>
    <n v="2.49533265202423"/>
    <n v="2.8473426262685835"/>
    <n v="-2.7775275443846502E-4"/>
    <n v="-2.0822008777409699E-2"/>
    <n v="-1.13619000185281E-2"/>
    <n v="-2.7955690741538999E-2"/>
    <n v="-6.6719162277877001E-3"/>
    <b v="0"/>
    <b v="0"/>
    <b v="0"/>
    <b v="0"/>
  </r>
  <r>
    <x v="91"/>
    <x v="5"/>
    <n v="1332779"/>
    <n v="0.87785142660141002"/>
    <n v="-4.0000000000000001E-3"/>
    <n v="2.3511930491916599"/>
    <n v="2.6783496363322801"/>
    <n v="-5.7763682415503503E-2"/>
    <n v="-2.7955690741538999E-2"/>
    <n v="-6.6719162277877001E-3"/>
    <n v="-7.8192682042717999E-3"/>
    <n v="-2.3810621351003998E-3"/>
    <b v="0"/>
    <b v="0"/>
    <b v="0"/>
    <b v="0"/>
  </r>
  <r>
    <x v="91"/>
    <x v="6"/>
    <n v="1337737"/>
    <n v="0.88686960935592696"/>
    <n v="5.0000000000000001E-3"/>
    <n v="2.4481526949608301"/>
    <n v="2.7604426503449102"/>
    <n v="4.1238487755184801E-2"/>
    <n v="-7.8192682042717999E-3"/>
    <n v="-2.4666609242559E-3"/>
    <n v="-2.79439833015199E-3"/>
    <n v="-8.9211696758865998E-3"/>
    <b v="0"/>
    <b v="1"/>
    <b v="0"/>
    <b v="1"/>
  </r>
  <r>
    <x v="91"/>
    <x v="7"/>
    <n v="1337228"/>
    <n v="0.88724535703659102"/>
    <n v="6.0000000000000001E-3"/>
    <n v="2.5334600109369898"/>
    <n v="2.8554221116453888"/>
    <n v="3.4845586287060901E-2"/>
    <n v="-2.79439833015199E-3"/>
    <n v="-8.9211696758865998E-3"/>
    <n v="-3.1329516172409E-3"/>
    <n v="-5.1409751176834002E-3"/>
    <b v="0"/>
    <b v="1"/>
    <b v="0"/>
    <b v="1"/>
  </r>
  <r>
    <x v="91"/>
    <x v="8"/>
    <n v="1337495"/>
    <n v="0.89332914352417003"/>
    <n v="5.0000000000000001E-3"/>
    <n v="2.43901090781717"/>
    <n v="2.7302488959391931"/>
    <n v="-3.7280676510414501E-2"/>
    <n v="-3.1329516172409E-3"/>
    <n v="-5.1409751176834002E-3"/>
    <n v="2.7160296380519901E-2"/>
    <n v="-3.1031556427477901E-3"/>
    <b v="0"/>
    <b v="0"/>
    <b v="0"/>
    <b v="0"/>
  </r>
  <r>
    <x v="91"/>
    <x v="9"/>
    <n v="1337680"/>
    <n v="0.89676409959793102"/>
    <n v="5.0000000000000001E-3"/>
    <n v="2.3603979841799099"/>
    <n v="2.6321280983908779"/>
    <n v="-3.2231476860273701E-2"/>
    <n v="2.7160296380519901E-2"/>
    <n v="-3.1031556427477901E-3"/>
    <n v="1.6850015416741401E-2"/>
    <n v="3.6964584141970002E-3"/>
    <b v="0"/>
    <b v="0"/>
    <b v="1"/>
    <b v="0"/>
  </r>
  <r>
    <x v="91"/>
    <x v="10"/>
    <n v="1338498"/>
    <n v="0.88530886173248302"/>
    <n v="5.0000000000000001E-3"/>
    <n v="2.4116499428426201"/>
    <n v="2.7240774910161885"/>
    <n v="2.17132699681238E-2"/>
    <n v="1.6850015416741401E-2"/>
    <n v="3.6964584141970002E-3"/>
    <n v="2.9400751888751901E-3"/>
    <n v="1.50501728057899E-4"/>
    <b v="0"/>
    <b v="0"/>
    <b v="0"/>
    <b v="0"/>
  </r>
  <r>
    <x v="91"/>
    <x v="11"/>
    <n v="1340230"/>
    <n v="0.88534015417098999"/>
    <n v="4.0000000000000001E-3"/>
    <n v="2.32348186596872"/>
    <n v="2.6243945392314996"/>
    <n v="-3.65592349484926E-2"/>
    <n v="2.9400751888751901E-3"/>
    <n v="1.50501728057899E-4"/>
    <n v="3.6333758592605597E-2"/>
    <n v="2.7198735624551801E-2"/>
    <b v="1"/>
    <b v="0"/>
    <b v="1"/>
    <b v="0"/>
  </r>
  <r>
    <x v="91"/>
    <x v="12"/>
    <n v="1342783"/>
    <n v="0.88516211509704601"/>
    <n v="2E-3"/>
    <n v="2.3322049980809401"/>
    <n v="2.6347772439687454"/>
    <n v="3.7543362141027499E-3"/>
    <n v="3.6333758592605597E-2"/>
    <n v="2.7198735624551801E-2"/>
    <n v="2.5485801666974998E-2"/>
    <n v="7.6846070587634902E-3"/>
    <b v="0"/>
    <b v="0"/>
    <b v="0"/>
    <b v="0"/>
  </r>
  <r>
    <x v="91"/>
    <x v="13"/>
    <n v="1344383"/>
    <n v="0.87781643867492698"/>
    <n v="1.2999999999999999E-2"/>
    <n v="2.2538144679800598"/>
    <n v="2.5675236515076159"/>
    <n v="-3.3612195396792999E-2"/>
    <n v="2.5485801666974998E-2"/>
    <n v="7.6846070587634902E-3"/>
    <n v="4.4462846696376797E-2"/>
    <n v="2.56136562675238E-2"/>
    <b v="1"/>
    <b v="0"/>
    <b v="1"/>
    <b v="0"/>
  </r>
  <r>
    <x v="91"/>
    <x v="14"/>
    <n v="1345232"/>
    <n v="0.90323096513748202"/>
    <n v="3.0000000000000001E-3"/>
    <n v="2.08240746681934"/>
    <n v="2.3055093848585826"/>
    <n v="-7.6051957069182094E-2"/>
    <n v="4.4462846696376797E-2"/>
    <n v="2.56136562675238E-2"/>
    <n v="5.5403357625007997E-2"/>
    <n v="1.1813744902611001E-2"/>
    <b v="1"/>
    <b v="0"/>
    <b v="1"/>
    <b v="0"/>
  </r>
  <r>
    <x v="91"/>
    <x v="15"/>
    <n v="1341815"/>
    <n v="0.90918987989425704"/>
    <n v="1.4999999999999999E-2"/>
    <n v="2.3506563882971001"/>
    <n v="2.5854405556851252"/>
    <n v="0.12881673051599399"/>
    <n v="5.5403357625007997E-2"/>
    <n v="1.1813744902611001E-2"/>
    <n v="-3.4795788973569899E-2"/>
    <n v="-2.6922821998595901E-3"/>
    <b v="0"/>
    <b v="0"/>
    <b v="0"/>
    <b v="0"/>
  </r>
  <r>
    <x v="91"/>
    <x v="16"/>
    <n v="1340751"/>
    <n v="0.88118523359298695"/>
    <n v="1.0999999999999999E-2"/>
    <n v="2.29303630098565"/>
    <n v="2.6022182551061528"/>
    <n v="-2.4512339446258E-2"/>
    <n v="-3.4795788973569899E-2"/>
    <n v="-2.2135786712169899E-3"/>
    <n v="-3.2722418926656199E-2"/>
    <n v="-1.3163491152226901E-2"/>
    <b v="0"/>
    <b v="0"/>
    <b v="0"/>
    <b v="0"/>
  </r>
  <r>
    <x v="92"/>
    <x v="0"/>
    <n v="246124.609375"/>
    <n v="0.94644314050674405"/>
    <n v="1.2E-2"/>
    <n v="3.20444845205891"/>
    <n v="3.3857802068734801"/>
    <n v="-4.9405040161093199E-2"/>
    <n v="8.9750975668429905E-3"/>
    <n v="2.6120580732822002E-3"/>
    <n v="3.0282131433486902E-3"/>
    <n v="3.9499690756202004E-3"/>
    <b v="1"/>
    <b v="0"/>
    <b v="1"/>
    <b v="0"/>
  </r>
  <r>
    <x v="92"/>
    <x v="1"/>
    <n v="249037.796875"/>
    <n v="0.94658386707305897"/>
    <n v="1E-3"/>
    <n v="3.1789129340714601"/>
    <n v="3.3583003520871397"/>
    <n v="-7.9687716527442401E-3"/>
    <n v="3.0282131433486902E-3"/>
    <n v="3.9499690756202004E-3"/>
    <n v="-2.26703447401524E-2"/>
    <n v="6.8404595367610004E-3"/>
    <b v="1"/>
    <b v="0"/>
    <b v="1"/>
    <b v="0"/>
  </r>
  <r>
    <x v="92"/>
    <x v="2"/>
    <n v="250989.703125"/>
    <n v="0.94212573766708396"/>
    <n v="0"/>
    <n v="3.0060550295330999"/>
    <n v="3.1907153252991165"/>
    <n v="-5.4376419903065097E-2"/>
    <n v="-2.26703447401524E-2"/>
    <n v="6.8404595367610004E-3"/>
    <n v="-3.4615055382251597E-2"/>
    <n v="-8.0483537167310402E-3"/>
    <b v="1"/>
    <b v="0"/>
    <b v="0"/>
    <b v="0"/>
  </r>
  <r>
    <x v="92"/>
    <x v="3"/>
    <n v="253434.6875"/>
    <n v="0.93471693992614702"/>
    <n v="0"/>
    <n v="3.1554639054639"/>
    <n v="3.3758497045246836"/>
    <n v="4.9702641655898501E-2"/>
    <n v="-3.4615055382251597E-2"/>
    <n v="-8.0483537167310402E-3"/>
    <n v="-7.1251151934266102E-3"/>
    <n v="2.33499356545507E-3"/>
    <b v="0"/>
    <b v="1"/>
    <b v="0"/>
    <b v="1"/>
  </r>
  <r>
    <x v="92"/>
    <x v="4"/>
    <n v="257470.890625"/>
    <n v="0.94498288631439198"/>
    <n v="4.0000000000000001E-3"/>
    <n v="3.1255959475566102"/>
    <n v="3.3075688383596158"/>
    <n v="-9.4654728439681392E-3"/>
    <n v="-7.1251151934266102E-3"/>
    <n v="2.33499356545507E-3"/>
    <n v="-1.5879856765270199E-2"/>
    <n v="5.4039177484811003E-3"/>
    <b v="1"/>
    <b v="0"/>
    <b v="0"/>
    <b v="0"/>
  </r>
  <r>
    <x v="92"/>
    <x v="5"/>
    <n v="259958.5"/>
    <n v="0.940682113170624"/>
    <n v="0"/>
    <n v="3.2121320692316102"/>
    <n v="3.4146839025193447"/>
    <n v="2.7686279073483699E-2"/>
    <n v="-1.5879856765270199E-2"/>
    <n v="5.4039177484811003E-3"/>
    <n v="5.1374518871309996E-4"/>
    <n v="5.9519512578844998E-3"/>
    <b v="0"/>
    <b v="0"/>
    <b v="0"/>
    <b v="1"/>
  </r>
  <r>
    <x v="92"/>
    <x v="6"/>
    <n v="261643"/>
    <n v="0.93912166357040405"/>
    <n v="-5.0000000000000001E-3"/>
    <n v="3.2217465994536498"/>
    <n v="3.4305955494680398"/>
    <n v="2.9931926878530202E-3"/>
    <n v="5.1374518871309996E-4"/>
    <n v="5.8663524687290001E-3"/>
    <n v="2.01595841348171E-2"/>
    <n v="1.4032812789082499E-2"/>
    <b v="0"/>
    <b v="0"/>
    <b v="0"/>
    <b v="0"/>
  </r>
  <r>
    <x v="92"/>
    <x v="7"/>
    <n v="263257.59375"/>
    <n v="0.94638353586196899"/>
    <n v="6.0000000000000001E-3"/>
    <n v="3.1999833624490401"/>
    <n v="3.3812753933155499"/>
    <n v="-6.7551051371645696E-3"/>
    <n v="2.01595841348171E-2"/>
    <n v="1.4032812789082499E-2"/>
    <n v="-3.8834448754786902E-3"/>
    <n v="-5.8914683759212E-3"/>
    <b v="1"/>
    <b v="0"/>
    <b v="1"/>
    <b v="0"/>
  </r>
  <r>
    <x v="92"/>
    <x v="8"/>
    <n v="265751.1875"/>
    <n v="0.94873350858688399"/>
    <n v="0"/>
    <n v="3.3476845506167998"/>
    <n v="3.5285826001899063"/>
    <n v="4.6156861282776199E-2"/>
    <n v="-3.8834448754786902E-3"/>
    <n v="-5.8914683759212E-3"/>
    <n v="5.6940386235713999E-2"/>
    <n v="2.66769342124463E-2"/>
    <b v="0"/>
    <b v="1"/>
    <b v="0"/>
    <b v="1"/>
  </r>
  <r>
    <x v="92"/>
    <x v="9"/>
    <n v="267688.8125"/>
    <n v="0.95534032583236705"/>
    <n v="0"/>
    <n v="3.37211658354114"/>
    <n v="3.5297542586230608"/>
    <n v="7.2981885105767403E-3"/>
    <n v="5.6940386235713999E-2"/>
    <n v="2.66769342124463E-2"/>
    <n v="5.3049903631210302E-2"/>
    <n v="3.9896346628665903E-2"/>
    <b v="0"/>
    <b v="0"/>
    <b v="0"/>
    <b v="0"/>
  </r>
  <r>
    <x v="92"/>
    <x v="10"/>
    <n v="269728"/>
    <n v="0.96222114562988303"/>
    <n v="-2E-3"/>
    <n v="3.2263809878249701"/>
    <n v="3.3530555865231348"/>
    <n v="-4.3217840221623803E-2"/>
    <n v="5.3049903631210302E-2"/>
    <n v="3.9896346628665903E-2"/>
    <n v="4.0782728880643798E-2"/>
    <n v="3.7993155419826501E-2"/>
    <b v="1"/>
    <b v="0"/>
    <b v="1"/>
    <b v="0"/>
  </r>
  <r>
    <x v="92"/>
    <x v="11"/>
    <n v="273270.375"/>
    <n v="0.96286737918853804"/>
    <n v="0"/>
    <n v="3.2478375693552599"/>
    <n v="3.3730892120287566"/>
    <n v="6.6503558046180503E-3"/>
    <n v="4.0782728880643798E-2"/>
    <n v="3.7993155419826501E-2"/>
    <n v="3.0968297481536899E-2"/>
    <n v="2.18332745134831E-2"/>
    <b v="0"/>
    <b v="0"/>
    <b v="0"/>
    <b v="0"/>
  </r>
  <r>
    <x v="92"/>
    <x v="12"/>
    <n v="276506.8125"/>
    <n v="0.95972847938537598"/>
    <n v="0"/>
    <n v="3.2739347748046201"/>
    <n v="3.4113135591238217"/>
    <n v="8.0352557331061104E-3"/>
    <n v="3.0968297481536899E-2"/>
    <n v="2.18332745134831E-2"/>
    <n v="3.2155468285083699E-2"/>
    <n v="1.43542736768722E-2"/>
    <b v="0"/>
    <b v="0"/>
    <b v="0"/>
    <b v="0"/>
  </r>
  <r>
    <x v="92"/>
    <x v="13"/>
    <n v="279912.90625"/>
    <n v="0.95477092266082797"/>
    <n v="2.3E-2"/>
    <n v="3.45159595428871"/>
    <n v="3.6151037619259925"/>
    <n v="5.42653387145412E-2"/>
    <n v="3.2155468285083699E-2"/>
    <n v="1.43542736768722E-2"/>
    <n v="3.3025490224361298E-2"/>
    <n v="1.41762997955083E-2"/>
    <b v="0"/>
    <b v="0"/>
    <b v="0"/>
    <b v="0"/>
  </r>
  <r>
    <x v="92"/>
    <x v="14"/>
    <n v="283421.8125"/>
    <n v="0.98701369762420699"/>
    <n v="0"/>
    <n v="3.0779056851459101"/>
    <n v="3.118402199031876"/>
    <n v="-0.108265936712111"/>
    <n v="3.3025490224361298E-2"/>
    <n v="1.41762997955083E-2"/>
    <n v="3.11112536787987E-2"/>
    <n v="-1.2478359043598199E-2"/>
    <b v="1"/>
    <b v="0"/>
    <b v="1"/>
    <b v="0"/>
  </r>
  <r>
    <x v="92"/>
    <x v="15"/>
    <n v="286570.40625"/>
    <n v="0.986977219581604"/>
    <n v="0"/>
    <n v="3.1582596840917598"/>
    <n v="3.1999316918688341"/>
    <n v="2.6106712539516599E-2"/>
    <n v="3.11112536787987E-2"/>
    <n v="-1.2478359043598199E-2"/>
    <n v="-3.88050469756126E-2"/>
    <n v="-6.7015402019022898E-3"/>
    <b v="0"/>
    <b v="1"/>
    <b v="0"/>
    <b v="0"/>
  </r>
  <r>
    <x v="92"/>
    <x v="16"/>
    <n v="292573.09375"/>
    <n v="0.97584867477417003"/>
    <n v="5.0000000000000001E-3"/>
    <n v="3.1906111217066702"/>
    <n v="3.2695757079805823"/>
    <n v="1.02434381117751E-2"/>
    <n v="-3.88050469756126E-2"/>
    <n v="-6.2228366732597004E-3"/>
    <n v="-8.2222733497619993E-3"/>
    <n v="1.1336654424667299E-2"/>
    <b v="0"/>
    <b v="1"/>
    <b v="0"/>
    <b v="1"/>
  </r>
  <r>
    <x v="93"/>
    <x v="0"/>
    <n v="2408192"/>
    <n v="0.96494942903518699"/>
    <n v="0"/>
    <n v="2.3705452379165699"/>
    <n v="2.4566523038277559"/>
    <n v="5.2805750466780599E-4"/>
    <n v="3.8549532771110499E-2"/>
    <n v="3.2186493277549702E-2"/>
    <n v="-5.8847171217202999E-3"/>
    <n v="-4.9629611894487996E-3"/>
    <b v="0"/>
    <b v="0"/>
    <b v="0"/>
    <b v="0"/>
  </r>
  <r>
    <x v="93"/>
    <x v="1"/>
    <n v="2420681"/>
    <n v="0.94883966445922896"/>
    <n v="8.9999999999999993E-3"/>
    <n v="2.4199290310902399"/>
    <n v="2.5504088011217649"/>
    <n v="2.0832250903206499E-2"/>
    <n v="-5.8847171217202999E-3"/>
    <n v="-4.9629611894487996E-3"/>
    <n v="-7.9127577424049397E-2"/>
    <n v="-4.9616773147135897E-2"/>
    <b v="0"/>
    <b v="1"/>
    <b v="0"/>
    <b v="1"/>
  </r>
  <r>
    <x v="93"/>
    <x v="2"/>
    <n v="2443136"/>
    <n v="0.93510562181472801"/>
    <n v="1.2999999999999999E-2"/>
    <n v="2.3522665127301399"/>
    <n v="2.5155088985190521"/>
    <n v="-2.79605383012494E-2"/>
    <n v="-7.9127577424049397E-2"/>
    <n v="-4.9616773147135897E-2"/>
    <n v="-3.4366187363863002E-2"/>
    <n v="-7.7994856983423502E-3"/>
    <b v="0"/>
    <b v="0"/>
    <b v="0"/>
    <b v="0"/>
  </r>
  <r>
    <x v="93"/>
    <x v="3"/>
    <n v="2474814"/>
    <n v="0.939231097698212"/>
    <n v="0.01"/>
    <n v="2.4188005775542898"/>
    <n v="2.5752986495890959"/>
    <n v="2.82850877925944E-2"/>
    <n v="-3.4366187363863002E-2"/>
    <n v="-7.7994856983423502E-3"/>
    <n v="-3.3573565855622E-3"/>
    <n v="6.1027521733194798E-3"/>
    <b v="0"/>
    <b v="1"/>
    <b v="0"/>
    <b v="1"/>
  </r>
  <r>
    <x v="93"/>
    <x v="4"/>
    <n v="2516069"/>
    <n v="0.94796591997146595"/>
    <n v="4.0000000000000001E-3"/>
    <n v="2.4629655806063999"/>
    <n v="2.5981583606724343"/>
    <n v="1.8259050978382901E-2"/>
    <n v="-3.3573565855622E-3"/>
    <n v="6.1027521733194798E-3"/>
    <n v="-2.2687541663646699E-2"/>
    <n v="-1.4037671498953899E-3"/>
    <b v="0"/>
    <b v="0"/>
    <b v="0"/>
    <b v="1"/>
  </r>
  <r>
    <x v="93"/>
    <x v="5"/>
    <n v="2551070"/>
    <n v="0.94878286123275801"/>
    <n v="1E-3"/>
    <n v="2.3856334627941802"/>
    <n v="2.5144145834322043"/>
    <n v="-3.1397969350907197E-2"/>
    <n v="-2.2687541663646699E-2"/>
    <n v="-1.4037671498953899E-3"/>
    <n v="7.3940602093935E-3"/>
    <n v="1.28322662785649E-2"/>
    <b v="0"/>
    <b v="0"/>
    <b v="0"/>
    <b v="0"/>
  </r>
  <r>
    <x v="93"/>
    <x v="6"/>
    <n v="2582776"/>
    <n v="0.94810962677001998"/>
    <n v="1E-3"/>
    <n v="2.41073632573484"/>
    <n v="2.5426767724610446"/>
    <n v="1.0522514599229E-2"/>
    <n v="7.3940602093935E-3"/>
    <n v="1.27466674894094E-2"/>
    <n v="1.5759597197174999E-2"/>
    <n v="9.6328258514404002E-3"/>
    <b v="0"/>
    <b v="0"/>
    <b v="0"/>
    <b v="0"/>
  </r>
  <r>
    <x v="93"/>
    <x v="7"/>
    <n v="2612504"/>
    <n v="0.95102012157440197"/>
    <n v="1.4999999999999999E-2"/>
    <n v="2.4510094028994498"/>
    <n v="2.5772424234745257"/>
    <n v="1.6705716313598701E-2"/>
    <n v="1.5759597197174999E-2"/>
    <n v="9.6328258514404002E-3"/>
    <n v="8.1907630115746997E-3"/>
    <n v="6.18273951113219E-3"/>
    <b v="0"/>
    <b v="0"/>
    <b v="0"/>
    <b v="0"/>
  </r>
  <r>
    <x v="93"/>
    <x v="8"/>
    <n v="2636661"/>
    <n v="0.94566899538040206"/>
    <n v="0.02"/>
    <n v="2.44688642458964"/>
    <n v="2.58746605476408"/>
    <n v="-1.6821552397712799E-3"/>
    <n v="8.1907630115746997E-3"/>
    <n v="6.18273951113219E-3"/>
    <n v="3.06529124975203E-2"/>
    <n v="3.8946047425269999E-4"/>
    <b v="1"/>
    <b v="0"/>
    <b v="1"/>
    <b v="0"/>
  </r>
  <r>
    <x v="93"/>
    <x v="9"/>
    <n v="2662323"/>
    <n v="0.94779974222183205"/>
    <n v="2.5999999999999999E-2"/>
    <n v="2.4417452912910802"/>
    <n v="2.5762248948993602"/>
    <n v="-2.10109192110323E-3"/>
    <n v="3.06529124975203E-2"/>
    <n v="3.8946047425269999E-4"/>
    <n v="3.3418836891650999E-3"/>
    <n v="-9.8116733133792895E-3"/>
    <b v="1"/>
    <b v="0"/>
    <b v="1"/>
    <b v="0"/>
  </r>
  <r>
    <x v="93"/>
    <x v="10"/>
    <n v="2689186"/>
    <n v="0.94176459312438998"/>
    <n v="4.5999999999999999E-2"/>
    <n v="2.4607436997300498"/>
    <n v="2.6129074268616406"/>
    <n v="7.7806675850830096E-3"/>
    <n v="3.3418836891650999E-3"/>
    <n v="-9.8116733133792895E-3"/>
    <n v="5.7950215041639697E-4"/>
    <n v="-2.2100713104008999E-3"/>
    <b v="0"/>
    <b v="1"/>
    <b v="0"/>
    <b v="0"/>
  </r>
  <r>
    <x v="93"/>
    <x v="11"/>
    <n v="2702797"/>
    <n v="0.93675673007965099"/>
    <n v="2.5000000000000001E-2"/>
    <n v="2.4113900747096402"/>
    <n v="2.5741902857795358"/>
    <n v="-2.0056385809632898E-2"/>
    <n v="5.7950215041639697E-4"/>
    <n v="-2.2100713104008999E-3"/>
    <n v="-2.8520615398879999E-4"/>
    <n v="-9.42022912204259E-3"/>
    <b v="0"/>
    <b v="0"/>
    <b v="1"/>
    <b v="0"/>
  </r>
  <r>
    <x v="93"/>
    <x v="12"/>
    <n v="2702767"/>
    <n v="0.94610184431076005"/>
    <n v="0.03"/>
    <n v="2.40782277920809"/>
    <n v="2.5449932200081493"/>
    <n v="-1.47935232004311E-3"/>
    <n v="-2.8520615398879999E-4"/>
    <n v="-9.42022912204259E-3"/>
    <n v="1.0760692104697199E-2"/>
    <n v="-7.0405025035143003E-3"/>
    <b v="0"/>
    <b v="0"/>
    <b v="0"/>
    <b v="0"/>
  </r>
  <r>
    <x v="93"/>
    <x v="13"/>
    <n v="2702903"/>
    <n v="0.93474543094634999"/>
    <n v="5.0999999999999997E-2"/>
    <n v="2.42568337674465"/>
    <n v="2.595020308672547"/>
    <n v="7.4177375888242201E-3"/>
    <n v="1.0760692104697199E-2"/>
    <n v="-7.0405025035143003E-3"/>
    <n v="-9.9095978196710299E-3"/>
    <n v="-2.8758788248524E-2"/>
    <b v="0"/>
    <b v="1"/>
    <b v="0"/>
    <b v="0"/>
  </r>
  <r>
    <x v="93"/>
    <x v="14"/>
    <n v="2689193"/>
    <n v="0.92441964149475098"/>
    <n v="4.9000000000000002E-2"/>
    <n v="2.2859931217151299"/>
    <n v="2.472895446075515"/>
    <n v="-5.7588000300761499E-2"/>
    <n v="-9.9095978196710299E-3"/>
    <n v="-2.8758788248524E-2"/>
    <n v="0.10444541859626801"/>
    <n v="6.0855805873871099E-2"/>
    <b v="0"/>
    <b v="0"/>
    <b v="0"/>
    <b v="0"/>
  </r>
  <r>
    <x v="93"/>
    <x v="15"/>
    <n v="2680202"/>
    <n v="0.96570277214050304"/>
    <n v="3.6999999999999998E-2"/>
    <n v="2.3900012915375499"/>
    <n v="2.4748829147917379"/>
    <n v="4.5498023959227897E-2"/>
    <n v="0.10444541859626801"/>
    <n v="6.0855805873871099E-2"/>
    <n v="-1.4041447937488599E-2"/>
    <n v="1.8062058836221698E-2"/>
    <b v="0"/>
    <b v="0"/>
    <b v="0"/>
    <b v="0"/>
  </r>
  <r>
    <x v="93"/>
    <x v="16"/>
    <n v="2728130"/>
    <n v="0.94959282875061002"/>
    <n v="3.4000000000000002E-2"/>
    <n v="2.4030469521923399"/>
    <n v="2.5306077293718148"/>
    <n v="5.4584324707168102E-3"/>
    <n v="-1.4041447937488599E-2"/>
    <n v="1.8540762364864301E-2"/>
    <n v="-2.53820985406637E-2"/>
    <n v="-5.8231707662343901E-3"/>
    <b v="0"/>
    <b v="0"/>
    <b v="0"/>
    <b v="1"/>
  </r>
  <r>
    <x v="94"/>
    <x v="0"/>
    <n v="131069.8984375"/>
    <n v="0.94766706228256203"/>
    <n v="0"/>
    <n v="2.2151907310793399"/>
    <n v="2.3375200207378799"/>
    <n v="-3.76233393447837E-2"/>
    <n v="8.1821956038474909E-3"/>
    <n v="1.8191561102866901E-3"/>
    <n v="1.14422432184219E-2"/>
    <n v="1.2363999150693399E-2"/>
    <b v="1"/>
    <b v="0"/>
    <b v="1"/>
    <b v="0"/>
  </r>
  <r>
    <x v="94"/>
    <x v="1"/>
    <n v="134350.09375"/>
    <n v="0.94638067483902"/>
    <n v="3.5000000000000003E-2"/>
    <n v="2.1571976064008598"/>
    <n v="2.2794184874578094"/>
    <n v="-2.6179743290196799E-2"/>
    <n v="1.14422432184219E-2"/>
    <n v="1.2363999150693399E-2"/>
    <n v="-2.92056112661957E-2"/>
    <n v="3.0519301071763299E-4"/>
    <b v="1"/>
    <b v="0"/>
    <b v="1"/>
    <b v="0"/>
  </r>
  <r>
    <x v="94"/>
    <x v="2"/>
    <n v="138037.90625"/>
    <n v="0.91916674375534102"/>
    <n v="5.8999999999999997E-2"/>
    <n v="2.1224548528671101"/>
    <n v="2.3091075338470404"/>
    <n v="-1.6105503469250399E-2"/>
    <n v="-2.92056112661957E-2"/>
    <n v="3.0519301071763299E-4"/>
    <n v="-2.4323672711849199E-2"/>
    <n v="2.2430289536714502E-3"/>
    <b v="1"/>
    <b v="0"/>
    <b v="0"/>
    <b v="0"/>
  </r>
  <r>
    <x v="94"/>
    <x v="3"/>
    <n v="141118.390625"/>
    <n v="0.92240583896636996"/>
    <n v="1.0999999999999999E-2"/>
    <n v="2.4687257049968099"/>
    <n v="2.6763986097087327"/>
    <n v="0.16314639233053499"/>
    <n v="-2.4323672711849199E-2"/>
    <n v="2.2430289536714502E-3"/>
    <n v="-1.6763854826800501E-2"/>
    <n v="-7.3037460679188397E-3"/>
    <b v="0"/>
    <b v="0"/>
    <b v="0"/>
    <b v="1"/>
  </r>
  <r>
    <x v="94"/>
    <x v="4"/>
    <n v="142230.109375"/>
    <n v="0.92834526300430298"/>
    <n v="0.03"/>
    <n v="2.2138651848911799"/>
    <n v="2.3847433418539654"/>
    <n v="-0.103235656998988"/>
    <n v="-1.6763854826800501E-2"/>
    <n v="-7.3037460679188397E-3"/>
    <n v="-1.8557150259613998E-2"/>
    <n v="2.7266242541373002E-3"/>
    <b v="0"/>
    <b v="0"/>
    <b v="0"/>
    <b v="0"/>
  </r>
  <r>
    <x v="94"/>
    <x v="5"/>
    <n v="145703.796875"/>
    <n v="0.93219405412673995"/>
    <n v="2E-3"/>
    <n v="2.1879014364124698"/>
    <n v="2.3470450457464573"/>
    <n v="-1.1727791130147699E-2"/>
    <n v="-1.8557150259613998E-2"/>
    <n v="2.7266242541373002E-3"/>
    <n v="1.14068628251552E-2"/>
    <n v="1.6845068894326701E-2"/>
    <b v="1"/>
    <b v="0"/>
    <b v="0"/>
    <b v="0"/>
  </r>
  <r>
    <x v="94"/>
    <x v="6"/>
    <n v="151640.390625"/>
    <n v="0.93288445472717296"/>
    <n v="1E-3"/>
    <n v="2.2491707884783199"/>
    <n v="2.4109853873983802"/>
    <n v="2.80037075922011E-2"/>
    <n v="1.14068628251552E-2"/>
    <n v="1.67594701051712E-2"/>
    <n v="1.33091347664595E-2"/>
    <n v="7.1823634207249E-3"/>
    <b v="0"/>
    <b v="0"/>
    <b v="0"/>
    <b v="0"/>
  </r>
  <r>
    <x v="94"/>
    <x v="7"/>
    <n v="155932.09375"/>
    <n v="0.92048758268356301"/>
    <n v="2.7E-2"/>
    <n v="2.4800041930918799"/>
    <n v="2.6942288410472055"/>
    <n v="0.102630447539169"/>
    <n v="1.33091347664595E-2"/>
    <n v="7.1823634207249E-3"/>
    <n v="2.0019239574670701E-2"/>
    <n v="1.80112160742282E-2"/>
    <b v="0"/>
    <b v="0"/>
    <b v="0"/>
    <b v="0"/>
  </r>
  <r>
    <x v="94"/>
    <x v="8"/>
    <n v="160009.703125"/>
    <n v="0.89648699760437001"/>
    <n v="0.18"/>
    <n v="2.4805529650556801"/>
    <n v="2.7669703762400539"/>
    <n v="2.21278643531305E-4"/>
    <n v="2.0019239574670701E-2"/>
    <n v="1.80112160742282E-2"/>
    <n v="-0.116148648619652"/>
    <n v="-0.14641210064291901"/>
    <b v="0"/>
    <b v="0"/>
    <b v="0"/>
    <b v="0"/>
  </r>
  <r>
    <x v="94"/>
    <x v="9"/>
    <n v="163914"/>
    <n v="0.85973072052001998"/>
    <n v="8.1000000000000003E-2"/>
    <n v="2.0976157567380702"/>
    <n v="2.4398520451488559"/>
    <n v="-0.154375743518544"/>
    <n v="-0.116148648619652"/>
    <n v="-0.14641210064291901"/>
    <n v="-3.0314009368419499E-2"/>
    <n v="-4.3467566370963898E-2"/>
    <b v="0"/>
    <b v="0"/>
    <b v="0"/>
    <b v="0"/>
  </r>
  <r>
    <x v="94"/>
    <x v="10"/>
    <n v="164606"/>
    <n v="0.87454009056091297"/>
    <n v="4.7E-2"/>
    <n v="2.33346337657271"/>
    <n v="2.668217731534837"/>
    <n v="0.112436045103603"/>
    <n v="-3.0314009368419499E-2"/>
    <n v="-4.3467566370963898E-2"/>
    <n v="0.210086209416389"/>
    <n v="0.20729663595557099"/>
    <b v="0"/>
    <b v="1"/>
    <b v="0"/>
    <b v="1"/>
  </r>
  <r>
    <x v="94"/>
    <x v="11"/>
    <n v="166640.5"/>
    <n v="0.941639184951782"/>
    <n v="2E-3"/>
    <n v="2.5706822531422899"/>
    <n v="2.7300077293129275"/>
    <n v="0.101659567041502"/>
    <n v="0.210086209416389"/>
    <n v="0.20729663595557099"/>
    <n v="9.0648491144179999E-2"/>
    <n v="8.1513468176126203E-2"/>
    <b v="0"/>
    <b v="0"/>
    <b v="0"/>
    <b v="0"/>
  </r>
  <r>
    <x v="94"/>
    <x v="12"/>
    <n v="172262.09375"/>
    <n v="0.94172054529190097"/>
    <n v="0"/>
    <n v="2.2172777550184302"/>
    <n v="2.3544965288308011"/>
    <n v="-0.137474982640065"/>
    <n v="9.0648491144179999E-2"/>
    <n v="8.1513468176126203E-2"/>
    <n v="-7.22968660593033E-2"/>
    <n v="-9.0098060667514801E-2"/>
    <b v="1"/>
    <b v="0"/>
    <b v="1"/>
    <b v="0"/>
  </r>
  <r>
    <x v="94"/>
    <x v="13"/>
    <n v="174837.09375"/>
    <n v="0.87827080488205"/>
    <n v="3.5000000000000003E-2"/>
    <n v="2.2284747318304299"/>
    <n v="2.5373435157391002"/>
    <n v="5.0498755903084398E-3"/>
    <n v="-7.22968660593033E-2"/>
    <n v="-9.0098060667514801E-2"/>
    <n v="-0.24208115589618701"/>
    <n v="-0.26093034632503997"/>
    <b v="0"/>
    <b v="1"/>
    <b v="0"/>
    <b v="1"/>
  </r>
  <r>
    <x v="94"/>
    <x v="14"/>
    <n v="175447.203125"/>
    <n v="0.72981554269790605"/>
    <n v="0.13400000000000001"/>
    <n v="2.5977244620331401"/>
    <n v="3.5594260604948795"/>
    <n v="0.16569617098570799"/>
    <n v="-0.24208115589618701"/>
    <n v="-0.26093034632503997"/>
    <n v="-2.9166683301329599E-2"/>
    <n v="-7.2756296023726505E-2"/>
    <b v="0"/>
    <b v="1"/>
    <b v="0"/>
    <b v="1"/>
  </r>
  <r>
    <x v="94"/>
    <x v="15"/>
    <n v="174833.6875"/>
    <n v="0.83951544761657704"/>
    <n v="3.5999999999999997E-2"/>
    <n v="1.90302678759755"/>
    <n v="2.266815688740845"/>
    <n v="-0.26742546586017601"/>
    <n v="-2.9166683301329599E-2"/>
    <n v="-7.2756296023726505E-2"/>
    <n v="9.8206905722617893E-2"/>
    <n v="0.13031041249632799"/>
    <b v="0"/>
    <b v="0"/>
    <b v="0"/>
    <b v="0"/>
  </r>
  <r>
    <x v="94"/>
    <x v="16"/>
    <n v="179305.09375"/>
    <n v="0.89400905370712302"/>
    <n v="3.5000000000000003E-2"/>
    <n v="2.3363559764073298"/>
    <n v="2.6133471095391378"/>
    <n v="0.227705249150397"/>
    <n v="9.8206905722617893E-2"/>
    <n v="0.13078911602497001"/>
    <n v="4.6832719087600602E-2"/>
    <n v="6.6391646862030002E-2"/>
    <b v="0"/>
    <b v="0"/>
    <b v="0"/>
    <b v="0"/>
  </r>
  <r>
    <x v="95"/>
    <x v="0"/>
    <n v="1525467"/>
    <n v="0.94408583641052202"/>
    <n v="2E-3"/>
    <n v="2.0693687993985002"/>
    <n v="2.1919286568966863"/>
    <n v="-1.3485474920021299E-2"/>
    <n v="-1.6896665439009698E-2"/>
    <n v="-2.3259704932570499E-2"/>
    <n v="-1.4401541925966699E-2"/>
    <n v="-1.34797859936952E-2"/>
    <b v="0"/>
    <b v="0"/>
    <b v="0"/>
    <b v="0"/>
  </r>
  <r>
    <x v="95"/>
    <x v="1"/>
    <n v="1532417"/>
    <n v="0.94820529222488403"/>
    <n v="3.0000000000000001E-3"/>
    <n v="2.1373919407217601"/>
    <n v="2.2541447071093113"/>
    <n v="3.28714443471999E-2"/>
    <n v="-1.4401541925966699E-2"/>
    <n v="-1.34797859936952E-2"/>
    <n v="-2.6192217424511902E-2"/>
    <n v="3.3185868524015002E-3"/>
    <b v="0"/>
    <b v="1"/>
    <b v="0"/>
    <b v="1"/>
  </r>
  <r>
    <x v="95"/>
    <x v="2"/>
    <n v="1541143"/>
    <n v="0.94877237081527699"/>
    <n v="7.0000000000000001E-3"/>
    <n v="2.1202927233396198"/>
    <n v="2.2347749455621893"/>
    <n v="-8.0000382973137094E-3"/>
    <n v="-2.6192217424511902E-2"/>
    <n v="3.3185868524015002E-3"/>
    <n v="-2.7922128051519401E-2"/>
    <n v="-1.35542638599875E-3"/>
    <b v="1"/>
    <b v="0"/>
    <b v="0"/>
    <b v="0"/>
  </r>
  <r>
    <x v="95"/>
    <x v="3"/>
    <n v="1551467"/>
    <n v="0.94191324710845903"/>
    <n v="8.0000000000000002E-3"/>
    <n v="2.1602350878275001"/>
    <n v="2.2934544072494121"/>
    <n v="1.8838136851675999E-2"/>
    <n v="-2.7922128051519401E-2"/>
    <n v="-1.35542638599875E-3"/>
    <n v="-3.0600866474211199E-2"/>
    <n v="-2.11407577153295E-2"/>
    <b v="0"/>
    <b v="1"/>
    <b v="0"/>
    <b v="1"/>
  </r>
  <r>
    <x v="95"/>
    <x v="4"/>
    <n v="1557787"/>
    <n v="0.94549483060836803"/>
    <n v="1E-3"/>
    <n v="2.10467498364119"/>
    <n v="2.226003691936592"/>
    <n v="-2.5719471227638801E-2"/>
    <n v="-3.0600866474211199E-2"/>
    <n v="-2.11407577153295E-2"/>
    <n v="-2.5437794037163199E-2"/>
    <n v="-4.1540195234119597E-3"/>
    <b v="0"/>
    <b v="0"/>
    <b v="0"/>
    <b v="0"/>
  </r>
  <r>
    <x v="95"/>
    <x v="5"/>
    <n v="1562300"/>
    <n v="0.94907402992248502"/>
    <n v="7.0000000000000001E-3"/>
    <n v="2.1046080627787598"/>
    <n v="2.2175383546746636"/>
    <n v="-3.1796292990563301E-5"/>
    <n v="-2.5437794037163199E-2"/>
    <n v="-4.1540195234119597E-3"/>
    <n v="-8.9094576463102995E-3"/>
    <n v="-3.4712515771388999E-3"/>
    <b v="0"/>
    <b v="0"/>
    <b v="0"/>
    <b v="0"/>
  </r>
  <r>
    <x v="95"/>
    <x v="6"/>
    <n v="1567789"/>
    <n v="0.94992554187774703"/>
    <n v="1.0999999999999999E-2"/>
    <n v="2.1652338411347101"/>
    <n v="2.2793721672696847"/>
    <n v="2.8806208352119E-2"/>
    <n v="-8.9094576463102995E-3"/>
    <n v="-3.5568503662943901E-3"/>
    <n v="1.0025395452975901E-3"/>
    <n v="-5.1242318004369996E-3"/>
    <b v="0"/>
    <b v="1"/>
    <b v="0"/>
    <b v="1"/>
  </r>
  <r>
    <x v="95"/>
    <x v="7"/>
    <n v="1571478"/>
    <n v="0.94738411903381303"/>
    <n v="3.0000000000000001E-3"/>
    <n v="2.1629974219048602"/>
    <n v="2.2831261137359857"/>
    <n v="-1.03287653618195E-3"/>
    <n v="1.0025395452975901E-3"/>
    <n v="-5.1242318004369996E-3"/>
    <n v="-9.972147494555E-4"/>
    <n v="-3.0052382498980002E-3"/>
    <b v="0"/>
    <b v="0"/>
    <b v="1"/>
    <b v="0"/>
  </r>
  <r>
    <x v="95"/>
    <x v="8"/>
    <n v="1574201"/>
    <n v="0.94715201854705799"/>
    <n v="1.2E-2"/>
    <n v="2.1280959551378502"/>
    <n v="2.2468367415849189"/>
    <n v="-1.6135695037615101E-2"/>
    <n v="-9.972147494555E-4"/>
    <n v="-3.0052382498980002E-3"/>
    <n v="2.06751843690871E-2"/>
    <n v="-9.5882676541804903E-3"/>
    <b v="0"/>
    <b v="0"/>
    <b v="0"/>
    <b v="0"/>
  </r>
  <r>
    <x v="95"/>
    <x v="9"/>
    <n v="1574763"/>
    <n v="0.94751662015914895"/>
    <n v="1.7000000000000001E-2"/>
    <n v="2.1705166045836202"/>
    <n v="2.2907425140669839"/>
    <n v="1.9933616876320299E-2"/>
    <n v="2.06751843690871E-2"/>
    <n v="-9.5882676541804903E-3"/>
    <n v="2.5821023508906002E-3"/>
    <n v="-1.05714546516538E-2"/>
    <b v="0"/>
    <b v="1"/>
    <b v="0"/>
    <b v="0"/>
  </r>
  <r>
    <x v="95"/>
    <x v="10"/>
    <n v="1573946"/>
    <n v="0.94557940959930398"/>
    <n v="2.7E-2"/>
    <n v="2.1090629739164299"/>
    <n v="2.2304451138695591"/>
    <n v="-2.8312905110890099E-2"/>
    <n v="2.5821023508906002E-3"/>
    <n v="-1.05714546516538E-2"/>
    <n v="-1.25742753073573E-2"/>
    <n v="-1.53638487681746E-2"/>
    <b v="0"/>
    <b v="0"/>
    <b v="1"/>
    <b v="0"/>
  </r>
  <r>
    <x v="95"/>
    <x v="11"/>
    <n v="1572737"/>
    <n v="0.93892562389373802"/>
    <n v="3.3000000000000002E-2"/>
    <n v="2.0548197189081701"/>
    <n v="2.1884797545377483"/>
    <n v="-2.5719125355244302E-2"/>
    <n v="-1.25742753073573E-2"/>
    <n v="-1.53638487681746E-2"/>
    <n v="3.0115341991185998E-3"/>
    <n v="-6.1234887689351897E-3"/>
    <b v="0"/>
    <b v="0"/>
    <b v="0"/>
    <b v="0"/>
  </r>
  <r>
    <x v="95"/>
    <x v="12"/>
    <n v="1572873"/>
    <n v="0.94498825073242199"/>
    <n v="2.5999999999999999E-2"/>
    <n v="2.12843786802111"/>
    <n v="2.2523432078350649"/>
    <n v="3.5827059880494401E-2"/>
    <n v="3.0115341991185998E-3"/>
    <n v="-6.1234887689351897E-3"/>
    <n v="9.1325726062059E-3"/>
    <n v="-8.6686220020055996E-3"/>
    <b v="0"/>
    <b v="1"/>
    <b v="0"/>
    <b v="0"/>
  </r>
  <r>
    <x v="95"/>
    <x v="13"/>
    <n v="1574277"/>
    <n v="0.94816190004348799"/>
    <n v="2.4E-2"/>
    <n v="2.0566872858626701"/>
    <n v="2.1691309108374202"/>
    <n v="-3.37104424030727E-2"/>
    <n v="9.1325726062059E-3"/>
    <n v="-8.6686220020055996E-3"/>
    <n v="3.0348152965306899E-3"/>
    <n v="-1.5814375132322301E-2"/>
    <b v="0"/>
    <b v="0"/>
    <b v="1"/>
    <b v="0"/>
  </r>
  <r>
    <x v="95"/>
    <x v="14"/>
    <n v="1571782"/>
    <n v="0.95407372713089"/>
    <n v="2.1999999999999999E-2"/>
    <n v="1.95529063739592"/>
    <n v="2.0494125158187826"/>
    <n v="-4.9300955553007002E-2"/>
    <n v="3.0348152965306899E-3"/>
    <n v="-1.5814375132322301E-2"/>
    <n v="1.00445433259009E-2"/>
    <n v="-3.3545069396495902E-2"/>
    <b v="0"/>
    <b v="0"/>
    <b v="1"/>
    <b v="0"/>
  </r>
  <r>
    <x v="95"/>
    <x v="15"/>
    <n v="1563414"/>
    <n v="0.96543294191360496"/>
    <n v="1.7999999999999999E-2"/>
    <n v="2.0748881447393099"/>
    <n v="2.1491789379246065"/>
    <n v="6.1166102397272597E-2"/>
    <n v="1.00445433259009E-2"/>
    <n v="-3.3545069396495902E-2"/>
    <n v="-3.67234814167023E-2"/>
    <n v="-4.6199746429919902E-3"/>
    <b v="0"/>
    <b v="1"/>
    <b v="0"/>
    <b v="0"/>
  </r>
  <r>
    <x v="95"/>
    <x v="16"/>
    <n v="1564803"/>
    <n v="0.95859551429748502"/>
    <n v="2.1999999999999999E-2"/>
    <n v="1.9790809112333001"/>
    <n v="2.0645630839235531"/>
    <n v="-4.6174649823371702E-2"/>
    <n v="-3.67234814167023E-2"/>
    <n v="-4.1412711143493999E-3"/>
    <n v="-1.96808658391237E-2"/>
    <n v="-1.21938064694401E-4"/>
    <b v="0"/>
    <b v="0"/>
    <b v="0"/>
    <b v="0"/>
  </r>
  <r>
    <x v="96"/>
    <x v="0"/>
    <n v="3242996"/>
    <n v="0.93312543630599998"/>
    <n v="2E-3"/>
    <n v="2.04299075533073"/>
    <n v="2.1894063497169225"/>
    <n v="-3.5928447550390097E-2"/>
    <n v="-3.1334109306335001E-3"/>
    <n v="-9.4964504241942908E-3"/>
    <n v="-4.1366283744573998E-3"/>
    <n v="-3.2148724421859E-3"/>
    <b v="0"/>
    <b v="0"/>
    <b v="0"/>
    <b v="0"/>
  </r>
  <r>
    <x v="96"/>
    <x v="1"/>
    <n v="3277501"/>
    <n v="0.936734318733215"/>
    <n v="5.0000000000000001E-3"/>
    <n v="2.0863361759163901"/>
    <n v="2.2272443041670873"/>
    <n v="2.1216650380116001E-2"/>
    <n v="-4.1366283744573998E-3"/>
    <n v="-3.2148724421859E-3"/>
    <n v="-2.3556448809802399E-2"/>
    <n v="5.9543554671109E-3"/>
    <b v="0"/>
    <b v="1"/>
    <b v="0"/>
    <b v="1"/>
  </r>
  <r>
    <x v="96"/>
    <x v="2"/>
    <n v="3308707"/>
    <n v="0.94062703847885099"/>
    <n v="7.0000000000000001E-3"/>
    <n v="2.0505861184632801"/>
    <n v="2.1800203848907169"/>
    <n v="-1.7135329323140099E-2"/>
    <n v="-2.3556448809802399E-2"/>
    <n v="5.9543554671109E-3"/>
    <n v="-2.3814410626888299E-2"/>
    <n v="2.7522910386323499E-3"/>
    <b v="1"/>
    <b v="0"/>
    <b v="0"/>
    <b v="0"/>
  </r>
  <r>
    <x v="96"/>
    <x v="3"/>
    <n v="3337156"/>
    <n v="0.93684822320938099"/>
    <n v="3.0000000000000001E-3"/>
    <n v="2.1076704638474002"/>
    <n v="2.249745915754751"/>
    <n v="2.7838062917786899E-2"/>
    <n v="-2.3814410626888299E-2"/>
    <n v="2.7522910386323499E-3"/>
    <n v="-2.7021255195140998E-3"/>
    <n v="6.75798323936758E-3"/>
    <b v="0"/>
    <b v="0"/>
    <b v="0"/>
    <b v="1"/>
  </r>
  <r>
    <x v="96"/>
    <x v="4"/>
    <n v="3365686"/>
    <n v="0.94344407320022605"/>
    <n v="0"/>
    <n v="2.1782705099778199"/>
    <n v="2.30884964128184"/>
    <n v="3.3496719407238397E-2"/>
    <n v="-2.7021255195140998E-3"/>
    <n v="6.75798323936758E-3"/>
    <n v="-2.3996791213750798E-2"/>
    <n v="-2.7130166999995301E-3"/>
    <b v="0"/>
    <b v="0"/>
    <b v="0"/>
    <b v="1"/>
  </r>
  <r>
    <x v="96"/>
    <x v="5"/>
    <n v="3402280"/>
    <n v="0.94645088911056496"/>
    <n v="5.0000000000000001E-3"/>
    <n v="2.1863111441291099"/>
    <n v="2.310010132891009"/>
    <n v="3.6912927547116899E-3"/>
    <n v="-2.3996791213750798E-2"/>
    <n v="-2.7130166999995301E-3"/>
    <n v="-7.5514300763607003E-3"/>
    <n v="-2.1132240071892999E-3"/>
    <b v="0"/>
    <b v="1"/>
    <b v="0"/>
    <b v="1"/>
  </r>
  <r>
    <x v="96"/>
    <x v="6"/>
    <n v="3439590"/>
    <n v="0.95019388198852495"/>
    <n v="6.0000000000000001E-3"/>
    <n v="2.2156790863779698"/>
    <n v="2.3318178830420289"/>
    <n v="1.3432645361444701E-2"/>
    <n v="-7.5514300763607003E-3"/>
    <n v="-2.1988227963448E-3"/>
    <n v="-7.6161101460499593E-5"/>
    <n v="-6.2029324471950999E-3"/>
    <b v="0"/>
    <b v="1"/>
    <b v="0"/>
    <b v="1"/>
  </r>
  <r>
    <x v="96"/>
    <x v="7"/>
    <n v="3477883"/>
    <n v="0.94854950904846203"/>
    <n v="1.7000000000000001E-2"/>
    <n v="2.1647429453359801"/>
    <n v="2.2821612627342387"/>
    <n v="-2.29889523961943E-2"/>
    <n v="-7.6161101460499593E-5"/>
    <n v="-6.2029324471950999E-3"/>
    <n v="-3.3571312054991999E-3"/>
    <n v="-5.3651547059416996E-3"/>
    <b v="0"/>
    <b v="0"/>
    <b v="0"/>
    <b v="0"/>
  </r>
  <r>
    <x v="96"/>
    <x v="8"/>
    <n v="3515398"/>
    <n v="0.94940078258514404"/>
    <n v="1.4999999999999999E-2"/>
    <n v="2.1819554147838298"/>
    <n v="2.2982448032563614"/>
    <n v="7.9512763789952399E-3"/>
    <n v="-3.3571312054991999E-3"/>
    <n v="-5.3651547059416996E-3"/>
    <n v="3.0145326793193799E-2"/>
    <n v="-1.18125230073897E-4"/>
    <b v="0"/>
    <b v="1"/>
    <b v="0"/>
    <b v="1"/>
  </r>
  <r>
    <x v="96"/>
    <x v="9"/>
    <n v="3548349"/>
    <n v="0.94921070337295499"/>
    <n v="1.7999999999999999E-2"/>
    <n v="2.2102666672934101"/>
    <n v="2.3285311253227334"/>
    <n v="1.29751746152852E-2"/>
    <n v="3.0145326793193799E-2"/>
    <n v="-1.18125230073897E-4"/>
    <n v="1.76202638894319E-2"/>
    <n v="4.4667068868875903E-3"/>
    <b v="0"/>
    <b v="1"/>
    <b v="0"/>
    <b v="0"/>
  </r>
  <r>
    <x v="96"/>
    <x v="10"/>
    <n v="3587930"/>
    <n v="0.95112669467926003"/>
    <n v="0.02"/>
    <n v="2.1418948446729198"/>
    <n v="2.2519553458597983"/>
    <n v="-3.0933743711667499E-2"/>
    <n v="1.76202638894319E-2"/>
    <n v="4.4667068868875903E-3"/>
    <n v="1.2159866929054301E-2"/>
    <n v="9.3702934682369995E-3"/>
    <b v="1"/>
    <b v="0"/>
    <b v="1"/>
    <b v="0"/>
  </r>
  <r>
    <x v="96"/>
    <x v="11"/>
    <n v="3627962"/>
    <n v="0.95341134071350098"/>
    <n v="1.6E-2"/>
    <n v="2.1688119714727199"/>
    <n v="2.2747914555428448"/>
    <n v="1.25669693200616E-2"/>
    <n v="1.2159866929054301E-2"/>
    <n v="9.3702934682369995E-3"/>
    <n v="4.3866338431834996E-3"/>
    <n v="-4.7483891248702899E-3"/>
    <b v="0"/>
    <b v="0"/>
    <b v="0"/>
    <b v="0"/>
  </r>
  <r>
    <x v="96"/>
    <x v="12"/>
    <n v="3663897"/>
    <n v="0.950372815132141"/>
    <n v="2.7E-2"/>
    <n v="2.1459173753985801"/>
    <n v="2.2579742825453284"/>
    <n v="-1.0556284442947801E-2"/>
    <n v="4.3866338431834996E-3"/>
    <n v="-4.7483891248702899E-3"/>
    <n v="1.3593669205904E-2"/>
    <n v="-4.2075254023075E-3"/>
    <b v="0"/>
    <b v="0"/>
    <b v="1"/>
    <b v="0"/>
  </r>
  <r>
    <x v="96"/>
    <x v="13"/>
    <n v="3693365"/>
    <n v="0.94899547100067105"/>
    <n v="2.5000000000000001E-2"/>
    <n v="2.0669670569852499"/>
    <n v="2.1780578729271811"/>
    <n v="-3.6790940470701403E-2"/>
    <n v="1.3593669205904E-2"/>
    <n v="-4.2075254023075E-3"/>
    <n v="-1.52416153699159E-2"/>
    <n v="-3.40908057987689E-2"/>
    <b v="0"/>
    <b v="0"/>
    <b v="1"/>
    <b v="0"/>
  </r>
  <r>
    <x v="96"/>
    <x v="14"/>
    <n v="3709596"/>
    <n v="0.92833119630813599"/>
    <n v="4.2000000000000003E-2"/>
    <n v="1.9977790915046201"/>
    <n v="2.1520111566319784"/>
    <n v="-3.3473182480974098E-2"/>
    <n v="-1.52416153699159E-2"/>
    <n v="-3.40908057987689E-2"/>
    <n v="-1.03329920470714E-2"/>
    <n v="-5.3922604769468398E-2"/>
    <b v="0"/>
    <b v="0"/>
    <b v="0"/>
    <b v="0"/>
  </r>
  <r>
    <x v="96"/>
    <x v="15"/>
    <n v="3710896"/>
    <n v="0.93860721588134799"/>
    <n v="4.4999999999999998E-2"/>
    <n v="2.0502245893378501"/>
    <n v="2.1843264729354317"/>
    <n v="2.6251900450979401E-2"/>
    <n v="-1.03329920470714E-2"/>
    <n v="-5.3922604769468398E-2"/>
    <n v="-5.3594440147280702E-2"/>
    <n v="-2.1490933373570401E-2"/>
    <b v="0"/>
    <b v="1"/>
    <b v="0"/>
    <b v="1"/>
  </r>
  <r>
    <x v="96"/>
    <x v="16"/>
    <n v="3717635"/>
    <n v="0.92753314971923795"/>
    <n v="4.2999999999999997E-2"/>
    <n v="2.0114736283454202"/>
    <n v="2.1686272118191017"/>
    <n v="-1.8900837105337E-2"/>
    <n v="-5.3594440147280702E-2"/>
    <n v="-2.1012229844927802E-2"/>
    <n v="-3.30149268582463E-2"/>
    <n v="-1.3455999083817E-2"/>
    <b v="0"/>
    <b v="0"/>
    <b v="0"/>
    <b v="0"/>
  </r>
  <r>
    <x v="97"/>
    <x v="0"/>
    <n v="403593"/>
    <n v="0.90403759479522705"/>
    <n v="0"/>
    <n v="2.4704503861089999"/>
    <n v="2.7326854550430282"/>
    <n v="8.25201775931063E-2"/>
    <n v="3.0203895300626799E-2"/>
    <n v="2.3840855807065998E-2"/>
    <n v="-6.1853946149349002E-3"/>
    <n v="-5.2636386826633999E-3"/>
    <b v="0"/>
    <b v="0"/>
    <b v="0"/>
    <b v="0"/>
  </r>
  <r>
    <x v="97"/>
    <x v="1"/>
    <n v="406582.625"/>
    <n v="0.876131951808929"/>
    <n v="0.01"/>
    <n v="2.4413879899316702"/>
    <n v="2.7865528530160257"/>
    <n v="-1.1764007219387199E-2"/>
    <n v="-6.1853946149349002E-3"/>
    <n v="-5.2636386826633999E-3"/>
    <n v="-5.19530608430505E-2"/>
    <n v="-2.2442256566136999E-2"/>
    <b v="0"/>
    <b v="0"/>
    <b v="0"/>
    <b v="0"/>
  </r>
  <r>
    <x v="97"/>
    <x v="2"/>
    <n v="409912.90625"/>
    <n v="0.86982709169387795"/>
    <n v="1.7999999999999999E-2"/>
    <n v="2.3210318018361802"/>
    <n v="2.668382974041732"/>
    <n v="-4.9298263361595998E-2"/>
    <n v="-5.19530608430505E-2"/>
    <n v="-2.2442256566136999E-2"/>
    <n v="-2.63182452917099E-2"/>
    <n v="2.4845637381075002E-4"/>
    <b v="0"/>
    <b v="0"/>
    <b v="0"/>
    <b v="0"/>
  </r>
  <r>
    <x v="97"/>
    <x v="3"/>
    <n v="412365.5"/>
    <n v="0.87720870971679699"/>
    <n v="4.2000000000000003E-2"/>
    <n v="2.35979304723767"/>
    <n v="2.6901158425564642"/>
    <n v="1.6700006165715899E-2"/>
    <n v="-2.63182452917099E-2"/>
    <n v="2.4845637381075002E-4"/>
    <n v="-1.02737976089119E-2"/>
    <n v="-8.1368885003030604E-4"/>
    <b v="0"/>
    <b v="0"/>
    <b v="0"/>
    <b v="1"/>
  </r>
  <r>
    <x v="97"/>
    <x v="4"/>
    <n v="413384.5"/>
    <n v="0.88809978961944602"/>
    <n v="2.5999999999999999E-2"/>
    <n v="2.2954179184656001"/>
    <n v="2.5846396376798997"/>
    <n v="-2.72799891699924E-2"/>
    <n v="-1.02737976089119E-2"/>
    <n v="-8.1368885003030604E-4"/>
    <n v="-2.13888952210546E-2"/>
    <n v="-1.05120707303302E-4"/>
    <b v="0"/>
    <b v="0"/>
    <b v="0"/>
    <b v="0"/>
  </r>
  <r>
    <x v="97"/>
    <x v="5"/>
    <n v="413551.59375"/>
    <n v="0.88521033525466897"/>
    <n v="2.7E-2"/>
    <n v="2.3891484351261001"/>
    <n v="2.6989612976431849"/>
    <n v="4.0833747922969399E-2"/>
    <n v="-2.13888952210546E-2"/>
    <n v="-1.05120707303302E-4"/>
    <n v="-9.8210389763117006E-3"/>
    <n v="-4.3828329071403001E-3"/>
    <b v="0"/>
    <b v="1"/>
    <b v="0"/>
    <b v="1"/>
  </r>
  <r>
    <x v="97"/>
    <x v="6"/>
    <n v="414382.59375"/>
    <n v="0.88495135307312001"/>
    <n v="2.9000000000000001E-2"/>
    <n v="2.38099614372724"/>
    <n v="2.6905390171548875"/>
    <n v="-3.4122163692275401E-3"/>
    <n v="-9.8210389763117006E-3"/>
    <n v="-4.4684316962957903E-3"/>
    <n v="-2.4222204089164902E-3"/>
    <n v="-8.5489917546510905E-3"/>
    <b v="0"/>
    <b v="0"/>
    <b v="0"/>
    <b v="0"/>
  </r>
  <r>
    <x v="97"/>
    <x v="7"/>
    <n v="414664.09375"/>
    <n v="0.90881830453872703"/>
    <n v="3.0000000000000001E-3"/>
    <n v="2.3300438596491202"/>
    <n v="2.5638170446310933"/>
    <n v="-2.13995659809702E-2"/>
    <n v="-2.4222204089164902E-3"/>
    <n v="-8.5489917546510905E-3"/>
    <n v="8.2927335202694005E-3"/>
    <n v="6.2847100198268899E-3"/>
    <b v="0"/>
    <b v="0"/>
    <b v="0"/>
    <b v="0"/>
  </r>
  <r>
    <x v="97"/>
    <x v="8"/>
    <n v="415172.90625"/>
    <n v="0.90852689743042003"/>
    <n v="8.9999999999999993E-3"/>
    <n v="2.41479352304302"/>
    <n v="2.6579218841762007"/>
    <n v="3.6372561418933698E-2"/>
    <n v="8.2927335202694005E-3"/>
    <n v="6.2847100198268899E-3"/>
    <n v="3.99304685890675E-2"/>
    <n v="9.6670165657997999E-3"/>
    <b v="0"/>
    <b v="0"/>
    <b v="0"/>
    <b v="0"/>
  </r>
  <r>
    <x v="97"/>
    <x v="9"/>
    <n v="415711.5"/>
    <n v="0.91028964519500699"/>
    <n v="2E-3"/>
    <n v="2.2457082951120402"/>
    <n v="2.4670260800681225"/>
    <n v="-7.0020573733319894E-2"/>
    <n v="3.99304685890675E-2"/>
    <n v="9.6670165657997999E-3"/>
    <n v="3.3302607834339E-3"/>
    <n v="-9.8232962191104993E-3"/>
    <b v="1"/>
    <b v="0"/>
    <b v="1"/>
    <b v="0"/>
  </r>
  <r>
    <x v="97"/>
    <x v="10"/>
    <n v="416054.59375"/>
    <n v="0.912730693817139"/>
    <n v="0"/>
    <n v="2.2485156755756899"/>
    <n v="2.4635039566513894"/>
    <n v="1.2501091391806001E-3"/>
    <n v="3.3302607834339E-3"/>
    <n v="-9.8232962191104993E-3"/>
    <n v="-3.4912846088408999E-3"/>
    <n v="-6.2808580696581996E-3"/>
    <b v="0"/>
    <b v="1"/>
    <b v="0"/>
    <b v="0"/>
  </r>
  <r>
    <x v="97"/>
    <x v="11"/>
    <n v="415505.8125"/>
    <n v="0.90175729990005504"/>
    <n v="0.01"/>
    <n v="2.1996723400382199"/>
    <n v="2.4393174752031586"/>
    <n v="-2.1722479441893799E-2"/>
    <n v="-3.4912846088408999E-3"/>
    <n v="-6.2808580696581996E-3"/>
    <n v="1.4838785141706499E-2"/>
    <n v="5.7037621736527001E-3"/>
    <b v="0"/>
    <b v="0"/>
    <b v="0"/>
    <b v="0"/>
  </r>
  <r>
    <x v="97"/>
    <x v="12"/>
    <n v="415523.8125"/>
    <n v="0.89151799678802501"/>
    <n v="1.2999999999999999E-2"/>
    <n v="2.2013586178370201"/>
    <n v="2.4692251034394253"/>
    <n v="7.6660408375784598E-4"/>
    <n v="1.4838785141706499E-2"/>
    <n v="5.7037621736527001E-3"/>
    <n v="1.8798033863305998E-2"/>
    <n v="9.9683925509449307E-4"/>
    <b v="0"/>
    <b v="0"/>
    <b v="0"/>
    <b v="0"/>
  </r>
  <r>
    <x v="97"/>
    <x v="13"/>
    <n v="415012.78125"/>
    <n v="0.89643812179565396"/>
    <n v="1.4999999999999999E-2"/>
    <n v="2.0802174328337402"/>
    <n v="2.3205365571321974"/>
    <n v="-5.5030190911061497E-2"/>
    <n v="1.8798033863305998E-2"/>
    <n v="9.9683925509449307E-4"/>
    <n v="4.1286194801330597E-2"/>
    <n v="2.24370043724775E-2"/>
    <b v="1"/>
    <b v="0"/>
    <b v="1"/>
    <b v="0"/>
  </r>
  <r>
    <x v="97"/>
    <x v="14"/>
    <n v="414084.6875"/>
    <n v="0.91924959421157804"/>
    <n v="1.2E-2"/>
    <n v="2.2659443881090802"/>
    <n v="2.464993623470169"/>
    <n v="8.9282472276149397E-2"/>
    <n v="4.1286194801330597E-2"/>
    <n v="2.24370043724775E-2"/>
    <n v="7.5780270874499997E-2"/>
    <n v="3.2190658152103001E-2"/>
    <b v="0"/>
    <b v="0"/>
    <b v="0"/>
    <b v="0"/>
  </r>
  <r>
    <x v="97"/>
    <x v="15"/>
    <n v="412604.09375"/>
    <n v="0.94117110967636097"/>
    <n v="4.0000000000000001E-3"/>
    <n v="2.1930646835005101"/>
    <n v="2.3301444986498105"/>
    <n v="-3.2163059689822103E-2"/>
    <n v="7.5780270874499997E-2"/>
    <n v="3.2190658152103001E-2"/>
    <n v="-1.80773231387138E-2"/>
    <n v="1.40261836349964E-2"/>
    <b v="1"/>
    <b v="0"/>
    <b v="1"/>
    <b v="0"/>
  </r>
  <r>
    <x v="97"/>
    <x v="16"/>
    <n v="411330.09375"/>
    <n v="0.92743343114852905"/>
    <n v="3.0000000000000001E-3"/>
    <n v="2.0856696120141001"/>
    <n v="2.2488617964000035"/>
    <n v="-4.8970316422673299E-2"/>
    <n v="-1.80773231387138E-2"/>
    <n v="1.4504887163638999E-2"/>
    <n v="-5.3630571663379999E-3"/>
    <n v="1.41958706080912E-2"/>
    <b v="1"/>
    <b v="0"/>
    <b v="0"/>
    <b v="0"/>
  </r>
  <r>
    <x v="98"/>
    <x v="0"/>
    <n v="505418.3125"/>
    <n v="0.94640433788299605"/>
    <n v="2E-3"/>
    <n v="2.67385047506761"/>
    <n v="2.8252728437918235"/>
    <n v="-6.4871205845250995E-2"/>
    <n v="4.2623035907744999E-3"/>
    <n v="-2.10073590278629E-3"/>
    <n v="3.03619271516799E-3"/>
    <n v="3.9579486474394902E-3"/>
    <b v="0"/>
    <b v="0"/>
    <b v="1"/>
    <b v="0"/>
  </r>
  <r>
    <x v="98"/>
    <x v="1"/>
    <n v="508130.09375"/>
    <n v="0.94272726774215698"/>
    <n v="5.0000000000000001E-3"/>
    <n v="2.8058439736214398"/>
    <n v="2.9763050986543216"/>
    <n v="4.93645773331743E-2"/>
    <n v="3.03619271516799E-3"/>
    <n v="3.9579486474394902E-3"/>
    <n v="-3.3838624890893697E-2"/>
    <n v="-4.3278206139802898E-3"/>
    <b v="0"/>
    <b v="0"/>
    <b v="0"/>
    <b v="0"/>
  </r>
  <r>
    <x v="98"/>
    <x v="2"/>
    <n v="509679.6875"/>
    <n v="0.92901271581649802"/>
    <n v="2E-3"/>
    <n v="2.7787520357971198"/>
    <n v="2.9910807338680057"/>
    <n v="-9.6555396803996198E-3"/>
    <n v="-3.3838624890893697E-2"/>
    <n v="-4.3278206139802898E-3"/>
    <n v="-4.8778005599975499E-2"/>
    <n v="-2.2211303934454901E-2"/>
    <b v="0"/>
    <b v="0"/>
    <b v="0"/>
    <b v="0"/>
  </r>
  <r>
    <x v="98"/>
    <x v="3"/>
    <n v="512486.03125"/>
    <n v="0.91207206249237105"/>
    <n v="0.03"/>
    <n v="3.08641760604575"/>
    <n v="3.3839624443836818"/>
    <n v="0.110720771873539"/>
    <n v="-4.8778005599975499E-2"/>
    <n v="-2.2211303934454901E-2"/>
    <n v="-9.7233952805399898E-3"/>
    <n v="-2.6328652165830401E-4"/>
    <b v="0"/>
    <b v="1"/>
    <b v="0"/>
    <b v="1"/>
  </r>
  <r>
    <x v="98"/>
    <x v="4"/>
    <n v="515883.90625"/>
    <n v="0.927381932735443"/>
    <n v="0"/>
    <n v="3.1064886911383001"/>
    <n v="3.3497403620698929"/>
    <n v="6.5030360937650298E-3"/>
    <n v="-9.7233952805399898E-3"/>
    <n v="-2.6328652165830401E-4"/>
    <n v="-1.9894528545439199E-2"/>
    <n v="1.3892459683120899E-3"/>
    <b v="0"/>
    <b v="1"/>
    <b v="0"/>
    <b v="1"/>
  </r>
  <r>
    <x v="98"/>
    <x v="5"/>
    <n v="518568.46875"/>
    <n v="0.92849832773208596"/>
    <n v="0"/>
    <n v="2.9177107879763202"/>
    <n v="3.142397461396627"/>
    <n v="-6.0768900817343E-2"/>
    <n v="-1.9894528545439199E-2"/>
    <n v="1.3892459683120899E-3"/>
    <n v="-5.7270660102366998E-3"/>
    <n v="-2.8885994106530102E-4"/>
    <b v="1"/>
    <b v="0"/>
    <b v="0"/>
    <b v="0"/>
  </r>
  <r>
    <x v="98"/>
    <x v="6"/>
    <n v="521745.96875"/>
    <n v="0.93743050098419201"/>
    <n v="0"/>
    <n v="3.0956423989949"/>
    <n v="3.3022633632518237"/>
    <n v="6.0983292707361997E-2"/>
    <n v="-5.7270660102366998E-3"/>
    <n v="-3.7445873022079901E-4"/>
    <n v="1.19032213836908E-2"/>
    <n v="5.7764500379561996E-3"/>
    <b v="0"/>
    <b v="1"/>
    <b v="0"/>
    <b v="1"/>
  </r>
  <r>
    <x v="98"/>
    <x v="7"/>
    <n v="525284"/>
    <n v="0.94107359647750899"/>
    <n v="0"/>
    <n v="2.96097163794273"/>
    <n v="3.1463762760168938"/>
    <n v="-4.3503332651051697E-2"/>
    <n v="1.19032213836908E-2"/>
    <n v="5.7764500379561996E-3"/>
    <n v="2.3227508008480099E-2"/>
    <n v="2.1219484508037598E-2"/>
    <b v="1"/>
    <b v="0"/>
    <b v="1"/>
    <b v="0"/>
  </r>
  <r>
    <x v="98"/>
    <x v="8"/>
    <n v="530252.375"/>
    <n v="0.94967859983444203"/>
    <n v="0"/>
    <n v="3.01989707067293"/>
    <n v="3.1799148377139277"/>
    <n v="1.9900708259112901E-2"/>
    <n v="2.3227508008480099E-2"/>
    <n v="2.1219484508037598E-2"/>
    <n v="9.5473082900047301E-2"/>
    <n v="6.5209630876779598E-2"/>
    <b v="0"/>
    <b v="0"/>
    <b v="0"/>
    <b v="0"/>
  </r>
  <r>
    <x v="98"/>
    <x v="9"/>
    <n v="535830"/>
    <n v="0.96082073450088501"/>
    <n v="0"/>
    <n v="2.9747199575793699"/>
    <n v="3.096019736839505"/>
    <n v="-1.4959818840282199E-2"/>
    <n v="9.5473082900047301E-2"/>
    <n v="6.5209630876779598E-2"/>
    <n v="7.8031432151794394E-2"/>
    <n v="6.4877875149250003E-2"/>
    <b v="1"/>
    <b v="0"/>
    <b v="1"/>
    <b v="0"/>
  </r>
  <r>
    <x v="98"/>
    <x v="10"/>
    <n v="542015.1875"/>
    <n v="0.96730679273605302"/>
    <n v="0"/>
    <n v="2.9797326833662199"/>
    <n v="3.0804422193066241"/>
    <n v="1.6851084667933601E-3"/>
    <n v="7.8031432151794394E-2"/>
    <n v="6.4877875149250003E-2"/>
    <n v="4.2746400177478799E-2"/>
    <n v="3.9956826716661502E-2"/>
    <b v="0"/>
    <b v="0"/>
    <b v="0"/>
    <b v="0"/>
  </r>
  <r>
    <x v="98"/>
    <x v="11"/>
    <n v="547217.3125"/>
    <n v="0.96480917930603005"/>
    <n v="0"/>
    <n v="3.0319678331143698"/>
    <n v="3.1425569927674299"/>
    <n v="1.7530146257662201E-2"/>
    <n v="4.2746400177478799E-2"/>
    <n v="3.9956826716661502E-2"/>
    <n v="2.2710036695003499E-2"/>
    <n v="1.35750137269497E-2"/>
    <b v="0"/>
    <b v="0"/>
    <b v="0"/>
    <b v="0"/>
  </r>
  <r>
    <x v="98"/>
    <x v="12"/>
    <n v="550449.5625"/>
    <n v="0.96689236164092995"/>
    <n v="0"/>
    <n v="2.8699719880224599"/>
    <n v="2.9682435210800304"/>
    <n v="-5.3429275641592701E-2"/>
    <n v="2.2710036695003499E-2"/>
    <n v="1.35750137269497E-2"/>
    <n v="4.4157191336154901E-2"/>
    <n v="2.63559967279434E-2"/>
    <b v="1"/>
    <b v="0"/>
    <b v="1"/>
    <b v="0"/>
  </r>
  <r>
    <x v="98"/>
    <x v="13"/>
    <n v="552409.5"/>
    <n v="0.96282881498336803"/>
    <n v="0"/>
    <n v="2.9423889560715701"/>
    <n v="3.0559834835462389"/>
    <n v="2.5232639325867601E-2"/>
    <n v="4.4157191336154901E-2"/>
    <n v="2.63559967279434E-2"/>
    <n v="5.6131864070892303E-2"/>
    <n v="3.7282673642039299E-2"/>
    <b v="0"/>
    <b v="0"/>
    <b v="0"/>
    <b v="0"/>
  </r>
  <r>
    <x v="98"/>
    <x v="14"/>
    <n v="553499.8125"/>
    <n v="0.97589099407196001"/>
    <n v="6.0000000000000001E-3"/>
    <n v="2.8300790398126399"/>
    <n v="2.8999950373596297"/>
    <n v="-3.8169636283871398E-2"/>
    <n v="5.6131864070892303E-2"/>
    <n v="3.7282673642039299E-2"/>
    <n v="5.6162504732609003E-2"/>
    <n v="1.2572892010212E-2"/>
    <b v="1"/>
    <b v="0"/>
    <b v="1"/>
    <b v="0"/>
  </r>
  <r>
    <x v="98"/>
    <x v="15"/>
    <n v="552684"/>
    <n v="0.97165435552597001"/>
    <n v="0"/>
    <n v="2.8944180452892101"/>
    <n v="2.978855627855876"/>
    <n v="2.2733995966709799E-2"/>
    <n v="5.6162504732609003E-2"/>
    <n v="1.2572892010212E-2"/>
    <n v="-5.01622929424047E-2"/>
    <n v="-1.8058786168694399E-2"/>
    <b v="0"/>
    <b v="0"/>
    <b v="0"/>
    <b v="0"/>
  </r>
  <r>
    <x v="98"/>
    <x v="16"/>
    <n v="552687.6875"/>
    <n v="0.95753943920135498"/>
    <n v="2E-3"/>
    <n v="2.9055527824416498"/>
    <n v="3.0343948912068357"/>
    <n v="3.8469692277368801E-3"/>
    <n v="-5.01622929424047E-2"/>
    <n v="-1.75800826400518E-2"/>
    <n v="-2.24928211271763E-2"/>
    <n v="-2.93389335274699E-3"/>
    <b v="0"/>
    <b v="1"/>
    <b v="0"/>
    <b v="1"/>
  </r>
  <r>
    <x v="99"/>
    <x v="0"/>
    <n v="366818.59375"/>
    <n v="0.89290577173232999"/>
    <n v="8.0000000000000002E-3"/>
    <n v="2.31040852064192"/>
    <n v="2.5875166157336933"/>
    <n v="-1.84411766992405E-3"/>
    <n v="2.98861205875873E-2"/>
    <n v="2.35230810940266E-2"/>
    <n v="-6.260909974575E-3"/>
    <n v="-5.3391540423034997E-3"/>
    <b v="1"/>
    <b v="0"/>
    <b v="1"/>
    <b v="0"/>
  </r>
  <r>
    <x v="99"/>
    <x v="1"/>
    <n v="369602.28125"/>
    <n v="0.86696600914001498"/>
    <n v="2.1000000000000001E-2"/>
    <n v="2.3153998491135401"/>
    <n v="2.6706927661561908"/>
    <n v="2.1603661980212898E-3"/>
    <n v="-6.260909974575E-3"/>
    <n v="-5.3391540423034997E-3"/>
    <n v="-5.3518020838499103E-2"/>
    <n v="-2.4007216561585699E-2"/>
    <b v="0"/>
    <b v="1"/>
    <b v="0"/>
    <b v="1"/>
  </r>
  <r>
    <x v="99"/>
    <x v="2"/>
    <n v="370667.5"/>
    <n v="0.85133826732635498"/>
    <n v="5.3999999999999999E-2"/>
    <n v="2.35151884835915"/>
    <n v="2.7621439545342445"/>
    <n v="1.5599465146135401E-2"/>
    <n v="-5.3518020838499103E-2"/>
    <n v="-2.4007216561585699E-2"/>
    <n v="-2.3293749153613999E-2"/>
    <n v="3.2729525119066499E-3"/>
    <b v="0"/>
    <b v="1"/>
    <b v="0"/>
    <b v="1"/>
  </r>
  <r>
    <x v="99"/>
    <x v="3"/>
    <n v="372779.125"/>
    <n v="0.87245357036590598"/>
    <n v="2.5999999999999999E-2"/>
    <n v="2.3855666650719898"/>
    <n v="2.734319333545149"/>
    <n v="1.44790745507318E-2"/>
    <n v="-2.3293749153613999E-2"/>
    <n v="3.2729525119066499E-3"/>
    <n v="-1.0817013852298199E-2"/>
    <n v="-1.3569050934165701E-3"/>
    <b v="0"/>
    <b v="0"/>
    <b v="0"/>
    <b v="1"/>
  </r>
  <r>
    <x v="99"/>
    <x v="4"/>
    <n v="375905.90625"/>
    <n v="0.88288021087646495"/>
    <n v="1.7000000000000001E-2"/>
    <n v="2.5420845193781401"/>
    <n v="2.8793085268663199"/>
    <n v="6.5610346001973699E-2"/>
    <n v="-1.0817013852298199E-2"/>
    <n v="-1.3569050934165701E-3"/>
    <n v="-2.19942278862E-2"/>
    <n v="-7.1045337244870002E-4"/>
    <b v="0"/>
    <b v="1"/>
    <b v="0"/>
    <b v="1"/>
  </r>
  <r>
    <x v="99"/>
    <x v="5"/>
    <n v="377381.8125"/>
    <n v="0.88615983724594105"/>
    <n v="3.0000000000000001E-3"/>
    <n v="2.3580517170611501"/>
    <n v="2.660977870978265"/>
    <n v="-7.2394446728312703E-2"/>
    <n v="-2.19942278862E-2"/>
    <n v="-7.1045337244870002E-4"/>
    <n v="-3.5896769762038998E-3"/>
    <n v="1.8485290929674901E-3"/>
    <b v="0"/>
    <b v="0"/>
    <b v="0"/>
    <b v="0"/>
  </r>
  <r>
    <x v="99"/>
    <x v="6"/>
    <n v="378083.71875"/>
    <n v="0.89056706428527799"/>
    <n v="-4.0000000000000001E-3"/>
    <n v="2.2960672044134198"/>
    <n v="2.5782080839202401"/>
    <n v="-2.6286324510721399E-2"/>
    <n v="-3.5896769762038998E-3"/>
    <n v="1.7629303038119899E-3"/>
    <n v="1.1181336492299999E-2"/>
    <n v="5.0545651465653896E-3"/>
    <b v="1"/>
    <b v="0"/>
    <b v="0"/>
    <b v="0"/>
  </r>
  <r>
    <x v="99"/>
    <x v="7"/>
    <n v="378644"/>
    <n v="0.88624626398086503"/>
    <n v="-1E-3"/>
    <n v="2.4473753148614601"/>
    <n v="2.761507059977069"/>
    <n v="6.5898816096147894E-2"/>
    <n v="1.1181336492299999E-2"/>
    <n v="5.0545651465653896E-3"/>
    <n v="-1.0489802513271499E-2"/>
    <n v="-1.2497826013714E-2"/>
    <b v="0"/>
    <b v="0"/>
    <b v="0"/>
    <b v="0"/>
  </r>
  <r>
    <x v="99"/>
    <x v="8"/>
    <n v="379530.3125"/>
    <n v="0.88307219743728604"/>
    <n v="4.0000000000000001E-3"/>
    <n v="2.4520801785287301"/>
    <n v="2.7767607061401929"/>
    <n v="1.9224119973348601E-3"/>
    <n v="-1.0489802513271499E-2"/>
    <n v="-1.2497826013714E-2"/>
    <n v="1.5279444098472501E-2"/>
    <n v="-1.4984007924795E-2"/>
    <b v="0"/>
    <b v="1"/>
    <b v="0"/>
    <b v="1"/>
  </r>
  <r>
    <x v="99"/>
    <x v="9"/>
    <n v="380932.1875"/>
    <n v="0.88724523782730103"/>
    <n v="0.01"/>
    <n v="2.39947957913791"/>
    <n v="2.7044152809586111"/>
    <n v="-2.1451419024308201E-2"/>
    <n v="1.5279444098472501E-2"/>
    <n v="-1.4984007924795E-2"/>
    <n v="1.1014893919229499E-2"/>
    <n v="-2.13866308331489E-3"/>
    <b v="0"/>
    <b v="0"/>
    <b v="1"/>
    <b v="0"/>
  </r>
  <r>
    <x v="99"/>
    <x v="10"/>
    <n v="382814.3125"/>
    <n v="0.87878310680389404"/>
    <n v="1.9E-2"/>
    <n v="2.2893443242834399"/>
    <n v="2.6051301015670543"/>
    <n v="-4.58996424941591E-2"/>
    <n v="1.1014893919229499E-2"/>
    <n v="-2.13866308331489E-3"/>
    <n v="-8.2313505038619002E-3"/>
    <n v="-1.10209239646792E-2"/>
    <b v="0"/>
    <b v="0"/>
    <b v="1"/>
    <b v="0"/>
  </r>
  <r>
    <x v="99"/>
    <x v="11"/>
    <n v="384045.90625"/>
    <n v="0.87301307916641202"/>
    <n v="1E-3"/>
    <n v="2.2685020552528399"/>
    <n v="2.5984743062714442"/>
    <n v="-9.1040342029481899E-3"/>
    <n v="-8.2313505038619002E-3"/>
    <n v="-1.10209239646792E-2"/>
    <n v="-3.3787300586699898E-3"/>
    <n v="-1.25137530267237E-2"/>
    <b v="0"/>
    <b v="0"/>
    <b v="0"/>
    <b v="0"/>
  </r>
  <r>
    <x v="99"/>
    <x v="12"/>
    <n v="384405.6875"/>
    <n v="0.87938779592514005"/>
    <n v="1E-3"/>
    <n v="2.3432864722512599"/>
    <n v="2.6646793179407933"/>
    <n v="3.2966431229478899E-2"/>
    <n v="-3.3787300586699898E-3"/>
    <n v="-1.25137530267237E-2"/>
    <n v="2.6799845665693298E-2"/>
    <n v="8.99865105748179E-3"/>
    <b v="0"/>
    <b v="1"/>
    <b v="0"/>
    <b v="1"/>
  </r>
  <r>
    <x v="99"/>
    <x v="13"/>
    <n v="385543.90625"/>
    <n v="0.88805359601974498"/>
    <n v="0"/>
    <n v="2.2101794645483901"/>
    <n v="2.4887906253118186"/>
    <n v="-5.6803557430599297E-2"/>
    <n v="2.6799845665693298E-2"/>
    <n v="8.99865105748179E-3"/>
    <n v="4.1394790738820998E-2"/>
    <n v="2.2545600309968002E-2"/>
    <b v="1"/>
    <b v="0"/>
    <b v="1"/>
    <b v="0"/>
  </r>
  <r>
    <x v="99"/>
    <x v="14"/>
    <n v="385226.09375"/>
    <n v="0.91213846206664995"/>
    <n v="5.0000000000000001E-3"/>
    <n v="2.0425949440147702"/>
    <n v="2.239347455414634"/>
    <n v="-7.5823942454312607E-2"/>
    <n v="4.1394790738820998E-2"/>
    <n v="2.2545600309968002E-2"/>
    <n v="5.3119873881339999E-2"/>
    <n v="9.5302611589430895E-3"/>
    <b v="1"/>
    <b v="0"/>
    <b v="1"/>
    <b v="0"/>
  </r>
  <r>
    <x v="99"/>
    <x v="15"/>
    <n v="384827.09375"/>
    <n v="0.91473996639251698"/>
    <n v="0"/>
    <n v="2.26578403612152"/>
    <n v="2.476970635772207"/>
    <n v="0.109267426104594"/>
    <n v="5.3119873881339999E-2"/>
    <n v="9.5302611589430895E-3"/>
    <n v="-4.8147646635770799E-2"/>
    <n v="-1.6044139862060498E-2"/>
    <b v="0"/>
    <b v="0"/>
    <b v="0"/>
    <b v="0"/>
  </r>
  <r>
    <x v="99"/>
    <x v="16"/>
    <n v="385780.6875"/>
    <n v="0.88976633548736594"/>
    <n v="0"/>
    <n v="2.2317722143993501"/>
    <n v="2.5082677613071369"/>
    <n v="-1.5011060710089201E-2"/>
    <n v="-4.8147646635770799E-2"/>
    <n v="-1.5565436333417899E-2"/>
    <n v="-1.7717516779899599E-2"/>
    <n v="1.8414109945296901E-3"/>
    <b v="0"/>
    <b v="0"/>
    <b v="0"/>
    <b v="0"/>
  </r>
  <r>
    <x v="100"/>
    <x v="0"/>
    <n v="313057.40625"/>
    <n v="0.94002360105514504"/>
    <n v="0"/>
    <n v="2.39099129841324"/>
    <n v="2.5435439022269573"/>
    <n v="-5.8224540829176101E-2"/>
    <n v="2.6916054666042299E-2"/>
    <n v="2.0553015172481499E-2"/>
    <n v="-6.3273784667252997E-3"/>
    <n v="-5.4056225344538003E-3"/>
    <b v="1"/>
    <b v="0"/>
    <b v="1"/>
    <b v="0"/>
  </r>
  <r>
    <x v="100"/>
    <x v="1"/>
    <n v="314985.90625"/>
    <n v="0.90183192491531405"/>
    <n v="3.7999999999999999E-2"/>
    <n v="2.4637809790400702"/>
    <n v="2.7319735651090751"/>
    <n v="3.04433063705178E-2"/>
    <n v="-6.3273784667252997E-3"/>
    <n v="-5.4056225344538003E-3"/>
    <n v="-5.9134346723556497E-2"/>
    <n v="-2.9623542446643E-2"/>
    <b v="0"/>
    <b v="1"/>
    <b v="0"/>
    <b v="1"/>
  </r>
  <r>
    <x v="100"/>
    <x v="2"/>
    <n v="317115.5"/>
    <n v="0.90968579053878795"/>
    <n v="0.01"/>
    <n v="2.4356668563839801"/>
    <n v="2.6774814795572275"/>
    <n v="-1.14109666789626E-2"/>
    <n v="-5.9134346723556497E-2"/>
    <n v="-2.9623542446643E-2"/>
    <n v="-2.89905040562153E-2"/>
    <n v="-2.4238023906946399E-3"/>
    <b v="0"/>
    <b v="0"/>
    <b v="0"/>
    <b v="0"/>
  </r>
  <r>
    <x v="100"/>
    <x v="3"/>
    <n v="319430.3125"/>
    <n v="0.91963481903076205"/>
    <n v="0"/>
    <n v="2.4023365913255899"/>
    <n v="2.6122723298553479"/>
    <n v="-1.3684246255202001E-2"/>
    <n v="-2.89905040562153E-2"/>
    <n v="-2.4238023906946399E-3"/>
    <n v="-1.2138720773160401E-2"/>
    <n v="-2.6786120142787699E-3"/>
    <b v="0"/>
    <b v="0"/>
    <b v="0"/>
    <b v="0"/>
  </r>
  <r>
    <x v="100"/>
    <x v="4"/>
    <n v="323076.8125"/>
    <n v="0.93715173006057695"/>
    <n v="0"/>
    <n v="2.4835270674194598"/>
    <n v="2.6500800113327712"/>
    <n v="3.3796461489630801E-2"/>
    <n v="-1.2138720773160401E-2"/>
    <n v="-2.6786120142787699E-3"/>
    <n v="-2.3634405218064699E-2"/>
    <n v="-2.3506307043134902E-3"/>
    <b v="0"/>
    <b v="1"/>
    <b v="0"/>
    <b v="1"/>
  </r>
  <r>
    <x v="100"/>
    <x v="5"/>
    <n v="326446.40625"/>
    <n v="0.94464713335037198"/>
    <n v="0"/>
    <n v="2.5225658997409699"/>
    <n v="2.6703790343323299"/>
    <n v="1.5719108856773498E-2"/>
    <n v="-2.3634405218064699E-2"/>
    <n v="-2.3506307043134902E-3"/>
    <n v="3.0218397229909901E-3"/>
    <n v="8.4600457921623993E-3"/>
    <b v="0"/>
    <b v="1"/>
    <b v="0"/>
    <b v="1"/>
  </r>
  <r>
    <x v="100"/>
    <x v="6"/>
    <n v="330099.90625"/>
    <n v="0.95325469970703103"/>
    <n v="0"/>
    <n v="2.5850918234189502"/>
    <n v="2.7118584615564347"/>
    <n v="2.4786636370688401E-2"/>
    <n v="3.0218397229909901E-3"/>
    <n v="8.3744470030069004E-3"/>
    <n v="1.8273827284574499E-2"/>
    <n v="1.21470559388399E-2"/>
    <b v="0"/>
    <b v="0"/>
    <b v="0"/>
    <b v="0"/>
  </r>
  <r>
    <x v="100"/>
    <x v="7"/>
    <n v="335642"/>
    <n v="0.94411510229110696"/>
    <n v="3.5000000000000003E-2"/>
    <n v="2.2852764753647401"/>
    <n v="2.4205485854627304"/>
    <n v="-0.1159786067706"/>
    <n v="1.8273827284574499E-2"/>
    <n v="1.21470559388399E-2"/>
    <n v="1.7386390656232799E-2"/>
    <n v="1.5378367155790201E-2"/>
    <b v="1"/>
    <b v="0"/>
    <b v="1"/>
    <b v="0"/>
  </r>
  <r>
    <x v="100"/>
    <x v="8"/>
    <n v="342521.09375"/>
    <n v="0.96272480487823497"/>
    <n v="0"/>
    <n v="2.7365487281482199"/>
    <n v="2.8425036046457093"/>
    <n v="0.19746943428866701"/>
    <n v="1.7386390656232799E-2"/>
    <n v="1.5378367155790201E-2"/>
    <n v="6.4372608602046993E-2"/>
    <n v="3.4109156578779297E-2"/>
    <b v="0"/>
    <b v="0"/>
    <b v="0"/>
    <b v="0"/>
  </r>
  <r>
    <x v="100"/>
    <x v="9"/>
    <n v="349982.59375"/>
    <n v="0.95340907573699996"/>
    <n v="6.7000000000000004E-2"/>
    <n v="2.76127120926474"/>
    <n v="2.8962082274392391"/>
    <n v="9.0341826777003507E-3"/>
    <n v="6.4372608602046993E-2"/>
    <n v="3.4109156578779297E-2"/>
    <n v="1.8350109726190601E-2"/>
    <n v="5.1965527236462004E-3"/>
    <b v="0"/>
    <b v="0"/>
    <b v="0"/>
    <b v="0"/>
  </r>
  <r>
    <x v="100"/>
    <x v="10"/>
    <n v="357472"/>
    <n v="0.95556962490081798"/>
    <n v="1E-3"/>
    <n v="2.4474798703335701"/>
    <n v="2.5612784317915116"/>
    <n v="-0.113640173365919"/>
    <n v="1.8350109726190601E-2"/>
    <n v="5.1965527236462004E-3"/>
    <n v="6.2019356489181896E-3"/>
    <n v="3.4123621881008998E-3"/>
    <b v="1"/>
    <b v="0"/>
    <b v="1"/>
    <b v="0"/>
  </r>
  <r>
    <x v="100"/>
    <x v="11"/>
    <n v="362765.40625"/>
    <n v="0.94744086265563998"/>
    <n v="0"/>
    <n v="2.5672789955747599"/>
    <n v="2.7096984062717926"/>
    <n v="4.8947951193919502E-2"/>
    <n v="6.2019356489181896E-3"/>
    <n v="3.4123621881008998E-3"/>
    <n v="-1.01550955101848E-2"/>
    <n v="-1.9290118478238499E-2"/>
    <b v="0"/>
    <b v="0"/>
    <b v="0"/>
    <b v="0"/>
  </r>
  <r>
    <x v="100"/>
    <x v="12"/>
    <n v="367017.3125"/>
    <n v="0.88993507623672496"/>
    <n v="9.5000000000000001E-2"/>
    <n v="2.3716902356902301"/>
    <n v="2.6650148971758862"/>
    <n v="-7.6185237452441795E-2"/>
    <n v="-1.01550955101848E-2"/>
    <n v="-1.9290118478238499E-2"/>
    <n v="-1.9288816449232301E-2"/>
    <n v="-3.7090011057443903E-2"/>
    <b v="0"/>
    <b v="0"/>
    <b v="0"/>
    <b v="0"/>
  </r>
  <r>
    <x v="100"/>
    <x v="13"/>
    <n v="372763.6875"/>
    <n v="0.88532000780105602"/>
    <n v="6.2E-2"/>
    <n v="2.2872322623828598"/>
    <n v="2.5835090613888321"/>
    <n v="-3.5610878704314099E-2"/>
    <n v="-1.9288816449232301E-2"/>
    <n v="-3.7090011057443903E-2"/>
    <n v="2.1502146601676899E-2"/>
    <n v="2.6529561728238899E-3"/>
    <b v="0"/>
    <b v="0"/>
    <b v="0"/>
    <b v="0"/>
  </r>
  <r>
    <x v="100"/>
    <x v="14"/>
    <n v="379815.3125"/>
    <n v="0.918101966381073"/>
    <n v="2.9000000000000001E-2"/>
    <n v="2.7136935640000899"/>
    <n v="2.955764896895698"/>
    <n v="0.186452993266605"/>
    <n v="2.1502146601676899E-2"/>
    <n v="2.6529561728238899E-3"/>
    <n v="0.27379172134399399"/>
    <n v="0.23020210862159701"/>
    <b v="0"/>
    <b v="0"/>
    <b v="0"/>
    <b v="0"/>
  </r>
  <r>
    <x v="100"/>
    <x v="15"/>
    <n v="390527.8125"/>
    <n v="0.96154367923736594"/>
    <n v="7.1999999999999995E-2"/>
    <n v="2.63985104091888"/>
    <n v="2.7454301847344453"/>
    <n v="-2.7211076468181598E-2"/>
    <n v="0.27379172134399399"/>
    <n v="0.23020210862159701"/>
    <n v="-1.2517170906066801E-2"/>
    <n v="1.9586335867643401E-2"/>
    <b v="1"/>
    <b v="0"/>
    <b v="1"/>
    <b v="0"/>
  </r>
  <r>
    <x v="100"/>
    <x v="16"/>
    <n v="402825.90625"/>
    <n v="0.92272299528121904"/>
    <n v="9.4E-2"/>
    <n v="2.3131996679328801"/>
    <n v="2.5069275175350803"/>
    <n v="-0.12373856248809199"/>
    <n v="-1.2517170906066801E-2"/>
    <n v="2.0065039396286E-2"/>
    <n v="-7.9371354341506994E-2"/>
    <n v="-5.9812426567077602E-2"/>
    <b v="1"/>
    <b v="0"/>
    <b v="0"/>
    <b v="0"/>
  </r>
  <r>
    <x v="101"/>
    <x v="0"/>
    <n v="1563051"/>
    <n v="0.93744754791259799"/>
    <n v="0.02"/>
    <n v="2.2072343592477401"/>
    <n v="2.3545150490420075"/>
    <n v="-6.4366453992828199E-3"/>
    <n v="-8.4546435326337994E-3"/>
    <n v="-1.48176830261945E-2"/>
    <n v="-8.3013340830800906E-5"/>
    <n v="8.3874259144069998E-4"/>
    <b v="0"/>
    <b v="0"/>
    <b v="0"/>
    <b v="0"/>
  </r>
  <r>
    <x v="101"/>
    <x v="1"/>
    <n v="1600994"/>
    <n v="0.92670947313308705"/>
    <n v="2.1000000000000001E-2"/>
    <n v="2.1887538684614798"/>
    <n v="2.3618555026329675"/>
    <n v="-8.3726907878304106E-3"/>
    <n v="-8.3013340830800906E-5"/>
    <n v="8.3874259144069998E-4"/>
    <n v="-2.7613945595920099E-2"/>
    <n v="1.8968586809932999E-3"/>
    <b v="1"/>
    <b v="0"/>
    <b v="0"/>
    <b v="0"/>
  </r>
  <r>
    <x v="101"/>
    <x v="2"/>
    <n v="1633824"/>
    <n v="0.92493313550949097"/>
    <n v="1.9E-2"/>
    <n v="2.2602815743500102"/>
    <n v="2.4437242948431668"/>
    <n v="3.2679647958225998E-2"/>
    <n v="-2.7613945595920099E-2"/>
    <n v="1.8968586809932999E-3"/>
    <n v="-2.1742392987012901E-2"/>
    <n v="4.8243086785077398E-3"/>
    <b v="0"/>
    <b v="0"/>
    <b v="0"/>
    <b v="1"/>
  </r>
  <r>
    <x v="101"/>
    <x v="3"/>
    <n v="1659890"/>
    <n v="0.92794346809387196"/>
    <n v="1.0999999999999999E-2"/>
    <n v="2.23274717817187"/>
    <n v="2.4061241389610197"/>
    <n v="-1.2181843399780399E-2"/>
    <n v="-2.1742392987012901E-2"/>
    <n v="4.8243086785077398E-3"/>
    <n v="3.3638354539871E-3"/>
    <n v="1.28239442128687E-2"/>
    <b v="1"/>
    <b v="0"/>
    <b v="0"/>
    <b v="0"/>
  </r>
  <r>
    <x v="101"/>
    <x v="4"/>
    <n v="1683245"/>
    <n v="0.93683582544326804"/>
    <n v="1.4999999999999999E-2"/>
    <n v="2.2950121134387902"/>
    <n v="2.4497484522999482"/>
    <n v="2.7887140951578002E-2"/>
    <n v="3.3638354539871E-3"/>
    <n v="1.28239442128687E-2"/>
    <n v="-2.2764036774635302E-2"/>
    <n v="-1.4802622608839999E-3"/>
    <b v="0"/>
    <b v="0"/>
    <b v="0"/>
    <b v="0"/>
  </r>
  <r>
    <x v="101"/>
    <x v="5"/>
    <n v="1711519"/>
    <n v="0.93908488750457797"/>
    <n v="1.2999999999999999E-2"/>
    <n v="2.26087568377329"/>
    <n v="2.4075306863696797"/>
    <n v="-1.48741827834402E-2"/>
    <n v="-2.2764036774635302E-2"/>
    <n v="-1.4802622608839999E-3"/>
    <n v="9.4749005138869695E-4"/>
    <n v="6.3856961205600903E-3"/>
    <b v="0"/>
    <b v="0"/>
    <b v="0"/>
    <b v="0"/>
  </r>
  <r>
    <x v="101"/>
    <x v="6"/>
    <n v="1744957"/>
    <n v="0.94565945863723799"/>
    <n v="1.4E-2"/>
    <n v="2.2330722561113898"/>
    <n v="2.3613915513829942"/>
    <n v="-1.22976366464776E-2"/>
    <n v="9.4749005138869695E-4"/>
    <n v="6.3000973314045897E-3"/>
    <n v="1.0372287258505799E-2"/>
    <n v="4.2455159127711998E-3"/>
    <b v="1"/>
    <b v="0"/>
    <b v="1"/>
    <b v="0"/>
  </r>
  <r>
    <x v="101"/>
    <x v="7"/>
    <n v="1780340"/>
    <n v="0.93913364410400402"/>
    <n v="3.3000000000000002E-2"/>
    <n v="2.3018316024232699"/>
    <n v="2.4510160155313896"/>
    <n v="3.0791366523722101E-2"/>
    <n v="1.0372287258505799E-2"/>
    <n v="4.2455159127711998E-3"/>
    <n v="8.0055210888385995E-3"/>
    <n v="5.9974975883961001E-3"/>
    <b v="0"/>
    <b v="0"/>
    <b v="0"/>
    <b v="0"/>
  </r>
  <r>
    <x v="101"/>
    <x v="8"/>
    <n v="1818453"/>
    <n v="0.93472129106521595"/>
    <n v="5.0999999999999997E-2"/>
    <n v="2.4084534544502998"/>
    <n v="2.5766541079914922"/>
    <n v="4.6320439737983297E-2"/>
    <n v="8.0055210888385995E-3"/>
    <n v="5.9974975883961001E-3"/>
    <n v="4.6565028071403503E-2"/>
    <n v="1.6301576048135799E-2"/>
    <b v="0"/>
    <b v="0"/>
    <b v="0"/>
    <b v="0"/>
  </r>
  <r>
    <x v="101"/>
    <x v="9"/>
    <n v="1858437"/>
    <n v="0.93041509389877297"/>
    <n v="4.8000000000000001E-2"/>
    <n v="2.3647992325065399"/>
    <n v="2.5416604352334642"/>
    <n v="-1.8125416483801001E-2"/>
    <n v="4.6565028071403503E-2"/>
    <n v="1.6301576048135799E-2"/>
    <n v="7.9247097373008994E-3"/>
    <n v="-5.2288472652434904E-3"/>
    <b v="1"/>
    <b v="0"/>
    <b v="1"/>
    <b v="0"/>
  </r>
  <r>
    <x v="101"/>
    <x v="10"/>
    <n v="1898341"/>
    <n v="0.91317772865295399"/>
    <n v="5.6000000000000001E-2"/>
    <n v="2.3510065798894999"/>
    <n v="2.574533418984621"/>
    <n v="-5.8324835476287603E-3"/>
    <n v="7.9247097373008994E-3"/>
    <n v="-5.2288472652434904E-3"/>
    <n v="-1.35853461027145E-2"/>
    <n v="-1.6374919563531799E-2"/>
    <b v="0"/>
    <b v="0"/>
    <b v="1"/>
    <b v="0"/>
  </r>
  <r>
    <x v="101"/>
    <x v="11"/>
    <n v="1934555"/>
    <n v="0.90682959556579601"/>
    <n v="7.1999999999999995E-2"/>
    <n v="2.2919494583487499"/>
    <n v="2.5274312501002343"/>
    <n v="-2.51199303506515E-2"/>
    <n v="-1.35853461027145E-2"/>
    <n v="-1.6374919563531799E-2"/>
    <n v="9.7659865617752001E-3"/>
    <n v="6.30963593721403E-4"/>
    <b v="0"/>
    <b v="0"/>
    <b v="0"/>
    <b v="0"/>
  </r>
  <r>
    <x v="101"/>
    <x v="12"/>
    <n v="1967478"/>
    <n v="0.91525375843048096"/>
    <n v="4.9000000000000002E-2"/>
    <n v="2.3495799389955998"/>
    <n v="2.567134980166339"/>
    <n v="2.5144743238955301E-2"/>
    <n v="9.7659865617752001E-3"/>
    <n v="6.30963593721403E-4"/>
    <n v="3.25088679492474E-2"/>
    <n v="1.47076733410358E-2"/>
    <b v="0"/>
    <b v="0"/>
    <b v="0"/>
    <b v="0"/>
  </r>
  <r>
    <x v="101"/>
    <x v="13"/>
    <n v="1998345"/>
    <n v="0.926033616065979"/>
    <n v="3.2000000000000001E-2"/>
    <n v="2.2692943315154501"/>
    <n v="2.450552865624875"/>
    <n v="-3.41701961902472E-2"/>
    <n v="3.25088679492474E-2"/>
    <n v="1.47076733410358E-2"/>
    <n v="-1.42088638506829E-2"/>
    <n v="-3.3058054279535898E-2"/>
    <b v="1"/>
    <b v="0"/>
    <b v="1"/>
    <b v="0"/>
  </r>
  <r>
    <x v="101"/>
    <x v="14"/>
    <n v="2024726"/>
    <n v="0.90793305635452304"/>
    <n v="5.3999999999999999E-2"/>
    <n v="2.11864673898768"/>
    <n v="2.3334834260736579"/>
    <n v="-6.6385215190295499E-2"/>
    <n v="-1.42088638506829E-2"/>
    <n v="-3.3058054279535898E-2"/>
    <n v="9.1616070151328999E-2"/>
    <n v="4.80264574289321E-2"/>
    <b v="0"/>
    <b v="0"/>
    <b v="0"/>
    <b v="0"/>
  </r>
  <r>
    <x v="101"/>
    <x v="15"/>
    <n v="2044290"/>
    <n v="0.94021201133728005"/>
    <n v="4.5999999999999999E-2"/>
    <n v="2.2629762099848199"/>
    <n v="2.4068786430053675"/>
    <n v="6.8123424420489104E-2"/>
    <n v="9.1616070151328999E-2"/>
    <n v="4.80264574289321E-2"/>
    <n v="-4.0513167083263399E-2"/>
    <n v="-8.4096603095530909E-3"/>
    <b v="0"/>
    <b v="0"/>
    <b v="0"/>
    <b v="0"/>
  </r>
  <r>
    <x v="101"/>
    <x v="16"/>
    <n v="2086560"/>
    <n v="0.90995782613754295"/>
    <n v="6.2E-2"/>
    <n v="2.2321428571428501"/>
    <n v="2.4530179234981984"/>
    <n v="-1.3625133444144E-2"/>
    <n v="-4.0513167083263399E-2"/>
    <n v="-7.9309567809104902E-3"/>
    <n v="-6.6027656927704806E-2"/>
    <n v="-4.6468729153275497E-2"/>
    <b v="0"/>
    <b v="0"/>
    <b v="0"/>
    <b v="0"/>
  </r>
  <r>
    <x v="102"/>
    <x v="0"/>
    <n v="851006.75"/>
    <n v="0.95372015237808205"/>
    <n v="0"/>
    <n v="2.1760339734121099"/>
    <n v="2.2816273389905968"/>
    <n v="3.8366608076948798E-2"/>
    <n v="5.4334256052970104E-4"/>
    <n v="-5.81969693303109E-3"/>
    <n v="8.5290624201299597E-4"/>
    <n v="1.77466217428449E-3"/>
    <b v="0"/>
    <b v="1"/>
    <b v="0"/>
    <b v="0"/>
  </r>
  <r>
    <x v="102"/>
    <x v="1"/>
    <n v="854348.3125"/>
    <n v="0.95236390829086304"/>
    <n v="1.7000000000000001E-2"/>
    <n v="2.1845944039501499"/>
    <n v="2.2938651758346027"/>
    <n v="3.9339599669107102E-3"/>
    <n v="8.5290624201299597E-4"/>
    <n v="1.77466217428449E-3"/>
    <n v="-3.0523837834596598E-2"/>
    <n v="-1.0130335576832199E-3"/>
    <b v="0"/>
    <b v="0"/>
    <b v="0"/>
    <b v="0"/>
  </r>
  <r>
    <x v="102"/>
    <x v="2"/>
    <n v="857509.1875"/>
    <n v="0.94745039939880404"/>
    <n v="0"/>
    <n v="2.1672804655606699"/>
    <n v="2.2874869934467257"/>
    <n v="-7.9254704480501599E-3"/>
    <n v="-3.0523837834596598E-2"/>
    <n v="-1.0130335576832199E-3"/>
    <n v="-2.42682273536921E-2"/>
    <n v="2.29847431182855E-3"/>
    <b v="0"/>
    <b v="0"/>
    <b v="0"/>
    <b v="0"/>
  </r>
  <r>
    <x v="102"/>
    <x v="3"/>
    <n v="860999.8125"/>
    <n v="0.94382625818252597"/>
    <n v="0"/>
    <n v="2.2307005957119199"/>
    <n v="2.3634652843919142"/>
    <n v="2.9262539463182399E-2"/>
    <n v="-2.42682273536921E-2"/>
    <n v="2.29847431182855E-3"/>
    <n v="-1.4585845023393901E-3"/>
    <n v="8.0015242565422799E-3"/>
    <b v="0"/>
    <b v="0"/>
    <b v="0"/>
    <b v="1"/>
  </r>
  <r>
    <x v="102"/>
    <x v="4"/>
    <n v="864182.6875"/>
    <n v="0.94118899106979403"/>
    <n v="1.6E-2"/>
    <n v="2.1578287204370201"/>
    <n v="2.292662516148158"/>
    <n v="-3.2667707811158901E-2"/>
    <n v="-1.4585845023393901E-3"/>
    <n v="8.0015242565422799E-3"/>
    <n v="-1.7688087530434101E-2"/>
    <n v="3.5956869833171901E-3"/>
    <b v="1"/>
    <b v="0"/>
    <b v="0"/>
    <b v="0"/>
  </r>
  <r>
    <x v="102"/>
    <x v="5"/>
    <n v="865906.5"/>
    <n v="0.94145673513412498"/>
    <n v="3.0000000000000001E-3"/>
    <n v="2.2397560831810202"/>
    <n v="2.379032407540143"/>
    <n v="3.7967500371115598E-2"/>
    <n v="-1.7688087530434101E-2"/>
    <n v="3.5956869833171901E-3"/>
    <n v="-1.4818079587072101E-2"/>
    <n v="-9.3798735179007296E-3"/>
    <b v="0"/>
    <b v="0"/>
    <b v="0"/>
    <b v="1"/>
  </r>
  <r>
    <x v="102"/>
    <x v="6"/>
    <n v="867355.875"/>
    <n v="0.94131004810333296"/>
    <n v="4.0000000000000001E-3"/>
    <n v="2.2655109413622299"/>
    <n v="2.4067637925751026"/>
    <n v="1.14989566831004E-2"/>
    <n v="-1.4818079587072101E-2"/>
    <n v="-9.4654723070562302E-3"/>
    <n v="4.5204298943280997E-3"/>
    <n v="-1.6063414514064899E-3"/>
    <b v="0"/>
    <b v="1"/>
    <b v="0"/>
    <b v="1"/>
  </r>
  <r>
    <x v="102"/>
    <x v="7"/>
    <n v="867186.8125"/>
    <n v="0.94124877452850297"/>
    <n v="0"/>
    <n v="2.1528764832620499"/>
    <n v="2.2872555497779894"/>
    <n v="-4.9717022347487601E-2"/>
    <n v="4.5204298943280997E-3"/>
    <n v="-1.6063414514064899E-3"/>
    <n v="-1.41743165990337E-2"/>
    <n v="-1.6182340099476202E-2"/>
    <b v="0"/>
    <b v="0"/>
    <b v="1"/>
    <b v="0"/>
  </r>
  <r>
    <x v="102"/>
    <x v="8"/>
    <n v="867898.375"/>
    <n v="0.94122499227523804"/>
    <n v="5.0000000000000001E-3"/>
    <n v="2.0352556237218802"/>
    <n v="2.1623476219028404"/>
    <n v="-5.4634281369430597E-2"/>
    <n v="-1.41743165990337E-2"/>
    <n v="-1.6182340099476202E-2"/>
    <n v="1.6669826745986899E-2"/>
    <n v="-1.35936252772807E-2"/>
    <b v="0"/>
    <b v="0"/>
    <b v="0"/>
    <b v="0"/>
  </r>
  <r>
    <x v="102"/>
    <x v="9"/>
    <n v="866464"/>
    <n v="0.93566751480102495"/>
    <n v="1.9E-2"/>
    <n v="2.07057284770868"/>
    <n v="2.2129365559399581"/>
    <n v="1.7352721483811898E-2"/>
    <n v="1.6669826745986899E-2"/>
    <n v="-1.35936252772807E-2"/>
    <n v="8.3402435183525005E-3"/>
    <n v="-4.8133134841918902E-3"/>
    <b v="0"/>
    <b v="1"/>
    <b v="0"/>
    <b v="0"/>
  </r>
  <r>
    <x v="102"/>
    <x v="10"/>
    <n v="865872.6875"/>
    <n v="0.93953043222427401"/>
    <n v="1.2999999999999999E-2"/>
    <n v="2.1349695157469601"/>
    <n v="2.2723793104738137"/>
    <n v="3.1100894667644201E-2"/>
    <n v="8.3402435183525005E-3"/>
    <n v="-4.8133134841918902E-3"/>
    <n v="-1.2954085171222999E-3"/>
    <n v="-4.0849819779395901E-3"/>
    <b v="0"/>
    <b v="1"/>
    <b v="0"/>
    <b v="0"/>
  </r>
  <r>
    <x v="102"/>
    <x v="11"/>
    <n v="866559.1875"/>
    <n v="0.94766080379486095"/>
    <n v="1.2E-2"/>
    <n v="2.0360654145863801"/>
    <n v="2.1485170711219213"/>
    <n v="-4.6325767385007897E-2"/>
    <n v="-1.2954085171222999E-3"/>
    <n v="-4.0849819779395901E-3"/>
    <n v="1.6765764206648E-3"/>
    <n v="-7.4584465473889897E-3"/>
    <b v="0"/>
    <b v="0"/>
    <b v="0"/>
    <b v="0"/>
  </r>
  <r>
    <x v="102"/>
    <x v="12"/>
    <n v="866244.5"/>
    <n v="0.94934660196304299"/>
    <n v="7.0000000000000001E-3"/>
    <n v="2.1037391145484401"/>
    <n v="2.2159863533490967"/>
    <n v="3.3237488087192402E-2"/>
    <n v="1.6765764206648E-3"/>
    <n v="-7.4584465473889897E-3"/>
    <n v="4.0118332654238004E-3"/>
    <n v="-1.3789361342787699E-2"/>
    <b v="0"/>
    <b v="1"/>
    <b v="0"/>
    <b v="0"/>
  </r>
  <r>
    <x v="102"/>
    <x v="13"/>
    <n v="865045.25"/>
    <n v="0.94670760631561302"/>
    <n v="2.5999999999999999E-2"/>
    <n v="2.0903553062542302"/>
    <n v="2.2080263138367013"/>
    <n v="-6.3619144606182204E-3"/>
    <n v="4.0118332654238004E-3"/>
    <n v="-1.3789361342787699E-2"/>
    <n v="1.67975519895554E-2"/>
    <n v="-2.0516384392975898E-3"/>
    <b v="0"/>
    <b v="0"/>
    <b v="1"/>
    <b v="0"/>
  </r>
  <r>
    <x v="102"/>
    <x v="14"/>
    <n v="860539.125"/>
    <n v="0.96349096298217796"/>
    <n v="1.2E-2"/>
    <n v="2.11238101251835"/>
    <n v="2.1924243129174252"/>
    <n v="1.0536824145742699E-2"/>
    <n v="1.67975519895554E-2"/>
    <n v="-2.0516384392975898E-3"/>
    <n v="1.2043310582637801E-2"/>
    <n v="-3.1546302139759098E-2"/>
    <b v="0"/>
    <b v="1"/>
    <b v="0"/>
    <b v="0"/>
  </r>
  <r>
    <x v="102"/>
    <x v="15"/>
    <n v="865533.6875"/>
    <n v="0.97072458267211903"/>
    <n v="1.6E-2"/>
    <n v="2.0729691655178102"/>
    <n v="2.1354864217114358"/>
    <n v="-1.8657546515982001E-2"/>
    <n v="1.2043310582637801E-2"/>
    <n v="-3.1546302139759098E-2"/>
    <n v="-4.1399566382169697E-2"/>
    <n v="-9.2960596084593998E-3"/>
    <b v="0"/>
    <b v="0"/>
    <b v="1"/>
    <b v="0"/>
  </r>
  <r>
    <x v="102"/>
    <x v="16"/>
    <n v="868888.9375"/>
    <n v="0.95317387580871604"/>
    <n v="3.3000000000000002E-2"/>
    <n v="2.0899693320367998"/>
    <n v="2.1926422713417053"/>
    <n v="8.2008776598190194E-3"/>
    <n v="-4.1399566382169697E-2"/>
    <n v="-8.8173560798167992E-3"/>
    <n v="-9.8486009836197003E-3"/>
    <n v="9.7103267908096001E-3"/>
    <b v="0"/>
    <b v="1"/>
    <b v="0"/>
    <b v="1"/>
  </r>
  <r>
    <x v="103"/>
    <x v="0"/>
    <n v="13570790"/>
    <n v="0.96498364210128795"/>
    <n v="7.0000000000000001E-3"/>
    <n v="2.3486712787473798"/>
    <n v="2.4338975048665699"/>
    <n v="2.7924628825473602E-3"/>
    <n v="3.69573064446449E-2"/>
    <n v="3.0594266951084099E-2"/>
    <n v="5.0660274088382598E-2"/>
    <n v="5.1582030020654097E-2"/>
    <b v="0"/>
    <b v="0"/>
    <b v="0"/>
    <b v="0"/>
  </r>
  <r>
    <x v="103"/>
    <x v="1"/>
    <n v="13620770"/>
    <n v="0.96450549364089999"/>
    <n v="8.0000000000000002E-3"/>
    <n v="2.3313143456207301"/>
    <n v="2.4171084156506772"/>
    <n v="-7.3901074551012396E-3"/>
    <n v="5.0660274088382598E-2"/>
    <n v="5.1582030020654097E-2"/>
    <n v="-5.0342218309640897E-2"/>
    <n v="-2.08314140327274E-2"/>
    <b v="1"/>
    <b v="0"/>
    <b v="1"/>
    <b v="0"/>
  </r>
  <r>
    <x v="103"/>
    <x v="2"/>
    <n v="13713630"/>
    <n v="0.96135348081588701"/>
    <n v="5.0000000000000001E-3"/>
    <n v="2.3305330529634301"/>
    <n v="2.4242207465515597"/>
    <n v="-3.3512969144053101E-4"/>
    <n v="-5.0342218309640897E-2"/>
    <n v="-2.08314140327274E-2"/>
    <n v="-8.0859706461429495E-2"/>
    <n v="-5.42930047959089E-2"/>
    <b v="0"/>
    <b v="0"/>
    <b v="0"/>
    <b v="0"/>
  </r>
  <r>
    <x v="103"/>
    <x v="3"/>
    <n v="13821420"/>
    <n v="0.96126794815063499"/>
    <n v="8.0000000000000002E-3"/>
    <n v="2.36544225835876"/>
    <n v="2.4607522417756558"/>
    <n v="1.49790647040762E-2"/>
    <n v="-8.0859706461429495E-2"/>
    <n v="-5.42930047959089E-2"/>
    <n v="1.6720223069190999E-2"/>
    <n v="2.6180331828072601E-2"/>
    <b v="0"/>
    <b v="1"/>
    <b v="0"/>
    <b v="1"/>
  </r>
  <r>
    <x v="103"/>
    <x v="4"/>
    <n v="13957350"/>
    <n v="0.96276098489761397"/>
    <n v="6.0000000000000001E-3"/>
    <n v="2.4322695760313899"/>
    <n v="2.5263482984720791"/>
    <n v="2.8251510869263401E-2"/>
    <n v="1.6720223069190999E-2"/>
    <n v="2.6180331828072601E-2"/>
    <n v="-2.0944734446704399E-2"/>
    <n v="3.3904006704689802E-4"/>
    <b v="0"/>
    <b v="0"/>
    <b v="0"/>
    <b v="0"/>
  </r>
  <r>
    <x v="103"/>
    <x v="5"/>
    <n v="14141820"/>
    <n v="0.96300733089446999"/>
    <n v="6.0000000000000001E-3"/>
    <n v="2.4227862773673299"/>
    <n v="2.5158544484983034"/>
    <n v="-3.8989504936112101E-3"/>
    <n v="-2.0944734446704399E-2"/>
    <n v="3.3904006704689802E-4"/>
    <n v="-6.1394006982445999E-3"/>
    <n v="-7.0119462907320003E-4"/>
    <b v="1"/>
    <b v="0"/>
    <b v="0"/>
    <b v="0"/>
  </r>
  <r>
    <x v="103"/>
    <x v="6"/>
    <n v="14308750"/>
    <n v="0.96528148651123002"/>
    <n v="5.0000000000000001E-3"/>
    <n v="2.4135408333768602"/>
    <n v="2.5003492422712918"/>
    <n v="-3.8160377895644299E-3"/>
    <n v="-6.1394006982445999E-3"/>
    <n v="-7.86793418228699E-4"/>
    <n v="3.5046624392271E-3"/>
    <n v="-2.6221089065074899E-3"/>
    <b v="0"/>
    <b v="0"/>
    <b v="0"/>
    <b v="0"/>
  </r>
  <r>
    <x v="103"/>
    <x v="7"/>
    <n v="14449810"/>
    <n v="0.96741575002670299"/>
    <n v="6.0000000000000001E-3"/>
    <n v="2.41358706398927"/>
    <n v="2.4948808864468552"/>
    <n v="1.9154684178277499E-5"/>
    <n v="3.5046624392271E-3"/>
    <n v="-2.6221089065074899E-3"/>
    <n v="9.8270911872386998E-3"/>
    <n v="7.8190676867961901E-3"/>
    <b v="0"/>
    <b v="1"/>
    <b v="0"/>
    <b v="0"/>
  </r>
  <r>
    <x v="103"/>
    <x v="8"/>
    <n v="14579630"/>
    <n v="0.96779066324233998"/>
    <n v="8.0000000000000002E-3"/>
    <n v="2.4128595047338601"/>
    <n v="2.4931626191248624"/>
    <n v="-3.0144313675827602E-4"/>
    <n v="9.8270911872386998E-3"/>
    <n v="7.8190676867961901E-3"/>
    <n v="2.87552384436131E-2"/>
    <n v="-1.50821357965459E-3"/>
    <b v="1"/>
    <b v="0"/>
    <b v="1"/>
    <b v="0"/>
  </r>
  <r>
    <x v="103"/>
    <x v="9"/>
    <n v="14693130"/>
    <n v="0.96586233377456698"/>
    <n v="1.0999999999999999E-2"/>
    <n v="2.40848860957691"/>
    <n v="2.4936147992898676"/>
    <n v="-1.81150006802248E-3"/>
    <n v="2.87552384436131E-2"/>
    <n v="-1.50821357965459E-3"/>
    <n v="4.2127895057201001E-3"/>
    <n v="-8.9407674968242992E-3"/>
    <b v="0"/>
    <b v="0"/>
    <b v="1"/>
    <b v="0"/>
  </r>
  <r>
    <x v="103"/>
    <x v="10"/>
    <n v="14781160"/>
    <n v="0.96937310695648204"/>
    <n v="1.2E-2"/>
    <n v="2.4291497638224802"/>
    <n v="2.5058976222779941"/>
    <n v="8.5784728910135895E-3"/>
    <n v="4.2127895057201001E-3"/>
    <n v="-8.9407674968242992E-3"/>
    <n v="-9.6763161048293005E-3"/>
    <n v="-1.2465889565646499E-2"/>
    <b v="0"/>
    <b v="1"/>
    <b v="0"/>
    <b v="0"/>
  </r>
  <r>
    <x v="103"/>
    <x v="11"/>
    <n v="14838010"/>
    <n v="0.96770882606506303"/>
    <n v="2.1000000000000001E-2"/>
    <n v="2.4085964269788001"/>
    <n v="2.4889681297759085"/>
    <n v="-8.4611237848660099E-3"/>
    <n v="-9.6763161048293005E-3"/>
    <n v="-1.2465889565646499E-2"/>
    <n v="-1.7963515222070201E-4"/>
    <n v="-9.31465812027449E-3"/>
    <b v="0"/>
    <b v="0"/>
    <b v="0"/>
    <b v="0"/>
  </r>
  <r>
    <x v="103"/>
    <x v="12"/>
    <n v="14875710"/>
    <n v="0.97210711240768399"/>
    <n v="1.7000000000000001E-2"/>
    <n v="2.3806297892904502"/>
    <n v="2.4489377342319636"/>
    <n v="-1.1611176274736699E-2"/>
    <n v="-1.7963515222070201E-4"/>
    <n v="-9.31465812027449E-3"/>
    <n v="3.0703145712613999E-3"/>
    <n v="-1.4730880036950099E-2"/>
    <b v="0"/>
    <b v="0"/>
    <b v="0"/>
    <b v="0"/>
  </r>
  <r>
    <x v="103"/>
    <x v="13"/>
    <n v="14897850"/>
    <n v="0.97183603048324596"/>
    <n v="1.4999999999999999E-2"/>
    <n v="2.3632116761289299"/>
    <n v="2.4316979428657546"/>
    <n v="-7.31659884282535E-3"/>
    <n v="3.0703145712613999E-3"/>
    <n v="-1.4730880036950099E-2"/>
    <n v="-2.8864387318491901E-2"/>
    <n v="-4.7713577747344901E-2"/>
    <b v="0"/>
    <b v="0"/>
    <b v="1"/>
    <b v="0"/>
  </r>
  <r>
    <x v="103"/>
    <x v="14"/>
    <n v="14749930"/>
    <n v="0.96398824453353904"/>
    <n v="1.2E-2"/>
    <n v="2.4379991990277299"/>
    <n v="2.5290756529997362"/>
    <n v="3.1646561183765E-2"/>
    <n v="-2.8864387318491901E-2"/>
    <n v="-4.7713577747344901E-2"/>
    <n v="1.37658438384533E-2"/>
    <n v="-2.9823768883943599E-2"/>
    <b v="0"/>
    <b v="1"/>
    <b v="0"/>
    <b v="1"/>
  </r>
  <r>
    <x v="103"/>
    <x v="15"/>
    <n v="14510080"/>
    <n v="0.97492724657058705"/>
    <n v="1.4E-2"/>
    <n v="2.3405066648701598"/>
    <n v="2.4006987937850206"/>
    <n v="-3.9988747410768001E-2"/>
    <n v="1.37658438384533E-2"/>
    <n v="-2.9823768883943599E-2"/>
    <n v="-4.3217765092849698E-2"/>
    <n v="-1.11142583191393E-2"/>
    <b v="0"/>
    <b v="0"/>
    <b v="1"/>
    <b v="0"/>
  </r>
  <r>
    <x v="103"/>
    <x v="16"/>
    <n v="14464830"/>
    <n v="0.97359549999237105"/>
    <n v="0.02"/>
    <n v="2.3231686227520898"/>
    <n v="2.3861743637581458"/>
    <n v="-7.4078157427650698E-3"/>
    <n v="-4.3217765092849698E-2"/>
    <n v="-1.06355547904967E-2"/>
    <n v="-1.8732462808489801E-2"/>
    <n v="8.2646496593950097E-4"/>
    <b v="0"/>
    <b v="0"/>
    <b v="0"/>
    <b v="0"/>
  </r>
  <r>
    <x v="104"/>
    <x v="0"/>
    <n v="1665115"/>
    <n v="0.93273597955703702"/>
    <n v="2.7E-2"/>
    <n v="2.35427294278273"/>
    <n v="2.524050743599267"/>
    <n v="1.49135978972477E-2"/>
    <n v="1.08469404578208E-2"/>
    <n v="4.4839009642600996E-3"/>
    <n v="2.54939413070679E-3"/>
    <n v="3.4711500629783002E-3"/>
    <b v="0"/>
    <b v="0"/>
    <b v="0"/>
    <b v="0"/>
  </r>
  <r>
    <x v="104"/>
    <x v="1"/>
    <n v="1663293"/>
    <n v="0.93364971876144398"/>
    <n v="8.0000000000000002E-3"/>
    <n v="2.3766572024168302"/>
    <n v="2.5455555275801327"/>
    <n v="9.5079288502741399E-3"/>
    <n v="2.54939413070679E-3"/>
    <n v="3.4711500629783002E-3"/>
    <n v="-2.47221219465137E-2"/>
    <n v="4.7886823303996996E-3"/>
    <b v="0"/>
    <b v="0"/>
    <b v="0"/>
    <b v="0"/>
  </r>
  <r>
    <x v="104"/>
    <x v="2"/>
    <n v="1664077"/>
    <n v="0.92923361063003496"/>
    <n v="1.4E-2"/>
    <n v="2.4141174899272002"/>
    <n v="2.5979661759010102"/>
    <n v="1.5761754565311301E-2"/>
    <n v="-2.47221219465137E-2"/>
    <n v="4.7886823303996996E-3"/>
    <n v="1.0831685546785499E-2"/>
    <n v="3.7398387212306199E-2"/>
    <b v="0"/>
    <b v="0"/>
    <b v="0"/>
    <b v="1"/>
  </r>
  <r>
    <x v="104"/>
    <x v="3"/>
    <n v="1671540"/>
    <n v="0.92822659015655495"/>
    <n v="1.2999999999999999E-2"/>
    <n v="2.31686891877118"/>
    <n v="2.4960165366307985"/>
    <n v="-4.0283280147628199E-2"/>
    <n v="1.0831685546785499E-2"/>
    <n v="3.7398387212306199E-2"/>
    <n v="-1.22028660811483E-2"/>
    <n v="-2.7427573222667001E-3"/>
    <b v="1"/>
    <b v="0"/>
    <b v="1"/>
    <b v="0"/>
  </r>
  <r>
    <x v="104"/>
    <x v="4"/>
    <n v="1682631"/>
    <n v="0.92700779438018799"/>
    <n v="0.01"/>
    <n v="2.3672812631843501"/>
    <n v="2.5536799987395487"/>
    <n v="2.1758824595008899E-2"/>
    <n v="-1.22028660811483E-2"/>
    <n v="-2.7427573222667001E-3"/>
    <n v="-2.8075808070599999E-2"/>
    <n v="-6.7920335568487297E-3"/>
    <b v="0"/>
    <b v="1"/>
    <b v="0"/>
    <b v="1"/>
  </r>
  <r>
    <x v="104"/>
    <x v="5"/>
    <n v="1692270"/>
    <n v="0.92332381010055498"/>
    <n v="1.2999999999999999E-2"/>
    <n v="2.3774330549624798"/>
    <n v="2.5748638007110034"/>
    <n v="4.2883758411027904E-3"/>
    <n v="-2.8075808070599999E-2"/>
    <n v="-6.7920335568487297E-3"/>
    <n v="-1.8122065629809999E-2"/>
    <n v="-1.26838595606386E-2"/>
    <b v="0"/>
    <b v="1"/>
    <b v="0"/>
    <b v="1"/>
  </r>
  <r>
    <x v="104"/>
    <x v="6"/>
    <n v="1704917"/>
    <n v="0.92688482999801602"/>
    <n v="1.4E-2"/>
    <n v="2.3914525112370502"/>
    <n v="2.580096721663002"/>
    <n v="5.8968879251100996E-3"/>
    <n v="-1.8122065629809999E-2"/>
    <n v="-1.2769458349794101E-2"/>
    <n v="-5.7180890440940799E-3"/>
    <n v="-1.18448603898286E-2"/>
    <b v="0"/>
    <b v="1"/>
    <b v="0"/>
    <b v="1"/>
  </r>
  <r>
    <x v="104"/>
    <x v="7"/>
    <n v="1714862"/>
    <n v="0.92228907346725497"/>
    <n v="1.7999999999999999E-2"/>
    <n v="2.3398484012429899"/>
    <n v="2.537001107956923"/>
    <n v="-2.15785635514734E-2"/>
    <n v="-5.7180890440940799E-3"/>
    <n v="-1.18448603898286E-2"/>
    <n v="-1.27655655927956E-2"/>
    <n v="-1.47735890932381E-2"/>
    <b v="0"/>
    <b v="0"/>
    <b v="0"/>
    <b v="0"/>
  </r>
  <r>
    <x v="104"/>
    <x v="8"/>
    <n v="1725993"/>
    <n v="0.91280108690261796"/>
    <n v="0.03"/>
    <n v="2.3938275892004501"/>
    <n v="2.6225073825485432"/>
    <n v="2.3069523619044099E-2"/>
    <n v="-1.27655655927956E-2"/>
    <n v="-1.47735890932381E-2"/>
    <n v="1.86311660110949E-2"/>
    <n v="-1.16322860121726E-2"/>
    <b v="0"/>
    <b v="1"/>
    <b v="0"/>
    <b v="1"/>
  </r>
  <r>
    <x v="104"/>
    <x v="9"/>
    <n v="1733087"/>
    <n v="0.92115533351898204"/>
    <n v="1.2E-2"/>
    <n v="2.3559561539859"/>
    <n v="2.557610066681931"/>
    <n v="-1.58204523105153E-2"/>
    <n v="1.86311660110949E-2"/>
    <n v="-1.16322860121726E-2"/>
    <n v="7.7327771931886896E-3"/>
    <n v="-5.4207798093557002E-3"/>
    <b v="0"/>
    <b v="0"/>
    <b v="1"/>
    <b v="0"/>
  </r>
  <r>
    <x v="104"/>
    <x v="10"/>
    <n v="1738343"/>
    <n v="0.91917675733566295"/>
    <n v="0.02"/>
    <n v="2.35810756652773"/>
    <n v="2.5654560428213715"/>
    <n v="9.1318021270622002E-4"/>
    <n v="7.7327771931886896E-3"/>
    <n v="-5.4207798093557002E-3"/>
    <n v="-2.0364041477442E-3"/>
    <n v="-4.8259776085614898E-3"/>
    <b v="0"/>
    <b v="1"/>
    <b v="0"/>
    <b v="0"/>
  </r>
  <r>
    <x v="104"/>
    <x v="11"/>
    <n v="1743217"/>
    <n v="0.92569750547409102"/>
    <n v="1.2E-2"/>
    <n v="2.3439373364687102"/>
    <n v="2.5320769718054659"/>
    <n v="-6.00915338221012E-3"/>
    <n v="-2.0364041477442E-3"/>
    <n v="-4.8259776085614898E-3"/>
    <n v="8.3666408658027904E-3"/>
    <n v="-7.6838210225099702E-4"/>
    <b v="0"/>
    <b v="0"/>
    <b v="0"/>
    <b v="0"/>
  </r>
  <r>
    <x v="104"/>
    <x v="12"/>
    <n v="1749649"/>
    <n v="0.93438547849655196"/>
    <n v="1.7999999999999999E-2"/>
    <n v="2.2259811406891901"/>
    <n v="2.3822942371395217"/>
    <n v="-5.0323954460841598E-2"/>
    <n v="8.3666408658027904E-3"/>
    <n v="-7.6838210225099702E-4"/>
    <n v="2.5881688266992501E-2"/>
    <n v="8.0804936587810898E-3"/>
    <b v="0"/>
    <b v="0"/>
    <b v="1"/>
    <b v="0"/>
  </r>
  <r>
    <x v="104"/>
    <x v="13"/>
    <n v="1758447"/>
    <n v="0.93720352649688698"/>
    <n v="1.6E-2"/>
    <n v="2.2977959317945"/>
    <n v="2.4517576671774637"/>
    <n v="3.22620842524622E-2"/>
    <n v="2.5881688266992501E-2"/>
    <n v="8.0804936587810898E-3"/>
    <n v="4.1948290646076199E-2"/>
    <n v="2.3099100217223199E-2"/>
    <b v="0"/>
    <b v="0"/>
    <b v="0"/>
    <b v="0"/>
  </r>
  <r>
    <x v="104"/>
    <x v="14"/>
    <n v="1765671"/>
    <n v="0.95994818210601796"/>
    <n v="0.02"/>
    <n v="2.0651219699325201"/>
    <n v="2.1512848385231331"/>
    <n v="-0.10125962825614"/>
    <n v="4.1948290646076199E-2"/>
    <n v="2.3099100217223199E-2"/>
    <n v="6.1978085219859903E-2"/>
    <n v="1.8388472497463001E-2"/>
    <b v="1"/>
    <b v="0"/>
    <b v="1"/>
    <b v="0"/>
  </r>
  <r>
    <x v="104"/>
    <x v="15"/>
    <n v="1768028"/>
    <n v="0.96354705095291104"/>
    <n v="1.2999999999999999E-2"/>
    <n v="2.2568826752023599"/>
    <n v="2.3422651472705867"/>
    <n v="9.2856842385975802E-2"/>
    <n v="6.1978085219859903E-2"/>
    <n v="1.8388472497463001E-2"/>
    <n v="-2.7528038173913999E-2"/>
    <n v="4.5754685997963004E-3"/>
    <b v="0"/>
    <b v="0"/>
    <b v="0"/>
    <b v="0"/>
  </r>
  <r>
    <x v="104"/>
    <x v="16"/>
    <n v="1768581"/>
    <n v="0.934953272342682"/>
    <n v="1.6E-2"/>
    <n v="2.1943007364893301"/>
    <n v="2.3469629995423644"/>
    <n v="-2.77293717571819E-2"/>
    <n v="-2.7528038173913999E-2"/>
    <n v="5.0541721284389001E-3"/>
    <n v="-1.22476171553135E-2"/>
    <n v="7.3113106191158E-3"/>
    <b v="1"/>
    <b v="0"/>
    <b v="0"/>
    <b v="0"/>
  </r>
  <r>
    <x v="105"/>
    <x v="0"/>
    <n v="427122.71875"/>
    <n v="0.94951975345611594"/>
    <n v="8.2000000000000003E-2"/>
    <n v="2.3951943222786301"/>
    <n v="2.5225323786687595"/>
    <n v="-9.4284384478542094E-3"/>
    <n v="3.4762506961822398E-2"/>
    <n v="2.8399467468261601E-2"/>
    <n v="-2.7011753022670999E-3"/>
    <n v="-1.7794193699955899E-3"/>
    <b v="1"/>
    <b v="0"/>
    <b v="1"/>
    <b v="0"/>
  </r>
  <r>
    <x v="105"/>
    <x v="1"/>
    <n v="439049.28125"/>
    <n v="0.92233377695083596"/>
    <n v="5.8999999999999997E-2"/>
    <n v="2.4355256544097701"/>
    <n v="2.6406120162501576"/>
    <n v="1.68384384331569E-2"/>
    <n v="-2.7011753022670999E-3"/>
    <n v="-1.7794193699955899E-3"/>
    <n v="-5.2294666238129103E-2"/>
    <n v="-2.27838619612157E-2"/>
    <b v="0"/>
    <b v="1"/>
    <b v="0"/>
    <b v="1"/>
  </r>
  <r>
    <x v="105"/>
    <x v="2"/>
    <n v="448748.8125"/>
    <n v="0.90915453433990501"/>
    <n v="4.9000000000000002E-2"/>
    <n v="2.1839211154190199"/>
    <n v="2.4021451061723669"/>
    <n v="-0.10330605162593499"/>
    <n v="-5.2294666238129103E-2"/>
    <n v="-2.27838619612157E-2"/>
    <n v="-2.9875577151775402E-2"/>
    <n v="-3.3088754862547502E-3"/>
    <b v="0"/>
    <b v="0"/>
    <b v="0"/>
    <b v="0"/>
  </r>
  <r>
    <x v="105"/>
    <x v="3"/>
    <n v="457742.09375"/>
    <n v="0.92068749666214"/>
    <n v="4.1000000000000002E-2"/>
    <n v="2.4002691985885201"/>
    <n v="2.6070400730871821"/>
    <n v="9.9064055767411605E-2"/>
    <n v="-2.9875577151775402E-2"/>
    <n v="-3.3088754862547502E-3"/>
    <n v="-7.4867430925369301E-3"/>
    <n v="1.9733656663447501E-3"/>
    <b v="0"/>
    <b v="1"/>
    <b v="0"/>
    <b v="1"/>
  </r>
  <r>
    <x v="105"/>
    <x v="4"/>
    <n v="468099"/>
    <n v="0.93087750673294101"/>
    <n v="6.0000000000000001E-3"/>
    <n v="2.3861693325979001"/>
    <n v="2.5633548080590449"/>
    <n v="-5.8742852672165197E-3"/>
    <n v="-7.4867430925369301E-3"/>
    <n v="1.9733656663447501E-3"/>
    <n v="-1.94918926507235E-2"/>
    <n v="1.7918818630278E-3"/>
    <b v="1"/>
    <b v="0"/>
    <b v="0"/>
    <b v="0"/>
  </r>
  <r>
    <x v="105"/>
    <x v="5"/>
    <n v="478446.40625"/>
    <n v="0.93890494108200095"/>
    <n v="4.0000000000000001E-3"/>
    <n v="2.43966407273287"/>
    <n v="2.5984143505745996"/>
    <n v="2.24186688698788E-2"/>
    <n v="-1.94918926507235E-2"/>
    <n v="1.7918818630278E-3"/>
    <n v="-1.0608400255442E-3"/>
    <n v="4.3773660436271901E-3"/>
    <b v="0"/>
    <b v="0"/>
    <b v="0"/>
    <b v="1"/>
  </r>
  <r>
    <x v="105"/>
    <x v="6"/>
    <n v="487974.3125"/>
    <n v="0.95174449682235696"/>
    <n v="1E-3"/>
    <n v="2.3389642974021698"/>
    <n v="2.4575548429346341"/>
    <n v="-4.1276082414863399E-2"/>
    <n v="-1.0608400255442E-3"/>
    <n v="4.2917672544716904E-3"/>
    <n v="-1.53382342308759E-3"/>
    <n v="-7.6605947688222001E-3"/>
    <b v="1"/>
    <b v="0"/>
    <b v="0"/>
    <b v="0"/>
  </r>
  <r>
    <x v="105"/>
    <x v="7"/>
    <n v="496906.8125"/>
    <n v="0.95358300209045399"/>
    <n v="3.0000000000000001E-3"/>
    <n v="2.6514770043942599"/>
    <n v="2.7805413881976357"/>
    <n v="0.13361157643115401"/>
    <n v="-1.53382342308759E-3"/>
    <n v="-7.6605947688222001E-3"/>
    <n v="3.4125324487685898E-3"/>
    <n v="1.40450894832609E-3"/>
    <b v="0"/>
    <b v="1"/>
    <b v="0"/>
    <b v="1"/>
  </r>
  <r>
    <x v="105"/>
    <x v="8"/>
    <n v="507121.3125"/>
    <n v="0.95367634296417203"/>
    <n v="1E-3"/>
    <n v="2.50041156027071"/>
    <n v="2.621865980757212"/>
    <n v="-5.6974072893406003E-2"/>
    <n v="3.4125324487685898E-3"/>
    <n v="1.40450894832609E-3"/>
    <n v="2.45645327270031E-2"/>
    <n v="-5.6989192962645903E-3"/>
    <b v="1"/>
    <b v="0"/>
    <b v="1"/>
    <b v="0"/>
  </r>
  <r>
    <x v="105"/>
    <x v="9"/>
    <n v="518669.375"/>
    <n v="0.96497595310211204"/>
    <n v="2.5000000000000001E-2"/>
    <n v="2.4661432777232499"/>
    <n v="2.5556525733054065"/>
    <n v="-1.3705056836222199E-2"/>
    <n v="2.45645327270031E-2"/>
    <n v="-5.6989192962645903E-3"/>
    <n v="1.1660903960466399E-2"/>
    <n v="-1.492653042078E-3"/>
    <b v="0"/>
    <b v="0"/>
    <b v="1"/>
    <b v="0"/>
  </r>
  <r>
    <x v="105"/>
    <x v="10"/>
    <n v="530986.875"/>
    <n v="0.95263880491256703"/>
    <n v="3.9E-2"/>
    <n v="2.3329890491134599"/>
    <n v="2.4489754533226065"/>
    <n v="-5.3992900498756803E-2"/>
    <n v="1.1660903960466399E-2"/>
    <n v="-1.492653042078E-3"/>
    <n v="-1.43194853365421E-2"/>
    <n v="-1.7109058797359401E-2"/>
    <b v="0"/>
    <b v="0"/>
    <b v="1"/>
    <b v="0"/>
  </r>
  <r>
    <x v="105"/>
    <x v="11"/>
    <n v="542506.25"/>
    <n v="0.93064785003662098"/>
    <n v="6.3E-2"/>
    <n v="2.4963541740123798"/>
    <n v="2.6823832171472253"/>
    <n v="7.0023957018140903E-2"/>
    <n v="-1.43194853365421E-2"/>
    <n v="-1.7109058797359401E-2"/>
    <n v="1.10966453552246E-2"/>
    <n v="1.9616223871707999E-3"/>
    <b v="0"/>
    <b v="1"/>
    <b v="0"/>
    <b v="1"/>
  </r>
  <r>
    <x v="105"/>
    <x v="12"/>
    <n v="552533.3125"/>
    <n v="0.94018501043319702"/>
    <n v="3.7999999999999999E-2"/>
    <n v="2.45371979666244"/>
    <n v="2.6098265441733335"/>
    <n v="-1.7078657264972701E-2"/>
    <n v="1.10966453552246E-2"/>
    <n v="1.9616223871707999E-3"/>
    <n v="-3.23282352834939E-3"/>
    <n v="-2.10340181365609E-2"/>
    <b v="1"/>
    <b v="0"/>
    <b v="1"/>
    <b v="0"/>
  </r>
  <r>
    <x v="105"/>
    <x v="13"/>
    <n v="563359.0625"/>
    <n v="0.93957328796386697"/>
    <n v="6.8000000000000005E-2"/>
    <n v="2.37025093490867"/>
    <n v="2.5226887197327628"/>
    <n v="-3.4017275268063897E-2"/>
    <n v="-3.23282352834939E-3"/>
    <n v="-2.10340181365609E-2"/>
    <n v="8.6619873642920994E-3"/>
    <n v="-1.0187203064560901E-2"/>
    <b v="0"/>
    <b v="0"/>
    <b v="0"/>
    <b v="0"/>
  </r>
  <r>
    <x v="105"/>
    <x v="14"/>
    <n v="576466.625"/>
    <n v="0.93569195270538297"/>
    <n v="4.2999999999999997E-2"/>
    <n v="2.4115656845894602"/>
    <n v="2.5773072832537003"/>
    <n v="1.7430538291245301E-2"/>
    <n v="8.6619873642920994E-3"/>
    <n v="-1.0187203064560901E-2"/>
    <n v="1.80076940655708E-2"/>
    <n v="-2.5581918656826099E-2"/>
    <b v="0"/>
    <b v="1"/>
    <b v="0"/>
    <b v="0"/>
  </r>
  <r>
    <x v="105"/>
    <x v="15"/>
    <n v="590035.1875"/>
    <n v="0.95481592416763295"/>
    <n v="6.5000000000000002E-2"/>
    <n v="2.3941465890347202"/>
    <n v="2.507443087652558"/>
    <n v="-7.2231478769384299E-3"/>
    <n v="1.80076940655708E-2"/>
    <n v="-2.5581918656826099E-2"/>
    <n v="1.5956228673458001E-2"/>
    <n v="4.8059735447168399E-2"/>
    <b v="0"/>
    <b v="0"/>
    <b v="1"/>
    <b v="0"/>
  </r>
  <r>
    <x v="105"/>
    <x v="16"/>
    <n v="605385.9375"/>
    <n v="0.94483309984207198"/>
    <n v="4.9000000000000002E-2"/>
    <n v="2.32384639400561"/>
    <n v="2.4595311006716836"/>
    <n v="-2.9363362858014001E-2"/>
    <n v="1.5956228673458001E-2"/>
    <n v="4.8538438975810998E-2"/>
    <n v="-1.69524408727884E-2"/>
    <n v="2.6064869016408899E-3"/>
    <b v="1"/>
    <b v="0"/>
    <b v="1"/>
    <b v="0"/>
  </r>
  <r>
    <x v="106"/>
    <x v="0"/>
    <n v="270762.5"/>
    <n v="0.94968146085739102"/>
    <n v="1.0999999999999999E-2"/>
    <n v="2.1096823968110998"/>
    <n v="2.2214631787235661"/>
    <n v="-6.2073734485286296E-3"/>
    <n v="-5.6946992874097602E-5"/>
    <n v="-6.4199864864348897E-3"/>
    <n v="2.1100818216800901E-3"/>
    <n v="3.0318377539515998E-3"/>
    <b v="0"/>
    <b v="0"/>
    <b v="0"/>
    <b v="0"/>
  </r>
  <r>
    <x v="106"/>
    <x v="1"/>
    <n v="271158.375"/>
    <n v="0.94822686910629295"/>
    <n v="0"/>
    <n v="2.2012499999999999"/>
    <n v="2.321438119629204"/>
    <n v="4.3403501554214602E-2"/>
    <n v="2.1100818216800901E-3"/>
    <n v="3.0318377539515998E-3"/>
    <n v="-3.05548359751701E-2"/>
    <n v="-1.0440316982567299E-3"/>
    <b v="0"/>
    <b v="0"/>
    <b v="0"/>
    <b v="0"/>
  </r>
  <r>
    <x v="106"/>
    <x v="2"/>
    <n v="272894.59375"/>
    <n v="0.94653892517089799"/>
    <n v="0"/>
    <n v="2.2240547063555902"/>
    <n v="2.3496706233756166"/>
    <n v="1.0359889315430399E-2"/>
    <n v="-3.05548359751701E-2"/>
    <n v="-1.0440316982567299E-3"/>
    <n v="-2.2751304045319599E-2"/>
    <n v="3.8153976202010501E-3"/>
    <b v="0"/>
    <b v="1"/>
    <b v="0"/>
    <b v="1"/>
  </r>
  <r>
    <x v="106"/>
    <x v="3"/>
    <n v="273765.5"/>
    <n v="0.94701212644577004"/>
    <n v="0"/>
    <n v="2.3290453200435999"/>
    <n v="2.4593616649712149"/>
    <n v="4.72068485491784E-2"/>
    <n v="-2.2751304045319599E-2"/>
    <n v="3.8153976202010501E-3"/>
    <n v="-3.33075582981099E-4"/>
    <n v="9.1270331759005802E-3"/>
    <b v="0"/>
    <b v="0"/>
    <b v="0"/>
    <b v="1"/>
  </r>
  <r>
    <x v="106"/>
    <x v="4"/>
    <n v="273961.3125"/>
    <n v="0.94690316915512096"/>
    <n v="4.0000000000000001E-3"/>
    <n v="2.0657991363863299"/>
    <n v="2.1816371553910305"/>
    <n v="-0.113027505902007"/>
    <n v="-3.33075582981099E-4"/>
    <n v="9.1270331759005802E-3"/>
    <n v="-2.2908566862344701E-2"/>
    <n v="-1.62479234859344E-3"/>
    <b v="1"/>
    <b v="0"/>
    <b v="0"/>
    <b v="0"/>
  </r>
  <r>
    <x v="106"/>
    <x v="5"/>
    <n v="273827.59375"/>
    <n v="0.949751317501068"/>
    <n v="1E-3"/>
    <n v="2.17028057425388"/>
    <n v="2.2851040417234687"/>
    <n v="5.0576765198149701E-2"/>
    <n v="-2.2908566862344701E-2"/>
    <n v="-1.62479234859344E-3"/>
    <n v="-3.9607754945755001E-3"/>
    <n v="1.47743057459589E-3"/>
    <b v="0"/>
    <b v="1"/>
    <b v="0"/>
    <b v="1"/>
  </r>
  <r>
    <x v="106"/>
    <x v="6"/>
    <n v="274730.90625"/>
    <n v="0.94770222902297996"/>
    <n v="0"/>
    <n v="2.1076577673185599"/>
    <n v="2.2239662446414412"/>
    <n v="-2.8854705552000599E-2"/>
    <n v="-3.9607754945755001E-3"/>
    <n v="1.3918317854403901E-3"/>
    <n v="-1.0087153278291201E-2"/>
    <n v="-1.6213924624025801E-2"/>
    <b v="1"/>
    <b v="0"/>
    <b v="0"/>
    <b v="0"/>
  </r>
  <r>
    <x v="106"/>
    <x v="7"/>
    <n v="273831.59375"/>
    <n v="0.94143587350845304"/>
    <n v="0"/>
    <n v="2.42742641040837"/>
    <n v="2.5784299055463755"/>
    <n v="0.15171753595301701"/>
    <n v="-1.0087153278291201E-2"/>
    <n v="-1.6213924624025801E-2"/>
    <n v="4.1968755573033997E-3"/>
    <n v="2.1888520568608899E-3"/>
    <b v="0"/>
    <b v="1"/>
    <b v="0"/>
    <b v="1"/>
  </r>
  <r>
    <x v="106"/>
    <x v="8"/>
    <n v="272614.90625"/>
    <n v="0.94347345829009999"/>
    <n v="0.01"/>
    <n v="2.1535704996676501"/>
    <n v="2.2825978629760972"/>
    <n v="-0.11281738946502"/>
    <n v="4.1968755573033997E-3"/>
    <n v="2.1888520568608899E-3"/>
    <n v="1.22682528346776E-2"/>
    <n v="-1.7995199188589901E-2"/>
    <b v="1"/>
    <b v="0"/>
    <b v="1"/>
    <b v="0"/>
  </r>
  <r>
    <x v="106"/>
    <x v="9"/>
    <n v="271293.625"/>
    <n v="0.92783612012863204"/>
    <n v="3.5000000000000003E-2"/>
    <n v="2.1553168985436399"/>
    <n v="2.3229499819912531"/>
    <n v="8.1093183448613002E-4"/>
    <n v="1.22682528346776E-2"/>
    <n v="-1.7995199188589901E-2"/>
    <n v="1.79276059269904E-2"/>
    <n v="4.7740489244460903E-3"/>
    <b v="0"/>
    <b v="1"/>
    <b v="0"/>
    <b v="0"/>
  </r>
  <r>
    <x v="106"/>
    <x v="10"/>
    <n v="270546.59375"/>
    <n v="0.94439607858657804"/>
    <n v="6.0000000000000001E-3"/>
    <n v="2.0001964691683698"/>
    <n v="2.1179635478388961"/>
    <n v="-7.1971054224133094E-2"/>
    <n v="1.79276059269904E-2"/>
    <n v="4.7740489244460903E-3"/>
    <n v="-6.4174014180899E-3"/>
    <n v="-9.2069748789071898E-3"/>
    <b v="1"/>
    <b v="0"/>
    <b v="1"/>
    <b v="0"/>
  </r>
  <r>
    <x v="106"/>
    <x v="11"/>
    <n v="270067.28125"/>
    <n v="0.91671788692474399"/>
    <n v="3.2000000000000001E-2"/>
    <n v="2.1393705663776599"/>
    <n v="2.3337283987710462"/>
    <n v="6.9580213421309905E-2"/>
    <n v="-6.4174014180899E-3"/>
    <n v="-9.2069748789071898E-3"/>
    <n v="1.90436804890632E-2"/>
    <n v="9.9086575210095007E-3"/>
    <b v="0"/>
    <b v="1"/>
    <b v="0"/>
    <b v="1"/>
  </r>
  <r>
    <x v="106"/>
    <x v="12"/>
    <n v="269501.1875"/>
    <n v="0.93911689519882202"/>
    <n v="1.2E-2"/>
    <n v="2.1528099173553699"/>
    <n v="2.2923769430211292"/>
    <n v="6.2819182375061797E-3"/>
    <n v="1.90436804890632E-2"/>
    <n v="9.9086575210095007E-3"/>
    <n v="2.2211975574493399E-2"/>
    <n v="4.41078096628189E-3"/>
    <b v="0"/>
    <b v="0"/>
    <b v="0"/>
    <b v="0"/>
  </r>
  <r>
    <x v="106"/>
    <x v="13"/>
    <n v="268684.59375"/>
    <n v="0.93430763483047496"/>
    <n v="-1E-3"/>
    <n v="2.1726594301221098"/>
    <n v="2.325421894380995"/>
    <n v="9.2202811807596107E-3"/>
    <n v="2.2211975574493399E-2"/>
    <n v="4.41078096628189E-3"/>
    <n v="2.39754972159863E-2"/>
    <n v="5.1263067871333001E-3"/>
    <b v="0"/>
    <b v="0"/>
    <b v="0"/>
    <b v="0"/>
  </r>
  <r>
    <x v="106"/>
    <x v="14"/>
    <n v="266543.09375"/>
    <n v="0.95806473493576005"/>
    <n v="7.2999999999999995E-2"/>
    <n v="1.8093654313166501"/>
    <n v="1.8885628134908559"/>
    <n v="-0.16721166408719901"/>
    <n v="2.39754972159863E-2"/>
    <n v="5.1263067871333001E-3"/>
    <n v="3.9507230997085599E-2"/>
    <n v="-4.0823817253113001E-3"/>
    <b v="1"/>
    <b v="0"/>
    <b v="1"/>
    <b v="0"/>
  </r>
  <r>
    <x v="106"/>
    <x v="15"/>
    <n v="267252.40625"/>
    <n v="0.97047317028045699"/>
    <n v="2.4E-2"/>
    <n v="2.1407413402395599"/>
    <n v="2.2058738003245439"/>
    <n v="0.18314482148681799"/>
    <n v="3.9507230997085599E-2"/>
    <n v="-4.0823817253113001E-3"/>
    <n v="-1.04738864302635E-2"/>
    <n v="2.16296203434467E-2"/>
    <b v="0"/>
    <b v="1"/>
    <b v="0"/>
    <b v="0"/>
  </r>
  <r>
    <x v="106"/>
    <x v="16"/>
    <n v="268483.78125"/>
    <n v="0.96116393804550204"/>
    <n v="0"/>
    <n v="1.9701435455495699"/>
    <n v="2.0497476731761259"/>
    <n v="-7.9690989043492297E-2"/>
    <n v="-1.04738864302635E-2"/>
    <n v="2.2108323872089299E-2"/>
    <n v="2.9124268531799301E-2"/>
    <n v="4.8683196306228603E-2"/>
    <b v="1"/>
    <b v="0"/>
    <b v="0"/>
    <b v="0"/>
  </r>
  <r>
    <x v="107"/>
    <x v="0"/>
    <n v="128214.4921875"/>
    <n v="0.95253503322601296"/>
    <n v="0"/>
    <n v="2.3332565637954801"/>
    <n v="2.4495230961671686"/>
    <n v="8.5868642043799692E-3"/>
    <n v="1.07901595830917E-2"/>
    <n v="4.4271200895308997E-3"/>
    <n v="1.29933982193469E-2"/>
    <n v="1.39151541516185E-2"/>
    <b v="0"/>
    <b v="0"/>
    <b v="0"/>
    <b v="0"/>
  </r>
  <r>
    <x v="107"/>
    <x v="1"/>
    <n v="131109.40625"/>
    <n v="0.95200949907302901"/>
    <n v="0"/>
    <n v="2.3222422297032801"/>
    <n v="2.4393057337814863"/>
    <n v="-4.7205842096886197E-3"/>
    <n v="1.29933982193469E-2"/>
    <n v="1.39151541516185E-2"/>
    <n v="-2.7532139152288401E-2"/>
    <n v="1.9786651246250001E-3"/>
    <b v="1"/>
    <b v="0"/>
    <b v="1"/>
    <b v="0"/>
  </r>
  <r>
    <x v="107"/>
    <x v="2"/>
    <n v="134036.1875"/>
    <n v="0.94504553079605103"/>
    <n v="0"/>
    <n v="2.5310626523486301"/>
    <n v="2.678244137313269"/>
    <n v="8.9921895302041893E-2"/>
    <n v="-2.7532139152288401E-2"/>
    <n v="1.9786651246250001E-3"/>
    <n v="-2.9270951360464099E-2"/>
    <n v="-2.7042496949434502E-3"/>
    <b v="0"/>
    <b v="0"/>
    <b v="0"/>
    <b v="1"/>
  </r>
  <r>
    <x v="107"/>
    <x v="3"/>
    <n v="136957.59375"/>
    <n v="0.93322867155075095"/>
    <n v="0"/>
    <n v="2.5715696494211802"/>
    <n v="2.7555621980066145"/>
    <n v="1.6003948790031398E-2"/>
    <n v="-2.9270951360464099E-2"/>
    <n v="-2.7042496949434502E-3"/>
    <n v="-1.53926134193316E-2"/>
    <n v="-5.9325046604499204E-3"/>
    <b v="0"/>
    <b v="1"/>
    <b v="0"/>
    <b v="1"/>
  </r>
  <r>
    <x v="107"/>
    <x v="4"/>
    <n v="137597.59375"/>
    <n v="0.93726330995559703"/>
    <n v="0"/>
    <n v="2.18441544492776"/>
    <n v="2.3306315543614384"/>
    <n v="-0.15055170859578201"/>
    <n v="-1.53926134193316E-2"/>
    <n v="-5.9325046604499204E-3"/>
    <n v="-2.51796407327055E-2"/>
    <n v="-3.89586621895429E-3"/>
    <b v="0"/>
    <b v="0"/>
    <b v="0"/>
    <b v="0"/>
  </r>
  <r>
    <x v="107"/>
    <x v="5"/>
    <n v="140495.296875"/>
    <n v="0.93745034933090199"/>
    <n v="4.3999999999999997E-2"/>
    <n v="2.3339221608068801"/>
    <n v="2.4896488251059901"/>
    <n v="6.8442436728905903E-2"/>
    <n v="-2.51796407327055E-2"/>
    <n v="-3.89586621895429E-3"/>
    <n v="1.66789085566998E-2"/>
    <n v="2.2117114625871199E-2"/>
    <b v="0"/>
    <b v="1"/>
    <b v="0"/>
    <b v="1"/>
  </r>
  <r>
    <x v="107"/>
    <x v="6"/>
    <n v="145208.09375"/>
    <n v="0.937475144863129"/>
    <n v="0"/>
    <n v="2.1560090702947798"/>
    <n v="2.2998039810533393"/>
    <n v="-7.6229230562938205E-2"/>
    <n v="1.66789085566998E-2"/>
    <n v="2.2031515836715702E-2"/>
    <n v="6.9359397888183998E-3"/>
    <n v="8.0916844308380096E-4"/>
    <b v="1"/>
    <b v="0"/>
    <b v="1"/>
    <b v="0"/>
  </r>
  <r>
    <x v="107"/>
    <x v="7"/>
    <n v="150061.59375"/>
    <n v="0.92028987407684304"/>
    <n v="5.0999999999999997E-2"/>
    <n v="2.7237209302325498"/>
    <n v="2.9596337055916826"/>
    <n v="0.26331608143937502"/>
    <n v="6.9359397888183998E-3"/>
    <n v="8.0916844308380096E-4"/>
    <n v="2.0455310881137799E-2"/>
    <n v="1.8447287380695201E-2"/>
    <b v="0"/>
    <b v="0"/>
    <b v="0"/>
    <b v="0"/>
  </r>
  <r>
    <x v="107"/>
    <x v="8"/>
    <n v="154872.296875"/>
    <n v="0.92479956150054898"/>
    <n v="5.0999999999999997E-2"/>
    <n v="2.6147384091875798"/>
    <n v="2.8273568868750245"/>
    <n v="-4.0012366845407002E-2"/>
    <n v="2.0455310881137799E-2"/>
    <n v="1.8447287380695201E-2"/>
    <n v="-8.8402433156967206E-2"/>
    <n v="-0.11866588518023399"/>
    <b v="1"/>
    <b v="0"/>
    <b v="1"/>
    <b v="0"/>
  </r>
  <r>
    <x v="107"/>
    <x v="9"/>
    <n v="158088"/>
    <n v="0.87304908037185702"/>
    <n v="0"/>
    <n v="2.3540258920113599"/>
    <n v="2.6963270965347239"/>
    <n v="-9.9708833686815407E-2"/>
    <n v="-8.8402433156967206E-2"/>
    <n v="-0.11866588518023399"/>
    <n v="-6.4121100783348095E-2"/>
    <n v="-7.72746577858925E-2"/>
    <b v="0"/>
    <b v="0"/>
    <b v="0"/>
    <b v="0"/>
  </r>
  <r>
    <x v="107"/>
    <x v="10"/>
    <n v="156057"/>
    <n v="0.88803714513778698"/>
    <n v="8.0000000000000002E-3"/>
    <n v="2.1255404148196702"/>
    <n v="2.3935264717895031"/>
    <n v="-9.7061582018735104E-2"/>
    <n v="-6.4121100783348095E-2"/>
    <n v="-7.72746577858925E-2"/>
    <n v="0.262844947814941"/>
    <n v="0.26005537435412301"/>
    <b v="0"/>
    <b v="0"/>
    <b v="0"/>
    <b v="0"/>
  </r>
  <r>
    <x v="107"/>
    <x v="11"/>
    <n v="156391.40625"/>
    <n v="0.94915926456451405"/>
    <n v="4.1000000000000002E-2"/>
    <n v="2.2959947899706901"/>
    <n v="2.4189773789166149"/>
    <n v="8.0193429380393394E-2"/>
    <n v="0.262844947814941"/>
    <n v="0.26005537435412301"/>
    <n v="0.101203981995583"/>
    <n v="9.2068959027529207E-2"/>
    <b v="0"/>
    <b v="0"/>
    <b v="0"/>
    <b v="0"/>
  </r>
  <r>
    <x v="107"/>
    <x v="12"/>
    <n v="161025.296875"/>
    <n v="0.93813306093215898"/>
    <n v="0"/>
    <n v="2.6248809901618499"/>
    <n v="2.7979836757417806"/>
    <n v="0.143243443594816"/>
    <n v="0.101203981995583"/>
    <n v="9.2068959027529207E-2"/>
    <n v="-4.3832038372754997E-2"/>
    <n v="-6.1633232980966499E-2"/>
    <b v="0"/>
    <b v="0"/>
    <b v="0"/>
    <b v="0"/>
  </r>
  <r>
    <x v="107"/>
    <x v="13"/>
    <n v="164470.703125"/>
    <n v="0.90124005079269398"/>
    <n v="0"/>
    <n v="2.51954860937734"/>
    <n v="2.7956465174414387"/>
    <n v="-4.0128440557610903E-2"/>
    <n v="-4.3832038372754997E-2"/>
    <n v="-6.1633232980966499E-2"/>
    <n v="-0.274355744838715"/>
    <n v="-0.29320493526756802"/>
    <b v="0"/>
    <b v="0"/>
    <b v="0"/>
    <b v="0"/>
  </r>
  <r>
    <x v="107"/>
    <x v="14"/>
    <n v="164330.3125"/>
    <n v="0.77393198013305697"/>
    <n v="3.5999999999999997E-2"/>
    <n v="2.6612505440301701"/>
    <n v="3.4386103848204321"/>
    <n v="5.6241000521063102E-2"/>
    <n v="-0.274355744838715"/>
    <n v="-0.29320493526756802"/>
    <n v="-4.3463683666661299E-2"/>
    <n v="-8.7053296389058205E-2"/>
    <b v="0"/>
    <b v="1"/>
    <b v="0"/>
    <b v="1"/>
  </r>
  <r>
    <x v="107"/>
    <x v="15"/>
    <n v="160941"/>
    <n v="0.84494227170944203"/>
    <n v="0"/>
    <n v="2.62015620306398"/>
    <n v="3.1009884234611911"/>
    <n v="-1.5441740747926499E-2"/>
    <n v="-4.3463683666661299E-2"/>
    <n v="-8.7053296389058205E-2"/>
    <n v="8.9769972562789999E-2"/>
    <n v="0.1218734793365"/>
    <b v="0"/>
    <b v="0"/>
    <b v="0"/>
    <b v="0"/>
  </r>
  <r>
    <x v="107"/>
    <x v="16"/>
    <n v="162443.09375"/>
    <n v="0.90787202119827304"/>
    <n v="6.0000000000000001E-3"/>
    <n v="2.3769418410579002"/>
    <n v="2.6181463747727856"/>
    <n v="-9.2824375020721606E-2"/>
    <n v="8.9769972562789999E-2"/>
    <n v="0.122352182865142"/>
    <n v="7.4115329623221995E-2"/>
    <n v="9.3674257397651298E-2"/>
    <b v="1"/>
    <b v="0"/>
    <b v="1"/>
    <b v="0"/>
  </r>
  <r>
    <x v="108"/>
    <x v="0"/>
    <n v="549720.25"/>
    <n v="0.94475144147872903"/>
    <n v="5.0000000000000001E-3"/>
    <n v="2.51077252071638"/>
    <n v="2.6576011535759161"/>
    <n v="-4.5660984562074403E-2"/>
    <n v="9.3724817335605892E-3"/>
    <n v="3.0094422399997902E-3"/>
    <n v="1.52782975733279E-2"/>
    <n v="1.6200053505599499E-2"/>
    <b v="1"/>
    <b v="0"/>
    <b v="1"/>
    <b v="0"/>
  </r>
  <r>
    <x v="108"/>
    <x v="1"/>
    <n v="565581.5"/>
    <n v="0.94675087928771995"/>
    <n v="4.0000000000000001E-3"/>
    <n v="2.6068247666058499"/>
    <n v="2.7534431957085403"/>
    <n v="3.8256052707660998E-2"/>
    <n v="1.52782975733279E-2"/>
    <n v="1.6200053505599499E-2"/>
    <n v="-2.7275594241917001E-2"/>
    <n v="2.2352100349963002E-3"/>
    <b v="0"/>
    <b v="0"/>
    <b v="0"/>
    <b v="0"/>
  </r>
  <r>
    <x v="108"/>
    <x v="2"/>
    <n v="579997.9375"/>
    <n v="0.92624282836914096"/>
    <n v="3.9E-2"/>
    <n v="2.5081377597226102"/>
    <n v="2.7078620021692923"/>
    <n v="-3.7857169437489298E-2"/>
    <n v="-2.7275594241917001E-2"/>
    <n v="2.2352100349963002E-3"/>
    <n v="-3.33406708240509E-2"/>
    <n v="-6.7739691585302396E-3"/>
    <b v="1"/>
    <b v="0"/>
    <b v="0"/>
    <b v="0"/>
  </r>
  <r>
    <x v="108"/>
    <x v="3"/>
    <n v="591591.1875"/>
    <n v="0.92282897233963002"/>
    <n v="3.3000000000000002E-2"/>
    <n v="2.6430657471715699"/>
    <n v="2.8640905589154375"/>
    <n v="5.3796083140136397E-2"/>
    <n v="-3.33406708240509E-2"/>
    <n v="-6.7739691585302396E-3"/>
    <n v="-1.3150400653481401E-2"/>
    <n v="-3.6902918945997901E-3"/>
    <b v="0"/>
    <b v="1"/>
    <b v="0"/>
    <b v="1"/>
  </r>
  <r>
    <x v="108"/>
    <x v="4"/>
    <n v="601528.0625"/>
    <n v="0.93018043041229204"/>
    <n v="0"/>
    <n v="2.7937208786332302"/>
    <n v="3.0034182480004925"/>
    <n v="5.7000145237736603E-2"/>
    <n v="-1.3150400653481401E-2"/>
    <n v="-3.6902918945997901E-3"/>
    <n v="-2.3037604399025399E-2"/>
    <n v="-1.75382988527414E-3"/>
    <b v="0"/>
    <b v="1"/>
    <b v="0"/>
    <b v="1"/>
  </r>
  <r>
    <x v="108"/>
    <x v="5"/>
    <n v="608084.875"/>
    <n v="0.93063837289810203"/>
    <n v="7.0000000000000001E-3"/>
    <n v="2.58098064931777"/>
    <n v="2.7733443241549725"/>
    <n v="-7.6149421705842005E-2"/>
    <n v="-2.3037604399025399E-2"/>
    <n v="-1.75382988527414E-3"/>
    <n v="-8.9562649875879006E-3"/>
    <n v="-3.5180589184165001E-3"/>
    <b v="0"/>
    <b v="0"/>
    <b v="0"/>
    <b v="0"/>
  </r>
  <r>
    <x v="108"/>
    <x v="6"/>
    <n v="615961.1875"/>
    <n v="0.92819708585739102"/>
    <n v="5.5E-2"/>
    <n v="2.69412140283668"/>
    <n v="2.9025316324367423"/>
    <n v="4.3836343193356303E-2"/>
    <n v="-8.9562649875879006E-3"/>
    <n v="-3.6036577075719898E-3"/>
    <n v="-3.8099459931254E-3"/>
    <n v="-9.9367173388600002E-3"/>
    <b v="0"/>
    <b v="1"/>
    <b v="0"/>
    <b v="1"/>
  </r>
  <r>
    <x v="108"/>
    <x v="7"/>
    <n v="625626.5625"/>
    <n v="0.93213129043579102"/>
    <n v="8.1000000000000003E-2"/>
    <n v="2.8054312404953201"/>
    <n v="3.0096953822714414"/>
    <n v="4.1315821009937997E-2"/>
    <n v="-3.8099459931254E-3"/>
    <n v="-9.9367173388600002E-3"/>
    <n v="1.95787116885198E-4"/>
    <n v="-1.8122363835572999E-3"/>
    <b v="0"/>
    <b v="1"/>
    <b v="0"/>
    <b v="1"/>
  </r>
  <r>
    <x v="108"/>
    <x v="8"/>
    <n v="635833.9375"/>
    <n v="0.93912613391876198"/>
    <n v="3.6999999999999998E-2"/>
    <n v="2.7234863518101999"/>
    <n v="2.9000218963619981"/>
    <n v="-2.9209373411930899E-2"/>
    <n v="1.95787116885198E-4"/>
    <n v="-1.8122363835572999E-3"/>
    <n v="3.6085987627506297E-2"/>
    <n v="5.8225356042386003E-3"/>
    <b v="0"/>
    <b v="0"/>
    <b v="1"/>
    <b v="0"/>
  </r>
  <r>
    <x v="108"/>
    <x v="9"/>
    <n v="646580.6875"/>
    <n v="0.93662637472152699"/>
    <n v="3.3000000000000002E-2"/>
    <n v="2.5982711084392198"/>
    <n v="2.7740742504840572"/>
    <n v="-4.5976086235111298E-2"/>
    <n v="3.6085987627506297E-2"/>
    <n v="5.8225356042386003E-3"/>
    <n v="9.9218676686287002E-3"/>
    <n v="-3.2316893339157E-3"/>
    <b v="1"/>
    <b v="0"/>
    <b v="1"/>
    <b v="0"/>
  </r>
  <r>
    <x v="108"/>
    <x v="10"/>
    <n v="659121"/>
    <n v="0.93474406003952004"/>
    <n v="4.2999999999999997E-2"/>
    <n v="2.64469751856547"/>
    <n v="2.8293279750327107"/>
    <n v="1.78681931902539E-2"/>
    <n v="9.9218676686287002E-3"/>
    <n v="-3.2316893339157E-3"/>
    <n v="2.1980991303920599E-2"/>
    <n v="1.9191417843103398E-2"/>
    <b v="0"/>
    <b v="1"/>
    <b v="0"/>
    <b v="0"/>
  </r>
  <r>
    <x v="108"/>
    <x v="11"/>
    <n v="670482.8125"/>
    <n v="0.94237637519836404"/>
    <n v="4.4999999999999998E-2"/>
    <n v="2.6614699806189099"/>
    <n v="2.8242112712754373"/>
    <n v="6.3419207435628198E-3"/>
    <n v="2.1980991303920599E-2"/>
    <n v="1.9191417843103398E-2"/>
    <n v="3.0139126092195399E-2"/>
    <n v="2.10041031241417E-2"/>
    <b v="0"/>
    <b v="0"/>
    <b v="0"/>
    <b v="0"/>
  </r>
  <r>
    <x v="108"/>
    <x v="12"/>
    <n v="680328.5"/>
    <n v="0.93536186218261697"/>
    <n v="0.05"/>
    <n v="2.6136586587631201"/>
    <n v="2.7942754183544398"/>
    <n v="-1.79642536658162E-2"/>
    <n v="3.0139126092195399E-2"/>
    <n v="2.10041031241417E-2"/>
    <n v="2.5951775878667701E-2"/>
    <n v="8.1505812704562898E-3"/>
    <b v="1"/>
    <b v="0"/>
    <b v="1"/>
    <b v="0"/>
  </r>
  <r>
    <x v="108"/>
    <x v="13"/>
    <n v="690264.125"/>
    <n v="0.93734747171402"/>
    <n v="3.6999999999999998E-2"/>
    <n v="2.4631663811347302"/>
    <n v="2.6278050087771825"/>
    <n v="-5.7579162881048897E-2"/>
    <n v="2.5951775878667701E-2"/>
    <n v="8.1505812704562898E-3"/>
    <n v="3.1419696390628797E-2"/>
    <n v="1.2570505961775801E-2"/>
    <b v="1"/>
    <b v="0"/>
    <b v="1"/>
    <b v="0"/>
  </r>
  <r>
    <x v="108"/>
    <x v="14"/>
    <n v="699431.25"/>
    <n v="0.94701981544494596"/>
    <n v="6.4000000000000001E-2"/>
    <n v="2.8192663219857201"/>
    <n v="2.9769876786169691"/>
    <n v="0.14456999071533799"/>
    <n v="3.1419696390628797E-2"/>
    <n v="1.2570505961775801E-2"/>
    <n v="6.0932388782500999E-2"/>
    <n v="1.7342776060103999E-2"/>
    <b v="0"/>
    <b v="0"/>
    <b v="0"/>
    <b v="0"/>
  </r>
  <r>
    <x v="108"/>
    <x v="15"/>
    <n v="708395"/>
    <n v="0.93698137998580899"/>
    <n v="8.4000000000000005E-2"/>
    <n v="2.5602803370344098"/>
    <n v="2.7324772847387706"/>
    <n v="-9.1862901681773093E-2"/>
    <n v="6.0932388782500999E-2"/>
    <n v="1.7342776060103999E-2"/>
    <n v="-4.41748070716858E-2"/>
    <n v="-1.20713002979754E-2"/>
    <b v="1"/>
    <b v="0"/>
    <b v="1"/>
    <b v="0"/>
  </r>
  <r>
    <x v="108"/>
    <x v="16"/>
    <n v="716642.5625"/>
    <n v="0.89197909832000699"/>
    <n v="0.115"/>
    <n v="2.6231875618703699"/>
    <n v="2.9408621421858401"/>
    <n v="2.4570444074429602E-2"/>
    <n v="-4.41748070716858E-2"/>
    <n v="-1.15925967693329E-2"/>
    <n v="-4.91201316788792E-2"/>
    <n v="-2.9561203904449902E-2"/>
    <b v="0"/>
    <b v="1"/>
    <b v="0"/>
    <b v="1"/>
  </r>
  <r>
    <x v="109"/>
    <x v="0"/>
    <n v="1186850"/>
    <n v="0.91749471426010099"/>
    <n v="1.9E-2"/>
    <n v="2.2137481919496298"/>
    <n v="2.4128184691885357"/>
    <n v="-1.6921954126139799E-2"/>
    <n v="-1.5210040256381001E-2"/>
    <n v="-2.1573079749941701E-2"/>
    <n v="7.3186262547970003E-3"/>
    <n v="8.2403821870685005E-3"/>
    <b v="0"/>
    <b v="0"/>
    <b v="0"/>
    <b v="0"/>
  </r>
  <r>
    <x v="109"/>
    <x v="1"/>
    <n v="1203902"/>
    <n v="0.91229057312011697"/>
    <n v="4.0000000000000001E-3"/>
    <n v="2.2663481764492999"/>
    <n v="2.4842393895381187"/>
    <n v="2.3760599643152601E-2"/>
    <n v="7.3186262547970003E-3"/>
    <n v="8.2403821870685005E-3"/>
    <n v="-7.7502125054597897E-3"/>
    <n v="2.1760591771453602E-2"/>
    <b v="0"/>
    <b v="0"/>
    <b v="0"/>
    <b v="0"/>
  </r>
  <r>
    <x v="109"/>
    <x v="2"/>
    <n v="1221981"/>
    <n v="0.91277688741684004"/>
    <n v="0"/>
    <n v="2.3164009808094601"/>
    <n v="2.5377515718708419"/>
    <n v="2.2085222773925699E-2"/>
    <n v="-7.7502125054597897E-3"/>
    <n v="2.1760591771453602E-2"/>
    <n v="-2.4050674125552202E-2"/>
    <n v="2.5160275399684399E-3"/>
    <b v="0"/>
    <b v="0"/>
    <b v="0"/>
    <b v="1"/>
  </r>
  <r>
    <x v="109"/>
    <x v="3"/>
    <n v="1242890"/>
    <n v="0.90522962808608998"/>
    <n v="1.0999999999999999E-2"/>
    <n v="2.3444729925282699"/>
    <n v="2.5899207447342891"/>
    <n v="1.21188049700272E-2"/>
    <n v="-2.4050674125552202E-2"/>
    <n v="2.5160275399684399E-3"/>
    <n v="-1.49117699442431E-2"/>
    <n v="-5.4516611853614397E-3"/>
    <b v="0"/>
    <b v="0"/>
    <b v="0"/>
    <b v="1"/>
  </r>
  <r>
    <x v="109"/>
    <x v="4"/>
    <n v="1262885"/>
    <n v="0.91284990310668901"/>
    <n v="0.01"/>
    <n v="2.3401649527018402"/>
    <n v="2.5635813124781963"/>
    <n v="-1.83753015716712E-3"/>
    <n v="-1.49117699442431E-2"/>
    <n v="-5.4516611853614397E-3"/>
    <n v="-1.8687958240508999E-2"/>
    <n v="2.5958162732422998E-3"/>
    <b v="0"/>
    <b v="0"/>
    <b v="0"/>
    <b v="0"/>
  </r>
  <r>
    <x v="109"/>
    <x v="5"/>
    <n v="1282842"/>
    <n v="0.91397958993911699"/>
    <n v="1.0999999999999999E-2"/>
    <n v="2.2756024182688099"/>
    <n v="2.4897737797628445"/>
    <n v="-2.7588881868555699E-2"/>
    <n v="-1.8687958240508999E-2"/>
    <n v="2.5958162732422998E-3"/>
    <n v="3.9284543097018896E-3"/>
    <n v="9.3666603788732893E-3"/>
    <b v="1"/>
    <b v="0"/>
    <b v="0"/>
    <b v="0"/>
  </r>
  <r>
    <x v="109"/>
    <x v="6"/>
    <n v="1304591"/>
    <n v="0.917827248573303"/>
    <n v="1.4E-2"/>
    <n v="2.2611841818261098"/>
    <n v="2.4636272079968853"/>
    <n v="-6.3360085781913097E-3"/>
    <n v="3.9284543097018896E-3"/>
    <n v="9.2810615897177904E-3"/>
    <n v="1.5389627441763899E-2"/>
    <n v="9.2628560960292903E-3"/>
    <b v="1"/>
    <b v="0"/>
    <b v="1"/>
    <b v="0"/>
  </r>
  <r>
    <x v="109"/>
    <x v="7"/>
    <n v="1325571"/>
    <n v="0.91275107860565197"/>
    <n v="1.9E-2"/>
    <n v="2.2992701887989799"/>
    <n v="2.5190550224398742"/>
    <n v="1.68433899719365E-2"/>
    <n v="1.5389627441763899E-2"/>
    <n v="9.2628560960292903E-3"/>
    <n v="2.0080235004425002E-3"/>
    <n v="0"/>
    <b v="0"/>
    <b v="0"/>
    <b v="0"/>
    <b v="0"/>
  </r>
  <r>
    <x v="109"/>
    <x v="8"/>
    <n v="1343397"/>
    <n v="0.91576433181762695"/>
    <n v="1.7000000000000001E-2"/>
    <n v="2.3365345723441902"/>
    <n v="2.5514583732548206"/>
    <n v="1.6207048535117601E-2"/>
    <n v="2.0080235004425002E-3"/>
    <n v="0"/>
    <n v="1.01078629270195E-2"/>
    <n v="-2.0155589096248001E-2"/>
    <b v="0"/>
    <b v="0"/>
    <b v="0"/>
    <b v="0"/>
  </r>
  <r>
    <x v="109"/>
    <x v="9"/>
    <n v="1363382"/>
    <n v="0.89398133754730202"/>
    <n v="3.6999999999999998E-2"/>
    <n v="2.3770399223087799"/>
    <n v="2.6589368507740319"/>
    <n v="1.7335651885494199E-2"/>
    <n v="1.01078629270195E-2"/>
    <n v="-2.0155589096248001E-2"/>
    <n v="-1.6877481911331399E-2"/>
    <n v="-3.0031038913875801E-2"/>
    <b v="0"/>
    <b v="1"/>
    <b v="0"/>
    <b v="0"/>
  </r>
  <r>
    <x v="109"/>
    <x v="10"/>
    <n v="1377889"/>
    <n v="0.87316817045211803"/>
    <n v="2.1999999999999999E-2"/>
    <n v="2.2916078463349598"/>
    <n v="2.6244747849069983"/>
    <n v="-3.5940530561573002E-2"/>
    <n v="-1.6877481911331399E-2"/>
    <n v="-3.0031038913875801E-2"/>
    <n v="-8.2727701440453993E-3"/>
    <n v="-1.10623436048626E-2"/>
    <b v="0"/>
    <b v="0"/>
    <b v="0"/>
    <b v="0"/>
  </r>
  <r>
    <x v="109"/>
    <x v="11"/>
    <n v="1387621"/>
    <n v="0.87823313474655196"/>
    <n v="1.2E-2"/>
    <n v="2.33379910592287"/>
    <n v="2.6573799297567811"/>
    <n v="1.8411204017907998E-2"/>
    <n v="-8.2727701440453993E-3"/>
    <n v="-1.10623436048626E-2"/>
    <n v="8.2732664644717992E-3"/>
    <n v="-8.6175650358199303E-4"/>
    <b v="0"/>
    <b v="1"/>
    <b v="0"/>
    <b v="1"/>
  </r>
  <r>
    <x v="109"/>
    <x v="12"/>
    <n v="1401224"/>
    <n v="0.88944095373153698"/>
    <n v="1.0999999999999999E-2"/>
    <n v="2.3880847565897301"/>
    <n v="2.6849278151301923"/>
    <n v="2.3260635643010799E-2"/>
    <n v="8.2732664644717992E-3"/>
    <n v="-8.6175650358199303E-4"/>
    <n v="1.82672731280327E-2"/>
    <n v="4.6607851982119399E-4"/>
    <b v="0"/>
    <b v="1"/>
    <b v="0"/>
    <b v="0"/>
  </r>
  <r>
    <x v="109"/>
    <x v="13"/>
    <n v="1417298"/>
    <n v="0.89802169799804699"/>
    <n v="8.9999999999999993E-3"/>
    <n v="2.2844385464269301"/>
    <n v="2.5438567370026934"/>
    <n v="-4.3401395145961599E-2"/>
    <n v="1.82672731280327E-2"/>
    <n v="4.6607851982119399E-4"/>
    <n v="1.9425531953573199E-2"/>
    <n v="5.7634152472019803E-4"/>
    <b v="1"/>
    <b v="0"/>
    <b v="1"/>
    <b v="0"/>
  </r>
  <r>
    <x v="109"/>
    <x v="14"/>
    <n v="1433498"/>
    <n v="0.90943378210067705"/>
    <n v="6.0000000000000001E-3"/>
    <n v="2.1517763626461099"/>
    <n v="2.3660616143770015"/>
    <n v="-5.8072117539917097E-2"/>
    <n v="1.9425531953573199E-2"/>
    <n v="5.7634152472019803E-4"/>
    <n v="3.8341550409793798E-2"/>
    <n v="-5.2480623126030098E-3"/>
    <b v="1"/>
    <b v="0"/>
    <b v="1"/>
    <b v="0"/>
  </r>
  <r>
    <x v="109"/>
    <x v="15"/>
    <n v="1448468"/>
    <n v="0.92633771896362305"/>
    <n v="1.7999999999999999E-2"/>
    <n v="2.1992862527314099"/>
    <n v="2.37417327148456"/>
    <n v="2.2079380975672001E-2"/>
    <n v="3.8341550409793798E-2"/>
    <n v="-5.2480623126030098E-3"/>
    <n v="-3.3297447413206102E-2"/>
    <n v="-1.1939406394958E-3"/>
    <b v="0"/>
    <b v="1"/>
    <b v="0"/>
    <b v="0"/>
  </r>
  <r>
    <x v="109"/>
    <x v="16"/>
    <n v="1467299"/>
    <n v="0.89614003896713301"/>
    <n v="1.2E-2"/>
    <n v="2.2107136553509399"/>
    <n v="2.466928782580621"/>
    <n v="5.1959596461501004E-3"/>
    <n v="-3.3297447413206102E-2"/>
    <n v="-7.1523711085320202E-4"/>
    <n v="-1.6604930892586699E-2"/>
    <n v="2.9539968818425898E-3"/>
    <b v="0"/>
    <b v="1"/>
    <b v="0"/>
    <b v="1"/>
  </r>
  <r>
    <x v="110"/>
    <x v="0"/>
    <n v="233945.796875"/>
    <n v="0.94001406431198098"/>
    <n v="1.4999999999999999E-2"/>
    <n v="2.25238177128116"/>
    <n v="2.3961149697581736"/>
    <n v="-3.46935265937846E-2"/>
    <n v="2.7902258217334601E-2"/>
    <n v="2.1539218723773901E-2"/>
    <n v="1.8077387571334699E-2"/>
    <n v="1.8999143503606299E-2"/>
    <b v="1"/>
    <b v="0"/>
    <b v="1"/>
    <b v="0"/>
  </r>
  <r>
    <x v="110"/>
    <x v="1"/>
    <n v="239410.40625"/>
    <n v="0.93796497583389304"/>
    <n v="4.3999999999999997E-2"/>
    <n v="2.3774796329386101"/>
    <n v="2.5347211187975582"/>
    <n v="5.5540256652976301E-2"/>
    <n v="1.8077387571334699E-2"/>
    <n v="1.8999143503606299E-2"/>
    <n v="-2.8724995732307398E-2"/>
    <n v="7.8580854460597298E-4"/>
    <b v="0"/>
    <b v="0"/>
    <b v="0"/>
    <b v="0"/>
  </r>
  <r>
    <x v="110"/>
    <x v="2"/>
    <n v="245743.390625"/>
    <n v="0.92560321092605602"/>
    <n v="2.3E-2"/>
    <n v="2.39098496452127"/>
    <n v="2.583164077541515"/>
    <n v="5.6805246175623001E-3"/>
    <n v="-2.8724995732307398E-2"/>
    <n v="7.8580854460597298E-4"/>
    <n v="-5.6381542891264E-2"/>
    <n v="-2.9814841225743301E-2"/>
    <b v="0"/>
    <b v="0"/>
    <b v="0"/>
    <b v="1"/>
  </r>
  <r>
    <x v="110"/>
    <x v="3"/>
    <n v="250732"/>
    <n v="0.92069554328918501"/>
    <n v="1.7000000000000001E-2"/>
    <n v="2.3008542354422601"/>
    <n v="2.4990391799035518"/>
    <n v="-3.7696066857975899E-2"/>
    <n v="-5.6381542891264E-2"/>
    <n v="-2.9814841225743301E-2"/>
    <n v="-1.7688136398791999E-3"/>
    <n v="7.6912951190024796E-3"/>
    <b v="0"/>
    <b v="0"/>
    <b v="0"/>
    <b v="0"/>
  </r>
  <r>
    <x v="110"/>
    <x v="4"/>
    <n v="253966.203125"/>
    <n v="0.92405897378921498"/>
    <n v="7.0000000000000001E-3"/>
    <n v="2.2486402257960099"/>
    <n v="2.4334380051255713"/>
    <n v="-2.2693314874945601E-2"/>
    <n v="-1.7688136398791999E-3"/>
    <n v="7.6912951190024796E-3"/>
    <n v="-2.4317555472254698E-2"/>
    <n v="-3.03378095850345E-3"/>
    <b v="1"/>
    <b v="0"/>
    <b v="0"/>
    <b v="0"/>
  </r>
  <r>
    <x v="110"/>
    <x v="5"/>
    <n v="257224.09375"/>
    <n v="0.91875195503234897"/>
    <n v="2.5000000000000001E-2"/>
    <n v="2.3378354571613098"/>
    <n v="2.5445773958423796"/>
    <n v="3.9666297143518603E-2"/>
    <n v="-2.4317555472254698E-2"/>
    <n v="-3.03378095850345E-3"/>
    <n v="-1.27756374925375E-2"/>
    <n v="-7.3374314233661002E-3"/>
    <b v="0"/>
    <b v="1"/>
    <b v="0"/>
    <b v="1"/>
  </r>
  <r>
    <x v="110"/>
    <x v="6"/>
    <n v="259898.890625"/>
    <n v="0.92517983913421598"/>
    <n v="2.9000000000000001E-2"/>
    <n v="2.2667097760272701"/>
    <n v="2.4500207204563158"/>
    <n v="-3.04237327379746E-2"/>
    <n v="-1.27756374925375E-2"/>
    <n v="-7.4230302125215999E-3"/>
    <n v="1.46832732856274E-2"/>
    <n v="8.5565019398928001E-3"/>
    <b v="0"/>
    <b v="0"/>
    <b v="0"/>
    <b v="0"/>
  </r>
  <r>
    <x v="110"/>
    <x v="7"/>
    <n v="263329.09375"/>
    <n v="0.93834143877029397"/>
    <n v="0"/>
    <n v="2.2499450005499901"/>
    <n v="2.3977892349063961"/>
    <n v="-7.39608381036954E-3"/>
    <n v="1.46832732856274E-2"/>
    <n v="8.5565019398928001E-3"/>
    <n v="5.7075217515230002E-3"/>
    <n v="3.69949825108049E-3"/>
    <b v="1"/>
    <b v="0"/>
    <b v="1"/>
    <b v="0"/>
  </r>
  <r>
    <x v="110"/>
    <x v="8"/>
    <n v="266626"/>
    <n v="0.93510097265243497"/>
    <n v="1.4E-2"/>
    <n v="2.3576947070396801"/>
    <n v="2.5213263337241818"/>
    <n v="4.78899290708669E-2"/>
    <n v="5.7075217515230002E-3"/>
    <n v="3.69949825108049E-3"/>
    <n v="5.7976642787456498E-2"/>
    <n v="2.7713190764188801E-2"/>
    <b v="0"/>
    <b v="0"/>
    <b v="0"/>
    <b v="0"/>
  </r>
  <r>
    <x v="110"/>
    <x v="9"/>
    <n v="270519.09375"/>
    <n v="0.95018768310546897"/>
    <n v="1.0999999999999999E-2"/>
    <n v="2.3272421814422302"/>
    <n v="2.4492447364042613"/>
    <n v="-1.2916229360199099E-2"/>
    <n v="5.7976642787456498E-2"/>
    <n v="2.7713190764188801E-2"/>
    <n v="4.1671164602041198E-2"/>
    <n v="2.85176075994968E-2"/>
    <b v="1"/>
    <b v="0"/>
    <b v="1"/>
    <b v="0"/>
  </r>
  <r>
    <x v="110"/>
    <x v="10"/>
    <n v="276552.1875"/>
    <n v="0.93250465393066395"/>
    <n v="4.1000000000000002E-2"/>
    <n v="2.1669814209881499"/>
    <n v="2.3238290681488385"/>
    <n v="-6.8862949344944593E-2"/>
    <n v="4.1671164602041198E-2"/>
    <n v="2.85176075994968E-2"/>
    <n v="2.5790339052677198E-2"/>
    <n v="2.3000765591859901E-2"/>
    <b v="1"/>
    <b v="0"/>
    <b v="1"/>
    <b v="0"/>
  </r>
  <r>
    <x v="110"/>
    <x v="11"/>
    <n v="282887.78125"/>
    <n v="0.943217992782593"/>
    <n v="4.3999999999999997E-2"/>
    <n v="2.4556805959969501"/>
    <n v="2.6035133074088548"/>
    <n v="0.13322641911583599"/>
    <n v="2.5790339052677198E-2"/>
    <n v="2.3000765591859901E-2"/>
    <n v="2.13969426453113E-2"/>
    <n v="1.22619196772576E-2"/>
    <b v="0"/>
    <b v="0"/>
    <b v="0"/>
    <b v="0"/>
  </r>
  <r>
    <x v="110"/>
    <x v="12"/>
    <n v="288109.71875"/>
    <n v="0.95416021347045898"/>
    <n v="8.0000000000000002E-3"/>
    <n v="2.43266425193681"/>
    <n v="2.5495343628810048"/>
    <n v="-9.3726945180338302E-3"/>
    <n v="2.13969426453113E-2"/>
    <n v="1.22619196772576E-2"/>
    <n v="2.73681573271751E-2"/>
    <n v="9.5669627189635901E-3"/>
    <b v="1"/>
    <b v="0"/>
    <b v="1"/>
    <b v="0"/>
  </r>
  <r>
    <x v="110"/>
    <x v="13"/>
    <n v="292440.78125"/>
    <n v="0.94228059053420998"/>
    <n v="5.6000000000000001E-2"/>
    <n v="2.2434217892733099"/>
    <n v="2.3808426192896959"/>
    <n v="-7.77922652140869E-2"/>
    <n v="2.73681573271751E-2"/>
    <n v="9.5669627189635901E-3"/>
    <n v="3.9960591226816097E-2"/>
    <n v="2.1111400797963101E-2"/>
    <b v="1"/>
    <b v="0"/>
    <b v="1"/>
    <b v="0"/>
  </r>
  <r>
    <x v="110"/>
    <x v="14"/>
    <n v="296564.40625"/>
    <n v="0.93817186355590798"/>
    <n v="3.9E-2"/>
    <n v="2.1823092327150002"/>
    <n v="2.3261294838277262"/>
    <n v="-2.7240778729399801E-2"/>
    <n v="3.9960591226816097E-2"/>
    <n v="2.1111400797963101E-2"/>
    <n v="2.4638613939285299E-2"/>
    <n v="-1.89509987831116E-2"/>
    <b v="1"/>
    <b v="0"/>
    <b v="1"/>
    <b v="0"/>
  </r>
  <r>
    <x v="110"/>
    <x v="15"/>
    <n v="298275.78125"/>
    <n v="0.96019852161407504"/>
    <n v="5.5E-2"/>
    <n v="2.2772208154617299"/>
    <n v="2.3716145819864063"/>
    <n v="4.3491353710970099E-2"/>
    <n v="2.4638613939285299E-2"/>
    <n v="-1.89509987831116E-2"/>
    <n v="-5.7652145549654997E-2"/>
    <n v="-2.5548638775944699E-2"/>
    <b v="0"/>
    <b v="1"/>
    <b v="0"/>
    <b v="0"/>
  </r>
  <r>
    <x v="110"/>
    <x v="16"/>
    <n v="298809.375"/>
    <n v="0.92798042297363303"/>
    <n v="4.4999999999999998E-2"/>
    <n v="2.0627194544806802"/>
    <n v="2.2228049249906308"/>
    <n v="-9.4194361620373701E-2"/>
    <n v="-5.7652145549654997E-2"/>
    <n v="-2.50699352473021E-2"/>
    <n v="-1.8052804082632101E-2"/>
    <n v="1.5061236917972001E-3"/>
    <b v="0"/>
    <b v="0"/>
    <b v="0"/>
    <b v="0"/>
  </r>
  <r>
    <x v="111"/>
    <x v="0"/>
    <n v="827312.6875"/>
    <n v="0.93172806501388505"/>
    <n v="1.6E-2"/>
    <n v="2.1763754186056601"/>
    <n v="2.3358483020184937"/>
    <n v="3.3677175907115997E-2"/>
    <n v="-1.2781452730298E-2"/>
    <n v="-1.9144492223858799E-2"/>
    <n v="-5.2058462947607003E-3"/>
    <n v="-4.2840903624892001E-3"/>
    <b v="0"/>
    <b v="1"/>
    <b v="0"/>
    <b v="1"/>
  </r>
  <r>
    <x v="111"/>
    <x v="1"/>
    <n v="837189.6875"/>
    <n v="0.93511825799942005"/>
    <n v="0"/>
    <n v="2.23623776514501"/>
    <n v="2.3913956828617464"/>
    <n v="2.7505524105624901E-2"/>
    <n v="-5.2058462947607003E-3"/>
    <n v="-4.2840903624892001E-3"/>
    <n v="-2.42761264666915E-2"/>
    <n v="5.2346778102219001E-3"/>
    <b v="0"/>
    <b v="1"/>
    <b v="0"/>
    <b v="1"/>
  </r>
  <r>
    <x v="111"/>
    <x v="2"/>
    <n v="847933.5"/>
    <n v="0.93229484558105502"/>
    <n v="6.0000000000000001E-3"/>
    <n v="2.0732976560735299"/>
    <n v="2.2238647632781259"/>
    <n v="-7.2863499405624393E-2"/>
    <n v="-2.42761264666915E-2"/>
    <n v="5.2346778102219001E-3"/>
    <n v="-2.08026810586452E-2"/>
    <n v="5.76402060687545E-3"/>
    <b v="1"/>
    <b v="0"/>
    <b v="0"/>
    <b v="0"/>
  </r>
  <r>
    <x v="111"/>
    <x v="3"/>
    <n v="859247.9375"/>
    <n v="0.92291456460952803"/>
    <n v="1.4E-2"/>
    <n v="2.1349770128296601"/>
    <n v="2.3132986461568503"/>
    <n v="2.97493978134045E-2"/>
    <n v="-2.08026810586452E-2"/>
    <n v="5.76402060687545E-3"/>
    <n v="-1.45878883162513E-2"/>
    <n v="-5.1277795573696503E-3"/>
    <b v="0"/>
    <b v="0"/>
    <b v="0"/>
    <b v="1"/>
  </r>
  <r>
    <x v="111"/>
    <x v="4"/>
    <n v="870584.625"/>
    <n v="0.92848259210586503"/>
    <n v="1.4999999999999999E-2"/>
    <n v="2.1550472193074501"/>
    <n v="2.3210421365247664"/>
    <n v="9.4006663103068395E-3"/>
    <n v="-1.45878883162513E-2"/>
    <n v="-5.1277795573696503E-3"/>
    <n v="-2.2918450988829098E-2"/>
    <n v="-1.63467647507783E-3"/>
    <b v="0"/>
    <b v="1"/>
    <b v="0"/>
    <b v="1"/>
  </r>
  <r>
    <x v="111"/>
    <x v="5"/>
    <n v="880434.5625"/>
    <n v="0.93287485837936401"/>
    <n v="8.0000000000000002E-3"/>
    <n v="2.09183579912481"/>
    <n v="2.2423541382161911"/>
    <n v="-2.9331802856248399E-2"/>
    <n v="-2.2918450988829098E-2"/>
    <n v="-1.63467647507783E-3"/>
    <n v="-1.07476434707642E-2"/>
    <n v="-5.3094374015928E-3"/>
    <b v="0"/>
    <b v="0"/>
    <b v="0"/>
    <b v="0"/>
  </r>
  <r>
    <x v="111"/>
    <x v="6"/>
    <n v="890810.1875"/>
    <n v="0.93624281883239702"/>
    <n v="0.01"/>
    <n v="2.2781627507695101"/>
    <n v="2.4333033107913633"/>
    <n v="8.9073411843632405E-2"/>
    <n v="-1.07476434707642E-2"/>
    <n v="-5.3950361907482997E-3"/>
    <n v="1.91679656505579E-3"/>
    <n v="-4.2099747806788003E-3"/>
    <b v="0"/>
    <b v="1"/>
    <b v="0"/>
    <b v="1"/>
  </r>
  <r>
    <x v="111"/>
    <x v="7"/>
    <n v="901559.0625"/>
    <n v="0.93468976020812999"/>
    <n v="1.2E-2"/>
    <n v="2.1928575172795899"/>
    <n v="2.3460806041047246"/>
    <n v="-3.7444749485569397E-2"/>
    <n v="1.91679656505579E-3"/>
    <n v="-4.2099747806788003E-3"/>
    <n v="-5.1222780570388E-3"/>
    <n v="-7.1303015574813002E-3"/>
    <b v="0"/>
    <b v="0"/>
    <b v="1"/>
    <b v="0"/>
  </r>
  <r>
    <x v="111"/>
    <x v="8"/>
    <n v="912716.9375"/>
    <n v="0.93508416414260898"/>
    <n v="1.4E-2"/>
    <n v="2.1787881890109202"/>
    <n v="2.3300450083107545"/>
    <n v="-6.4159792224556004E-3"/>
    <n v="-5.1222780570388E-3"/>
    <n v="-7.1303015574813002E-3"/>
    <n v="3.3486375749111202E-2"/>
    <n v="3.2229237258434998E-3"/>
    <b v="0"/>
    <b v="0"/>
    <b v="0"/>
    <b v="0"/>
  </r>
  <r>
    <x v="111"/>
    <x v="9"/>
    <n v="924055.9375"/>
    <n v="0.94148296117782604"/>
    <n v="8.9999999999999993E-3"/>
    <n v="2.2265602180897601"/>
    <n v="2.3649500945872246"/>
    <n v="2.19259629365482E-2"/>
    <n v="3.3486375749111202E-2"/>
    <n v="3.2229237258434998E-3"/>
    <n v="6.3832330405711899E-3"/>
    <n v="-6.7703239619731998E-3"/>
    <b v="0"/>
    <b v="0"/>
    <b v="0"/>
    <b v="0"/>
  </r>
  <r>
    <x v="111"/>
    <x v="10"/>
    <n v="935453"/>
    <n v="0.93873590230941795"/>
    <n v="2.9000000000000001E-2"/>
    <n v="2.23505505933722"/>
    <n v="2.3809199731667667"/>
    <n v="3.8152308562952098E-3"/>
    <n v="6.3832330405711899E-3"/>
    <n v="-6.7703239619731998E-3"/>
    <n v="-4.0032419413328002E-3"/>
    <n v="-6.7928154021500899E-3"/>
    <b v="0"/>
    <b v="1"/>
    <b v="0"/>
    <b v="0"/>
  </r>
  <r>
    <x v="111"/>
    <x v="11"/>
    <n v="945558"/>
    <n v="0.93107587099075295"/>
    <n v="3.6999999999999998E-2"/>
    <n v="2.2516399261678202"/>
    <n v="2.4183205647589836"/>
    <n v="7.4203392714279198E-3"/>
    <n v="-4.0032419413328002E-3"/>
    <n v="-6.7928154021500899E-3"/>
    <n v="4.7925805896520896E-3"/>
    <n v="-4.3424423784016904E-3"/>
    <b v="0"/>
    <b v="1"/>
    <b v="0"/>
    <b v="1"/>
  </r>
  <r>
    <x v="111"/>
    <x v="12"/>
    <n v="955356.8125"/>
    <n v="0.93799120187759399"/>
    <n v="2.9000000000000001E-2"/>
    <n v="2.1974764366068702"/>
    <n v="2.3427473863381039"/>
    <n v="-2.4055129299975699E-2"/>
    <n v="4.7925805896520896E-3"/>
    <n v="-4.3424423784016904E-3"/>
    <n v="1.5120181411504599E-2"/>
    <n v="-2.6810131967068E-3"/>
    <b v="0"/>
    <b v="0"/>
    <b v="1"/>
    <b v="0"/>
  </r>
  <r>
    <x v="111"/>
    <x v="13"/>
    <n v="963872.3125"/>
    <n v="0.93621623516082797"/>
    <n v="3.1E-2"/>
    <n v="2.2026114958754199"/>
    <n v="2.3526738942922134"/>
    <n v="2.3367983305804599E-3"/>
    <n v="1.5120181411504599E-2"/>
    <n v="-2.6810131967068E-3"/>
    <n v="4.8198589235543899E-3"/>
    <n v="-1.4029331505298601E-2"/>
    <b v="0"/>
    <b v="1"/>
    <b v="0"/>
    <b v="0"/>
  </r>
  <r>
    <x v="111"/>
    <x v="14"/>
    <n v="970070.3125"/>
    <n v="0.93037986755371105"/>
    <n v="3.3000000000000002E-2"/>
    <n v="2.04548864083654"/>
    <n v="2.1985521314157772"/>
    <n v="-7.1334802044348097E-2"/>
    <n v="4.8198589235543899E-3"/>
    <n v="-1.4029331505298601E-2"/>
    <n v="1.19666105806828E-2"/>
    <n v="-3.1623002141714103E-2"/>
    <b v="0"/>
    <b v="0"/>
    <b v="1"/>
    <b v="0"/>
  </r>
  <r>
    <x v="111"/>
    <x v="15"/>
    <n v="974037.5"/>
    <n v="0.94687932729721103"/>
    <n v="2.1000000000000001E-2"/>
    <n v="2.0567358590712801"/>
    <n v="2.1721203534372888"/>
    <n v="5.4985483713743399E-3"/>
    <n v="1.19666105806828E-2"/>
    <n v="-3.1623002141714103E-2"/>
    <n v="-9.6942949295043893E-3"/>
    <n v="2.2409211844205901E-2"/>
    <b v="0"/>
    <b v="1"/>
    <b v="0"/>
    <b v="0"/>
  </r>
  <r>
    <x v="111"/>
    <x v="16"/>
    <n v="980831.5"/>
    <n v="0.947859346866608"/>
    <n v="0.02"/>
    <n v="2.1405090101514102"/>
    <n v="2.2582559503447546"/>
    <n v="4.0731118053224602E-2"/>
    <n v="-9.6942949295043893E-3"/>
    <n v="2.28879153728485E-2"/>
    <n v="-1.2463995054364199E-2"/>
    <n v="7.09493272006509E-3"/>
    <b v="0"/>
    <b v="0"/>
    <b v="0"/>
    <b v="1"/>
  </r>
  <r>
    <x v="112"/>
    <x v="0"/>
    <n v="2029395"/>
    <n v="0.92342698574066195"/>
    <n v="2.1000000000000001E-2"/>
    <n v="2.4355633408520099"/>
    <n v="2.6375267113279066"/>
    <n v="1.5937210875078701E-2"/>
    <n v="3.9913324296474498E-2"/>
    <n v="3.35502848029137E-2"/>
    <n v="-2.20552099831402E-2"/>
    <n v="-2.1133454050868701E-2"/>
    <b v="0"/>
    <b v="0"/>
    <b v="0"/>
    <b v="0"/>
  </r>
  <r>
    <x v="112"/>
    <x v="1"/>
    <n v="2065257.125"/>
    <n v="0.896401107311249"/>
    <n v="2.7E-2"/>
    <n v="2.4484442270843099"/>
    <n v="2.7314158886175486"/>
    <n v="5.2886681353164298E-3"/>
    <n v="-2.20552099831402E-2"/>
    <n v="-2.1133454050868701E-2"/>
    <n v="-5.75838082581758E-2"/>
    <n v="-2.80730039812623E-2"/>
    <b v="0"/>
    <b v="1"/>
    <b v="0"/>
    <b v="1"/>
  </r>
  <r>
    <x v="112"/>
    <x v="2"/>
    <n v="2093685"/>
    <n v="0.88313364982605003"/>
    <n v="5.1999999999999998E-2"/>
    <n v="2.3666945987943002"/>
    <n v="2.6798827100071043"/>
    <n v="-3.3388397164905097E-2"/>
    <n v="-5.75838082581758E-2"/>
    <n v="-2.80730039812623E-2"/>
    <n v="-3.7013624519109597E-2"/>
    <n v="-1.0446922853589001E-2"/>
    <b v="0"/>
    <b v="0"/>
    <b v="0"/>
    <b v="0"/>
  </r>
  <r>
    <x v="112"/>
    <x v="3"/>
    <n v="2119135"/>
    <n v="0.89556711912155196"/>
    <n v="0.02"/>
    <n v="2.4060914926803401"/>
    <n v="2.6866679686056787"/>
    <n v="1.6646378415747901E-2"/>
    <n v="-3.7013624519109597E-2"/>
    <n v="-1.0446922853589001E-2"/>
    <n v="-1.5838259871467E-2"/>
    <n v="-6.3781511125853303E-3"/>
    <b v="0"/>
    <b v="1"/>
    <b v="0"/>
    <b v="1"/>
  </r>
  <r>
    <x v="112"/>
    <x v="4"/>
    <n v="2150613"/>
    <n v="0.90958404541015603"/>
    <n v="7.0000000000000001E-3"/>
    <n v="2.3659722115488"/>
    <n v="2.6011584344379295"/>
    <n v="-1.6674046375038699E-2"/>
    <n v="-1.5838259871467E-2"/>
    <n v="-6.3781511125853303E-3"/>
    <n v="-1.54207743406295E-2"/>
    <n v="5.8630001731217003E-3"/>
    <b v="0"/>
    <b v="0"/>
    <b v="0"/>
    <b v="0"/>
  </r>
  <r>
    <x v="112"/>
    <x v="5"/>
    <n v="2194652"/>
    <n v="0.91863387823104903"/>
    <n v="3.0000000000000001E-3"/>
    <n v="2.42035656106055"/>
    <n v="2.6347347059758635"/>
    <n v="2.29860474464944E-2"/>
    <n v="-1.54207743406295E-2"/>
    <n v="5.8630001731217003E-3"/>
    <n v="8.7093719840049895E-4"/>
    <n v="6.3091432675719001E-3"/>
    <b v="0"/>
    <b v="0"/>
    <b v="0"/>
    <b v="1"/>
  </r>
  <r>
    <x v="112"/>
    <x v="6"/>
    <n v="2247481"/>
    <n v="0.92686176300048795"/>
    <n v="8.0000000000000002E-3"/>
    <n v="2.42740577821223"/>
    <n v="2.6189512558529744"/>
    <n v="2.9124705281383498E-3"/>
    <n v="8.7093719840049895E-4"/>
    <n v="6.2235444784164004E-3"/>
    <n v="1.25775231420994E-2"/>
    <n v="6.4507517963647999E-3"/>
    <b v="0"/>
    <b v="0"/>
    <b v="0"/>
    <b v="0"/>
  </r>
  <r>
    <x v="112"/>
    <x v="7"/>
    <n v="2298351"/>
    <n v="0.92529124021530196"/>
    <n v="2.9000000000000001E-2"/>
    <n v="2.42301095394944"/>
    <n v="2.6186468093933755"/>
    <n v="-1.81050251351754E-3"/>
    <n v="1.25775231420994E-2"/>
    <n v="6.4507517963647999E-3"/>
    <n v="1.26896713078022E-2"/>
    <n v="1.06816478073596E-2"/>
    <b v="1"/>
    <b v="0"/>
    <b v="1"/>
    <b v="0"/>
  </r>
  <r>
    <x v="112"/>
    <x v="8"/>
    <n v="2359536"/>
    <n v="0.93427765369415305"/>
    <n v="3.2000000000000001E-2"/>
    <n v="2.4835957984293602"/>
    <n v="2.6583058993321433"/>
    <n v="2.5003949891831599E-2"/>
    <n v="1.26896713078022E-2"/>
    <n v="1.06816478073596E-2"/>
    <n v="5.4790722370147697E-2"/>
    <n v="2.4527270346880001E-2"/>
    <b v="0"/>
    <b v="0"/>
    <b v="0"/>
    <b v="0"/>
  </r>
  <r>
    <x v="112"/>
    <x v="9"/>
    <n v="2428600"/>
    <n v="0.92979782819747903"/>
    <n v="4.2999999999999997E-2"/>
    <n v="2.4990951111914099"/>
    <n v="2.6877833389180914"/>
    <n v="6.2406744172511797E-3"/>
    <n v="5.4790722370147697E-2"/>
    <n v="2.4527270346880001E-2"/>
    <n v="2.1150045365095099E-2"/>
    <n v="7.9964883625506904E-3"/>
    <b v="0"/>
    <b v="0"/>
    <b v="0"/>
    <b v="0"/>
  </r>
  <r>
    <x v="112"/>
    <x v="10"/>
    <n v="2499294"/>
    <n v="0.93449717760086104"/>
    <n v="2.8000000000000001E-2"/>
    <n v="2.5220288954030501"/>
    <n v="2.6988084671136905"/>
    <n v="9.1768352908792004E-3"/>
    <n v="2.1150045365095099E-2"/>
    <n v="7.9964883625506904E-3"/>
    <n v="3.1428144961595503E-2"/>
    <n v="2.8638571500778202E-2"/>
    <b v="0"/>
    <b v="0"/>
    <b v="0"/>
    <b v="0"/>
  </r>
  <r>
    <x v="112"/>
    <x v="11"/>
    <n v="2564186"/>
    <n v="0.93750476837158203"/>
    <n v="4.2999999999999997E-2"/>
    <n v="2.5057419946187198"/>
    <n v="2.6727778664754092"/>
    <n v="-6.4578565352741701E-3"/>
    <n v="3.1428144961595503E-2"/>
    <n v="2.8638571500778202E-2"/>
    <n v="1.5864785969257399E-2"/>
    <n v="6.7297630012036003E-3"/>
    <b v="1"/>
    <b v="0"/>
    <b v="1"/>
    <b v="0"/>
  </r>
  <r>
    <x v="112"/>
    <x v="12"/>
    <n v="2618401"/>
    <n v="0.923231601715088"/>
    <n v="5.8000000000000003E-2"/>
    <n v="2.4428539166829699"/>
    <n v="2.6459816931579017"/>
    <n v="-2.50975870902942E-2"/>
    <n v="1.5864785969257399E-2"/>
    <n v="6.7297630012036003E-3"/>
    <n v="1.4276082783937501E-2"/>
    <n v="-3.5251118242739998E-3"/>
    <b v="1"/>
    <b v="0"/>
    <b v="1"/>
    <b v="0"/>
  </r>
  <r>
    <x v="112"/>
    <x v="13"/>
    <n v="2654677"/>
    <n v="0.91402786970138505"/>
    <n v="4.3999999999999997E-2"/>
    <n v="2.4759019512061902"/>
    <n v="2.7087816830082794"/>
    <n v="1.35284530513758E-2"/>
    <n v="1.4276082783937501E-2"/>
    <n v="-3.5251118242739998E-3"/>
    <n v="-1.54977057948708E-2"/>
    <n v="-3.4346896223723798E-2"/>
    <b v="0"/>
    <b v="1"/>
    <b v="0"/>
    <b v="0"/>
  </r>
  <r>
    <x v="112"/>
    <x v="14"/>
    <n v="2685188"/>
    <n v="0.89977502822875999"/>
    <n v="4.4999999999999998E-2"/>
    <n v="2.3878855744065799"/>
    <n v="2.653869577940188"/>
    <n v="-3.5549217430330501E-2"/>
    <n v="-1.54977057948708E-2"/>
    <n v="-3.4346896223723798E-2"/>
    <n v="0.14676006722450299"/>
    <n v="0.103170454502106"/>
    <b v="0"/>
    <b v="0"/>
    <b v="0"/>
    <b v="0"/>
  </r>
  <r>
    <x v="112"/>
    <x v="15"/>
    <n v="2719823"/>
    <n v="0.94421583414077803"/>
    <n v="4.8000000000000001E-2"/>
    <n v="2.3940566988459802"/>
    <n v="2.5354973008099733"/>
    <n v="2.58434679849779E-3"/>
    <n v="0.14676006722450299"/>
    <n v="0.103170454502106"/>
    <n v="-1.8998844474554001E-2"/>
    <n v="1.3104662299156199E-2"/>
    <b v="0"/>
    <b v="0"/>
    <b v="0"/>
    <b v="0"/>
  </r>
  <r>
    <x v="112"/>
    <x v="16"/>
    <n v="2803454"/>
    <n v="0.92069011926651001"/>
    <n v="4.5999999999999999E-2"/>
    <n v="2.4210007110737202"/>
    <n v="2.6295500086418531"/>
    <n v="1.1254542233995199E-2"/>
    <n v="-1.8998844474554001E-2"/>
    <n v="1.35833658277988E-2"/>
    <n v="-7.1970741063356394E-2"/>
    <n v="-5.2411813288927099E-2"/>
    <b v="0"/>
    <b v="0"/>
    <b v="0"/>
    <b v="1"/>
  </r>
  <r>
    <x v="113"/>
    <x v="0"/>
    <n v="443396.3125"/>
    <n v="0.90550798177719105"/>
    <n v="1.4999999999999999E-2"/>
    <n v="2.37498180305708"/>
    <n v="2.6228170826234276"/>
    <n v="3.75255684328804E-2"/>
    <n v="2.8166783630847899E-2"/>
    <n v="2.1803744137287102E-2"/>
    <n v="-6.8358135372400004E-3"/>
    <n v="-5.9140576049685001E-3"/>
    <b v="0"/>
    <b v="0"/>
    <b v="0"/>
    <b v="0"/>
  </r>
  <r>
    <x v="113"/>
    <x v="1"/>
    <n v="444008.3125"/>
    <n v="0.87409740686416604"/>
    <n v="1.4999999999999999E-2"/>
    <n v="2.3385366480375098"/>
    <n v="2.6753730530182391"/>
    <n v="-1.53454460041163E-2"/>
    <n v="-6.8358135372400004E-3"/>
    <n v="-5.9140576049685001E-3"/>
    <n v="-5.64842403978109E-2"/>
    <n v="-2.69734361208974E-2"/>
    <b v="0"/>
    <b v="0"/>
    <b v="0"/>
    <b v="0"/>
  </r>
  <r>
    <x v="113"/>
    <x v="2"/>
    <n v="445702.6875"/>
    <n v="0.86394548416137695"/>
    <n v="5.0999999999999997E-2"/>
    <n v="2.3364682427893402"/>
    <n v="2.7044162920271826"/>
    <n v="-8.8448699313891895E-4"/>
    <n v="-5.64842403978109E-2"/>
    <n v="-2.69734361208974E-2"/>
    <n v="-2.99838936924933E-2"/>
    <n v="-3.4171920269727399E-3"/>
    <b v="0"/>
    <b v="0"/>
    <b v="0"/>
    <b v="0"/>
  </r>
  <r>
    <x v="113"/>
    <x v="3"/>
    <n v="447697.375"/>
    <n v="0.88491410017013505"/>
    <n v="0"/>
    <n v="2.3403013917535298"/>
    <n v="2.6446650486228886"/>
    <n v="1.6405739628678701E-3"/>
    <n v="-2.99838936924933E-2"/>
    <n v="-3.4171920269727399E-3"/>
    <n v="-3.62786388397219E-3"/>
    <n v="5.8322448749094803E-3"/>
    <b v="0"/>
    <b v="1"/>
    <b v="0"/>
    <b v="1"/>
  </r>
  <r>
    <x v="113"/>
    <x v="4"/>
    <n v="452089.59375"/>
    <n v="0.89766502380371105"/>
    <n v="3.0000000000000001E-3"/>
    <n v="2.3072527300481398"/>
    <n v="2.5702825317527997"/>
    <n v="-1.41215408501849E-2"/>
    <n v="-3.62786388397219E-3"/>
    <n v="5.8322448749094803E-3"/>
    <n v="-2.1724712446331999E-2"/>
    <n v="-4.4093793258069899E-4"/>
    <b v="1"/>
    <b v="0"/>
    <b v="0"/>
    <b v="0"/>
  </r>
  <r>
    <x v="113"/>
    <x v="5"/>
    <n v="456901.875"/>
    <n v="0.88907128572464"/>
    <n v="1.7000000000000001E-2"/>
    <n v="2.4615871797332298"/>
    <n v="2.7687174462359407"/>
    <n v="6.68910031723607E-2"/>
    <n v="-2.1724712446331999E-2"/>
    <n v="-4.4093793258069899E-4"/>
    <n v="-3.5945645570755001E-3"/>
    <n v="1.84364151209589E-3"/>
    <b v="0"/>
    <b v="1"/>
    <b v="0"/>
    <b v="1"/>
  </r>
  <r>
    <x v="113"/>
    <x v="6"/>
    <n v="463281.71875"/>
    <n v="0.912123143672943"/>
    <n v="-1E-3"/>
    <n v="2.2034769952292299"/>
    <n v="2.4157670052710816"/>
    <n v="-0.104855187185352"/>
    <n v="-3.5945645570755001E-3"/>
    <n v="1.7580427229403901E-3"/>
    <n v="6.0914760828018003E-3"/>
    <n v="-3.5295262932798201E-5"/>
    <b v="1"/>
    <b v="0"/>
    <b v="0"/>
    <b v="0"/>
  </r>
  <r>
    <x v="113"/>
    <x v="7"/>
    <n v="468303.40625"/>
    <n v="0.924460649490356"/>
    <n v="-3.0000000000000001E-3"/>
    <n v="2.2613976326742899"/>
    <n v="2.446180520415846"/>
    <n v="2.6286018674332601E-2"/>
    <n v="6.0914760828018003E-3"/>
    <n v="-3.5295262932798201E-5"/>
    <n v="-1.19102445282042E-2"/>
    <n v="-1.3918268028646701E-2"/>
    <b v="0"/>
    <b v="1"/>
    <b v="0"/>
    <b v="0"/>
  </r>
  <r>
    <x v="113"/>
    <x v="8"/>
    <n v="472353.78125"/>
    <n v="0.93442863225936901"/>
    <n v="-2E-3"/>
    <n v="2.1179718875501998"/>
    <n v="2.2665956654486537"/>
    <n v="-6.3423496625174797E-2"/>
    <n v="-1.19102445282042E-2"/>
    <n v="-1.3918268028646701E-2"/>
    <n v="4.97776327431202E-2"/>
    <n v="1.95141807198525E-2"/>
    <b v="0"/>
    <b v="0"/>
    <b v="0"/>
    <b v="0"/>
  </r>
  <r>
    <x v="113"/>
    <x v="9"/>
    <n v="477638.21875"/>
    <n v="0.94110864400863603"/>
    <n v="0"/>
    <n v="2.23218533952834"/>
    <n v="2.3718678536628728"/>
    <n v="5.3925858340950497E-2"/>
    <n v="4.97776327431202E-2"/>
    <n v="1.95141807198525E-2"/>
    <n v="4.6718644797802003E-3"/>
    <n v="-8.4816925227641903E-3"/>
    <b v="0"/>
    <b v="0"/>
    <b v="0"/>
    <b v="0"/>
  </r>
  <r>
    <x v="113"/>
    <x v="10"/>
    <n v="483787.1875"/>
    <n v="0.92076909542083696"/>
    <n v="3.9E-2"/>
    <n v="2.1825418789782902"/>
    <n v="2.3703465829082382"/>
    <n v="-2.2239847055235198E-2"/>
    <n v="4.6718644797802003E-3"/>
    <n v="-8.4816925227641903E-3"/>
    <n v="8.0591586381196997E-3"/>
    <n v="5.2695851773024004E-3"/>
    <b v="0"/>
    <b v="0"/>
    <b v="1"/>
    <b v="0"/>
  </r>
  <r>
    <x v="113"/>
    <x v="11"/>
    <n v="490131.5"/>
    <n v="0.934795022010803"/>
    <n v="4.1000000000000002E-2"/>
    <n v="2.3372096837685299"/>
    <n v="2.5002376229401015"/>
    <n v="7.0865904695784507E-2"/>
    <n v="8.0591586381196997E-3"/>
    <n v="5.2695851773024004E-3"/>
    <n v="3.3990185916423797E-2"/>
    <n v="2.4855162948370001E-2"/>
    <b v="0"/>
    <b v="0"/>
    <b v="0"/>
    <b v="0"/>
  </r>
  <r>
    <x v="113"/>
    <x v="12"/>
    <n v="497608.71875"/>
    <n v="0.93772417306900002"/>
    <n v="3.1E-2"/>
    <n v="2.23907805133577"/>
    <n v="2.3877789606379416"/>
    <n v="-4.1986661750659897E-2"/>
    <n v="3.3990185916423797E-2"/>
    <n v="2.4855162948370001E-2"/>
    <n v="2.88151718378067E-2"/>
    <n v="1.1013977229595099E-2"/>
    <b v="1"/>
    <b v="0"/>
    <b v="1"/>
    <b v="0"/>
  </r>
  <r>
    <x v="113"/>
    <x v="13"/>
    <n v="505967.40625"/>
    <n v="0.94288963079452504"/>
    <n v="0"/>
    <n v="2.3347525530243498"/>
    <n v="2.4761673866929397"/>
    <n v="4.2729417865311502E-2"/>
    <n v="2.88151718378067E-2"/>
    <n v="1.1013977229595099E-2"/>
    <n v="3.2209692627191498E-2"/>
    <n v="1.33605021983385E-2"/>
    <b v="0"/>
    <b v="0"/>
    <b v="0"/>
    <b v="0"/>
  </r>
  <r>
    <x v="113"/>
    <x v="14"/>
    <n v="513014.09375"/>
    <n v="0.95092099905014005"/>
    <n v="7.0000000000000001E-3"/>
    <n v="2.0144491985873398"/>
    <n v="2.1184190911753356"/>
    <n v="-0.137189422503083"/>
    <n v="3.2209692627191498E-2"/>
    <n v="1.33605021983385E-2"/>
    <n v="5.5635085582733002E-2"/>
    <n v="1.2045472860336E-2"/>
    <b v="1"/>
    <b v="0"/>
    <b v="1"/>
    <b v="0"/>
  </r>
  <r>
    <x v="113"/>
    <x v="15"/>
    <n v="518446.59375"/>
    <n v="0.91098040342330899"/>
    <n v="7.2999999999999995E-2"/>
    <n v="2.1488803475935798"/>
    <n v="2.3588656128259773"/>
    <n v="6.6733452052558206E-2"/>
    <n v="5.5635085582733002E-2"/>
    <n v="1.2045472860336E-2"/>
    <n v="-4.91496025770903E-2"/>
    <n v="-1.7046095803379999E-2"/>
    <b v="0"/>
    <b v="0"/>
    <b v="0"/>
    <b v="0"/>
  </r>
  <r>
    <x v="113"/>
    <x v="16"/>
    <n v="524748.3125"/>
    <n v="0.88031882047653198"/>
    <n v="7.0999999999999994E-2"/>
    <n v="2.1693136435404399"/>
    <n v="2.4642363574212265"/>
    <n v="9.5088104694833701E-3"/>
    <n v="-4.91496025770903E-2"/>
    <n v="-1.65673922747374E-2"/>
    <n v="-5.5745144173502903E-2"/>
    <n v="-3.6186216399073601E-2"/>
    <b v="0"/>
    <b v="1"/>
    <b v="0"/>
    <b v="1"/>
  </r>
  <r>
    <x v="114"/>
    <x v="0"/>
    <n v="372289"/>
    <n v="0.90684258937835704"/>
    <n v="3.3000000000000002E-2"/>
    <n v="2.0667345626071998"/>
    <n v="2.2790444414658024"/>
    <n v="2.9875977389141599E-2"/>
    <n v="-1.1541925713419899E-2"/>
    <n v="-1.7904965206980698E-2"/>
    <n v="-6.2269614040851998E-3"/>
    <n v="-5.3052054718137004E-3"/>
    <b v="0"/>
    <b v="1"/>
    <b v="0"/>
    <b v="1"/>
  </r>
  <r>
    <x v="114"/>
    <x v="1"/>
    <n v="374627.28125"/>
    <n v="0.91707062721252397"/>
    <n v="0"/>
    <n v="2.0964866825577699"/>
    <n v="2.2860689464345101"/>
    <n v="1.4395714132269101E-2"/>
    <n v="-6.2269614040851998E-3"/>
    <n v="-5.3052054718137004E-3"/>
    <n v="-2.3998135060071899E-2"/>
    <n v="5.5126692168415E-3"/>
    <b v="0"/>
    <b v="1"/>
    <b v="0"/>
    <b v="1"/>
  </r>
  <r>
    <x v="114"/>
    <x v="2"/>
    <n v="376845.78125"/>
    <n v="0.92617559432983398"/>
    <n v="0"/>
    <n v="1.9514804039021001"/>
    <n v="2.1070306925050866"/>
    <n v="-6.9166324719392297E-2"/>
    <n v="-2.3998135060071899E-2"/>
    <n v="5.5126692168415E-3"/>
    <n v="-1.5960409030318298E-2"/>
    <n v="1.06062926352023E-2"/>
    <b v="1"/>
    <b v="0"/>
    <b v="0"/>
    <b v="0"/>
  </r>
  <r>
    <x v="114"/>
    <x v="3"/>
    <n v="379329.8125"/>
    <n v="0.92272508144378695"/>
    <n v="0"/>
    <n v="2.07167523788228"/>
    <n v="2.2451706142426864"/>
    <n v="6.1591617184495698E-2"/>
    <n v="-1.5960409030318298E-2"/>
    <n v="1.06062926352023E-2"/>
    <n v="-1.46555278301239E-2"/>
    <n v="-5.1954190712422098E-3"/>
    <b v="0"/>
    <b v="0"/>
    <b v="0"/>
    <b v="1"/>
  </r>
  <r>
    <x v="114"/>
    <x v="4"/>
    <n v="379447.8125"/>
    <n v="0.92286741733551003"/>
    <n v="1.4E-2"/>
    <n v="2.2065206158933499"/>
    <n v="2.3909399925115848"/>
    <n v="6.5090017752448798E-2"/>
    <n v="-1.46555278301239E-2"/>
    <n v="-5.1954190712422098E-3"/>
    <n v="-2.43555464483797E-2"/>
    <n v="-3.0717719346284602E-3"/>
    <b v="0"/>
    <b v="1"/>
    <b v="0"/>
    <b v="1"/>
  </r>
  <r>
    <x v="115"/>
    <x v="0"/>
    <n v="5862295"/>
    <n v="0.92594182491302501"/>
    <n v="6.0000000000000001E-3"/>
    <n v="2.0567519373438499"/>
    <n v="2.2212539513884075"/>
    <n v="-5.4437913868507097E-2"/>
    <n v="-1.01762715429068E-2"/>
    <n v="-1.65393110364675E-2"/>
    <n v="5.3701131641864901E-3"/>
    <n v="6.2918690964579903E-3"/>
    <b v="0"/>
    <b v="0"/>
    <b v="0"/>
    <b v="0"/>
  </r>
  <r>
    <x v="115"/>
    <x v="1"/>
    <n v="5888285"/>
    <n v="0.92805826663970903"/>
    <n v="4.0000000000000001E-3"/>
    <n v="2.11443081286026"/>
    <n v="2.2783384285947261"/>
    <n v="2.8043671416643899E-2"/>
    <n v="5.3701131641864901E-3"/>
    <n v="6.2918690964579903E-3"/>
    <n v="-1.5678496390581099E-2"/>
    <n v="1.38323078863323E-2"/>
    <b v="0"/>
    <b v="0"/>
    <b v="0"/>
    <b v="0"/>
  </r>
  <r>
    <x v="115"/>
    <x v="2"/>
    <n v="5915824"/>
    <n v="0.92638993263244596"/>
    <n v="6.0000000000000001E-3"/>
    <n v="2.1069944686409099"/>
    <n v="2.2744142551869464"/>
    <n v="-3.5169484733767499E-3"/>
    <n v="-1.5678496390581099E-2"/>
    <n v="1.38323078863323E-2"/>
    <n v="2.0610000202432302E-3"/>
    <n v="2.8627701685763798E-2"/>
    <b v="1"/>
    <b v="0"/>
    <b v="0"/>
    <b v="0"/>
  </r>
  <r>
    <x v="115"/>
    <x v="3"/>
    <n v="5950187"/>
    <n v="0.92764300107955899"/>
    <n v="7.0000000000000001E-3"/>
    <n v="2.1324391032937502"/>
    <n v="2.2987712954359498"/>
    <n v="1.20762702662656E-2"/>
    <n v="2.0610000202432302E-3"/>
    <n v="2.8627701685763798E-2"/>
    <n v="9.3491997718810997E-3"/>
    <n v="1.8809308530762701E-2"/>
    <b v="0"/>
    <b v="0"/>
    <b v="0"/>
    <b v="0"/>
  </r>
  <r>
    <x v="115"/>
    <x v="4"/>
    <n v="5984665"/>
    <n v="0.93224465847015403"/>
    <n v="4.0000000000000001E-3"/>
    <n v="2.13873129218429"/>
    <n v="2.2941738230970641"/>
    <n v="2.9507003884975602E-3"/>
    <n v="9.3491997718810997E-3"/>
    <n v="1.8809308530762701E-2"/>
    <n v="-2.3153636947274198E-2"/>
    <n v="-1.8698624335229E-3"/>
    <b v="0"/>
    <b v="0"/>
    <b v="0"/>
    <b v="0"/>
  </r>
  <r>
    <x v="115"/>
    <x v="5"/>
    <n v="6021996"/>
    <n v="0.93335181474685702"/>
    <n v="2E-3"/>
    <n v="2.14018325124264"/>
    <n v="2.293008078441567"/>
    <n v="6.7888802284790304E-4"/>
    <n v="-2.3153636947274198E-2"/>
    <n v="-1.8698624335229E-3"/>
    <n v="-8.0276600122452003E-3"/>
    <n v="-2.5894539430737998E-3"/>
    <b v="0"/>
    <b v="1"/>
    <b v="0"/>
    <b v="1"/>
  </r>
  <r>
    <x v="115"/>
    <x v="6"/>
    <n v="6055300"/>
    <n v="0.93672275543212902"/>
    <n v="6.0000000000000001E-3"/>
    <n v="2.1688613317296701"/>
    <n v="2.3153716712359902"/>
    <n v="1.3399824744155501E-2"/>
    <n v="-8.0276600122452003E-3"/>
    <n v="-2.6750527322293E-3"/>
    <n v="-1.2953359261154999E-3"/>
    <n v="-7.4221072718501004E-3"/>
    <b v="0"/>
    <b v="1"/>
    <b v="0"/>
    <b v="1"/>
  </r>
  <r>
    <x v="115"/>
    <x v="7"/>
    <n v="6082910"/>
    <n v="0.93584614992141701"/>
    <n v="1.4E-2"/>
    <n v="2.1667371813154599"/>
    <n v="2.3152707114277287"/>
    <n v="-9.7938507323265902E-4"/>
    <n v="-1.2953359261154999E-3"/>
    <n v="-7.4221072718501004E-3"/>
    <n v="-2.7358841001987001E-3"/>
    <n v="-4.7439076006412003E-3"/>
    <b v="0"/>
    <b v="0"/>
    <b v="0"/>
    <b v="0"/>
  </r>
  <r>
    <x v="115"/>
    <x v="8"/>
    <n v="6113104"/>
    <n v="0.93796712160110496"/>
    <n v="1.2E-2"/>
    <n v="2.1516849912303999"/>
    <n v="2.2939876480504826"/>
    <n v="-6.9469385649824399E-3"/>
    <n v="-2.7358841001987001E-3"/>
    <n v="-4.7439076006412003E-3"/>
    <n v="2.9466811731457699E-2"/>
    <n v="-7.96640291809997E-4"/>
    <b v="0"/>
    <b v="0"/>
    <b v="0"/>
    <b v="0"/>
  </r>
  <r>
    <x v="115"/>
    <x v="9"/>
    <n v="6136328"/>
    <n v="0.93904161453247104"/>
    <n v="1.6E-2"/>
    <n v="2.23979078628712"/>
    <n v="2.3851879955312358"/>
    <n v="4.0947348434280301E-2"/>
    <n v="2.9466811731457699E-2"/>
    <n v="-7.96640291809997E-4"/>
    <n v="7.7286346703767904E-3"/>
    <n v="-5.4249223321676003E-3"/>
    <b v="0"/>
    <b v="1"/>
    <b v="0"/>
    <b v="0"/>
  </r>
  <r>
    <x v="115"/>
    <x v="10"/>
    <n v="6160716"/>
    <n v="0.93719428777694702"/>
    <n v="1.4E-2"/>
    <n v="2.1753028201079401"/>
    <n v="2.3210798961097208"/>
    <n v="-2.8791959755348099E-2"/>
    <n v="7.7286346703767904E-3"/>
    <n v="-5.4249223321676003E-3"/>
    <n v="1.3711833953859701E-4"/>
    <n v="-2.6524551212786999E-3"/>
    <b v="0"/>
    <b v="0"/>
    <b v="1"/>
    <b v="0"/>
  </r>
  <r>
    <x v="115"/>
    <x v="11"/>
    <n v="6186663"/>
    <n v="0.93705135583877597"/>
    <n v="1.7999999999999999E-2"/>
    <n v="2.0828838155433198"/>
    <n v="2.2228064689996452"/>
    <n v="-4.2485581184524397E-2"/>
    <n v="1.3711833953859701E-4"/>
    <n v="-2.6524551212786999E-3"/>
    <n v="1.04103947281836E-2"/>
    <n v="1.2753717601299E-3"/>
    <b v="0"/>
    <b v="0"/>
    <b v="1"/>
    <b v="0"/>
  </r>
  <r>
    <x v="115"/>
    <x v="12"/>
    <n v="6212725"/>
    <n v="0.94012361764907804"/>
    <n v="2.1000000000000001E-2"/>
    <n v="2.1410064877675099"/>
    <n v="2.2773669840583537"/>
    <n v="2.7904903667910999E-2"/>
    <n v="1.04103947281836E-2"/>
    <n v="1.2753717601299E-3"/>
    <n v="1.82748131155968E-2"/>
    <n v="4.73618507385295E-4"/>
    <b v="0"/>
    <b v="0"/>
    <b v="0"/>
    <b v="0"/>
  </r>
  <r>
    <x v="115"/>
    <x v="13"/>
    <n v="6234104"/>
    <n v="0.94243681430816695"/>
    <n v="1.7999999999999999E-2"/>
    <n v="2.1431116343554599"/>
    <n v="2.2740109488705573"/>
    <n v="9.8325091492283407E-4"/>
    <n v="1.82748131155968E-2"/>
    <n v="4.73618507385295E-4"/>
    <n v="6.5883361846208899E-3"/>
    <n v="-1.22608542442321E-2"/>
    <b v="0"/>
    <b v="0"/>
    <b v="0"/>
    <b v="0"/>
  </r>
  <r>
    <x v="115"/>
    <x v="14"/>
    <n v="6245126"/>
    <n v="0.94071018695831299"/>
    <n v="2.5999999999999999E-2"/>
    <n v="2.1091501179708998"/>
    <n v="2.2420827872509959"/>
    <n v="-1.5846825634344499E-2"/>
    <n v="6.5883361846208899E-3"/>
    <n v="-1.22608542442321E-2"/>
    <n v="4.3650051832199097E-2"/>
    <n v="6.0439109802190501E-5"/>
    <b v="0"/>
    <b v="0"/>
    <b v="1"/>
    <b v="0"/>
  </r>
  <r>
    <x v="115"/>
    <x v="15"/>
    <n v="6252441"/>
    <n v="0.95946186780929599"/>
    <n v="2.1000000000000001E-2"/>
    <n v="2.09202156804144"/>
    <n v="2.1804113724895351"/>
    <n v="-8.1210672410252406E-3"/>
    <n v="4.3650051832199097E-2"/>
    <n v="6.0439109802190501E-5"/>
    <n v="-4.25570140779018E-2"/>
    <n v="-1.0453507304191499E-2"/>
    <b v="1"/>
    <b v="0"/>
    <b v="1"/>
    <b v="0"/>
  </r>
  <r>
    <x v="115"/>
    <x v="16"/>
    <n v="6258111"/>
    <n v="0.94658333063125599"/>
    <n v="1.7999999999999999E-2"/>
    <n v="2.0784766845772502"/>
    <n v="2.1957672582203185"/>
    <n v="-6.4745429354579904E-3"/>
    <n v="-4.25570140779018E-2"/>
    <n v="-9.9748037755489002E-3"/>
    <n v="-1.96406103521585E-2"/>
    <n v="-8.1682577729200805E-5"/>
    <b v="0"/>
    <b v="0"/>
    <b v="0"/>
    <b v="0"/>
  </r>
  <r>
    <x v="116"/>
    <x v="0"/>
    <n v="3939969"/>
    <n v="0.92511963844299305"/>
    <n v="1.2999999999999999E-2"/>
    <n v="2.4916974210514602"/>
    <n v="2.6933785831690584"/>
    <n v="1.1950902096918899E-2"/>
    <n v="2.3744357407092999E-2"/>
    <n v="1.7381317913532202E-2"/>
    <n v="-8.2214762419461993E-3"/>
    <n v="-7.2997203096746999E-3"/>
    <b v="0"/>
    <b v="0"/>
    <b v="0"/>
    <b v="0"/>
  </r>
  <r>
    <x v="116"/>
    <x v="1"/>
    <n v="4040162"/>
    <n v="0.89435559511184703"/>
    <n v="1.7000000000000001E-2"/>
    <n v="2.5109214089193799"/>
    <n v="2.8075202108009032"/>
    <n v="7.7152176285534496E-3"/>
    <n v="-8.2214762419461993E-3"/>
    <n v="-7.2997203096746999E-3"/>
    <n v="-7.3075232386589098E-2"/>
    <n v="-4.3564428109675597E-2"/>
    <b v="0"/>
    <b v="1"/>
    <b v="0"/>
    <b v="1"/>
  </r>
  <r>
    <x v="116"/>
    <x v="2"/>
    <n v="4118356"/>
    <n v="0.87782853841781605"/>
    <n v="3.4000000000000002E-2"/>
    <n v="2.5304129290181998"/>
    <n v="2.8825822108483452"/>
    <n v="7.7626962076889402E-3"/>
    <n v="-7.3075232386589098E-2"/>
    <n v="-4.3564428109675597E-2"/>
    <n v="-6.4497143685817701E-2"/>
    <n v="-3.7930442020297002E-2"/>
    <b v="0"/>
    <b v="1"/>
    <b v="0"/>
    <b v="1"/>
  </r>
  <r>
    <x v="116"/>
    <x v="3"/>
    <n v="4165369.25"/>
    <n v="0.87123697996139504"/>
    <n v="2.4E-2"/>
    <n v="2.5701708124287199"/>
    <n v="2.950024931841857"/>
    <n v="1.5712014017389999E-2"/>
    <n v="-6.4497143685817701E-2"/>
    <n v="-3.7930442020297002E-2"/>
    <n v="3.9618910849089798E-4"/>
    <n v="9.85629786737258E-3"/>
    <b v="0"/>
    <b v="1"/>
    <b v="0"/>
    <b v="1"/>
  </r>
  <r>
    <x v="116"/>
    <x v="4"/>
    <n v="4207301"/>
    <n v="0.89023494720458995"/>
    <n v="0"/>
    <n v="2.5899074295599598"/>
    <n v="2.9092403501934849"/>
    <n v="7.6791071767673396E-3"/>
    <n v="3.9618910849089798E-4"/>
    <n v="9.85629786737258E-3"/>
    <n v="-1.9079500220716E-2"/>
    <n v="2.2042742930353E-3"/>
    <b v="0"/>
    <b v="0"/>
    <b v="0"/>
    <b v="0"/>
  </r>
  <r>
    <x v="116"/>
    <x v="5"/>
    <n v="4243959"/>
    <n v="0.90227365493774403"/>
    <n v="0"/>
    <n v="2.55893690968675"/>
    <n v="2.8360984449482944"/>
    <n v="-1.1958157083042899E-2"/>
    <n v="-1.9079500220716E-2"/>
    <n v="2.2042742930353E-3"/>
    <n v="-2.9199703633785001E-3"/>
    <n v="2.51823570579289E-3"/>
    <b v="1"/>
    <b v="0"/>
    <b v="0"/>
    <b v="0"/>
  </r>
  <r>
    <x v="116"/>
    <x v="6"/>
    <n v="4301633"/>
    <n v="0.91559576988220204"/>
    <n v="2E-3"/>
    <n v="2.5465208205776801"/>
    <n v="2.7812719371839258"/>
    <n v="-4.8520497172328597E-3"/>
    <n v="-2.9199703633785001E-3"/>
    <n v="2.4326369166373998E-3"/>
    <n v="8.7337015569209902E-3"/>
    <n v="2.6069302111863899E-3"/>
    <b v="1"/>
    <b v="0"/>
    <b v="0"/>
    <b v="0"/>
  </r>
  <r>
    <x v="116"/>
    <x v="7"/>
    <n v="4358818"/>
    <n v="0.92094480991363503"/>
    <n v="0.01"/>
    <n v="2.5906097710663101"/>
    <n v="2.8129913358317897"/>
    <n v="1.73134066418596E-2"/>
    <n v="8.7337015569209902E-3"/>
    <n v="2.6069302111863899E-3"/>
    <n v="1.2363136574626E-2"/>
    <n v="1.03551130741834E-2"/>
    <b v="0"/>
    <b v="0"/>
    <b v="0"/>
    <b v="0"/>
  </r>
  <r>
    <x v="116"/>
    <x v="8"/>
    <n v="4427369"/>
    <n v="0.92220377922058105"/>
    <n v="2.4E-2"/>
    <n v="2.5833896740321398"/>
    <n v="2.8013219336571611"/>
    <n v="-2.7870260950937599E-3"/>
    <n v="1.2363136574626E-2"/>
    <n v="1.03551130741834E-2"/>
    <n v="5.2192742168903399E-2"/>
    <n v="2.1929290145635699E-2"/>
    <b v="1"/>
    <b v="0"/>
    <b v="1"/>
    <b v="0"/>
  </r>
  <r>
    <x v="116"/>
    <x v="9"/>
    <n v="4499213"/>
    <n v="0.924982368946075"/>
    <n v="2.1999999999999999E-2"/>
    <n v="2.5699579389616201"/>
    <n v="2.7783858646839188"/>
    <n v="-5.1992679252106603E-3"/>
    <n v="5.2192742168903399E-2"/>
    <n v="2.1929290145635699E-2"/>
    <n v="2.76032837927341E-2"/>
    <n v="1.44497267901897E-2"/>
    <b v="1"/>
    <b v="0"/>
    <b v="1"/>
    <b v="0"/>
  </r>
  <r>
    <x v="116"/>
    <x v="10"/>
    <n v="4572998"/>
    <n v="0.92648541927337602"/>
    <n v="1.4999999999999999E-2"/>
    <n v="2.6203168656337299"/>
    <n v="2.8282332469827662"/>
    <n v="1.9595233800771598E-2"/>
    <n v="2.76032837927341E-2"/>
    <n v="1.44497267901897E-2"/>
    <n v="1.9579523891210499E-2"/>
    <n v="1.6789950430393299E-2"/>
    <b v="0"/>
    <b v="0"/>
    <b v="0"/>
    <b v="0"/>
  </r>
  <r>
    <x v="116"/>
    <x v="11"/>
    <n v="4640609"/>
    <n v="0.92852461338043202"/>
    <n v="2.1000000000000001E-2"/>
    <n v="2.4948473137834299"/>
    <n v="2.6868941090323575"/>
    <n v="-4.7883350863350702E-2"/>
    <n v="1.9579523891210499E-2"/>
    <n v="1.6789950430393299E-2"/>
    <n v="4.4036839365959098E-2"/>
    <n v="3.4901816397905398E-2"/>
    <b v="1"/>
    <b v="0"/>
    <b v="1"/>
    <b v="0"/>
  </r>
  <r>
    <x v="116"/>
    <x v="12"/>
    <n v="4715284"/>
    <n v="0.93315732479095503"/>
    <n v="2.9000000000000001E-2"/>
    <n v="2.52017912668494"/>
    <n v="2.7007012212538846"/>
    <n v="1.01536525949145E-2"/>
    <n v="4.4036839365959098E-2"/>
    <n v="3.4901816397905398E-2"/>
    <n v="5.2664554834365801E-2"/>
    <n v="3.48633602261543E-2"/>
    <b v="0"/>
    <b v="0"/>
    <b v="0"/>
    <b v="0"/>
  </r>
  <r>
    <x v="116"/>
    <x v="13"/>
    <n v="4802028"/>
    <n v="0.932151198387146"/>
    <n v="2.8000000000000001E-2"/>
    <n v="2.4896704381708901"/>
    <n v="2.6708869145677663"/>
    <n v="-1.21057619242275E-2"/>
    <n v="5.2664554834365801E-2"/>
    <n v="3.48633602261543E-2"/>
    <n v="4.3188287049531898E-2"/>
    <n v="2.4339096620678801E-2"/>
    <b v="1"/>
    <b v="0"/>
    <b v="1"/>
    <b v="0"/>
  </r>
  <r>
    <x v="116"/>
    <x v="14"/>
    <n v="4893875"/>
    <n v="0.93954735994339"/>
    <n v="2.5000000000000001E-2"/>
    <n v="2.3823203229974901"/>
    <n v="2.5356042968829486"/>
    <n v="-4.3118202926593602E-2"/>
    <n v="4.3188287049531898E-2"/>
    <n v="2.4339096620678801E-2"/>
    <n v="0.120822763323784"/>
    <n v="7.7233150601387093E-2"/>
    <b v="1"/>
    <b v="0"/>
    <b v="1"/>
    <b v="0"/>
  </r>
  <r>
    <x v="116"/>
    <x v="15"/>
    <n v="4968305"/>
    <n v="0.93936419486999501"/>
    <n v="3.5999999999999997E-2"/>
    <n v="2.4590924347733498"/>
    <n v="2.6178264492119379"/>
    <n v="3.2225772090655899E-2"/>
    <n v="0.120822763323784"/>
    <n v="7.7233150601387093E-2"/>
    <n v="-7.6288709808140995E-2"/>
    <n v="-4.4185203034430597E-2"/>
    <b v="0"/>
    <b v="0"/>
    <b v="0"/>
    <b v="0"/>
  </r>
  <r>
    <x v="116"/>
    <x v="16"/>
    <n v="5047042"/>
    <n v="0.90740054845809903"/>
    <n v="4.3999999999999997E-2"/>
    <n v="2.4394526745109002"/>
    <n v="2.6883967379743616"/>
    <n v="-7.9865888669867803E-3"/>
    <n v="-7.6288709808140995E-2"/>
    <n v="-4.3706499505787998E-2"/>
    <n v="-6.3281443700194395E-2"/>
    <n v="-4.3722515925765003E-2"/>
    <b v="0"/>
    <b v="0"/>
    <b v="0"/>
    <b v="0"/>
  </r>
  <r>
    <x v="117"/>
    <x v="0"/>
    <n v="2362625"/>
    <n v="0.90065312385559104"/>
    <n v="4.0000000000000001E-3"/>
    <n v="1.85606549369958"/>
    <n v="2.0607994848826814"/>
    <n v="-1.9404264373897102E-2"/>
    <n v="-1.17426108270884E-2"/>
    <n v="-1.8105650320649199E-2"/>
    <n v="-5.6380377113818998E-3"/>
    <n v="-4.71628177911039E-3"/>
    <b v="0"/>
    <b v="0"/>
    <b v="0"/>
    <b v="0"/>
  </r>
  <r>
    <x v="117"/>
    <x v="1"/>
    <n v="2358370"/>
    <n v="0.90847617387771595"/>
    <n v="2E-3"/>
    <n v="1.93064927806241"/>
    <n v="2.1251512517072157"/>
    <n v="4.0183810655390402E-2"/>
    <n v="-5.6380377113818998E-3"/>
    <n v="-4.71628177911039E-3"/>
    <n v="-2.8734264254569999E-2"/>
    <n v="7.7654002234339302E-4"/>
    <b v="0"/>
    <b v="1"/>
    <b v="0"/>
    <b v="1"/>
  </r>
  <r>
    <x v="117"/>
    <x v="2"/>
    <n v="2356560"/>
    <n v="0.92974656820297197"/>
    <n v="2E-3"/>
    <n v="1.9744703480569901"/>
    <n v="2.1236651100237731"/>
    <n v="2.2697581840735399E-2"/>
    <n v="-2.8734264254569999E-2"/>
    <n v="7.7654002234339302E-4"/>
    <n v="-1.0485134743154E-2"/>
    <n v="1.6081566922366598E-2"/>
    <b v="0"/>
    <b v="0"/>
    <b v="0"/>
    <b v="1"/>
  </r>
  <r>
    <x v="117"/>
    <x v="3"/>
    <n v="2356374"/>
    <n v="0.93570989370346103"/>
    <n v="4.0000000000000001E-3"/>
    <n v="1.92076678189345"/>
    <n v="2.0527374935528537"/>
    <n v="-2.71989732418038E-2"/>
    <n v="-1.0485134743154E-2"/>
    <n v="1.6081566922366598E-2"/>
    <n v="2.28757487237449E-3"/>
    <n v="1.17476836312561E-2"/>
    <b v="1"/>
    <b v="0"/>
    <b v="0"/>
    <b v="0"/>
  </r>
  <r>
    <x v="117"/>
    <x v="4"/>
    <n v="2361062"/>
    <n v="0.93808460235595703"/>
    <n v="2E-3"/>
    <n v="1.9116896357878299"/>
    <n v="2.0378648482095407"/>
    <n v="-4.72579294435294E-3"/>
    <n v="2.28757487237449E-3"/>
    <n v="1.17476836312561E-2"/>
    <n v="-2.1097380079329001E-2"/>
    <n v="1.8639443442229899E-4"/>
    <b v="1"/>
    <b v="0"/>
    <b v="1"/>
    <b v="0"/>
  </r>
  <r>
    <x v="117"/>
    <x v="5"/>
    <n v="2369409"/>
    <n v="0.94029128551483199"/>
    <n v="2E-3"/>
    <n v="1.9298957498537499"/>
    <n v="2.0524445771047275"/>
    <n v="9.5235720930268893E-3"/>
    <n v="-2.1097380079329001E-2"/>
    <n v="1.8639443442229899E-4"/>
    <n v="-1.1768132731318401E-2"/>
    <n v="-6.3299266621470703E-3"/>
    <b v="0"/>
    <b v="0"/>
    <b v="0"/>
    <b v="1"/>
  </r>
  <r>
    <x v="117"/>
    <x v="6"/>
    <n v="2375563"/>
    <n v="0.94139349460601796"/>
    <n v="6.0000000000000001E-3"/>
    <n v="1.92852762483705"/>
    <n v="2.0485882214898425"/>
    <n v="-7.0891135793390398E-4"/>
    <n v="-1.1768132731318401E-2"/>
    <n v="-6.41552545130257E-3"/>
    <n v="-2.73994296789169E-3"/>
    <n v="-8.8667143136262998E-3"/>
    <b v="0"/>
    <b v="0"/>
    <b v="0"/>
    <b v="0"/>
  </r>
  <r>
    <x v="117"/>
    <x v="7"/>
    <n v="2379831"/>
    <n v="0.93989795446395896"/>
    <n v="8.9999999999999993E-3"/>
    <n v="1.9120489183621701"/>
    <n v="2.0343154374164443"/>
    <n v="-8.5447085448233494E-3"/>
    <n v="-2.73994296789169E-3"/>
    <n v="-8.8667143136262998E-3"/>
    <n v="-1.0931442197412201E-2"/>
    <n v="-1.29394656978547E-2"/>
    <b v="0"/>
    <b v="0"/>
    <b v="0"/>
    <b v="0"/>
  </r>
  <r>
    <x v="117"/>
    <x v="8"/>
    <n v="2381261"/>
    <n v="0.93610519170761097"/>
    <n v="1.7000000000000001E-2"/>
    <n v="1.9298958648604601"/>
    <n v="2.0616228624264012"/>
    <n v="9.3339382308106397E-3"/>
    <n v="-1.0931442197412201E-2"/>
    <n v="-1.29394656978547E-2"/>
    <n v="1.9421281456947201E-2"/>
    <n v="-1.08421705663203E-2"/>
    <b v="0"/>
    <b v="1"/>
    <b v="0"/>
    <b v="1"/>
  </r>
  <r>
    <x v="117"/>
    <x v="9"/>
    <n v="2378913"/>
    <n v="0.92291736602783203"/>
    <n v="3.2000000000000001E-2"/>
    <n v="1.9286142670950801"/>
    <n v="2.0896933334299397"/>
    <n v="-6.6407612385296303E-4"/>
    <n v="1.9421281456947201E-2"/>
    <n v="-1.08421705663203E-2"/>
    <n v="2.8323217183352E-3"/>
    <n v="-1.0321235284209199E-2"/>
    <b v="0"/>
    <b v="0"/>
    <b v="1"/>
    <b v="0"/>
  </r>
  <r>
    <x v="117"/>
    <x v="10"/>
    <n v="2376518"/>
    <n v="0.91882574558258101"/>
    <n v="2.3E-2"/>
    <n v="1.88256886331052"/>
    <n v="2.0488856264218827"/>
    <n v="-2.3874864232916501E-2"/>
    <n v="2.8323217183352E-3"/>
    <n v="-1.0321235284209199E-2"/>
    <n v="-1.00931136906147E-2"/>
    <n v="-1.2882687151431999E-2"/>
    <b v="0"/>
    <b v="0"/>
    <b v="1"/>
    <b v="0"/>
  </r>
  <r>
    <x v="117"/>
    <x v="11"/>
    <n v="2372210"/>
    <n v="0.92590582370758101"/>
    <n v="2.1999999999999999E-2"/>
    <n v="1.8923998598307099"/>
    <n v="2.043836221110503"/>
    <n v="5.22211787934692E-3"/>
    <n v="-1.00931136906147E-2"/>
    <n v="-1.2882687151431999E-2"/>
    <n v="1.25386418998241E-2"/>
    <n v="3.4036189317703E-3"/>
    <b v="0"/>
    <b v="1"/>
    <b v="0"/>
    <b v="1"/>
  </r>
  <r>
    <x v="117"/>
    <x v="12"/>
    <n v="2371867"/>
    <n v="0.93784761428832997"/>
    <n v="1.2E-2"/>
    <n v="1.8547321648975501"/>
    <n v="1.9776476867246526"/>
    <n v="-1.9904722956665101E-2"/>
    <n v="1.25386418998241E-2"/>
    <n v="3.4036189317703E-3"/>
    <n v="1.3756460666656501E-2"/>
    <n v="-4.0447339415549998E-3"/>
    <b v="1"/>
    <b v="0"/>
    <b v="1"/>
    <b v="0"/>
  </r>
  <r>
    <x v="117"/>
    <x v="13"/>
    <n v="2371510"/>
    <n v="0.94796031713485696"/>
    <n v="5.0000000000000001E-3"/>
    <n v="1.8779265109219601"/>
    <n v="1.9810180626525171"/>
    <n v="1.25054961915173E-2"/>
    <n v="1.3756460666656501E-2"/>
    <n v="-4.0447339415549998E-3"/>
    <n v="-8.87742372043431E-3"/>
    <n v="-2.7726614149287301E-2"/>
    <b v="0"/>
    <b v="1"/>
    <b v="0"/>
    <b v="0"/>
  </r>
  <r>
    <x v="117"/>
    <x v="14"/>
    <n v="2368314"/>
    <n v="0.93815672397613503"/>
    <n v="1.4E-2"/>
    <n v="1.80135264582409"/>
    <n v="1.9200977830116934"/>
    <n v="-4.0775751688111199E-2"/>
    <n v="-8.87742372043431E-3"/>
    <n v="-2.7726614149287301E-2"/>
    <n v="1.2631470590829801E-2"/>
    <n v="-3.0958142131567098E-2"/>
    <b v="0"/>
    <b v="0"/>
    <b v="0"/>
    <b v="0"/>
  </r>
  <r>
    <x v="117"/>
    <x v="15"/>
    <n v="2360794"/>
    <n v="0.95259702205658003"/>
    <n v="1.4999999999999999E-2"/>
    <n v="1.8385155120227199"/>
    <n v="1.930003421649916"/>
    <n v="2.0630533551985498E-2"/>
    <n v="1.2631470590829801E-2"/>
    <n v="-3.0958142131567098E-2"/>
    <n v="-2.77200359106064E-2"/>
    <n v="4.3834708631039004E-3"/>
    <b v="0"/>
    <b v="1"/>
    <b v="0"/>
    <b v="0"/>
  </r>
  <r>
    <x v="117"/>
    <x v="16"/>
    <n v="2347724"/>
    <n v="0.942945957183838"/>
    <n v="8.0000000000000002E-3"/>
    <n v="1.7794803711923799"/>
    <n v="1.887149902531954"/>
    <n v="-3.2110221776363398E-2"/>
    <n v="-2.77200359106064E-2"/>
    <n v="4.8621743917465002E-3"/>
    <n v="-3.2867932491004399E-2"/>
    <n v="-1.3309004716575101E-2"/>
    <b v="1"/>
    <b v="0"/>
    <b v="0"/>
    <b v="0"/>
  </r>
  <r>
    <x v="118"/>
    <x v="0"/>
    <n v="510998"/>
    <n v="0.95104795694351196"/>
    <n v="8.0000000000000002E-3"/>
    <n v="2.0517406740589901"/>
    <n v="2.1573472284750981"/>
    <n v="-9.2676797245974402E-3"/>
    <n v="-2.6252086907624901E-3"/>
    <n v="-8.98824818432329E-3"/>
    <n v="9.0907058119769901E-4"/>
    <n v="1.8308265134691999E-3"/>
    <b v="0"/>
    <b v="0"/>
    <b v="0"/>
    <b v="0"/>
  </r>
  <r>
    <x v="118"/>
    <x v="1"/>
    <n v="512743.09375"/>
    <n v="0.94664460420608498"/>
    <n v="5.0000000000000001E-3"/>
    <n v="1.94603125853125"/>
    <n v="2.0557147316793856"/>
    <n v="-5.1521820892992003E-2"/>
    <n v="9.0907058119769901E-4"/>
    <n v="1.8308265134691999E-3"/>
    <n v="-2.8524219349026599E-2"/>
    <n v="9.8658492788672404E-4"/>
    <b v="1"/>
    <b v="0"/>
    <b v="1"/>
    <b v="0"/>
  </r>
  <r>
    <x v="118"/>
    <x v="2"/>
    <n v="514347.09375"/>
    <n v="0.95257115364074696"/>
    <n v="1.2999999999999999E-2"/>
    <n v="2.0409295397896501"/>
    <n v="2.1425481256588284"/>
    <n v="4.8765034396219001E-2"/>
    <n v="-2.8524219349026599E-2"/>
    <n v="9.8658492788672404E-4"/>
    <n v="-2.8628379762172699E-2"/>
    <n v="-2.0616780966520401E-3"/>
    <b v="0"/>
    <b v="0"/>
    <b v="0"/>
    <b v="1"/>
  </r>
  <r>
    <x v="118"/>
    <x v="3"/>
    <n v="514618.28125"/>
    <n v="0.94365251064300504"/>
    <n v="7.0000000000000001E-3"/>
    <n v="2.0207834388635502"/>
    <n v="2.1414486964980233"/>
    <n v="-9.8710418627068006E-3"/>
    <n v="-2.8628379762172699E-2"/>
    <n v="-2.0616780966520401E-3"/>
    <n v="5.1245169341559895E-4"/>
    <n v="9.9725604522972796E-3"/>
    <b v="0"/>
    <b v="0"/>
    <b v="0"/>
    <b v="0"/>
  </r>
  <r>
    <x v="118"/>
    <x v="4"/>
    <n v="514966.8125"/>
    <n v="0.94088137149810802"/>
    <n v="1.4E-2"/>
    <n v="2.0258478343706301"/>
    <n v="2.1531384250333239"/>
    <n v="2.5061544991320699E-3"/>
    <n v="5.1245169341559895E-4"/>
    <n v="9.9725604522972796E-3"/>
    <n v="-1.64486592337489E-2"/>
    <n v="4.8351152800023998E-3"/>
    <b v="0"/>
    <b v="0"/>
    <b v="0"/>
    <b v="0"/>
  </r>
  <r>
    <x v="118"/>
    <x v="5"/>
    <n v="517916.8125"/>
    <n v="0.95042943954467796"/>
    <n v="0"/>
    <n v="1.9457409481149599"/>
    <n v="2.047222936451869"/>
    <n v="-3.9542400419502299E-2"/>
    <n v="-1.64486592337489E-2"/>
    <n v="4.8351152800023998E-3"/>
    <n v="-1.05249903202057E-2"/>
    <n v="-5.0867842510342997E-3"/>
    <b v="1"/>
    <b v="0"/>
    <b v="0"/>
    <b v="0"/>
  </r>
  <r>
    <x v="118"/>
    <x v="6"/>
    <n v="520750.125"/>
    <n v="0.95468616485595703"/>
    <n v="2E-3"/>
    <n v="2.0654204167180299"/>
    <n v="2.1634548532811935"/>
    <n v="6.15084288168034E-2"/>
    <n v="-1.05249903202057E-2"/>
    <n v="-5.1723830401898003E-3"/>
    <n v="9.5059635490178998E-3"/>
    <n v="3.37919220328329E-3"/>
    <b v="0"/>
    <b v="1"/>
    <b v="0"/>
    <b v="1"/>
  </r>
  <r>
    <x v="118"/>
    <x v="7"/>
    <n v="524441.5"/>
    <n v="0.95412737131118797"/>
    <n v="1E-3"/>
    <n v="2.0387862638843099"/>
    <n v="2.1368072284547859"/>
    <n v="-1.28952694657896E-2"/>
    <n v="9.5059635490178998E-3"/>
    <n v="3.37919220328329E-3"/>
    <n v="5.2291404604912E-3"/>
    <n v="3.2211169600486998E-3"/>
    <b v="1"/>
    <b v="0"/>
    <b v="1"/>
    <b v="0"/>
  </r>
  <r>
    <x v="118"/>
    <x v="8"/>
    <n v="528955.5"/>
    <n v="0.95598775148391701"/>
    <n v="1E-3"/>
    <n v="2.22178296419782"/>
    <n v="2.3240705341141581"/>
    <n v="8.9757667861104201E-2"/>
    <n v="5.2291404604912E-3"/>
    <n v="3.2211169600486998E-3"/>
    <n v="3.4204418003559098E-2"/>
    <n v="3.9409659802914004E-3"/>
    <b v="0"/>
    <b v="0"/>
    <b v="0"/>
    <b v="0"/>
  </r>
  <r>
    <x v="118"/>
    <x v="9"/>
    <n v="532073.75"/>
    <n v="0.95238667726516701"/>
    <n v="8.9999999999999993E-3"/>
    <n v="2.0248287811177001"/>
    <n v="2.1260574401692724"/>
    <n v="-8.8646904874991397E-2"/>
    <n v="3.4204418003559098E-2"/>
    <n v="3.9409659802914004E-3"/>
    <n v="4.2096788883208896E-3"/>
    <n v="-8.9438781142234993E-3"/>
    <b v="1"/>
    <b v="0"/>
    <b v="1"/>
    <b v="0"/>
  </r>
  <r>
    <x v="118"/>
    <x v="10"/>
    <n v="536214.5"/>
    <n v="0.94757896661758401"/>
    <n v="8.9999999999999993E-3"/>
    <n v="1.8532901174168199"/>
    <n v="1.955816013975282"/>
    <n v="-8.47176142993111E-2"/>
    <n v="4.2096788883208896E-3"/>
    <n v="-8.9438781142234993E-3"/>
    <n v="-9.2339034229516996E-3"/>
    <n v="-1.20234768837689E-2"/>
    <b v="0"/>
    <b v="0"/>
    <b v="1"/>
    <b v="0"/>
  </r>
  <r>
    <x v="118"/>
    <x v="11"/>
    <n v="540335.875"/>
    <n v="0.94879549741744995"/>
    <n v="0.04"/>
    <n v="1.9669508454020099"/>
    <n v="2.0731030561969384"/>
    <n v="6.1329160996987202E-2"/>
    <n v="-9.2339034229516996E-3"/>
    <n v="-1.20234768837689E-2"/>
    <n v="5.97055277228359E-3"/>
    <n v="-3.1644701957701899E-3"/>
    <b v="0"/>
    <b v="1"/>
    <b v="0"/>
    <b v="1"/>
  </r>
  <r>
    <x v="118"/>
    <x v="12"/>
    <n v="544951.75"/>
    <n v="0.95521849393844604"/>
    <n v="2.1999999999999999E-2"/>
    <n v="1.90578642899439"/>
    <n v="1.9951314187151805"/>
    <n v="-3.10960574081421E-2"/>
    <n v="5.97055277228359E-3"/>
    <n v="-3.1644701957701899E-3"/>
    <n v="2.1430309087038E-2"/>
    <n v="3.6291144788264899E-3"/>
    <b v="0"/>
    <b v="0"/>
    <b v="1"/>
    <b v="0"/>
  </r>
  <r>
    <x v="118"/>
    <x v="13"/>
    <n v="549594.4375"/>
    <n v="0.95493549108505205"/>
    <n v="1.2E-2"/>
    <n v="1.9414359956665701"/>
    <n v="2.0330546029455876"/>
    <n v="1.8705961029951802E-2"/>
    <n v="2.1430309087038E-2"/>
    <n v="3.6291144788264899E-3"/>
    <n v="2.5921987473964601E-2"/>
    <n v="7.07279704511169E-3"/>
    <b v="0"/>
    <b v="0"/>
    <b v="0"/>
    <b v="0"/>
  </r>
  <r>
    <x v="118"/>
    <x v="14"/>
    <n v="554025.0625"/>
    <n v="0.9615119099617"/>
    <n v="2.7E-2"/>
    <n v="1.8574343519957299"/>
    <n v="1.9317850696927064"/>
    <n v="-4.3267789336524302E-2"/>
    <n v="2.5921987473964601E-2"/>
    <n v="7.07279704511169E-3"/>
    <n v="-1.1268534958362899E-3"/>
    <n v="-4.4716466218233199E-2"/>
    <b v="1"/>
    <b v="0"/>
    <b v="1"/>
    <b v="0"/>
  </r>
  <r>
    <x v="118"/>
    <x v="15"/>
    <n v="559604.1875"/>
    <n v="0.97166228294372603"/>
    <n v="3.2000000000000001E-2"/>
    <n v="1.81843876617435"/>
    <n v="1.8714720104862455"/>
    <n v="-2.0994327890767901E-2"/>
    <n v="-1.1268534958362899E-3"/>
    <n v="-4.4716466218233199E-2"/>
    <n v="-2.5927638560533501E-2"/>
    <n v="6.1758682131767897E-3"/>
    <b v="0"/>
    <b v="0"/>
    <b v="0"/>
    <b v="0"/>
  </r>
  <r>
    <x v="118"/>
    <x v="16"/>
    <n v="564723.0625"/>
    <n v="0.97087985277175903"/>
    <n v="1.9E-2"/>
    <n v="1.93560910722019"/>
    <n v="1.9936649233107797"/>
    <n v="6.4434581590196396E-2"/>
    <n v="-2.5927638560533501E-2"/>
    <n v="6.6545717418193904E-3"/>
    <n v="-1.9558927774429299E-2"/>
    <n v="0"/>
    <b v="0"/>
    <b v="0"/>
    <b v="0"/>
    <b v="1"/>
  </r>
  <r>
    <x v="119"/>
    <x v="0"/>
    <n v="2111711"/>
    <n v="0.96008592844009399"/>
    <n v="6.0000000000000001E-3"/>
    <n v="2.2356419301257402"/>
    <n v="2.3285852483622111"/>
    <n v="3.3475132007182201E-3"/>
    <n v="4.8150174617766902E-3"/>
    <n v="-1.5480220317840899E-3"/>
    <n v="2.1990991294384001E-2"/>
    <n v="2.2912747226655501E-2"/>
    <b v="0"/>
    <b v="1"/>
    <b v="0"/>
    <b v="0"/>
  </r>
  <r>
    <x v="119"/>
    <x v="1"/>
    <n v="2146570"/>
    <n v="0.95592856407165505"/>
    <n v="0.01"/>
    <n v="2.2082437324767898"/>
    <n v="2.310050996981468"/>
    <n v="-1.22551815117401E-2"/>
    <n v="2.1990991294384001E-2"/>
    <n v="2.2912747226655501E-2"/>
    <n v="-2.0343601062893801E-2"/>
    <n v="9.1672032140195005E-3"/>
    <b v="1"/>
    <b v="0"/>
    <b v="1"/>
    <b v="0"/>
  </r>
  <r>
    <x v="119"/>
    <x v="2"/>
    <n v="2181417"/>
    <n v="0.943206787109375"/>
    <n v="1.4999999999999999E-2"/>
    <n v="2.16967370177812"/>
    <n v="2.3003160403748484"/>
    <n v="-1.74663829591905E-2"/>
    <n v="-2.0343601062893801E-2"/>
    <n v="9.1672032140195005E-3"/>
    <n v="-4.0344447553157803E-2"/>
    <n v="-1.37777458876371E-2"/>
    <b v="1"/>
    <b v="0"/>
    <b v="0"/>
    <b v="0"/>
  </r>
  <r>
    <x v="119"/>
    <x v="3"/>
    <n v="2213304"/>
    <n v="0.93632352352142301"/>
    <n v="2.1000000000000001E-2"/>
    <n v="2.2732548073950398"/>
    <n v="2.4278518592009166"/>
    <n v="4.7740407016976801E-2"/>
    <n v="-4.0344447553157803E-2"/>
    <n v="-1.37777458876371E-2"/>
    <n v="2.1668046861887001E-3"/>
    <n v="1.1626913445070299E-2"/>
    <b v="0"/>
    <b v="1"/>
    <b v="0"/>
    <b v="1"/>
  </r>
  <r>
    <x v="119"/>
    <x v="4"/>
    <n v="2240432"/>
    <n v="0.94979560375213601"/>
    <n v="4.0000000000000001E-3"/>
    <n v="2.2729094410009001"/>
    <n v="2.3930511280762374"/>
    <n v="-1.5192594909144299E-4"/>
    <n v="2.1668046861887001E-3"/>
    <n v="1.1626913445070299E-2"/>
    <n v="-1.4776559889316599E-2"/>
    <n v="6.5072146244346896E-3"/>
    <b v="1"/>
    <b v="0"/>
    <b v="1"/>
    <b v="0"/>
  </r>
  <r>
    <x v="119"/>
    <x v="5"/>
    <n v="2270517"/>
    <n v="0.948572337627411"/>
    <n v="3.0000000000000001E-3"/>
    <n v="2.3140215362526901"/>
    <n v="2.4394781973513684"/>
    <n v="1.8087872094757401E-2"/>
    <n v="-1.4776559889316599E-2"/>
    <n v="6.5072146244346896E-3"/>
    <n v="5.1332169175147997E-3"/>
    <n v="1.05714229866862E-2"/>
    <b v="0"/>
    <b v="0"/>
    <b v="0"/>
    <b v="1"/>
  </r>
  <r>
    <x v="119"/>
    <x v="6"/>
    <n v="2296577"/>
    <n v="0.94703882932662997"/>
    <n v="1.4E-2"/>
    <n v="2.3344353189267402"/>
    <n v="2.4649837436830193"/>
    <n v="8.8217773059765092E-3"/>
    <n v="5.1332169175147997E-3"/>
    <n v="1.04858241975307E-2"/>
    <n v="2.0221993923187201E-2"/>
    <n v="1.4095222577452601E-2"/>
    <b v="0"/>
    <b v="0"/>
    <b v="0"/>
    <b v="0"/>
  </r>
  <r>
    <x v="119"/>
    <x v="7"/>
    <n v="2322337"/>
    <n v="0.94991755485534701"/>
    <n v="1.7000000000000001E-2"/>
    <n v="2.3452961849371801"/>
    <n v="2.4689470922498327"/>
    <n v="4.6524596001371104E-3"/>
    <n v="2.0221993923187201E-2"/>
    <n v="1.4095222577452601E-2"/>
    <n v="2.1704810500145E-2"/>
    <n v="1.9696786999702499E-2"/>
    <b v="0"/>
    <b v="0"/>
    <b v="0"/>
    <b v="0"/>
  </r>
  <r>
    <x v="119"/>
    <x v="8"/>
    <n v="2357625"/>
    <n v="0.95228379964828502"/>
    <n v="2.5999999999999999E-2"/>
    <n v="2.3580082377653802"/>
    <n v="2.4761612437765748"/>
    <n v="5.4202334484829903E-3"/>
    <n v="2.1704810500145E-2"/>
    <n v="1.9696786999702499E-2"/>
    <n v="7.5655007898807497E-2"/>
    <n v="4.53915558755398E-2"/>
    <b v="0"/>
    <b v="0"/>
    <b v="0"/>
    <b v="0"/>
  </r>
  <r>
    <x v="119"/>
    <x v="9"/>
    <n v="2397875"/>
    <n v="0.95033735036849998"/>
    <n v="2.5000000000000001E-2"/>
    <n v="2.2301149490858201"/>
    <n v="2.3466561092448668"/>
    <n v="-5.4237846429559901E-2"/>
    <n v="7.5655007898807497E-2"/>
    <n v="4.53915558755398E-2"/>
    <n v="1.2768645107746101E-2"/>
    <n v="-3.8491189479829897E-4"/>
    <b v="1"/>
    <b v="0"/>
    <b v="1"/>
    <b v="0"/>
  </r>
  <r>
    <x v="119"/>
    <x v="10"/>
    <n v="2439731"/>
    <n v="0.938679218292236"/>
    <n v="2.9000000000000001E-2"/>
    <n v="2.2802009953461702"/>
    <n v="2.429158919161543"/>
    <n v="2.24589527463059E-2"/>
    <n v="1.2768645107746101E-2"/>
    <n v="-3.8491189479829897E-4"/>
    <n v="-2.3238885253668001E-3"/>
    <n v="-5.1134619861840898E-3"/>
    <b v="0"/>
    <b v="1"/>
    <b v="0"/>
    <b v="0"/>
  </r>
  <r>
    <x v="119"/>
    <x v="11"/>
    <n v="2466205"/>
    <n v="0.93681615591049205"/>
    <n v="0.03"/>
    <n v="2.2742654018832802"/>
    <n v="2.4276539079035424"/>
    <n v="-2.6031009875926098E-3"/>
    <n v="-2.3238885253668001E-3"/>
    <n v="-5.1134619861840898E-3"/>
    <n v="4.9664641022682003E-3"/>
    <n v="-4.1685588657855901E-3"/>
    <b v="0"/>
    <b v="0"/>
    <b v="0"/>
    <b v="0"/>
  </r>
  <r>
    <x v="119"/>
    <x v="12"/>
    <n v="2484526"/>
    <n v="0.93947923183441195"/>
    <n v="3.6999999999999998E-2"/>
    <n v="2.2788665399699002"/>
    <n v="2.4256699485737672"/>
    <n v="2.0231315495585602E-3"/>
    <n v="4.9664641022682003E-3"/>
    <n v="-4.1685588657855901E-3"/>
    <n v="1.3452979892492299E-2"/>
    <n v="-4.3482147157191996E-3"/>
    <b v="0"/>
    <b v="1"/>
    <b v="0"/>
    <b v="0"/>
  </r>
  <r>
    <x v="119"/>
    <x v="13"/>
    <n v="2502871"/>
    <n v="0.93470585346221902"/>
    <n v="3.5999999999999997E-2"/>
    <n v="2.2219955654101899"/>
    <n v="2.3772137054451465"/>
    <n v="-2.49558162192559E-2"/>
    <n v="1.3452979892492299E-2"/>
    <n v="-4.3482147157191996E-3"/>
    <n v="2.3723106011747999E-3"/>
    <n v="-1.64768798276782E-2"/>
    <b v="0"/>
    <b v="0"/>
    <b v="1"/>
    <b v="0"/>
  </r>
  <r>
    <x v="119"/>
    <x v="14"/>
    <n v="2517556"/>
    <n v="0.93104350566864003"/>
    <n v="3.6999999999999998E-2"/>
    <n v="2.1701616059945201"/>
    <n v="2.3308917282399091"/>
    <n v="-2.3327661055034799E-2"/>
    <n v="2.3723106011747999E-3"/>
    <n v="-1.64768798276782E-2"/>
    <n v="3.6467125892639202E-2"/>
    <n v="-7.1224868297577E-3"/>
    <b v="0"/>
    <b v="0"/>
    <b v="1"/>
    <b v="0"/>
  </r>
  <r>
    <x v="119"/>
    <x v="15"/>
    <n v="2515004"/>
    <n v="0.94605481624603305"/>
    <n v="3.3000000000000002E-2"/>
    <n v="2.1429198104930598"/>
    <n v="2.2651116760825913"/>
    <n v="-1.2552887962906699E-2"/>
    <n v="3.6467125892639202E-2"/>
    <n v="-7.1224868297577E-3"/>
    <n v="-3.2103506773710301E-2"/>
    <n v="0"/>
    <b v="0"/>
    <b v="0"/>
    <b v="1"/>
    <b v="0"/>
  </r>
  <r>
    <x v="119"/>
    <x v="16"/>
    <n v="2512689"/>
    <n v="0.94470882415771495"/>
    <n v="1.7000000000000001E-2"/>
    <n v="2.0906960825610699"/>
    <n v="2.2130587003091624"/>
    <n v="-2.4370360326257098E-2"/>
    <n v="-3.2103506773710301E-2"/>
    <n v="4.7870352864259799E-4"/>
    <n v="-5.6496877022087597E-2"/>
    <n v="-3.6937949247658301E-2"/>
    <b v="1"/>
    <b v="0"/>
    <b v="0"/>
    <b v="0"/>
  </r>
  <r>
    <x v="120"/>
    <x v="0"/>
    <n v="1606248"/>
    <n v="0.93945652246475198"/>
    <n v="8.9999999999999993E-3"/>
    <n v="2.1241352499933699"/>
    <n v="2.2610256027820239"/>
    <n v="-2.0868788673411201E-2"/>
    <n v="-3.6080203652381999E-3"/>
    <n v="-9.9710598587989894E-3"/>
    <n v="1.1762744784354899E-3"/>
    <n v="2.09803041070699E-3"/>
    <b v="0"/>
    <b v="0"/>
    <b v="0"/>
    <b v="0"/>
  </r>
  <r>
    <x v="120"/>
    <x v="1"/>
    <n v="1602306"/>
    <n v="0.93830561637878396"/>
    <n v="1.2E-2"/>
    <n v="2.0887215182989798"/>
    <n v="2.2260567152523421"/>
    <n v="-1.6672070055097001E-2"/>
    <n v="1.1762744784354899E-3"/>
    <n v="2.09803041070699E-3"/>
    <n v="-3.2199142325669498E-2"/>
    <n v="-2.68833804875612E-3"/>
    <b v="1"/>
    <b v="0"/>
    <b v="1"/>
    <b v="0"/>
  </r>
  <r>
    <x v="120"/>
    <x v="2"/>
    <n v="1601405"/>
    <n v="0.93474119901657104"/>
    <n v="1.2E-2"/>
    <n v="2.0706289048872502"/>
    <n v="2.2151895166980249"/>
    <n v="-8.6620515244480601E-3"/>
    <n v="-3.2199142325669498E-2"/>
    <n v="-2.68833804875612E-3"/>
    <n v="-2.4829364106059099E-2"/>
    <n v="1.73733755946155E-3"/>
    <b v="0"/>
    <b v="0"/>
    <b v="0"/>
    <b v="0"/>
  </r>
  <r>
    <x v="120"/>
    <x v="3"/>
    <n v="1601950"/>
    <n v="0.93668752908706698"/>
    <n v="6.0000000000000001E-3"/>
    <n v="2.10274266221565"/>
    <n v="2.2448709915728959"/>
    <n v="1.5509180448801899E-2"/>
    <n v="-2.4829364106059099E-2"/>
    <n v="1.73733755946155E-3"/>
    <n v="2.4344289302830001E-4"/>
    <n v="9.7035516519099804E-3"/>
    <b v="0"/>
    <b v="0"/>
    <b v="0"/>
    <b v="1"/>
  </r>
  <r>
    <x v="120"/>
    <x v="4"/>
    <n v="1605854"/>
    <n v="0.93715906143188499"/>
    <n v="5.0000000000000001E-3"/>
    <n v="2.1083166400706199"/>
    <n v="2.2496892222856211"/>
    <n v="2.6508131285509699E-3"/>
    <n v="2.4344289302830001E-4"/>
    <n v="9.7035516519099804E-3"/>
    <n v="-2.5866767734289101E-2"/>
    <n v="-4.5829932205378697E-3"/>
    <b v="0"/>
    <b v="0"/>
    <b v="0"/>
    <b v="0"/>
  </r>
  <r>
    <x v="120"/>
    <x v="5"/>
    <n v="1611626"/>
    <n v="0.94374603033065796"/>
    <n v="3.0000000000000001E-3"/>
    <n v="2.1478906139201901"/>
    <n v="2.275920157425869"/>
    <n v="1.8770412895972699E-2"/>
    <n v="-2.5866767734289101E-2"/>
    <n v="-4.5829932205378697E-3"/>
    <n v="-1.4745720479637301E-2"/>
    <n v="-9.30751441046598E-3"/>
    <b v="0"/>
    <b v="1"/>
    <b v="0"/>
    <b v="1"/>
  </r>
  <r>
    <x v="120"/>
    <x v="6"/>
    <n v="1619714"/>
    <n v="0.94713169336319003"/>
    <n v="4.0000000000000001E-3"/>
    <n v="2.1338566344687302"/>
    <n v="2.2529671949753611"/>
    <n v="-6.53384272015983E-3"/>
    <n v="-1.4745720479637301E-2"/>
    <n v="-9.3931131996214806E-3"/>
    <n v="7.6022321730851898E-3"/>
    <n v="1.47546082735059E-3"/>
    <b v="0"/>
    <b v="0"/>
    <b v="0"/>
    <b v="0"/>
  </r>
  <r>
    <x v="120"/>
    <x v="7"/>
    <n v="1627078"/>
    <n v="0.94983613491058305"/>
    <n v="2E-3"/>
    <n v="2.1514655453951601"/>
    <n v="2.2650912787158783"/>
    <n v="8.2521527650880108E-3"/>
    <n v="7.6022321730851898E-3"/>
    <n v="1.47546082735059E-3"/>
    <n v="-2.0104490071535001E-3"/>
    <n v="-4.0184725075960003E-3"/>
    <b v="0"/>
    <b v="0"/>
    <b v="0"/>
    <b v="0"/>
  </r>
  <r>
    <x v="120"/>
    <x v="8"/>
    <n v="1635772"/>
    <n v="0.94931477308273304"/>
    <n v="1.0999999999999999E-2"/>
    <n v="2.1526614386069598"/>
    <n v="2.267595006044802"/>
    <n v="5.5585050588472895E-4"/>
    <n v="-2.0104490071535001E-3"/>
    <n v="-4.0184725075960003E-3"/>
    <n v="4.7106089234352097E-2"/>
    <n v="1.6842637211084401E-2"/>
    <b v="0"/>
    <b v="1"/>
    <b v="0"/>
    <b v="1"/>
  </r>
  <r>
    <x v="120"/>
    <x v="9"/>
    <n v="1643122"/>
    <n v="0.95423442125320401"/>
    <n v="1.0999999999999999E-2"/>
    <n v="2.1293341934768901"/>
    <n v="2.23145816798394"/>
    <n v="-1.08364672268998E-2"/>
    <n v="4.7106089234352097E-2"/>
    <n v="1.6842637211084401E-2"/>
    <n v="1.57018176168203E-2"/>
    <n v="2.5482606142758998E-3"/>
    <b v="1"/>
    <b v="0"/>
    <b v="1"/>
    <b v="0"/>
  </r>
  <r>
    <x v="120"/>
    <x v="10"/>
    <n v="1650556"/>
    <n v="0.95414054393768299"/>
    <n v="1.4E-2"/>
    <n v="2.1079925562988699"/>
    <n v="2.2093103261279583"/>
    <n v="-1.00226809128379E-2"/>
    <n v="1.57018176168203E-2"/>
    <n v="2.5482606142758998E-3"/>
    <n v="1.3501515328884E-2"/>
    <n v="1.0711941868066699E-2"/>
    <b v="1"/>
    <b v="0"/>
    <b v="1"/>
    <b v="0"/>
  </r>
  <r>
    <x v="120"/>
    <x v="11"/>
    <n v="1658554"/>
    <n v="0.95714169740676902"/>
    <n v="1.7999999999999999E-2"/>
    <n v="2.1373022070609502"/>
    <n v="2.2330050115376312"/>
    <n v="1.3904057997971699E-2"/>
    <n v="1.3501515328884E-2"/>
    <n v="1.0711941868066699E-2"/>
    <n v="1.1060919821262401E-2"/>
    <n v="1.9258968532086E-3"/>
    <b v="0"/>
    <b v="0"/>
    <b v="0"/>
    <b v="0"/>
  </r>
  <r>
    <x v="120"/>
    <x v="12"/>
    <n v="1668074"/>
    <n v="0.95782113075256303"/>
    <n v="2.1999999999999999E-2"/>
    <n v="2.1054073432442402"/>
    <n v="2.198121627980806"/>
    <n v="-1.4922954606672201E-2"/>
    <n v="1.1060919821262401E-2"/>
    <n v="1.9258968532086E-3"/>
    <n v="1.42385877370834E-2"/>
    <n v="-3.5626068711281001E-3"/>
    <b v="1"/>
    <b v="0"/>
    <b v="1"/>
    <b v="0"/>
  </r>
  <r>
    <x v="120"/>
    <x v="13"/>
    <n v="1673045"/>
    <n v="0.96225070953369096"/>
    <n v="8.9999999999999993E-3"/>
    <n v="2.0775826309152401"/>
    <n v="2.1590866188314286"/>
    <n v="-1.3215833229744201E-2"/>
    <n v="1.42385877370834E-2"/>
    <n v="-3.5626068711281001E-3"/>
    <n v="1.6668414801359201E-2"/>
    <n v="-2.1807756274937898E-3"/>
    <b v="0"/>
    <b v="0"/>
    <b v="1"/>
    <b v="0"/>
  </r>
  <r>
    <x v="120"/>
    <x v="14"/>
    <n v="1674171"/>
    <n v="0.963489890098572"/>
    <n v="2.3E-2"/>
    <n v="2.0562003690233102"/>
    <n v="2.1341172233918781"/>
    <n v="-1.0291894807818201E-2"/>
    <n v="1.6668414801359201E-2"/>
    <n v="-2.1807756274937898E-3"/>
    <n v="3.6425231277942699E-2"/>
    <n v="-7.1643814444542001E-3"/>
    <b v="0"/>
    <b v="0"/>
    <b v="1"/>
    <b v="0"/>
  </r>
  <r>
    <x v="120"/>
    <x v="15"/>
    <n v="1677533"/>
    <n v="0.97357988357543901"/>
    <n v="0.01"/>
    <n v="2.09572781046321"/>
    <n v="2.1525997463779971"/>
    <n v="1.9223535816539499E-2"/>
    <n v="3.6425231277942699E-2"/>
    <n v="-7.1643814444542001E-3"/>
    <n v="-2.6436114609241501E-2"/>
    <n v="5.6673921644688E-3"/>
    <b v="0"/>
    <b v="1"/>
    <b v="0"/>
    <b v="0"/>
  </r>
  <r>
    <x v="120"/>
    <x v="16"/>
    <n v="1682340"/>
    <n v="0.971452176570892"/>
    <n v="1.2E-2"/>
    <n v="2.07029981792114"/>
    <n v="2.1311392036086083"/>
    <n v="-1.2133251472411099E-2"/>
    <n v="-2.6436114609241501E-2"/>
    <n v="6.1460956931113902E-3"/>
    <n v="9.1413941383362007E-3"/>
    <n v="2.8700321912765499E-2"/>
    <b v="1"/>
    <b v="0"/>
    <b v="0"/>
    <b v="0"/>
  </r>
  <r>
    <x v="121"/>
    <x v="0"/>
    <n v="194024.09375"/>
    <n v="0.91794699430465698"/>
    <n v="0"/>
    <n v="2.20514420719475"/>
    <n v="2.4022565800383084"/>
    <n v="-3.00803956946816E-2"/>
    <n v="-1.22968706935644E-2"/>
    <n v="-1.8659910187125199E-2"/>
    <n v="-6.4225540459155999E-3"/>
    <n v="-5.5007981136440997E-3"/>
    <b v="0"/>
    <b v="0"/>
    <b v="0"/>
    <b v="0"/>
  </r>
  <r>
    <x v="121"/>
    <x v="1"/>
    <n v="194477.5"/>
    <n v="0.92431515455246005"/>
    <n v="0"/>
    <n v="2.0703104034350099"/>
    <n v="2.2398317210729104"/>
    <n v="-6.1145118455210798E-2"/>
    <n v="-6.4225540459155999E-3"/>
    <n v="-5.5007981136440997E-3"/>
    <n v="-2.36431884691118E-2"/>
    <n v="5.8676158078014998E-3"/>
    <b v="0"/>
    <b v="0"/>
    <b v="0"/>
    <b v="0"/>
  </r>
  <r>
    <x v="121"/>
    <x v="2"/>
    <n v="194838.296875"/>
    <n v="0.93293637037277199"/>
    <n v="0"/>
    <n v="2.12521688837478"/>
    <n v="2.2779869623108491"/>
    <n v="2.65208950545151E-2"/>
    <n v="-2.36431884691118E-2"/>
    <n v="5.8676158078014998E-3"/>
    <n v="-1.76659810394049E-2"/>
    <n v="8.9007206261157504E-3"/>
    <b v="0"/>
    <b v="0"/>
    <b v="0"/>
    <b v="1"/>
  </r>
  <r>
    <x v="121"/>
    <x v="3"/>
    <n v="195223.296875"/>
    <n v="0.92982810735702504"/>
    <n v="0"/>
    <n v="2.3239559164733099"/>
    <n v="2.4993392844178492"/>
    <n v="9.3514703927708998E-2"/>
    <n v="-1.76659810394049E-2"/>
    <n v="8.9007206261157504E-3"/>
    <n v="-1.3534326976165099E-2"/>
    <n v="-4.0742182172834899E-3"/>
    <b v="0"/>
    <b v="0"/>
    <b v="0"/>
    <b v="1"/>
  </r>
  <r>
    <x v="121"/>
    <x v="4"/>
    <n v="195380.703125"/>
    <n v="0.92909789085388195"/>
    <n v="2E-3"/>
    <n v="2.1910512266429301"/>
    <n v="2.3582565929939387"/>
    <n v="-5.7188989209427998E-2"/>
    <n v="-1.3534326976165099E-2"/>
    <n v="-4.0742182172834899E-3"/>
    <n v="-2.33190193474292E-2"/>
    <n v="-2.0352448336779798E-3"/>
    <b v="0"/>
    <b v="0"/>
    <b v="0"/>
    <b v="0"/>
  </r>
  <r>
    <x v="121"/>
    <x v="5"/>
    <n v="195084.203125"/>
    <n v="0.93560039997100797"/>
    <n v="0"/>
    <n v="2.4896714783474301"/>
    <n v="2.6610414856861744"/>
    <n v="0.136290858047182"/>
    <n v="-2.33190193474292E-2"/>
    <n v="-2.0352448336779798E-3"/>
    <n v="-6.2728713303804003E-3"/>
    <n v="-8.3466526120900002E-4"/>
    <b v="0"/>
    <b v="1"/>
    <b v="0"/>
    <b v="1"/>
  </r>
  <r>
    <x v="121"/>
    <x v="6"/>
    <n v="195075.390625"/>
    <n v="0.93877583742141701"/>
    <n v="0"/>
    <n v="2.2556658144472799"/>
    <n v="2.4027736170149319"/>
    <n v="-9.3990579052412496E-2"/>
    <n v="-6.2728713303804003E-3"/>
    <n v="-9.2026405036449899E-4"/>
    <n v="-6.1695776879789905E-4"/>
    <n v="-6.7437291145325002E-3"/>
    <b v="0"/>
    <b v="0"/>
    <b v="0"/>
    <b v="0"/>
  </r>
  <r>
    <x v="121"/>
    <x v="7"/>
    <n v="195325"/>
    <n v="0.93871337175369296"/>
    <n v="0"/>
    <n v="2.2273227179266399"/>
    <n v="2.3727399491130958"/>
    <n v="-1.25652906290916E-2"/>
    <n v="-6.1695776879789905E-4"/>
    <n v="-6.7437291145325002E-3"/>
    <n v="-6.43858982622622E-3"/>
    <n v="-8.4466133266687306E-3"/>
    <b v="0"/>
    <b v="0"/>
    <b v="0"/>
    <b v="0"/>
  </r>
  <r>
    <x v="121"/>
    <x v="8"/>
    <n v="195591.59375"/>
    <n v="0.94167172908783003"/>
    <n v="3.0000000000000001E-3"/>
    <n v="2.3072986108124298"/>
    <n v="2.450215440838861"/>
    <n v="3.5906737825687499E-2"/>
    <n v="-6.43858982622622E-3"/>
    <n v="-8.4466133266687306E-3"/>
    <n v="2.5525214314460799E-2"/>
    <n v="-4.7382377088068901E-3"/>
    <b v="0"/>
    <b v="1"/>
    <b v="0"/>
    <b v="1"/>
  </r>
  <r>
    <x v="121"/>
    <x v="9"/>
    <n v="195728.609375"/>
    <n v="0.94479817152023304"/>
    <n v="0"/>
    <n v="2.21348415075781"/>
    <n v="2.3428116368982703"/>
    <n v="-4.0659869344606303E-2"/>
    <n v="2.5525214314460799E-2"/>
    <n v="-4.7382377088068901E-3"/>
    <n v="1.2184080004692E-2"/>
    <n v="-9.6947699785230104E-4"/>
    <b v="0"/>
    <b v="0"/>
    <b v="1"/>
    <b v="0"/>
  </r>
  <r>
    <x v="121"/>
    <x v="10"/>
    <n v="196335.6875"/>
    <n v="0.95128446817398105"/>
    <n v="0"/>
    <n v="2.60974039905599"/>
    <n v="2.7433859022900529"/>
    <n v="0.17901923904109299"/>
    <n v="1.2184080004692E-2"/>
    <n v="-9.6947699785230104E-4"/>
    <n v="7.4076370298861898E-3"/>
    <n v="4.6180635690689E-3"/>
    <b v="0"/>
    <b v="1"/>
    <b v="0"/>
    <b v="0"/>
  </r>
  <r>
    <x v="121"/>
    <x v="11"/>
    <n v="197416.90625"/>
    <n v="0.95652699470519997"/>
    <n v="0"/>
    <n v="2.3995351446661801"/>
    <n v="2.5085911406041528"/>
    <n v="-8.0546423110071305E-2"/>
    <n v="7.4076370298861898E-3"/>
    <n v="4.6180635690689E-3"/>
    <n v="6.7028386741876901E-3"/>
    <n v="-2.4321842938660899E-3"/>
    <b v="1"/>
    <b v="0"/>
    <b v="1"/>
    <b v="0"/>
  </r>
  <r>
    <x v="121"/>
    <x v="12"/>
    <n v="197790.6875"/>
    <n v="0.94783377647399902"/>
    <n v="0"/>
    <n v="2.32630075494796"/>
    <n v="2.4543340960077877"/>
    <n v="-3.0520240506168601E-2"/>
    <n v="6.7028386741876901E-3"/>
    <n v="-2.4321842938660899E-3"/>
    <n v="9.8792381286621003E-3"/>
    <n v="-7.9219564795493993E-3"/>
    <b v="0"/>
    <b v="0"/>
    <b v="1"/>
    <b v="0"/>
  </r>
  <r>
    <x v="121"/>
    <x v="13"/>
    <n v="197788.890625"/>
    <n v="0.95497298240661599"/>
    <n v="0"/>
    <n v="2.5185793393164002"/>
    <n v="2.6373304645429427"/>
    <n v="8.2654224291275294E-2"/>
    <n v="9.8792381286621003E-3"/>
    <n v="-7.9219564795493993E-3"/>
    <n v="-7.3616028651595101E-3"/>
    <n v="-2.6210793294012501E-2"/>
    <b v="0"/>
    <b v="1"/>
    <b v="0"/>
    <b v="0"/>
  </r>
  <r>
    <x v="121"/>
    <x v="14"/>
    <n v="197749.796875"/>
    <n v="0.93924665451049805"/>
    <n v="6.0999999999999999E-2"/>
    <n v="2.0098264872521199"/>
    <n v="2.1398282097683596"/>
    <n v="-0.201999930723788"/>
    <n v="-7.3616028651595101E-3"/>
    <n v="-2.6210793294012501E-2"/>
    <n v="-8.5034759044646992E-3"/>
    <n v="-5.20930886268616E-2"/>
    <b v="0"/>
    <b v="0"/>
    <b v="0"/>
    <b v="0"/>
  </r>
  <r>
    <x v="121"/>
    <x v="15"/>
    <n v="196755.59375"/>
    <n v="0.96257144212722801"/>
    <n v="4.5999999999999999E-2"/>
    <n v="2.2573575453976198"/>
    <n v="2.3451324718391691"/>
    <n v="0.12316041196368401"/>
    <n v="-8.5034759044646992E-3"/>
    <n v="-5.20930886268616E-2"/>
    <n v="-4.6364748775959003E-2"/>
    <n v="-1.42612420022487E-2"/>
    <b v="0"/>
    <b v="1"/>
    <b v="0"/>
    <b v="1"/>
  </r>
  <r>
    <x v="121"/>
    <x v="16"/>
    <n v="196848.609375"/>
    <n v="0.94504874944686901"/>
    <n v="5.2999999999999999E-2"/>
    <n v="1.88934407150505"/>
    <n v="1.9992027634668275"/>
    <n v="-0.16302843767168701"/>
    <n v="-4.6364748775959003E-2"/>
    <n v="-1.3782538473606099E-2"/>
    <n v="1.37516498565699E-4"/>
    <n v="1.9696444272994999E-2"/>
    <b v="0"/>
    <b v="0"/>
    <b v="0"/>
    <b v="0"/>
  </r>
  <r>
    <x v="122"/>
    <x v="0"/>
    <n v="1000477"/>
    <n v="0.93014585971832298"/>
    <n v="7.0000000000000001E-3"/>
    <n v="2.1514828123827501"/>
    <n v="2.3130596023233236"/>
    <n v="-4.8448139134311001E-2"/>
    <n v="2.6128232777119001E-3"/>
    <n v="-3.7502162158488902E-3"/>
    <n v="-2.4408558011050201E-4"/>
    <n v="6.7767035216099796E-4"/>
    <b v="0"/>
    <b v="0"/>
    <b v="1"/>
    <b v="0"/>
  </r>
  <r>
    <x v="122"/>
    <x v="1"/>
    <n v="1045141"/>
    <n v="0.90794855356216397"/>
    <n v="5.5E-2"/>
    <n v="2.2123417260951799"/>
    <n v="2.4366377559779977"/>
    <n v="2.8286962536794101E-2"/>
    <n v="-2.4408558011050201E-4"/>
    <n v="6.7767035216099796E-4"/>
    <n v="-3.4575990691781001E-2"/>
    <n v="-5.06518641486763E-3"/>
    <b v="0"/>
    <b v="0"/>
    <b v="0"/>
    <b v="1"/>
  </r>
  <r>
    <x v="122"/>
    <x v="2"/>
    <n v="1085434"/>
    <n v="0.90478467941284202"/>
    <n v="3.2000000000000001E-2"/>
    <n v="2.2187179996030899"/>
    <n v="2.4522055358440884"/>
    <n v="2.88213770626085E-3"/>
    <n v="-3.4575990691781001E-2"/>
    <n v="-5.06518641486763E-3"/>
    <n v="-3.0536428749561299E-2"/>
    <n v="-3.9697270840406496E-3"/>
    <b v="0"/>
    <b v="1"/>
    <b v="0"/>
    <b v="1"/>
  </r>
  <r>
    <x v="122"/>
    <x v="3"/>
    <n v="1116966"/>
    <n v="0.912045478820801"/>
    <n v="4.4999999999999998E-2"/>
    <n v="2.2689384422110499"/>
    <n v="2.487747042115267"/>
    <n v="2.26348921390385E-2"/>
    <n v="-3.0536428749561299E-2"/>
    <n v="-3.9697270840406496E-3"/>
    <n v="1.3321093112230301E-2"/>
    <n v="2.2781201871111899E-2"/>
    <b v="0"/>
    <b v="1"/>
    <b v="0"/>
    <b v="1"/>
  </r>
  <r>
    <x v="122"/>
    <x v="4"/>
    <n v="1143674"/>
    <n v="0.932952880859375"/>
    <n v="1.9E-2"/>
    <n v="2.3228567398840498"/>
    <n v="2.4897899856897237"/>
    <n v="2.3763667039133799E-2"/>
    <n v="1.3321093112230301E-2"/>
    <n v="2.2781201871111899E-2"/>
    <n v="-3.7764686793089002E-3"/>
    <n v="1.7507305834442301E-2"/>
    <b v="0"/>
    <b v="0"/>
    <b v="0"/>
    <b v="0"/>
  </r>
  <r>
    <x v="122"/>
    <x v="5"/>
    <n v="1168675"/>
    <n v="0.93852317333221402"/>
    <n v="3.0000000000000001E-3"/>
    <n v="2.2778304790180601"/>
    <n v="2.4270370127683192"/>
    <n v="-1.9384002505565701E-2"/>
    <n v="-3.7764686793089002E-3"/>
    <n v="1.7507305834442301E-2"/>
    <n v="8.3657202273606998E-3"/>
    <n v="1.38039262965321E-2"/>
    <b v="1"/>
    <b v="0"/>
    <b v="0"/>
    <b v="0"/>
  </r>
  <r>
    <x v="122"/>
    <x v="6"/>
    <n v="1194577"/>
    <n v="0.94266158342361495"/>
    <n v="8.0000000000000002E-3"/>
    <n v="2.3298265460030101"/>
    <n v="2.4715407808827914"/>
    <n v="2.28270134515734E-2"/>
    <n v="8.3657202273606998E-3"/>
    <n v="1.37183275073766E-2"/>
    <n v="8.3826134353875998E-3"/>
    <n v="2.255842089653E-3"/>
    <b v="0"/>
    <b v="0"/>
    <b v="0"/>
    <b v="0"/>
  </r>
  <r>
    <x v="122"/>
    <x v="7"/>
    <n v="1220689"/>
    <n v="0.91875022649765004"/>
    <n v="6.7000000000000004E-2"/>
    <n v="2.3229427792915498"/>
    <n v="2.5283724697917029"/>
    <n v="-2.9546262674674099E-3"/>
    <n v="8.3826134353875998E-3"/>
    <n v="2.255842089653E-3"/>
    <n v="5.3432088494301004E-3"/>
    <n v="3.3351853489876002E-3"/>
    <b v="1"/>
    <b v="0"/>
    <b v="1"/>
    <b v="0"/>
  </r>
  <r>
    <x v="122"/>
    <x v="8"/>
    <n v="1249191"/>
    <n v="0.92118924856185902"/>
    <n v="5.2999999999999999E-2"/>
    <n v="2.38759115937685"/>
    <n v="2.5918573877238646"/>
    <n v="2.7830379922237101E-2"/>
    <n v="5.3432088494301004E-3"/>
    <n v="3.3351853489876002E-3"/>
    <n v="5.1574094384908599E-2"/>
    <n v="2.1310642361641E-2"/>
    <b v="0"/>
    <b v="0"/>
    <b v="0"/>
    <b v="0"/>
  </r>
  <r>
    <x v="122"/>
    <x v="9"/>
    <n v="1279838"/>
    <n v="0.92436033487319902"/>
    <n v="3.2000000000000001E-2"/>
    <n v="2.3712791977149199"/>
    <n v="2.5653190733678604"/>
    <n v="-6.8319743930480101E-3"/>
    <n v="5.1574094384908599E-2"/>
    <n v="2.1310642361641E-2"/>
    <n v="1.28196797221899E-2"/>
    <n v="-3.33877280354499E-4"/>
    <b v="1"/>
    <b v="0"/>
    <b v="1"/>
    <b v="0"/>
  </r>
  <r>
    <x v="122"/>
    <x v="10"/>
    <n v="1312233"/>
    <n v="0.91179364919662498"/>
    <n v="4.5999999999999999E-2"/>
    <n v="2.2932626083092602"/>
    <n v="2.5151114074218852"/>
    <n v="-3.2900634172829603E-2"/>
    <n v="1.28196797221899E-2"/>
    <n v="-3.33877280354499E-4"/>
    <n v="-3.1101240813732E-3"/>
    <n v="-5.8996975421904997E-3"/>
    <b v="0"/>
    <b v="0"/>
    <b v="1"/>
    <b v="0"/>
  </r>
  <r>
    <x v="122"/>
    <x v="11"/>
    <n v="1342077"/>
    <n v="0.91099220514297496"/>
    <n v="3.1E-2"/>
    <n v="2.45029885164295"/>
    <n v="2.6897034220598952"/>
    <n v="6.8477217901123905E-2"/>
    <n v="-3.1101240813732E-3"/>
    <n v="-5.8996975421904997E-3"/>
    <n v="1.7783597320318201E-2"/>
    <n v="8.6485743522644008E-3"/>
    <b v="0"/>
    <b v="1"/>
    <b v="0"/>
    <b v="1"/>
  </r>
  <r>
    <x v="122"/>
    <x v="12"/>
    <n v="1370178"/>
    <n v="0.92173773050308205"/>
    <n v="3.6999999999999998E-2"/>
    <n v="2.2779998597377"/>
    <n v="2.4714186957437163"/>
    <n v="-7.0317541792798005E-2"/>
    <n v="1.7783597320318201E-2"/>
    <n v="8.6485743522644008E-3"/>
    <n v="3.3962442696094497E-2"/>
    <n v="1.6161248087882898E-2"/>
    <b v="1"/>
    <b v="0"/>
    <b v="1"/>
    <b v="0"/>
  </r>
  <r>
    <x v="122"/>
    <x v="13"/>
    <n v="1399575"/>
    <n v="0.92251771688461304"/>
    <n v="3.7999999999999999E-2"/>
    <n v="2.2341455919208602"/>
    <n v="2.4217915288019376"/>
    <n v="-1.92512162059118E-2"/>
    <n v="3.3962442696094497E-2"/>
    <n v="1.6161248087882898E-2"/>
    <n v="1.15784873366356E-2"/>
    <n v="-7.2707030922174003E-3"/>
    <b v="1"/>
    <b v="0"/>
    <b v="1"/>
    <b v="0"/>
  </r>
  <r>
    <x v="122"/>
    <x v="14"/>
    <n v="1425645"/>
    <n v="0.91788214445114102"/>
    <n v="0.05"/>
    <n v="2.0340388568468799"/>
    <n v="2.2160131005306334"/>
    <n v="-8.9567455137034305E-2"/>
    <n v="1.15784873366356E-2"/>
    <n v="-7.2707030922174003E-3"/>
    <n v="0.113177797079086"/>
    <n v="6.9588184356688995E-2"/>
    <b v="0"/>
    <b v="0"/>
    <b v="1"/>
    <b v="0"/>
  </r>
  <r>
    <x v="122"/>
    <x v="15"/>
    <n v="1458960"/>
    <n v="0.944854736328125"/>
    <n v="0.02"/>
    <n v="2.1988312397596901"/>
    <n v="2.3271632720017288"/>
    <n v="8.1017322927775207E-2"/>
    <n v="0.113177797079086"/>
    <n v="6.9588184356688995E-2"/>
    <n v="-3.6260938197374297E-2"/>
    <n v="-4.1574314236640002E-3"/>
    <b v="0"/>
    <b v="0"/>
    <b v="0"/>
    <b v="0"/>
  </r>
  <r>
    <x v="122"/>
    <x v="16"/>
    <n v="1492837"/>
    <n v="0.91462326049804699"/>
    <n v="3.6999999999999998E-2"/>
    <n v="2.09454541492329"/>
    <n v="2.2900635763218298"/>
    <n v="-4.7427843915752201E-2"/>
    <n v="-3.6260938197374297E-2"/>
    <n v="-3.6787278950214E-3"/>
    <n v="-6.8278529480099701E-2"/>
    <n v="-4.8719601705670398E-2"/>
    <b v="0"/>
    <b v="0"/>
    <b v="0"/>
    <b v="0"/>
  </r>
  <r>
    <x v="123"/>
    <x v="0"/>
    <n v="402658.59375"/>
    <n v="0.93449783325195301"/>
    <n v="0"/>
    <n v="2.4479138494824499"/>
    <n v="2.619496549247172"/>
    <n v="6.0872163133643097E-2"/>
    <n v="1.52272760868099E-4"/>
    <n v="-6.2107667326926899E-3"/>
    <n v="3.4752479791640999E-3"/>
    <n v="4.3970039114355998E-3"/>
    <b v="0"/>
    <b v="1"/>
    <b v="0"/>
    <b v="0"/>
  </r>
  <r>
    <x v="123"/>
    <x v="1"/>
    <n v="405848.78125"/>
    <n v="0.93309563398361195"/>
    <n v="0"/>
    <n v="2.5150706047510201"/>
    <n v="2.6954049650983496"/>
    <n v="2.7434280533510699E-2"/>
    <n v="3.4752479791640999E-3"/>
    <n v="4.3970039114355998E-3"/>
    <n v="-3.08984134458005E-2"/>
    <n v="-1.3876091688871299E-3"/>
    <b v="0"/>
    <b v="0"/>
    <b v="0"/>
    <b v="0"/>
  </r>
  <r>
    <x v="123"/>
    <x v="2"/>
    <n v="408296.125"/>
    <n v="0.93195068836212203"/>
    <n v="1.9E-2"/>
    <n v="2.26421298000245"/>
    <n v="2.4295416144621802"/>
    <n v="-9.9741782308097396E-2"/>
    <n v="-3.08984134458005E-2"/>
    <n v="-1.3876091688871299E-3"/>
    <n v="-2.5755407944321601E-2"/>
    <n v="8.1129372119904898E-4"/>
    <b v="0"/>
    <b v="0"/>
    <b v="0"/>
    <b v="0"/>
  </r>
  <r>
    <x v="123"/>
    <x v="3"/>
    <n v="410513.6875"/>
    <n v="0.92951619625091597"/>
    <n v="2.5999999999999999E-2"/>
    <n v="2.1078759537287701"/>
    <n v="2.2677129911567078"/>
    <n v="-6.9046961418581798E-2"/>
    <n v="-2.5755407944321601E-2"/>
    <n v="8.1129372119904898E-4"/>
    <n v="1.1873718500137001E-3"/>
    <n v="1.06474806088953E-2"/>
    <b v="1"/>
    <b v="0"/>
    <b v="0"/>
    <b v="0"/>
  </r>
  <r>
    <x v="123"/>
    <x v="4"/>
    <n v="412694.6875"/>
    <n v="0.93431299924850497"/>
    <n v="0"/>
    <n v="2.3109151531104599"/>
    <n v="2.4733843529622255"/>
    <n v="9.6324074015135902E-2"/>
    <n v="1.1873718500137001E-3"/>
    <n v="1.06474806088953E-2"/>
    <n v="-2.1169663749635199E-2"/>
    <n v="1.141107641161E-4"/>
    <b v="0"/>
    <b v="0"/>
    <b v="0"/>
    <b v="0"/>
  </r>
  <r>
    <x v="123"/>
    <x v="5"/>
    <n v="414294.09375"/>
    <n v="0.93686974048614502"/>
    <n v="0"/>
    <n v="2.4113516269583699"/>
    <n v="2.5738387341949065"/>
    <n v="4.3461774748727401E-2"/>
    <n v="-2.1169663749635199E-2"/>
    <n v="1.141107641161E-4"/>
    <n v="-1.04042620435357E-2"/>
    <n v="-4.9660559743642998E-3"/>
    <b v="0"/>
    <b v="0"/>
    <b v="0"/>
    <b v="1"/>
  </r>
  <r>
    <x v="123"/>
    <x v="6"/>
    <n v="415620.21875"/>
    <n v="0.93268638849258401"/>
    <n v="1E-3"/>
    <n v="2.24578870273734"/>
    <n v="2.4078712099219155"/>
    <n v="-6.8659801569408499E-2"/>
    <n v="-1.04042620435357E-2"/>
    <n v="-5.0516547635198004E-3"/>
    <n v="1.77099429070949E-3"/>
    <n v="-4.3557770550250998E-3"/>
    <b v="0"/>
    <b v="0"/>
    <b v="0"/>
    <b v="0"/>
  </r>
  <r>
    <x v="123"/>
    <x v="7"/>
    <n v="416818.5"/>
    <n v="0.93054896593093905"/>
    <n v="7.0000000000000001E-3"/>
    <n v="2.5329431609077799"/>
    <n v="2.7219880453832701"/>
    <n v="0.12786352421331501"/>
    <n v="1.77099429070949E-3"/>
    <n v="-4.3557770550250998E-3"/>
    <n v="3.745796918869E-3"/>
    <n v="1.73777341842649E-3"/>
    <b v="0"/>
    <b v="1"/>
    <b v="0"/>
    <b v="0"/>
  </r>
  <r>
    <x v="123"/>
    <x v="8"/>
    <n v="418274.90625"/>
    <n v="0.93367218971252397"/>
    <n v="2.3E-2"/>
    <n v="2.41666848050845"/>
    <n v="2.5883479310362003"/>
    <n v="-4.59049702314131E-2"/>
    <n v="3.745796918869E-3"/>
    <n v="1.73777341842649E-3"/>
    <n v="2.7350010514259299E-2"/>
    <n v="-2.9134415090083898E-3"/>
    <b v="1"/>
    <b v="0"/>
    <b v="1"/>
    <b v="0"/>
  </r>
  <r>
    <x v="123"/>
    <x v="9"/>
    <n v="419631.8125"/>
    <n v="0.93165397644043002"/>
    <n v="2E-3"/>
    <n v="2.2930196114580599"/>
    <n v="2.4612352541219207"/>
    <n v="-5.11650108600629E-2"/>
    <n v="2.7350010514259299E-2"/>
    <n v="-2.9134415090083898E-3"/>
    <n v="2.17205400466919E-2"/>
    <n v="8.5669830441475001E-3"/>
    <b v="0"/>
    <b v="0"/>
    <b v="1"/>
    <b v="0"/>
  </r>
  <r>
    <x v="123"/>
    <x v="10"/>
    <n v="421373.90625"/>
    <n v="0.93030500411987305"/>
    <n v="6.0000000000000001E-3"/>
    <n v="2.3792967298401999"/>
    <n v="2.5575448044495515"/>
    <n v="3.7625983637914598E-2"/>
    <n v="2.17205400466919E-2"/>
    <n v="8.5669830441475001E-3"/>
    <n v="1.3705691039562099E-2"/>
    <n v="1.09161175787448E-2"/>
    <b v="0"/>
    <b v="0"/>
    <b v="0"/>
    <b v="0"/>
  </r>
  <r>
    <x v="123"/>
    <x v="11"/>
    <n v="424099.40625"/>
    <n v="0.937416791915894"/>
    <n v="2E-3"/>
    <n v="2.3598691130068898"/>
    <n v="2.5174171546295705"/>
    <n v="-8.1652769869598896E-3"/>
    <n v="1.3705691039562099E-2"/>
    <n v="1.09161175787448E-2"/>
    <n v="1.50969552099705E-2"/>
    <n v="5.9619322419166999E-3"/>
    <b v="1"/>
    <b v="0"/>
    <b v="1"/>
    <b v="0"/>
  </r>
  <r>
    <x v="123"/>
    <x v="12"/>
    <n v="426955.40625"/>
    <n v="0.93497794866561901"/>
    <n v="0.01"/>
    <n v="2.3334752408693702"/>
    <n v="2.4957543054353928"/>
    <n v="-1.11844644230687E-2"/>
    <n v="1.50969552099705E-2"/>
    <n v="5.9619322419166999E-3"/>
    <n v="2.3753105819225299E-2"/>
    <n v="5.9519112110137896E-3"/>
    <b v="1"/>
    <b v="0"/>
    <b v="1"/>
    <b v="0"/>
  </r>
  <r>
    <x v="123"/>
    <x v="13"/>
    <n v="427951"/>
    <n v="0.94151699542999301"/>
    <n v="2.8000000000000001E-2"/>
    <n v="2.2451378499679402"/>
    <n v="2.3845962004568815"/>
    <n v="-3.7856579471791101E-2"/>
    <n v="2.3753105819225299E-2"/>
    <n v="5.9519112110137896E-3"/>
    <n v="4.4130506098270399E-2"/>
    <n v="2.5281315669417399E-2"/>
    <b v="1"/>
    <b v="0"/>
    <b v="1"/>
    <b v="0"/>
  </r>
  <r>
    <x v="123"/>
    <x v="14"/>
    <n v="428930.78125"/>
    <n v="0.96512818336486805"/>
    <n v="0"/>
    <n v="2.2635832668807501"/>
    <n v="2.345370600399304"/>
    <n v="8.2157168714933199E-3"/>
    <n v="4.4130506098270399E-2"/>
    <n v="2.5281315669417399E-2"/>
    <n v="2.3473164319991999E-2"/>
    <n v="-2.0116448402404799E-2"/>
    <b v="0"/>
    <b v="0"/>
    <b v="0"/>
    <b v="0"/>
  </r>
  <r>
    <x v="123"/>
    <x v="15"/>
    <n v="430248.1875"/>
    <n v="0.968744337558746"/>
    <n v="0"/>
    <n v="2.3483632137399599"/>
    <n v="2.4241310350859746"/>
    <n v="3.7453867105159001E-2"/>
    <n v="2.3473164319991999E-2"/>
    <n v="-2.0116448402404799E-2"/>
    <n v="-3.3740000724792503E-2"/>
    <n v="-1.6364939510821999E-3"/>
    <b v="0"/>
    <b v="1"/>
    <b v="0"/>
    <b v="0"/>
  </r>
  <r>
    <x v="123"/>
    <x v="16"/>
    <n v="432953.40625"/>
    <n v="0.96434950828552202"/>
    <n v="2E-3"/>
    <n v="2.2447915485933199"/>
    <n v="2.3277779781152623"/>
    <n v="-4.4103767483947898E-2"/>
    <n v="-3.3740000724792503E-2"/>
    <n v="-1.1577904224395999E-3"/>
    <n v="7.8246110677719595E-4"/>
    <n v="2.0341388881206499E-2"/>
    <b v="0"/>
    <b v="0"/>
    <b v="0"/>
    <b v="0"/>
  </r>
  <r>
    <x v="124"/>
    <x v="0"/>
    <n v="406432.59375"/>
    <n v="0.94774931669235196"/>
    <n v="2E-3"/>
    <n v="2.2266009031376499"/>
    <n v="2.3493563792886647"/>
    <n v="1.0460650455902E-2"/>
    <n v="2.4422751396894399E-2"/>
    <n v="1.8059711903333699E-2"/>
    <n v="7.5050584077834999E-3"/>
    <n v="8.4268143400549993E-3"/>
    <b v="0"/>
    <b v="0"/>
    <b v="0"/>
    <b v="0"/>
  </r>
  <r>
    <x v="124"/>
    <x v="1"/>
    <n v="414263.21875"/>
    <n v="0.93346440792083696"/>
    <n v="1.2E-2"/>
    <n v="2.2667273259025702"/>
    <n v="2.4282953979481579"/>
    <n v="1.8021380799935201E-2"/>
    <n v="7.5050584077834999E-3"/>
    <n v="8.4268143400549993E-3"/>
    <n v="-3.5440071078017298E-2"/>
    <n v="-5.92926680110394E-3"/>
    <b v="0"/>
    <b v="0"/>
    <b v="0"/>
    <b v="0"/>
  </r>
  <r>
    <x v="124"/>
    <x v="2"/>
    <n v="419633.59375"/>
    <n v="0.914292812347412"/>
    <n v="2.1000000000000001E-2"/>
    <n v="2.4055506678397101"/>
    <n v="2.631050616775112"/>
    <n v="6.1243953055475801E-2"/>
    <n v="-3.5440071078017298E-2"/>
    <n v="-5.92926680110394E-3"/>
    <n v="-6.1379656851291597E-2"/>
    <n v="-3.4812955185771002E-2"/>
    <b v="0"/>
    <b v="1"/>
    <b v="0"/>
    <b v="1"/>
  </r>
  <r>
    <x v="124"/>
    <x v="3"/>
    <n v="422923.5"/>
    <n v="0.90484923124313399"/>
    <n v="0.01"/>
    <n v="2.4571561502302202"/>
    <n v="2.7155420653388163"/>
    <n v="2.1452669062609099E-2"/>
    <n v="-6.1379656851291597E-2"/>
    <n v="-3.4812955185771002E-2"/>
    <n v="-1.50638417657464E-2"/>
    <n v="-5.6037330068647896E-3"/>
    <b v="0"/>
    <b v="1"/>
    <b v="0"/>
    <b v="1"/>
  </r>
  <r>
    <x v="124"/>
    <x v="4"/>
    <n v="426999.5"/>
    <n v="0.92122560739517201"/>
    <n v="0"/>
    <n v="2.4073340656799198"/>
    <n v="2.6131862231737353"/>
    <n v="-2.02763200644079E-2"/>
    <n v="-1.50638417657464E-2"/>
    <n v="-5.6037330068647896E-3"/>
    <n v="-1.87851780727506E-2"/>
    <n v="2.4985964410007E-3"/>
    <b v="0"/>
    <b v="0"/>
    <b v="0"/>
    <b v="0"/>
  </r>
  <r>
    <x v="124"/>
    <x v="5"/>
    <n v="430318.78125"/>
    <n v="0.92878359556198098"/>
    <n v="0"/>
    <n v="2.39530441122858"/>
    <n v="2.5789693343789608"/>
    <n v="-4.9970856238212404E-3"/>
    <n v="-1.87851780727506E-2"/>
    <n v="2.4985964410007E-3"/>
    <n v="-6.0000413134694E-3"/>
    <n v="-5.6183524429800002E-4"/>
    <b v="1"/>
    <b v="0"/>
    <b v="0"/>
    <b v="0"/>
  </r>
  <r>
    <x v="124"/>
    <x v="6"/>
    <n v="434845.625"/>
    <n v="0.93261009454727195"/>
    <n v="-5.0000000000000001E-3"/>
    <n v="2.4291541979560698"/>
    <n v="2.6046835780126134"/>
    <n v="1.4131726459823401E-2"/>
    <n v="-6.0000413134694E-3"/>
    <n v="-6.4743403345349899E-4"/>
    <n v="1.5724201351404201E-2"/>
    <n v="9.5974300056696007E-3"/>
    <b v="0"/>
    <b v="1"/>
    <b v="0"/>
    <b v="1"/>
  </r>
  <r>
    <x v="124"/>
    <x v="7"/>
    <n v="439916.1875"/>
    <n v="0.94653803110122703"/>
    <n v="0"/>
    <n v="2.41901217768027"/>
    <n v="2.5556418212440213"/>
    <n v="-4.1751241170017604E-3"/>
    <n v="1.5724201351404201E-2"/>
    <n v="9.5974300056696007E-3"/>
    <n v="1.2556339442729899E-2"/>
    <n v="1.05483159422874E-2"/>
    <b v="1"/>
    <b v="0"/>
    <b v="1"/>
    <b v="0"/>
  </r>
  <r>
    <x v="124"/>
    <x v="8"/>
    <n v="446480.8125"/>
    <n v="0.95149391889572099"/>
    <n v="1.9E-2"/>
    <n v="2.3560822228994098"/>
    <n v="2.4761926231055869"/>
    <n v="-2.6014732526566799E-2"/>
    <n v="1.2556339442729899E-2"/>
    <n v="1.05483159422874E-2"/>
    <n v="5.1023895084857898E-2"/>
    <n v="2.0760443061590202E-2"/>
    <b v="1"/>
    <b v="0"/>
    <b v="1"/>
    <b v="0"/>
  </r>
  <r>
    <x v="124"/>
    <x v="9"/>
    <n v="453981.90625"/>
    <n v="0.95753425359725997"/>
    <n v="0.01"/>
    <n v="2.3760353030041999"/>
    <n v="2.4814102410205403"/>
    <n v="8.4687537263604101E-3"/>
    <n v="5.1023895084857898E-2"/>
    <n v="2.0760443061590202E-2"/>
    <n v="5.6874905049800903E-2"/>
    <n v="4.3721348047256497E-2"/>
    <b v="0"/>
    <b v="0"/>
    <b v="0"/>
    <b v="0"/>
  </r>
  <r>
    <x v="124"/>
    <x v="10"/>
    <n v="462373.5"/>
    <n v="0.95845121145248402"/>
    <n v="1.9E-2"/>
    <n v="2.3249370277077999"/>
    <n v="2.4257228744950683"/>
    <n v="-2.1505688586269899E-2"/>
    <n v="5.6874905049800903E-2"/>
    <n v="4.3721348047256497E-2"/>
    <n v="4.2473075628280503E-2"/>
    <n v="3.9683502167463199E-2"/>
    <b v="1"/>
    <b v="0"/>
    <b v="1"/>
    <b v="0"/>
  </r>
  <r>
    <x v="124"/>
    <x v="11"/>
    <n v="470470.3125"/>
    <n v="0.95706802606582597"/>
    <n v="2.5000000000000001E-2"/>
    <n v="2.32821425724685"/>
    <n v="2.4326528458142413"/>
    <n v="1.40959927085869E-3"/>
    <n v="4.2473075628280503E-2"/>
    <n v="3.9683502167463199E-2"/>
    <n v="4.5071322679519597E-2"/>
    <n v="3.5936299711465898E-2"/>
    <b v="0"/>
    <b v="0"/>
    <b v="0"/>
    <b v="0"/>
  </r>
  <r>
    <x v="124"/>
    <x v="12"/>
    <n v="479281.5"/>
    <n v="0.93968945741653398"/>
    <n v="4.1000000000000002E-2"/>
    <n v="2.27267981512369"/>
    <n v="2.4185434849635485"/>
    <n v="-2.3852805621434301E-2"/>
    <n v="4.5071322679519597E-2"/>
    <n v="3.5936299711465898E-2"/>
    <n v="1.62145003378391E-2"/>
    <n v="-1.5866942703724001E-3"/>
    <b v="1"/>
    <b v="0"/>
    <b v="1"/>
    <b v="0"/>
  </r>
  <r>
    <x v="124"/>
    <x v="13"/>
    <n v="487582"/>
    <n v="0.92929410934448198"/>
    <n v="4.3999999999999997E-2"/>
    <n v="2.3223713984009602"/>
    <n v="2.4990703966036607"/>
    <n v="2.1864753207465899E-2"/>
    <n v="1.62145003378391E-2"/>
    <n v="-1.5866942703724001E-3"/>
    <n v="4.4474782526493097E-2"/>
    <n v="2.56255920976401E-2"/>
    <b v="0"/>
    <b v="1"/>
    <b v="0"/>
    <b v="0"/>
  </r>
  <r>
    <x v="124"/>
    <x v="14"/>
    <n v="493489.1875"/>
    <n v="0.94468921422958396"/>
    <n v="3.5000000000000003E-2"/>
    <n v="2.1075516768364699"/>
    <n v="2.2309471147664444"/>
    <n v="-9.2500158119583106E-2"/>
    <n v="4.4474782526493097E-2"/>
    <n v="2.56255920976401E-2"/>
    <n v="3.2308435320854201E-2"/>
    <n v="-1.12811774015427E-2"/>
    <b v="1"/>
    <b v="0"/>
    <b v="1"/>
    <b v="0"/>
  </r>
  <r>
    <x v="124"/>
    <x v="15"/>
    <n v="498937.1875"/>
    <n v="0.940879166126251"/>
    <n v="4.2999999999999997E-2"/>
    <n v="2.3653063787041599"/>
    <n v="2.513932143319213"/>
    <n v="0.12230053701676701"/>
    <n v="3.2308435320854201E-2"/>
    <n v="-1.12811774015427E-2"/>
    <n v="-7.8002944514155306E-2"/>
    <n v="-4.5899437740444998E-2"/>
    <b v="0"/>
    <b v="1"/>
    <b v="0"/>
    <b v="0"/>
  </r>
  <r>
    <x v="124"/>
    <x v="16"/>
    <n v="501459"/>
    <n v="0.91965812444686901"/>
    <n v="2.4E-2"/>
    <n v="2.2805706263990499"/>
    <n v="2.4798026198819323"/>
    <n v="-3.58244297939668E-2"/>
    <n v="-7.8002944514155306E-2"/>
    <n v="-4.5420734211802399E-2"/>
    <n v="-5.7253359615802801E-2"/>
    <n v="-3.7694431841373499E-2"/>
    <b v="0"/>
    <b v="0"/>
    <b v="0"/>
    <b v="0"/>
  </r>
  <r>
    <x v="125"/>
    <x v="0"/>
    <n v="1161485"/>
    <n v="0.93973094224929798"/>
    <n v="8.0000000000000002E-3"/>
    <n v="2.22469400244798"/>
    <n v="2.3673733644686124"/>
    <n v="1.3681285128755E-3"/>
    <n v="1.11614741683006E-2"/>
    <n v="4.7984346747398003E-3"/>
    <n v="-4.5905605852603996E-3"/>
    <n v="-3.6688046529888998E-3"/>
    <b v="0"/>
    <b v="0"/>
    <b v="0"/>
    <b v="0"/>
  </r>
  <r>
    <x v="125"/>
    <x v="1"/>
    <n v="1178028"/>
    <n v="0.93935853242874101"/>
    <n v="8.9999999999999993E-3"/>
    <n v="2.1998400920591501"/>
    <n v="2.3418535267587282"/>
    <n v="-1.11718332325618E-2"/>
    <n v="-4.5905605852603996E-3"/>
    <n v="-3.6688046529888998E-3"/>
    <n v="-2.8010789595544299E-2"/>
    <n v="1.50001468136906E-3"/>
    <b v="0"/>
    <b v="0"/>
    <b v="0"/>
    <b v="0"/>
  </r>
  <r>
    <x v="125"/>
    <x v="2"/>
    <n v="1192063"/>
    <n v="0.93761944770812999"/>
    <n v="8.0000000000000002E-3"/>
    <n v="2.2119017997202599"/>
    <n v="2.3590613495986266"/>
    <n v="5.4829929251017798E-3"/>
    <n v="-2.8010789595544299E-2"/>
    <n v="1.50001468136906E-3"/>
    <n v="-7.1103821545838997E-3"/>
    <n v="1.9456319510936699E-2"/>
    <b v="0"/>
    <b v="0"/>
    <b v="0"/>
    <b v="1"/>
  </r>
  <r>
    <x v="125"/>
    <x v="3"/>
    <n v="1203214"/>
    <n v="0.941375732421875"/>
    <n v="2.1999999999999999E-2"/>
    <n v="2.2566702715515299"/>
    <n v="2.3972046376698066"/>
    <n v="2.0239809849120601E-2"/>
    <n v="-7.1103821545838997E-3"/>
    <n v="1.9456319510936699E-2"/>
    <n v="-2.8651841156184701E-2"/>
    <n v="-1.9191732397302999E-2"/>
    <b v="0"/>
    <b v="0"/>
    <b v="0"/>
    <b v="1"/>
  </r>
  <r>
    <x v="125"/>
    <x v="4"/>
    <n v="1213024"/>
    <n v="0.92791694402694702"/>
    <n v="4.0000000000000001E-3"/>
    <n v="2.3002035471289801"/>
    <n v="2.4788894759768301"/>
    <n v="1.92909332507517E-2"/>
    <n v="-2.8651841156184701E-2"/>
    <n v="-1.9191732397302999E-2"/>
    <n v="-2.6783697649836499E-2"/>
    <n v="-5.4999231360852397E-3"/>
    <b v="0"/>
    <b v="1"/>
    <b v="0"/>
    <b v="1"/>
  </r>
  <r>
    <x v="125"/>
    <x v="5"/>
    <n v="1224477"/>
    <n v="0.92097693681716897"/>
    <n v="2.1999999999999999E-2"/>
    <n v="2.2101188641112501"/>
    <n v="2.3997548426665976"/>
    <n v="-3.9163787539658899E-2"/>
    <n v="-2.6783697649836499E-2"/>
    <n v="-5.4999231360852397E-3"/>
    <n v="-1.1229812450706899E-2"/>
    <n v="-5.7916063815355596E-3"/>
    <b v="0"/>
    <b v="0"/>
    <b v="0"/>
    <b v="0"/>
  </r>
  <r>
    <x v="125"/>
    <x v="6"/>
    <n v="1239660"/>
    <n v="0.91932380199432395"/>
    <n v="1.2E-2"/>
    <n v="2.14865676021769"/>
    <n v="2.3372143259605891"/>
    <n v="-2.78094110192947E-2"/>
    <n v="-1.1229812450706899E-2"/>
    <n v="-5.8772051706910602E-3"/>
    <n v="8.2883971184491995E-3"/>
    <n v="2.1616257727146001E-3"/>
    <b v="0"/>
    <b v="0"/>
    <b v="0"/>
    <b v="0"/>
  </r>
  <r>
    <x v="125"/>
    <x v="7"/>
    <n v="1252997"/>
    <n v="0.92162191867828402"/>
    <n v="1.4999999999999999E-2"/>
    <n v="2.2409959794881602"/>
    <n v="2.431578431535153"/>
    <n v="4.2975323457953803E-2"/>
    <n v="8.2883971184491995E-3"/>
    <n v="2.1616257727146001E-3"/>
    <n v="-4.5342201739550001E-4"/>
    <n v="-2.461445517838E-3"/>
    <b v="0"/>
    <b v="0"/>
    <b v="0"/>
    <b v="0"/>
  </r>
  <r>
    <x v="125"/>
    <x v="8"/>
    <n v="1267167"/>
    <n v="0.92188811302185103"/>
    <n v="0.02"/>
    <n v="2.28024483917426"/>
    <n v="2.4734507441470965"/>
    <n v="1.7514025034112202E-2"/>
    <n v="-4.5342201739550001E-4"/>
    <n v="-2.461445517838E-3"/>
    <n v="3.4290457308292402E-2"/>
    <n v="4.0270052850247002E-3"/>
    <b v="0"/>
    <b v="1"/>
    <b v="0"/>
    <b v="1"/>
  </r>
  <r>
    <x v="125"/>
    <x v="9"/>
    <n v="1280443"/>
    <n v="0.93047863245010398"/>
    <n v="2.1999999999999999E-2"/>
    <n v="2.2597992518413501"/>
    <n v="2.428641747410067"/>
    <n v="-8.9664000030446802E-3"/>
    <n v="3.4290457308292402E-2"/>
    <n v="4.0270052850247002E-3"/>
    <n v="1.31535570025444E-2"/>
    <n v="0"/>
    <b v="1"/>
    <b v="0"/>
    <b v="1"/>
    <b v="0"/>
  </r>
  <r>
    <x v="125"/>
    <x v="10"/>
    <n v="1293992"/>
    <n v="0.93190509080886796"/>
    <n v="2.1000000000000001E-2"/>
    <n v="2.2697106749731701"/>
    <n v="2.4355599055727057"/>
    <n v="4.3859750478934499E-3"/>
    <n v="1.31535570025444E-2"/>
    <n v="0"/>
    <n v="2.1746923863887799E-2"/>
    <n v="1.8957350403070498E-2"/>
    <b v="0"/>
    <b v="0"/>
    <b v="0"/>
    <b v="0"/>
  </r>
  <r>
    <x v="125"/>
    <x v="11"/>
    <n v="1306965"/>
    <n v="0.92912012338638295"/>
    <n v="2.3E-2"/>
    <n v="2.3305010109530202"/>
    <n v="2.5082881667216461"/>
    <n v="2.6783297382414299E-2"/>
    <n v="2.1746923863887799E-2"/>
    <n v="1.8957350403070498E-2"/>
    <n v="1.2854870617389699E-2"/>
    <n v="3.7198476493358998E-3"/>
    <b v="0"/>
    <b v="0"/>
    <b v="0"/>
    <b v="0"/>
  </r>
  <r>
    <x v="125"/>
    <x v="12"/>
    <n v="1320107"/>
    <n v="0.92352068424224898"/>
    <n v="3.6999999999999998E-2"/>
    <n v="2.2374869072977801"/>
    <n v="2.4227794195358427"/>
    <n v="-3.9911634115620299E-2"/>
    <n v="1.2854870617389699E-2"/>
    <n v="3.7198476493358998E-3"/>
    <n v="2.1144821465015399E-2"/>
    <n v="3.3436268568038901E-3"/>
    <b v="1"/>
    <b v="0"/>
    <b v="1"/>
    <b v="0"/>
  </r>
  <r>
    <x v="125"/>
    <x v="13"/>
    <n v="1332665"/>
    <n v="0.924230456352234"/>
    <n v="2.3E-2"/>
    <n v="2.12531171691553"/>
    <n v="2.2995473718792399"/>
    <n v="-5.0134456660451999E-2"/>
    <n v="2.1144821465015399E-2"/>
    <n v="3.3436268568038901E-3"/>
    <n v="2.8068615227937601E-2"/>
    <n v="9.2194247990846894E-3"/>
    <b v="1"/>
    <b v="0"/>
    <b v="1"/>
    <b v="0"/>
  </r>
  <r>
    <x v="125"/>
    <x v="14"/>
    <n v="1343599"/>
    <n v="0.92996430397033703"/>
    <n v="3.9E-2"/>
    <n v="2.1358025421223701"/>
    <n v="2.2966500251718216"/>
    <n v="4.9361348377016598E-3"/>
    <n v="2.8068615227937601E-2"/>
    <n v="9.2194247990846894E-3"/>
    <n v="5.7439564049243899E-2"/>
    <n v="1.3849951326847E-2"/>
    <b v="0"/>
    <b v="0"/>
    <b v="0"/>
    <b v="0"/>
  </r>
  <r>
    <x v="125"/>
    <x v="15"/>
    <n v="1354333"/>
    <n v="0.94867163896560702"/>
    <n v="3.2000000000000001E-2"/>
    <n v="2.08933941719381"/>
    <n v="2.2023841879282284"/>
    <n v="-2.1754410350306199E-2"/>
    <n v="5.7439564049243899E-2"/>
    <n v="1.3849951326847E-2"/>
    <n v="-3.8219341933727301E-2"/>
    <n v="-6.1158351600169997E-3"/>
    <b v="1"/>
    <b v="0"/>
    <b v="1"/>
    <b v="0"/>
  </r>
  <r>
    <x v="125"/>
    <x v="16"/>
    <n v="1368033"/>
    <n v="0.92620825767517101"/>
    <n v="2.4E-2"/>
    <n v="2.2003942666583298"/>
    <n v="2.3757014131804755"/>
    <n v="5.3153091618628398E-2"/>
    <n v="-3.8219341933727301E-2"/>
    <n v="-5.6371316313743999E-3"/>
    <n v="-2.5443557448685199E-2"/>
    <n v="-5.8846296742559E-3"/>
    <b v="0"/>
    <b v="1"/>
    <b v="0"/>
    <b v="1"/>
  </r>
  <r>
    <x v="126"/>
    <x v="0"/>
    <n v="1070727"/>
    <n v="0.91107350587844804"/>
    <n v="5.0000000000000001E-3"/>
    <n v="2.0182493142134299"/>
    <n v="2.215243118355696"/>
    <n v="-2.5350137023708199E-3"/>
    <n v="-2.2227730304002998E-3"/>
    <n v="-8.5858125239610898E-3"/>
    <n v="2.6645354032515901E-3"/>
    <n v="3.5862913355230899E-3"/>
    <b v="0"/>
    <b v="0"/>
    <b v="0"/>
    <b v="0"/>
  </r>
  <r>
    <x v="126"/>
    <x v="1"/>
    <n v="1072848"/>
    <n v="0.91202473640441895"/>
    <n v="4.0000000000000001E-3"/>
    <n v="2.0480425580974"/>
    <n v="2.2455997917026198"/>
    <n v="1.47619244432019E-2"/>
    <n v="2.6645354032515901E-3"/>
    <n v="3.5862913355230899E-3"/>
    <n v="-3.0556518409401101E-2"/>
    <n v="-1.04571413248777E-3"/>
    <b v="0"/>
    <b v="0"/>
    <b v="0"/>
    <b v="0"/>
  </r>
  <r>
    <x v="126"/>
    <x v="2"/>
    <n v="1076007"/>
    <n v="0.91992771625518799"/>
    <n v="3.0000000000000001E-3"/>
    <n v="2.0568108511866301"/>
    <n v="2.2358396370091218"/>
    <n v="4.2813041431029901E-3"/>
    <n v="-3.0556518409401101E-2"/>
    <n v="-1.04571413248777E-3"/>
    <n v="-2.4084412217140201E-2"/>
    <n v="2.4822894483804399E-3"/>
    <b v="0"/>
    <b v="1"/>
    <b v="0"/>
    <b v="1"/>
  </r>
  <r>
    <x v="126"/>
    <x v="3"/>
    <n v="1078654"/>
    <n v="0.92389851808547996"/>
    <n v="1.2999999999999999E-2"/>
    <n v="2.0602484875026299"/>
    <n v="2.2299510684051271"/>
    <n v="1.6713429501872101E-3"/>
    <n v="-2.4084412217140201E-2"/>
    <n v="2.4822894483804399E-3"/>
    <n v="1.6806909441949901E-4"/>
    <n v="9.6281778533011796E-3"/>
    <b v="0"/>
    <b v="0"/>
    <b v="0"/>
    <b v="1"/>
  </r>
  <r>
    <x v="126"/>
    <x v="4"/>
    <n v="1081512"/>
    <n v="0.93292731046676602"/>
    <n v="4.0000000000000001E-3"/>
    <n v="2.0771112610816198"/>
    <n v="2.226444909242062"/>
    <n v="8.1848251224458102E-3"/>
    <n v="1.6806909441949901E-4"/>
    <n v="9.6281778533011796E-3"/>
    <n v="-2.6255561847239699E-2"/>
    <n v="-4.9717873334884297E-3"/>
    <b v="0"/>
    <b v="0"/>
    <b v="0"/>
    <b v="0"/>
  </r>
  <r>
    <x v="126"/>
    <x v="5"/>
    <n v="1084784"/>
    <n v="0.940904140472412"/>
    <n v="3.0000000000000001E-3"/>
    <n v="2.07679093841422"/>
    <n v="2.2072290354376576"/>
    <n v="-1.54215459425488E-4"/>
    <n v="-2.6255561847239699E-2"/>
    <n v="-4.9717873334884297E-3"/>
    <n v="-1.5280122220516199E-2"/>
    <n v="-9.8419161513448004E-3"/>
    <b v="0"/>
    <b v="0"/>
    <b v="0"/>
    <b v="0"/>
  </r>
  <r>
    <x v="126"/>
    <x v="6"/>
    <n v="1087154"/>
    <n v="0.94507747888565097"/>
    <n v="4.0000000000000001E-3"/>
    <n v="2.04874067646025"/>
    <n v="2.1678018175567342"/>
    <n v="-1.35065409979992E-2"/>
    <n v="-1.5280122220516199E-2"/>
    <n v="-9.9275149405002993E-3"/>
    <n v="-5.5394541472199895E-4"/>
    <n v="-6.6807167604566002E-3"/>
    <b v="0"/>
    <b v="0"/>
    <b v="0"/>
    <b v="0"/>
  </r>
  <r>
    <x v="126"/>
    <x v="7"/>
    <n v="1088965"/>
    <n v="0.94314414262771595"/>
    <n v="1.2E-2"/>
    <n v="2.05800742617205"/>
    <n v="2.1820709403317582"/>
    <n v="4.5231442994554602E-3"/>
    <n v="-5.5394541472199895E-4"/>
    <n v="-6.6807167604566002E-3"/>
    <n v="-1.47724832026287E-2"/>
    <n v="-1.6780506703071199E-2"/>
    <b v="0"/>
    <b v="1"/>
    <b v="0"/>
    <b v="1"/>
  </r>
  <r>
    <x v="126"/>
    <x v="8"/>
    <n v="1089297"/>
    <n v="0.93767720460891701"/>
    <n v="2.5000000000000001E-2"/>
    <n v="2.0152867471208098"/>
    <n v="2.1492329526783562"/>
    <n v="-2.0758272544575199E-2"/>
    <n v="-1.47724832026287E-2"/>
    <n v="-1.6780506703071199E-2"/>
    <n v="2.8645211994648E-2"/>
    <n v="-1.6182400286196899E-3"/>
    <b v="0"/>
    <b v="0"/>
    <b v="0"/>
    <b v="0"/>
  </r>
  <r>
    <x v="126"/>
    <x v="9"/>
    <n v="1088468"/>
    <n v="0.94225198030471802"/>
    <n v="7.0000000000000001E-3"/>
    <n v="2.0891156791393599"/>
    <n v="2.2171518052567571"/>
    <n v="3.6634455183128897E-2"/>
    <n v="2.8645211994648E-2"/>
    <n v="-1.6182400286196899E-3"/>
    <n v="1.24253372550011E-2"/>
    <n v="-7.2821974754330005E-4"/>
    <b v="0"/>
    <b v="1"/>
    <b v="0"/>
    <b v="0"/>
  </r>
  <r>
    <x v="126"/>
    <x v="10"/>
    <n v="1088162"/>
    <n v="0.94508433341980003"/>
    <n v="2.1999999999999999E-2"/>
    <n v="2.1015752419267102"/>
    <n v="2.2236906989264469"/>
    <n v="5.9640367988071001E-3"/>
    <n v="1.24253372550011E-2"/>
    <n v="-7.2821974754330005E-4"/>
    <n v="9.4264985024928999E-3"/>
    <n v="6.6369250416755997E-3"/>
    <b v="0"/>
    <b v="1"/>
    <b v="0"/>
    <b v="0"/>
  </r>
  <r>
    <x v="126"/>
    <x v="11"/>
    <n v="1089029"/>
    <n v="0.94306933879852295"/>
    <n v="1.4E-2"/>
    <n v="2.05059275786983"/>
    <n v="2.1743817485173462"/>
    <n v="-2.4259176183546598E-2"/>
    <n v="9.4264985024928999E-3"/>
    <n v="6.6369250416755997E-3"/>
    <n v="2.2510869652032899E-3"/>
    <n v="-6.88393600285049E-3"/>
    <b v="1"/>
    <b v="0"/>
    <b v="1"/>
    <b v="0"/>
  </r>
  <r>
    <x v="126"/>
    <x v="12"/>
    <n v="1090687"/>
    <n v="0.95516985654830899"/>
    <n v="8.0000000000000002E-3"/>
    <n v="1.98611041504084"/>
    <n v="2.0793269400460712"/>
    <n v="-3.1445708847608597E-2"/>
    <n v="2.2510869652032899E-3"/>
    <n v="-6.88393600285049E-3"/>
    <n v="6.6965009719133E-3"/>
    <n v="-1.11046936362982E-2"/>
    <b v="0"/>
    <b v="0"/>
    <b v="1"/>
    <b v="0"/>
  </r>
  <r>
    <x v="126"/>
    <x v="13"/>
    <n v="1090230"/>
    <n v="0.94810694456100497"/>
    <n v="2.5000000000000001E-2"/>
    <n v="2.0098177923520302"/>
    <n v="2.1198218237739219"/>
    <n v="1.1936585766660899E-2"/>
    <n v="6.6965009719133E-3"/>
    <n v="-1.11046936362982E-2"/>
    <n v="2.92578843533992E-2"/>
    <n v="1.04086939245462E-2"/>
    <b v="0"/>
    <b v="1"/>
    <b v="0"/>
    <b v="0"/>
  </r>
  <r>
    <x v="126"/>
    <x v="14"/>
    <n v="1087191"/>
    <n v="0.96603775024414096"/>
    <n v="2E-3"/>
    <n v="1.9736598548793101"/>
    <n v="2.0430463037086479"/>
    <n v="-1.7990654481375299E-2"/>
    <n v="2.92578843533992E-2"/>
    <n v="1.04086939245462E-2"/>
    <n v="2.5537496685981799E-2"/>
    <n v="-1.80521160364151E-2"/>
    <b v="1"/>
    <b v="0"/>
    <b v="1"/>
    <b v="0"/>
  </r>
  <r>
    <x v="126"/>
    <x v="15"/>
    <n v="1084207"/>
    <n v="0.96901500225067105"/>
    <n v="1.2999999999999999E-2"/>
    <n v="1.9615166911497099"/>
    <n v="2.0242376914638234"/>
    <n v="-6.1526122140942198E-3"/>
    <n v="2.5537496685981799E-2"/>
    <n v="-1.80521160364151E-2"/>
    <n v="-2.3345997482538201E-2"/>
    <n v="8.75750929117209E-3"/>
    <b v="0"/>
    <b v="0"/>
    <b v="1"/>
    <b v="0"/>
  </r>
  <r>
    <x v="126"/>
    <x v="16"/>
    <n v="1079874"/>
    <n v="0.95957005023956299"/>
    <n v="1.7999999999999999E-2"/>
    <n v="1.9667756172572399"/>
    <n v="2.0496425631106572"/>
    <n v="2.68105090884724E-3"/>
    <n v="-2.3345997482538201E-2"/>
    <n v="9.2362128198146907E-3"/>
    <n v="8.1458326578139895E-3"/>
    <n v="2.7704760432243299E-2"/>
    <b v="0"/>
    <b v="0"/>
    <b v="0"/>
    <b v="1"/>
  </r>
  <r>
    <x v="127"/>
    <x v="0"/>
    <n v="342757.90625"/>
    <n v="0.90941661596298196"/>
    <n v="2E-3"/>
    <n v="2.3075982949295"/>
    <n v="2.5374490133831373"/>
    <n v="8.6288145096839797E-2"/>
    <n v="-1.17046482563019E-2"/>
    <n v="-1.8067687749862699E-2"/>
    <n v="-6.5978773832321E-3"/>
    <n v="-5.6761214509605997E-3"/>
    <b v="0"/>
    <b v="1"/>
    <b v="0"/>
    <b v="1"/>
  </r>
  <r>
    <x v="127"/>
    <x v="1"/>
    <n v="348109.1875"/>
    <n v="0.91519099473953203"/>
    <n v="0"/>
    <n v="2.23405065144195"/>
    <n v="2.4410758675327351"/>
    <n v="-3.1871943938055598E-2"/>
    <n v="-6.5978773832321E-3"/>
    <n v="-5.6761214509605997E-3"/>
    <n v="-2.4332741566002399E-2"/>
    <n v="5.178062710911E-3"/>
    <b v="0"/>
    <b v="0"/>
    <b v="0"/>
    <b v="0"/>
  </r>
  <r>
    <x v="127"/>
    <x v="2"/>
    <n v="349909.09375"/>
    <n v="0.92251747846603405"/>
    <n v="4.0000000000000001E-3"/>
    <n v="2.2217167721518898"/>
    <n v="2.4083194346042851"/>
    <n v="-5.5208592885287898E-3"/>
    <n v="-2.4332741566002399E-2"/>
    <n v="5.178062710911E-3"/>
    <n v="-1.71168192327023E-2"/>
    <n v="9.4498824328183503E-3"/>
    <b v="1"/>
    <b v="0"/>
    <b v="0"/>
    <b v="0"/>
  </r>
  <r>
    <x v="127"/>
    <x v="3"/>
    <n v="349669.09375"/>
    <n v="0.92052531242370605"/>
    <n v="0"/>
    <n v="2.2450429049304299"/>
    <n v="2.4388714515837946"/>
    <n v="1.0499147808088499E-2"/>
    <n v="-1.71168192327023E-2"/>
    <n v="9.4498824328183503E-3"/>
    <n v="-1.2531155891716401E-2"/>
    <n v="-3.07104713283479E-3"/>
    <b v="0"/>
    <b v="0"/>
    <b v="0"/>
    <b v="1"/>
  </r>
  <r>
    <x v="127"/>
    <x v="4"/>
    <n v="349058.1875"/>
    <n v="0.92039847373962402"/>
    <n v="0"/>
    <n v="2.2928567629381398"/>
    <n v="2.4911566330853967"/>
    <n v="2.1297525273438998E-2"/>
    <n v="-1.2531155891716401E-2"/>
    <n v="-3.07104713283479E-3"/>
    <n v="-2.7509897824376801E-2"/>
    <n v="-6.2261233106255202E-3"/>
    <b v="0"/>
    <b v="1"/>
    <b v="0"/>
    <b v="1"/>
  </r>
  <r>
    <x v="127"/>
    <x v="5"/>
    <n v="347904.375"/>
    <n v="0.92798757553100597"/>
    <n v="0"/>
    <n v="2.3215016711143299"/>
    <n v="2.5016516732844596"/>
    <n v="1.2493108439747E-2"/>
    <n v="-2.7509897824376801E-2"/>
    <n v="-6.2261233106255202E-3"/>
    <n v="-1.35872692838311E-2"/>
    <n v="-8.1490632146597203E-3"/>
    <b v="0"/>
    <b v="1"/>
    <b v="0"/>
    <b v="1"/>
  </r>
  <r>
    <x v="127"/>
    <x v="6"/>
    <n v="346632"/>
    <n v="0.93425238132476796"/>
    <n v="0"/>
    <n v="2.4412078911758401"/>
    <n v="2.6130068704927596"/>
    <n v="5.1564132626295799E-2"/>
    <n v="-1.35872692838311E-2"/>
    <n v="-8.2346620038152192E-3"/>
    <n v="6.9377258419989901E-4"/>
    <n v="-5.4329987615347004E-3"/>
    <b v="0"/>
    <b v="1"/>
    <b v="0"/>
    <b v="1"/>
  </r>
  <r>
    <x v="127"/>
    <x v="7"/>
    <n v="345592.09375"/>
    <n v="0.93186610937118497"/>
    <n v="0"/>
    <n v="2.3358556040195602"/>
    <n v="2.5066429399345522"/>
    <n v="-4.3155803132165903E-2"/>
    <n v="6.9377258419989901E-4"/>
    <n v="-5.4329987615347004E-3"/>
    <n v="-7.0586923360824597E-3"/>
    <n v="-9.0667158365249599E-3"/>
    <b v="0"/>
    <b v="0"/>
    <b v="1"/>
    <b v="0"/>
  </r>
  <r>
    <x v="127"/>
    <x v="8"/>
    <n v="343921.90625"/>
    <n v="0.93879061937332198"/>
    <n v="0"/>
    <n v="2.4105066712428602"/>
    <n v="2.5676723025331931"/>
    <n v="3.1958767954166099E-2"/>
    <n v="-7.0586923360824597E-3"/>
    <n v="-9.0667158365249599E-3"/>
    <n v="9.0801493972539997E-3"/>
    <n v="-2.11833026260136E-2"/>
    <b v="0"/>
    <b v="1"/>
    <b v="0"/>
    <b v="1"/>
  </r>
  <r>
    <x v="127"/>
    <x v="9"/>
    <n v="342790.8125"/>
    <n v="0.94153541326522805"/>
    <n v="0"/>
    <n v="2.20875563063063"/>
    <n v="2.3459081830716326"/>
    <n v="-8.3696528625748695E-2"/>
    <n v="9.0801493972539997E-3"/>
    <n v="-2.11833026260136E-2"/>
    <n v="1.57840496748686E-2"/>
    <n v="2.6304926723241901E-3"/>
    <b v="0"/>
    <b v="0"/>
    <b v="1"/>
    <b v="0"/>
  </r>
  <r>
    <x v="127"/>
    <x v="10"/>
    <n v="342016.21875"/>
    <n v="0.941273093223572"/>
    <n v="0"/>
    <n v="2.41358429844805"/>
    <n v="2.5641700754265302"/>
    <n v="9.2734870701355401E-2"/>
    <n v="1.57840496748686E-2"/>
    <n v="2.6304926723241901E-3"/>
    <n v="1.5838925689458899E-3"/>
    <n v="-1.2056808918714001E-3"/>
    <b v="0"/>
    <b v="0"/>
    <b v="0"/>
    <b v="0"/>
  </r>
  <r>
    <x v="127"/>
    <x v="11"/>
    <n v="340925.90625"/>
    <n v="0.94898134469985995"/>
    <n v="7.0000000000000001E-3"/>
    <n v="2.3412547756926201"/>
    <n v="2.4671241313316892"/>
    <n v="-2.9967680350728099E-2"/>
    <n v="1.5838925689458899E-3"/>
    <n v="-1.2056808918714001E-3"/>
    <n v="1.4421582430601E-2"/>
    <n v="5.2865594625472996E-3"/>
    <b v="0"/>
    <b v="0"/>
    <b v="1"/>
    <b v="0"/>
  </r>
  <r>
    <x v="127"/>
    <x v="12"/>
    <n v="340136.1875"/>
    <n v="0.95534026622772195"/>
    <n v="0"/>
    <n v="2.3683722257903299"/>
    <n v="2.4790876188461497"/>
    <n v="1.1582443046887001E-2"/>
    <n v="1.4421582430601E-2"/>
    <n v="5.2865594625472996E-3"/>
    <n v="1.41338027715683E-2"/>
    <n v="-3.6673918366431999E-3"/>
    <b v="0"/>
    <b v="0"/>
    <b v="0"/>
    <b v="0"/>
  </r>
  <r>
    <x v="127"/>
    <x v="13"/>
    <n v="339353.6875"/>
    <n v="0.95674484968185403"/>
    <n v="0"/>
    <n v="2.3405614624137199"/>
    <n v="2.4463799969156099"/>
    <n v="-1.17425643966619E-2"/>
    <n v="1.41338027715683E-2"/>
    <n v="-3.6673918366431999E-3"/>
    <n v="2.0047253102064001E-2"/>
    <n v="1.1980626732110899E-3"/>
    <b v="0"/>
    <b v="0"/>
    <b v="1"/>
    <b v="0"/>
  </r>
  <r>
    <x v="127"/>
    <x v="14"/>
    <n v="337862.40625"/>
    <n v="0.96282732486724898"/>
    <n v="0"/>
    <n v="2.0925284728119999"/>
    <n v="2.1733164595224901"/>
    <n v="-0.105971577155653"/>
    <n v="2.0047253102064001E-2"/>
    <n v="1.1980626732110899E-3"/>
    <n v="1.5042724341154E-2"/>
    <n v="-2.8546888381242801E-2"/>
    <b v="1"/>
    <b v="0"/>
    <b v="1"/>
    <b v="0"/>
  </r>
  <r>
    <x v="127"/>
    <x v="15"/>
    <n v="336156.09375"/>
    <n v="0.959575295448303"/>
    <n v="3.0000000000000001E-3"/>
    <n v="2.2433811139579398"/>
    <n v="2.3378896107468639"/>
    <n v="7.2091081725268194E-2"/>
    <n v="1.5042724341154E-2"/>
    <n v="-2.8546888381242801E-2"/>
    <n v="-2.4576527923345599E-2"/>
    <n v="7.5269788503646903E-3"/>
    <b v="0"/>
    <b v="1"/>
    <b v="0"/>
    <b v="0"/>
  </r>
  <r>
    <x v="127"/>
    <x v="16"/>
    <n v="335176.3125"/>
    <n v="0.95935010910034202"/>
    <n v="0"/>
    <n v="2.2554591160359099"/>
    <n v="2.3510281539979507"/>
    <n v="5.3838387079340197E-3"/>
    <n v="-2.4576527923345599E-2"/>
    <n v="8.0056823790072892E-3"/>
    <n v="2.1557086348533601E-2"/>
    <n v="4.1116014122962903E-2"/>
    <b v="0"/>
    <b v="0"/>
    <b v="0"/>
    <b v="1"/>
  </r>
  <r>
    <x v="128"/>
    <x v="0"/>
    <n v="2063852"/>
    <n v="0.93840259313583396"/>
    <n v="1.2999999999999999E-2"/>
    <n v="2.4347990498602998"/>
    <n v="2.5946209736313701"/>
    <n v="-1.216799992038E-2"/>
    <n v="-6.7676451802250299E-4"/>
    <n v="-7.0398040115832996E-3"/>
    <n v="-5.3796553015708999E-3"/>
    <n v="-4.4578993692993996E-3"/>
    <b v="0"/>
    <b v="0"/>
    <b v="0"/>
    <b v="0"/>
  </r>
  <r>
    <x v="128"/>
    <x v="1"/>
    <n v="2088726.125"/>
    <n v="0.94087558984756503"/>
    <n v="6.0000000000000001E-3"/>
    <n v="2.4324860169746998"/>
    <n v="2.585342890412107"/>
    <n v="-9.49989234527433E-4"/>
    <n v="-5.3796553015708999E-3"/>
    <n v="-4.4578993692993996E-3"/>
    <n v="-3.6440717230550902E-2"/>
    <n v="-6.9299129536375299E-3"/>
    <b v="0"/>
    <b v="0"/>
    <b v="0"/>
    <b v="0"/>
  </r>
  <r>
    <x v="128"/>
    <x v="2"/>
    <n v="2114487"/>
    <n v="0.93382722139358498"/>
    <n v="4.0000000000000001E-3"/>
    <n v="2.5423036725566899"/>
    <n v="2.7224561613900224"/>
    <n v="4.5146263869821603E-2"/>
    <n v="-3.6440717230550902E-2"/>
    <n v="-6.9299129536375299E-3"/>
    <n v="-4.1006528496742203E-2"/>
    <n v="-1.4439826831221501E-2"/>
    <b v="0"/>
    <b v="1"/>
    <b v="0"/>
    <b v="1"/>
  </r>
  <r>
    <x v="128"/>
    <x v="3"/>
    <n v="2138185"/>
    <n v="0.92421162128448497"/>
    <n v="2E-3"/>
    <n v="2.5450008464533602"/>
    <n v="2.7536992479236249"/>
    <n v="1.0609172797816199E-3"/>
    <n v="-4.1006528496742203E-2"/>
    <n v="-1.4439826831221501E-2"/>
    <n v="-1.52763229529373E-2"/>
    <n v="-5.8162141940556501E-3"/>
    <b v="0"/>
    <b v="1"/>
    <b v="0"/>
    <b v="1"/>
  </r>
  <r>
    <x v="128"/>
    <x v="4"/>
    <n v="2159732"/>
    <n v="0.935280621051788"/>
    <n v="0"/>
    <n v="2.6160112784178602"/>
    <n v="2.7970335528560124"/>
    <n v="2.7901928623506999E-2"/>
    <n v="-1.52763229529373E-2"/>
    <n v="-5.8162141940556501E-3"/>
    <n v="-1.9922169268131298E-2"/>
    <n v="1.3616052456199999E-3"/>
    <b v="0"/>
    <b v="1"/>
    <b v="0"/>
    <b v="1"/>
  </r>
  <r>
    <x v="128"/>
    <x v="5"/>
    <n v="2180685"/>
    <n v="0.93371790647506703"/>
    <n v="0"/>
    <n v="2.5255847183815101"/>
    <n v="2.7048691053982163"/>
    <n v="-3.4566578814998299E-2"/>
    <n v="-1.9922169268131298E-2"/>
    <n v="1.3616052456199999E-3"/>
    <n v="-8.5430176034569996E-3"/>
    <n v="-3.1048115342856E-3"/>
    <b v="1"/>
    <b v="0"/>
    <b v="0"/>
    <b v="0"/>
  </r>
  <r>
    <x v="128"/>
    <x v="6"/>
    <n v="2201384"/>
    <n v="0.93389397859573398"/>
    <n v="0"/>
    <n v="2.6250403477268902"/>
    <n v="2.8108547735515739"/>
    <n v="3.9379248940466703E-2"/>
    <n v="-8.5430176034569996E-3"/>
    <n v="-3.1904103234410902E-3"/>
    <n v="1.6648050993681E-2"/>
    <n v="1.0521279647946399E-2"/>
    <b v="0"/>
    <b v="1"/>
    <b v="0"/>
    <b v="1"/>
  </r>
  <r>
    <x v="128"/>
    <x v="7"/>
    <n v="2224895"/>
    <n v="0.94635826349258401"/>
    <n v="0"/>
    <n v="2.5242833843876098"/>
    <n v="2.6673655018043712"/>
    <n v="-3.8383015113091098E-2"/>
    <n v="1.6648050993681E-2"/>
    <n v="1.0521279647946399E-2"/>
    <n v="1.9770338028669399E-2"/>
    <n v="1.77623145282268E-2"/>
    <b v="1"/>
    <b v="0"/>
    <b v="1"/>
    <b v="0"/>
  </r>
  <r>
    <x v="128"/>
    <x v="8"/>
    <n v="2253184"/>
    <n v="0.95141643285751298"/>
    <n v="3.0000000000000001E-3"/>
    <n v="2.5717344102567199"/>
    <n v="2.7030586412436612"/>
    <n v="1.8797820467615099E-2"/>
    <n v="1.9770338028669399E-2"/>
    <n v="1.77623145282268E-2"/>
    <n v="8.3403529763221698E-2"/>
    <n v="5.3140077739954002E-2"/>
    <b v="0"/>
    <b v="0"/>
    <b v="0"/>
    <b v="0"/>
  </r>
  <r>
    <x v="128"/>
    <x v="9"/>
    <n v="2283229"/>
    <n v="0.95812785625457797"/>
    <n v="3.0000000000000001E-3"/>
    <n v="2.5170505529462899"/>
    <n v="2.6270508017434162"/>
    <n v="-2.12634154959132E-2"/>
    <n v="8.3403529763221698E-2"/>
    <n v="5.3140077739954002E-2"/>
    <n v="6.2708180665969795E-2"/>
    <n v="4.9554623663425397E-2"/>
    <b v="1"/>
    <b v="0"/>
    <b v="1"/>
    <b v="0"/>
  </r>
  <r>
    <x v="128"/>
    <x v="10"/>
    <n v="2314624"/>
    <n v="0.96075266599655196"/>
    <n v="1E-3"/>
    <n v="2.51786146712467"/>
    <n v="2.6207176479838217"/>
    <n v="3.22168411528676E-4"/>
    <n v="6.2708180665969795E-2"/>
    <n v="4.9554623663425397E-2"/>
    <n v="4.2335157930850902E-2"/>
    <n v="3.9545584470033597E-2"/>
    <b v="0"/>
    <b v="0"/>
    <b v="0"/>
    <b v="0"/>
  </r>
  <r>
    <x v="128"/>
    <x v="11"/>
    <n v="2343988"/>
    <n v="0.95746707916259799"/>
    <n v="6.0000000000000001E-3"/>
    <n v="2.54987272599177"/>
    <n v="2.6631440197629481"/>
    <n v="1.27136696299863E-2"/>
    <n v="4.2335157930850902E-2"/>
    <n v="3.9545584470033597E-2"/>
    <n v="2.7088657230138799E-2"/>
    <n v="1.7953634262084999E-2"/>
    <b v="0"/>
    <b v="0"/>
    <b v="0"/>
    <b v="0"/>
  </r>
  <r>
    <x v="128"/>
    <x v="12"/>
    <n v="2368392"/>
    <n v="0.95292419195175204"/>
    <n v="1.2999999999999999E-2"/>
    <n v="2.5436493411420198"/>
    <n v="2.6693092300786172"/>
    <n v="-2.4406648952766401E-3"/>
    <n v="2.7088657230138799E-2"/>
    <n v="1.7953634262084999E-2"/>
    <n v="3.0696521669626199E-2"/>
    <n v="1.2895327061414601E-2"/>
    <b v="1"/>
    <b v="0"/>
    <b v="1"/>
    <b v="0"/>
  </r>
  <r>
    <x v="128"/>
    <x v="13"/>
    <n v="2389725"/>
    <n v="0.94828534126281705"/>
    <n v="0.01"/>
    <n v="2.5135810103700802"/>
    <n v="2.6506589324926009"/>
    <n v="-1.1820941780612E-2"/>
    <n v="3.0696521669626199E-2"/>
    <n v="1.2895327061414601E-2"/>
    <n v="4.5675119489431398E-2"/>
    <n v="2.6825929060578398E-2"/>
    <b v="1"/>
    <b v="0"/>
    <b v="1"/>
    <b v="0"/>
  </r>
  <r>
    <x v="128"/>
    <x v="14"/>
    <n v="2403462"/>
    <n v="0.95933532714843806"/>
    <n v="1.0999999999999999E-2"/>
    <n v="2.4830860316558301"/>
    <n v="2.5883400322978223"/>
    <n v="-1.2132085096299299E-2"/>
    <n v="4.5675119489431398E-2"/>
    <n v="2.6825929060578398E-2"/>
    <n v="5.9565125286578903E-2"/>
    <n v="1.5975512564182E-2"/>
    <b v="1"/>
    <b v="0"/>
    <b v="1"/>
    <b v="0"/>
  </r>
  <r>
    <x v="128"/>
    <x v="15"/>
    <n v="2412158"/>
    <n v="0.96305644512176503"/>
    <n v="8.9999999999999993E-3"/>
    <n v="2.5052446610428198"/>
    <n v="2.6013476922695498"/>
    <n v="8.9238266836096907E-3"/>
    <n v="5.9565125286578903E-2"/>
    <n v="1.5975512564182E-2"/>
    <n v="-6.4628239646553995E-2"/>
    <n v="-3.2524732872843701E-2"/>
    <b v="0"/>
    <b v="0"/>
    <b v="0"/>
    <b v="0"/>
  </r>
  <r>
    <x v="128"/>
    <x v="16"/>
    <n v="2425870"/>
    <n v="0.93698143959045399"/>
    <n v="1.7999999999999999E-2"/>
    <n v="2.4864209874924899"/>
    <n v="2.6536502031238545"/>
    <n v="-7.5137066822434503E-3"/>
    <n v="-6.4628239646553995E-2"/>
    <n v="-3.2046029344201102E-2"/>
    <n v="-3.69400468505919E-2"/>
    <n v="-1.73811190761625E-2"/>
    <b v="0"/>
    <b v="0"/>
    <b v="0"/>
    <b v="0"/>
  </r>
  <r>
    <x v="129"/>
    <x v="0"/>
    <n v="2746939"/>
    <n v="0.90533900260925304"/>
    <n v="6.0000000000000001E-3"/>
    <n v="2.13867229029053"/>
    <n v="2.3622889151209883"/>
    <n v="-1.6869444077102599E-2"/>
    <n v="-1.29971302747726E-2"/>
    <n v="-1.93601697683333E-2"/>
    <n v="-1.0029659509658799E-2"/>
    <n v="-9.1079035773873E-3"/>
    <b v="0"/>
    <b v="0"/>
    <b v="0"/>
    <b v="0"/>
  </r>
  <r>
    <x v="129"/>
    <x v="1"/>
    <n v="2758612"/>
    <n v="0.90928107500076305"/>
    <n v="4.0000000000000001E-3"/>
    <n v="2.0800408575881302"/>
    <n v="2.287566424481434"/>
    <n v="-2.74148746250557E-2"/>
    <n v="-1.0029659509658799E-2"/>
    <n v="-9.1079035773873E-3"/>
    <n v="-3.4124218450859098E-2"/>
    <n v="-4.6134141739457802E-3"/>
    <b v="0"/>
    <b v="0"/>
    <b v="0"/>
    <b v="0"/>
  </r>
  <r>
    <x v="129"/>
    <x v="2"/>
    <n v="2770801"/>
    <n v="0.90600258111953702"/>
    <n v="5.0000000000000001E-3"/>
    <n v="2.1489925308320301"/>
    <n v="2.3719496783072569"/>
    <n v="3.3149191753782697E-2"/>
    <n v="-3.4124218450859098E-2"/>
    <n v="-4.6134141739457802E-3"/>
    <n v="-1.5431296736002E-2"/>
    <n v="1.1135404929518601E-2"/>
    <b v="0"/>
    <b v="1"/>
    <b v="0"/>
    <b v="1"/>
  </r>
  <r>
    <x v="129"/>
    <x v="3"/>
    <n v="2782347"/>
    <n v="0.90182304382324197"/>
    <n v="0"/>
    <n v="2.1545121376645402"/>
    <n v="2.3890630788614295"/>
    <n v="2.5684625485316299E-3"/>
    <n v="-1.5431296736002E-2"/>
    <n v="1.1135404929518601E-2"/>
    <n v="-1.2544097084552E-2"/>
    <n v="-3.0839883256703598E-3"/>
    <b v="0"/>
    <b v="0"/>
    <b v="0"/>
    <b v="1"/>
  </r>
  <r>
    <x v="129"/>
    <x v="4"/>
    <n v="2792278"/>
    <n v="0.90658432245254505"/>
    <n v="5.0000000000000001E-3"/>
    <n v="2.1658899415698101"/>
    <n v="2.3890661772205783"/>
    <n v="5.28091891726464E-3"/>
    <n v="-1.2544097084552E-2"/>
    <n v="-3.0839883256703598E-3"/>
    <n v="-2.4331802845001201E-2"/>
    <n v="-3.0480283312499198E-3"/>
    <b v="0"/>
    <b v="1"/>
    <b v="0"/>
    <b v="1"/>
  </r>
  <r>
    <x v="129"/>
    <x v="5"/>
    <n v="2797845"/>
    <n v="0.90490853786468495"/>
    <n v="2E-3"/>
    <n v="2.16540066331443"/>
    <n v="2.392949754263709"/>
    <n v="-2.25901716422839E-4"/>
    <n v="-2.4331802845001201E-2"/>
    <n v="-3.0480283312499198E-3"/>
    <n v="-1.00443552285433E-2"/>
    <n v="-4.6061491593718997E-3"/>
    <b v="0"/>
    <b v="0"/>
    <b v="0"/>
    <b v="0"/>
  </r>
  <r>
    <x v="129"/>
    <x v="6"/>
    <n v="2801635"/>
    <n v="0.90773928165435802"/>
    <n v="5.0000000000000001E-3"/>
    <n v="2.20117446708556"/>
    <n v="2.4248972271794957"/>
    <n v="1.6520639518217899E-2"/>
    <n v="-1.00443552285433E-2"/>
    <n v="-4.6917479485274003E-3"/>
    <n v="1.9286374002695E-3"/>
    <n v="-4.1981339454650896E-3"/>
    <b v="0"/>
    <b v="1"/>
    <b v="0"/>
    <b v="1"/>
  </r>
  <r>
    <x v="129"/>
    <x v="7"/>
    <n v="2805895"/>
    <n v="0.90474468469619795"/>
    <n v="8.0000000000000002E-3"/>
    <n v="2.1940946427273298"/>
    <n v="2.4250981297160972"/>
    <n v="-3.2163849181820001E-3"/>
    <n v="1.9286374002695E-3"/>
    <n v="-4.1981339454650896E-3"/>
    <n v="-8.5156827084720103E-3"/>
    <n v="-1.0523706208914499E-2"/>
    <b v="0"/>
    <b v="0"/>
    <b v="1"/>
    <b v="0"/>
  </r>
  <r>
    <x v="129"/>
    <x v="8"/>
    <n v="2811750"/>
    <n v="0.909063041210175"/>
    <n v="7.0000000000000001E-3"/>
    <n v="2.1096651557245201"/>
    <n v="2.3207028116730646"/>
    <n v="-3.8480330501089399E-2"/>
    <n v="-8.5156827084720103E-3"/>
    <n v="-1.0523706208914499E-2"/>
    <n v="3.3464772790670401E-2"/>
    <n v="3.2013207674027001E-3"/>
    <b v="0"/>
    <b v="0"/>
    <b v="0"/>
    <b v="0"/>
  </r>
  <r>
    <x v="129"/>
    <x v="9"/>
    <n v="2815762"/>
    <n v="0.91581487655639604"/>
    <n v="7.0000000000000001E-3"/>
    <n v="2.13388032650996"/>
    <n v="2.3300345748189595"/>
    <n v="1.1478205780542801E-2"/>
    <n v="3.3464772790670401E-2"/>
    <n v="3.2013207674027001E-3"/>
    <n v="6.9577528983354904E-3"/>
    <n v="-6.1958041042089003E-3"/>
    <b v="0"/>
    <b v="0"/>
    <b v="0"/>
    <b v="0"/>
  </r>
  <r>
    <x v="129"/>
    <x v="10"/>
    <n v="2816197"/>
    <n v="0.91192567348480202"/>
    <n v="1.2999999999999999E-2"/>
    <n v="2.1575126007291199"/>
    <n v="2.3658864570447653"/>
    <n v="1.10747889305537E-2"/>
    <n v="6.9577528983354904E-3"/>
    <n v="-6.1958041042089003E-3"/>
    <n v="-9.1682600826025005E-3"/>
    <n v="-1.1957833543419699E-2"/>
    <b v="0"/>
    <b v="1"/>
    <b v="0"/>
    <b v="0"/>
  </r>
  <r>
    <x v="129"/>
    <x v="11"/>
    <n v="2817256"/>
    <n v="0.90367168188095104"/>
    <n v="1.7999999999999999E-2"/>
    <n v="2.10355349146365"/>
    <n v="2.3277851166976928"/>
    <n v="-2.50098698136158E-2"/>
    <n v="-9.1682600826025005E-3"/>
    <n v="-1.1957833543419699E-2"/>
    <n v="-2.6633383333679898E-4"/>
    <n v="-9.4013568013905906E-3"/>
    <b v="0"/>
    <b v="0"/>
    <b v="0"/>
    <b v="0"/>
  </r>
  <r>
    <x v="129"/>
    <x v="12"/>
    <n v="2817125"/>
    <n v="0.90291029214858998"/>
    <n v="1.7000000000000001E-2"/>
    <n v="2.0888282332286301"/>
    <n v="2.3134393874921919"/>
    <n v="-7.0001824506855104E-3"/>
    <n v="-2.6633383333679898E-4"/>
    <n v="-9.4013568013905906E-3"/>
    <n v="2.3711673140525798E-2"/>
    <n v="5.9104785323142901E-3"/>
    <b v="0"/>
    <b v="0"/>
    <b v="0"/>
    <b v="0"/>
  </r>
  <r>
    <x v="129"/>
    <x v="13"/>
    <n v="2818850"/>
    <n v="0.91369742155075095"/>
    <n v="1.2999999999999999E-2"/>
    <n v="2.0197926301200102"/>
    <n v="2.2105705701696801"/>
    <n v="-3.3049918614854498E-2"/>
    <n v="2.3711673140525798E-2"/>
    <n v="5.9104785323142901E-3"/>
    <n v="1.10184383690357E-2"/>
    <n v="-7.8307520598173003E-3"/>
    <b v="1"/>
    <b v="0"/>
    <b v="1"/>
    <b v="0"/>
  </r>
  <r>
    <x v="129"/>
    <x v="14"/>
    <n v="2818216"/>
    <n v="0.91681015491485596"/>
    <n v="0.02"/>
    <n v="1.9307934756017699"/>
    <n v="2.1059904989611318"/>
    <n v="-4.4063510872871699E-2"/>
    <n v="1.10184383690357E-2"/>
    <n v="-7.8307520598173003E-3"/>
    <n v="2.5493024170398601E-2"/>
    <n v="-1.8096588551998201E-2"/>
    <b v="0"/>
    <b v="0"/>
    <b v="1"/>
    <b v="0"/>
  </r>
  <r>
    <x v="129"/>
    <x v="15"/>
    <n v="2810390"/>
    <n v="0.93258714675903298"/>
    <n v="1.2E-2"/>
    <n v="2.04866470096484"/>
    <n v="2.1967541672480131"/>
    <n v="6.1048075235663801E-2"/>
    <n v="2.5493024170398601E-2"/>
    <n v="-1.8096588551998201E-2"/>
    <n v="-2.9397183954715699E-2"/>
    <n v="2.7063228189945902E-3"/>
    <b v="0"/>
    <b v="1"/>
    <b v="0"/>
    <b v="0"/>
  </r>
  <r>
    <x v="129"/>
    <x v="16"/>
    <n v="2803398"/>
    <n v="0.90766859054565396"/>
    <n v="3.4000000000000002E-2"/>
    <n v="2.0227577604018201"/>
    <n v="2.2285201685626461"/>
    <n v="-1.26457689981251E-2"/>
    <n v="-2.9397183954715699E-2"/>
    <n v="3.18502634763719E-3"/>
    <n v="-2.1824019759893402E-2"/>
    <n v="-2.26509198546409E-3"/>
    <b v="1"/>
    <b v="0"/>
    <b v="0"/>
    <b v="0"/>
  </r>
  <r>
    <x v="130"/>
    <x v="0"/>
    <n v="401944.625"/>
    <n v="0.96860641241073597"/>
    <n v="0"/>
    <n v="2.8599920090564002"/>
    <n v="2.9526874615028103"/>
    <n v="-8.2721243361529598E-2"/>
    <n v="1.49902828335762E-2"/>
    <n v="8.6272433400153992E-3"/>
    <n v="9.0917973816394999E-3"/>
    <n v="1.0013553313910999E-2"/>
    <b v="1"/>
    <b v="0"/>
    <b v="1"/>
    <b v="0"/>
  </r>
  <r>
    <x v="130"/>
    <x v="1"/>
    <n v="403284.78125"/>
    <n v="0.97004741430282604"/>
    <n v="0"/>
    <n v="2.7970893599273001"/>
    <n v="2.8834563328407725"/>
    <n v="-2.19939947139389E-2"/>
    <n v="9.0917973816394999E-3"/>
    <n v="1.0013553313910999E-2"/>
    <n v="-1.72196955531836E-2"/>
    <n v="1.22911087237298E-2"/>
    <b v="1"/>
    <b v="0"/>
    <b v="1"/>
    <b v="0"/>
  </r>
  <r>
    <x v="130"/>
    <x v="2"/>
    <n v="407099.5"/>
    <n v="0.96312540769577004"/>
    <n v="1.2E-2"/>
    <n v="2.8911326919586098"/>
    <n v="3.0018237177186529"/>
    <n v="3.3621854696036103E-2"/>
    <n v="-1.72196955531836E-2"/>
    <n v="1.22911087237298E-2"/>
    <n v="-4.7375236362218798E-2"/>
    <n v="-2.0808534696698199E-2"/>
    <b v="0"/>
    <b v="0"/>
    <b v="0"/>
    <b v="1"/>
  </r>
  <r>
    <x v="130"/>
    <x v="3"/>
    <n v="411858.71875"/>
    <n v="0.95708924531936601"/>
    <n v="0"/>
    <n v="3.2265777675594798"/>
    <n v="3.3712402300402196"/>
    <n v="0.116025485974366"/>
    <n v="-4.7375236362218798E-2"/>
    <n v="-2.0808534696698199E-2"/>
    <n v="-5.8487832397222999E-3"/>
    <n v="3.6113255191593798E-3"/>
    <b v="0"/>
    <b v="1"/>
    <b v="0"/>
    <b v="1"/>
  </r>
  <r>
    <x v="130"/>
    <x v="4"/>
    <n v="417743.71875"/>
    <n v="0.96025538444518999"/>
    <n v="0"/>
    <n v="3.2089188435164302"/>
    <n v="3.341734808777415"/>
    <n v="-5.4729578256556798E-3"/>
    <n v="-5.8487832397222999E-3"/>
    <n v="3.6113255191593798E-3"/>
    <n v="-2.3293098777532498E-2"/>
    <n v="-2.0093242637812701E-3"/>
    <b v="1"/>
    <b v="0"/>
    <b v="0"/>
    <b v="0"/>
  </r>
  <r>
    <x v="130"/>
    <x v="5"/>
    <n v="422396.21875"/>
    <n v="0.95827919244766202"/>
    <n v="1E-3"/>
    <n v="3.3017681563067001"/>
    <n v="3.4455179475130171"/>
    <n v="2.8934765046447802E-2"/>
    <n v="-2.3293098777532498E-2"/>
    <n v="-2.0093242637812701E-3"/>
    <n v="-2.3167154788970999E-3"/>
    <n v="3.1214905902742902E-3"/>
    <b v="0"/>
    <b v="1"/>
    <b v="0"/>
    <b v="1"/>
  </r>
  <r>
    <x v="130"/>
    <x v="6"/>
    <n v="426539.09375"/>
    <n v="0.95815885066986095"/>
    <n v="0"/>
    <n v="3.1226016828252798"/>
    <n v="3.2589603285950233"/>
    <n v="-5.4263795941939898E-2"/>
    <n v="-2.3167154788970999E-3"/>
    <n v="3.03589180111879E-3"/>
    <n v="8.3455039560794992E-3"/>
    <n v="2.2187326103448998E-3"/>
    <b v="1"/>
    <b v="0"/>
    <b v="0"/>
    <b v="0"/>
  </r>
  <r>
    <x v="130"/>
    <x v="7"/>
    <n v="429112.21875"/>
    <n v="0.96138936281204201"/>
    <n v="0"/>
    <n v="3.1095989555246502"/>
    <n v="3.2344844615600321"/>
    <n v="-4.1640684984413697E-3"/>
    <n v="8.3455039560794992E-3"/>
    <n v="2.2187326103448998E-3"/>
    <n v="1.5639363616704899E-2"/>
    <n v="1.3631340116262301E-2"/>
    <b v="1"/>
    <b v="0"/>
    <b v="1"/>
    <b v="0"/>
  </r>
  <r>
    <x v="130"/>
    <x v="8"/>
    <n v="431793.5"/>
    <n v="0.96587252616882302"/>
    <n v="0"/>
    <n v="3.1664326569219998"/>
    <n v="3.2783132050373127"/>
    <n v="1.8276858916608699E-2"/>
    <n v="1.5639363616704899E-2"/>
    <n v="1.3631340116262301E-2"/>
    <n v="8.0480383872985797E-2"/>
    <n v="5.0216931849718101E-2"/>
    <b v="0"/>
    <b v="0"/>
    <b v="0"/>
    <b v="0"/>
  </r>
  <r>
    <x v="130"/>
    <x v="9"/>
    <n v="434943.78125"/>
    <n v="0.96892011165618896"/>
    <n v="1E-3"/>
    <n v="3.2874271721692101"/>
    <n v="3.3928774236608259"/>
    <n v="3.8211618043637999E-2"/>
    <n v="8.0480383872985797E-2"/>
    <n v="5.0216931849718101E-2"/>
    <n v="4.6124335646629301E-2"/>
    <n v="3.2970778644084903E-2"/>
    <b v="0"/>
    <b v="0"/>
    <b v="0"/>
    <b v="0"/>
  </r>
  <r>
    <x v="130"/>
    <x v="10"/>
    <n v="438227.28125"/>
    <n v="0.96654033660888705"/>
    <n v="0"/>
    <n v="3.0828590049967399"/>
    <n v="3.1895813224029226"/>
    <n v="-6.2227436976949997E-2"/>
    <n v="4.6124335646629301E-2"/>
    <n v="3.2970778644084903E-2"/>
    <n v="4.53885250687599E-2"/>
    <n v="4.2598951607942602E-2"/>
    <b v="1"/>
    <b v="0"/>
    <b v="1"/>
    <b v="0"/>
  </r>
  <r>
    <x v="130"/>
    <x v="11"/>
    <n v="439095.40625"/>
    <n v="0.97047299146652199"/>
    <n v="2E-3"/>
    <n v="3.2053856129376701"/>
    <n v="3.3029106849165157"/>
    <n v="3.9744473471651498E-2"/>
    <n v="4.53885250687599E-2"/>
    <n v="4.2598951607942602E-2"/>
    <n v="2.37179661393166E-2"/>
    <n v="1.45829431712628E-2"/>
    <b v="0"/>
    <b v="0"/>
    <b v="0"/>
    <b v="0"/>
  </r>
  <r>
    <x v="130"/>
    <x v="12"/>
    <n v="439474.3125"/>
    <n v="0.97383183240890503"/>
    <n v="0"/>
    <n v="3.27996333692204"/>
    <n v="3.3681003513805932"/>
    <n v="2.32663813312688E-2"/>
    <n v="2.37179661393166E-2"/>
    <n v="1.45829431712628E-2"/>
    <n v="2.08658680021763E-2"/>
    <n v="3.06467339396479E-3"/>
    <b v="0"/>
    <b v="0"/>
    <b v="0"/>
    <b v="0"/>
  </r>
  <r>
    <x v="130"/>
    <x v="13"/>
    <n v="439754.3125"/>
    <n v="0.97274369001388505"/>
    <n v="0"/>
    <n v="3.2578277086769698"/>
    <n v="3.3491121475488237"/>
    <n v="-6.7487425837630998E-3"/>
    <n v="2.08658680021763E-2"/>
    <n v="3.06467339396479E-3"/>
    <n v="3.1525934219360299E-2"/>
    <n v="1.2676743790507299E-2"/>
    <b v="1"/>
    <b v="0"/>
    <b v="1"/>
    <b v="0"/>
  </r>
  <r>
    <x v="130"/>
    <x v="14"/>
    <n v="440176.90625"/>
    <n v="0.97434812784194902"/>
    <n v="1E-3"/>
    <n v="2.9515728943511101"/>
    <n v="3.029279587049087"/>
    <n v="-9.4005835087651202E-2"/>
    <n v="3.1525934219360299E-2"/>
    <n v="1.2676743790507299E-2"/>
    <n v="3.4232152879238101E-2"/>
    <n v="-9.3574598431588E-3"/>
    <b v="1"/>
    <b v="0"/>
    <b v="1"/>
    <b v="0"/>
  </r>
  <r>
    <x v="130"/>
    <x v="15"/>
    <n v="438443.125"/>
    <n v="0.97877329587936401"/>
    <n v="1E-3"/>
    <n v="3.08308767332678"/>
    <n v="3.1499507458025064"/>
    <n v="4.4557523626596499E-2"/>
    <n v="3.4232152879238101E-2"/>
    <n v="-9.3574598431588E-3"/>
    <n v="-5.1894750371575399E-2"/>
    <n v="-1.9791243597865001E-2"/>
    <b v="0"/>
    <b v="1"/>
    <b v="0"/>
    <b v="0"/>
  </r>
  <r>
    <x v="130"/>
    <x v="16"/>
    <n v="436150.59375"/>
    <n v="0.97600412368774403"/>
    <n v="6.0000000000000001E-3"/>
    <n v="3.2451039916411299"/>
    <n v="3.3248875828308959"/>
    <n v="5.2550019811641799E-2"/>
    <n v="-5.1894750371575399E-2"/>
    <n v="-1.9312540069222499E-2"/>
    <n v="2.4644669294357001E-3"/>
    <n v="2.2023394703864999E-2"/>
    <b v="0"/>
    <b v="1"/>
    <b v="0"/>
    <b v="1"/>
  </r>
  <r>
    <x v="131"/>
    <x v="0"/>
    <n v="1023038"/>
    <n v="0.94521552324295"/>
    <n v="1.0999999999999999E-2"/>
    <n v="2.5387036398046701"/>
    <n v="2.6858463253910649"/>
    <n v="8.4718135654575102E-2"/>
    <n v="1.2522650539875E-2"/>
    <n v="6.1596110463141996E-3"/>
    <n v="6.1909175574779499E-2"/>
    <n v="6.2830931507051005E-2"/>
    <b v="0"/>
    <b v="0"/>
    <b v="0"/>
    <b v="0"/>
  </r>
  <r>
    <x v="131"/>
    <x v="1"/>
    <n v="1042014.0625"/>
    <n v="0.948566734790802"/>
    <n v="6.0000000000000001E-3"/>
    <n v="2.52184578226864"/>
    <n v="2.6585855162049414"/>
    <n v="-6.6403408699310098E-3"/>
    <n v="6.1909175574779499E-2"/>
    <n v="6.2830931507051005E-2"/>
    <n v="-6.7371624708179696E-4"/>
    <n v="2.8837088029831599E-2"/>
    <b v="1"/>
    <b v="0"/>
    <b v="1"/>
    <b v="0"/>
  </r>
  <r>
    <x v="131"/>
    <x v="2"/>
    <n v="1060145"/>
    <n v="0.92951023578643799"/>
    <n v="1.7999999999999999E-2"/>
    <n v="2.53806605479478"/>
    <n v="2.7305412647203164"/>
    <n v="6.4319050118743998E-3"/>
    <n v="-6.7371624708179696E-4"/>
    <n v="2.8837088029831599E-2"/>
    <n v="-3.3968441843986397E-2"/>
    <n v="-7.4017401784658397E-3"/>
    <b v="0"/>
    <b v="0"/>
    <b v="0"/>
    <b v="1"/>
  </r>
  <r>
    <x v="131"/>
    <x v="3"/>
    <n v="1078579"/>
    <n v="0.90821719169616699"/>
    <n v="3.5999999999999997E-2"/>
    <n v="2.43051709093668"/>
    <n v="2.6761408098843606"/>
    <n v="-4.2374375424520702E-2"/>
    <n v="-3.3968441843986397E-2"/>
    <n v="-7.4017401784658397E-3"/>
    <n v="-2.81617391705513E-2"/>
    <n v="-1.8701630411669602E-2"/>
    <b v="0"/>
    <b v="0"/>
    <b v="0"/>
    <b v="0"/>
  </r>
  <r>
    <x v="131"/>
    <x v="4"/>
    <n v="1096394"/>
    <n v="0.91719383001327504"/>
    <n v="3.1E-2"/>
    <n v="2.61645595170376"/>
    <n v="2.8526750465230348"/>
    <n v="7.6501770532880195E-2"/>
    <n v="-2.81617391705513E-2"/>
    <n v="-1.8701630411669602E-2"/>
    <n v="-1.7118442215025401E-2"/>
    <n v="4.1653322987258903E-3"/>
    <b v="0"/>
    <b v="1"/>
    <b v="0"/>
    <b v="1"/>
  </r>
  <r>
    <x v="131"/>
    <x v="5"/>
    <n v="1114066"/>
    <n v="0.92515808343887296"/>
    <n v="3.0000000000000001E-3"/>
    <n v="2.5436784911527601"/>
    <n v="2.749452808862396"/>
    <n v="-2.7815282158146899E-2"/>
    <n v="-1.7118442215025401E-2"/>
    <n v="4.1653322987258903E-3"/>
    <n v="2.3214348554610898E-3"/>
    <n v="7.7596409246324903E-3"/>
    <b v="1"/>
    <b v="0"/>
    <b v="0"/>
    <b v="0"/>
  </r>
  <r>
    <x v="131"/>
    <x v="6"/>
    <n v="1133068"/>
    <n v="0.93755459785461404"/>
    <n v="1.4999999999999999E-2"/>
    <n v="2.5975978550607102"/>
    <n v="2.7706096914299576"/>
    <n v="2.11973974287606E-2"/>
    <n v="2.3214348554610898E-3"/>
    <n v="7.6740421354770001E-3"/>
    <n v="1.0260522961616499E-2"/>
    <n v="4.1337516158818904E-3"/>
    <b v="0"/>
    <b v="0"/>
    <b v="0"/>
    <b v="0"/>
  </r>
  <r>
    <x v="131"/>
    <x v="7"/>
    <n v="1150037"/>
    <n v="0.93472898006439198"/>
    <n v="3.5999999999999997E-2"/>
    <n v="2.6640054871872501"/>
    <n v="2.8500298418090462"/>
    <n v="2.5565016539093901E-2"/>
    <n v="1.0260522961616499E-2"/>
    <n v="4.1337516158818904E-3"/>
    <n v="1.58377999067309E-3"/>
    <n v="-4.2424350976940099E-4"/>
    <b v="0"/>
    <b v="0"/>
    <b v="0"/>
    <b v="0"/>
  </r>
  <r>
    <x v="131"/>
    <x v="8"/>
    <n v="1164148"/>
    <n v="0.93398326635360696"/>
    <n v="0.03"/>
    <n v="2.6486835252139702"/>
    <n v="2.8359004070327489"/>
    <n v="-5.7514753805797698E-3"/>
    <n v="1.58377999067309E-3"/>
    <n v="-4.2424350976940099E-4"/>
    <n v="3.6179037928581202E-2"/>
    <n v="5.9155859053134996E-3"/>
    <b v="0"/>
    <b v="0"/>
    <b v="1"/>
    <b v="0"/>
  </r>
  <r>
    <x v="131"/>
    <x v="9"/>
    <n v="1181217"/>
    <n v="0.91892182826995805"/>
    <n v="5.7000000000000002E-2"/>
    <n v="2.5513708114095799"/>
    <n v="2.7764829748500066"/>
    <n v="-3.6740030614464597E-2"/>
    <n v="3.6179037928581202E-2"/>
    <n v="5.9155859053134996E-3"/>
    <n v="2.45532135367393E-2"/>
    <n v="1.1399656534194899E-2"/>
    <b v="1"/>
    <b v="0"/>
    <b v="1"/>
    <b v="0"/>
  </r>
  <r>
    <x v="131"/>
    <x v="10"/>
    <n v="1203132"/>
    <n v="0.93312358856201205"/>
    <n v="2.4E-2"/>
    <n v="2.6243380239067902"/>
    <n v="2.8124227659393117"/>
    <n v="2.8599218965313401E-2"/>
    <n v="2.45532135367393E-2"/>
    <n v="1.1399656534194899E-2"/>
    <n v="6.1276179701089898E-3"/>
    <n v="3.3380445092917E-3"/>
    <b v="0"/>
    <b v="0"/>
    <b v="0"/>
    <b v="0"/>
  </r>
  <r>
    <x v="131"/>
    <x v="11"/>
    <n v="1223124"/>
    <n v="0.92259728908538796"/>
    <n v="5.7000000000000002E-2"/>
    <n v="2.4797461759193702"/>
    <n v="2.6877882747494888"/>
    <n v="-5.5096503068674502E-2"/>
    <n v="6.1276179701089898E-3"/>
    <n v="3.3380445092917E-3"/>
    <n v="9.3093330264091001E-3"/>
    <n v="1.7431005835530299E-4"/>
    <b v="1"/>
    <b v="0"/>
    <b v="1"/>
    <b v="0"/>
  </r>
  <r>
    <x v="131"/>
    <x v="12"/>
    <n v="1238612"/>
    <n v="0.91746062040329002"/>
    <n v="6.3E-2"/>
    <n v="2.5084446349774101"/>
    <n v="2.7341169519349702"/>
    <n v="1.1573143790575899E-2"/>
    <n v="9.3093330264091001E-3"/>
    <n v="1.7431005835530299E-4"/>
    <n v="1.0570810332894301E-2"/>
    <n v="-7.2303842753171999E-3"/>
    <b v="0"/>
    <b v="0"/>
    <b v="0"/>
    <b v="0"/>
  </r>
  <r>
    <x v="131"/>
    <x v="13"/>
    <n v="1251918"/>
    <n v="0.90638244152069103"/>
    <n v="0.06"/>
    <n v="2.3378876208911898"/>
    <n v="2.5793611104919227"/>
    <n v="-6.7993134752904402E-2"/>
    <n v="1.0570810332894301E-2"/>
    <n v="-7.2303842753171999E-3"/>
    <n v="1.23197493255138E-2"/>
    <n v="-6.52944110333919E-3"/>
    <b v="0"/>
    <b v="0"/>
    <b v="1"/>
    <b v="0"/>
  </r>
  <r>
    <x v="131"/>
    <x v="14"/>
    <n v="1261067"/>
    <n v="0.92635703086853005"/>
    <n v="4.5999999999999999E-2"/>
    <n v="2.2351746744561498"/>
    <n v="2.4128652344339674"/>
    <n v="-4.3934081996588402E-2"/>
    <n v="1.23197493255138E-2"/>
    <n v="-6.52944110333919E-3"/>
    <n v="8.9662334203719996E-2"/>
    <n v="4.6072721481323103E-2"/>
    <b v="0"/>
    <b v="0"/>
    <b v="1"/>
    <b v="0"/>
  </r>
  <r>
    <x v="131"/>
    <x v="15"/>
    <n v="1265245"/>
    <n v="0.93726855516433705"/>
    <n v="0.06"/>
    <n v="2.2577581955084902"/>
    <n v="2.4088700971224024"/>
    <n v="1.01036940470157E-2"/>
    <n v="8.9662334203719996E-2"/>
    <n v="4.6072721481323103E-2"/>
    <n v="-3.4527340829372401E-2"/>
    <n v="-2.4238340556620901E-3"/>
    <b v="0"/>
    <b v="0"/>
    <b v="0"/>
    <b v="0"/>
  </r>
  <r>
    <x v="131"/>
    <x v="16"/>
    <n v="1274617"/>
    <n v="0.906227886676788"/>
    <n v="5.3999999999999999E-2"/>
    <n v="2.3257222708824998"/>
    <n v="2.5663768518657202"/>
    <n v="3.0102459824621501E-2"/>
    <n v="-3.4527340829372401E-2"/>
    <n v="-1.9451305270195001E-3"/>
    <n v="-5.4473254628479503E-2"/>
    <n v="-3.4914326854050201E-2"/>
    <b v="0"/>
    <b v="1"/>
    <b v="0"/>
    <b v="1"/>
  </r>
  <r>
    <x v="132"/>
    <x v="0"/>
    <n v="1970046"/>
    <n v="0.91527324914932295"/>
    <n v="2.7E-2"/>
    <n v="2.43244869223876"/>
    <n v="2.6576202183331987"/>
    <n v="-1.49203291701215E-2"/>
    <n v="-3.4350812137126999E-3"/>
    <n v="-9.7981207072734902E-3"/>
    <n v="-3.0885980427265E-3"/>
    <n v="-2.1668421104549902E-3"/>
    <b v="0"/>
    <b v="0"/>
    <b v="0"/>
    <b v="0"/>
  </r>
  <r>
    <x v="132"/>
    <x v="1"/>
    <n v="2023963"/>
    <n v="0.91664665937423695"/>
    <n v="3.2000000000000001E-2"/>
    <n v="2.3470006623520598"/>
    <n v="2.5604202430130232"/>
    <n v="-3.5128399690130901E-2"/>
    <n v="-3.0885980427265E-3"/>
    <n v="-2.1668421104549902E-3"/>
    <n v="-2.4368853598833E-2"/>
    <n v="5.1419506780803004E-3"/>
    <b v="0"/>
    <b v="0"/>
    <b v="0"/>
    <b v="0"/>
  </r>
  <r>
    <x v="132"/>
    <x v="2"/>
    <n v="2072461.875"/>
    <n v="0.906061410903931"/>
    <n v="2.1999999999999999E-2"/>
    <n v="2.39490225132641"/>
    <n v="2.6432008057126493"/>
    <n v="2.0409704071555498E-2"/>
    <n v="-2.4368853598833E-2"/>
    <n v="5.1419506780803004E-3"/>
    <n v="-1.6586302503943402E-2"/>
    <n v="9.9803991615772403E-3"/>
    <b v="0"/>
    <b v="0"/>
    <b v="0"/>
    <b v="1"/>
  </r>
  <r>
    <x v="132"/>
    <x v="3"/>
    <n v="2117500"/>
    <n v="0.89122903347015403"/>
    <n v="3.1E-2"/>
    <n v="2.43378631787902"/>
    <n v="2.7308202790506644"/>
    <n v="1.6236181051261501E-2"/>
    <n v="-1.6586302503943402E-2"/>
    <n v="9.9803991615772403E-3"/>
    <n v="-5.47278223931789E-3"/>
    <n v="3.9873265195637803E-3"/>
    <b v="0"/>
    <b v="0"/>
    <b v="0"/>
    <b v="1"/>
  </r>
  <r>
    <x v="132"/>
    <x v="4"/>
    <n v="2162162"/>
    <n v="0.91652363538742099"/>
    <n v="1.0999999999999999E-2"/>
    <n v="2.5269622964570102"/>
    <n v="2.7571163458199806"/>
    <n v="3.8284371102550098E-2"/>
    <n v="-5.47278223931789E-3"/>
    <n v="3.9873265195637803E-3"/>
    <n v="-1.49466510564089E-2"/>
    <n v="6.3371234573424001E-3"/>
    <b v="0"/>
    <b v="0"/>
    <b v="0"/>
    <b v="1"/>
  </r>
  <r>
    <x v="132"/>
    <x v="5"/>
    <n v="2200994"/>
    <n v="0.91511261463165305"/>
    <n v="1.4E-2"/>
    <n v="2.4627567026514998"/>
    <n v="2.6912061567884709"/>
    <n v="-2.54082120241905E-2"/>
    <n v="-1.49466510564089E-2"/>
    <n v="6.3371234573424001E-3"/>
    <n v="1.85170182585719E-3"/>
    <n v="7.2899078950285998E-3"/>
    <b v="1"/>
    <b v="0"/>
    <b v="0"/>
    <b v="0"/>
  </r>
  <r>
    <x v="132"/>
    <x v="6"/>
    <n v="2241964"/>
    <n v="0.91802126169204701"/>
    <n v="2.5000000000000001E-2"/>
    <n v="2.54952955671921"/>
    <n v="2.777200989898704"/>
    <n v="3.5234034273175403E-2"/>
    <n v="1.85170182585719E-3"/>
    <n v="7.2043091058731001E-3"/>
    <n v="6.1267713457346003E-3"/>
    <n v="0"/>
    <b v="0"/>
    <b v="0"/>
    <b v="0"/>
    <b v="0"/>
  </r>
  <r>
    <x v="132"/>
    <x v="7"/>
    <n v="2283741"/>
    <n v="0.91614687442779497"/>
    <n v="3.3000000000000002E-2"/>
    <n v="2.4636817637386002"/>
    <n v="2.6891777208511041"/>
    <n v="-3.36720132364665E-2"/>
    <n v="6.1267713457346003E-3"/>
    <n v="0"/>
    <n v="3.7126660495995899E-3"/>
    <n v="1.7046425491570899E-3"/>
    <b v="0"/>
    <b v="0"/>
    <b v="1"/>
    <b v="0"/>
  </r>
  <r>
    <x v="132"/>
    <x v="8"/>
    <n v="2330823"/>
    <n v="0.91470104455947898"/>
    <n v="4.2999999999999997E-2"/>
    <n v="2.47777796442189"/>
    <n v="2.7088391110509669"/>
    <n v="5.7215996362700999E-3"/>
    <n v="3.7126660495995899E-3"/>
    <n v="1.7046425491570899E-3"/>
    <n v="3.5656182259321198E-2"/>
    <n v="5.3927302360534998E-3"/>
    <b v="0"/>
    <b v="0"/>
    <b v="0"/>
    <b v="0"/>
  </r>
  <r>
    <x v="132"/>
    <x v="9"/>
    <n v="2377704"/>
    <n v="0.90905028581619296"/>
    <n v="4.2999999999999997E-2"/>
    <n v="2.4645838802835298"/>
    <n v="2.711163418281858"/>
    <n v="-5.3249662914962798E-3"/>
    <n v="3.5656182259321198E-2"/>
    <n v="5.3927302360534998E-3"/>
    <n v="2.4845779761672E-3"/>
    <n v="-1.0668979026377199E-2"/>
    <b v="1"/>
    <b v="0"/>
    <b v="1"/>
    <b v="0"/>
  </r>
  <r>
    <x v="132"/>
    <x v="10"/>
    <n v="2421845"/>
    <n v="0.90548402070999101"/>
    <n v="3.4000000000000002E-2"/>
    <n v="2.4765077103671"/>
    <n v="2.7350098441552482"/>
    <n v="4.8380703042643696E-3"/>
    <n v="2.4845779761672E-3"/>
    <n v="-1.0668979026377199E-2"/>
    <n v="-1.1190810523927199E-2"/>
    <n v="-1.39803839847445E-2"/>
    <b v="0"/>
    <b v="1"/>
    <b v="0"/>
    <b v="0"/>
  </r>
  <r>
    <x v="132"/>
    <x v="11"/>
    <n v="2463738"/>
    <n v="0.89018529653549205"/>
    <n v="3.9E-2"/>
    <n v="2.3759201869716899"/>
    <n v="2.6690175587245966"/>
    <n v="-4.0616680890728903E-2"/>
    <n v="-1.1190810523927199E-2"/>
    <n v="-1.39803839847445E-2"/>
    <n v="6.8859869837760903E-3"/>
    <n v="-2.2490359842776901E-3"/>
    <b v="0"/>
    <b v="0"/>
    <b v="0"/>
    <b v="0"/>
  </r>
  <r>
    <x v="132"/>
    <x v="12"/>
    <n v="2501351"/>
    <n v="0.90051567554473899"/>
    <n v="0.03"/>
    <n v="2.3018729942115699"/>
    <n v="2.5561720431119905"/>
    <n v="-3.1165690314917501E-2"/>
    <n v="6.8859869837760903E-3"/>
    <n v="-2.2490359842776901E-3"/>
    <n v="1.7761348903179201E-2"/>
    <n v="-3.98457050323E-5"/>
    <b v="0"/>
    <b v="0"/>
    <b v="1"/>
    <b v="0"/>
  </r>
  <r>
    <x v="132"/>
    <x v="13"/>
    <n v="2537946"/>
    <n v="0.90082752704620395"/>
    <n v="2.8000000000000001E-2"/>
    <n v="2.4196259326312002"/>
    <n v="2.6860035467223198"/>
    <n v="5.1155271692112897E-2"/>
    <n v="1.7761348903179201E-2"/>
    <n v="-3.98457050323E-5"/>
    <n v="2.6527765318750999E-3"/>
    <n v="-1.6196413896977901E-2"/>
    <b v="0"/>
    <b v="1"/>
    <b v="0"/>
    <b v="0"/>
  </r>
  <r>
    <x v="132"/>
    <x v="14"/>
    <n v="2578066"/>
    <n v="0.90080374479293801"/>
    <n v="4.3999999999999997E-2"/>
    <n v="2.25665350137698"/>
    <n v="2.5051555507195435"/>
    <n v="-6.7354391047130494E-2"/>
    <n v="2.6527765318750999E-3"/>
    <n v="-1.6196413896977901E-2"/>
    <n v="6.7931158721447005E-2"/>
    <n v="2.4341545999050099E-2"/>
    <b v="0"/>
    <b v="0"/>
    <b v="1"/>
    <b v="0"/>
  </r>
  <r>
    <x v="132"/>
    <x v="15"/>
    <n v="2618813"/>
    <n v="0.93467372655868497"/>
    <n v="2.1000000000000001E-2"/>
    <n v="2.46377743010521"/>
    <n v="2.6359759134093066"/>
    <n v="9.1783664883351199E-2"/>
    <n v="6.7931158721447005E-2"/>
    <n v="2.4341545999050099E-2"/>
    <n v="-5.0131883397698397E-2"/>
    <n v="-1.80283766239881E-2"/>
    <b v="0"/>
    <b v="0"/>
    <b v="0"/>
    <b v="0"/>
  </r>
  <r>
    <x v="132"/>
    <x v="16"/>
    <n v="2673615"/>
    <n v="0.89839661121368397"/>
    <n v="3.1E-2"/>
    <n v="2.2453890502257199"/>
    <n v="2.4993293854841281"/>
    <n v="-8.8639654382318994E-2"/>
    <n v="-5.0131883397698397E-2"/>
    <n v="-1.7549673095345501E-2"/>
    <n v="-5.8266647890210202E-2"/>
    <n v="-3.87077201157809E-2"/>
    <b v="0"/>
    <b v="0"/>
    <b v="0"/>
    <b v="0"/>
  </r>
  <r>
    <x v="133"/>
    <x v="0"/>
    <n v="2954236"/>
    <n v="0.95660042762756303"/>
    <n v="4.0000000000000001E-3"/>
    <n v="2.5709946020182102"/>
    <n v="2.6876368939061206"/>
    <n v="1.03099725671266E-2"/>
    <n v="2.6541528880596198E-2"/>
    <n v="2.0178489387035401E-2"/>
    <n v="-4.6092131137848002E-3"/>
    <n v="-3.6874571815132999E-3"/>
    <b v="0"/>
    <b v="0"/>
    <b v="0"/>
    <b v="0"/>
  </r>
  <r>
    <x v="133"/>
    <x v="1"/>
    <n v="2987316"/>
    <n v="0.95731782913207997"/>
    <n v="5.0000000000000001E-3"/>
    <n v="2.5205077764933201"/>
    <n v="2.6328850250062237"/>
    <n v="-1.9637079550949801E-2"/>
    <n v="-4.6092131137848002E-3"/>
    <n v="-3.6874571815132999E-3"/>
    <n v="-3.4313987765461199E-2"/>
    <n v="-4.8031834885478002E-3"/>
    <b v="0"/>
    <b v="0"/>
    <b v="0"/>
    <b v="0"/>
  </r>
  <r>
    <x v="133"/>
    <x v="2"/>
    <n v="3032017"/>
    <n v="0.94924700260162398"/>
    <n v="5.0000000000000001E-3"/>
    <n v="2.5242352868596898"/>
    <n v="2.6591975322981876"/>
    <n v="1.4788727894955299E-3"/>
    <n v="-3.4313987765461199E-2"/>
    <n v="-4.8031834885478002E-3"/>
    <n v="-1.91408514082432E-2"/>
    <n v="7.4258502572774497E-3"/>
    <b v="0"/>
    <b v="1"/>
    <b v="0"/>
    <b v="1"/>
  </r>
  <r>
    <x v="133"/>
    <x v="3"/>
    <n v="3071699"/>
    <n v="0.94239193201065097"/>
    <n v="7.0000000000000001E-3"/>
    <n v="2.5300493218511302"/>
    <n v="2.6847102950606918"/>
    <n v="2.3032856808981299E-3"/>
    <n v="-1.91408514082432E-2"/>
    <n v="7.4258502572774497E-3"/>
    <n v="-1.61024443336064E-2"/>
    <n v="-6.6423355747247097E-3"/>
    <b v="0"/>
    <b v="0"/>
    <b v="0"/>
    <b v="1"/>
  </r>
  <r>
    <x v="133"/>
    <x v="4"/>
    <n v="3110140"/>
    <n v="0.94678008556366"/>
    <n v="1E-3"/>
    <n v="2.6270354282891"/>
    <n v="2.7747049904678867"/>
    <n v="3.8333682114550301E-2"/>
    <n v="-1.61024443336064E-2"/>
    <n v="-6.6423355747247097E-3"/>
    <n v="-1.7980672761797899E-2"/>
    <n v="3.3031017519533998E-3"/>
    <b v="0"/>
    <b v="1"/>
    <b v="0"/>
    <b v="1"/>
  </r>
  <r>
    <x v="133"/>
    <x v="5"/>
    <n v="3141207"/>
    <n v="0.94855737686157204"/>
    <n v="8.9999999999999993E-3"/>
    <n v="2.6066101887466102"/>
    <n v="2.7479731351317156"/>
    <n v="-7.7750148789573698E-3"/>
    <n v="-1.7980672761797899E-2"/>
    <n v="3.3031017519533998E-3"/>
    <n v="3.85158294439319E-3"/>
    <n v="9.2897890135645901E-3"/>
    <b v="1"/>
    <b v="0"/>
    <b v="0"/>
    <b v="0"/>
  </r>
  <r>
    <x v="133"/>
    <x v="6"/>
    <n v="3175385"/>
    <n v="0.953271925449371"/>
    <n v="6.0000000000000001E-3"/>
    <n v="2.6093416700234302"/>
    <n v="2.7372479985638836"/>
    <n v="1.04790554744823E-3"/>
    <n v="3.85158294439319E-3"/>
    <n v="9.2041902244090999E-3"/>
    <n v="1.8423077315092101E-2"/>
    <n v="1.2296305969357499E-2"/>
    <b v="0"/>
    <b v="0"/>
    <b v="0"/>
    <b v="0"/>
  </r>
  <r>
    <x v="133"/>
    <x v="7"/>
    <n v="3207751"/>
    <n v="0.956853687763214"/>
    <n v="5.0000000000000001E-3"/>
    <n v="2.6369455133905402"/>
    <n v="2.7558502905023938"/>
    <n v="1.0578853541576399E-2"/>
    <n v="1.8423077315092101E-2"/>
    <n v="1.2296305969357499E-2"/>
    <n v="1.8212753176689099E-2"/>
    <n v="1.6204729676246501E-2"/>
    <b v="0"/>
    <b v="0"/>
    <b v="0"/>
    <b v="0"/>
  </r>
  <r>
    <x v="133"/>
    <x v="8"/>
    <n v="3241310"/>
    <n v="0.95138400793075595"/>
    <n v="1.6E-2"/>
    <n v="2.6432528230626899"/>
    <n v="2.7783237904237215"/>
    <n v="2.3918998857261299E-3"/>
    <n v="1.8212753176689099E-2"/>
    <n v="1.6204729676246501E-2"/>
    <n v="6.0223439872264799E-2"/>
    <n v="2.9959987848997199E-2"/>
    <b v="0"/>
    <b v="0"/>
    <b v="0"/>
    <b v="0"/>
  </r>
  <r>
    <x v="133"/>
    <x v="9"/>
    <n v="3267324"/>
    <n v="0.95495855808258101"/>
    <n v="1.4999999999999999E-2"/>
    <n v="2.6620300195421098"/>
    <n v="2.7875869554874528"/>
    <n v="7.1038215926965201E-3"/>
    <n v="6.0223439872264799E-2"/>
    <n v="2.9959987848997199E-2"/>
    <n v="2.7116466581821399E-2"/>
    <n v="1.3962909579277E-2"/>
    <b v="0"/>
    <b v="0"/>
    <b v="0"/>
    <b v="0"/>
  </r>
  <r>
    <x v="133"/>
    <x v="10"/>
    <n v="3285825"/>
    <n v="0.95578020811080899"/>
    <n v="7.0000000000000001E-3"/>
    <n v="2.6598846517514998"/>
    <n v="2.7829459421523453"/>
    <n v="-8.05914198886431E-4"/>
    <n v="2.7116466581821399E-2"/>
    <n v="1.3962909579277E-2"/>
    <n v="1.4958178341388699E-2"/>
    <n v="1.21686048805714E-2"/>
    <b v="1"/>
    <b v="0"/>
    <b v="1"/>
    <b v="0"/>
  </r>
  <r>
    <x v="133"/>
    <x v="11"/>
    <n v="3295678"/>
    <n v="0.95273679494857799"/>
    <n v="1.2999999999999999E-2"/>
    <n v="2.6265990510150901"/>
    <n v="2.7568989304720359"/>
    <n v="-1.25139263894381E-2"/>
    <n v="1.4958178341388699E-2"/>
    <n v="1.21686048805714E-2"/>
    <n v="1.3146836519241201E-2"/>
    <n v="4.0118135511874996E-3"/>
    <b v="1"/>
    <b v="0"/>
    <b v="1"/>
    <b v="0"/>
  </r>
  <r>
    <x v="133"/>
    <x v="12"/>
    <n v="3301613"/>
    <n v="0.94873106479644798"/>
    <n v="1.9E-2"/>
    <n v="2.5964754243231001"/>
    <n v="2.7367876110182801"/>
    <n v="-1.14686810232205E-2"/>
    <n v="1.3146836519241201E-2"/>
    <n v="4.0118135511874996E-3"/>
    <n v="1.8356642842292801E-2"/>
    <n v="5.5544823408129596E-4"/>
    <b v="1"/>
    <b v="0"/>
    <b v="1"/>
    <b v="0"/>
  </r>
  <r>
    <x v="133"/>
    <x v="13"/>
    <n v="3298256"/>
    <n v="0.94722098112106301"/>
    <n v="1.6E-2"/>
    <n v="2.5603618913175201"/>
    <n v="2.703024893185177"/>
    <n v="-1.39086750705519E-2"/>
    <n v="1.8356642842292801E-2"/>
    <n v="5.5544823408129596E-4"/>
    <n v="1.10376087129115E-2"/>
    <n v="-7.8115817159413996E-3"/>
    <b v="1"/>
    <b v="0"/>
    <b v="1"/>
    <b v="0"/>
  </r>
  <r>
    <x v="133"/>
    <x v="14"/>
    <n v="3294344"/>
    <n v="0.95912164449691795"/>
    <n v="8.9999999999999993E-3"/>
    <n v="2.49896827052169"/>
    <n v="2.6054758380856455"/>
    <n v="-2.3978493432518101E-2"/>
    <n v="1.10376087129115E-2"/>
    <n v="-7.8115817159413996E-3"/>
    <n v="7.2999386370181996E-2"/>
    <n v="2.9409773647784999E-2"/>
    <b v="0"/>
    <b v="0"/>
    <b v="1"/>
    <b v="0"/>
  </r>
  <r>
    <x v="133"/>
    <x v="15"/>
    <n v="3275894"/>
    <n v="0.97312414646148704"/>
    <n v="1.7999999999999999E-2"/>
    <n v="2.5077233935075598"/>
    <n v="2.576981983877642"/>
    <n v="3.5034950579982101E-3"/>
    <n v="7.2999386370181996E-2"/>
    <n v="2.9409773647784999E-2"/>
    <n v="-2.43892426788807E-2"/>
    <n v="7.7142640948296001E-3"/>
    <b v="0"/>
    <b v="0"/>
    <b v="0"/>
    <b v="0"/>
  </r>
  <r>
    <x v="133"/>
    <x v="16"/>
    <n v="3283695"/>
    <n v="0.96039777994155895"/>
    <n v="1.4999999999999999E-2"/>
    <n v="2.4847965247048198"/>
    <n v="2.5872576723948923"/>
    <n v="-9.1425030615805095E-3"/>
    <n v="-2.43892426788807E-2"/>
    <n v="8.1929676234721999E-3"/>
    <n v="-2.67213944196701E-2"/>
    <n v="-7.1624666452407898E-3"/>
    <b v="1"/>
    <b v="0"/>
    <b v="0"/>
    <b v="0"/>
  </r>
  <r>
    <x v="134"/>
    <x v="0"/>
    <n v="1462168"/>
    <n v="0.95921403169632002"/>
    <n v="1E-3"/>
    <n v="2.2011346222816299"/>
    <n v="2.2947272970861761"/>
    <n v="-1.22009989559352E-2"/>
    <n v="4.7101592302322401E-2"/>
    <n v="4.0738552808761597E-2"/>
    <n v="3.9103060126304601E-2"/>
    <n v="4.00248160585761E-2"/>
    <b v="1"/>
    <b v="0"/>
    <b v="1"/>
    <b v="0"/>
  </r>
  <r>
    <x v="134"/>
    <x v="1"/>
    <n v="1478127"/>
    <n v="0.95859658718109098"/>
    <n v="5.0000000000000001E-3"/>
    <n v="2.2142124573430899"/>
    <n v="2.3098480496935019"/>
    <n v="5.9414062770511197E-3"/>
    <n v="3.9103060126304601E-2"/>
    <n v="4.00248160585761E-2"/>
    <n v="-5.0717418193816904E-3"/>
    <n v="2.4439062457531701E-2"/>
    <b v="0"/>
    <b v="0"/>
    <b v="0"/>
    <b v="0"/>
  </r>
  <r>
    <x v="134"/>
    <x v="2"/>
    <n v="1500185"/>
    <n v="0.95529776811599698"/>
    <n v="4.0000000000000001E-3"/>
    <n v="2.1978286342378901"/>
    <n v="2.3006738920497707"/>
    <n v="-7.3993907182943698E-3"/>
    <n v="-5.0717418193816904E-3"/>
    <n v="2.4439062457531701E-2"/>
    <n v="-6.2360302269458698E-2"/>
    <n v="-3.5793600603938103E-2"/>
    <b v="1"/>
    <b v="0"/>
    <b v="0"/>
    <b v="0"/>
  </r>
  <r>
    <x v="134"/>
    <x v="3"/>
    <n v="1518167"/>
    <n v="0.94727063179016102"/>
    <n v="6.0000000000000001E-3"/>
    <n v="2.3032017710877701"/>
    <n v="2.4314083998731784"/>
    <n v="4.7944200566126603E-2"/>
    <n v="-6.2360302269458698E-2"/>
    <n v="-3.5793600603938103E-2"/>
    <n v="2.76006411910057E-2"/>
    <n v="3.7060749949887298E-2"/>
    <b v="0"/>
    <b v="1"/>
    <b v="0"/>
    <b v="1"/>
  </r>
  <r>
    <x v="134"/>
    <x v="4"/>
    <n v="1530700"/>
    <n v="0.94994378089904796"/>
    <n v="3.0000000000000001E-3"/>
    <n v="2.34998426002169"/>
    <n v="2.4738140374976849"/>
    <n v="2.0311936852941598E-2"/>
    <n v="2.76006411910057E-2"/>
    <n v="3.7060749949887298E-2"/>
    <n v="1.1959910690783899E-3"/>
    <n v="2.2479765582829599E-2"/>
    <b v="0"/>
    <b v="0"/>
    <b v="0"/>
    <b v="0"/>
  </r>
  <r>
    <x v="134"/>
    <x v="5"/>
    <n v="1551642"/>
    <n v="0.95361822843551602"/>
    <n v="0"/>
    <n v="2.3557492287497999"/>
    <n v="2.4703273894151412"/>
    <n v="2.4531946133387402E-3"/>
    <n v="1.1959910690783899E-3"/>
    <n v="2.2479765582829599E-2"/>
    <n v="2.17010282874107E-2"/>
    <n v="2.7139234356582099E-2"/>
    <b v="0"/>
    <b v="0"/>
    <b v="0"/>
    <b v="0"/>
  </r>
  <r>
    <x v="134"/>
    <x v="6"/>
    <n v="1575622"/>
    <n v="0.95122146606445301"/>
    <n v="1E-3"/>
    <n v="2.3489526241298"/>
    <n v="2.4694066607309293"/>
    <n v="-2.8851138045844298E-3"/>
    <n v="2.17010282874107E-2"/>
    <n v="2.7053635567426602E-2"/>
    <n v="2.60491414368152E-2"/>
    <n v="1.99223700910806E-2"/>
    <b v="1"/>
    <b v="0"/>
    <b v="1"/>
    <b v="0"/>
  </r>
  <r>
    <x v="134"/>
    <x v="7"/>
    <n v="1596186"/>
    <n v="0.95088130235671997"/>
    <n v="1.7000000000000001E-2"/>
    <n v="2.3617566744208101"/>
    <n v="2.4837555103537041"/>
    <n v="5.4509614878927902E-3"/>
    <n v="2.60491414368152E-2"/>
    <n v="1.99223700910806E-2"/>
    <n v="2.8909887015819501E-2"/>
    <n v="2.6901863515377E-2"/>
    <b v="0"/>
    <b v="0"/>
    <b v="0"/>
    <b v="0"/>
  </r>
  <r>
    <x v="134"/>
    <x v="8"/>
    <n v="1616925"/>
    <n v="0.95164978504180897"/>
    <n v="1.7000000000000001E-2"/>
    <n v="2.4130522444220102"/>
    <n v="2.5356515415132441"/>
    <n v="2.17192442205222E-2"/>
    <n v="2.8909887015819501E-2"/>
    <n v="2.6901863515377E-2"/>
    <n v="5.8913232922554001E-2"/>
    <n v="2.8649780899286301E-2"/>
    <b v="0"/>
    <b v="0"/>
    <b v="0"/>
    <b v="0"/>
  </r>
  <r>
    <x v="134"/>
    <x v="9"/>
    <n v="1635283"/>
    <n v="0.94863784313201904"/>
    <n v="1.4999999999999999E-2"/>
    <n v="2.4303402961730498"/>
    <n v="2.5619263597465687"/>
    <n v="7.1643918158038004E-3"/>
    <n v="5.8913232922554001E-2"/>
    <n v="2.8649780899286301E-2"/>
    <n v="-1.15931742703542E-2"/>
    <n v="-2.4746731272898601E-2"/>
    <b v="0"/>
    <b v="0"/>
    <b v="0"/>
    <b v="0"/>
  </r>
  <r>
    <x v="134"/>
    <x v="10"/>
    <n v="1645736"/>
    <n v="0.948563992977142"/>
    <n v="2.1000000000000001E-2"/>
    <n v="2.4425274564544099"/>
    <n v="2.5749738283743486"/>
    <n v="5.0145900557818099E-3"/>
    <n v="-1.15931742703542E-2"/>
    <n v="-2.4746731272898601E-2"/>
    <n v="-6.3709870949387997E-3"/>
    <n v="-9.1605605557560903E-3"/>
    <b v="0"/>
    <b v="1"/>
    <b v="0"/>
    <b v="1"/>
  </r>
  <r>
    <x v="134"/>
    <x v="11"/>
    <n v="1652028"/>
    <n v="0.946111440658569"/>
    <n v="2.3E-2"/>
    <n v="2.40993600666439"/>
    <n v="2.5472009988452124"/>
    <n v="-1.33433299608955E-2"/>
    <n v="-6.3709870949387997E-3"/>
    <n v="-9.1605605557560903E-3"/>
    <n v="1.13054963052273E-2"/>
    <n v="2.1704733371735001E-3"/>
    <b v="0"/>
    <b v="0"/>
    <b v="0"/>
    <b v="0"/>
  </r>
  <r>
    <x v="134"/>
    <x v="12"/>
    <n v="1653055"/>
    <n v="0.94857835769653298"/>
    <n v="1.4E-2"/>
    <n v="2.3803914823441601"/>
    <n v="2.5094305209793637"/>
    <n v="-1.2259464250721001E-2"/>
    <n v="1.13054963052273E-2"/>
    <n v="2.1704733371735001E-3"/>
    <n v="-5.5765722244977903E-3"/>
    <n v="-2.3377766832709299E-2"/>
    <b v="1"/>
    <b v="0"/>
    <b v="1"/>
    <b v="0"/>
  </r>
  <r>
    <x v="134"/>
    <x v="13"/>
    <n v="1646510"/>
    <n v="0.94157564640045199"/>
    <n v="1.2999999999999999E-2"/>
    <n v="2.3713907264698699"/>
    <n v="2.5185344752017067"/>
    <n v="-3.7812082344642699E-3"/>
    <n v="-5.5765722244977903E-3"/>
    <n v="-2.3377766832709299E-2"/>
    <n v="-9.92068107128143E-2"/>
    <n v="-0.11805600114166701"/>
    <b v="0"/>
    <b v="0"/>
    <b v="0"/>
    <b v="0"/>
  </r>
  <r>
    <x v="134"/>
    <x v="14"/>
    <n v="1616821"/>
    <n v="0.89295399188995395"/>
    <n v="1.6E-2"/>
    <n v="2.32557001846186"/>
    <n v="2.604355923802689"/>
    <n v="-1.93222936636098E-2"/>
    <n v="-9.92068107128143E-2"/>
    <n v="-0.11805600114166701"/>
    <n v="1.9754527390003201E-2"/>
    <n v="-2.3835085332393698E-2"/>
    <b v="0"/>
    <b v="0"/>
    <b v="0"/>
    <b v="0"/>
  </r>
  <r>
    <x v="134"/>
    <x v="15"/>
    <n v="1552442"/>
    <n v="0.92276453971862804"/>
    <n v="1.4999999999999999E-2"/>
    <n v="2.3413776243774702"/>
    <n v="2.5373511048565103"/>
    <n v="6.7973037965370501E-3"/>
    <n v="1.9754527390003201E-2"/>
    <n v="-2.3835085332393698E-2"/>
    <n v="-6.35318960249424E-2"/>
    <n v="-3.1428389251232099E-2"/>
    <b v="0"/>
    <b v="1"/>
    <b v="0"/>
    <b v="0"/>
  </r>
  <r>
    <x v="134"/>
    <x v="16"/>
    <n v="1548070"/>
    <n v="0.93139374256134"/>
    <n v="1.0999999999999999E-2"/>
    <n v="2.2922917236585998"/>
    <n v="2.4611414259180866"/>
    <n v="-2.09645382307437E-2"/>
    <n v="-6.35318960249424E-2"/>
    <n v="-3.09496857225895E-2"/>
    <n v="-4.4316372167318999E-2"/>
    <n v="-2.47574443928897E-2"/>
    <b v="0"/>
    <b v="0"/>
    <b v="0"/>
    <b v="0"/>
  </r>
  <r>
    <x v="135"/>
    <x v="0"/>
    <n v="1750388"/>
    <n v="0.96710997819900502"/>
    <n v="1.2E-2"/>
    <n v="2.4875685407262802"/>
    <n v="2.5721671751942217"/>
    <n v="-1.18936138403352E-2"/>
    <n v="4.3464636087417602E-2"/>
    <n v="3.7101596593856798E-2"/>
    <n v="4.8628433704376202E-2"/>
    <n v="4.9550189636647701E-2"/>
    <b v="1"/>
    <b v="0"/>
    <b v="1"/>
    <b v="0"/>
  </r>
  <r>
    <x v="135"/>
    <x v="1"/>
    <n v="1773370"/>
    <n v="0.96629685163497903"/>
    <n v="6.0000000000000001E-3"/>
    <n v="2.55047787890223"/>
    <n v="2.6394351534798122"/>
    <n v="2.5289489373261101E-2"/>
    <n v="4.8628433704376202E-2"/>
    <n v="4.9550189636647701E-2"/>
    <n v="-2.8562290884554298E-2"/>
    <n v="9.4851339235901399E-4"/>
    <b v="0"/>
    <b v="0"/>
    <b v="0"/>
    <b v="0"/>
  </r>
  <r>
    <x v="135"/>
    <x v="2"/>
    <n v="1801393"/>
    <n v="0.952259540557861"/>
    <n v="4.0000000000000001E-3"/>
    <n v="2.5693083145893398"/>
    <n v="2.6981176928762145"/>
    <n v="7.38310096428328E-3"/>
    <n v="-2.8562290884554298E-2"/>
    <n v="9.4851339235901399E-4"/>
    <n v="-7.9166934549808499E-2"/>
    <n v="-5.2600232884287799E-2"/>
    <b v="0"/>
    <b v="0"/>
    <b v="0"/>
    <b v="1"/>
  </r>
  <r>
    <x v="135"/>
    <x v="3"/>
    <n v="1825334"/>
    <n v="0.95006632804870605"/>
    <n v="-1E-3"/>
    <n v="2.5920909763922002"/>
    <n v="2.7283263282427521"/>
    <n v="8.8672354631359907E-3"/>
    <n v="-7.9166934549808499E-2"/>
    <n v="-5.2600232884287799E-2"/>
    <n v="2.9430839061737098E-2"/>
    <n v="3.88909478206187E-2"/>
    <b v="0"/>
    <b v="1"/>
    <b v="0"/>
    <b v="1"/>
  </r>
  <r>
    <x v="135"/>
    <x v="4"/>
    <n v="1849427"/>
    <n v="0.95676904916763295"/>
    <n v="4.0000000000000001E-3"/>
    <n v="2.7152564062303699"/>
    <n v="2.8379433977223454"/>
    <n v="4.7515859188553097E-2"/>
    <n v="2.9430839061737098E-2"/>
    <n v="3.88909478206187E-2"/>
    <n v="6.7844480574130997E-3"/>
    <n v="2.8068222571164401E-2"/>
    <b v="0"/>
    <b v="0"/>
    <b v="0"/>
    <b v="0"/>
  </r>
  <r>
    <x v="135"/>
    <x v="5"/>
    <n v="1877995"/>
    <n v="0.956351578235626"/>
    <n v="2E-3"/>
    <n v="2.6912243307664099"/>
    <n v="2.8140533168057842"/>
    <n v="-8.8507573018959101E-3"/>
    <n v="6.7844480574130997E-3"/>
    <n v="2.8068222571164401E-2"/>
    <n v="2.3592861086130099E-2"/>
    <n v="2.9031067155301502E-2"/>
    <b v="1"/>
    <b v="0"/>
    <b v="1"/>
    <b v="0"/>
  </r>
  <r>
    <x v="135"/>
    <x v="6"/>
    <n v="1907603"/>
    <n v="0.94945079088211104"/>
    <n v="0.03"/>
    <n v="2.75820137860913"/>
    <n v="2.9050493244063276"/>
    <n v="2.48872035961588E-2"/>
    <n v="2.3592861086130099E-2"/>
    <n v="2.8945468366146001E-2"/>
    <n v="3.8673505783081097E-2"/>
    <n v="3.25467344373465E-2"/>
    <b v="0"/>
    <b v="0"/>
    <b v="0"/>
    <b v="0"/>
  </r>
  <r>
    <x v="135"/>
    <x v="7"/>
    <n v="1937942"/>
    <n v="0.95276355743408203"/>
    <n v="1.4E-2"/>
    <n v="2.7568486582973102"/>
    <n v="2.8935286585917153"/>
    <n v="-4.9043565937826597E-4"/>
    <n v="3.8673505783081097E-2"/>
    <n v="3.25467344373465E-2"/>
    <n v="3.7243115544319201E-2"/>
    <n v="3.5235092043876703E-2"/>
    <b v="1"/>
    <b v="0"/>
    <b v="1"/>
    <b v="0"/>
  </r>
  <r>
    <x v="135"/>
    <x v="8"/>
    <n v="1966071"/>
    <n v="0.94970917701721203"/>
    <n v="4.2999999999999997E-2"/>
    <n v="2.6817365722017201"/>
    <n v="2.8237450338474699"/>
    <n v="-2.7245632751557801E-2"/>
    <n v="3.7243115544319201E-2"/>
    <n v="3.5235092043876703E-2"/>
    <n v="6.2409075140953098E-2"/>
    <n v="3.2145623117685401E-2"/>
    <b v="1"/>
    <b v="0"/>
    <b v="1"/>
    <b v="0"/>
  </r>
  <r>
    <x v="135"/>
    <x v="9"/>
    <n v="1990268"/>
    <n v="0.94868731498718295"/>
    <n v="3.2000000000000001E-2"/>
    <n v="2.7730197286140799"/>
    <n v="2.9230070696703097"/>
    <n v="3.4038822962173698E-2"/>
    <n v="6.2409075140953098E-2"/>
    <n v="3.2145623117685401E-2"/>
    <n v="-1.7609328694641501E-2"/>
    <n v="-3.07628856971859E-2"/>
    <b v="0"/>
    <b v="0"/>
    <b v="0"/>
    <b v="0"/>
  </r>
  <r>
    <x v="135"/>
    <x v="10"/>
    <n v="2004057"/>
    <n v="0.94022119045257602"/>
    <n v="3.3000000000000002E-2"/>
    <n v="2.7669172115262701"/>
    <n v="2.9428364725479255"/>
    <n v="-2.2006756839267499E-3"/>
    <n v="-1.7609328694641501E-2"/>
    <n v="-3.07628856971859E-2"/>
    <n v="1.15518958270549E-2"/>
    <n v="8.7623223662376994E-3"/>
    <b v="0"/>
    <b v="0"/>
    <b v="0"/>
    <b v="0"/>
  </r>
  <r>
    <x v="135"/>
    <x v="11"/>
    <n v="2010347"/>
    <n v="0.947004914283752"/>
    <n v="1.0999999999999999E-2"/>
    <n v="2.71791416434744"/>
    <n v="2.8700106233377674"/>
    <n v="-1.7710340943593299E-2"/>
    <n v="1.15518958270549E-2"/>
    <n v="8.7623223662376994E-3"/>
    <n v="1.62130708098411E-2"/>
    <n v="7.0780478417873998E-3"/>
    <b v="1"/>
    <b v="0"/>
    <b v="1"/>
    <b v="0"/>
  </r>
  <r>
    <x v="135"/>
    <x v="12"/>
    <n v="2011313"/>
    <n v="0.94321328401565596"/>
    <n v="2.9000000000000001E-2"/>
    <n v="2.6815591171632902"/>
    <n v="2.8430039765203099"/>
    <n v="-1.3376083638343399E-2"/>
    <n v="1.62130708098411E-2"/>
    <n v="7.0780478417873998E-3"/>
    <n v="7.6692599505185999E-3"/>
    <n v="-1.0131934657692901E-2"/>
    <b v="1"/>
    <b v="0"/>
    <b v="1"/>
    <b v="0"/>
  </r>
  <r>
    <x v="135"/>
    <x v="13"/>
    <n v="2005045"/>
    <n v="0.939924716949463"/>
    <n v="0.02"/>
    <n v="2.60814845675797"/>
    <n v="2.7748482508500758"/>
    <n v="-2.7376111134546001E-2"/>
    <n v="7.6692599505185999E-3"/>
    <n v="-1.0131934657692901E-2"/>
    <n v="-9.4665018737316101E-2"/>
    <n v="-0.113514209166169"/>
    <b v="0"/>
    <b v="0"/>
    <b v="1"/>
    <b v="0"/>
  </r>
  <r>
    <x v="135"/>
    <x v="14"/>
    <n v="1978195"/>
    <n v="0.90326726436615001"/>
    <n v="2.1999999999999999E-2"/>
    <n v="2.54457549404809"/>
    <n v="2.8170792792249544"/>
    <n v="-2.43747485098696E-2"/>
    <n v="-9.4665018737316101E-2"/>
    <n v="-0.113514209166169"/>
    <n v="3.0074863016605401E-2"/>
    <n v="-1.3514749705791499E-2"/>
    <b v="0"/>
    <b v="0"/>
    <b v="0"/>
    <b v="0"/>
  </r>
  <r>
    <x v="135"/>
    <x v="15"/>
    <n v="1946177"/>
    <n v="0.94118517637252797"/>
    <n v="1.9E-2"/>
    <n v="2.6201744501481499"/>
    <n v="2.7839096024086398"/>
    <n v="2.9709849944280001E-2"/>
    <n v="3.0074863016605401E-2"/>
    <n v="-1.3514749705791499E-2"/>
    <n v="-2.41817328333855E-2"/>
    <n v="7.9217739403247903E-3"/>
    <b v="0"/>
    <b v="1"/>
    <b v="0"/>
    <b v="0"/>
  </r>
  <r>
    <x v="135"/>
    <x v="16"/>
    <n v="1954542"/>
    <n v="0.94377684593200695"/>
    <n v="1.7999999999999999E-2"/>
    <n v="2.49512123399363"/>
    <n v="2.6437618646276766"/>
    <n v="-4.7727057313855098E-2"/>
    <n v="-2.41817328333855E-2"/>
    <n v="8.4004774689673892E-3"/>
    <n v="-3.65890234559774E-2"/>
    <n v="-1.7030095681548101E-2"/>
    <b v="1"/>
    <b v="0"/>
    <b v="0"/>
    <b v="0"/>
  </r>
  <r>
    <x v="136"/>
    <x v="0"/>
    <n v="408851.5"/>
    <n v="0.96511584520339999"/>
    <n v="1E-3"/>
    <n v="2.7538963116439898"/>
    <n v="2.8534360153040499"/>
    <n v="-2.2198468933674301E-3"/>
    <n v="2.3297549813985699E-2"/>
    <n v="1.6934510320424999E-2"/>
    <n v="1.51138781607151E-2"/>
    <n v="1.6035634092986601E-2"/>
    <b v="1"/>
    <b v="0"/>
    <b v="1"/>
    <b v="0"/>
  </r>
  <r>
    <x v="136"/>
    <x v="1"/>
    <n v="412394.28125"/>
    <n v="0.97049033641815197"/>
    <n v="5.0000000000000001E-3"/>
    <n v="2.6599972570592598"/>
    <n v="2.7408796947702481"/>
    <n v="-3.4096801026133799E-2"/>
    <n v="1.51138781607151E-2"/>
    <n v="1.6035634092986601E-2"/>
    <n v="-2.7692172966897501E-2"/>
    <n v="1.8186313100158999E-3"/>
    <b v="1"/>
    <b v="0"/>
    <b v="1"/>
    <b v="0"/>
  </r>
  <r>
    <x v="136"/>
    <x v="2"/>
    <n v="417001"/>
    <n v="0.96247029304504395"/>
    <n v="0"/>
    <n v="2.6967835482311799"/>
    <n v="2.8019395172178778"/>
    <n v="1.38294470320586E-2"/>
    <n v="-2.7692172966897501E-2"/>
    <n v="1.8186313100158999E-3"/>
    <n v="-5.0040718823671199E-2"/>
    <n v="-2.34740171581506E-2"/>
    <b v="0"/>
    <b v="0"/>
    <b v="0"/>
    <b v="1"/>
  </r>
  <r>
    <x v="136"/>
    <x v="3"/>
    <n v="421367.875"/>
    <n v="0.95322036743164096"/>
    <n v="1.2999999999999999E-2"/>
    <n v="2.7438887608511902"/>
    <n v="2.8785460892367731"/>
    <n v="1.7467183323224202E-2"/>
    <n v="-5.0040718823671199E-2"/>
    <n v="-2.34740171581506E-2"/>
    <n v="-7.6177969425916701E-3"/>
    <n v="1.8423118162900101E-3"/>
    <b v="0"/>
    <b v="1"/>
    <b v="0"/>
    <b v="1"/>
  </r>
  <r>
    <x v="136"/>
    <x v="4"/>
    <n v="424684.28125"/>
    <n v="0.96082943677902199"/>
    <n v="0"/>
    <n v="2.8789230185817201"/>
    <n v="2.9962893604016778"/>
    <n v="4.9212730361794098E-2"/>
    <n v="-7.6177969425916701E-3"/>
    <n v="1.8423118162900101E-3"/>
    <n v="-1.9374918535351799E-2"/>
    <n v="1.90885597839949E-3"/>
    <b v="0"/>
    <b v="0"/>
    <b v="0"/>
    <b v="1"/>
  </r>
  <r>
    <x v="136"/>
    <x v="5"/>
    <n v="426883"/>
    <n v="0.95999562740325906"/>
    <n v="4.0000000000000001E-3"/>
    <n v="2.8322036322036301"/>
    <n v="2.9502255545315363"/>
    <n v="-1.6228077679237601E-2"/>
    <n v="-1.9374918535351799E-2"/>
    <n v="1.90885597839949E-3"/>
    <n v="-4.9871153235434996E-3"/>
    <n v="4.5109074562789902E-4"/>
    <b v="1"/>
    <b v="0"/>
    <b v="0"/>
    <b v="0"/>
  </r>
  <r>
    <x v="136"/>
    <x v="6"/>
    <n v="431625.5"/>
    <n v="0.96066904067993197"/>
    <n v="7.0000000000000001E-3"/>
    <n v="2.7203159934416399"/>
    <n v="2.831689039876089"/>
    <n v="-3.9505506415487099E-2"/>
    <n v="-4.9871153235434996E-3"/>
    <n v="3.6549195647239999E-4"/>
    <n v="9.7183311730623008E-3"/>
    <n v="3.5915598273277001E-3"/>
    <b v="1"/>
    <b v="0"/>
    <b v="0"/>
    <b v="0"/>
  </r>
  <r>
    <x v="136"/>
    <x v="7"/>
    <n v="436618.90625"/>
    <n v="0.96449577808380105"/>
    <n v="-5.0000000000000001E-3"/>
    <n v="2.83547785961487"/>
    <n v="2.9398551284985586"/>
    <n v="4.2334003274203502E-2"/>
    <n v="9.7183311730623008E-3"/>
    <n v="3.5915598273277001E-3"/>
    <n v="2.34817031919956E-2"/>
    <n v="2.1473679691553098E-2"/>
    <b v="0"/>
    <b v="0"/>
    <b v="0"/>
    <b v="0"/>
  </r>
  <r>
    <x v="136"/>
    <x v="8"/>
    <n v="441058.40625"/>
    <n v="0.96563106775283802"/>
    <n v="0"/>
    <n v="2.9707072765920199"/>
    <n v="3.0764412784535629"/>
    <n v="4.76919318973354E-2"/>
    <n v="2.34817031919956E-2"/>
    <n v="2.1473679691553098E-2"/>
    <n v="5.6215400040149702E-2"/>
    <n v="2.5951948016882002E-2"/>
    <b v="0"/>
    <b v="0"/>
    <b v="0"/>
    <b v="0"/>
  </r>
  <r>
    <x v="136"/>
    <x v="9"/>
    <n v="444187.40625"/>
    <n v="0.96442341804504395"/>
    <n v="2.8000000000000001E-2"/>
    <n v="3.00690307057745"/>
    <n v="3.1178246134593661"/>
    <n v="1.21842344651835E-2"/>
    <n v="5.6215400040149702E-2"/>
    <n v="2.5951948016882002E-2"/>
    <n v="1.7104041099548301E-2"/>
    <n v="3.9504840970039003E-3"/>
    <b v="0"/>
    <b v="0"/>
    <b v="0"/>
    <b v="0"/>
  </r>
  <r>
    <x v="136"/>
    <x v="10"/>
    <n v="446278.90625"/>
    <n v="0.96374338865280196"/>
    <n v="1.4E-2"/>
    <n v="2.96538093811093"/>
    <n v="3.0769403692161021"/>
    <n v="-1.3808936135258401E-2"/>
    <n v="1.7104041099548301E-2"/>
    <n v="3.9504840970039003E-3"/>
    <n v="1.30580306947231E-2"/>
    <n v="1.0268457233905799E-2"/>
    <b v="1"/>
    <b v="0"/>
    <b v="1"/>
    <b v="0"/>
  </r>
  <r>
    <x v="136"/>
    <x v="11"/>
    <n v="447258.5"/>
    <n v="0.96104675531387296"/>
    <n v="8.0000000000000002E-3"/>
    <n v="2.8650823747524501"/>
    <n v="2.9812101845312706"/>
    <n v="-3.3823163179289503E-2"/>
    <n v="1.30580306947231E-2"/>
    <n v="1.0268457233905799E-2"/>
    <n v="2.6874590873718299E-2"/>
    <n v="1.7739567905664499E-2"/>
    <b v="1"/>
    <b v="0"/>
    <b v="1"/>
    <b v="0"/>
  </r>
  <r>
    <x v="136"/>
    <x v="12"/>
    <n v="447727.375"/>
    <n v="0.97030234336853005"/>
    <n v="1.4E-2"/>
    <n v="2.9180565523180699"/>
    <n v="3.0073683447858728"/>
    <n v="1.8489582719307701E-2"/>
    <n v="2.6874590873718299E-2"/>
    <n v="1.7739567905664499E-2"/>
    <n v="2.14938327372074E-2"/>
    <n v="3.6926381289958902E-3"/>
    <b v="0"/>
    <b v="0"/>
    <b v="0"/>
    <b v="0"/>
  </r>
  <r>
    <x v="136"/>
    <x v="13"/>
    <n v="448261.09375"/>
    <n v="0.97085744142532304"/>
    <n v="0"/>
    <n v="2.78808356457851"/>
    <n v="2.8717744187913974"/>
    <n v="-4.4540942030856401E-2"/>
    <n v="2.14938327372074E-2"/>
    <n v="3.6926381289958902E-3"/>
    <n v="3.5436079949140902E-3"/>
    <n v="-1.53055824339389E-2"/>
    <b v="1"/>
    <b v="0"/>
    <b v="1"/>
    <b v="0"/>
  </r>
  <r>
    <x v="136"/>
    <x v="14"/>
    <n v="445327.5"/>
    <n v="0.95684796571731601"/>
    <n v="3.3000000000000002E-2"/>
    <n v="2.7610466405499299"/>
    <n v="2.8855646241355264"/>
    <n v="-9.6973148050777096E-3"/>
    <n v="3.5436079949140902E-3"/>
    <n v="-1.53055824339389E-2"/>
    <n v="6.3530927777289997E-2"/>
    <n v="1.9941315054893001E-2"/>
    <b v="0"/>
    <b v="0"/>
    <b v="1"/>
    <b v="0"/>
  </r>
  <r>
    <x v="136"/>
    <x v="15"/>
    <n v="439061.71875"/>
    <n v="0.98079651594161998"/>
    <n v="8.9999999999999993E-3"/>
    <n v="2.9326651746618602"/>
    <n v="2.9900852286840927"/>
    <n v="6.21570572519392E-2"/>
    <n v="6.3530927777289997E-2"/>
    <n v="1.9941315054893001E-2"/>
    <n v="-1.7957376241684E-2"/>
    <n v="1.4146130532026201E-2"/>
    <b v="0"/>
    <b v="0"/>
    <b v="0"/>
    <b v="0"/>
  </r>
  <r>
    <x v="136"/>
    <x v="16"/>
    <n v="444764.3125"/>
    <n v="0.97526675462722801"/>
    <n v="1E-3"/>
    <n v="2.71413129061962"/>
    <n v="2.7829629972950638"/>
    <n v="-7.4517161362426296E-2"/>
    <n v="-1.7957376241684E-2"/>
    <n v="1.46248340606688E-2"/>
    <n v="-7.4396792650223004E-3"/>
    <n v="1.2119248509407E-2"/>
    <b v="1"/>
    <b v="0"/>
    <b v="0"/>
    <b v="0"/>
  </r>
  <r>
    <x v="137"/>
    <x v="0"/>
    <n v="465703.78125"/>
    <n v="0.96131664514541604"/>
    <n v="5.0000000000000001E-3"/>
    <n v="2.5627664687369101"/>
    <n v="2.6658921196035741"/>
    <n v="5.5415986600203401E-2"/>
    <n v="8.4677428305149002E-3"/>
    <n v="2.1047033369540999E-3"/>
    <n v="1.7003501862287499E-2"/>
    <n v="1.7925257794558998E-2"/>
    <b v="0"/>
    <b v="0"/>
    <b v="0"/>
    <b v="0"/>
  </r>
  <r>
    <x v="137"/>
    <x v="1"/>
    <n v="468786.71875"/>
    <n v="0.95420241355895996"/>
    <n v="1.9E-2"/>
    <n v="2.4298316429127098"/>
    <n v="2.54645304642438"/>
    <n v="-5.18716111849735E-2"/>
    <n v="1.7003501862287499E-2"/>
    <n v="1.7925257794558998E-2"/>
    <n v="-3.1643262889236197E-2"/>
    <n v="-2.1324586123227999E-3"/>
    <b v="1"/>
    <b v="0"/>
    <b v="1"/>
    <b v="0"/>
  </r>
  <r>
    <x v="137"/>
    <x v="2"/>
    <n v="474708.1875"/>
    <n v="0.95244455337524403"/>
    <n v="1E-3"/>
    <n v="2.36282605045864"/>
    <n v="2.4808016824552452"/>
    <n v="-2.7576228439326101E-2"/>
    <n v="-3.1643262889236197E-2"/>
    <n v="-2.1324586123227999E-3"/>
    <n v="-4.7236659288406299E-2"/>
    <n v="-2.0669957622885701E-2"/>
    <b v="0"/>
    <b v="0"/>
    <b v="0"/>
    <b v="0"/>
  </r>
  <r>
    <x v="137"/>
    <x v="3"/>
    <n v="480798.3125"/>
    <n v="0.948378086090088"/>
    <n v="3.0000000000000001E-3"/>
    <n v="2.49804020030408"/>
    <n v="2.63401299222638"/>
    <n v="5.7225604829940997E-2"/>
    <n v="-4.7236659288406299E-2"/>
    <n v="-2.0669957622885701E-2"/>
    <n v="-3.1709886938334E-3"/>
    <n v="6.2891200650482797E-3"/>
    <b v="0"/>
    <b v="1"/>
    <b v="0"/>
    <b v="1"/>
  </r>
  <r>
    <x v="137"/>
    <x v="4"/>
    <n v="485246.875"/>
    <n v="0.94990664720535301"/>
    <n v="0"/>
    <n v="2.46346580271666"/>
    <n v="2.593376738613455"/>
    <n v="-1.3840608963463299E-2"/>
    <n v="-3.1709886938334E-3"/>
    <n v="6.2891200650482797E-3"/>
    <n v="-1.8061343923211098E-2"/>
    <n v="3.2224305905402002E-3"/>
    <b v="1"/>
    <b v="0"/>
    <b v="0"/>
    <b v="0"/>
  </r>
  <r>
    <x v="137"/>
    <x v="5"/>
    <n v="487565.5"/>
    <n v="0.95194697380065896"/>
    <n v="0"/>
    <n v="2.4524859968190298"/>
    <n v="2.5762842514509523"/>
    <n v="-4.4570563494420196E-3"/>
    <n v="-1.8061343923211098E-2"/>
    <n v="3.2224305905402002E-3"/>
    <n v="1.35506183803081E-2"/>
    <n v="1.8988824449479601E-2"/>
    <b v="1"/>
    <b v="0"/>
    <b v="0"/>
    <b v="0"/>
  </r>
  <r>
    <x v="137"/>
    <x v="6"/>
    <n v="490377.28125"/>
    <n v="0.95859771966934204"/>
    <n v="0"/>
    <n v="2.55557189258551"/>
    <n v="2.665948228488408"/>
    <n v="4.2033225021545002E-2"/>
    <n v="1.35506183803081E-2"/>
    <n v="1.89032256603241E-2"/>
    <n v="4.0481500923633597E-2"/>
    <n v="3.4354729577899E-2"/>
    <b v="0"/>
    <b v="0"/>
    <b v="0"/>
    <b v="0"/>
  </r>
  <r>
    <x v="137"/>
    <x v="7"/>
    <n v="494300.90625"/>
    <n v="0.95985460281372104"/>
    <n v="1E-3"/>
    <n v="2.4464540816326501"/>
    <n v="2.5487756942156721"/>
    <n v="-4.26980008934374E-2"/>
    <n v="4.0481500923633597E-2"/>
    <n v="3.4354729577899E-2"/>
    <n v="4.1003650814294801E-2"/>
    <n v="3.8995627313852199E-2"/>
    <b v="1"/>
    <b v="0"/>
    <b v="1"/>
    <b v="0"/>
  </r>
  <r>
    <x v="137"/>
    <x v="8"/>
    <n v="498074.5"/>
    <n v="0.95383667945861805"/>
    <n v="1.9E-2"/>
    <n v="2.4462199141116501"/>
    <n v="2.5646108676593187"/>
    <n v="-9.5717112680070805E-5"/>
    <n v="4.1003650814294801E-2"/>
    <n v="3.8995627313852199E-2"/>
    <n v="7.1853825986385303E-2"/>
    <n v="4.1590373963117599E-2"/>
    <b v="1"/>
    <b v="0"/>
    <b v="1"/>
    <b v="0"/>
  </r>
  <r>
    <x v="137"/>
    <x v="9"/>
    <n v="500027.09375"/>
    <n v="0.95514428615570102"/>
    <n v="1.2E-2"/>
    <n v="2.58820707005213"/>
    <n v="2.7097550679690903"/>
    <n v="5.8043496057482699E-2"/>
    <n v="7.1853825986385303E-2"/>
    <n v="4.1590373963117599E-2"/>
    <n v="3.0157216161489499E-2"/>
    <n v="1.7003659158945101E-2"/>
    <b v="0"/>
    <b v="0"/>
    <b v="0"/>
    <b v="0"/>
  </r>
  <r>
    <x v="137"/>
    <x v="10"/>
    <n v="501196.1875"/>
    <n v="0.95815163850784302"/>
    <n v="1.2E-2"/>
    <n v="2.5198342296390699"/>
    <n v="2.6298908527289897"/>
    <n v="-2.6417067322081801E-2"/>
    <n v="3.0157216161489499E-2"/>
    <n v="1.7003659158945101E-2"/>
    <n v="3.5282602250576001E-2"/>
    <n v="3.2493028789758703E-2"/>
    <b v="1"/>
    <b v="0"/>
    <b v="1"/>
    <b v="0"/>
  </r>
  <r>
    <x v="137"/>
    <x v="11"/>
    <n v="499565.40625"/>
    <n v="0.96868884563446001"/>
    <n v="-6.0000000000000001E-3"/>
    <n v="2.54558831543953"/>
    <n v="2.627869957325927"/>
    <n v="1.02205476445754E-2"/>
    <n v="3.5282602250576001E-2"/>
    <n v="3.2493028789758703E-2"/>
    <n v="-1.52488525733351E-2"/>
    <n v="-2.4383875541388898E-2"/>
    <b v="0"/>
    <b v="0"/>
    <b v="0"/>
    <b v="0"/>
  </r>
  <r>
    <x v="137"/>
    <x v="12"/>
    <n v="494401.875"/>
    <n v="0.95335543155670199"/>
    <n v="5.0000000000000001E-3"/>
    <n v="2.4766094450380902"/>
    <n v="2.5977818587492787"/>
    <n v="-2.7097417906528001E-2"/>
    <n v="-1.52488525733351E-2"/>
    <n v="-2.4383875541388898E-2"/>
    <n v="-4.4375535398721898E-3"/>
    <n v="-2.2238748148083701E-2"/>
    <b v="0"/>
    <b v="0"/>
    <b v="0"/>
    <b v="0"/>
  </r>
  <r>
    <x v="137"/>
    <x v="13"/>
    <n v="490070.1875"/>
    <n v="0.94364285469055198"/>
    <n v="0.02"/>
    <n v="2.5014518902765599"/>
    <n v="2.6508460037000532"/>
    <n v="1.0030828755919499E-2"/>
    <n v="-4.4375535398721898E-3"/>
    <n v="-2.2238748148083701E-2"/>
    <n v="6.7403839081526E-3"/>
    <n v="-1.2108806520700399E-2"/>
    <b v="0"/>
    <b v="1"/>
    <b v="0"/>
    <b v="1"/>
  </r>
  <r>
    <x v="137"/>
    <x v="14"/>
    <n v="487500.6875"/>
    <n v="0.94157886505126998"/>
    <n v="0.03"/>
    <n v="2.24972546467645"/>
    <n v="2.389311770027835"/>
    <n v="-0.10063212751706201"/>
    <n v="6.7403839081526E-3"/>
    <n v="-1.2108806520700399E-2"/>
    <n v="2.4649409830570099E-2"/>
    <n v="-1.8940202891826699E-2"/>
    <b v="0"/>
    <b v="0"/>
    <b v="1"/>
    <b v="0"/>
  </r>
  <r>
    <x v="137"/>
    <x v="15"/>
    <n v="484162.6875"/>
    <n v="0.97565901279449496"/>
    <n v="3.0000000000000001E-3"/>
    <n v="2.51701725192359"/>
    <n v="2.579812433356524"/>
    <n v="0.118810846676166"/>
    <n v="2.4649409830570099E-2"/>
    <n v="-1.8940202891826699E-2"/>
    <n v="-5.7976853027939798E-2"/>
    <n v="-2.58733462542294E-2"/>
    <b v="0"/>
    <b v="1"/>
    <b v="0"/>
    <b v="0"/>
  </r>
  <r>
    <x v="137"/>
    <x v="16"/>
    <n v="483302.625"/>
    <n v="0.95669639110565197"/>
    <n v="1.4E-2"/>
    <n v="2.3244602551521099"/>
    <n v="2.4296739036150603"/>
    <n v="-7.65020567993039E-2"/>
    <n v="-5.7976853027939798E-2"/>
    <n v="-2.5394642725586801E-2"/>
    <n v="-2.3259603217244101E-2"/>
    <n v="-3.7006754428147901E-3"/>
    <b v="0"/>
    <b v="0"/>
    <b v="0"/>
    <b v="0"/>
  </r>
  <r>
    <x v="138"/>
    <x v="0"/>
    <n v="686744.0625"/>
    <n v="0.90852278470992998"/>
    <n v="2.9000000000000001E-2"/>
    <n v="2.4057682545619699"/>
    <n v="2.6479999126605009"/>
    <n v="0.110501067123149"/>
    <n v="2.6140303939580799E-2"/>
    <n v="1.9777264446020099E-2"/>
    <n v="-7.4161653369664996E-3"/>
    <n v="-6.4944094046950002E-3"/>
    <b v="0"/>
    <b v="0"/>
    <b v="0"/>
    <b v="0"/>
  </r>
  <r>
    <x v="138"/>
    <x v="1"/>
    <n v="692782.6875"/>
    <n v="0.88404577970504805"/>
    <n v="1.7000000000000001E-2"/>
    <n v="2.2285055063273198"/>
    <n v="2.5208032858556666"/>
    <n v="-7.3682387278372202E-2"/>
    <n v="-7.4161653369664996E-3"/>
    <n v="-6.4944094046950002E-3"/>
    <n v="-5.03403947800398E-2"/>
    <n v="-2.08295905031263E-2"/>
    <b v="0"/>
    <b v="0"/>
    <b v="0"/>
    <b v="0"/>
  </r>
  <r>
    <x v="138"/>
    <x v="2"/>
    <n v="696480.75"/>
    <n v="0.89595907926559404"/>
    <n v="2E-3"/>
    <n v="2.2433080724876402"/>
    <n v="2.5038063951831937"/>
    <n v="6.6423736079151297E-3"/>
    <n v="-5.03403947800398E-2"/>
    <n v="-2.08295905031263E-2"/>
    <n v="-3.9012537062168097E-2"/>
    <n v="-1.24458353966474E-2"/>
    <b v="0"/>
    <b v="1"/>
    <b v="0"/>
    <b v="1"/>
  </r>
  <r>
    <x v="138"/>
    <x v="3"/>
    <n v="699263.4375"/>
    <n v="0.90063893795013406"/>
    <n v="1.0999999999999999E-2"/>
    <n v="2.28349835871495"/>
    <n v="2.5354204248732817"/>
    <n v="1.7915633933747899E-2"/>
    <n v="-3.9012537062168097E-2"/>
    <n v="-1.24458353966474E-2"/>
    <n v="-1.822425223887E-3"/>
    <n v="7.6376835349946798E-3"/>
    <b v="0"/>
    <b v="1"/>
    <b v="0"/>
    <b v="1"/>
  </r>
  <r>
    <x v="138"/>
    <x v="4"/>
    <n v="704182.9375"/>
    <n v="0.91767382621765103"/>
    <n v="0"/>
    <n v="2.2446696392379399"/>
    <n v="2.446043000365095"/>
    <n v="-1.7004049654261399E-2"/>
    <n v="-1.822425223887E-3"/>
    <n v="7.6376835349946798E-3"/>
    <n v="-1.8632424406707301E-2"/>
    <n v="2.6513501070439898E-3"/>
    <b v="1"/>
    <b v="0"/>
    <b v="0"/>
    <b v="0"/>
  </r>
  <r>
    <x v="138"/>
    <x v="5"/>
    <n v="709920.25"/>
    <n v="0.92357963323593095"/>
    <n v="0"/>
    <n v="2.3022958006460499"/>
    <n v="2.4927962005609992"/>
    <n v="2.5672446582240601E-2"/>
    <n v="-1.8632424406707301E-2"/>
    <n v="2.6513501070439898E-3"/>
    <n v="8.7240310013289904E-4"/>
    <n v="6.3106091693042998E-3"/>
    <b v="0"/>
    <b v="0"/>
    <b v="0"/>
    <b v="1"/>
  </r>
  <r>
    <x v="138"/>
    <x v="6"/>
    <n v="719144.3125"/>
    <n v="0.946253061294556"/>
    <n v="-3.0000000000000001E-3"/>
    <n v="2.2299532310433299"/>
    <n v="2.3566140203473278"/>
    <n v="-3.1421926575385797E-2"/>
    <n v="8.7240310013289904E-4"/>
    <n v="6.2250103801488E-3"/>
    <n v="1.48849418759346E-2"/>
    <n v="8.7581705301999994E-3"/>
    <b v="1"/>
    <b v="0"/>
    <b v="1"/>
    <b v="0"/>
  </r>
  <r>
    <x v="138"/>
    <x v="7"/>
    <n v="729906.9375"/>
    <n v="0.95631307363510099"/>
    <n v="0"/>
    <n v="2.3634331153999502"/>
    <n v="2.4714010302255494"/>
    <n v="5.98577057574287E-2"/>
    <n v="1.48849418759346E-2"/>
    <n v="8.7581705301999994E-3"/>
    <n v="2.08119664490223E-2"/>
    <n v="1.8803942948579799E-2"/>
    <b v="0"/>
    <b v="0"/>
    <b v="0"/>
    <b v="0"/>
  </r>
  <r>
    <x v="138"/>
    <x v="8"/>
    <n v="744946.6875"/>
    <n v="0.95402640104293801"/>
    <n v="2.3E-2"/>
    <n v="2.2559914013281102"/>
    <n v="2.3647054199567945"/>
    <n v="-4.5460018890215399E-2"/>
    <n v="2.08119664490223E-2"/>
    <n v="1.8803942948579799E-2"/>
    <n v="4.0788745671510702E-2"/>
    <n v="1.0525293648243001E-2"/>
    <b v="1"/>
    <b v="0"/>
    <b v="1"/>
    <b v="0"/>
  </r>
  <r>
    <x v="138"/>
    <x v="9"/>
    <n v="763556.375"/>
    <n v="0.94623684883117698"/>
    <n v="4.4999999999999998E-2"/>
    <n v="2.3283538718183201"/>
    <n v="2.4606459521148216"/>
    <n v="3.2075685416006798E-2"/>
    <n v="4.0788745671510702E-2"/>
    <n v="1.0525293648243001E-2"/>
    <n v="1.8302847519517001E-3"/>
    <n v="-1.13232722505927E-2"/>
    <b v="0"/>
    <b v="0"/>
    <b v="0"/>
    <b v="0"/>
  </r>
  <r>
    <x v="138"/>
    <x v="10"/>
    <n v="781765.375"/>
    <n v="0.92520773410797097"/>
    <n v="8.5999999999999993E-2"/>
    <n v="2.2553383637335802"/>
    <n v="2.4376561939444228"/>
    <n v="-3.1359283040476998E-2"/>
    <n v="1.8302847519517001E-3"/>
    <n v="-1.13232722505927E-2"/>
    <n v="6.8365537524223002E-3"/>
    <n v="4.0469802916050001E-3"/>
    <b v="0"/>
    <b v="0"/>
    <b v="1"/>
    <b v="0"/>
  </r>
  <r>
    <x v="138"/>
    <x v="11"/>
    <n v="796292.4375"/>
    <n v="0.94568789005279497"/>
    <n v="2.5000000000000001E-2"/>
    <n v="2.1892177338966099"/>
    <n v="2.314947412274035"/>
    <n v="-2.93173879805388E-2"/>
    <n v="6.8365537524223002E-3"/>
    <n v="4.0469802916050001E-3"/>
    <n v="1.03071557581424E-2"/>
    <n v="1.1721327900887E-3"/>
    <b v="1"/>
    <b v="0"/>
    <b v="1"/>
    <b v="0"/>
  </r>
  <r>
    <x v="138"/>
    <x v="12"/>
    <n v="810338.375"/>
    <n v="0.92959624528884899"/>
    <n v="6.4000000000000001E-2"/>
    <n v="2.2952413540843102"/>
    <n v="2.4690733915035561"/>
    <n v="4.8429911080150601E-2"/>
    <n v="1.03071557581424E-2"/>
    <n v="1.1721327900887E-3"/>
    <n v="8.9505232572556007E-3"/>
    <n v="-8.8506713509559007E-3"/>
    <b v="0"/>
    <b v="0"/>
    <b v="0"/>
    <b v="0"/>
  </r>
  <r>
    <x v="138"/>
    <x v="13"/>
    <n v="825770.625"/>
    <n v="0.89529067277908303"/>
    <n v="8.1000000000000003E-2"/>
    <n v="2.18800978270612"/>
    <n v="2.4439099492841709"/>
    <n v="-4.6719083022524102E-2"/>
    <n v="8.9505232572556007E-3"/>
    <n v="-8.8506713509559007E-3"/>
    <n v="4.7246628552675002E-3"/>
    <n v="-1.41245275735855E-2"/>
    <b v="0"/>
    <b v="0"/>
    <b v="1"/>
    <b v="0"/>
  </r>
  <r>
    <x v="138"/>
    <x v="14"/>
    <n v="844032.25"/>
    <n v="0.90556615591049205"/>
    <n v="7.8E-2"/>
    <n v="2.1432895488292401"/>
    <n v="2.3667951091594097"/>
    <n v="-2.0438772363061099E-2"/>
    <n v="4.7246628552675002E-3"/>
    <n v="-1.41245275735855E-2"/>
    <n v="0.19524738776683701"/>
    <n v="0.151657775044441"/>
    <b v="0"/>
    <b v="0"/>
    <b v="1"/>
    <b v="0"/>
  </r>
  <r>
    <x v="138"/>
    <x v="15"/>
    <n v="870399.75"/>
    <n v="0.96879106760025002"/>
    <n v="5.6000000000000001E-2"/>
    <n v="2.1063918548668901"/>
    <n v="2.1742478077182743"/>
    <n v="-1.7215449952852999E-2"/>
    <n v="0.19524738776683701"/>
    <n v="0.151657775044441"/>
    <n v="-5.47410509735346E-2"/>
    <n v="-2.2637544199824298E-2"/>
    <b v="1"/>
    <b v="0"/>
    <b v="1"/>
    <b v="0"/>
  </r>
  <r>
    <x v="138"/>
    <x v="16"/>
    <n v="900046.375"/>
    <n v="0.938318312168121"/>
    <n v="4.1000000000000002E-2"/>
    <n v="2.20633310681285"/>
    <n v="2.3513695493321412"/>
    <n v="4.7446657047709999E-2"/>
    <n v="-5.47410509735346E-2"/>
    <n v="-2.21588406711817E-2"/>
    <n v="-7.2098073348403E-2"/>
    <n v="-5.2539145573973697E-2"/>
    <b v="0"/>
    <b v="1"/>
    <b v="0"/>
    <b v="1"/>
  </r>
  <r>
    <x v="139"/>
    <x v="0"/>
    <n v="558196"/>
    <n v="0.94898718595504805"/>
    <n v="1.4E-2"/>
    <n v="2.0040043633752598"/>
    <n v="2.1117296345350085"/>
    <n v="-2.57484750868157E-2"/>
    <n v="-1.6486014872788999E-3"/>
    <n v="-8.0116409808396894E-3"/>
    <n v="1.3369648754596899E-3"/>
    <n v="2.2587208077311902E-3"/>
    <b v="0"/>
    <b v="0"/>
    <b v="0"/>
    <b v="0"/>
  </r>
  <r>
    <x v="139"/>
    <x v="1"/>
    <n v="560407.3125"/>
    <n v="0.94663828611373901"/>
    <n v="0"/>
    <n v="2.1450897163804701"/>
    <n v="2.2660077749303462"/>
    <n v="7.0401719469106297E-2"/>
    <n v="1.3369648754596899E-3"/>
    <n v="2.2587208077311902E-3"/>
    <n v="-3.1756611831486203E-2"/>
    <n v="-2.2458075545728198E-3"/>
    <b v="0"/>
    <b v="0"/>
    <b v="0"/>
    <b v="0"/>
  </r>
  <r>
    <x v="139"/>
    <x v="2"/>
    <n v="561918.0625"/>
    <n v="0.93822556734085105"/>
    <n v="1E-3"/>
    <n v="2.0931204484596702"/>
    <n v="2.2309352050510189"/>
    <n v="-2.4227083615175699E-2"/>
    <n v="-3.1756611831486203E-2"/>
    <n v="-2.2458075545728198E-3"/>
    <n v="-2.0776604026556001E-2"/>
    <n v="5.79009763896464E-3"/>
    <b v="0"/>
    <b v="0"/>
    <b v="0"/>
    <b v="0"/>
  </r>
  <r>
    <x v="139"/>
    <x v="3"/>
    <n v="563274.625"/>
    <n v="0.94642442464828502"/>
    <n v="2E-3"/>
    <n v="2.12121175268764"/>
    <n v="2.24129016268355"/>
    <n v="1.34207776951633E-2"/>
    <n v="-2.0776604026556001E-2"/>
    <n v="5.79009763896464E-3"/>
    <n v="-1.14079675078389E-3"/>
    <n v="8.31931200809778E-3"/>
    <b v="0"/>
    <b v="0"/>
    <b v="0"/>
    <b v="1"/>
  </r>
  <r>
    <x v="139"/>
    <x v="4"/>
    <n v="564540.5"/>
    <n v="0.95769798755645796"/>
    <n v="1E-3"/>
    <n v="2.0879119485690301"/>
    <n v="2.180136092690645"/>
    <n v="-1.5698481811831901E-2"/>
    <n v="-1.14079675078389E-3"/>
    <n v="8.31931200809778E-3"/>
    <n v="-1.89324592873454E-2"/>
    <n v="2.3513152264058898E-3"/>
    <b v="1"/>
    <b v="0"/>
    <b v="0"/>
    <b v="0"/>
  </r>
  <r>
    <x v="139"/>
    <x v="5"/>
    <n v="565941.3125"/>
    <n v="0.96146881580352805"/>
    <n v="0"/>
    <n v="2.1661703613837702"/>
    <n v="2.2529803627312002"/>
    <n v="3.7481663375876502E-2"/>
    <n v="-1.89324592873454E-2"/>
    <n v="2.3513152264058898E-3"/>
    <n v="-6.4766046628356002E-3"/>
    <n v="-1.0383985936642001E-3"/>
    <b v="0"/>
    <b v="0"/>
    <b v="0"/>
    <b v="1"/>
  </r>
  <r>
    <x v="139"/>
    <x v="6"/>
    <n v="566960.5625"/>
    <n v="0.95655727386474598"/>
    <n v="0"/>
    <n v="1.9953719789306901"/>
    <n v="2.0859932107032715"/>
    <n v="-7.8848083926314094E-2"/>
    <n v="-6.4766046628356002E-3"/>
    <n v="-1.1239973828196901E-3"/>
    <n v="9.3721865117550006E-3"/>
    <n v="3.2454151660203999E-3"/>
    <b v="0"/>
    <b v="0"/>
    <b v="0"/>
    <b v="0"/>
  </r>
  <r>
    <x v="139"/>
    <x v="7"/>
    <n v="566364.0625"/>
    <n v="0.95672148466110196"/>
    <n v="2E-3"/>
    <n v="2.0973274459679199"/>
    <n v="2.1922027252381118"/>
    <n v="5.1095970131782402E-2"/>
    <n v="9.3721865117550006E-3"/>
    <n v="3.2454151660203999E-3"/>
    <n v="2.7514964491128901E-3"/>
    <n v="7.4347294867039703E-4"/>
    <b v="0"/>
    <b v="0"/>
    <b v="0"/>
    <b v="0"/>
  </r>
  <r>
    <x v="139"/>
    <x v="8"/>
    <n v="566292.5"/>
    <n v="0.95759797096252397"/>
    <n v="3.0000000000000001E-3"/>
    <n v="2.1474542080206498"/>
    <n v="2.2425425628900912"/>
    <n v="2.3900303287927398E-2"/>
    <n v="2.7514964491128901E-3"/>
    <n v="7.4347294867039703E-4"/>
    <n v="3.5845572292804599E-2"/>
    <n v="5.5821202695369998E-3"/>
    <b v="0"/>
    <b v="0"/>
    <b v="0"/>
    <b v="0"/>
  </r>
  <r>
    <x v="139"/>
    <x v="9"/>
    <n v="565385"/>
    <n v="0.951022088527679"/>
    <n v="1.0999999999999999E-2"/>
    <n v="2.2133017215997999"/>
    <n v="2.3272873977368014"/>
    <n v="3.0663058300943902E-2"/>
    <n v="3.5845572292804599E-2"/>
    <n v="5.5821202695369998E-3"/>
    <n v="1.55377278923988E-2"/>
    <n v="2.3841708898543999E-3"/>
    <b v="0"/>
    <b v="0"/>
    <b v="0"/>
    <b v="0"/>
  </r>
  <r>
    <x v="139"/>
    <x v="10"/>
    <n v="565304.0625"/>
    <n v="0.95921057462692305"/>
    <n v="4.0000000000000001E-3"/>
    <n v="2.1264311343368001"/>
    <n v="2.2168553919079321"/>
    <n v="-3.9249319880440003E-2"/>
    <n v="1.55377278923988E-2"/>
    <n v="2.3841708898543999E-3"/>
    <n v="1.9947198867797899E-2"/>
    <n v="1.7157625406980601E-2"/>
    <b v="1"/>
    <b v="0"/>
    <b v="1"/>
    <b v="0"/>
  </r>
  <r>
    <x v="139"/>
    <x v="11"/>
    <n v="566719.8125"/>
    <n v="0.95508903264999401"/>
    <n v="0"/>
    <n v="2.2273737330293999"/>
    <n v="2.3321110984274624"/>
    <n v="4.7470429238275699E-2"/>
    <n v="1.9947198867797899E-2"/>
    <n v="1.7157625406980601E-2"/>
    <n v="-1.5187149643898E-3"/>
    <n v="-1.0653737932443501E-2"/>
    <b v="0"/>
    <b v="0"/>
    <b v="0"/>
    <b v="0"/>
  </r>
  <r>
    <x v="139"/>
    <x v="12"/>
    <n v="567353.8125"/>
    <n v="0.95337939262390103"/>
    <n v="3.0000000000000001E-3"/>
    <n v="2.1663064016325202"/>
    <n v="2.2722395914918914"/>
    <n v="-2.7416742188935601E-2"/>
    <n v="-1.5187149643898E-3"/>
    <n v="-1.0653737932443501E-2"/>
    <n v="-1.01178403198719E-3"/>
    <n v="-1.8812978640198701E-2"/>
    <b v="0"/>
    <b v="0"/>
    <b v="0"/>
    <b v="0"/>
  </r>
  <r>
    <x v="139"/>
    <x v="13"/>
    <n v="567434.0625"/>
    <n v="0.94223821163177501"/>
    <n v="1.4E-2"/>
    <n v="2.2272246217213398"/>
    <n v="2.3637596037038406"/>
    <n v="2.8120777394605299E-2"/>
    <n v="-1.01178403198719E-3"/>
    <n v="-1.8812978640198701E-2"/>
    <n v="6.1388993740081797E-2"/>
    <n v="4.2539803311228801E-2"/>
    <b v="0"/>
    <b v="1"/>
    <b v="0"/>
    <b v="1"/>
  </r>
  <r>
    <x v="139"/>
    <x v="14"/>
    <n v="567122.9375"/>
    <n v="0.97476041316986095"/>
    <n v="1.4999999999999999E-2"/>
    <n v="2.2086051140713501"/>
    <n v="2.2657927878801543"/>
    <n v="-8.3599595067354506E-3"/>
    <n v="6.1388993740081797E-2"/>
    <n v="4.2539803311228801E-2"/>
    <n v="4.8404937863349901E-2"/>
    <n v="4.8153251409529902E-3"/>
    <b v="1"/>
    <b v="0"/>
    <b v="1"/>
    <b v="0"/>
  </r>
  <r>
    <x v="139"/>
    <x v="15"/>
    <n v="568172.3125"/>
    <n v="0.97670614719390902"/>
    <n v="8.0000000000000002E-3"/>
    <n v="2.1274509803921502"/>
    <n v="2.1781894037468157"/>
    <n v="-3.6744519498823E-2"/>
    <n v="4.8404937863349901E-2"/>
    <n v="4.8153251409529902E-3"/>
    <n v="-6.1411058455705603E-2"/>
    <n v="-2.9307551681995302E-2"/>
    <b v="1"/>
    <b v="0"/>
    <b v="1"/>
    <b v="0"/>
  </r>
  <r>
    <x v="139"/>
    <x v="16"/>
    <n v="569251.5"/>
    <n v="0.959766685962677"/>
    <n v="4.0000000000000001E-3"/>
    <n v="2.15906464550336"/>
    <n v="2.2495723982519236"/>
    <n v="1.48598794531945E-2"/>
    <n v="-6.1411058455705603E-2"/>
    <n v="-2.8828848153352699E-2"/>
    <n v="1.10599037408829E-2"/>
    <n v="3.0618831515312198E-2"/>
    <b v="0"/>
    <b v="1"/>
    <b v="0"/>
    <b v="1"/>
  </r>
  <r>
    <x v="140"/>
    <x v="0"/>
    <n v="3268743"/>
    <n v="0.94816577434539795"/>
    <n v="1.4E-2"/>
    <n v="2.0925911103434598"/>
    <n v="2.2069886584844922"/>
    <n v="-1.0792100541984E-2"/>
    <n v="2.7914704412221901E-2"/>
    <n v="2.15516649186611E-2"/>
    <n v="3.84768760800362E-2"/>
    <n v="3.9398632012307699E-2"/>
    <b v="1"/>
    <b v="0"/>
    <b v="1"/>
    <b v="0"/>
  </r>
  <r>
    <x v="140"/>
    <x v="1"/>
    <n v="3317089"/>
    <n v="0.949135601520538"/>
    <n v="6.0000000000000001E-3"/>
    <n v="2.1260695207138598"/>
    <n v="2.2400060827007704"/>
    <n v="1.5998543721665402E-2"/>
    <n v="3.84768760800362E-2"/>
    <n v="3.9398632012307699E-2"/>
    <n v="-1.17963546067475E-2"/>
    <n v="1.7714449670165801E-2"/>
    <b v="0"/>
    <b v="0"/>
    <b v="0"/>
    <b v="0"/>
  </r>
  <r>
    <x v="140"/>
    <x v="2"/>
    <n v="3370124"/>
    <n v="0.93562626838684104"/>
    <n v="1.2999999999999999E-2"/>
    <n v="2.1463169828801698"/>
    <n v="2.293989657409619"/>
    <n v="9.5234243137631396E-3"/>
    <n v="-1.17963546067475E-2"/>
    <n v="1.7714449670165801E-2"/>
    <n v="-7.9571456372737895E-2"/>
    <n v="-5.3004754707217203E-2"/>
    <b v="0"/>
    <b v="0"/>
    <b v="0"/>
    <b v="1"/>
  </r>
  <r>
    <x v="140"/>
    <x v="3"/>
    <n v="3423713"/>
    <n v="0.92712789773940996"/>
    <n v="1.9E-2"/>
    <n v="2.1897788004318901"/>
    <n v="2.3618950586765499"/>
    <n v="2.0249486864420699E-2"/>
    <n v="-7.9571456372737895E-2"/>
    <n v="-5.3004754707217203E-2"/>
    <n v="1.01062886565924E-2"/>
    <n v="1.9566397415474002E-2"/>
    <b v="0"/>
    <b v="1"/>
    <b v="0"/>
    <b v="1"/>
  </r>
  <r>
    <x v="140"/>
    <x v="4"/>
    <n v="3463686"/>
    <n v="0.93441075086593595"/>
    <n v="1.2999999999999999E-2"/>
    <n v="2.1910028275212001"/>
    <n v="2.3447962531368103"/>
    <n v="5.5897293784749197E-4"/>
    <n v="1.01062886565924E-2"/>
    <n v="1.9566397415474002E-2"/>
    <n v="-1.03663880079985E-2"/>
    <n v="1.09173865057527E-2"/>
    <b v="0"/>
    <b v="0"/>
    <b v="0"/>
    <b v="0"/>
  </r>
  <r>
    <x v="140"/>
    <x v="5"/>
    <n v="3519204"/>
    <n v="0.935205578804016"/>
    <n v="5.0000000000000001E-3"/>
    <n v="2.2368098001904602"/>
    <n v="2.3917840642599626"/>
    <n v="2.09068523754882E-2"/>
    <n v="-1.03663880079985E-2"/>
    <n v="1.09173865057527E-2"/>
    <n v="7.5653676837682902E-3"/>
    <n v="1.3003573752939699E-2"/>
    <b v="0"/>
    <b v="0"/>
    <b v="0"/>
    <b v="1"/>
  </r>
  <r>
    <x v="140"/>
    <x v="6"/>
    <n v="3575419"/>
    <n v="0.93898940086364702"/>
    <n v="1.6E-2"/>
    <n v="2.21624743764563"/>
    <n v="2.3602475550918989"/>
    <n v="-9.1927183719798192E-3"/>
    <n v="7.5653676837682902E-3"/>
    <n v="1.29179749637842E-2"/>
    <n v="1.9203454852104201E-2"/>
    <n v="1.3076683506369599E-2"/>
    <b v="1"/>
    <b v="0"/>
    <b v="1"/>
    <b v="0"/>
  </r>
  <r>
    <x v="140"/>
    <x v="7"/>
    <n v="3631917"/>
    <n v="0.94386082887649503"/>
    <n v="2.5000000000000001E-2"/>
    <n v="2.2886195421575799"/>
    <n v="2.4247425808334375"/>
    <n v="3.2655245656519401E-2"/>
    <n v="1.9203454852104201E-2"/>
    <n v="1.3076683506369599E-2"/>
    <n v="1.29264116436242E-2"/>
    <n v="1.09183881431817E-2"/>
    <b v="0"/>
    <b v="0"/>
    <b v="0"/>
    <b v="0"/>
  </r>
  <r>
    <x v="140"/>
    <x v="8"/>
    <n v="3696714"/>
    <n v="0.93678915500640902"/>
    <n v="3.7999999999999999E-2"/>
    <n v="2.2338787750407398"/>
    <n v="2.3846121222714802"/>
    <n v="-2.3918683777921099E-2"/>
    <n v="1.29264116436242E-2"/>
    <n v="1.09183881431817E-2"/>
    <n v="6.2517726957798003E-2"/>
    <n v="3.22542749345303E-2"/>
    <b v="1"/>
    <b v="0"/>
    <b v="1"/>
    <b v="0"/>
  </r>
  <r>
    <x v="140"/>
    <x v="9"/>
    <n v="3765469"/>
    <n v="0.93954551219940197"/>
    <n v="3.7999999999999999E-2"/>
    <n v="2.28242804372724"/>
    <n v="2.4292894959226148"/>
    <n v="2.1733170675569999E-2"/>
    <n v="6.2517726957798003E-2"/>
    <n v="3.22542749345303E-2"/>
    <n v="3.0733868747949599E-2"/>
    <n v="1.7580311745405201E-2"/>
    <b v="0"/>
    <b v="0"/>
    <b v="0"/>
    <b v="0"/>
  </r>
  <r>
    <x v="140"/>
    <x v="10"/>
    <n v="3842287"/>
    <n v="0.94176477193832397"/>
    <n v="3.4000000000000002E-2"/>
    <n v="2.2599109075139099"/>
    <n v="2.3996553861986154"/>
    <n v="-9.8654309279137004E-3"/>
    <n v="3.0733868747949599E-2"/>
    <n v="1.7580311745405201E-2"/>
    <n v="5.20599791407589E-3"/>
    <n v="2.4164244532585998E-3"/>
    <b v="1"/>
    <b v="0"/>
    <b v="1"/>
    <b v="0"/>
  </r>
  <r>
    <x v="140"/>
    <x v="11"/>
    <n v="3906911"/>
    <n v="0.93624937534332298"/>
    <n v="3.1E-2"/>
    <n v="2.24691547490555"/>
    <n v="2.3999113207222225"/>
    <n v="-5.7504181094701796E-3"/>
    <n v="5.20599791407589E-3"/>
    <n v="2.4164244532585998E-3"/>
    <n v="8.2188511490821903E-3"/>
    <n v="-9.16171818971599E-4"/>
    <b v="1"/>
    <b v="0"/>
    <b v="1"/>
    <b v="0"/>
  </r>
  <r>
    <x v="140"/>
    <x v="12"/>
    <n v="3954196"/>
    <n v="0.93571639060974099"/>
    <n v="3.3000000000000002E-2"/>
    <n v="2.2752889762564199"/>
    <n v="2.431601069608039"/>
    <n v="1.26277564366597E-2"/>
    <n v="8.2188511490821903E-3"/>
    <n v="-9.16171818971599E-4"/>
    <n v="2.97545671164989E-2"/>
    <n v="1.19533725082873E-2"/>
    <b v="0"/>
    <b v="1"/>
    <b v="0"/>
    <b v="0"/>
  </r>
  <r>
    <x v="140"/>
    <x v="13"/>
    <n v="3996570"/>
    <n v="0.93953669071197499"/>
    <n v="3.5999999999999997E-2"/>
    <n v="2.2104083812904101"/>
    <n v="2.3526578612011164"/>
    <n v="-2.8515320754010001E-2"/>
    <n v="2.97545671164989E-2"/>
    <n v="1.19533725082873E-2"/>
    <n v="-3.2613824948668498E-2"/>
    <n v="-5.1463015377521501E-2"/>
    <b v="1"/>
    <b v="0"/>
    <b v="1"/>
    <b v="0"/>
  </r>
  <r>
    <x v="140"/>
    <x v="14"/>
    <n v="4025161"/>
    <n v="0.92797535657882702"/>
    <n v="2.3E-2"/>
    <n v="2.1727631658672402"/>
    <n v="2.3414017952778194"/>
    <n v="-1.70308870260386E-2"/>
    <n v="-3.2613824948668498E-2"/>
    <n v="-5.1463015377521501E-2"/>
    <n v="5.3791238248348E-2"/>
    <n v="1.0201625525951E-2"/>
    <b v="0"/>
    <b v="0"/>
    <b v="0"/>
    <b v="0"/>
  </r>
  <r>
    <x v="140"/>
    <x v="15"/>
    <n v="4022038"/>
    <n v="0.94576162099838301"/>
    <n v="3.1E-2"/>
    <n v="2.1725153836045501"/>
    <n v="2.2971067289780249"/>
    <n v="-1.14040161662201E-4"/>
    <n v="5.3791238248348E-2"/>
    <n v="1.0201625525951E-2"/>
    <n v="-5.4269853904843297E-2"/>
    <n v="-2.2166347131133E-2"/>
    <b v="1"/>
    <b v="0"/>
    <b v="1"/>
    <b v="0"/>
  </r>
  <r>
    <x v="140"/>
    <x v="16"/>
    <n v="4049034"/>
    <n v="0.93437194824218806"/>
    <n v="3.1E-2"/>
    <n v="2.1197844593258801"/>
    <n v="2.2686730517903291"/>
    <n v="-2.4271830099164001E-2"/>
    <n v="-5.4269853904843297E-2"/>
    <n v="-2.1687643602490401E-2"/>
    <n v="-2.8300872802734401E-2"/>
    <n v="-8.7419450283050901E-3"/>
    <b v="0"/>
    <b v="0"/>
    <b v="0"/>
    <b v="0"/>
  </r>
  <r>
    <x v="141"/>
    <x v="0"/>
    <n v="430988.71875"/>
    <n v="0.92538404464721702"/>
    <n v="2.8000000000000001E-2"/>
    <n v="2.2811499175652301"/>
    <n v="2.4650845567959516"/>
    <n v="-7.8485509910710904E-2"/>
    <n v="2.92070001661777E-2"/>
    <n v="2.28439606726169E-2"/>
    <n v="-1.9795288294554001E-3"/>
    <n v="-1.0577728971839001E-3"/>
    <b v="1"/>
    <b v="0"/>
    <b v="1"/>
    <b v="0"/>
  </r>
  <r>
    <x v="141"/>
    <x v="1"/>
    <n v="432020.90625"/>
    <n v="0.90903627872466997"/>
    <n v="1.7999999999999999E-2"/>
    <n v="2.4735948142884299"/>
    <n v="2.7211178169464842"/>
    <n v="8.4363107940141305E-2"/>
    <n v="-1.9795288294554001E-3"/>
    <n v="-1.0577728971839001E-3"/>
    <n v="-5.1798431493341901E-2"/>
    <n v="-2.22876272164284E-2"/>
    <b v="0"/>
    <b v="1"/>
    <b v="0"/>
    <b v="1"/>
  </r>
  <r>
    <x v="141"/>
    <x v="2"/>
    <n v="434217.71875"/>
    <n v="0.90287524461746205"/>
    <n v="4.0000000000000001E-3"/>
    <n v="2.2739866780045301"/>
    <n v="2.5186056341238952"/>
    <n v="-8.0695567087579995E-2"/>
    <n v="-5.1798431493341901E-2"/>
    <n v="-2.22876272164284E-2"/>
    <n v="-2.79005139172076E-2"/>
    <n v="-1.3338122516870401E-3"/>
    <b v="0"/>
    <b v="0"/>
    <b v="0"/>
    <b v="0"/>
  </r>
  <r>
    <x v="141"/>
    <x v="3"/>
    <n v="437294.71875"/>
    <n v="0.90930372476577803"/>
    <n v="3.3000000000000002E-2"/>
    <n v="2.1048866463920302"/>
    <n v="2.3148334149122891"/>
    <n v="-7.4362806628614705E-2"/>
    <n v="-2.79005139172076E-2"/>
    <n v="-1.3338122516870401E-3"/>
    <n v="-8.3153356648981592E-3"/>
    <n v="1.1447730939835199E-3"/>
    <b v="0"/>
    <b v="0"/>
    <b v="0"/>
    <b v="0"/>
  </r>
  <r>
    <x v="141"/>
    <x v="4"/>
    <n v="442143"/>
    <n v="0.92001223564147905"/>
    <n v="0"/>
    <n v="2.35478940217391"/>
    <n v="2.5595196574011125"/>
    <n v="0.11872504213480101"/>
    <n v="-8.3153356648981592E-3"/>
    <n v="1.1447730939835199E-3"/>
    <n v="-2.14213937222958E-2"/>
    <n v="-1.3761920854449901E-4"/>
    <b v="0"/>
    <b v="0"/>
    <b v="0"/>
    <b v="1"/>
  </r>
  <r>
    <x v="141"/>
    <x v="5"/>
    <n v="445844.09375"/>
    <n v="0.91883939504623402"/>
    <n v="0"/>
    <n v="2.2435823503713399"/>
    <n v="2.4417568102404315"/>
    <n v="-4.7225901263147699E-2"/>
    <n v="-2.14213937222958E-2"/>
    <n v="-1.3761920854449901E-4"/>
    <n v="-1.25652135387063E-2"/>
    <n v="-7.1270074695349E-3"/>
    <b v="0"/>
    <b v="0"/>
    <b v="0"/>
    <b v="0"/>
  </r>
  <r>
    <x v="141"/>
    <x v="6"/>
    <n v="447894.40625"/>
    <n v="0.91057544946670499"/>
    <n v="0"/>
    <n v="2.2542389769990798"/>
    <n v="2.4756202007415373"/>
    <n v="4.7498263774367099E-3"/>
    <n v="-1.25652135387063E-2"/>
    <n v="-7.2126062586903902E-3"/>
    <n v="-4.1324865072969898E-4"/>
    <n v="-6.5400199964642898E-3"/>
    <b v="0"/>
    <b v="1"/>
    <b v="0"/>
    <b v="1"/>
  </r>
  <r>
    <x v="141"/>
    <x v="7"/>
    <n v="446147.71875"/>
    <n v="0.90498006343841597"/>
    <n v="2.1000000000000001E-2"/>
    <n v="2.3125238839673399"/>
    <n v="2.5553313021958162"/>
    <n v="2.5855691239022201E-2"/>
    <n v="-4.1324865072969898E-4"/>
    <n v="-6.5400199964642898E-3"/>
    <n v="-1.1576614513993199E-2"/>
    <n v="-1.35846380144357E-2"/>
    <b v="0"/>
    <b v="1"/>
    <b v="0"/>
    <b v="1"/>
  </r>
  <r>
    <x v="141"/>
    <x v="8"/>
    <n v="444382.59375"/>
    <n v="0.90604323148727395"/>
    <n v="0.01"/>
    <n v="2.40210224249947"/>
    <n v="2.6512004714790582"/>
    <n v="3.8736187398182499E-2"/>
    <n v="-1.1576614513993199E-2"/>
    <n v="-1.35846380144357E-2"/>
    <n v="8.9439835175871805E-3"/>
    <n v="-2.1319468505680499E-2"/>
    <b v="0"/>
    <b v="1"/>
    <b v="0"/>
    <b v="1"/>
  </r>
  <r>
    <x v="141"/>
    <x v="9"/>
    <n v="443112.90625"/>
    <n v="0.90293586254119895"/>
    <n v="1.4E-2"/>
    <n v="2.3519389701207798"/>
    <n v="2.6047685862222201"/>
    <n v="-2.0883071291124999E-2"/>
    <n v="8.9439835175871805E-3"/>
    <n v="-2.1319468505680499E-2"/>
    <n v="-5.1240275725722203E-3"/>
    <n v="-1.82775845751166E-2"/>
    <b v="0"/>
    <b v="0"/>
    <b v="1"/>
    <b v="0"/>
  </r>
  <r>
    <x v="141"/>
    <x v="10"/>
    <n v="440690.5"/>
    <n v="0.89193284511566195"/>
    <n v="3.0000000000000001E-3"/>
    <n v="2.1646195864221598"/>
    <n v="2.4268862821633856"/>
    <n v="-7.9644661735847E-2"/>
    <n v="-5.1240275725722203E-3"/>
    <n v="-1.82775845751166E-2"/>
    <n v="-3.0732083171605999E-3"/>
    <n v="-5.8627817779778896E-3"/>
    <b v="0"/>
    <b v="0"/>
    <b v="0"/>
    <b v="0"/>
  </r>
  <r>
    <x v="141"/>
    <x v="11"/>
    <n v="438111.59375"/>
    <n v="0.89362281560897805"/>
    <n v="-1E-3"/>
    <n v="2.2333245082618198"/>
    <n v="2.4991802685116919"/>
    <n v="3.1739952031582197E-2"/>
    <n v="-3.0732083171605999E-3"/>
    <n v="-5.8627817779778896E-3"/>
    <n v="-1.3124195635319E-3"/>
    <n v="-1.04474425315856E-2"/>
    <b v="0"/>
    <b v="1"/>
    <b v="0"/>
    <b v="1"/>
  </r>
  <r>
    <x v="141"/>
    <x v="12"/>
    <n v="434805.5"/>
    <n v="0.89039146900177002"/>
    <n v="0"/>
    <n v="2.2005676442762501"/>
    <n v="2.471460835921234"/>
    <n v="-1.4667310489090099E-2"/>
    <n v="-1.3124195635319E-3"/>
    <n v="-1.04474425315856E-2"/>
    <n v="-5.2205178141589905E-4"/>
    <n v="-1.8323246389627401E-2"/>
    <b v="0"/>
    <b v="0"/>
    <b v="0"/>
    <b v="0"/>
  </r>
  <r>
    <x v="141"/>
    <x v="13"/>
    <n v="431829.71875"/>
    <n v="0.88040810823440596"/>
    <n v="3.0000000000000001E-3"/>
    <n v="2.2645217360458298"/>
    <n v="2.5721273064910344"/>
    <n v="2.9062542992451999E-2"/>
    <n v="-5.2205178141589905E-4"/>
    <n v="-1.8323246389627401E-2"/>
    <n v="3.6044767230749099E-2"/>
    <n v="1.7195576801896099E-2"/>
    <b v="0"/>
    <b v="1"/>
    <b v="0"/>
    <b v="1"/>
  </r>
  <r>
    <x v="141"/>
    <x v="14"/>
    <n v="428277"/>
    <n v="0.90696525573730502"/>
    <n v="0"/>
    <n v="2.1007471758051102"/>
    <n v="2.3162377638130542"/>
    <n v="-7.2321920180234395E-2"/>
    <n v="3.6044767230749099E-2"/>
    <n v="1.7195576801896099E-2"/>
    <n v="3.3935746431350597E-2"/>
    <n v="-9.6538662910462102E-3"/>
    <b v="1"/>
    <b v="0"/>
    <b v="1"/>
    <b v="0"/>
  </r>
  <r>
    <x v="141"/>
    <x v="15"/>
    <n v="423844.90625"/>
    <n v="0.91404891014099099"/>
    <n v="-7.0000000000000001E-3"/>
    <n v="2.2037999871622"/>
    <n v="2.4110307038408552"/>
    <n v="4.9055313530335397E-2"/>
    <n v="3.3935746431350597E-2"/>
    <n v="-9.6538662910462102E-3"/>
    <n v="-3.9473572671413402E-2"/>
    <n v="-7.3700658977030997E-3"/>
    <b v="0"/>
    <b v="1"/>
    <b v="0"/>
    <b v="0"/>
  </r>
  <r>
    <x v="141"/>
    <x v="16"/>
    <n v="420498.40625"/>
    <n v="0.86465358734130904"/>
    <n v="1.2E-2"/>
    <n v="2.11406996504954"/>
    <n v="2.4449906829739927"/>
    <n v="-4.0716046208988797E-2"/>
    <n v="-3.9473572671413402E-2"/>
    <n v="-6.8913623690604999E-3"/>
    <n v="-1.3442023456096601E-2"/>
    <n v="6.1169043183326999E-3"/>
    <b v="0"/>
    <b v="0"/>
    <b v="0"/>
    <b v="0"/>
  </r>
  <r>
    <x v="142"/>
    <x v="0"/>
    <n v="504903.8125"/>
    <n v="0.94005113840103105"/>
    <n v="2.9000000000000001E-2"/>
    <n v="2.0701604699241898"/>
    <n v="2.2021785681206714"/>
    <n v="-1.18114449158922E-2"/>
    <n v="2.89113126993178E-2"/>
    <n v="2.2548273205757099E-2"/>
    <n v="2.3756424993276602E-2"/>
    <n v="2.4678180925548101E-2"/>
    <b v="1"/>
    <b v="0"/>
    <b v="1"/>
    <b v="0"/>
  </r>
  <r>
    <x v="142"/>
    <x v="1"/>
    <n v="513685.90625"/>
    <n v="0.94819056987762496"/>
    <n v="4.0000000000000001E-3"/>
    <n v="2.13514923305133"/>
    <n v="2.2518144567994343"/>
    <n v="3.1393104095701001E-2"/>
    <n v="2.3756424993276602E-2"/>
    <n v="2.4678180925548101E-2"/>
    <n v="-2.9440692916512402E-2"/>
    <n v="7.0111360400915105E-5"/>
    <b v="0"/>
    <b v="0"/>
    <b v="0"/>
    <b v="0"/>
  </r>
  <r>
    <x v="142"/>
    <x v="2"/>
    <n v="520213.0625"/>
    <n v="0.94327026605606101"/>
    <n v="3.4000000000000002E-2"/>
    <n v="2.1722037314116398"/>
    <n v="2.3028434263001989"/>
    <n v="1.7354523883729E-2"/>
    <n v="-2.9440692916512402E-2"/>
    <n v="7.0111360400915105E-5"/>
    <n v="-6.5994248449802395E-2"/>
    <n v="-3.9427546784281703E-2"/>
    <b v="0"/>
    <b v="0"/>
    <b v="0"/>
    <b v="1"/>
  </r>
  <r>
    <x v="142"/>
    <x v="3"/>
    <n v="525860.125"/>
    <n v="0.91906511783599898"/>
    <n v="5.0999999999999997E-2"/>
    <n v="2.2493559384786201"/>
    <n v="2.4474391366031614"/>
    <n v="3.5517942424692098E-2"/>
    <n v="-6.5994248449802395E-2"/>
    <n v="-3.9427546784281703E-2"/>
    <n v="-6.3707029297947904E-3"/>
    <n v="3.0894058290868902E-3"/>
    <b v="0"/>
    <b v="1"/>
    <b v="0"/>
    <b v="1"/>
  </r>
  <r>
    <x v="142"/>
    <x v="4"/>
    <n v="529501.5625"/>
    <n v="0.93579506874084495"/>
    <n v="2E-3"/>
    <n v="2.2743141419137101"/>
    <n v="2.4303549119722372"/>
    <n v="1.10957110024862E-2"/>
    <n v="-6.3707029297947904E-3"/>
    <n v="3.0894058290868902E-3"/>
    <n v="-2.08984598219395E-2"/>
    <n v="3.853146918118E-4"/>
    <b v="0"/>
    <b v="0"/>
    <b v="0"/>
    <b v="1"/>
  </r>
  <r>
    <x v="142"/>
    <x v="5"/>
    <n v="532243.875"/>
    <n v="0.93475091457366899"/>
    <n v="0"/>
    <n v="2.18505733142735"/>
    <n v="2.3375824482867009"/>
    <n v="-3.9245594459194497E-2"/>
    <n v="-2.08984598219395E-2"/>
    <n v="3.853146918118E-4"/>
    <n v="-1.0358720369637E-2"/>
    <n v="-4.9205143004656003E-3"/>
    <b v="1"/>
    <b v="0"/>
    <b v="0"/>
    <b v="0"/>
  </r>
  <r>
    <x v="142"/>
    <x v="6"/>
    <n v="535802.6875"/>
    <n v="0.93676811456680298"/>
    <n v="1.2999999999999999E-2"/>
    <n v="2.2373485989755899"/>
    <n v="2.3883697194478319"/>
    <n v="2.3931302303213099E-2"/>
    <n v="-1.0358720369637E-2"/>
    <n v="-5.0061130896211E-3"/>
    <n v="8.6704554408788999E-3"/>
    <n v="2.5436840951442901E-3"/>
    <b v="0"/>
    <b v="1"/>
    <b v="0"/>
    <b v="1"/>
  </r>
  <r>
    <x v="142"/>
    <x v="7"/>
    <n v="540106.8125"/>
    <n v="0.93941807746887196"/>
    <n v="3.5999999999999997E-2"/>
    <n v="2.21887410340066"/>
    <n v="2.361966579756587"/>
    <n v="-8.2573165323418102E-3"/>
    <n v="8.6704554408788999E-3"/>
    <n v="2.5436840951442901E-3"/>
    <n v="2.5446143150329999E-3"/>
    <n v="5.3659081459049899E-4"/>
    <b v="1"/>
    <b v="0"/>
    <b v="1"/>
    <b v="0"/>
  </r>
  <r>
    <x v="142"/>
    <x v="8"/>
    <n v="546514.25"/>
    <n v="0.93716722726821899"/>
    <n v="2.1000000000000001E-2"/>
    <n v="2.40672181126941"/>
    <n v="2.5680814920138064"/>
    <n v="8.4659020347688796E-2"/>
    <n v="2.5446143150329999E-3"/>
    <n v="5.3659081459049899E-4"/>
    <n v="3.2166985958814599E-2"/>
    <n v="1.9035339355468999E-3"/>
    <b v="0"/>
    <b v="0"/>
    <b v="0"/>
    <b v="0"/>
  </r>
  <r>
    <x v="142"/>
    <x v="9"/>
    <n v="554439"/>
    <n v="0.94828397035598799"/>
    <n v="1.2999999999999999E-2"/>
    <n v="2.3261501760763301"/>
    <n v="2.4530101201679999"/>
    <n v="-3.3477751693530303E-2"/>
    <n v="3.2166985958814599E-2"/>
    <n v="1.9035339355468999E-3"/>
    <n v="2.0418342471122699E-2"/>
    <n v="7.2647854685782996E-3"/>
    <b v="1"/>
    <b v="0"/>
    <b v="1"/>
    <b v="0"/>
  </r>
  <r>
    <x v="142"/>
    <x v="10"/>
    <n v="564620"/>
    <n v="0.95172625780105602"/>
    <n v="2.7E-2"/>
    <n v="2.39847637915988"/>
    <n v="2.5201326111370621"/>
    <n v="3.1092662815753801E-2"/>
    <n v="2.0418342471122699E-2"/>
    <n v="7.2647854685782996E-3"/>
    <n v="1.92603484690189E-2"/>
    <n v="1.6470775008201599E-2"/>
    <b v="0"/>
    <b v="0"/>
    <b v="0"/>
    <b v="0"/>
  </r>
  <r>
    <x v="142"/>
    <x v="11"/>
    <n v="574911.0625"/>
    <n v="0.94493883848190297"/>
    <n v="3.1E-2"/>
    <n v="2.2559740600774001"/>
    <n v="2.3874286548553223"/>
    <n v="-5.9413684587709598E-2"/>
    <n v="1.92603484690189E-2"/>
    <n v="1.6470775008201599E-2"/>
    <n v="6.6197647005319998E-3"/>
    <n v="-2.5152582675217901E-3"/>
    <b v="1"/>
    <b v="0"/>
    <b v="1"/>
    <b v="0"/>
  </r>
  <r>
    <x v="142"/>
    <x v="12"/>
    <n v="584921.875"/>
    <n v="0.94033414125442505"/>
    <n v="3.7999999999999999E-2"/>
    <n v="2.3011637515493701"/>
    <n v="2.4471766477388246"/>
    <n v="2.0031121931612099E-2"/>
    <n v="6.6197647005319998E-3"/>
    <n v="-2.5152582675217901E-3"/>
    <n v="2.90108464360237E-2"/>
    <n v="1.1209651827812099E-2"/>
    <b v="0"/>
    <b v="1"/>
    <b v="0"/>
    <b v="0"/>
  </r>
  <r>
    <x v="142"/>
    <x v="13"/>
    <n v="595017.1875"/>
    <n v="0.95392143726348899"/>
    <n v="1.2999999999999999E-2"/>
    <n v="2.3096955721508801"/>
    <n v="2.4212639342467188"/>
    <n v="3.7076112448595701E-3"/>
    <n v="2.90108464360237E-2"/>
    <n v="1.1209651827812099E-2"/>
    <n v="3.7861826002597798E-2"/>
    <n v="1.9012635573744701E-2"/>
    <b v="0"/>
    <b v="0"/>
    <b v="0"/>
    <b v="0"/>
  </r>
  <r>
    <x v="142"/>
    <x v="14"/>
    <n v="602715"/>
    <n v="0.957294762134552"/>
    <n v="3.4000000000000002E-2"/>
    <n v="2.1195178684711302"/>
    <n v="2.2140702658239579"/>
    <n v="-8.2338861438195604E-2"/>
    <n v="3.7861826002597798E-2"/>
    <n v="1.9012635573744701E-2"/>
    <n v="4.97171266674995E-2"/>
    <n v="6.1275139451025902E-3"/>
    <b v="1"/>
    <b v="0"/>
    <b v="1"/>
    <b v="0"/>
  </r>
  <r>
    <x v="142"/>
    <x v="15"/>
    <n v="608223"/>
    <n v="0.94719707965850797"/>
    <n v="2.9000000000000001E-2"/>
    <n v="2.2021271681640702"/>
    <n v="2.3248880464855328"/>
    <n v="3.8975514630847898E-2"/>
    <n v="4.97171266674995E-2"/>
    <n v="6.1275139451025902E-3"/>
    <n v="-5.2884114831686001E-2"/>
    <n v="-2.07806080579757E-2"/>
    <b v="0"/>
    <b v="0"/>
    <b v="0"/>
    <b v="0"/>
  </r>
  <r>
    <x v="142"/>
    <x v="16"/>
    <n v="613074.25"/>
    <n v="0.94005495309829701"/>
    <n v="2.3E-2"/>
    <n v="2.1567878468563402"/>
    <n v="2.2943210285184414"/>
    <n v="-2.0588875140001701E-2"/>
    <n v="-5.2884114831686001E-2"/>
    <n v="-2.0301904529333101E-2"/>
    <n v="-2.9250266760587701E-2"/>
    <n v="-9.6913389861583901E-3"/>
    <b v="0"/>
    <b v="0"/>
    <b v="0"/>
    <b v="0"/>
  </r>
  <r>
    <x v="143"/>
    <x v="0"/>
    <n v="617716.1875"/>
    <n v="0.95312958955764804"/>
    <n v="1E-3"/>
    <n v="2.1481467721761902"/>
    <n v="2.2537824821629506"/>
    <n v="3.4677675502359298E-2"/>
    <n v="-1.5291686803101999E-3"/>
    <n v="-7.89220817387099E-3"/>
    <n v="2.5202437341212999E-3"/>
    <n v="3.4419996663928002E-3"/>
    <b v="0"/>
    <b v="1"/>
    <b v="0"/>
    <b v="1"/>
  </r>
  <r>
    <x v="143"/>
    <x v="1"/>
    <n v="618619.875"/>
    <n v="0.94769263267517101"/>
    <n v="1E-3"/>
    <n v="2.1109649175268799"/>
    <n v="2.2274784510754233"/>
    <n v="-1.7308805492673801E-2"/>
    <n v="2.5202437341212999E-3"/>
    <n v="3.4419996663928002E-3"/>
    <n v="-2.9580915637314301E-2"/>
    <n v="-7.0111360400915105E-5"/>
    <b v="1"/>
    <b v="0"/>
    <b v="1"/>
    <b v="0"/>
  </r>
  <r>
    <x v="143"/>
    <x v="2"/>
    <n v="619949.125"/>
    <n v="0.95519381761550903"/>
    <n v="0"/>
    <n v="2.20924221803243"/>
    <n v="2.3128732381742747"/>
    <n v="4.65556294610018E-2"/>
    <n v="-2.9580915637314301E-2"/>
    <n v="-7.0111360400915105E-5"/>
    <n v="-2.38908666223288E-2"/>
    <n v="2.6758350431918499E-3"/>
    <b v="0"/>
    <b v="1"/>
    <b v="0"/>
    <b v="1"/>
  </r>
  <r>
    <x v="143"/>
    <x v="3"/>
    <n v="621463.3125"/>
    <n v="0.95604556798934903"/>
    <n v="0"/>
    <n v="2.14269391601389"/>
    <n v="2.2412048000182363"/>
    <n v="-3.0122682553933699E-2"/>
    <n v="-2.38908666223288E-2"/>
    <n v="2.6758350431918499E-3"/>
    <n v="1.5229553133249E-3"/>
    <n v="1.09830640722065E-2"/>
    <b v="1"/>
    <b v="0"/>
    <b v="0"/>
    <b v="0"/>
  </r>
  <r>
    <x v="143"/>
    <x v="4"/>
    <n v="624408.625"/>
    <n v="0.95756238698959395"/>
    <n v="0"/>
    <n v="2.2196537666707998"/>
    <n v="2.3180252240786077"/>
    <n v="3.5917332887227302E-2"/>
    <n v="1.5229553133249E-3"/>
    <n v="1.09830640722065E-2"/>
    <n v="-1.9621374428272199E-2"/>
    <n v="1.6624000854791E-3"/>
    <b v="0"/>
    <b v="0"/>
    <b v="0"/>
    <b v="0"/>
  </r>
  <r>
    <x v="143"/>
    <x v="5"/>
    <n v="626918"/>
    <n v="0.96024519205093395"/>
    <n v="-1E-3"/>
    <n v="2.20106136826716"/>
    <n v="2.2921868148759343"/>
    <n v="-8.3762606055144493E-3"/>
    <n v="-1.9621374428272199E-2"/>
    <n v="1.6624000854791E-3"/>
    <n v="-2.4475774765015E-3"/>
    <n v="2.9906285926698901E-3"/>
    <b v="1"/>
    <b v="0"/>
    <b v="0"/>
    <b v="0"/>
  </r>
  <r>
    <x v="143"/>
    <x v="6"/>
    <n v="628354.625"/>
    <n v="0.95796471834182695"/>
    <n v="-2E-3"/>
    <n v="2.24045935071101"/>
    <n v="2.3387702154512495"/>
    <n v="1.7899538382646199E-2"/>
    <n v="-2.4475774765015E-3"/>
    <n v="2.9050298035143999E-3"/>
    <n v="1.0698376819491401E-2"/>
    <n v="4.5716054737567997E-3"/>
    <b v="0"/>
    <b v="0"/>
    <b v="0"/>
    <b v="1"/>
  </r>
  <r>
    <x v="143"/>
    <x v="7"/>
    <n v="629885.1875"/>
    <n v="0.95833206176757801"/>
    <n v="-1E-3"/>
    <n v="2.3060455410298899"/>
    <n v="2.4063115834573523"/>
    <n v="2.9273546202950401E-2"/>
    <n v="1.0698376819491401E-2"/>
    <n v="4.5716054737567997E-3"/>
    <n v="4.6715427339076897E-3"/>
    <n v="2.6635192334651899E-3"/>
    <b v="0"/>
    <b v="0"/>
    <b v="0"/>
    <b v="0"/>
  </r>
  <r>
    <x v="143"/>
    <x v="8"/>
    <n v="631391.8125"/>
    <n v="0.95941674709320102"/>
    <n v="0"/>
    <n v="2.2613364465456001"/>
    <n v="2.3569908002928845"/>
    <n v="-1.9387776038593402E-2"/>
    <n v="4.6715427339076897E-3"/>
    <n v="2.6635192334651899E-3"/>
    <n v="2.1979628294706299E-2"/>
    <n v="-8.2838237285613892E-3"/>
    <b v="1"/>
    <b v="0"/>
    <b v="1"/>
    <b v="0"/>
  </r>
  <r>
    <x v="143"/>
    <x v="9"/>
    <n v="631014.5"/>
    <n v="0.95957022905349698"/>
    <n v="8.0000000000000002E-3"/>
    <n v="2.2376972845799399"/>
    <n v="2.3319786471357751"/>
    <n v="-1.04536244492825E-2"/>
    <n v="2.1979628294706299E-2"/>
    <n v="-8.2838237285613892E-3"/>
    <n v="1.6437270015478098E-2"/>
    <n v="3.2837130129336999E-3"/>
    <b v="0"/>
    <b v="0"/>
    <b v="1"/>
    <b v="0"/>
  </r>
  <r>
    <x v="143"/>
    <x v="10"/>
    <n v="630543"/>
    <n v="0.96751952171325695"/>
    <n v="1E-3"/>
    <n v="2.23803128166933"/>
    <n v="2.313163953225756"/>
    <n v="1.4925928171393999E-4"/>
    <n v="1.6437270015478098E-2"/>
    <n v="3.2837130129336999E-3"/>
    <n v="-3.1580618023870001E-4"/>
    <n v="-3.1053796410559901E-3"/>
    <b v="0"/>
    <b v="0"/>
    <b v="0"/>
    <b v="0"/>
  </r>
  <r>
    <x v="143"/>
    <x v="11"/>
    <n v="630207.0625"/>
    <n v="0.97305589914321899"/>
    <n v="6.0000000000000001E-3"/>
    <n v="2.2615279845793301"/>
    <n v="2.3241501198138952"/>
    <n v="1.0498826849496899E-2"/>
    <n v="-3.1580618023870001E-4"/>
    <n v="-3.1053796410559901E-3"/>
    <n v="2.37387122809887E-2"/>
    <n v="1.46036893129349E-2"/>
    <b v="0"/>
    <b v="1"/>
    <b v="0"/>
    <b v="1"/>
  </r>
  <r>
    <x v="143"/>
    <x v="12"/>
    <n v="630351"/>
    <n v="0.97275865077972401"/>
    <n v="0.01"/>
    <n v="2.1611246407589899"/>
    <n v="2.2216452549938466"/>
    <n v="-4.4396242056239099E-2"/>
    <n v="2.37387122809887E-2"/>
    <n v="1.46036893129349E-2"/>
    <n v="6.6136933565140001E-3"/>
    <n v="-1.11875012516975E-2"/>
    <b v="1"/>
    <b v="0"/>
    <b v="1"/>
    <b v="0"/>
  </r>
  <r>
    <x v="143"/>
    <x v="13"/>
    <n v="628780.375"/>
    <n v="0.96427899599075295"/>
    <n v="7.0000000000000001E-3"/>
    <n v="2.11480845236236"/>
    <n v="2.1931499712793081"/>
    <n v="-2.1431521127058401E-2"/>
    <n v="6.6136933565140001E-3"/>
    <n v="-1.11875012516975E-2"/>
    <n v="2.7492204785346998E-2"/>
    <n v="8.6430143564939898E-3"/>
    <b v="0"/>
    <b v="0"/>
    <b v="1"/>
    <b v="0"/>
  </r>
  <r>
    <x v="143"/>
    <x v="14"/>
    <n v="616135.0625"/>
    <n v="0.97754782438278198"/>
    <n v="1E-3"/>
    <n v="2.0892286570144698"/>
    <n v="2.1372137555864303"/>
    <n v="-1.20955613352635E-2"/>
    <n v="2.7492204785346998E-2"/>
    <n v="8.6430143564939898E-3"/>
    <n v="1.1950833976268799E-2"/>
    <n v="-3.1638778746128103E-2"/>
    <b v="1"/>
    <b v="0"/>
    <b v="1"/>
    <b v="0"/>
  </r>
  <r>
    <x v="143"/>
    <x v="15"/>
    <n v="627351.6875"/>
    <n v="0.97841960191726696"/>
    <n v="6.0000000000000001E-3"/>
    <n v="2.1425165849958399"/>
    <n v="2.1897727527100446"/>
    <n v="2.5506029606886801E-2"/>
    <n v="1.1950833976268799E-2"/>
    <n v="-3.1638778746128103E-2"/>
    <n v="-2.04611364006996E-2"/>
    <n v="1.1642370373010601E-2"/>
    <b v="0"/>
    <b v="1"/>
    <b v="0"/>
    <b v="0"/>
  </r>
  <r>
    <x v="143"/>
    <x v="16"/>
    <n v="626967.75"/>
    <n v="0.97706264257430997"/>
    <n v="2E-3"/>
    <n v="2.0358670540064501"/>
    <n v="2.0836607248051786"/>
    <n v="-4.9777692147761003E-2"/>
    <n v="-2.04611364006996E-2"/>
    <n v="1.21210739016532E-2"/>
    <n v="1.39501217901706E-2"/>
    <n v="3.3509049564599998E-2"/>
    <b v="1"/>
    <b v="0"/>
    <b v="0"/>
    <b v="0"/>
  </r>
  <r>
    <x v="144"/>
    <x v="0"/>
    <n v="416082.09375"/>
    <n v="0.93745321035385099"/>
    <n v="6.7000000000000004E-2"/>
    <n v="2.16359607730499"/>
    <n v="2.3079510032168105"/>
    <n v="1.67875572953371E-2"/>
    <n v="-1.21645986735821E-2"/>
    <n v="-1.8527638167142899E-2"/>
    <n v="-9.5958289653063009E-3"/>
    <n v="-8.6740730330347997E-3"/>
    <b v="0"/>
    <b v="1"/>
    <b v="0"/>
    <b v="1"/>
  </r>
  <r>
    <x v="144"/>
    <x v="1"/>
    <n v="424664.71875"/>
    <n v="0.92825585603714"/>
    <n v="7.3999999999999996E-2"/>
    <n v="2.0650650853928401"/>
    <n v="2.2246722947797011"/>
    <n v="-4.5540382026795598E-2"/>
    <n v="-9.5958289653063009E-3"/>
    <n v="-8.6740730330347997E-3"/>
    <n v="-2.2904516488313698E-2"/>
    <n v="6.6062877885997E-3"/>
    <b v="0"/>
    <b v="0"/>
    <b v="0"/>
    <b v="0"/>
  </r>
  <r>
    <x v="144"/>
    <x v="2"/>
    <n v="430540"/>
    <n v="0.94385057687759399"/>
    <n v="5.6000000000000001E-2"/>
    <n v="2.2999720696396899"/>
    <n v="2.4367968044776314"/>
    <n v="0.113752823534936"/>
    <n v="-2.2904516488313698E-2"/>
    <n v="6.6062877885997E-3"/>
    <n v="-1.56040030568838E-2"/>
    <n v="1.0962698608636801E-2"/>
    <b v="0"/>
    <b v="0"/>
    <b v="0"/>
    <b v="1"/>
  </r>
  <r>
    <x v="144"/>
    <x v="3"/>
    <n v="435040.3125"/>
    <n v="0.94093763828277599"/>
    <n v="2.4E-2"/>
    <n v="2.1163027882936598"/>
    <n v="2.2491424534318143"/>
    <n v="-7.9857179037313195E-2"/>
    <n v="-1.56040030568838E-2"/>
    <n v="1.0962698608636801E-2"/>
    <n v="-1.72574878055602E-2"/>
    <n v="-7.7973790466785396E-3"/>
    <b v="1"/>
    <b v="0"/>
    <b v="0"/>
    <b v="0"/>
  </r>
  <r>
    <x v="144"/>
    <x v="4"/>
    <n v="438222.28125"/>
    <n v="0.92502528429031405"/>
    <n v="1.6E-2"/>
    <n v="2.2352632341226699"/>
    <n v="2.4164347419298702"/>
    <n v="5.6211448799785402E-2"/>
    <n v="-1.72574878055602E-2"/>
    <n v="-7.7973790466785396E-3"/>
    <n v="-2.3078168153762801E-2"/>
    <n v="-1.7943936400115199E-3"/>
    <b v="0"/>
    <b v="1"/>
    <b v="0"/>
    <b v="1"/>
  </r>
  <r>
    <x v="144"/>
    <x v="5"/>
    <n v="441633.59375"/>
    <n v="0.93335872888565097"/>
    <n v="1E-3"/>
    <n v="2.2018163471241099"/>
    <n v="2.3590247554151946"/>
    <n v="-1.4963287763145299E-2"/>
    <n v="-2.3078168153762801E-2"/>
    <n v="-1.7943936400115199E-3"/>
    <n v="-1.14799684882164E-2"/>
    <n v="-6.0417624190450001E-3"/>
    <b v="0"/>
    <b v="0"/>
    <b v="0"/>
    <b v="0"/>
  </r>
  <r>
    <x v="144"/>
    <x v="6"/>
    <n v="445805"/>
    <n v="0.94206058979034402"/>
    <n v="0"/>
    <n v="2.1824944252472398"/>
    <n v="2.3167240503426165"/>
    <n v="-8.7754466452698004E-3"/>
    <n v="-1.14799684882164E-2"/>
    <n v="-6.1273612082004998E-3"/>
    <n v="-1.9830626994370901E-3"/>
    <n v="-8.1098340451716995E-3"/>
    <b v="0"/>
    <b v="0"/>
    <b v="0"/>
    <b v="0"/>
  </r>
  <r>
    <x v="144"/>
    <x v="7"/>
    <n v="449762.3125"/>
    <n v="0.93958026170730602"/>
    <n v="2E-3"/>
    <n v="2.2790140305910098"/>
    <n v="2.4255660995366446"/>
    <n v="4.4224445307728399E-2"/>
    <n v="-1.9830626994370901E-3"/>
    <n v="-8.1098340451716995E-3"/>
    <n v="-3.8640612587333002E-3"/>
    <n v="-5.8720847591758E-3"/>
    <b v="0"/>
    <b v="1"/>
    <b v="0"/>
    <b v="1"/>
  </r>
  <r>
    <x v="144"/>
    <x v="8"/>
    <n v="453326.1875"/>
    <n v="0.94142460823059104"/>
    <n v="4.0000000000000001E-3"/>
    <n v="2.26698476118146"/>
    <n v="2.4080364389903313"/>
    <n v="-5.2782779079395999E-3"/>
    <n v="-3.8640612587333002E-3"/>
    <n v="-5.8720847591758E-3"/>
    <n v="2.5876162737608E-2"/>
    <n v="-4.3872892856596903E-3"/>
    <b v="0"/>
    <b v="0"/>
    <b v="0"/>
    <b v="0"/>
  </r>
  <r>
    <x v="144"/>
    <x v="9"/>
    <n v="457080.1875"/>
    <n v="0.94652885198593095"/>
    <n v="8.9999999999999993E-3"/>
    <n v="2.2853411330434499"/>
    <n v="2.4144442382802493"/>
    <n v="8.0972630148699997E-3"/>
    <n v="2.5876162737608E-2"/>
    <n v="-4.3872892856596903E-3"/>
    <n v="1.6360659420490298E-2"/>
    <n v="3.2071024179459E-3"/>
    <b v="0"/>
    <b v="1"/>
    <b v="0"/>
    <b v="0"/>
  </r>
  <r>
    <x v="144"/>
    <x v="10"/>
    <n v="460103.59375"/>
    <n v="0.94164985418319702"/>
    <n v="8.0000000000000002E-3"/>
    <n v="2.2184098218703601"/>
    <n v="2.3558755008725045"/>
    <n v="-2.9287229904253E-2"/>
    <n v="1.6360659420490298E-2"/>
    <n v="3.2071024179459E-3"/>
    <n v="8.0587686598299698E-4"/>
    <n v="-1.9836965948342999E-3"/>
    <b v="1"/>
    <b v="0"/>
    <b v="1"/>
    <b v="0"/>
  </r>
  <r>
    <x v="144"/>
    <x v="11"/>
    <n v="464471.59375"/>
    <n v="0.93554365634918202"/>
    <n v="2.1000000000000001E-2"/>
    <n v="2.0521520064126602"/>
    <n v="2.1935395451462667"/>
    <n v="-7.4944590408241002E-2"/>
    <n v="8.0587686598299698E-4"/>
    <n v="-1.9836965948342999E-3"/>
    <n v="1.03276431560498E-4"/>
    <n v="-9.0317465364932892E-3"/>
    <b v="0"/>
    <b v="0"/>
    <b v="1"/>
    <b v="0"/>
  </r>
  <r>
    <x v="144"/>
    <x v="12"/>
    <n v="468854.875"/>
    <n v="0.94825220108032204"/>
    <n v="0.03"/>
    <n v="2.1697062178698898"/>
    <n v="2.2881109217547748"/>
    <n v="5.7283384023155498E-2"/>
    <n v="1.03276431560498E-4"/>
    <n v="-9.0317465364932892E-3"/>
    <n v="9.2566322237252995E-3"/>
    <n v="-8.5445623844862002E-3"/>
    <b v="0"/>
    <b v="1"/>
    <b v="0"/>
    <b v="0"/>
  </r>
  <r>
    <x v="144"/>
    <x v="13"/>
    <n v="473242.3125"/>
    <n v="0.94569313526153598"/>
    <n v="1.4E-2"/>
    <n v="2.03065905200015"/>
    <n v="2.1472705852290672"/>
    <n v="-6.4085711108966104E-2"/>
    <n v="9.2566322237252995E-3"/>
    <n v="-8.5445623844862002E-3"/>
    <n v="2.0427925616502699E-2"/>
    <n v="1.57873518764979E-3"/>
    <b v="0"/>
    <b v="0"/>
    <b v="1"/>
    <b v="0"/>
  </r>
  <r>
    <x v="144"/>
    <x v="14"/>
    <n v="477712.5"/>
    <n v="0.96214109659194902"/>
    <n v="1.0999999999999999E-2"/>
    <n v="1.9101093426018401"/>
    <n v="1.9852694676152383"/>
    <n v="-5.9364820145248298E-2"/>
    <n v="2.0427925616502699E-2"/>
    <n v="1.57873518764979E-3"/>
    <n v="2.13034509420395E-2"/>
    <n v="-2.2286161780357399E-2"/>
    <b v="1"/>
    <b v="0"/>
    <b v="1"/>
    <b v="0"/>
  </r>
  <r>
    <x v="144"/>
    <x v="15"/>
    <n v="482994.1875"/>
    <n v="0.96902358531951904"/>
    <n v="2.1000000000000001E-2"/>
    <n v="1.9568143753815299"/>
    <n v="2.0193671289603374"/>
    <n v="2.44514969577957E-2"/>
    <n v="2.13034509420395E-2"/>
    <n v="-2.2286161780357399E-2"/>
    <n v="-1.6160832643508899E-2"/>
    <n v="1.5942674130201399E-2"/>
    <b v="0"/>
    <b v="1"/>
    <b v="0"/>
    <b v="0"/>
  </r>
  <r>
    <x v="144"/>
    <x v="16"/>
    <n v="488169.90625"/>
    <n v="0.96200513839721702"/>
    <n v="8.0000000000000002E-3"/>
    <n v="2.0484312640195701"/>
    <n v="2.1293350547299905"/>
    <n v="4.6819406986510902E-2"/>
    <n v="-1.6160832643508899E-2"/>
    <n v="1.6421377658844001E-2"/>
    <n v="-1.47653713673353E-2"/>
    <n v="4.793556407094E-3"/>
    <b v="0"/>
    <b v="0"/>
    <b v="0"/>
    <b v="1"/>
  </r>
  <r>
    <x v="145"/>
    <x v="0"/>
    <n v="182544"/>
    <n v="0.91269320249557495"/>
    <n v="0"/>
    <n v="2.4569436698270999"/>
    <n v="2.6919710403332515"/>
    <n v="0.21409818888884299"/>
    <n v="-1.0565806522965401E-2"/>
    <n v="-1.6928846016526101E-2"/>
    <n v="-7.7992741912603003E-3"/>
    <n v="-6.8775182589888E-3"/>
    <b v="0"/>
    <b v="1"/>
    <b v="0"/>
    <b v="1"/>
  </r>
  <r>
    <x v="145"/>
    <x v="1"/>
    <n v="185074"/>
    <n v="0.91483402252197299"/>
    <n v="1.2E-2"/>
    <n v="1.85945917673518"/>
    <n v="2.0325645209489553"/>
    <n v="-0.24318200715361299"/>
    <n v="-7.7992741912603003E-3"/>
    <n v="-6.8775182589888E-3"/>
    <n v="-2.25285164192318E-2"/>
    <n v="6.9822878576814998E-3"/>
    <b v="0"/>
    <b v="0"/>
    <b v="0"/>
    <b v="0"/>
  </r>
  <r>
    <x v="145"/>
    <x v="2"/>
    <n v="186916.703125"/>
    <n v="0.92843210697174094"/>
    <n v="1.6E-2"/>
    <n v="2.0857964097836099"/>
    <n v="2.2465793611843456"/>
    <n v="0.121722076978224"/>
    <n v="-2.25285164192318E-2"/>
    <n v="6.9822878576814998E-3"/>
    <n v="-1.9481350392103199E-2"/>
    <n v="7.0853512734174503E-3"/>
    <b v="0"/>
    <b v="0"/>
    <b v="0"/>
    <b v="1"/>
  </r>
  <r>
    <x v="145"/>
    <x v="3"/>
    <n v="188386.796875"/>
    <n v="0.92325234413146995"/>
    <n v="0.02"/>
    <n v="2.2373644791284701"/>
    <n v="2.4233509867047491"/>
    <n v="7.2666761067342003E-2"/>
    <n v="-1.9481350392103199E-2"/>
    <n v="7.0853512734174503E-3"/>
    <n v="-1.4951974441297301E-2"/>
    <n v="-5.4918656824156599E-3"/>
    <b v="0"/>
    <b v="0"/>
    <b v="0"/>
    <b v="1"/>
  </r>
  <r>
    <x v="145"/>
    <x v="4"/>
    <n v="189304.90625"/>
    <n v="0.92448264360427901"/>
    <n v="1.6E-2"/>
    <n v="1.96761153807765"/>
    <n v="2.1283379971380816"/>
    <n v="-0.120567276171248"/>
    <n v="-1.4951974441297301E-2"/>
    <n v="-5.4918656824156599E-3"/>
    <n v="-2.46235415041446E-2"/>
    <n v="-3.3397669903933599E-3"/>
    <b v="0"/>
    <b v="0"/>
    <b v="0"/>
    <b v="0"/>
  </r>
  <r>
    <x v="145"/>
    <x v="5"/>
    <n v="189746.703125"/>
    <n v="0.93423676490783703"/>
    <n v="0"/>
    <n v="2.32018549395581"/>
    <n v="2.4835090858201214"/>
    <n v="0.17918880279723501"/>
    <n v="-2.46235415041446E-2"/>
    <n v="-3.3397669903933599E-3"/>
    <n v="-4.1624510586261702E-2"/>
    <n v="-3.6186304517090297E-2"/>
    <b v="0"/>
    <b v="1"/>
    <b v="0"/>
    <b v="1"/>
  </r>
  <r>
    <x v="145"/>
    <x v="16"/>
    <n v="202477.09375"/>
    <n v="0.97145748138427701"/>
    <n v="8.9999999999999993E-3"/>
    <n v="2.02299595759286"/>
    <n v="2.0824338649491843"/>
    <n v="-0.12808869684650001"/>
    <n v="-4.1624510586261702E-2"/>
    <n v="-9.0423002839088006E-3"/>
    <n v="-9.6563350260257998E-3"/>
    <n v="9.9025927484035006E-3"/>
    <b v="0"/>
    <b v="0"/>
    <b v="0"/>
    <b v="0"/>
  </r>
  <r>
    <x v="146"/>
    <x v="0"/>
    <n v="896514.5"/>
    <n v="0.95318150520324696"/>
    <n v="0"/>
    <n v="2.1974196689386498"/>
    <n v="2.3053528178456357"/>
    <n v="-1.29532181149224E-2"/>
    <n v="-1.08959939032793E-2"/>
    <n v="-1.7259033396840099E-2"/>
    <n v="-7.3977139741182004E-3"/>
    <n v="-6.4759580418467001E-3"/>
    <b v="0"/>
    <b v="0"/>
    <b v="0"/>
    <b v="0"/>
  </r>
  <r>
    <x v="146"/>
    <x v="1"/>
    <n v="899073.5"/>
    <n v="0.93785017728805498"/>
    <n v="2.1999999999999999E-2"/>
    <n v="2.2062233868326202"/>
    <n v="2.3524262619561163"/>
    <n v="4.0063889562886399E-3"/>
    <n v="-7.3977139741182004E-3"/>
    <n v="-6.4759580418467001E-3"/>
    <n v="-4.3999835208058301E-2"/>
    <n v="-1.4489030931144901E-2"/>
    <b v="0"/>
    <b v="1"/>
    <b v="0"/>
    <b v="1"/>
  </r>
  <r>
    <x v="146"/>
    <x v="2"/>
    <n v="905511.75"/>
    <n v="0.93264716863632202"/>
    <n v="1.2E-2"/>
    <n v="2.4034399283716699"/>
    <n v="2.5770087651537934"/>
    <n v="8.9391012132358394E-2"/>
    <n v="-4.3999835208058301E-2"/>
    <n v="-1.4489030931144901E-2"/>
    <n v="-5.0992128163575998E-2"/>
    <n v="-2.4425426498055399E-2"/>
    <b v="0"/>
    <b v="1"/>
    <b v="0"/>
    <b v="1"/>
  </r>
  <r>
    <x v="146"/>
    <x v="3"/>
    <n v="912806"/>
    <n v="0.93869113922119096"/>
    <n v="2.1000000000000001E-2"/>
    <n v="2.27596291012838"/>
    <n v="2.4246131821556243"/>
    <n v="-5.3039402707122797E-2"/>
    <n v="-5.0992128163575998E-2"/>
    <n v="-2.4425426498055399E-2"/>
    <n v="-3.6346345990895998E-3"/>
    <n v="5.8254741597920804E-3"/>
    <b v="0"/>
    <b v="0"/>
    <b v="0"/>
    <b v="0"/>
  </r>
  <r>
    <x v="146"/>
    <x v="4"/>
    <n v="922296.375"/>
    <n v="0.93842345476150502"/>
    <n v="4.1000000000000002E-2"/>
    <n v="2.4078266589434199"/>
    <n v="2.5658210552243235"/>
    <n v="5.7937564899769901E-2"/>
    <n v="-3.6346345990895998E-3"/>
    <n v="5.8254741597920804E-3"/>
    <n v="-2.61401011310517E-2"/>
    <n v="-4.8563266173004696E-3"/>
    <b v="0"/>
    <b v="0"/>
    <b v="0"/>
    <b v="1"/>
  </r>
  <r>
    <x v="146"/>
    <x v="5"/>
    <n v="931935.4375"/>
    <n v="0.92640328407287598"/>
    <n v="7.5999999999999998E-2"/>
    <n v="2.2099821913956301"/>
    <n v="2.3855509035757918"/>
    <n v="-8.2167238581287494E-2"/>
    <n v="-2.61401011310517E-2"/>
    <n v="-4.8563266173004696E-3"/>
    <n v="-8.8931213170290006E-3"/>
    <n v="-3.4549152478576001E-3"/>
    <b v="0"/>
    <b v="0"/>
    <b v="0"/>
    <b v="0"/>
  </r>
  <r>
    <x v="146"/>
    <x v="6"/>
    <n v="940069.0625"/>
    <n v="0.93379276990890503"/>
    <n v="2.5999999999999999E-2"/>
    <n v="2.4197119015073998"/>
    <n v="2.5912729028127428"/>
    <n v="9.4901086048717803E-2"/>
    <n v="-8.8931213170290006E-3"/>
    <n v="-3.5405140370130899E-3"/>
    <n v="8.2322160154581006E-3"/>
    <n v="2.1054446697234999E-3"/>
    <b v="0"/>
    <b v="1"/>
    <b v="0"/>
    <b v="1"/>
  </r>
  <r>
    <x v="146"/>
    <x v="7"/>
    <n v="946088.9375"/>
    <n v="0.92397862672805797"/>
    <n v="6.9000000000000006E-2"/>
    <n v="2.4153386359079101"/>
    <n v="2.6140633192576908"/>
    <n v="-1.8073497083534601E-3"/>
    <n v="8.2322160154581006E-3"/>
    <n v="2.1054446697234999E-3"/>
    <n v="7.8656600415709995E-4"/>
    <n v="-1.2214574962853999E-3"/>
    <b v="1"/>
    <b v="0"/>
    <b v="1"/>
    <b v="0"/>
  </r>
  <r>
    <x v="146"/>
    <x v="8"/>
    <n v="951034.1875"/>
    <n v="0.899602830410004"/>
    <n v="9.1999999999999998E-2"/>
    <n v="2.4438715683378498"/>
    <n v="2.7166116932113566"/>
    <n v="1.1813222380394599E-2"/>
    <n v="7.8656600415709995E-4"/>
    <n v="-1.2214574962853999E-3"/>
    <n v="2.2317402228713E-2"/>
    <n v="-7.9460497945546896E-3"/>
    <b v="0"/>
    <b v="1"/>
    <b v="0"/>
    <b v="0"/>
  </r>
  <r>
    <x v="146"/>
    <x v="9"/>
    <n v="952905.1875"/>
    <n v="0.90994411706924405"/>
    <n v="5.1999999999999998E-2"/>
    <n v="2.3939700526102698"/>
    <n v="2.6308978844995332"/>
    <n v="-2.04190418081233E-2"/>
    <n v="2.2317402228713E-2"/>
    <n v="-7.9460497945546896E-3"/>
    <n v="2.5267072841525001E-3"/>
    <n v="-1.06268497183918E-2"/>
    <b v="0"/>
    <b v="0"/>
    <b v="1"/>
    <b v="0"/>
  </r>
  <r>
    <x v="146"/>
    <x v="10"/>
    <n v="953941"/>
    <n v="0.92147815227508501"/>
    <n v="4.8000000000000001E-2"/>
    <n v="2.3635016488928802"/>
    <n v="2.5649025351903449"/>
    <n v="-1.2727144888120601E-2"/>
    <n v="2.5267072841525001E-3"/>
    <n v="-1.06268497183918E-2"/>
    <n v="-2.4656712114811E-3"/>
    <n v="-5.2552446722984002E-3"/>
    <b v="0"/>
    <b v="0"/>
    <b v="1"/>
    <b v="0"/>
  </r>
  <r>
    <x v="146"/>
    <x v="11"/>
    <n v="954906.625"/>
    <n v="0.94184553623199496"/>
    <n v="2.1999999999999999E-2"/>
    <n v="2.46240274250433"/>
    <n v="2.6144443518366818"/>
    <n v="4.1845155326111501E-2"/>
    <n v="-2.4656712114811E-3"/>
    <n v="-5.2552446722984002E-3"/>
    <n v="2.6546066999439798E-4"/>
    <n v="-8.8695622980593906E-3"/>
    <b v="0"/>
    <b v="1"/>
    <b v="0"/>
    <b v="1"/>
  </r>
  <r>
    <x v="146"/>
    <x v="12"/>
    <n v="957042.8125"/>
    <n v="0.92826110124588002"/>
    <n v="7.5999999999999998E-2"/>
    <n v="2.4560082481893701"/>
    <n v="2.6458161878085815"/>
    <n v="-2.5968515241566398E-3"/>
    <n v="2.6546066999439798E-4"/>
    <n v="-8.8695622980593906E-3"/>
    <n v="6.2357887327671004E-3"/>
    <n v="-1.15654058754444E-2"/>
    <b v="0"/>
    <b v="0"/>
    <b v="1"/>
    <b v="0"/>
  </r>
  <r>
    <x v="146"/>
    <x v="13"/>
    <n v="957427.625"/>
    <n v="0.91785860061645497"/>
    <n v="6.2E-2"/>
    <n v="2.34389144217604"/>
    <n v="2.5536519901887158"/>
    <n v="-4.56500120046359E-2"/>
    <n v="6.2357887327671004E-3"/>
    <n v="-1.15654058754444E-2"/>
    <n v="8.4696208238601994E-3"/>
    <n v="-1.0379569604992801E-2"/>
    <b v="0"/>
    <b v="0"/>
    <b v="1"/>
    <b v="0"/>
  </r>
  <r>
    <x v="146"/>
    <x v="14"/>
    <n v="952591.3125"/>
    <n v="0.94192945957183805"/>
    <n v="2.5999999999999999E-2"/>
    <n v="2.2797730632334301"/>
    <n v="2.4203224987460525"/>
    <n v="-2.73555241462368E-2"/>
    <n v="8.4696208238601994E-3"/>
    <n v="-1.0379569604992801E-2"/>
    <n v="1.2492118656635199E-2"/>
    <n v="-3.1097494065761601E-2"/>
    <b v="0"/>
    <b v="0"/>
    <b v="1"/>
    <b v="0"/>
  </r>
  <r>
    <x v="146"/>
    <x v="15"/>
    <n v="958922.8125"/>
    <n v="0.95205986499786399"/>
    <n v="5.7000000000000002E-2"/>
    <n v="2.2808682112179599"/>
    <n v="2.3957193187878758"/>
    <n v="4.8037587696152999E-4"/>
    <n v="1.2492118656635199E-2"/>
    <n v="-3.1097494065761601E-2"/>
    <n v="-3.6485114991664902E-2"/>
    <n v="-4.3816082179546001E-3"/>
    <b v="0"/>
    <b v="1"/>
    <b v="0"/>
    <b v="0"/>
  </r>
  <r>
    <x v="146"/>
    <x v="16"/>
    <n v="962239.3125"/>
    <n v="0.93499296903610196"/>
    <n v="3.4000000000000002E-2"/>
    <n v="2.2376424395032202"/>
    <n v="2.3932184664554632"/>
    <n v="-1.8951455196815299E-2"/>
    <n v="-3.6485114991664902E-2"/>
    <n v="-3.9029046893119998E-3"/>
    <n v="-2.2167709454894099E-2"/>
    <n v="-2.6087816804648001E-3"/>
    <b v="0"/>
    <b v="0"/>
    <b v="0"/>
    <b v="0"/>
  </r>
  <r>
    <x v="147"/>
    <x v="0"/>
    <n v="664091.625"/>
    <n v="0.95033800601959195"/>
    <n v="1.4999999999999999E-2"/>
    <n v="3.0863444332410102"/>
    <n v="3.2476281214595377"/>
    <n v="4.99612797720266E-2"/>
    <n v="1.24526597857475E-2"/>
    <n v="6.0896202921866998E-3"/>
    <n v="1.1770195364951899E-3"/>
    <n v="2.0987754687666902E-3"/>
    <b v="0"/>
    <b v="0"/>
    <b v="0"/>
    <b v="0"/>
  </r>
  <r>
    <x v="147"/>
    <x v="1"/>
    <n v="668978.5625"/>
    <n v="0.95006972551345803"/>
    <n v="8.0000000000000002E-3"/>
    <n v="2.9754537437976198"/>
    <n v="3.1318267111285523"/>
    <n v="-3.5929460188905499E-2"/>
    <n v="1.1770195364951899E-3"/>
    <n v="2.0987754687666902E-3"/>
    <n v="-2.82839167043566E-2"/>
    <n v="1.22688757255673E-3"/>
    <b v="1"/>
    <b v="0"/>
    <b v="1"/>
    <b v="0"/>
  </r>
  <r>
    <x v="147"/>
    <x v="2"/>
    <n v="673231.625"/>
    <n v="0.94547247886657704"/>
    <n v="2E-3"/>
    <n v="3.034939429604"/>
    <n v="3.2099712021678886"/>
    <n v="1.99921393267747E-2"/>
    <n v="-2.82839167043566E-2"/>
    <n v="1.22688757255673E-3"/>
    <n v="-5.0841268807649498E-2"/>
    <n v="-2.4274567142128899E-2"/>
    <b v="0"/>
    <b v="0"/>
    <b v="0"/>
    <b v="1"/>
  </r>
  <r>
    <x v="147"/>
    <x v="3"/>
    <n v="680202.0625"/>
    <n v="0.939860880374908"/>
    <n v="0"/>
    <n v="3.0000489614061698"/>
    <n v="3.1920138650833709"/>
    <n v="-1.14962650844023E-2"/>
    <n v="-5.0841268807649498E-2"/>
    <n v="-2.4274567142128899E-2"/>
    <n v="-2.22840642929079E-3"/>
    <n v="7.2317023295908802E-3"/>
    <b v="0"/>
    <b v="0"/>
    <b v="0"/>
    <b v="0"/>
  </r>
  <r>
    <x v="147"/>
    <x v="4"/>
    <n v="689548.875"/>
    <n v="0.94539535045623802"/>
    <n v="0"/>
    <n v="3.2004422821760201"/>
    <n v="3.3852951367187494"/>
    <n v="6.67966834367692E-2"/>
    <n v="-2.22840642929079E-3"/>
    <n v="7.2317023295908802E-3"/>
    <n v="-2.0883656449616001E-2"/>
    <n v="4.0011806413529899E-4"/>
    <b v="0"/>
    <b v="0"/>
    <b v="0"/>
    <b v="1"/>
  </r>
  <r>
    <x v="147"/>
    <x v="5"/>
    <n v="697354.6875"/>
    <n v="0.93482851982116699"/>
    <n v="1E-3"/>
    <n v="3.0522273943646101"/>
    <n v="3.2650131330487246"/>
    <n v="-4.6310751684807999E-2"/>
    <n v="-2.0883656449616001E-2"/>
    <n v="4.0011806413529899E-4"/>
    <n v="-1.1448273718357001E-2"/>
    <n v="-6.0100676491856896E-3"/>
    <b v="1"/>
    <b v="0"/>
    <b v="0"/>
    <b v="0"/>
  </r>
  <r>
    <x v="147"/>
    <x v="6"/>
    <n v="703148.375"/>
    <n v="0.93673932552337602"/>
    <n v="-2E-3"/>
    <n v="3.1282661875175801"/>
    <n v="3.3395269124307894"/>
    <n v="2.4912558380600199E-2"/>
    <n v="-1.1448273718357001E-2"/>
    <n v="-6.0956664383411798E-3"/>
    <n v="1.18341619521378E-2"/>
    <n v="5.7073906064032901E-3"/>
    <b v="0"/>
    <b v="1"/>
    <b v="0"/>
    <b v="1"/>
  </r>
  <r>
    <x v="147"/>
    <x v="7"/>
    <n v="708431.0625"/>
    <n v="0.94546115398407005"/>
    <n v="-1E-3"/>
    <n v="3.10313815942611"/>
    <n v="3.2821424194424327"/>
    <n v="-8.0325735040511007E-3"/>
    <n v="1.18341619521378E-2"/>
    <n v="5.7073906064032901E-3"/>
    <n v="1.45546708405017E-2"/>
    <n v="1.2546647340059201E-2"/>
    <b v="1"/>
    <b v="0"/>
    <b v="1"/>
    <b v="0"/>
  </r>
  <r>
    <x v="147"/>
    <x v="8"/>
    <n v="719484.3125"/>
    <n v="0.95429825782775901"/>
    <n v="0"/>
    <n v="3.0590355577203998"/>
    <n v="3.2055340483211112"/>
    <n v="-1.4212258507324599E-2"/>
    <n v="1.45546708405017E-2"/>
    <n v="1.2546647340059201E-2"/>
    <n v="8.3369629621505695E-2"/>
    <n v="5.3106177598237998E-2"/>
    <b v="1"/>
    <b v="0"/>
    <b v="1"/>
    <b v="0"/>
  </r>
  <r>
    <x v="147"/>
    <x v="9"/>
    <n v="731310.3125"/>
    <n v="0.96113854646682695"/>
    <n v="0"/>
    <n v="3.0585149473434599"/>
    <n v="3.1821790506547147"/>
    <n v="-1.7018774941411001E-4"/>
    <n v="8.3369629621505695E-2"/>
    <n v="5.3106177598237998E-2"/>
    <n v="5.2689101815223599E-2"/>
    <n v="3.9535544812679298E-2"/>
    <b v="1"/>
    <b v="0"/>
    <b v="1"/>
    <b v="0"/>
  </r>
  <r>
    <x v="147"/>
    <x v="10"/>
    <n v="743292.8125"/>
    <n v="0.96379011869430498"/>
    <n v="0"/>
    <n v="3.0515386157709301"/>
    <n v="3.1661858288244367"/>
    <n v="-2.28095389188514E-3"/>
    <n v="5.2689101815223599E-2"/>
    <n v="3.9535544812679298E-2"/>
    <n v="2.8843691289424898E-2"/>
    <n v="2.6054117828607601E-2"/>
    <b v="1"/>
    <b v="0"/>
    <b v="1"/>
    <b v="0"/>
  </r>
  <r>
    <x v="147"/>
    <x v="11"/>
    <n v="754781.9375"/>
    <n v="0.95761376619339"/>
    <n v="1.2999999999999999E-2"/>
    <n v="2.9918853344750902"/>
    <n v="3.1243132044437205"/>
    <n v="-1.9548591319649599E-2"/>
    <n v="2.8843691289424898E-2"/>
    <n v="2.6054117828607601E-2"/>
    <n v="1.5664331823587299E-2"/>
    <n v="6.5293088555335999E-3"/>
    <b v="1"/>
    <b v="0"/>
    <b v="1"/>
    <b v="0"/>
  </r>
  <r>
    <x v="147"/>
    <x v="12"/>
    <n v="765204.25"/>
    <n v="0.95880526304244995"/>
    <n v="2.4E-2"/>
    <n v="3.0720695378210299"/>
    <n v="3.204059944427962"/>
    <n v="2.6800560309577399E-2"/>
    <n v="1.5664331823587299E-2"/>
    <n v="6.5293088555335999E-3"/>
    <n v="4.2557693243026697E-2"/>
    <n v="2.4756498634815199E-2"/>
    <b v="0"/>
    <b v="0"/>
    <b v="0"/>
    <b v="0"/>
  </r>
  <r>
    <x v="147"/>
    <x v="13"/>
    <n v="775080.0625"/>
    <n v="0.95664685964584395"/>
    <n v="1.4E-2"/>
    <n v="3.1492001576861601"/>
    <n v="3.2919150112006972"/>
    <n v="2.5107055330471102E-2"/>
    <n v="4.2557693243026697E-2"/>
    <n v="2.4756498634815199E-2"/>
    <n v="3.20630652010441E-2"/>
    <n v="1.32138747721911E-2"/>
    <b v="0"/>
    <b v="0"/>
    <b v="0"/>
    <b v="0"/>
  </r>
  <r>
    <x v="147"/>
    <x v="14"/>
    <n v="782506.4375"/>
    <n v="0.97315794229507402"/>
    <n v="2.4E-2"/>
    <n v="2.99431344622039"/>
    <n v="3.076903877656969"/>
    <n v="-4.91828730186432E-2"/>
    <n v="3.20630652010441E-2"/>
    <n v="1.32138747721911E-2"/>
    <n v="3.6252638578414903E-2"/>
    <n v="-7.3369741439820004E-3"/>
    <b v="1"/>
    <b v="0"/>
    <b v="1"/>
    <b v="0"/>
  </r>
  <r>
    <x v="147"/>
    <x v="15"/>
    <n v="789866.5625"/>
    <n v="0.96388083696365401"/>
    <n v="2.3E-2"/>
    <n v="3.1959816143928101"/>
    <n v="3.3157434942482666"/>
    <n v="6.7350386589279998E-2"/>
    <n v="3.6252638578414903E-2"/>
    <n v="-7.3369741439820004E-3"/>
    <n v="-6.4606069512665301E-2"/>
    <n v="-3.2502562738955E-2"/>
    <b v="0"/>
    <b v="1"/>
    <b v="0"/>
    <b v="0"/>
  </r>
  <r>
    <x v="147"/>
    <x v="16"/>
    <n v="798242.8125"/>
    <n v="0.94008123874664296"/>
    <n v="2.1999999999999999E-2"/>
    <n v="2.93000522264356"/>
    <n v="3.1167574693331503"/>
    <n v="-8.3222128234858903E-2"/>
    <n v="-6.4606069512665301E-2"/>
    <n v="-3.2023859210312401E-2"/>
    <n v="-2.8766752950847099E-2"/>
    <n v="-9.2078251764177999E-3"/>
    <b v="0"/>
    <b v="0"/>
    <b v="0"/>
    <b v="0"/>
  </r>
  <r>
    <x v="148"/>
    <x v="0"/>
    <n v="655506.125"/>
    <n v="0.93800926208496105"/>
    <n v="0"/>
    <n v="1.99977376418687"/>
    <n v="2.1319339211447348"/>
    <n v="-5.8757492889603899E-2"/>
    <n v="-1.48366425931449E-3"/>
    <n v="-7.8467037528752899E-3"/>
    <n v="2.4501523971558001E-3"/>
    <n v="3.3719083294273E-3"/>
    <b v="0"/>
    <b v="0"/>
    <b v="0"/>
    <b v="0"/>
  </r>
  <r>
    <x v="148"/>
    <x v="1"/>
    <n v="656880.625"/>
    <n v="0.93333733081817605"/>
    <n v="0"/>
    <n v="2.1454346066476901"/>
    <n v="2.2986700904451913"/>
    <n v="7.2838660587213805E-2"/>
    <n v="2.4501523971558001E-3"/>
    <n v="3.3719083294273E-3"/>
    <n v="-3.1169575463980401E-2"/>
    <n v="-1.6587711870670299E-3"/>
    <b v="0"/>
    <b v="0"/>
    <b v="0"/>
    <b v="0"/>
  </r>
  <r>
    <x v="148"/>
    <x v="2"/>
    <n v="659427"/>
    <n v="0.93609827756881703"/>
    <n v="5.0000000000000001E-3"/>
    <n v="2.01926604359815"/>
    <n v="2.1571090258198922"/>
    <n v="-5.8807927614571702E-2"/>
    <n v="-3.1169575463980401E-2"/>
    <n v="-1.6587711870670299E-3"/>
    <n v="-2.35017917156219E-2"/>
    <n v="3.0649099498987501E-3"/>
    <b v="0"/>
    <b v="0"/>
    <b v="0"/>
    <b v="0"/>
  </r>
  <r>
    <x v="148"/>
    <x v="3"/>
    <n v="661563.4375"/>
    <n v="0.94362920522689797"/>
    <n v="1E-3"/>
    <n v="2.0969938568537798"/>
    <n v="2.2222646832444664"/>
    <n v="3.8493101739642703E-2"/>
    <n v="-2.35017917156219E-2"/>
    <n v="3.0649099498987501E-3"/>
    <n v="2.38953918218598E-4"/>
    <n v="9.69906267710028E-3"/>
    <b v="0"/>
    <b v="0"/>
    <b v="0"/>
    <b v="1"/>
  </r>
  <r>
    <x v="148"/>
    <x v="4"/>
    <n v="663776.5"/>
    <n v="0.94516116380691495"/>
    <n v="0"/>
    <n v="2.0731578123683199"/>
    <n v="2.193443712835244"/>
    <n v="-1.1366768866562699E-2"/>
    <n v="2.38953918218598E-4"/>
    <n v="9.69906267710028E-3"/>
    <n v="-2.08802692294121E-2"/>
    <n v="4.0350528433919902E-4"/>
    <b v="1"/>
    <b v="0"/>
    <b v="1"/>
    <b v="0"/>
  </r>
  <r>
    <x v="148"/>
    <x v="5"/>
    <n v="664408.5"/>
    <n v="0.94815987348556496"/>
    <n v="0"/>
    <n v="2.16131756756756"/>
    <n v="2.2794864326226567"/>
    <n v="4.2524382212141602E-2"/>
    <n v="-2.08802692294121E-2"/>
    <n v="4.0350528433919902E-4"/>
    <n v="-9.7596126645802996E-3"/>
    <n v="-4.3214065954089E-3"/>
    <b v="0"/>
    <b v="0"/>
    <b v="0"/>
    <b v="1"/>
  </r>
  <r>
    <x v="148"/>
    <x v="6"/>
    <n v="665097.25"/>
    <n v="0.94994741678237904"/>
    <n v="1.2999999999999999E-2"/>
    <n v="2.0796197667363301"/>
    <n v="2.1891946122453056"/>
    <n v="-3.7799998508864403E-2"/>
    <n v="-9.7596126645802996E-3"/>
    <n v="-4.4070053845643997E-3"/>
    <n v="1.6364926844835001E-3"/>
    <n v="-4.4902786612510898E-3"/>
    <b v="0"/>
    <b v="0"/>
    <b v="0"/>
    <b v="0"/>
  </r>
  <r>
    <x v="148"/>
    <x v="7"/>
    <n v="666803.25"/>
    <n v="0.94576406478881803"/>
    <n v="5.0000000000000001E-3"/>
    <n v="2.1475781954134199"/>
    <n v="2.2707335532916"/>
    <n v="3.2678295217277199E-2"/>
    <n v="1.6364926844835001E-3"/>
    <n v="-4.4902786612510898E-3"/>
    <n v="-3.6749375835060999E-3"/>
    <n v="-5.6829610839486001E-3"/>
    <b v="0"/>
    <b v="1"/>
    <b v="0"/>
    <b v="0"/>
  </r>
  <r>
    <x v="148"/>
    <x v="8"/>
    <n v="666530.875"/>
    <n v="0.94502502679824796"/>
    <n v="7.0000000000000001E-3"/>
    <n v="2.1460116653488699"/>
    <n v="2.2708516753461798"/>
    <n v="-7.2944029134774198E-4"/>
    <n v="-3.6749375835060999E-3"/>
    <n v="-5.6829610839486001E-3"/>
    <n v="2.6992932125926E-2"/>
    <n v="-3.27051989734169E-3"/>
    <b v="0"/>
    <b v="0"/>
    <b v="0"/>
    <b v="0"/>
  </r>
  <r>
    <x v="148"/>
    <x v="9"/>
    <n v="665290.5625"/>
    <n v="0.95325392484664895"/>
    <n v="-3.0000000000000001E-3"/>
    <n v="2.1628486055776799"/>
    <n v="2.2689113039063749"/>
    <n v="7.8456890522449196E-3"/>
    <n v="2.6992932125926E-2"/>
    <n v="-3.27051989734169E-3"/>
    <n v="1.42351428866386E-2"/>
    <n v="1.0815858840941999E-3"/>
    <b v="0"/>
    <b v="1"/>
    <b v="0"/>
    <b v="0"/>
  </r>
  <r>
    <x v="148"/>
    <x v="10"/>
    <n v="663500.5"/>
    <n v="0.950331211090088"/>
    <n v="8.9999999999999993E-3"/>
    <n v="2.0905741653913701"/>
    <n v="2.1998374261467784"/>
    <n v="-3.3416319570371299E-2"/>
    <n v="1.42351428866386E-2"/>
    <n v="1.0815858840941999E-3"/>
    <n v="-8.7637345343828006E-3"/>
    <n v="-1.1553307995199999E-2"/>
    <b v="1"/>
    <b v="0"/>
    <b v="1"/>
    <b v="0"/>
  </r>
  <r>
    <x v="148"/>
    <x v="11"/>
    <n v="662416.3125"/>
    <n v="0.93342351913452104"/>
    <n v="2.5000000000000001E-2"/>
    <n v="2.1448495311600801"/>
    <n v="2.2978310351005562"/>
    <n v="2.5961942258359801E-2"/>
    <n v="-8.7637345343828006E-3"/>
    <n v="-1.1553307995199999E-2"/>
    <n v="-1.7856413125990101E-4"/>
    <n v="-9.3135870993136909E-3"/>
    <b v="0"/>
    <b v="1"/>
    <b v="0"/>
    <b v="1"/>
  </r>
  <r>
    <x v="148"/>
    <x v="12"/>
    <n v="662907.3125"/>
    <n v="0.94161605834960904"/>
    <n v="6.0000000000000001E-3"/>
    <n v="2.2191500843944798"/>
    <n v="2.3567462180753718"/>
    <n v="3.4641382602822499E-2"/>
    <n v="-1.7856413125990101E-4"/>
    <n v="-9.3135870993136909E-3"/>
    <n v="1.0442762792110399E-2"/>
    <n v="-7.3584318161011002E-3"/>
    <b v="0"/>
    <b v="1"/>
    <b v="0"/>
    <b v="1"/>
  </r>
  <r>
    <x v="148"/>
    <x v="13"/>
    <n v="662428.3125"/>
    <n v="0.94938534498214699"/>
    <n v="1E-3"/>
    <n v="2.0612131006499101"/>
    <n v="2.1711027156087721"/>
    <n v="-7.1170032552197393E-2"/>
    <n v="1.0442762792110399E-2"/>
    <n v="-7.3584318161011002E-3"/>
    <n v="2.37589982450007E-2"/>
    <n v="4.9098078161477904E-3"/>
    <b v="0"/>
    <b v="0"/>
    <b v="1"/>
    <b v="0"/>
  </r>
  <r>
    <x v="148"/>
    <x v="14"/>
    <n v="659036.3125"/>
    <n v="0.950281202793121"/>
    <n v="1.9E-2"/>
    <n v="2.0102667444450302"/>
    <n v="2.1154440796433085"/>
    <n v="-2.4716685620142401E-2"/>
    <n v="2.37589982450007E-2"/>
    <n v="4.9098078161477904E-3"/>
    <n v="4.9079789519309996E-3"/>
    <n v="-3.8681633770465899E-2"/>
    <b v="1"/>
    <b v="0"/>
    <b v="1"/>
    <b v="0"/>
  </r>
  <r>
    <x v="148"/>
    <x v="15"/>
    <n v="656783.375"/>
    <n v="0.95619726181030296"/>
    <n v="6.0000000000000001E-3"/>
    <n v="2.0379313451662302"/>
    <n v="2.1312875769043242"/>
    <n v="1.37616566545921E-2"/>
    <n v="4.9079789519309996E-3"/>
    <n v="-3.8681633770465899E-2"/>
    <n v="-1.4969201683998E-2"/>
    <n v="1.7134305089712198E-2"/>
    <b v="0"/>
    <b v="1"/>
    <b v="0"/>
    <b v="0"/>
  </r>
  <r>
    <x v="148"/>
    <x v="16"/>
    <n v="655151.1875"/>
    <n v="0.94395375251769997"/>
    <n v="8.9999999999999993E-3"/>
    <n v="1.92595518756123"/>
    <n v="2.0403067231041243"/>
    <n v="-5.4945991125067699E-2"/>
    <n v="-1.4969201683998E-2"/>
    <n v="1.7613008618354801E-2"/>
    <n v="1.3975207895040399E-2"/>
    <n v="3.3534135669469799E-2"/>
    <b v="1"/>
    <b v="0"/>
    <b v="0"/>
    <b v="0"/>
  </r>
  <r>
    <x v="149"/>
    <x v="0"/>
    <n v="352254.40625"/>
    <n v="0.89903068542480502"/>
    <n v="5.3999999999999999E-2"/>
    <n v="2.1303125296855701"/>
    <n v="2.3695659828106606"/>
    <n v="-2.1030457651459E-2"/>
    <n v="2.2364014416933101E-2"/>
    <n v="1.60009749233723E-2"/>
    <n v="-2.5799673944711999E-3"/>
    <n v="-1.6582114621997001E-3"/>
    <b v="1"/>
    <b v="0"/>
    <b v="1"/>
    <b v="0"/>
  </r>
  <r>
    <x v="149"/>
    <x v="1"/>
    <n v="358324.875"/>
    <n v="0.87683683633804299"/>
    <n v="1.2E-2"/>
    <n v="2.10635167170767"/>
    <n v="2.4022162213262876"/>
    <n v="-1.12475787679056E-2"/>
    <n v="-2.5799673944711999E-3"/>
    <n v="-1.6582114621997001E-3"/>
    <n v="-5.1319332152605097E-2"/>
    <n v="-2.18085278756916E-2"/>
    <b v="0"/>
    <b v="0"/>
    <b v="0"/>
    <b v="0"/>
  </r>
  <r>
    <x v="149"/>
    <x v="2"/>
    <n v="362116.40625"/>
    <n v="0.86095976829528797"/>
    <n v="3.9E-2"/>
    <n v="2.2246410645500099"/>
    <n v="2.5839082689715331"/>
    <n v="5.6158425219869003E-2"/>
    <n v="-5.1319332152605097E-2"/>
    <n v="-2.18085278756916E-2"/>
    <n v="-2.2919145137071599E-2"/>
    <n v="3.6475565284490499E-3"/>
    <b v="0"/>
    <b v="1"/>
    <b v="0"/>
    <b v="1"/>
  </r>
  <r>
    <x v="149"/>
    <x v="3"/>
    <n v="365848.6875"/>
    <n v="0.86731880903243996"/>
    <n v="2E-3"/>
    <n v="2.14867969882286"/>
    <n v="2.4773816461098952"/>
    <n v="-3.4145447972533098E-2"/>
    <n v="-2.2919145137071599E-2"/>
    <n v="3.6475565284490499E-3"/>
    <n v="-5.38665445894E-3"/>
    <n v="4.0734542999416798E-3"/>
    <b v="1"/>
    <b v="0"/>
    <b v="0"/>
    <b v="0"/>
  </r>
  <r>
    <x v="149"/>
    <x v="4"/>
    <n v="369608.3125"/>
    <n v="0.87470632791519198"/>
    <n v="1.4999999999999999E-2"/>
    <n v="2.1639377662529999"/>
    <n v="2.4739020368248745"/>
    <n v="7.1011363110586798E-3"/>
    <n v="-5.38665445894E-3"/>
    <n v="4.0734542999416798E-3"/>
    <n v="-1.6579953365027801E-2"/>
    <n v="4.7038211487234003E-3"/>
    <b v="0"/>
    <b v="0"/>
    <b v="0"/>
    <b v="1"/>
  </r>
  <r>
    <x v="150"/>
    <x v="0"/>
    <n v="2706494"/>
    <n v="0.935269474983215"/>
    <n v="0.01"/>
    <n v="2.1532191589830298"/>
    <n v="2.3022446648562682"/>
    <n v="-7.6647413975587002E-4"/>
    <n v="2.8061920434236401E-2"/>
    <n v="2.1698880940675701E-2"/>
    <n v="-7.0819416046143E-3"/>
    <n v="-6.1601856723427998E-3"/>
    <b v="1"/>
    <b v="0"/>
    <b v="1"/>
    <b v="0"/>
  </r>
  <r>
    <x v="150"/>
    <x v="1"/>
    <n v="2731812"/>
    <n v="0.91248285770416304"/>
    <n v="1.2999999999999999E-2"/>
    <n v="2.17870956508761"/>
    <n v="2.3876717756312873"/>
    <n v="1.1838277584629299E-2"/>
    <n v="-7.0819416046143E-3"/>
    <n v="-6.1601856723427998E-3"/>
    <n v="-5.03753435909748E-2"/>
    <n v="-2.0864539314061299E-2"/>
    <b v="0"/>
    <b v="1"/>
    <b v="0"/>
    <b v="1"/>
  </r>
  <r>
    <x v="150"/>
    <x v="2"/>
    <n v="2751337"/>
    <n v="0.90057963132858299"/>
    <n v="1.6E-2"/>
    <n v="2.19832441773368"/>
    <n v="2.4410105905799746"/>
    <n v="9.0029680689828404E-3"/>
    <n v="-5.03753435909748E-2"/>
    <n v="-2.0864539314061299E-2"/>
    <n v="-2.4344321995973601E-2"/>
    <n v="2.2223796695470398E-3"/>
    <b v="0"/>
    <b v="1"/>
    <b v="0"/>
    <b v="1"/>
  </r>
  <r>
    <x v="150"/>
    <x v="3"/>
    <n v="2769874"/>
    <n v="0.90401774644851696"/>
    <n v="1.4E-2"/>
    <n v="2.2359854453771799"/>
    <n v="2.4733866720663071"/>
    <n v="1.7131696914109699E-2"/>
    <n v="-2.4344321995973601E-2"/>
    <n v="2.2223796695470398E-3"/>
    <n v="-1.17000166177749E-2"/>
    <n v="-2.2399078588932701E-3"/>
    <b v="0"/>
    <b v="0"/>
    <b v="0"/>
    <b v="1"/>
  </r>
  <r>
    <x v="150"/>
    <x v="4"/>
    <n v="2791902"/>
    <n v="0.91115814447402999"/>
    <n v="5.0000000000000001E-3"/>
    <n v="2.1729090194384901"/>
    <n v="2.3847770363648686"/>
    <n v="-2.8209676440024901E-2"/>
    <n v="-1.17000166177749E-2"/>
    <n v="-2.2399078588932701E-3"/>
    <n v="-2.0327783532440701E-2"/>
    <n v="9.5599098131059896E-4"/>
    <b v="0"/>
    <b v="0"/>
    <b v="0"/>
    <b v="0"/>
  </r>
  <r>
    <x v="150"/>
    <x v="5"/>
    <n v="2812190"/>
    <n v="0.91173899173736594"/>
    <n v="4.0000000000000001E-3"/>
    <n v="2.2194632279426698"/>
    <n v="2.4343186460780486"/>
    <n v="2.1424830992792999E-2"/>
    <n v="-2.0327783532440701E-2"/>
    <n v="9.5599098131059896E-4"/>
    <n v="-2.1936859041452E-3"/>
    <n v="3.2445201650262E-3"/>
    <b v="0"/>
    <b v="0"/>
    <b v="0"/>
    <b v="1"/>
  </r>
  <r>
    <x v="150"/>
    <x v="6"/>
    <n v="2838855"/>
    <n v="0.92773365974426303"/>
    <n v="8.9999999999999993E-3"/>
    <n v="2.2271026352254202"/>
    <n v="2.4005840596959027"/>
    <n v="3.4420066917828099E-3"/>
    <n v="-2.1936859041452E-3"/>
    <n v="3.1589213758706999E-3"/>
    <n v="8.9125471562147007E-3"/>
    <n v="2.7857758104801E-3"/>
    <b v="0"/>
    <b v="0"/>
    <b v="0"/>
    <b v="1"/>
  </r>
  <r>
    <x v="150"/>
    <x v="7"/>
    <n v="2872194"/>
    <n v="0.93367671966552701"/>
    <n v="1.0999999999999999E-2"/>
    <n v="2.2466055856054701"/>
    <n v="2.4061921415479612"/>
    <n v="8.7570954618705794E-3"/>
    <n v="8.9125471562147007E-3"/>
    <n v="2.7857758104801E-3"/>
    <n v="8.0073129534720903E-3"/>
    <n v="5.9992894530295901E-3"/>
    <b v="0"/>
    <b v="0"/>
    <b v="0"/>
    <b v="0"/>
  </r>
  <r>
    <x v="150"/>
    <x v="8"/>
    <n v="2916133"/>
    <n v="0.93070226907730103"/>
    <n v="3.2000000000000001E-2"/>
    <n v="2.2737328231857798"/>
    <n v="2.4430292035711489"/>
    <n v="1.20747663738206E-2"/>
    <n v="8.0073129534720903E-3"/>
    <n v="5.9992894530295901E-3"/>
    <n v="5.7815889060497297E-2"/>
    <n v="2.75524370372296E-2"/>
    <b v="0"/>
    <b v="0"/>
    <b v="0"/>
    <b v="0"/>
  </r>
  <r>
    <x v="150"/>
    <x v="9"/>
    <n v="2969158"/>
    <n v="0.94159430265426602"/>
    <n v="1.4999999999999999E-2"/>
    <n v="2.2435305097510101"/>
    <n v="2.3826933780575223"/>
    <n v="-1.32831408891962E-2"/>
    <n v="5.7815889060497297E-2"/>
    <n v="2.75524370372296E-2"/>
    <n v="2.1015204757452E-2"/>
    <n v="7.8616477549075994E-3"/>
    <b v="1"/>
    <b v="0"/>
    <b v="1"/>
    <b v="0"/>
  </r>
  <r>
    <x v="150"/>
    <x v="10"/>
    <n v="3027638"/>
    <n v="0.93210846185684204"/>
    <n v="1.9E-2"/>
    <n v="2.2758475917794199"/>
    <n v="2.4416124141237074"/>
    <n v="1.44045654328978E-2"/>
    <n v="2.1015204757452E-2"/>
    <n v="7.8616477549075994E-3"/>
    <n v="1.51132584512234E-2"/>
    <n v="1.2323684990406101E-2"/>
    <b v="0"/>
    <b v="0"/>
    <b v="0"/>
    <b v="0"/>
  </r>
  <r>
    <x v="150"/>
    <x v="11"/>
    <n v="3077673"/>
    <n v="0.93424057960510298"/>
    <n v="2.1000000000000001E-2"/>
    <n v="2.26846214004413"/>
    <n v="2.4281348825620412"/>
    <n v="-3.24514337514206E-3"/>
    <n v="1.51132584512234E-2"/>
    <n v="1.2323684990406101E-2"/>
    <n v="1.87542142570018E-2"/>
    <n v="9.6191912889481007E-3"/>
    <b v="1"/>
    <b v="0"/>
    <b v="1"/>
    <b v="0"/>
  </r>
  <r>
    <x v="150"/>
    <x v="12"/>
    <n v="3118283"/>
    <n v="0.92607516050338701"/>
    <n v="4.1000000000000002E-2"/>
    <n v="2.2334615660761399"/>
    <n v="2.4117497815858666"/>
    <n v="-1.5429207898220399E-2"/>
    <n v="1.87542142570018E-2"/>
    <n v="9.6191912889481007E-3"/>
    <n v="2.5216079473495499E-2"/>
    <n v="7.4148848652839904E-3"/>
    <b v="1"/>
    <b v="0"/>
    <b v="1"/>
    <b v="0"/>
  </r>
  <r>
    <x v="150"/>
    <x v="13"/>
    <n v="3154971"/>
    <n v="0.93442994356155396"/>
    <n v="2.1000000000000001E-2"/>
    <n v="2.1756186541250901"/>
    <n v="2.3282843931914035"/>
    <n v="-2.5898324300549901E-2"/>
    <n v="2.5216079473495499E-2"/>
    <n v="7.4148848652839904E-3"/>
    <n v="3.4898305416107098E-2"/>
    <n v="1.6049114987254101E-2"/>
    <b v="1"/>
    <b v="0"/>
    <b v="1"/>
    <b v="0"/>
  </r>
  <r>
    <x v="150"/>
    <x v="14"/>
    <n v="3198518"/>
    <n v="0.93915766477584794"/>
    <n v="3.4000000000000002E-2"/>
    <n v="2.0282567336042701"/>
    <n v="2.1596551992027466"/>
    <n v="-6.7733341153981802E-2"/>
    <n v="3.4898305416107098E-2"/>
    <n v="1.6049114987254101E-2"/>
    <n v="0.153397446751595"/>
    <n v="0.109807834029198"/>
    <b v="1"/>
    <b v="0"/>
    <b v="1"/>
    <b v="0"/>
  </r>
  <r>
    <x v="150"/>
    <x v="15"/>
    <n v="3248773"/>
    <n v="0.95384776592254605"/>
    <n v="3.2000000000000001E-2"/>
    <n v="2.14000388419417"/>
    <n v="2.2435486674588927"/>
    <n v="5.5095170516861698E-2"/>
    <n v="0.153397446751595"/>
    <n v="0.109807834029198"/>
    <n v="-4.4343097060918803E-2"/>
    <n v="-1.22395902872085E-2"/>
    <b v="0"/>
    <b v="0"/>
    <b v="0"/>
    <b v="0"/>
  </r>
  <r>
    <x v="150"/>
    <x v="16"/>
    <n v="3322632"/>
    <n v="0.92432147264480602"/>
    <n v="3.9E-2"/>
    <n v="2.2205585560464498"/>
    <n v="2.4023660834067369"/>
    <n v="3.7642301701996103E-2"/>
    <n v="-4.4343097060918803E-2"/>
    <n v="-1.1760886758565899E-2"/>
    <n v="-5.0073721244931202E-2"/>
    <n v="-3.05147934705019E-2"/>
    <b v="0"/>
    <b v="1"/>
    <b v="0"/>
    <b v="1"/>
  </r>
  <r>
    <x v="151"/>
    <x v="0"/>
    <n v="614292.9375"/>
    <n v="0.91230827569961503"/>
    <n v="1.6E-2"/>
    <n v="2.06270675949242"/>
    <n v="2.26097560927046"/>
    <n v="1.66720517656598E-2"/>
    <n v="-1.27713348418474E-2"/>
    <n v="-1.91343743354081E-2"/>
    <n v="-6.9676161706447998E-3"/>
    <n v="-6.04586023837329E-3"/>
    <b v="0"/>
    <b v="1"/>
    <b v="0"/>
    <b v="1"/>
  </r>
  <r>
    <x v="151"/>
    <x v="1"/>
    <n v="613162.1875"/>
    <n v="0.91775029897689797"/>
    <n v="0"/>
    <n v="2.0492618573971302"/>
    <n v="2.2329187576202743"/>
    <n v="-6.5180869909973304E-3"/>
    <n v="-6.9676161706447998E-3"/>
    <n v="-6.04586023837329E-3"/>
    <n v="-2.56779280602931E-2"/>
    <n v="3.8328762166201999E-3"/>
    <b v="0"/>
    <b v="0"/>
    <b v="0"/>
    <b v="0"/>
  </r>
  <r>
    <x v="151"/>
    <x v="2"/>
    <n v="611682.5"/>
    <n v="0.91469889879226696"/>
    <n v="8.9999999999999993E-3"/>
    <n v="2.1107444757526301"/>
    <n v="2.3075839257482169"/>
    <n v="3.0002324072724101E-2"/>
    <n v="-2.56779280602931E-2"/>
    <n v="3.8328762166201999E-3"/>
    <n v="-1.7012296900153202E-2"/>
    <n v="9.5544047653674403E-3"/>
    <b v="0"/>
    <b v="0"/>
    <b v="0"/>
    <b v="1"/>
  </r>
  <r>
    <x v="151"/>
    <x v="3"/>
    <n v="610627.3125"/>
    <n v="0.90299063920974698"/>
    <n v="1.2E-2"/>
    <n v="2.1465266892671799"/>
    <n v="2.3771306102859655"/>
    <n v="1.6952413674702599E-2"/>
    <n v="-1.7012296900153202E-2"/>
    <n v="9.5544047653674403E-3"/>
    <n v="-1.3328517027199199E-2"/>
    <n v="-3.8684082683175798E-3"/>
    <b v="0"/>
    <b v="0"/>
    <b v="0"/>
    <b v="1"/>
  </r>
  <r>
    <x v="151"/>
    <x v="4"/>
    <n v="610011.75"/>
    <n v="0.91109281778335605"/>
    <n v="0"/>
    <n v="2.1578771216830002"/>
    <n v="2.3684492727458974"/>
    <n v="5.28781331840483E-3"/>
    <n v="-1.3328517027199199E-2"/>
    <n v="-3.8684082683175798E-3"/>
    <n v="-2.5962553329765801E-2"/>
    <n v="-4.6787788160144997E-3"/>
    <b v="0"/>
    <b v="1"/>
    <b v="0"/>
    <b v="1"/>
  </r>
  <r>
    <x v="151"/>
    <x v="5"/>
    <n v="609245.8125"/>
    <n v="0.915277719497681"/>
    <n v="1.2999999999999999E-2"/>
    <n v="2.2914541937752699"/>
    <n v="2.5035616457842504"/>
    <n v="6.1902075308205101E-2"/>
    <n v="-2.5962553329765801E-2"/>
    <n v="-4.6787788160144997E-3"/>
    <n v="-9.7676797807217004E-3"/>
    <n v="-4.3294737115502999E-3"/>
    <b v="0"/>
    <b v="1"/>
    <b v="0"/>
    <b v="1"/>
  </r>
  <r>
    <x v="151"/>
    <x v="6"/>
    <n v="608790.375"/>
    <n v="0.92314356565475497"/>
    <n v="5.0000000000000001E-3"/>
    <n v="2.1324131839010598"/>
    <n v="2.3099475132977938"/>
    <n v="-6.9406148421489497E-2"/>
    <n v="-9.7676797807217004E-3"/>
    <n v="-4.4150725007057997E-3"/>
    <n v="2.5123959779738999E-3"/>
    <n v="-3.6143753677606999E-3"/>
    <b v="0"/>
    <b v="0"/>
    <b v="0"/>
    <b v="0"/>
  </r>
  <r>
    <x v="151"/>
    <x v="7"/>
    <n v="608830.0625"/>
    <n v="0.92523354291915905"/>
    <n v="0"/>
    <n v="2.0607028753993601"/>
    <n v="2.227224565267854"/>
    <n v="-3.3628711847727699E-2"/>
    <n v="2.5123959779738999E-3"/>
    <n v="-3.6143753677606999E-3"/>
    <n v="-9.0263557471334903E-3"/>
    <n v="-1.1034379247575899E-2"/>
    <b v="0"/>
    <b v="0"/>
    <b v="1"/>
    <b v="0"/>
  </r>
  <r>
    <x v="151"/>
    <x v="8"/>
    <n v="608338.8125"/>
    <n v="0.92777186632156405"/>
    <n v="0"/>
    <n v="2.1295070460558199"/>
    <n v="2.2952916803770989"/>
    <n v="3.3388690566626703E-2"/>
    <n v="-9.0263557471334903E-3"/>
    <n v="-1.1034379247575899E-2"/>
    <n v="3.7982663303613599E-2"/>
    <n v="7.719211280346E-3"/>
    <b v="0"/>
    <b v="1"/>
    <b v="0"/>
    <b v="1"/>
  </r>
  <r>
    <x v="151"/>
    <x v="9"/>
    <n v="607922.1875"/>
    <n v="0.92934513092041005"/>
    <n v="6.0000000000000001E-3"/>
    <n v="2.1217440366109699"/>
    <n v="2.2830528358281978"/>
    <n v="-3.6454490532114399E-3"/>
    <n v="3.7982663303613599E-2"/>
    <n v="7.719211280346E-3"/>
    <n v="4.6131743937731003E-3"/>
    <n v="-8.5403826087712999E-3"/>
    <b v="1"/>
    <b v="0"/>
    <b v="1"/>
    <b v="0"/>
  </r>
  <r>
    <x v="151"/>
    <x v="10"/>
    <n v="607998"/>
    <n v="0.92521667480468806"/>
    <n v="0"/>
    <n v="2.1763530441006802"/>
    <n v="2.3522631004895209"/>
    <n v="2.57377923761891E-2"/>
    <n v="4.6131743937731003E-3"/>
    <n v="-8.5403826087712999E-3"/>
    <n v="7.1171277165412898E-3"/>
    <n v="4.3275542557240001E-3"/>
    <b v="0"/>
    <b v="1"/>
    <b v="0"/>
    <b v="0"/>
  </r>
  <r>
    <x v="151"/>
    <x v="11"/>
    <n v="607230.3125"/>
    <n v="0.92946749925613403"/>
    <n v="2.4E-2"/>
    <n v="2.1434017980846001"/>
    <n v="2.3060535196765835"/>
    <n v="-1.51405793767706E-2"/>
    <n v="7.1171277165412898E-3"/>
    <n v="4.3275542557240001E-3"/>
    <n v="8.2221443057059994E-3"/>
    <n v="-9.1287866234779304E-4"/>
    <b v="1"/>
    <b v="0"/>
    <b v="1"/>
    <b v="0"/>
  </r>
  <r>
    <x v="151"/>
    <x v="12"/>
    <n v="606502.375"/>
    <n v="0.93481647968292203"/>
    <n v="1.0999999999999999E-2"/>
    <n v="2.20270552377771"/>
    <n v="2.3562972750810296"/>
    <n v="2.76680395370121E-2"/>
    <n v="8.2221443057059994E-3"/>
    <n v="-9.1287866234779304E-4"/>
    <n v="7.8750654757022993E-3"/>
    <n v="-9.9261291325092003E-3"/>
    <b v="0"/>
    <b v="1"/>
    <b v="0"/>
    <b v="0"/>
  </r>
  <r>
    <x v="151"/>
    <x v="13"/>
    <n v="606270.8125"/>
    <n v="0.93888628482818604"/>
    <n v="4.0000000000000001E-3"/>
    <n v="2.1409162947825"/>
    <n v="2.2802722005618419"/>
    <n v="-2.8051515887262998E-2"/>
    <n v="7.8750654757022993E-3"/>
    <n v="-9.9261291325092003E-3"/>
    <n v="2.7577305316925E-2"/>
    <n v="8.728114888072E-3"/>
    <b v="0"/>
    <b v="0"/>
    <b v="1"/>
    <b v="0"/>
  </r>
  <r>
    <x v="151"/>
    <x v="14"/>
    <n v="604907.5"/>
    <n v="0.94801557064056396"/>
    <n v="1.6E-2"/>
    <n v="2.0167763194514001"/>
    <n v="2.1273662394476136"/>
    <n v="-5.7984506743038997E-2"/>
    <n v="2.7577305316925E-2"/>
    <n v="8.728114888072E-3"/>
    <n v="2.5642758488655101E-2"/>
    <n v="-1.7946854233741798E-2"/>
    <b v="1"/>
    <b v="0"/>
    <b v="1"/>
    <b v="0"/>
  </r>
  <r>
    <x v="151"/>
    <x v="15"/>
    <n v="601912.125"/>
    <n v="0.95190519094467196"/>
    <n v="1.4999999999999999E-2"/>
    <n v="1.9415396058014101"/>
    <n v="2.0396354849947018"/>
    <n v="-3.73054328952327E-2"/>
    <n v="2.5642758488655101E-2"/>
    <n v="-1.7946854233741798E-2"/>
    <n v="-3.02806402742863E-2"/>
    <n v="1.822866499424E-3"/>
    <b v="0"/>
    <b v="0"/>
    <b v="1"/>
    <b v="0"/>
  </r>
  <r>
    <x v="151"/>
    <x v="16"/>
    <n v="600935.75"/>
    <n v="0.93894296884536699"/>
    <n v="0.01"/>
    <n v="1.9811486446929301"/>
    <n v="2.1099776135809183"/>
    <n v="2.0400840020552102E-2"/>
    <n v="-3.02806402742863E-2"/>
    <n v="2.3015700280666E-3"/>
    <n v="-1.7567670702934302E-2"/>
    <n v="1.9912570714950002E-3"/>
    <b v="0"/>
    <b v="0"/>
    <b v="0"/>
    <b v="1"/>
  </r>
  <r>
    <x v="152"/>
    <x v="0"/>
    <n v="362881.59375"/>
    <n v="0.95150321722030595"/>
    <n v="0"/>
    <n v="2.3092588386705999"/>
    <n v="2.426958518770753"/>
    <n v="6.1389325079129198E-2"/>
    <n v="3.9520688652991904E-3"/>
    <n v="-2.4109706282616E-3"/>
    <n v="8.7384573221206997E-3"/>
    <n v="9.6602132543922008E-3"/>
    <b v="0"/>
    <b v="1"/>
    <b v="0"/>
    <b v="0"/>
  </r>
  <r>
    <x v="152"/>
    <x v="1"/>
    <n v="363343.40625"/>
    <n v="0.95484012365341198"/>
    <n v="0"/>
    <n v="2.3431945018602698"/>
    <n v="2.4540176348001927"/>
    <n v="1.4695478315980099E-2"/>
    <n v="8.7384573221206997E-3"/>
    <n v="9.6602132543922008E-3"/>
    <n v="-3.3351675897836601E-2"/>
    <n v="-3.8408716209232798E-3"/>
    <b v="0"/>
    <b v="0"/>
    <b v="0"/>
    <b v="0"/>
  </r>
  <r>
    <x v="152"/>
    <x v="2"/>
    <n v="364451.6875"/>
    <n v="0.95591288805007901"/>
    <n v="0"/>
    <n v="2.27295037049391"/>
    <n v="2.377779815408068"/>
    <n v="-2.9977934529375801E-2"/>
    <n v="-3.3351675897836601E-2"/>
    <n v="-3.8408716209232798E-3"/>
    <n v="-2.4250632807612301E-2"/>
    <n v="2.3160688579082502E-3"/>
    <b v="0"/>
    <b v="0"/>
    <b v="0"/>
    <b v="0"/>
  </r>
  <r>
    <x v="152"/>
    <x v="3"/>
    <n v="366116.90625"/>
    <n v="0.95582216978073098"/>
    <n v="-1E-3"/>
    <n v="2.23016575100102"/>
    <n v="2.3332433809446247"/>
    <n v="-1.8823384816620801E-2"/>
    <n v="-2.4250632807612301E-2"/>
    <n v="2.3160688579082502E-3"/>
    <n v="-4.4181308150290002E-4"/>
    <n v="9.0182956773787806E-3"/>
    <b v="1"/>
    <b v="0"/>
    <b v="0"/>
    <b v="0"/>
  </r>
  <r>
    <x v="152"/>
    <x v="4"/>
    <n v="368639.3125"/>
    <n v="0.95631450414657604"/>
    <n v="0"/>
    <n v="2.3829391255182801"/>
    <n v="2.4917943994218064"/>
    <n v="6.8503148005336897E-2"/>
    <n v="-4.4181308150290002E-4"/>
    <n v="9.0182956773787806E-3"/>
    <n v="-1.6962870366871399E-2"/>
    <n v="4.3209041468799001E-3"/>
    <b v="0"/>
    <b v="0"/>
    <b v="0"/>
    <b v="1"/>
  </r>
  <r>
    <x v="152"/>
    <x v="5"/>
    <n v="370637.90625"/>
    <n v="0.95817071199417103"/>
    <n v="0"/>
    <n v="2.3431112533723502"/>
    <n v="2.4454006202045178"/>
    <n v="-1.67137597932825E-2"/>
    <n v="-1.6962870366871399E-2"/>
    <n v="4.3209041468799001E-3"/>
    <n v="-8.5395623967052005E-3"/>
    <n v="-3.1013563275338E-3"/>
    <b v="1"/>
    <b v="0"/>
    <b v="0"/>
    <b v="0"/>
  </r>
  <r>
    <x v="152"/>
    <x v="6"/>
    <n v="373794.90625"/>
    <n v="0.95820796489715598"/>
    <n v="5.0000000000000001E-3"/>
    <n v="2.3169224680065001"/>
    <n v="2.4179745450719294"/>
    <n v="-1.1176927825408399E-2"/>
    <n v="-8.5395623967052005E-3"/>
    <n v="-3.1869551166892902E-3"/>
    <n v="7.5095264613628003E-3"/>
    <n v="1.3827551156282E-3"/>
    <b v="0"/>
    <b v="0"/>
    <b v="0"/>
    <b v="0"/>
  </r>
  <r>
    <x v="152"/>
    <x v="7"/>
    <n v="376261.40625"/>
    <n v="0.96003717184066795"/>
    <n v="4.0000000000000001E-3"/>
    <n v="2.5490956617057998"/>
    <n v="2.6552051696273895"/>
    <n v="0.10020758005729"/>
    <n v="7.5095264613628003E-3"/>
    <n v="1.3827551156282E-3"/>
    <n v="-5.9061235189439905E-4"/>
    <n v="-2.5986358523369E-3"/>
    <b v="0"/>
    <b v="0"/>
    <b v="0"/>
    <b v="0"/>
  </r>
  <r>
    <x v="152"/>
    <x v="8"/>
    <n v="377697.21875"/>
    <n v="0.95299202203750599"/>
    <n v="2.9000000000000001E-2"/>
    <n v="2.4156076418111398"/>
    <n v="2.5347616621664342"/>
    <n v="-5.2366814592330703E-2"/>
    <n v="-5.9061235189439905E-4"/>
    <n v="-2.5986358523369E-3"/>
    <n v="3.0853560358285799E-2"/>
    <n v="5.9010833501819905E-4"/>
    <b v="0"/>
    <b v="0"/>
    <b v="0"/>
    <b v="0"/>
  </r>
  <r>
    <x v="152"/>
    <x v="9"/>
    <n v="378977.6875"/>
    <n v="0.94536858797073398"/>
    <n v="2.5999999999999999E-2"/>
    <n v="2.3272635624724298"/>
    <n v="2.461752582099201"/>
    <n v="-3.65721973260821E-2"/>
    <n v="3.0853560358285799E-2"/>
    <n v="5.9010833501819905E-4"/>
    <n v="4.8325176239013903E-3"/>
    <n v="-8.3210393786429995E-3"/>
    <b v="1"/>
    <b v="0"/>
    <b v="1"/>
    <b v="0"/>
  </r>
  <r>
    <x v="152"/>
    <x v="10"/>
    <n v="380855.71875"/>
    <n v="0.94222348928451505"/>
    <n v="3.7999999999999999E-2"/>
    <n v="2.3860278418310701"/>
    <n v="2.5323374644829957"/>
    <n v="2.52503757228968E-2"/>
    <n v="4.8325176239013903E-3"/>
    <n v="-8.3210393786429995E-3"/>
    <n v="-1.07686326876283E-2"/>
    <n v="-1.3558206148445599E-2"/>
    <b v="0"/>
    <b v="1"/>
    <b v="0"/>
    <b v="0"/>
  </r>
  <r>
    <x v="152"/>
    <x v="11"/>
    <n v="383283.125"/>
    <n v="0.95589447021484397"/>
    <n v="2.1999999999999999E-2"/>
    <n v="2.39506250524372"/>
    <n v="2.5055720896736782"/>
    <n v="3.7864870033222299E-3"/>
    <n v="-1.07686326876283E-2"/>
    <n v="-1.3558206148445599E-2"/>
    <n v="8.2791934013366902E-3"/>
    <n v="-8.5582956671709904E-4"/>
    <b v="0"/>
    <b v="1"/>
    <b v="0"/>
    <b v="1"/>
  </r>
  <r>
    <x v="152"/>
    <x v="12"/>
    <n v="385240.5"/>
    <n v="0.95725816488266002"/>
    <n v="1.2999999999999999E-2"/>
    <n v="2.3569745103087598"/>
    <n v="2.4622140575815052"/>
    <n v="-1.5902714376585601E-2"/>
    <n v="8.2791934013366902E-3"/>
    <n v="-8.5582956671709904E-4"/>
    <n v="2.3223477572202701E-2"/>
    <n v="5.4222829639911999E-3"/>
    <b v="0"/>
    <b v="0"/>
    <b v="1"/>
    <b v="0"/>
  </r>
  <r>
    <x v="152"/>
    <x v="13"/>
    <n v="386574"/>
    <n v="0.96674156188964799"/>
    <n v="3.0000000000000001E-3"/>
    <n v="2.2332720699614201"/>
    <n v="2.3101024699880903"/>
    <n v="-5.2483571547465899E-2"/>
    <n v="2.3223477572202701E-2"/>
    <n v="5.4222829639911999E-3"/>
    <n v="1.34314504563807E-2"/>
    <n v="-5.4177399724722004E-3"/>
    <b v="1"/>
    <b v="0"/>
    <b v="1"/>
    <b v="0"/>
  </r>
  <r>
    <x v="152"/>
    <x v="14"/>
    <n v="385414.625"/>
    <n v="0.97057187557220503"/>
    <n v="2.9000000000000001E-2"/>
    <n v="2.15088477366255"/>
    <n v="2.2161004535542368"/>
    <n v="-3.6890846129775702E-2"/>
    <n v="1.34314504563807E-2"/>
    <n v="-5.4177399724722004E-3"/>
    <n v="2.5745583951473101E-2"/>
    <n v="-1.7844028770923701E-2"/>
    <b v="0"/>
    <b v="0"/>
    <b v="1"/>
    <b v="0"/>
  </r>
  <r>
    <x v="152"/>
    <x v="15"/>
    <n v="382129.59375"/>
    <n v="0.92916005849838301"/>
    <n v="6.9000000000000006E-2"/>
    <n v="2.2758085577487099"/>
    <n v="2.4493181093326886"/>
    <n v="5.8080184311056701E-2"/>
    <n v="2.5745583951473101E-2"/>
    <n v="-1.7844028770923701E-2"/>
    <n v="-4.7584789991379E-3"/>
    <n v="2.73450277745723E-2"/>
    <b v="0"/>
    <b v="1"/>
    <b v="0"/>
    <b v="0"/>
  </r>
  <r>
    <x v="152"/>
    <x v="16"/>
    <n v="383128.375"/>
    <n v="0.97027939558029197"/>
    <n v="2E-3"/>
    <n v="2.2960431029488402"/>
    <n v="2.3663731430426314"/>
    <n v="8.8911455804273395E-3"/>
    <n v="-4.7584789991379E-3"/>
    <n v="2.7823731303214898E-2"/>
    <n v="-1.7491982117295302E-2"/>
    <n v="2.0669456571340001E-3"/>
    <b v="0"/>
    <b v="0"/>
    <b v="0"/>
    <b v="1"/>
  </r>
  <r>
    <x v="153"/>
    <x v="0"/>
    <n v="944611.5625"/>
    <n v="0.93765270709991499"/>
    <n v="2E-3"/>
    <n v="2.2105454430539702"/>
    <n v="2.3575311267334906"/>
    <n v="-2.3916002925468999E-2"/>
    <n v="7.7190451622008898E-3"/>
    <n v="1.3560056686401001E-3"/>
    <n v="1.9349372982978899E-3"/>
    <n v="2.85669323056939E-3"/>
    <b v="1"/>
    <b v="0"/>
    <b v="1"/>
    <b v="0"/>
  </r>
  <r>
    <x v="153"/>
    <x v="1"/>
    <n v="958839.875"/>
    <n v="0.92300206422805797"/>
    <n v="3.0000000000000001E-3"/>
    <n v="2.1564117564295202"/>
    <n v="2.3363022034333261"/>
    <n v="-2.4488836813803899E-2"/>
    <n v="1.9349372982978899E-3"/>
    <n v="2.85669323056939E-3"/>
    <n v="-3.47953742016106E-2"/>
    <n v="-5.2845699246972704E-3"/>
    <b v="1"/>
    <b v="0"/>
    <b v="1"/>
    <b v="0"/>
  </r>
  <r>
    <x v="153"/>
    <x v="2"/>
    <n v="969769.6875"/>
    <n v="0.899918913841248"/>
    <n v="5.0000000000000001E-3"/>
    <n v="2.17680553497188"/>
    <n v="2.4188907483678954"/>
    <n v="9.4572747906544203E-3"/>
    <n v="-3.47953742016106E-2"/>
    <n v="-5.2845699246972704E-3"/>
    <n v="-2.6526122078299501E-2"/>
    <n v="4.0579587221149099E-5"/>
    <b v="0"/>
    <b v="1"/>
    <b v="0"/>
    <b v="1"/>
  </r>
  <r>
    <x v="153"/>
    <x v="3"/>
    <n v="977065.5"/>
    <n v="0.88779026269912698"/>
    <n v="2E-3"/>
    <n v="2.2274278622401402"/>
    <n v="2.5089573019962463"/>
    <n v="2.3255328257387301E-2"/>
    <n v="-2.6526122078299501E-2"/>
    <n v="4.0579587221149099E-5"/>
    <n v="-1.09309211224317E-2"/>
    <n v="-1.47081236355007E-3"/>
    <b v="0"/>
    <b v="0"/>
    <b v="0"/>
    <b v="1"/>
  </r>
  <r>
    <x v="153"/>
    <x v="4"/>
    <n v="982638.6875"/>
    <n v="0.89389896392822299"/>
    <n v="1E-3"/>
    <n v="2.2600454564947001"/>
    <n v="2.5283007897928091"/>
    <n v="1.46436141917299E-2"/>
    <n v="-1.09309211224317E-2"/>
    <n v="-1.47081236355007E-3"/>
    <n v="-2.0894741982221601E-2"/>
    <n v="3.8903253152969898E-4"/>
    <b v="0"/>
    <b v="1"/>
    <b v="0"/>
    <b v="1"/>
  </r>
  <r>
    <x v="153"/>
    <x v="5"/>
    <n v="987303.3125"/>
    <n v="0.89641988277435303"/>
    <n v="8.9999999999999993E-3"/>
    <n v="2.3556235190389501"/>
    <n v="2.6278126626871217"/>
    <n v="4.2290327510711101E-2"/>
    <n v="-2.0894741982221601E-2"/>
    <n v="3.8903253152969898E-4"/>
    <n v="-1.68559656515717E-2"/>
    <n v="-1.1417759582400299E-2"/>
    <b v="0"/>
    <b v="0"/>
    <b v="0"/>
    <b v="1"/>
  </r>
  <r>
    <x v="153"/>
    <x v="6"/>
    <n v="990459.4375"/>
    <n v="0.90360969305038497"/>
    <n v="5.0000000000000001E-3"/>
    <n v="2.2346747556454298"/>
    <n v="2.4730531033832381"/>
    <n v="-5.1344691720037999E-2"/>
    <n v="-1.68559656515717E-2"/>
    <n v="-1.15033583715558E-2"/>
    <n v="7.0467019826173996E-3"/>
    <n v="9.19930636882799E-4"/>
    <b v="0"/>
    <b v="0"/>
    <b v="0"/>
    <b v="0"/>
  </r>
  <r>
    <x v="153"/>
    <x v="7"/>
    <n v="993667.75"/>
    <n v="0.89945256710052501"/>
    <n v="1.2E-2"/>
    <n v="2.2700369359242001"/>
    <n v="2.5237983846573369"/>
    <n v="1.58243074028705E-2"/>
    <n v="7.0467019826173996E-3"/>
    <n v="9.19930636882799E-4"/>
    <n v="-8.1754673123359701E-3"/>
    <n v="-1.01834908127784E-2"/>
    <b v="0"/>
    <b v="0"/>
    <b v="0"/>
    <b v="0"/>
  </r>
  <r>
    <x v="153"/>
    <x v="8"/>
    <n v="998826.125"/>
    <n v="0.90014272928237904"/>
    <n v="1.2E-2"/>
    <n v="2.2764953219876198"/>
    <n v="2.5290381713159098"/>
    <n v="2.8450576998181902E-3"/>
    <n v="-8.1754673123359701E-3"/>
    <n v="-1.01834908127784E-2"/>
    <n v="3.09889262318611E-2"/>
    <n v="7.2547420859340301E-4"/>
    <b v="0"/>
    <b v="1"/>
    <b v="0"/>
    <b v="1"/>
  </r>
  <r>
    <x v="153"/>
    <x v="9"/>
    <n v="1002831"/>
    <n v="0.90851044654846203"/>
    <n v="6.0000000000000001E-3"/>
    <n v="2.27225462272254"/>
    <n v="2.5010770446890316"/>
    <n v="-1.86281923099892E-3"/>
    <n v="3.09889262318611E-2"/>
    <n v="7.2547420859340301E-4"/>
    <n v="3.37883981764317E-2"/>
    <n v="2.0634841173887301E-2"/>
    <b v="1"/>
    <b v="0"/>
    <b v="1"/>
    <b v="0"/>
  </r>
  <r>
    <x v="153"/>
    <x v="10"/>
    <n v="1009541"/>
    <n v="0.91851907968521096"/>
    <n v="6.0000000000000001E-3"/>
    <n v="2.2578956540389798"/>
    <n v="2.4581913473292154"/>
    <n v="-6.3192604120922103E-3"/>
    <n v="3.37883981764317E-2"/>
    <n v="2.0634841173887301E-2"/>
    <n v="2.3813834130763999E-2"/>
    <n v="2.1024260669946698E-2"/>
    <b v="1"/>
    <b v="0"/>
    <b v="1"/>
    <b v="0"/>
  </r>
  <r>
    <x v="153"/>
    <x v="11"/>
    <n v="1018135"/>
    <n v="0.93057495355606101"/>
    <n v="0"/>
    <n v="2.2651596527117301"/>
    <n v="2.434150676477743"/>
    <n v="3.2171542824662299E-3"/>
    <n v="2.3813834130763999E-2"/>
    <n v="2.1024260669946698E-2"/>
    <n v="3.7498392373323398E-2"/>
    <n v="2.8363369405269599E-2"/>
    <b v="0"/>
    <b v="0"/>
    <b v="0"/>
    <b v="0"/>
  </r>
  <r>
    <x v="153"/>
    <x v="12"/>
    <n v="1027405"/>
    <n v="0.93539535999298096"/>
    <n v="4.0000000000000001E-3"/>
    <n v="2.2676168270335899"/>
    <n v="2.4242335637100076"/>
    <n v="1.0847687132859299E-3"/>
    <n v="3.7498392373323398E-2"/>
    <n v="2.8363369405269599E-2"/>
    <n v="3.86597878932953E-2"/>
    <n v="2.0858593285083701E-2"/>
    <b v="0"/>
    <b v="0"/>
    <b v="0"/>
    <b v="0"/>
  </r>
  <r>
    <x v="153"/>
    <x v="13"/>
    <n v="1037720.9375"/>
    <n v="0.93169033527374301"/>
    <n v="7.0000000000000001E-3"/>
    <n v="2.2497046575016899"/>
    <n v="2.414648486013002"/>
    <n v="-7.8991165166678902E-3"/>
    <n v="3.86597878932953E-2"/>
    <n v="2.0858593285083701E-2"/>
    <n v="4.95042112767696E-2"/>
    <n v="3.06550208479166E-2"/>
    <b v="1"/>
    <b v="0"/>
    <b v="1"/>
    <b v="0"/>
  </r>
  <r>
    <x v="153"/>
    <x v="14"/>
    <n v="1046157.9375"/>
    <n v="0.94937503337860096"/>
    <n v="2E-3"/>
    <n v="2.1040698953036499"/>
    <n v="2.216268409561776"/>
    <n v="-6.4735058316396102E-2"/>
    <n v="4.95042112767696E-2"/>
    <n v="3.06550208479166E-2"/>
    <n v="0.112343421459198"/>
    <n v="6.8753808736800995E-2"/>
    <b v="1"/>
    <b v="0"/>
    <b v="1"/>
    <b v="0"/>
  </r>
  <r>
    <x v="153"/>
    <x v="15"/>
    <n v="1051432"/>
    <n v="0.94702059030532804"/>
    <n v="1.7999999999999999E-2"/>
    <n v="2.2292928093711599"/>
    <n v="2.3540066944610101"/>
    <n v="5.95146170509867E-2"/>
    <n v="0.112343421459198"/>
    <n v="6.8753808736800995E-2"/>
    <n v="-3.9776047617196997E-2"/>
    <n v="-7.6725408434867E-3"/>
    <b v="0"/>
    <b v="0"/>
    <b v="0"/>
    <b v="0"/>
  </r>
  <r>
    <x v="153"/>
    <x v="16"/>
    <n v="1061512"/>
    <n v="0.91515266895294201"/>
    <n v="3.0000000000000001E-3"/>
    <n v="2.1084818643910301"/>
    <n v="2.3039673443813671"/>
    <n v="-5.41924974917092E-2"/>
    <n v="-3.9776047617196997E-2"/>
    <n v="-7.1938373148441002E-3"/>
    <n v="-2.89434686154127E-2"/>
    <n v="-9.3845408409833908E-3"/>
    <b v="0"/>
    <b v="0"/>
    <b v="0"/>
    <b v="0"/>
  </r>
  <r>
    <x v="154"/>
    <x v="0"/>
    <n v="197070.09375"/>
    <n v="0.94855546951293901"/>
    <n v="8.9999999999999993E-3"/>
    <n v="2.4613186364564101"/>
    <n v="2.594807278608851"/>
    <n v="8.6914909929817805E-2"/>
    <n v="1.13800891041756E-2"/>
    <n v="5.0170496106148E-3"/>
    <n v="9.6108234524726992E-3"/>
    <n v="1.05325793847442E-2"/>
    <b v="0"/>
    <b v="0"/>
    <b v="0"/>
    <b v="0"/>
  </r>
  <r>
    <x v="154"/>
    <x v="1"/>
    <n v="200779.203125"/>
    <n v="0.91910290718078602"/>
    <n v="7.0000000000000007E-2"/>
    <n v="2.3882292204439799"/>
    <n v="2.5984350629131665"/>
    <n v="-2.9695227155822901E-2"/>
    <n v="9.6108234524726992E-3"/>
    <n v="1.05325793847442E-2"/>
    <n v="-2.4273196525871801E-2"/>
    <n v="5.2376077510415996E-3"/>
    <b v="1"/>
    <b v="0"/>
    <b v="1"/>
    <b v="0"/>
  </r>
  <r>
    <x v="154"/>
    <x v="2"/>
    <n v="204233.703125"/>
    <n v="0.90506064891815197"/>
    <n v="8.2000000000000003E-2"/>
    <n v="2.3766126535246102"/>
    <n v="2.625915353148379"/>
    <n v="-4.8640921147470898E-3"/>
    <n v="-2.4273196525871801E-2"/>
    <n v="5.2376077510415996E-3"/>
    <n v="-7.6627141833304898E-3"/>
    <n v="1.8903987482190101E-2"/>
    <b v="1"/>
    <b v="0"/>
    <b v="0"/>
    <b v="0"/>
  </r>
  <r>
    <x v="154"/>
    <x v="3"/>
    <n v="207938.09375"/>
    <n v="0.90200632810592696"/>
    <n v="5.8000000000000003E-2"/>
    <n v="2.3205809249963401"/>
    <n v="2.5726880762235882"/>
    <n v="-2.3576298159135499E-2"/>
    <n v="-7.6627141833304898E-3"/>
    <n v="1.8903987482190101E-2"/>
    <n v="-1.0266356807202099E-2"/>
    <n v="-8.06248048320416E-4"/>
    <b v="1"/>
    <b v="0"/>
    <b v="0"/>
    <b v="0"/>
  </r>
  <r>
    <x v="154"/>
    <x v="4"/>
    <n v="210923.09375"/>
    <n v="0.90791314840316795"/>
    <n v="1.2E-2"/>
    <n v="2.2916746705597602"/>
    <n v="2.5241122177714281"/>
    <n v="-1.2456473344763999E-2"/>
    <n v="-1.0266356807202099E-2"/>
    <n v="-8.06248048320416E-4"/>
    <n v="-1.49001277685165E-2"/>
    <n v="6.3836467452347999E-3"/>
    <b v="0"/>
    <b v="0"/>
    <b v="0"/>
    <b v="0"/>
  </r>
  <r>
    <x v="154"/>
    <x v="5"/>
    <n v="213014.09375"/>
    <n v="0.90966552495956399"/>
    <n v="1.2E-2"/>
    <n v="2.36164821456416"/>
    <n v="2.5961720541944677"/>
    <n v="3.05338034684106E-2"/>
    <n v="-1.49001277685165E-2"/>
    <n v="6.3836467452347999E-3"/>
    <n v="1.2824656069279901E-4"/>
    <n v="5.5664526298642002E-3"/>
    <b v="0"/>
    <b v="0"/>
    <b v="0"/>
    <b v="1"/>
  </r>
  <r>
    <x v="154"/>
    <x v="6"/>
    <n v="214827.609375"/>
    <n v="0.907675981521606"/>
    <n v="4.0000000000000001E-3"/>
    <n v="2.4242991326879402"/>
    <n v="2.670886067320966"/>
    <n v="2.6528471826335501E-2"/>
    <n v="1.2824656069279901E-4"/>
    <n v="5.4808538407086996E-3"/>
    <n v="-6.58932734280824E-3"/>
    <n v="-1.2716098688542799E-2"/>
    <b v="0"/>
    <b v="0"/>
    <b v="0"/>
    <b v="0"/>
  </r>
  <r>
    <x v="154"/>
    <x v="7"/>
    <n v="216676.5"/>
    <n v="0.903830707073212"/>
    <n v="2.5000000000000001E-2"/>
    <n v="2.37143836660064"/>
    <n v="2.6237638841457827"/>
    <n v="-2.1804555953744101E-2"/>
    <n v="-6.58932734280824E-3"/>
    <n v="-1.2716098688542799E-2"/>
    <n v="-1.7928631827235E-3"/>
    <n v="-3.8008866831660002E-3"/>
    <b v="0"/>
    <b v="0"/>
    <b v="0"/>
    <b v="0"/>
  </r>
  <r>
    <x v="154"/>
    <x v="8"/>
    <n v="219605.390625"/>
    <n v="0.920010685920715"/>
    <n v="2E-3"/>
    <n v="2.3921738227865599"/>
    <n v="2.6001587366265801"/>
    <n v="8.7438309500092598E-3"/>
    <n v="-1.7928631827235E-3"/>
    <n v="-3.8008866831660002E-3"/>
    <n v="2.7379039838910098E-2"/>
    <n v="-2.8844121843575898E-3"/>
    <b v="0"/>
    <b v="1"/>
    <b v="0"/>
    <b v="1"/>
  </r>
  <r>
    <x v="154"/>
    <x v="9"/>
    <n v="222179.90625"/>
    <n v="0.914775371551514"/>
    <n v="1.4999999999999999E-2"/>
    <n v="2.3149711578866898"/>
    <n v="2.5306443853646385"/>
    <n v="-3.2273016352104798E-2"/>
    <n v="2.7379039838910098E-2"/>
    <n v="-2.8844121843575898E-3"/>
    <n v="-1.40673359502106E-2"/>
    <n v="-2.7220892952755E-2"/>
    <b v="0"/>
    <b v="0"/>
    <b v="1"/>
    <b v="0"/>
  </r>
  <r>
    <x v="154"/>
    <x v="10"/>
    <n v="224563.703125"/>
    <n v="0.90346783399581898"/>
    <n v="2.5000000000000001E-2"/>
    <n v="2.4539124802655499"/>
    <n v="2.7161038699214011"/>
    <n v="6.0018597599158903E-2"/>
    <n v="-1.40673359502106E-2"/>
    <n v="-2.7220892952755E-2"/>
    <n v="8.27384898066519E-3"/>
    <n v="5.4842755198479002E-3"/>
    <b v="0"/>
    <b v="1"/>
    <b v="0"/>
    <b v="1"/>
  </r>
  <r>
    <x v="154"/>
    <x v="11"/>
    <n v="226542.203125"/>
    <n v="0.90128433704376198"/>
    <n v="1.2999999999999999E-2"/>
    <n v="2.4755118819245898"/>
    <n v="2.7466491762681002"/>
    <n v="8.8020260839561902E-3"/>
    <n v="8.27384898066519E-3"/>
    <n v="5.4842755198479002E-3"/>
    <n v="2.5038995057344401E-2"/>
    <n v="1.5903972089290602E-2"/>
    <b v="0"/>
    <b v="0"/>
    <b v="0"/>
    <b v="0"/>
  </r>
  <r>
    <x v="154"/>
    <x v="12"/>
    <n v="229153.3125"/>
    <n v="0.91638898849487305"/>
    <n v="1.4999999999999999E-2"/>
    <n v="2.35749562512152"/>
    <n v="2.5725927032292244"/>
    <n v="-4.7673476206998001E-2"/>
    <n v="2.5038995057344401E-2"/>
    <n v="1.5903972089290602E-2"/>
    <n v="9.5569502264260999E-3"/>
    <n v="-8.2442443817853997E-3"/>
    <b v="1"/>
    <b v="0"/>
    <b v="1"/>
    <b v="0"/>
  </r>
  <r>
    <x v="154"/>
    <x v="13"/>
    <n v="232045.203125"/>
    <n v="0.909742832183838"/>
    <n v="2.5000000000000001E-2"/>
    <n v="2.2728381416974699"/>
    <n v="2.4983303646828645"/>
    <n v="-3.5909921749987098E-2"/>
    <n v="9.5569502264260999E-3"/>
    <n v="-8.2442443817853997E-3"/>
    <n v="2.92133708596229E-2"/>
    <n v="1.03641804307699E-2"/>
    <b v="0"/>
    <b v="0"/>
    <b v="1"/>
    <b v="0"/>
  </r>
  <r>
    <x v="154"/>
    <x v="14"/>
    <n v="234944.109375"/>
    <n v="0.93168306350707997"/>
    <n v="1.4999999999999999E-2"/>
    <n v="2.7101739201437001"/>
    <n v="2.9089011341925128"/>
    <n v="0.19241835589735801"/>
    <n v="2.92133708596229E-2"/>
    <n v="1.03641804307699E-2"/>
    <n v="6.0250869274139002E-2"/>
    <n v="1.6661256551741999E-2"/>
    <b v="0"/>
    <b v="0"/>
    <b v="0"/>
    <b v="0"/>
  </r>
  <r>
    <x v="154"/>
    <x v="15"/>
    <n v="238413.796875"/>
    <n v="0.95298886299133301"/>
    <n v="5.0000000000000001E-3"/>
    <n v="2.2947643979057499"/>
    <n v="2.4079655985723933"/>
    <n v="-0.15327780964548601"/>
    <n v="6.0250869274139002E-2"/>
    <n v="1.6661256551741999E-2"/>
    <n v="-4.0243009030818899E-2"/>
    <n v="-8.1395022571085895E-3"/>
    <b v="1"/>
    <b v="0"/>
    <b v="1"/>
    <b v="0"/>
  </r>
  <r>
    <x v="154"/>
    <x v="16"/>
    <n v="243131.5"/>
    <n v="0.92418074607849099"/>
    <n v="2.3E-2"/>
    <n v="2.3156631669166399"/>
    <n v="2.5056388338996731"/>
    <n v="9.1071523638601194E-3"/>
    <n v="-4.0243009030818899E-2"/>
    <n v="-7.6607987284659897E-3"/>
    <n v="-3.5177498854696697E-2"/>
    <n v="-1.56185710802674E-2"/>
    <b v="0"/>
    <b v="1"/>
    <b v="0"/>
    <b v="1"/>
  </r>
  <r>
    <x v="155"/>
    <x v="0"/>
    <n v="408339.28125"/>
    <n v="0.93856155872345004"/>
    <n v="3.5000000000000003E-2"/>
    <n v="2.7545090180360701"/>
    <n v="2.9348197701411447"/>
    <n v="7.4650565043850203E-2"/>
    <n v="3.7318992614750098E-4"/>
    <n v="-5.9898495674132902E-3"/>
    <n v="4.3259850144389901E-4"/>
    <n v="1.3543544337154001E-3"/>
    <b v="0"/>
    <b v="1"/>
    <b v="0"/>
    <b v="0"/>
  </r>
  <r>
    <x v="155"/>
    <x v="1"/>
    <n v="408422.5"/>
    <n v="0.94468969106674205"/>
    <n v="0"/>
    <n v="2.7009391227488599"/>
    <n v="2.8590754702731687"/>
    <n v="-1.94480740256931E-2"/>
    <n v="4.3259850144389901E-4"/>
    <n v="1.3543544337154001E-3"/>
    <n v="-2.59799792543054E-2"/>
    <n v="3.5308250226080001E-3"/>
    <b v="1"/>
    <b v="0"/>
    <b v="1"/>
    <b v="0"/>
  </r>
  <r>
    <x v="155"/>
    <x v="2"/>
    <n v="409318.90625"/>
    <n v="0.94111508131027199"/>
    <n v="0"/>
    <n v="2.67520978876441"/>
    <n v="2.8425958120231547"/>
    <n v="-9.5260695688190698E-3"/>
    <n v="-2.59799792543054E-2"/>
    <n v="3.5308250226080001E-3"/>
    <n v="-5.0941039532423002E-2"/>
    <n v="-2.4374337866902299E-2"/>
    <b v="1"/>
    <b v="0"/>
    <b v="0"/>
    <b v="0"/>
  </r>
  <r>
    <x v="155"/>
    <x v="3"/>
    <n v="411273.71875"/>
    <n v="0.92538225650787398"/>
    <n v="0"/>
    <n v="2.7220615858677499"/>
    <n v="2.9415536841391643"/>
    <n v="1.75133170116634E-2"/>
    <n v="-5.0941039532423002E-2"/>
    <n v="-2.4374337866902299E-2"/>
    <n v="-1.36998646743595E-2"/>
    <n v="-4.2397559154778702E-3"/>
    <b v="0"/>
    <b v="1"/>
    <b v="0"/>
    <b v="1"/>
  </r>
  <r>
    <x v="155"/>
    <x v="4"/>
    <n v="414880.3125"/>
    <n v="0.935954630374908"/>
    <n v="0"/>
    <n v="2.83848469834978"/>
    <n v="3.0327161234437083"/>
    <n v="4.2770197811273003E-2"/>
    <n v="-1.36998646743595E-2"/>
    <n v="-4.2397559154778702E-3"/>
    <n v="-1.6264066442847301E-2"/>
    <n v="5.0197080709039896E-3"/>
    <b v="0"/>
    <b v="1"/>
    <b v="0"/>
    <b v="1"/>
  </r>
  <r>
    <x v="155"/>
    <x v="5"/>
    <n v="418047.90625"/>
    <n v="0.93572252988815297"/>
    <n v="0"/>
    <n v="2.7250028013296901"/>
    <n v="2.9121910761894449"/>
    <n v="-3.9979745913748199E-2"/>
    <n v="-1.6264066442847301E-2"/>
    <n v="5.0197080709039896E-3"/>
    <n v="-3.5022127479314999E-3"/>
    <n v="1.9359933212398899E-3"/>
    <b v="1"/>
    <b v="0"/>
    <b v="0"/>
    <b v="0"/>
  </r>
  <r>
    <x v="155"/>
    <x v="6"/>
    <n v="422199.1875"/>
    <n v="0.94011998176574696"/>
    <n v="0"/>
    <n v="2.7436076568394498"/>
    <n v="2.9183590499654803"/>
    <n v="6.8274628931323401E-3"/>
    <n v="-3.5022127479314999E-3"/>
    <n v="1.85039453208439E-3"/>
    <n v="1.70642292499542E-2"/>
    <n v="1.09374579042196E-2"/>
    <b v="0"/>
    <b v="0"/>
    <b v="0"/>
    <b v="1"/>
  </r>
  <r>
    <x v="155"/>
    <x v="7"/>
    <n v="427077.5"/>
    <n v="0.94822746515274003"/>
    <n v="0"/>
    <n v="2.6750485887755602"/>
    <n v="2.8211043099713047"/>
    <n v="-2.4988656046715001E-2"/>
    <n v="1.70642292499542E-2"/>
    <n v="1.09374579042196E-2"/>
    <n v="2.3665002375841099E-2"/>
    <n v="2.1656978875398501E-2"/>
    <b v="1"/>
    <b v="0"/>
    <b v="1"/>
    <b v="0"/>
  </r>
  <r>
    <x v="155"/>
    <x v="8"/>
    <n v="432838.59375"/>
    <n v="0.95200192928314198"/>
    <n v="0"/>
    <n v="2.8779217354036799"/>
    <n v="3.0230209066600913"/>
    <n v="7.58390511033607E-2"/>
    <n v="2.3665002375841099E-2"/>
    <n v="2.1656978875398501E-2"/>
    <n v="0.10509310865402199"/>
    <n v="7.4829656630754304E-2"/>
    <b v="0"/>
    <b v="0"/>
    <b v="0"/>
    <b v="0"/>
  </r>
  <r>
    <x v="155"/>
    <x v="9"/>
    <n v="438088.90625"/>
    <n v="0.95513761043548595"/>
    <n v="1.0999999999999999E-2"/>
    <n v="2.7320184790334001"/>
    <n v="2.8603401742161134"/>
    <n v="-5.0697437173292399E-2"/>
    <n v="0.10509310865402199"/>
    <n v="7.4829656630754304E-2"/>
    <n v="5.6163165986537901E-2"/>
    <n v="4.3009608983993503E-2"/>
    <b v="1"/>
    <b v="0"/>
    <b v="1"/>
    <b v="0"/>
  </r>
  <r>
    <x v="155"/>
    <x v="10"/>
    <n v="443999.21875"/>
    <n v="0.95088237524032604"/>
    <n v="1.2999999999999999E-2"/>
    <n v="2.9257180917492298"/>
    <n v="3.0768454310763556"/>
    <n v="7.0899817919370903E-2"/>
    <n v="5.6163165986537901E-2"/>
    <n v="4.3009608983993503E-2"/>
    <n v="1.9007267147302599E-2"/>
    <n v="1.6217693686485301E-2"/>
    <b v="0"/>
    <b v="0"/>
    <b v="0"/>
    <b v="0"/>
  </r>
  <r>
    <x v="155"/>
    <x v="11"/>
    <n v="448726.5"/>
    <n v="0.95287746191024802"/>
    <n v="2.5000000000000001E-2"/>
    <n v="2.7684275085136898"/>
    <n v="2.9053342315010586"/>
    <n v="-5.3761359879172098E-2"/>
    <n v="1.9007267147302599E-2"/>
    <n v="1.6217693686485301E-2"/>
    <n v="2.87831800282001E-2"/>
    <n v="1.9648157060146301E-2"/>
    <b v="1"/>
    <b v="0"/>
    <b v="1"/>
    <b v="0"/>
  </r>
  <r>
    <x v="155"/>
    <x v="12"/>
    <n v="451481.6875"/>
    <n v="0.95214968919753995"/>
    <n v="1E-3"/>
    <n v="2.62776983244169"/>
    <n v="2.7598284831204873"/>
    <n v="-5.0807787323107603E-2"/>
    <n v="2.87831800282001E-2"/>
    <n v="1.9648157060146301E-2"/>
    <n v="2.3435755789279901E-2"/>
    <n v="5.6345611810683996E-3"/>
    <b v="1"/>
    <b v="0"/>
    <b v="1"/>
    <b v="0"/>
  </r>
  <r>
    <x v="155"/>
    <x v="13"/>
    <n v="453266.125"/>
    <n v="0.95143198966980003"/>
    <n v="1E-3"/>
    <n v="2.57461403508771"/>
    <n v="2.7060410655114135"/>
    <n v="-2.0228482988777899E-2"/>
    <n v="2.3435755789279901E-2"/>
    <n v="5.6345611810683996E-3"/>
    <n v="4.1440481424331599E-2"/>
    <n v="2.2591290995478599E-2"/>
    <b v="1"/>
    <b v="0"/>
    <b v="1"/>
    <b v="0"/>
  </r>
  <r>
    <x v="155"/>
    <x v="14"/>
    <n v="452355.8125"/>
    <n v="0.96533882617950395"/>
    <n v="1.4E-2"/>
    <n v="2.6077373299952602"/>
    <n v="2.701369984584411"/>
    <n v="1.28653438752872E-2"/>
    <n v="4.1440481424331599E-2"/>
    <n v="2.2591290995478599E-2"/>
    <n v="2.2015815854072598E-2"/>
    <n v="-2.1573796868324301E-2"/>
    <b v="0"/>
    <b v="0"/>
    <b v="0"/>
    <b v="0"/>
  </r>
  <r>
    <x v="155"/>
    <x v="15"/>
    <n v="450445.1875"/>
    <n v="0.96620190143585205"/>
    <n v="0"/>
    <n v="2.8176305502656098"/>
    <n v="2.9161923052297758"/>
    <n v="8.0488635820820206E-2"/>
    <n v="2.2015815854072598E-2"/>
    <n v="-2.1573796868324301E-2"/>
    <n v="-7.4221393950283501E-2"/>
    <n v="-4.21178871765732E-2"/>
    <b v="0"/>
    <b v="1"/>
    <b v="0"/>
    <b v="0"/>
  </r>
  <r>
    <x v="155"/>
    <x v="16"/>
    <n v="449976.59375"/>
    <n v="0.93593436479568504"/>
    <n v="2.5000000000000001E-2"/>
    <n v="2.7249937905829702"/>
    <n v="2.9115223172490712"/>
    <n v="-3.2877539489306898E-2"/>
    <n v="-7.4221393950283501E-2"/>
    <n v="-4.1639183647930601E-2"/>
    <n v="-3.3828515358269202E-2"/>
    <n v="-1.42695875838399E-2"/>
    <b v="0"/>
    <b v="0"/>
    <b v="0"/>
    <b v="0"/>
  </r>
  <r>
    <x v="156"/>
    <x v="0"/>
    <n v="798599"/>
    <n v="0.959098219871521"/>
    <n v="8.9999999999999993E-3"/>
    <n v="2.77762582393889"/>
    <n v="2.8960806791101912"/>
    <n v="1.8955330136939E-3"/>
    <n v="2.59453445971011E-2"/>
    <n v="1.95823051035404E-2"/>
    <n v="2.8674482405185902E-3"/>
    <n v="3.78920417279009E-3"/>
    <b v="0"/>
    <b v="0"/>
    <b v="0"/>
    <b v="0"/>
  </r>
  <r>
    <x v="156"/>
    <x v="1"/>
    <n v="801603.1875"/>
    <n v="0.94410091638565097"/>
    <n v="2.1000000000000001E-2"/>
    <n v="2.7645039100684201"/>
    <n v="2.9281868729159903"/>
    <n v="-4.72414742020787E-3"/>
    <n v="2.8674482405185902E-3"/>
    <n v="3.78920417279009E-3"/>
    <n v="-4.5925889454782001E-2"/>
    <n v="-1.6415085177868601E-2"/>
    <b v="1"/>
    <b v="0"/>
    <b v="1"/>
    <b v="0"/>
  </r>
  <r>
    <x v="156"/>
    <x v="2"/>
    <n v="808581.625"/>
    <n v="0.93920749425888095"/>
    <n v="1.4999999999999999E-2"/>
    <n v="2.9366655492492102"/>
    <n v="3.1267484205569538"/>
    <n v="6.2275780675789802E-2"/>
    <n v="-4.5925889454782001E-2"/>
    <n v="-1.6415085177868601E-2"/>
    <n v="-4.7614809781312897E-2"/>
    <n v="-2.1048108115792202E-2"/>
    <b v="0"/>
    <b v="1"/>
    <b v="0"/>
    <b v="1"/>
  </r>
  <r>
    <x v="156"/>
    <x v="3"/>
    <n v="817695.3125"/>
    <n v="0.94282084703445401"/>
    <n v="0"/>
    <n v="2.9425049082513399"/>
    <n v="3.1209586821363637"/>
    <n v="1.9884317448501899E-3"/>
    <n v="-4.7614809781312897E-2"/>
    <n v="-2.1048108115792202E-2"/>
    <n v="-1.7743252068757899E-3"/>
    <n v="7.6857835520058801E-3"/>
    <b v="0"/>
    <b v="1"/>
    <b v="0"/>
    <b v="1"/>
  </r>
  <r>
    <x v="156"/>
    <x v="4"/>
    <n v="826438.4375"/>
    <n v="0.94147163629531905"/>
    <n v="3.0000000000000001E-3"/>
    <n v="2.90838447101495"/>
    <n v="3.0891896886659405"/>
    <n v="-1.15957112393303E-2"/>
    <n v="-1.7743252068757899E-3"/>
    <n v="7.6857835520058801E-3"/>
    <n v="-1.3592612341046299E-2"/>
    <n v="7.6911621727050001E-3"/>
    <b v="1"/>
    <b v="0"/>
    <b v="0"/>
    <b v="0"/>
  </r>
  <r>
    <x v="156"/>
    <x v="5"/>
    <n v="830888.3125"/>
    <n v="0.94537675380706798"/>
    <n v="0"/>
    <n v="2.8367625836357999"/>
    <n v="3.0006688573756968"/>
    <n v="-2.46260039183024E-2"/>
    <n v="-1.3592612341046299E-2"/>
    <n v="7.6911621727050001E-3"/>
    <n v="1.13541238903998E-2"/>
    <n v="1.6792329959571299E-2"/>
    <b v="1"/>
    <b v="0"/>
    <b v="0"/>
    <b v="0"/>
  </r>
  <r>
    <x v="156"/>
    <x v="6"/>
    <n v="834758.625"/>
    <n v="0.95389401912689198"/>
    <n v="-2E-3"/>
    <n v="2.9235407696517202"/>
    <n v="3.0648486215771267"/>
    <n v="3.05905705738326E-2"/>
    <n v="1.13541238903998E-2"/>
    <n v="1.6706731170415798E-2"/>
    <n v="2.1804538220167199E-2"/>
    <n v="1.5677766874432598E-2"/>
    <b v="0"/>
    <b v="0"/>
    <b v="0"/>
    <b v="0"/>
  </r>
  <r>
    <x v="156"/>
    <x v="7"/>
    <n v="839192.3125"/>
    <n v="0.95707535743713401"/>
    <n v="1.6E-2"/>
    <n v="3.1286576821628702"/>
    <n v="3.2689773671958506"/>
    <n v="7.0160441968313697E-2"/>
    <n v="2.1804538220167199E-2"/>
    <n v="1.5677766874432598E-2"/>
    <n v="3.0551618725061399E-2"/>
    <n v="2.8543595224618901E-2"/>
    <b v="0"/>
    <b v="0"/>
    <b v="0"/>
    <b v="0"/>
  </r>
  <r>
    <x v="156"/>
    <x v="8"/>
    <n v="843563"/>
    <n v="0.95534288883209195"/>
    <n v="1.9E-2"/>
    <n v="2.9026962361267401"/>
    <n v="3.0383815801207148"/>
    <n v="-7.2223128571840406E-2"/>
    <n v="3.0551618725061399E-2"/>
    <n v="2.8543595224618901E-2"/>
    <n v="6.4621815621852902E-2"/>
    <n v="3.4358363598585198E-2"/>
    <b v="1"/>
    <b v="0"/>
    <b v="1"/>
    <b v="0"/>
  </r>
  <r>
    <x v="156"/>
    <x v="9"/>
    <n v="846570.9375"/>
    <n v="0.96122848987579301"/>
    <n v="0"/>
    <n v="2.9688475745392902"/>
    <n v="3.0885971502185869"/>
    <n v="2.27896180072963E-2"/>
    <n v="6.4621815621852902E-2"/>
    <n v="3.4358363598585198E-2"/>
    <n v="2.2877637565136E-2"/>
    <n v="9.7240805625915996E-3"/>
    <b v="0"/>
    <b v="0"/>
    <b v="0"/>
    <b v="0"/>
  </r>
  <r>
    <x v="156"/>
    <x v="10"/>
    <n v="848069.1875"/>
    <n v="0.96122157573699996"/>
    <n v="8.0000000000000002E-3"/>
    <n v="2.8408172495501698"/>
    <n v="2.9554239326890084"/>
    <n v="-4.3124586821869398E-2"/>
    <n v="2.2877637565136E-2"/>
    <n v="9.7240805625915996E-3"/>
    <n v="1.9342669934034201E-2"/>
    <n v="1.6553096473217E-2"/>
    <b v="1"/>
    <b v="0"/>
    <b v="1"/>
    <b v="0"/>
  </r>
  <r>
    <x v="156"/>
    <x v="11"/>
    <n v="848905"/>
    <n v="0.96167850494384799"/>
    <n v="-3.0000000000000001E-3"/>
    <n v="2.8900854868821799"/>
    <n v="3.0052512061200023"/>
    <n v="1.7342980207476499E-2"/>
    <n v="1.9342669934034201E-2"/>
    <n v="1.6553096473217E-2"/>
    <n v="1.4584444671869199E-2"/>
    <n v="5.4494217038155001E-3"/>
    <b v="0"/>
    <b v="0"/>
    <b v="0"/>
    <b v="0"/>
  </r>
  <r>
    <x v="156"/>
    <x v="12"/>
    <n v="847462.8125"/>
    <n v="0.94894617795944203"/>
    <n v="3.2000000000000001E-2"/>
    <n v="2.9009712360918698"/>
    <n v="3.0570450711229458"/>
    <n v="3.7665838118296699E-3"/>
    <n v="1.4584444671869199E-2"/>
    <n v="5.4494217038155001E-3"/>
    <n v="1.32288030982018E-2"/>
    <n v="-4.5723915100096997E-3"/>
    <b v="0"/>
    <b v="0"/>
    <b v="0"/>
    <b v="0"/>
  </r>
  <r>
    <x v="156"/>
    <x v="13"/>
    <n v="844914.4375"/>
    <n v="0.94253695011138905"/>
    <n v="2.5000000000000001E-2"/>
    <n v="2.8616295942910499"/>
    <n v="3.0360927430514661"/>
    <n v="-1.3561541497332E-2"/>
    <n v="1.32288030982018E-2"/>
    <n v="-4.5723915100096997E-3"/>
    <n v="4.1285352885723103E-2"/>
    <n v="2.24361624568701E-2"/>
    <b v="0"/>
    <b v="0"/>
    <b v="1"/>
    <b v="0"/>
  </r>
  <r>
    <x v="156"/>
    <x v="14"/>
    <n v="842831.75"/>
    <n v="0.96556127071380604"/>
    <n v="1.0999999999999999E-2"/>
    <n v="2.73152233182967"/>
    <n v="2.8289476956862094"/>
    <n v="-4.54661437388484E-2"/>
    <n v="4.1285352885723103E-2"/>
    <n v="2.24361624568701E-2"/>
    <n v="7.8489354133605999E-2"/>
    <n v="3.48997414112091E-2"/>
    <b v="1"/>
    <b v="0"/>
    <b v="1"/>
    <b v="0"/>
  </r>
  <r>
    <x v="156"/>
    <x v="15"/>
    <n v="838578.625"/>
    <n v="0.971233069896698"/>
    <n v="3.0000000000000001E-3"/>
    <n v="2.7855001390849199"/>
    <n v="2.8680038040520905"/>
    <n v="1.9761071189593499E-2"/>
    <n v="7.8489354133605999E-2"/>
    <n v="3.48997414112091E-2"/>
    <n v="-7.1867247968912099E-2"/>
    <n v="-3.9763741195201797E-2"/>
    <b v="0"/>
    <b v="0"/>
    <b v="0"/>
    <b v="0"/>
  </r>
  <r>
    <x v="156"/>
    <x v="16"/>
    <n v="834390.6875"/>
    <n v="0.95633798837661699"/>
    <n v="1.7999999999999999E-2"/>
    <n v="2.8185141582502"/>
    <n v="2.9471946032747538"/>
    <n v="1.18520974750777E-2"/>
    <n v="-7.1867247968912099E-2"/>
    <n v="-3.9285037666559199E-2"/>
    <n v="-1.1951423048973101E-2"/>
    <n v="7.6075047254561996E-3"/>
    <b v="0"/>
    <b v="1"/>
    <b v="0"/>
    <b v="1"/>
  </r>
  <r>
    <x v="157"/>
    <x v="0"/>
    <n v="242897.296875"/>
    <n v="0.94048142433166504"/>
    <n v="1.0999999999999999E-2"/>
    <n v="2.2411848586984702"/>
    <n v="2.3830187398875262"/>
    <n v="-8.3274926373736492E-3"/>
    <n v="6.5429486632346901E-3"/>
    <n v="1.7990916967389799E-4"/>
    <n v="1.32317832708358E-2"/>
    <n v="1.41535392031073E-2"/>
    <b v="1"/>
    <b v="0"/>
    <b v="1"/>
    <b v="0"/>
  </r>
  <r>
    <x v="157"/>
    <x v="1"/>
    <n v="245021.890625"/>
    <n v="0.93872851133346602"/>
    <n v="2E-3"/>
    <n v="2.3910135323444699"/>
    <n v="2.5470767143825532"/>
    <n v="6.6852438818014795E-2"/>
    <n v="1.32317832708358E-2"/>
    <n v="1.41535392031073E-2"/>
    <n v="-2.89957004711031E-2"/>
    <n v="5.1510380581021298E-4"/>
    <b v="0"/>
    <b v="0"/>
    <b v="0"/>
    <b v="0"/>
  </r>
  <r>
    <x v="157"/>
    <x v="2"/>
    <n v="247422"/>
    <n v="0.93209856748580899"/>
    <n v="5.0000000000000001E-3"/>
    <n v="2.3279098513812602"/>
    <n v="2.4974932186200385"/>
    <n v="-2.6392021671802102E-2"/>
    <n v="-2.89957004711031E-2"/>
    <n v="5.1510380581021298E-4"/>
    <n v="-2.9442530781030599E-2"/>
    <n v="-2.8758291155100398E-3"/>
    <b v="1"/>
    <b v="0"/>
    <b v="0"/>
    <b v="0"/>
  </r>
  <r>
    <x v="157"/>
    <x v="3"/>
    <n v="250553.703125"/>
    <n v="0.91208773851394698"/>
    <n v="2.1999999999999999E-2"/>
    <n v="2.3773222878723201"/>
    <n v="2.6064622815187288"/>
    <n v="2.12260953583512E-2"/>
    <n v="-2.9442530781030599E-2"/>
    <n v="-2.8758291155100398E-3"/>
    <n v="-1.1380184147506901E-2"/>
    <n v="-1.92007538862526E-3"/>
    <b v="0"/>
    <b v="1"/>
    <b v="0"/>
    <b v="1"/>
  </r>
  <r>
    <x v="157"/>
    <x v="4"/>
    <n v="254340.1875"/>
    <n v="0.91164964437484697"/>
    <n v="1.4E-2"/>
    <n v="2.4218910435063199"/>
    <n v="2.6566028500642953"/>
    <n v="1.8747460477427799E-2"/>
    <n v="-1.1380184147506901E-2"/>
    <n v="-1.92007538862526E-3"/>
    <n v="-2.0420812413096401E-2"/>
    <n v="8.6296210065489902E-4"/>
    <b v="0"/>
    <b v="1"/>
    <b v="0"/>
    <b v="1"/>
  </r>
  <r>
    <x v="157"/>
    <x v="5"/>
    <n v="256154.90625"/>
    <n v="0.91176509857177701"/>
    <n v="5.0000000000000001E-3"/>
    <n v="2.5231205338687701"/>
    <n v="2.7672922969096763"/>
    <n v="4.1797706232026999E-2"/>
    <n v="-2.0420812413096401E-2"/>
    <n v="8.6296210065489902E-4"/>
    <n v="-6.4579325765370997E-3"/>
    <n v="-1.0197265073656999E-3"/>
    <b v="0"/>
    <b v="0"/>
    <b v="0"/>
    <b v="1"/>
  </r>
  <r>
    <x v="157"/>
    <x v="6"/>
    <n v="257662.203125"/>
    <n v="0.91543841361999501"/>
    <n v="8.9999999999999993E-3"/>
    <n v="2.4637321955198499"/>
    <n v="2.691313974664125"/>
    <n v="-2.35376540881523E-2"/>
    <n v="-6.4579325765370997E-3"/>
    <n v="-1.1053252965211901E-3"/>
    <n v="2.4107477068900998E-3"/>
    <n v="-3.7160236388445E-3"/>
    <b v="0"/>
    <b v="0"/>
    <b v="0"/>
    <b v="0"/>
  </r>
  <r>
    <x v="157"/>
    <x v="7"/>
    <n v="259469.78125"/>
    <n v="0.91114693880081199"/>
    <n v="1.9E-2"/>
    <n v="2.2674189141324699"/>
    <n v="2.4885326587572014"/>
    <n v="-7.96812582732703E-2"/>
    <n v="2.4107477068900998E-3"/>
    <n v="-3.7160236388445E-3"/>
    <n v="9.7422495633363998E-3"/>
    <n v="7.73422606289389E-3"/>
    <b v="0"/>
    <b v="0"/>
    <b v="1"/>
    <b v="0"/>
  </r>
  <r>
    <x v="157"/>
    <x v="8"/>
    <n v="261453.890625"/>
    <n v="0.91417098045349099"/>
    <n v="8.9999999999999993E-3"/>
    <n v="2.3526414087513299"/>
    <n v="2.5735244927423313"/>
    <n v="3.7585685683260997E-2"/>
    <n v="9.7422495633363998E-3"/>
    <n v="7.73422606289389E-3"/>
    <n v="2.12744643688202E-2"/>
    <n v="-8.9889876544474896E-3"/>
    <b v="0"/>
    <b v="0"/>
    <b v="0"/>
    <b v="0"/>
  </r>
  <r>
    <x v="157"/>
    <x v="9"/>
    <n v="263803.8125"/>
    <n v="0.89114469289779696"/>
    <n v="0.04"/>
    <n v="2.28849370052402"/>
    <n v="2.568038298115614"/>
    <n v="-2.7266249751743101E-2"/>
    <n v="2.12744643688202E-2"/>
    <n v="-8.9889876544474896E-3"/>
    <n v="1.16048774570227E-2"/>
    <n v="-1.54867954552169E-3"/>
    <b v="0"/>
    <b v="0"/>
    <b v="1"/>
    <b v="0"/>
  </r>
  <r>
    <x v="157"/>
    <x v="10"/>
    <n v="266583.3125"/>
    <n v="0.90893101692199696"/>
    <n v="1.4E-2"/>
    <n v="2.5214988056219099"/>
    <n v="2.7741366051746268"/>
    <n v="0.101815925927403"/>
    <n v="1.16048774570227E-2"/>
    <n v="-1.54867954552169E-3"/>
    <n v="-2.2005876898770199E-4"/>
    <n v="-3.0096322298049901E-3"/>
    <b v="0"/>
    <b v="1"/>
    <b v="0"/>
    <b v="0"/>
  </r>
  <r>
    <x v="157"/>
    <x v="11"/>
    <n v="270387.09375"/>
    <n v="0.90743970870971702"/>
    <n v="4.7E-2"/>
    <n v="2.3036486343983902"/>
    <n v="2.5386244532696658"/>
    <n v="-8.6397094750866293E-2"/>
    <n v="-2.2005876898770199E-4"/>
    <n v="-3.0096322298049901E-3"/>
    <n v="-4.1766220480203998E-3"/>
    <n v="-1.3311645016074101E-2"/>
    <b v="0"/>
    <b v="0"/>
    <b v="0"/>
    <b v="0"/>
  </r>
  <r>
    <x v="157"/>
    <x v="12"/>
    <n v="273054.6875"/>
    <n v="0.90457677841186501"/>
    <n v="2.4E-2"/>
    <n v="2.4976101014748302"/>
    <n v="2.7610813820135869"/>
    <n v="8.4197504853899693E-2"/>
    <n v="-4.1766220480203998E-3"/>
    <n v="-1.3311645016074101E-2"/>
    <n v="2.1189055562019301E-2"/>
    <n v="3.38786095380779E-3"/>
    <b v="0"/>
    <b v="1"/>
    <b v="0"/>
    <b v="1"/>
  </r>
  <r>
    <x v="157"/>
    <x v="13"/>
    <n v="276082.78125"/>
    <n v="0.93207645416259799"/>
    <n v="2E-3"/>
    <n v="2.37061802310942"/>
    <n v="2.5433729309676059"/>
    <n v="-5.08454375206231E-2"/>
    <n v="2.1189055562019301E-2"/>
    <n v="3.38786095380779E-3"/>
    <n v="2.3179357975721401E-2"/>
    <n v="4.3301675468683997E-3"/>
    <b v="1"/>
    <b v="0"/>
    <b v="1"/>
    <b v="0"/>
  </r>
  <r>
    <x v="157"/>
    <x v="14"/>
    <n v="278822.6875"/>
    <n v="0.938004910945892"/>
    <n v="4.2999999999999997E-2"/>
    <n v="2.2008524240809799"/>
    <n v="2.3463122616934085"/>
    <n v="-7.1612380136115997E-2"/>
    <n v="2.3179357975721401E-2"/>
    <n v="4.3301675468683997E-3"/>
    <n v="5.8536743998527999E-2"/>
    <n v="1.4947131276131001E-2"/>
    <b v="1"/>
    <b v="0"/>
    <b v="1"/>
    <b v="0"/>
  </r>
  <r>
    <x v="157"/>
    <x v="15"/>
    <n v="281388.5"/>
    <n v="0.95202231407165505"/>
    <n v="5.0000000000000001E-3"/>
    <n v="2.2935461305282701"/>
    <n v="2.4091306439227469"/>
    <n v="4.2117183975207001E-2"/>
    <n v="5.8536743998527999E-2"/>
    <n v="1.4947131276131001E-2"/>
    <n v="-6.6480952501296996E-3"/>
    <n v="2.54554115235806E-2"/>
    <b v="0"/>
    <b v="0"/>
    <b v="0"/>
    <b v="0"/>
  </r>
  <r>
    <x v="157"/>
    <x v="16"/>
    <n v="283969.59375"/>
    <n v="0.92840337753295898"/>
    <n v="1.7999999999999999E-2"/>
    <n v="2.3327812321811598"/>
    <n v="2.512680682377574"/>
    <n v="1.71067418835151E-2"/>
    <n v="-6.6480952501296996E-3"/>
    <n v="2.5934115052223199E-2"/>
    <n v="-3.2166693158447703E-2"/>
    <n v="-1.26077653840184E-2"/>
    <b v="0"/>
    <b v="0"/>
    <b v="0"/>
    <b v="1"/>
  </r>
  <r>
    <x v="158"/>
    <x v="0"/>
    <n v="5332093"/>
    <n v="0.93249446153640703"/>
    <n v="0.01"/>
    <n v="2.2335516575474701"/>
    <n v="2.3952438858107539"/>
    <n v="6.5144901173651302E-3"/>
    <n v="1.9938604563474599E-2"/>
    <n v="1.35755650699138E-2"/>
    <n v="1.4660588562488501E-2"/>
    <n v="1.558234449476E-2"/>
    <b v="0"/>
    <b v="0"/>
    <b v="0"/>
    <b v="0"/>
  </r>
  <r>
    <x v="158"/>
    <x v="1"/>
    <n v="5390914"/>
    <n v="0.93271058797836304"/>
    <n v="0.02"/>
    <n v="2.1945526406687899"/>
    <n v="2.3528763037047233"/>
    <n v="-1.7460539471693799E-2"/>
    <n v="1.4660588562488501E-2"/>
    <n v="1.558234449476E-2"/>
    <n v="-1.60090022832154E-2"/>
    <n v="1.3501801993697901E-2"/>
    <b v="1"/>
    <b v="0"/>
    <b v="1"/>
    <b v="0"/>
  </r>
  <r>
    <x v="158"/>
    <x v="2"/>
    <n v="5471019"/>
    <n v="0.92830795049667403"/>
    <n v="0.02"/>
    <n v="2.2279983282020899"/>
    <n v="2.4000638225817634"/>
    <n v="1.52403213819042E-2"/>
    <n v="-1.60090022832154E-2"/>
    <n v="1.3501801993697901E-2"/>
    <n v="1.2086223155259999E-2"/>
    <n v="3.8652924820780699E-2"/>
    <b v="0"/>
    <b v="0"/>
    <b v="0"/>
    <b v="1"/>
  </r>
  <r>
    <x v="158"/>
    <x v="3"/>
    <n v="5578041"/>
    <n v="0.93262761831283603"/>
    <n v="1.7999999999999999E-2"/>
    <n v="2.2780857215622201"/>
    <n v="2.442653076994842"/>
    <n v="2.2480893601273099E-2"/>
    <n v="1.2086223155259999E-2"/>
    <n v="3.8652924820780699E-2"/>
    <n v="3.3822781234979601E-2"/>
    <n v="4.32828899938612E-2"/>
    <b v="0"/>
    <b v="0"/>
    <b v="0"/>
    <b v="0"/>
  </r>
  <r>
    <x v="158"/>
    <x v="4"/>
    <n v="5695154"/>
    <n v="0.93962049484252896"/>
    <n v="1.2E-2"/>
    <n v="2.3308323696550302"/>
    <n v="2.4806103979731247"/>
    <n v="2.31539347240367E-2"/>
    <n v="3.3822781234979601E-2"/>
    <n v="4.32828899938612E-2"/>
    <n v="-1.55612699389458E-2"/>
    <n v="5.7225045748054903E-3"/>
    <b v="0"/>
    <b v="0"/>
    <b v="0"/>
    <b v="0"/>
  </r>
  <r>
    <x v="158"/>
    <x v="5"/>
    <n v="5804092"/>
    <n v="0.93738430738449097"/>
    <n v="1.0999999999999999E-2"/>
    <n v="2.3526784165654799"/>
    <n v="2.5098333714695649"/>
    <n v="9.3726375156215104E-3"/>
    <n v="-1.55612699389458E-2"/>
    <n v="5.7225045748054903E-3"/>
    <n v="-1.747926980257E-3"/>
    <n v="3.69027908891439E-3"/>
    <b v="0"/>
    <b v="0"/>
    <b v="0"/>
    <b v="1"/>
  </r>
  <r>
    <x v="158"/>
    <x v="6"/>
    <n v="5905618"/>
    <n v="0.94085669517517101"/>
    <n v="1.6E-2"/>
    <n v="2.36990607493615"/>
    <n v="2.5188810231030083"/>
    <n v="7.3225725408790198E-3"/>
    <n v="-1.747926980257E-3"/>
    <n v="3.6046802997588999E-3"/>
    <n v="-2.17067018151279E-3"/>
    <n v="-8.2974415272473994E-3"/>
    <b v="0"/>
    <b v="0"/>
    <b v="0"/>
    <b v="1"/>
  </r>
  <r>
    <x v="158"/>
    <x v="7"/>
    <n v="5992500"/>
    <n v="0.93428289890289296"/>
    <n v="2.5999999999999999E-2"/>
    <n v="2.4245524393762201"/>
    <n v="2.5950945288876812"/>
    <n v="2.305845156397E-2"/>
    <n v="-2.17067018151279E-3"/>
    <n v="-8.2974415272473994E-3"/>
    <n v="-6.4832784086465804E-3"/>
    <n v="-8.4913019090890798E-3"/>
    <b v="0"/>
    <b v="1"/>
    <b v="0"/>
    <b v="1"/>
  </r>
  <r>
    <x v="158"/>
    <x v="8"/>
    <n v="6067520"/>
    <n v="0.92696225643158003"/>
    <n v="3.5000000000000003E-2"/>
    <n v="2.36836660075693"/>
    <n v="2.5549763049405683"/>
    <n v="-2.3173694949549201E-2"/>
    <n v="-6.4832784086465804E-3"/>
    <n v="-8.4913019090890798E-3"/>
    <n v="3.6021175026893601E-2"/>
    <n v="5.7577230036259001E-3"/>
    <b v="0"/>
    <b v="0"/>
    <b v="0"/>
    <b v="0"/>
  </r>
  <r>
    <x v="158"/>
    <x v="9"/>
    <n v="6134479"/>
    <n v="0.932883620262146"/>
    <n v="2.7E-2"/>
    <n v="2.41047069367976"/>
    <n v="2.5838921826094481"/>
    <n v="1.77776924017473E-2"/>
    <n v="3.6021175026893601E-2"/>
    <n v="5.7577230036259001E-3"/>
    <n v="5.604068636894E-4"/>
    <n v="-1.2593150138855E-2"/>
    <b v="0"/>
    <b v="0"/>
    <b v="0"/>
    <b v="0"/>
  </r>
  <r>
    <x v="158"/>
    <x v="10"/>
    <n v="6198826"/>
    <n v="0.93265259265899703"/>
    <n v="2.5000000000000001E-2"/>
    <n v="2.3416466228636201"/>
    <n v="2.5107383406157422"/>
    <n v="-2.8552129256993099E-2"/>
    <n v="5.604068636894E-4"/>
    <n v="-1.2593150138855E-2"/>
    <n v="-8.1728150174021994E-3"/>
    <n v="-1.09623884782194E-2"/>
    <b v="0"/>
    <b v="0"/>
    <b v="1"/>
    <b v="0"/>
  </r>
  <r>
    <x v="158"/>
    <x v="11"/>
    <n v="6261232"/>
    <n v="0.93150818347930897"/>
    <n v="2.4E-2"/>
    <n v="2.35455102414622"/>
    <n v="2.5276761556207199"/>
    <n v="5.5108235190601904E-3"/>
    <n v="-8.1728150174021994E-3"/>
    <n v="-1.09623884782194E-2"/>
    <n v="6.7635311037302004E-3"/>
    <n v="-2.37149186432359E-3"/>
    <b v="0"/>
    <b v="1"/>
    <b v="0"/>
    <b v="1"/>
  </r>
  <r>
    <x v="158"/>
    <x v="12"/>
    <n v="6306497"/>
    <n v="0.93617630004882801"/>
    <n v="2.3E-2"/>
    <n v="2.3493732148030899"/>
    <n v="2.509541434322311"/>
    <n v="-2.1990644033751598E-3"/>
    <n v="6.7635311037302004E-3"/>
    <n v="-2.37149186432359E-3"/>
    <n v="1.39160781800747E-2"/>
    <n v="-3.8851164281368E-3"/>
    <b v="0"/>
    <b v="0"/>
    <b v="1"/>
    <b v="0"/>
  </r>
  <r>
    <x v="158"/>
    <x v="13"/>
    <n v="6352307"/>
    <n v="0.93469268083572399"/>
    <n v="2.5999999999999999E-2"/>
    <n v="2.2942701266360501"/>
    <n v="2.4545716187535627"/>
    <n v="-2.34543783081556E-2"/>
    <n v="1.39160781800747E-2"/>
    <n v="-3.8851164281368E-3"/>
    <n v="-4.45871780514717E-2"/>
    <n v="-6.3436368480324704E-2"/>
    <b v="0"/>
    <b v="0"/>
    <b v="1"/>
    <b v="0"/>
  </r>
  <r>
    <x v="158"/>
    <x v="14"/>
    <n v="6353219"/>
    <n v="0.91495418548583995"/>
    <n v="2.9000000000000001E-2"/>
    <n v="2.2480163414082202"/>
    <n v="2.4569714823639233"/>
    <n v="-2.0160566400110099E-2"/>
    <n v="-4.45871780514717E-2"/>
    <n v="-6.3436368480324704E-2"/>
    <n v="4.6110829591751099E-2"/>
    <n v="2.5212168693541899E-3"/>
    <b v="0"/>
    <b v="0"/>
    <b v="0"/>
    <b v="0"/>
  </r>
  <r>
    <x v="158"/>
    <x v="15"/>
    <n v="6359818"/>
    <n v="0.93495827913284302"/>
    <n v="2.7E-2"/>
    <n v="2.2351816534587101"/>
    <n v="2.3906752882404558"/>
    <n v="-5.7093392575023102E-3"/>
    <n v="4.6110829591751099E-2"/>
    <n v="2.5212168693541899E-3"/>
    <n v="-5.1628503873944298E-2"/>
    <n v="-1.95249971002339E-2"/>
    <b v="1"/>
    <b v="0"/>
    <b v="1"/>
    <b v="0"/>
  </r>
  <r>
    <x v="158"/>
    <x v="16"/>
    <n v="6397366"/>
    <n v="0.929479479789734"/>
    <n v="2.3E-2"/>
    <n v="2.2214089672006301"/>
    <n v="2.3899494453639312"/>
    <n v="-6.1617749218598498E-3"/>
    <n v="-5.1628503873944298E-2"/>
    <n v="-1.9046293571591301E-2"/>
    <n v="-9.8985105603933005E-3"/>
    <n v="9.660417214036E-3"/>
    <b v="0"/>
    <b v="0"/>
    <b v="0"/>
    <b v="0"/>
  </r>
  <r>
    <x v="159"/>
    <x v="0"/>
    <n v="603295.75"/>
    <n v="0.90207767486572299"/>
    <n v="1.4999999999999999E-2"/>
    <n v="2.1781604284167901"/>
    <n v="2.4146040735804886"/>
    <n v="-1.1938403891750301E-2"/>
    <n v="-1.7431663691997501E-2"/>
    <n v="-2.3794703185558298E-2"/>
    <n v="-2.9886447787285E-3"/>
    <n v="-2.0668888464569898E-3"/>
    <b v="0"/>
    <b v="0"/>
    <b v="0"/>
    <b v="0"/>
  </r>
  <r>
    <x v="159"/>
    <x v="1"/>
    <n v="610893.375"/>
    <n v="0.90081048011779796"/>
    <n v="6.0000000000000001E-3"/>
    <n v="2.1888563672485102"/>
    <n v="2.4298744470227254"/>
    <n v="4.9105376684751697E-3"/>
    <n v="-2.9886447787285E-3"/>
    <n v="-2.0668888464569898E-3"/>
    <n v="-2.0905542477965399E-2"/>
    <n v="8.6052617989479992E-3"/>
    <b v="0"/>
    <b v="1"/>
    <b v="0"/>
    <b v="1"/>
  </r>
  <r>
    <x v="159"/>
    <x v="2"/>
    <n v="619686.5625"/>
    <n v="0.93047428131103505"/>
    <n v="0"/>
    <n v="2.1182718436454802"/>
    <n v="2.2765506647436213"/>
    <n v="-3.2247215787740403E-2"/>
    <n v="-2.0905542477965399E-2"/>
    <n v="8.6052617989479992E-3"/>
    <n v="-1.63022267669439E-2"/>
    <n v="1.02644748985767E-2"/>
    <b v="1"/>
    <b v="0"/>
    <b v="0"/>
    <b v="0"/>
  </r>
  <r>
    <x v="159"/>
    <x v="3"/>
    <n v="628421.875"/>
    <n v="0.92078882455825795"/>
    <n v="2.1000000000000001E-2"/>
    <n v="2.1810112578902801"/>
    <n v="2.3686335017549816"/>
    <n v="2.9618207140414299E-2"/>
    <n v="-1.63022267669439E-2"/>
    <n v="1.02644748985767E-2"/>
    <n v="-1.6096957985078899E-2"/>
    <n v="-6.6368492261972296E-3"/>
    <b v="0"/>
    <b v="0"/>
    <b v="0"/>
    <b v="1"/>
  </r>
  <r>
    <x v="159"/>
    <x v="4"/>
    <n v="632410.5"/>
    <n v="0.91440987586975098"/>
    <n v="3.0000000000000001E-3"/>
    <n v="2.1252231990731199"/>
    <n v="2.3241472507628926"/>
    <n v="-2.5578987093868299E-2"/>
    <n v="-1.6096957985078899E-2"/>
    <n v="-6.6368492261972296E-3"/>
    <n v="-2.21766143739223E-2"/>
    <n v="-8.9283986017104798E-4"/>
    <b v="0"/>
    <b v="0"/>
    <b v="0"/>
    <b v="0"/>
  </r>
  <r>
    <x v="159"/>
    <x v="5"/>
    <n v="634669.9375"/>
    <n v="0.91630047559738204"/>
    <n v="0"/>
    <n v="2.13885873162981"/>
    <n v="2.3342329165936331"/>
    <n v="6.4160472945313301E-3"/>
    <n v="-2.21766143739223E-2"/>
    <n v="-8.9283986017104798E-4"/>
    <n v="-7.8187056854366992E-3"/>
    <n v="-2.3804996162653E-3"/>
    <b v="0"/>
    <b v="1"/>
    <b v="0"/>
    <b v="1"/>
  </r>
  <r>
    <x v="159"/>
    <x v="6"/>
    <n v="637894.5625"/>
    <n v="0.92145460844039895"/>
    <n v="4.0000000000000001E-3"/>
    <n v="2.2887501660247001"/>
    <n v="2.48384472231194"/>
    <n v="7.0080100278839305E-2"/>
    <n v="-7.8187056854366992E-3"/>
    <n v="-2.4660984054207902E-3"/>
    <n v="5.5883514136075996E-3"/>
    <n v="-5.3841993212699803E-4"/>
    <b v="0"/>
    <b v="1"/>
    <b v="0"/>
    <b v="1"/>
  </r>
  <r>
    <x v="159"/>
    <x v="7"/>
    <n v="640549.6875"/>
    <n v="0.92402893304824796"/>
    <n v="1.4999999999999999E-2"/>
    <n v="2.2744753138478502"/>
    <n v="2.4614762941942305"/>
    <n v="-6.2369639066544302E-3"/>
    <n v="5.5883514136075996E-3"/>
    <n v="-5.3841993212699803E-4"/>
    <n v="-1.22153572123497E-2"/>
    <n v="-1.4223380712792199E-2"/>
    <b v="0"/>
    <b v="0"/>
    <b v="1"/>
    <b v="0"/>
  </r>
  <r>
    <x v="159"/>
    <x v="8"/>
    <n v="643545.875"/>
    <n v="0.92248952388763406"/>
    <n v="1.7000000000000001E-2"/>
    <n v="2.4136566994413902"/>
    <n v="2.6164597395854994"/>
    <n v="6.1192743990734703E-2"/>
    <n v="-1.22153572123497E-2"/>
    <n v="-1.4223380712792199E-2"/>
    <n v="2.4068541988730398E-2"/>
    <n v="-6.1949100345372902E-3"/>
    <b v="0"/>
    <b v="1"/>
    <b v="0"/>
    <b v="1"/>
  </r>
  <r>
    <x v="159"/>
    <x v="9"/>
    <n v="646528.3125"/>
    <n v="0.91194623708724998"/>
    <n v="2.1999999999999999E-2"/>
    <n v="2.2349103160292301"/>
    <n v="2.4507040274298606"/>
    <n v="-7.4056258064178995E-2"/>
    <n v="2.4068541988730398E-2"/>
    <n v="-6.1949100345372902E-3"/>
    <n v="-4.6246691718697403E-3"/>
    <n v="-1.7778226174414099E-2"/>
    <b v="0"/>
    <b v="0"/>
    <b v="1"/>
    <b v="0"/>
  </r>
  <r>
    <x v="159"/>
    <x v="10"/>
    <n v="648473.8125"/>
    <n v="0.89516043663024902"/>
    <n v="0.02"/>
    <n v="2.2637113155693598"/>
    <n v="2.5288330705173894"/>
    <n v="1.2886870373977E-2"/>
    <n v="-4.6246691718697403E-3"/>
    <n v="-1.7778226174414099E-2"/>
    <n v="-9.3267609402536995E-3"/>
    <n v="-1.21163344010709E-2"/>
    <b v="0"/>
    <b v="1"/>
    <b v="0"/>
    <b v="1"/>
  </r>
  <r>
    <x v="159"/>
    <x v="11"/>
    <n v="648724.5"/>
    <n v="0.89163529872894298"/>
    <n v="2.1999999999999999E-2"/>
    <n v="2.4268683470638002"/>
    <n v="2.7218172615231642"/>
    <n v="7.2075016974241096E-2"/>
    <n v="-9.3267609402536995E-3"/>
    <n v="-1.21163344010709E-2"/>
    <n v="-3.4887769967317998E-3"/>
    <n v="-1.26237999647855E-2"/>
    <b v="0"/>
    <b v="1"/>
    <b v="0"/>
    <b v="1"/>
  </r>
  <r>
    <x v="159"/>
    <x v="12"/>
    <n v="649856.0625"/>
    <n v="0.90729647874832198"/>
    <n v="2.1000000000000001E-2"/>
    <n v="2.2761186637941702"/>
    <n v="2.5086823514781327"/>
    <n v="-6.2116959682639403E-2"/>
    <n v="-3.4887769967317998E-3"/>
    <n v="-1.26237999647855E-2"/>
    <n v="1.5392671495676E-2"/>
    <n v="-2.4085231125355001E-3"/>
    <b v="0"/>
    <b v="0"/>
    <b v="0"/>
    <b v="0"/>
  </r>
  <r>
    <x v="159"/>
    <x v="13"/>
    <n v="653167.8125"/>
    <n v="0.90902692079544101"/>
    <n v="3.5000000000000003E-2"/>
    <n v="2.2664158889007102"/>
    <n v="2.4932329692914821"/>
    <n v="-4.2628598621823896E-3"/>
    <n v="1.5392671495676E-2"/>
    <n v="-2.4085231125355001E-3"/>
    <n v="1.51180719137192E-2"/>
    <n v="-3.7311185151337901E-3"/>
    <b v="0"/>
    <b v="0"/>
    <b v="1"/>
    <b v="0"/>
  </r>
  <r>
    <x v="159"/>
    <x v="14"/>
    <n v="655920.125"/>
    <n v="0.91682052612304699"/>
    <n v="0"/>
    <n v="2.18800519137503"/>
    <n v="2.3865141857452006"/>
    <n v="-3.4596782483606002E-2"/>
    <n v="1.51180719137192E-2"/>
    <n v="-3.7311185151337901E-3"/>
    <n v="2.4252174675464599E-2"/>
    <n v="-1.93374380469323E-2"/>
    <b v="0"/>
    <b v="0"/>
    <b v="1"/>
    <b v="0"/>
  </r>
  <r>
    <x v="159"/>
    <x v="15"/>
    <n v="656012.8125"/>
    <n v="0.93395686149597201"/>
    <n v="6.0000000000000001E-3"/>
    <n v="2.1833822463552801"/>
    <n v="2.337776332472179"/>
    <n v="-2.1128583414554499E-3"/>
    <n v="2.4252174675464599E-2"/>
    <n v="-1.93374380469323E-2"/>
    <n v="-2.1417809575796101E-2"/>
    <n v="1.06856971979142E-2"/>
    <b v="0"/>
    <b v="0"/>
    <b v="1"/>
    <b v="0"/>
  </r>
  <r>
    <x v="159"/>
    <x v="16"/>
    <n v="658156.125"/>
    <n v="0.93061578273773204"/>
    <n v="2E-3"/>
    <n v="2.1740756230165501"/>
    <n v="2.3361688715623816"/>
    <n v="-4.2624800830298702E-3"/>
    <n v="-2.1417809575796101E-2"/>
    <n v="1.11644007265567E-2"/>
    <n v="-1.06105681359768E-2"/>
    <n v="8.9483596384525004E-3"/>
    <b v="1"/>
    <b v="0"/>
    <b v="0"/>
    <b v="0"/>
  </r>
  <r>
    <x v="160"/>
    <x v="0"/>
    <n v="615852.8125"/>
    <n v="0.892863869667053"/>
    <n v="0"/>
    <n v="2.3004743657316999"/>
    <n v="2.5765118781091925"/>
    <n v="-8.0763794110643702E-2"/>
    <n v="3.2106613397598197E-2"/>
    <n v="2.5743573904037399E-2"/>
    <n v="-4.2006363123655004E-3"/>
    <n v="-3.2788803800940002E-3"/>
    <b v="1"/>
    <b v="0"/>
    <b v="1"/>
    <b v="0"/>
  </r>
  <r>
    <x v="160"/>
    <x v="1"/>
    <n v="625343.375"/>
    <n v="0.869911909103394"/>
    <n v="3.3000000000000002E-2"/>
    <n v="2.3858634253902999"/>
    <n v="2.7426494572874347"/>
    <n v="3.7118022669831198E-2"/>
    <n v="-4.2006363123655004E-3"/>
    <n v="-3.2788803800940002E-3"/>
    <n v="-5.6181022256612798E-2"/>
    <n v="-2.66702179796993E-2"/>
    <b v="0"/>
    <b v="1"/>
    <b v="0"/>
    <b v="1"/>
  </r>
  <r>
    <x v="160"/>
    <x v="2"/>
    <n v="633588.375"/>
    <n v="0.85511833429336503"/>
    <n v="4.5999999999999999E-2"/>
    <n v="2.2630490243397898"/>
    <n v="2.646474684945074"/>
    <n v="-5.1475872316714001E-2"/>
    <n v="-5.6181022256612798E-2"/>
    <n v="-2.66702179796993E-2"/>
    <n v="-2.6131386592984199E-2"/>
    <n v="4.35315072536451E-4"/>
    <b v="0"/>
    <b v="0"/>
    <b v="0"/>
    <b v="0"/>
  </r>
  <r>
    <x v="160"/>
    <x v="3"/>
    <n v="638597.4375"/>
    <n v="0.87405711412429798"/>
    <n v="0.01"/>
    <n v="2.3757677275265201"/>
    <n v="2.7180920893330396"/>
    <n v="4.9808334673445101E-2"/>
    <n v="-2.6131386592984199E-2"/>
    <n v="4.35315072536451E-4"/>
    <n v="-7.6908824816346198E-3"/>
    <n v="1.76922627724706E-3"/>
    <b v="0"/>
    <b v="0"/>
    <b v="0"/>
    <b v="1"/>
  </r>
  <r>
    <x v="160"/>
    <x v="4"/>
    <n v="641870"/>
    <n v="0.88358217477798495"/>
    <n v="0"/>
    <n v="2.3008341416100802"/>
    <n v="2.603984334777016"/>
    <n v="-3.1540787867528397E-2"/>
    <n v="-7.6908824816346198E-3"/>
    <n v="1.76922627724706E-3"/>
    <n v="-2.08853756710887E-2"/>
    <n v="3.9839884266259698E-4"/>
    <b v="1"/>
    <b v="0"/>
    <b v="0"/>
    <b v="0"/>
  </r>
  <r>
    <x v="160"/>
    <x v="5"/>
    <n v="644404.75"/>
    <n v="0.88548785448074296"/>
    <n v="5.0000000000000001E-3"/>
    <n v="2.2744937090381998"/>
    <n v="2.5686334346979618"/>
    <n v="-1.1448210062393801E-2"/>
    <n v="-2.08853756710887E-2"/>
    <n v="3.9839884266259698E-4"/>
    <n v="-1.9674286529421801E-2"/>
    <n v="-1.42360804602504E-2"/>
    <b v="1"/>
    <b v="0"/>
    <b v="0"/>
    <b v="0"/>
  </r>
  <r>
    <x v="160"/>
    <x v="6"/>
    <n v="646881.6875"/>
    <n v="0.89379519224166903"/>
    <n v="2.7E-2"/>
    <n v="2.2754941295197701"/>
    <n v="2.545878685935592"/>
    <n v="4.3984315172864498E-4"/>
    <n v="-1.9674286529421801E-2"/>
    <n v="-1.4321679249405901E-2"/>
    <n v="1.31249526888132E-2"/>
    <n v="6.9981813430785899E-3"/>
    <b v="0"/>
    <b v="1"/>
    <b v="0"/>
    <b v="1"/>
  </r>
  <r>
    <x v="160"/>
    <x v="7"/>
    <n v="649692.3125"/>
    <n v="0.89981293678283703"/>
    <n v="-5.0000000000000001E-3"/>
    <n v="2.2745204579342402"/>
    <n v="2.5277703453192051"/>
    <n v="-4.2789457151518501E-4"/>
    <n v="1.31249526888132E-2"/>
    <n v="6.9981813430785899E-3"/>
    <n v="8.4872992336749997E-4"/>
    <n v="-1.159293577075E-3"/>
    <b v="1"/>
    <b v="0"/>
    <b v="1"/>
    <b v="0"/>
  </r>
  <r>
    <x v="160"/>
    <x v="8"/>
    <n v="652744.625"/>
    <n v="0.90218478441238403"/>
    <n v="0"/>
    <n v="2.2797261055634799"/>
    <n v="2.5268948722609235"/>
    <n v="2.2886791855752701E-3"/>
    <n v="8.4872992336749997E-4"/>
    <n v="-1.159293577075E-3"/>
    <n v="2.65408308953047E-2"/>
    <n v="-3.7226211279629902E-3"/>
    <b v="0"/>
    <b v="1"/>
    <b v="0"/>
    <b v="0"/>
  </r>
  <r>
    <x v="160"/>
    <x v="9"/>
    <n v="655908.3125"/>
    <n v="0.90065932273864702"/>
    <n v="0.04"/>
    <n v="2.3153748090638602"/>
    <n v="2.5707553906436771"/>
    <n v="1.5637274764450301E-2"/>
    <n v="2.65408308953047E-2"/>
    <n v="-3.7226211279629902E-3"/>
    <n v="2.8950322687625901E-2"/>
    <n v="1.5796765685081499E-2"/>
    <b v="0"/>
    <b v="1"/>
    <b v="0"/>
    <b v="0"/>
  </r>
  <r>
    <x v="160"/>
    <x v="10"/>
    <n v="660708.375"/>
    <n v="0.91590279340743996"/>
    <n v="1.7999999999999999E-2"/>
    <n v="2.3698121872809401"/>
    <n v="2.5874057862237874"/>
    <n v="2.35112596042658E-2"/>
    <n v="2.8950322687625901E-2"/>
    <n v="1.5796765685081499E-2"/>
    <n v="6.28918381035329E-3"/>
    <n v="3.4996103495360002E-3"/>
    <b v="0"/>
    <b v="0"/>
    <b v="0"/>
    <b v="0"/>
  </r>
  <r>
    <x v="160"/>
    <x v="11"/>
    <n v="665635.9375"/>
    <n v="0.92150831222534202"/>
    <n v="1.7999999999999999E-2"/>
    <n v="2.3138554948391001"/>
    <n v="2.5109437040794473"/>
    <n v="-2.3612289928362201E-2"/>
    <n v="6.28918381035329E-3"/>
    <n v="3.4996103495360002E-3"/>
    <n v="2.69851239621638E-2"/>
    <n v="1.78501009941101E-2"/>
    <b v="1"/>
    <b v="0"/>
    <b v="1"/>
    <b v="0"/>
  </r>
  <r>
    <x v="160"/>
    <x v="12"/>
    <n v="669788.875"/>
    <n v="0.926011443138123"/>
    <n v="5.0000000000000001E-3"/>
    <n v="2.30243628939267"/>
    <n v="2.4864015520046232"/>
    <n v="-4.9351420051503402E-3"/>
    <n v="2.69851239621638E-2"/>
    <n v="1.78501009941101E-2"/>
    <n v="2.6259332120418501E-2"/>
    <n v="8.4581375122069896E-3"/>
    <b v="1"/>
    <b v="0"/>
    <b v="1"/>
    <b v="0"/>
  </r>
  <r>
    <x v="160"/>
    <x v="13"/>
    <n v="674204.5"/>
    <n v="0.92363727092742898"/>
    <n v="2.9000000000000001E-2"/>
    <n v="2.2099342845302199"/>
    <n v="2.3926430364933342"/>
    <n v="-4.0175706615035098E-2"/>
    <n v="2.6259332120418501E-2"/>
    <n v="8.4581375122069896E-3"/>
    <n v="3.83959134221077E-2"/>
    <n v="1.95467229932547E-2"/>
    <b v="1"/>
    <b v="0"/>
    <b v="1"/>
    <b v="0"/>
  </r>
  <r>
    <x v="160"/>
    <x v="14"/>
    <n v="677761.25"/>
    <n v="0.93954885005950906"/>
    <n v="1.0999999999999999E-2"/>
    <n v="1.9222474805801"/>
    <n v="2.0459260638319643"/>
    <n v="-0.13017889534723101"/>
    <n v="3.83959134221077E-2"/>
    <n v="1.95467229932547E-2"/>
    <n v="9.0195691466330996E-2"/>
    <n v="4.6606078743934097E-2"/>
    <b v="1"/>
    <b v="0"/>
    <b v="1"/>
    <b v="0"/>
  </r>
  <r>
    <x v="160"/>
    <x v="15"/>
    <n v="683454.5"/>
    <n v="0.95577412843704201"/>
    <n v="0"/>
    <n v="2.1516713005869601"/>
    <n v="2.2512340903237718"/>
    <n v="0.11935186406779499"/>
    <n v="9.0195691466330996E-2"/>
    <n v="4.6606078743934097E-2"/>
    <n v="-2.9108719825744599E-2"/>
    <n v="2.99478694796569E-3"/>
    <b v="0"/>
    <b v="0"/>
    <b v="0"/>
    <b v="0"/>
  </r>
  <r>
    <x v="160"/>
    <x v="16"/>
    <n v="690568.8125"/>
    <n v="0.91489386558532704"/>
    <n v="3.5000000000000003E-2"/>
    <n v="2.1221159128364699"/>
    <n v="2.3195214140809561"/>
    <n v="-1.37360142984774E-2"/>
    <n v="-2.9108719825744599E-2"/>
    <n v="3.4734904766082898E-3"/>
    <n v="-2.3943899929523501E-2"/>
    <n v="-4.3849721550941901E-3"/>
    <b v="1"/>
    <b v="0"/>
    <b v="0"/>
    <b v="0"/>
  </r>
  <r>
    <x v="161"/>
    <x v="0"/>
    <n v="902922.4375"/>
    <n v="0.93952405452728305"/>
    <n v="0.01"/>
    <n v="2.0929818200652601"/>
    <n v="2.227704346663411"/>
    <n v="1.07009982931076E-2"/>
    <n v="-7.1628190279006999E-3"/>
    <n v="-1.35258585214614E-2"/>
    <n v="1.7907108217477901E-3"/>
    <n v="2.7124667540192999E-3"/>
    <b v="0"/>
    <b v="1"/>
    <b v="0"/>
    <b v="1"/>
  </r>
  <r>
    <x v="161"/>
    <x v="1"/>
    <n v="906320.6875"/>
    <n v="0.94373303651809703"/>
    <n v="1E-3"/>
    <n v="2.1518822651167699"/>
    <n v="2.2801811336987199"/>
    <n v="2.8141880873899398E-2"/>
    <n v="1.7907108217477901E-3"/>
    <n v="2.7124667540192999E-3"/>
    <n v="-3.0317015305161399E-2"/>
    <n v="-8.0621102824807503E-4"/>
    <b v="0"/>
    <b v="0"/>
    <b v="0"/>
    <b v="0"/>
  </r>
  <r>
    <x v="161"/>
    <x v="2"/>
    <n v="909930.75"/>
    <n v="0.94756108522415206"/>
    <n v="1.9E-2"/>
    <n v="2.1700844513716899"/>
    <n v="2.2901789501606027"/>
    <n v="8.4587277612675794E-3"/>
    <n v="-3.0317015305161399E-2"/>
    <n v="-8.0621102824807503E-4"/>
    <n v="-2.62052665501833E-2"/>
    <n v="3.6143511533735101E-4"/>
    <b v="0"/>
    <b v="1"/>
    <b v="0"/>
    <b v="1"/>
  </r>
  <r>
    <x v="161"/>
    <x v="3"/>
    <n v="915020.625"/>
    <n v="0.94396162033081099"/>
    <n v="1.6E-2"/>
    <n v="2.2099354786838399"/>
    <n v="2.3411285279896958"/>
    <n v="1.8363814038185499E-2"/>
    <n v="-2.62052665501833E-2"/>
    <n v="3.6143511533735101E-4"/>
    <n v="2.5452494770288E-3"/>
    <n v="1.20053582359104E-2"/>
    <b v="0"/>
    <b v="0"/>
    <b v="0"/>
    <b v="1"/>
  </r>
  <r>
    <x v="161"/>
    <x v="4"/>
    <n v="921476.9375"/>
    <n v="0.94379597902297996"/>
    <n v="1.2E-2"/>
    <n v="2.1524806885696299"/>
    <n v="2.2806631267892068"/>
    <n v="-2.5998401613258299E-2"/>
    <n v="2.5452494770288E-3"/>
    <n v="1.20053582359104E-2"/>
    <n v="-2.1100504666566801E-2"/>
    <n v="1.83269847184499E-4"/>
    <b v="1"/>
    <b v="0"/>
    <b v="1"/>
    <b v="0"/>
  </r>
  <r>
    <x v="161"/>
    <x v="5"/>
    <n v="927860.75"/>
    <n v="0.94704174995422397"/>
    <n v="7.0000000000000001E-3"/>
    <n v="2.1823843416370101"/>
    <n v="2.3044225259789206"/>
    <n v="1.3892646389895E-2"/>
    <n v="-2.1100504666566801E-2"/>
    <n v="1.83269847184499E-4"/>
    <n v="-5.4712652266025999E-3"/>
    <n v="-3.30591574312002E-5"/>
    <b v="0"/>
    <b v="0"/>
    <b v="0"/>
    <b v="1"/>
  </r>
  <r>
    <x v="161"/>
    <x v="6"/>
    <n v="934013.625"/>
    <n v="0.94909799098968495"/>
    <n v="7.0000000000000001E-3"/>
    <n v="2.2308427192276699"/>
    <n v="2.3504872419985086"/>
    <n v="2.2204327929843799E-2"/>
    <n v="-5.4712652266025999E-3"/>
    <n v="-1.18657946586699E-4"/>
    <n v="6.4374847710133003E-3"/>
    <n v="3.1071342527870099E-4"/>
    <b v="0"/>
    <b v="1"/>
    <b v="0"/>
    <b v="1"/>
  </r>
  <r>
    <x v="161"/>
    <x v="7"/>
    <n v="940767.25"/>
    <n v="0.94589745998382602"/>
    <n v="1.2999999999999999E-2"/>
    <n v="2.2909866087228399"/>
    <n v="2.4220242739228981"/>
    <n v="2.6960165760137499E-2"/>
    <n v="6.4374847710133003E-3"/>
    <n v="3.1071342527870099E-4"/>
    <n v="1.4029121786356E-2"/>
    <n v="1.20210982859134E-2"/>
    <b v="0"/>
    <b v="0"/>
    <b v="0"/>
    <b v="0"/>
  </r>
  <r>
    <x v="161"/>
    <x v="8"/>
    <n v="947693"/>
    <n v="0.95172107219696001"/>
    <n v="3.0000000000000001E-3"/>
    <n v="2.2244566873368399"/>
    <n v="2.3372989758458194"/>
    <n v="-2.9039856074538899E-2"/>
    <n v="1.4029121786356E-2"/>
    <n v="1.20210982859134E-2"/>
    <n v="4.20976003408432E-2"/>
    <n v="1.18341483175755E-2"/>
    <b v="1"/>
    <b v="0"/>
    <b v="1"/>
    <b v="0"/>
  </r>
  <r>
    <x v="161"/>
    <x v="9"/>
    <n v="953126"/>
    <n v="0.960279941558838"/>
    <n v="6.0000000000000001E-3"/>
    <n v="2.1356359521392498"/>
    <n v="2.2239722602894707"/>
    <n v="-3.9929181675334699E-2"/>
    <n v="4.20976003408432E-2"/>
    <n v="1.18341483175755E-2"/>
    <n v="1.50242078006268E-2"/>
    <n v="1.8706507980824E-3"/>
    <b v="1"/>
    <b v="0"/>
    <b v="1"/>
    <b v="0"/>
  </r>
  <r>
    <x v="161"/>
    <x v="10"/>
    <n v="959015.625"/>
    <n v="0.95650899410247803"/>
    <n v="1.2E-2"/>
    <n v="2.06224549636983"/>
    <n v="2.1560126554846448"/>
    <n v="-3.4364684531510099E-2"/>
    <n v="1.50242078006268E-2"/>
    <n v="1.8706507980824E-3"/>
    <n v="-9.5119914412499895E-4"/>
    <n v="-3.7407726049422901E-3"/>
    <b v="1"/>
    <b v="0"/>
    <b v="1"/>
    <b v="0"/>
  </r>
  <r>
    <x v="161"/>
    <x v="11"/>
    <n v="967248.75"/>
    <n v="0.96535253524780296"/>
    <n v="3.0000000000000001E-3"/>
    <n v="2.1073625783061001"/>
    <n v="2.1829979218577873"/>
    <n v="2.1877648425312202E-2"/>
    <n v="-9.5119914412499895E-4"/>
    <n v="-3.7407726049422901E-3"/>
    <n v="1.6521778166294E-2"/>
    <n v="7.3867551982403001E-3"/>
    <b v="0"/>
    <b v="1"/>
    <b v="0"/>
    <b v="1"/>
  </r>
  <r>
    <x v="161"/>
    <x v="12"/>
    <n v="973308.6875"/>
    <n v="0.95826107263565097"/>
    <n v="2.9000000000000001E-2"/>
    <n v="2.1416844662227201"/>
    <n v="2.2349697043751555"/>
    <n v="1.6286655305519801E-2"/>
    <n v="1.6521778166294E-2"/>
    <n v="7.3867551982403001E-3"/>
    <n v="2.5981816619634598E-2"/>
    <n v="8.1806220114230901E-3"/>
    <b v="0"/>
    <b v="0"/>
    <b v="0"/>
    <b v="0"/>
  </r>
  <r>
    <x v="161"/>
    <x v="13"/>
    <n v="976917.125"/>
    <n v="0.96426588296890303"/>
    <n v="7.0000000000000001E-3"/>
    <n v="2.1688163343010798"/>
    <n v="2.2491891215973081"/>
    <n v="1.26684712460036E-2"/>
    <n v="2.5981816619634598E-2"/>
    <n v="8.1806220114230901E-3"/>
    <n v="1.5274528518319E-2"/>
    <n v="-3.5746619105338998E-3"/>
    <b v="0"/>
    <b v="0"/>
    <b v="0"/>
    <b v="0"/>
  </r>
  <r>
    <x v="161"/>
    <x v="14"/>
    <n v="974156.1875"/>
    <n v="0.96506977081298795"/>
    <n v="1.2999999999999999E-2"/>
    <n v="1.9800108570027599"/>
    <n v="2.0516763832886111"/>
    <n v="-8.7054617909431004E-2"/>
    <n v="1.5274528518319E-2"/>
    <n v="-3.5746619105338998E-3"/>
    <n v="3.0728502452373501E-2"/>
    <n v="-1.28611102700234E-2"/>
    <b v="0"/>
    <b v="0"/>
    <b v="1"/>
    <b v="0"/>
  </r>
  <r>
    <x v="161"/>
    <x v="15"/>
    <n v="979171.8125"/>
    <n v="0.97023797035217296"/>
    <n v="1.0999999999999999E-2"/>
    <n v="2.1931344318887498"/>
    <n v="2.260408785169163"/>
    <n v="0.107637578921463"/>
    <n v="3.0728502452373501E-2"/>
    <n v="-1.28611102700234E-2"/>
    <n v="-3.4821955412626303E-2"/>
    <n v="-2.718448638916E-3"/>
    <b v="0"/>
    <b v="1"/>
    <b v="0"/>
    <b v="0"/>
  </r>
  <r>
    <x v="161"/>
    <x v="16"/>
    <n v="984471.5"/>
    <n v="0.96682441234588601"/>
    <n v="1.4E-2"/>
    <n v="2.0979973438773301"/>
    <n v="2.1699879699839038"/>
    <n v="-4.3379505892617999E-2"/>
    <n v="-3.4821955412626303E-2"/>
    <n v="-2.2397451102733998E-3"/>
    <n v="8.7074984014033907E-3"/>
    <n v="2.82664261758327E-2"/>
    <b v="0"/>
    <b v="0"/>
    <b v="0"/>
    <b v="0"/>
  </r>
  <r>
    <x v="162"/>
    <x v="0"/>
    <n v="419738.40625"/>
    <n v="0.92019563913345304"/>
    <n v="9.0999999999999998E-2"/>
    <n v="2.3212511262710702"/>
    <n v="2.5225626242447632"/>
    <n v="4.6639900647168601E-2"/>
    <n v="-6.2837026715278996E-3"/>
    <n v="-1.26467421650886E-2"/>
    <n v="6.0409485399722899E-3"/>
    <n v="6.9627044722437902E-3"/>
    <b v="0"/>
    <b v="1"/>
    <b v="0"/>
    <b v="1"/>
  </r>
  <r>
    <x v="162"/>
    <x v="1"/>
    <n v="426036.1875"/>
    <n v="0.943492531776428"/>
    <n v="1E-3"/>
    <n v="2.1005958829902398"/>
    <n v="2.2264043564130738"/>
    <n v="-9.5058755506257905E-2"/>
    <n v="6.0409485399722899E-3"/>
    <n v="6.9627044722437902E-3"/>
    <n v="-3.0476059123873699E-2"/>
    <n v="-9.6525484696030595E-4"/>
    <b v="1"/>
    <b v="0"/>
    <b v="1"/>
    <b v="0"/>
  </r>
  <r>
    <x v="162"/>
    <x v="2"/>
    <n v="430323"/>
    <n v="0.94602400064468395"/>
    <n v="0.02"/>
    <n v="2.3116825863335699"/>
    <n v="2.4435771024395101"/>
    <n v="0.100488963656751"/>
    <n v="-3.0476059123873699E-2"/>
    <n v="-9.6525484696030595E-4"/>
    <n v="-2.5031751677393899E-2"/>
    <n v="1.53494998812675E-3"/>
    <b v="0"/>
    <b v="1"/>
    <b v="0"/>
    <b v="1"/>
  </r>
  <r>
    <x v="162"/>
    <x v="3"/>
    <n v="433688.1875"/>
    <n v="0.94383895397186302"/>
    <n v="8.9999999999999993E-3"/>
    <n v="2.45724659916129"/>
    <n v="2.6034596143978854"/>
    <n v="6.29688581331527E-2"/>
    <n v="-2.5031751677393899E-2"/>
    <n v="1.53494998812675E-3"/>
    <n v="-8.3919538557530003E-4"/>
    <n v="8.6209133733063797E-3"/>
    <b v="0"/>
    <b v="0"/>
    <b v="0"/>
    <b v="1"/>
  </r>
  <r>
    <x v="162"/>
    <x v="4"/>
    <n v="436078.875"/>
    <n v="0.94661706686019897"/>
    <n v="0"/>
    <n v="2.36980898615729"/>
    <n v="2.5034505177659923"/>
    <n v="-3.5583572700373003E-2"/>
    <n v="-8.3919538557530003E-4"/>
    <n v="8.6209133733063797E-3"/>
    <n v="-2.6011186528950899E-2"/>
    <n v="-4.72741201519963E-3"/>
    <b v="1"/>
    <b v="0"/>
    <b v="0"/>
    <b v="0"/>
  </r>
  <r>
    <x v="162"/>
    <x v="5"/>
    <n v="437839.28125"/>
    <n v="0.94896781444549605"/>
    <n v="1E-3"/>
    <n v="2.36513361624039"/>
    <n v="2.4923222687192954"/>
    <n v="-1.9728889308008798E-3"/>
    <n v="-2.6011186528950899E-2"/>
    <n v="-4.72741201519963E-3"/>
    <n v="-9.7225423008204005E-3"/>
    <n v="-4.284336231649E-3"/>
    <b v="0"/>
    <b v="0"/>
    <b v="0"/>
    <b v="0"/>
  </r>
  <r>
    <x v="162"/>
    <x v="6"/>
    <n v="439478.90625"/>
    <n v="0.94816958904266402"/>
    <n v="5.0000000000000001E-3"/>
    <n v="2.2773304021601399"/>
    <n v="2.401817595161944"/>
    <n v="-3.7123997340927799E-2"/>
    <n v="-9.7225423008204005E-3"/>
    <n v="-4.3699350208044902E-3"/>
    <n v="-1.52873653918499E-3"/>
    <n v="-7.6555078849196E-3"/>
    <b v="0"/>
    <b v="0"/>
    <b v="0"/>
    <b v="0"/>
  </r>
  <r>
    <x v="162"/>
    <x v="7"/>
    <n v="441540.09375"/>
    <n v="0.94808989763259899"/>
    <n v="3.0000000000000001E-3"/>
    <n v="2.3194258930956599"/>
    <n v="2.4464197950925506"/>
    <n v="1.84845777738636E-2"/>
    <n v="-1.52873653918499E-3"/>
    <n v="-7.6555078849196E-3"/>
    <n v="-3.1125379577278999E-3"/>
    <n v="-5.1205614581704001E-3"/>
    <b v="0"/>
    <b v="1"/>
    <b v="0"/>
    <b v="1"/>
  </r>
  <r>
    <x v="162"/>
    <x v="8"/>
    <n v="443701.8125"/>
    <n v="0.95330035686492898"/>
    <n v="1.4E-2"/>
    <n v="2.3845307304002401"/>
    <n v="2.5013425341013473"/>
    <n v="2.80693759168547E-2"/>
    <n v="-3.1125379577278999E-3"/>
    <n v="-5.1205614581704001E-3"/>
    <n v="3.16278582215309E-2"/>
    <n v="1.3644061982632E-3"/>
    <b v="0"/>
    <b v="1"/>
    <b v="0"/>
    <b v="1"/>
  </r>
  <r>
    <x v="162"/>
    <x v="9"/>
    <n v="445776.875"/>
    <n v="0.95263040065765403"/>
    <n v="1.4E-2"/>
    <n v="2.2863834891036201"/>
    <n v="2.4000740345103431"/>
    <n v="-4.1159981729466499E-2"/>
    <n v="3.16278582215309E-2"/>
    <n v="1.3644061982632E-3"/>
    <n v="1.57915300577878E-2"/>
    <n v="2.63797305524349E-3"/>
    <b v="1"/>
    <b v="0"/>
    <b v="1"/>
    <b v="0"/>
  </r>
  <r>
    <x v="162"/>
    <x v="10"/>
    <n v="448468.5"/>
    <n v="0.93644708395004295"/>
    <n v="1.2999999999999999E-2"/>
    <n v="2.3700536636742"/>
    <n v="2.5308997211855662"/>
    <n v="3.6594987222981497E-2"/>
    <n v="1.57915300577878E-2"/>
    <n v="2.63797305524349E-3"/>
    <n v="1.3782115370035101E-2"/>
    <n v="1.09925419092179E-2"/>
    <b v="0"/>
    <b v="0"/>
    <b v="0"/>
    <b v="0"/>
  </r>
  <r>
    <x v="162"/>
    <x v="11"/>
    <n v="451118.40625"/>
    <n v="0.94648587703704801"/>
    <n v="-6.0000000000000001E-3"/>
    <n v="2.5015097570868399"/>
    <n v="2.6429446204921283"/>
    <n v="5.5465450182611897E-2"/>
    <n v="1.3782115370035101E-2"/>
    <n v="1.09925419092179E-2"/>
    <n v="1.5329245686531099E-2"/>
    <n v="6.1942227184773003E-3"/>
    <b v="0"/>
    <b v="0"/>
    <b v="0"/>
    <b v="0"/>
  </r>
  <r>
    <x v="162"/>
    <x v="12"/>
    <n v="453814.6875"/>
    <n v="0.95711070299148604"/>
    <n v="-1E-3"/>
    <n v="2.27702404972286"/>
    <n v="2.3790602723446037"/>
    <n v="-8.9740088651667493E-2"/>
    <n v="1.5329245686531099E-2"/>
    <n v="6.1942227184773003E-3"/>
    <n v="-1.8508740067481901E-3"/>
    <n v="-1.9652068614959699E-2"/>
    <b v="1"/>
    <b v="0"/>
    <b v="1"/>
    <b v="0"/>
  </r>
  <r>
    <x v="162"/>
    <x v="13"/>
    <n v="455449.5"/>
    <n v="0.93580865859985396"/>
    <n v="4.3999999999999997E-2"/>
    <n v="2.2991951804960702"/>
    <n v="2.4569073596050064"/>
    <n v="9.7368891540292098E-3"/>
    <n v="-1.8508740067481901E-3"/>
    <n v="-1.9652068614959699E-2"/>
    <n v="3.9619376987218902E-2"/>
    <n v="2.0770186558365902E-2"/>
    <b v="0"/>
    <b v="1"/>
    <b v="0"/>
    <b v="1"/>
  </r>
  <r>
    <x v="162"/>
    <x v="14"/>
    <n v="457367.09375"/>
    <n v="0.96926808357238803"/>
    <n v="2.4E-2"/>
    <n v="2.1869070003674098"/>
    <n v="2.2562457563930347"/>
    <n v="-4.8838037362459397E-2"/>
    <n v="3.9619376987218902E-2"/>
    <n v="2.0770186558365902E-2"/>
    <n v="3.9169265210628398E-2"/>
    <n v="-4.4203475117684096E-3"/>
    <b v="1"/>
    <b v="0"/>
    <b v="1"/>
    <b v="0"/>
  </r>
  <r>
    <x v="162"/>
    <x v="15"/>
    <n v="459692.1875"/>
    <n v="0.96991866827011097"/>
    <n v="1.4999999999999999E-2"/>
    <n v="2.4367961780334402"/>
    <n v="2.5123716634710869"/>
    <n v="0.11426602851609199"/>
    <n v="3.9169265210628398E-2"/>
    <n v="-4.4203475117684096E-3"/>
    <n v="-6.9305211231112496E-2"/>
    <n v="-3.7201704457402097E-2"/>
    <b v="0"/>
    <b v="1"/>
    <b v="0"/>
    <b v="0"/>
  </r>
  <r>
    <x v="162"/>
    <x v="16"/>
    <n v="462449.3125"/>
    <n v="0.96318304538726796"/>
    <n v="2E-3"/>
    <n v="2.2482290237704299"/>
    <n v="2.3341659039133962"/>
    <n v="-7.7383228011784003E-2"/>
    <n v="-6.9305211231112496E-2"/>
    <n v="-3.6723000928759499E-2"/>
    <n v="-9.8597284257411991E-3"/>
    <n v="9.6991993486880996E-3"/>
    <b v="0"/>
    <b v="0"/>
    <b v="0"/>
    <b v="0"/>
  </r>
  <r>
    <x v="163"/>
    <x v="0"/>
    <n v="579168.1875"/>
    <n v="0.90197563171386697"/>
    <n v="0"/>
    <n v="2.1139942880456899"/>
    <n v="2.3437376950293385"/>
    <n v="-6.1619051216714304E-3"/>
    <n v="-8.3789046555757998E-3"/>
    <n v="-1.47419441491365E-2"/>
    <n v="-6.6707049459219002E-3"/>
    <n v="-5.7489490136504E-3"/>
    <b v="0"/>
    <b v="0"/>
    <b v="0"/>
    <b v="0"/>
  </r>
  <r>
    <x v="163"/>
    <x v="1"/>
    <n v="574391.4375"/>
    <n v="0.91248190402984597"/>
    <n v="4.0000000000000001E-3"/>
    <n v="2.1535589604344398"/>
    <n v="2.3601114180166798"/>
    <n v="1.8715600421666902E-2"/>
    <n v="-6.6707049459219002E-3"/>
    <n v="-5.7489490136504E-3"/>
    <n v="-2.31321652531623E-2"/>
    <n v="6.3786390237509996E-3"/>
    <b v="0"/>
    <b v="1"/>
    <b v="0"/>
    <b v="1"/>
  </r>
  <r>
    <x v="163"/>
    <x v="2"/>
    <n v="570277.25"/>
    <n v="0.92082417011260997"/>
    <n v="8.0000000000000002E-3"/>
    <n v="1.9557164505808999"/>
    <n v="2.1238761036667078"/>
    <n v="-9.1867700624099796E-2"/>
    <n v="-2.31321652531623E-2"/>
    <n v="6.3786390237509996E-3"/>
    <n v="-1.7644426509738E-2"/>
    <n v="8.9222751557826493E-3"/>
    <b v="1"/>
    <b v="0"/>
    <b v="0"/>
    <b v="0"/>
  </r>
  <r>
    <x v="163"/>
    <x v="3"/>
    <n v="567399.125"/>
    <n v="0.90593892335891701"/>
    <n v="2E-3"/>
    <n v="2.02887660784693"/>
    <n v="2.2395291288782886"/>
    <n v="3.7408366250794002E-2"/>
    <n v="-1.7644426509738E-2"/>
    <n v="8.9222751557826493E-3"/>
    <n v="-1.4862409847788499E-2"/>
    <n v="-5.4023010889068203E-3"/>
    <b v="0"/>
    <b v="0"/>
    <b v="0"/>
    <b v="1"/>
  </r>
  <r>
    <x v="163"/>
    <x v="4"/>
    <n v="564621.25"/>
    <n v="0.90899997949600198"/>
    <n v="1E-3"/>
    <n v="2.0852494092099301"/>
    <n v="2.2940038022510225"/>
    <n v="2.7785229099182102E-2"/>
    <n v="-1.4862409847788499E-2"/>
    <n v="-5.4023010889068203E-3"/>
    <n v="-2.6656530208885601E-2"/>
    <n v="-5.3727556951343701E-3"/>
    <b v="0"/>
    <b v="1"/>
    <b v="0"/>
    <b v="1"/>
  </r>
  <r>
    <x v="163"/>
    <x v="5"/>
    <n v="562686.1875"/>
    <n v="0.92196452617645297"/>
    <n v="0"/>
    <n v="2.11801008830883"/>
    <n v="2.2972793726593643"/>
    <n v="1.5710676600219999E-2"/>
    <n v="-2.6656530208885601E-2"/>
    <n v="-5.3727556951343701E-3"/>
    <n v="-1.52473610863089E-2"/>
    <n v="-9.8091550171375604E-3"/>
    <b v="0"/>
    <b v="1"/>
    <b v="0"/>
    <b v="1"/>
  </r>
  <r>
    <x v="163"/>
    <x v="6"/>
    <n v="560176"/>
    <n v="0.92622357606887795"/>
    <n v="-7.0000000000000001E-3"/>
    <n v="2.1880192014717199"/>
    <n v="2.3623013471091019"/>
    <n v="3.3054192493858402E-2"/>
    <n v="-1.52473610863089E-2"/>
    <n v="-9.8947538062930593E-3"/>
    <n v="-5.28234556317329E-3"/>
    <n v="-1.14091169089078E-2"/>
    <b v="0"/>
    <b v="1"/>
    <b v="0"/>
    <b v="1"/>
  </r>
  <r>
    <x v="163"/>
    <x v="7"/>
    <n v="558345.8125"/>
    <n v="0.92720139026641801"/>
    <n v="-1E-3"/>
    <n v="2.12704210481259"/>
    <n v="2.2940454222155719"/>
    <n v="-2.78686295888649E-2"/>
    <n v="-5.28234556317329E-3"/>
    <n v="-1.14091169089078E-2"/>
    <n v="-1.2978382347151599E-2"/>
    <n v="-1.49864058475941E-2"/>
    <b v="0"/>
    <b v="0"/>
    <b v="0"/>
    <b v="0"/>
  </r>
  <r>
    <x v="163"/>
    <x v="8"/>
    <n v="556195.375"/>
    <n v="0.93323755264282204"/>
    <n v="0"/>
    <n v="2.1597827349831502"/>
    <n v="2.3142904278411134"/>
    <n v="1.5392563267311501E-2"/>
    <n v="-1.2978382347151599E-2"/>
    <n v="-1.49864058475941E-2"/>
    <n v="2.4271976366639001E-2"/>
    <n v="-5.9914756566285896E-3"/>
    <b v="0"/>
    <b v="1"/>
    <b v="0"/>
    <b v="1"/>
  </r>
  <r>
    <x v="163"/>
    <x v="9"/>
    <n v="552832.6875"/>
    <n v="0.94023132324218806"/>
    <n v="-1E-3"/>
    <n v="1.9970693632393599"/>
    <n v="2.1240191789749039"/>
    <n v="-7.5337842602512098E-2"/>
    <n v="2.4271976366639001E-2"/>
    <n v="-5.9914756566285896E-3"/>
    <n v="-1.47774881869549E-3"/>
    <n v="-1.46313058212399E-2"/>
    <b v="0"/>
    <b v="0"/>
    <b v="1"/>
    <b v="0"/>
  </r>
  <r>
    <x v="163"/>
    <x v="10"/>
    <n v="549637.8125"/>
    <n v="0.93625760078430198"/>
    <n v="2E-3"/>
    <n v="2.2086676444367699"/>
    <n v="2.3590384127045501"/>
    <n v="0.105954397524871"/>
    <n v="-1.47774881869549E-3"/>
    <n v="-1.46313058212399E-2"/>
    <n v="-5.5060389488934998E-3"/>
    <n v="-8.2956124097107904E-3"/>
    <b v="0"/>
    <b v="1"/>
    <b v="0"/>
    <b v="1"/>
  </r>
  <r>
    <x v="163"/>
    <x v="11"/>
    <n v="547141.125"/>
    <n v="0.91935980319976796"/>
    <n v="-2E-3"/>
    <n v="2.1441071995841301"/>
    <n v="2.3321741848204738"/>
    <n v="-2.9230493331693402E-2"/>
    <n v="-5.5060389488934998E-3"/>
    <n v="-8.2956124097107904E-3"/>
    <n v="1.2414010465145E-3"/>
    <n v="-7.8936219215392893E-3"/>
    <b v="0"/>
    <b v="0"/>
    <b v="0"/>
    <b v="0"/>
  </r>
  <r>
    <x v="163"/>
    <x v="12"/>
    <n v="544739.6875"/>
    <n v="0.93154954910278298"/>
    <n v="2E-3"/>
    <n v="2.11108237795592"/>
    <n v="2.2662051417331455"/>
    <n v="-1.54025981698217E-2"/>
    <n v="1.2414010465145E-3"/>
    <n v="-7.8936219215392893E-3"/>
    <n v="4.8836722671986004E-3"/>
    <n v="-1.2917522341012899E-2"/>
    <b v="0"/>
    <b v="0"/>
    <b v="1"/>
    <b v="0"/>
  </r>
  <r>
    <x v="163"/>
    <x v="13"/>
    <n v="542408.8125"/>
    <n v="0.93893343210220304"/>
    <n v="4.0000000000000001E-3"/>
    <n v="1.9894372421921001"/>
    <n v="2.1188267178194904"/>
    <n v="-5.7622164361773302E-2"/>
    <n v="4.8836722671986004E-3"/>
    <n v="-1.2917522341012899E-2"/>
    <n v="1.8128262937068901E-2"/>
    <n v="-7.2092749178409902E-4"/>
    <b v="0"/>
    <b v="0"/>
    <b v="1"/>
    <b v="0"/>
  </r>
  <r>
    <x v="163"/>
    <x v="14"/>
    <n v="539697.5"/>
    <n v="0.969773650169373"/>
    <n v="7.0000000000000001E-3"/>
    <n v="1.990030905777"/>
    <n v="2.0520571016024585"/>
    <n v="2.9840779709400402E-4"/>
    <n v="1.8128262937068901E-2"/>
    <n v="-7.2092749178409902E-4"/>
    <n v="1.1979101896286001E-3"/>
    <n v="-4.2391702532768298E-2"/>
    <b v="0"/>
    <b v="1"/>
    <b v="0"/>
    <b v="0"/>
  </r>
  <r>
    <x v="163"/>
    <x v="15"/>
    <n v="537452.0625"/>
    <n v="0.96811485290527299"/>
    <n v="0"/>
    <n v="1.97367391762192"/>
    <n v="2.0386774479278005"/>
    <n v="-8.2194643849960794E-3"/>
    <n v="1.1979101896286001E-3"/>
    <n v="-4.2391702532768298E-2"/>
    <n v="-4.6670305728911902E-3"/>
    <n v="2.7436476200819099E-2"/>
    <b v="0"/>
    <b v="0"/>
    <b v="1"/>
    <b v="0"/>
  </r>
  <r>
    <x v="163"/>
    <x v="16"/>
    <n v="535569.5625"/>
    <n v="0.95431613922119096"/>
    <n v="0"/>
    <n v="1.9881598493874"/>
    <n v="2.083334618033307"/>
    <n v="7.3395770375926997E-3"/>
    <n v="-4.6670305728911902E-3"/>
    <n v="2.7915179729461701E-2"/>
    <n v="1.15237582623958E-2"/>
    <n v="3.1082686036825201E-2"/>
    <b v="0"/>
    <b v="0"/>
    <b v="0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8935B-1468-4442-B54C-4C538EC1C887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57" firstHeaderRow="1" firstDataRow="1" firstDataCol="1" rowPageCount="1" colPageCount="1"/>
  <pivotFields count="16">
    <pivotField axis="axisRow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axis="axisPage" multipleItemSelectionAllowed="1" showAll="0">
      <items count="18">
        <item h="1" x="0"/>
        <item h="1" x="1"/>
        <item h="1" x="2"/>
        <item h="1" x="3"/>
        <item h="1" x="4"/>
        <item h="1" x="5"/>
        <item x="6"/>
        <item x="7"/>
        <item x="8"/>
        <item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showAll="0"/>
    <pivotField numFmtId="10" showAll="0"/>
    <pivotField dataField="1"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54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6"/>
    </i>
    <i>
      <x v="47"/>
    </i>
    <i>
      <x v="48"/>
    </i>
    <i>
      <x v="50"/>
    </i>
    <i>
      <x v="52"/>
    </i>
    <i>
      <x v="53"/>
    </i>
    <i>
      <x v="54"/>
    </i>
    <i>
      <x v="55"/>
    </i>
    <i>
      <x v="56"/>
    </i>
    <i>
      <x v="57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6"/>
    </i>
    <i>
      <x v="147"/>
    </i>
    <i>
      <x v="148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 t="grand">
      <x/>
    </i>
  </rowItems>
  <colItems count="1">
    <i/>
  </colItems>
  <pageFields count="1">
    <pageField fld="1" hier="-1"/>
  </pageFields>
  <dataFields count="1">
    <dataField name="Sum of supply" fld="4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69AC2-CACA-4395-B8B9-D8CD5BCCD6C1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57" firstHeaderRow="1" firstDataRow="1" firstDataCol="1" rowPageCount="1" colPageCount="1"/>
  <pivotFields count="16">
    <pivotField axis="axisRow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axis="axisPage" multipleItemSelectionAllowed="1" showAll="0">
      <items count="18">
        <item h="1" x="0"/>
        <item h="1" x="1"/>
        <item h="1" x="2"/>
        <item h="1" x="3"/>
        <item h="1" x="4"/>
        <item h="1" x="5"/>
        <item x="6"/>
        <item x="7"/>
        <item x="8"/>
        <item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showAll="0"/>
    <pivotField numFmtId="10" showAll="0"/>
    <pivotField numFmtId="10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54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6"/>
    </i>
    <i>
      <x v="47"/>
    </i>
    <i>
      <x v="48"/>
    </i>
    <i>
      <x v="50"/>
    </i>
    <i>
      <x v="52"/>
    </i>
    <i>
      <x v="53"/>
    </i>
    <i>
      <x v="54"/>
    </i>
    <i>
      <x v="55"/>
    </i>
    <i>
      <x v="56"/>
    </i>
    <i>
      <x v="57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6"/>
    </i>
    <i>
      <x v="147"/>
    </i>
    <i>
      <x v="148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 t="grand">
      <x/>
    </i>
  </rowItems>
  <colItems count="1">
    <i/>
  </colItems>
  <pageFields count="1">
    <pageField fld="1" hier="-1"/>
  </pageFields>
  <dataFields count="1">
    <dataField name="Sum of real_relative_rent_growth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75640-E061-4F21-A077-5731B6648433}" name="PivotTable1" cacheId="1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B158" firstHeaderRow="1" firstDataRow="1" firstDataCol="1" rowPageCount="1" colPageCount="1"/>
  <pivotFields count="16">
    <pivotField axis="axisRow" showAll="0" sortType="descending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numFmtId="10" showAll="0"/>
    <pivotField numFmtId="10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55">
    <i>
      <x v="22"/>
    </i>
    <i>
      <x v="89"/>
    </i>
    <i>
      <x v="130"/>
    </i>
    <i>
      <x v="92"/>
    </i>
    <i>
      <x v="11"/>
    </i>
    <i>
      <x v="69"/>
    </i>
    <i>
      <x v="147"/>
    </i>
    <i>
      <x v="55"/>
    </i>
    <i>
      <x v="98"/>
    </i>
    <i>
      <x v="46"/>
    </i>
    <i>
      <x v="32"/>
    </i>
    <i>
      <x v="156"/>
    </i>
    <i>
      <x v="136"/>
    </i>
    <i>
      <x v="155"/>
    </i>
    <i>
      <x v="81"/>
    </i>
    <i>
      <x v="50"/>
    </i>
    <i>
      <x v="85"/>
    </i>
    <i>
      <x v="78"/>
    </i>
    <i>
      <x v="116"/>
    </i>
    <i>
      <x v="135"/>
    </i>
    <i>
      <x v="58"/>
    </i>
    <i>
      <x v="108"/>
    </i>
    <i>
      <x v="66"/>
    </i>
    <i>
      <x v="113"/>
    </i>
    <i>
      <x v="157"/>
    </i>
    <i>
      <x v="14"/>
    </i>
    <i>
      <x v="65"/>
    </i>
    <i>
      <x v="9"/>
    </i>
    <i>
      <x v="131"/>
    </i>
    <i>
      <x v="133"/>
    </i>
    <i>
      <x v="47"/>
    </i>
    <i>
      <x v="62"/>
    </i>
    <i>
      <x v="53"/>
    </i>
    <i>
      <x v="128"/>
    </i>
    <i>
      <x v="7"/>
    </i>
    <i>
      <x v="97"/>
    </i>
    <i>
      <x v="132"/>
    </i>
    <i>
      <x v="38"/>
    </i>
    <i>
      <x v="91"/>
    </i>
    <i>
      <x v="100"/>
    </i>
    <i>
      <x v="121"/>
    </i>
    <i>
      <x v="99"/>
    </i>
    <i>
      <x v="39"/>
    </i>
    <i>
      <x v="70"/>
    </i>
    <i>
      <x v="112"/>
    </i>
    <i>
      <x v="35"/>
    </i>
    <i>
      <x v="153"/>
    </i>
    <i>
      <x v="19"/>
    </i>
    <i>
      <x v="27"/>
    </i>
    <i>
      <x v="71"/>
    </i>
    <i>
      <x v="59"/>
    </i>
    <i>
      <x v="105"/>
    </i>
    <i>
      <x v="154"/>
    </i>
    <i>
      <x v="13"/>
    </i>
    <i>
      <x v="124"/>
    </i>
    <i>
      <x v="137"/>
    </i>
    <i>
      <x v="104"/>
    </i>
    <i>
      <x v="123"/>
    </i>
    <i>
      <x v="160"/>
    </i>
    <i>
      <x v="26"/>
    </i>
    <i>
      <x v="21"/>
    </i>
    <i>
      <x v="110"/>
    </i>
    <i>
      <x v="61"/>
    </i>
    <i>
      <x v="29"/>
    </i>
    <i>
      <x v="34"/>
    </i>
    <i>
      <x v="103"/>
    </i>
    <i>
      <x v="93"/>
    </i>
    <i>
      <x v="158"/>
    </i>
    <i>
      <x v="151"/>
    </i>
    <i>
      <x v="127"/>
    </i>
    <i>
      <x v="25"/>
    </i>
    <i>
      <x v="138"/>
    </i>
    <i>
      <x v="162"/>
    </i>
    <i>
      <x v="109"/>
    </i>
    <i>
      <x v="107"/>
    </i>
    <i>
      <x v="3"/>
    </i>
    <i>
      <x v="145"/>
    </i>
    <i>
      <x v="87"/>
    </i>
    <i>
      <x v="16"/>
    </i>
    <i>
      <x v="134"/>
    </i>
    <i>
      <x v="86"/>
    </i>
    <i>
      <x v="4"/>
    </i>
    <i>
      <x v="152"/>
    </i>
    <i>
      <x v="141"/>
    </i>
    <i>
      <x v="119"/>
    </i>
    <i>
      <x v="44"/>
    </i>
    <i>
      <x v="30"/>
    </i>
    <i>
      <x v="150"/>
    </i>
    <i>
      <x v="57"/>
    </i>
    <i>
      <x v="60"/>
    </i>
    <i>
      <x v="8"/>
    </i>
    <i>
      <x v="122"/>
    </i>
    <i>
      <x v="24"/>
    </i>
    <i>
      <x v="48"/>
    </i>
    <i>
      <x v="31"/>
    </i>
    <i>
      <x v="68"/>
    </i>
    <i>
      <x v="28"/>
    </i>
    <i>
      <x v="54"/>
    </i>
    <i>
      <x v="101"/>
    </i>
    <i>
      <x v="73"/>
    </i>
    <i>
      <x v="125"/>
    </i>
    <i>
      <x v="43"/>
    </i>
    <i>
      <x v="82"/>
    </i>
    <i>
      <x v="129"/>
    </i>
    <i>
      <x v="140"/>
    </i>
    <i>
      <x v="90"/>
    </i>
    <i>
      <x v="146"/>
    </i>
    <i>
      <x v="102"/>
    </i>
    <i>
      <x v="10"/>
    </i>
    <i>
      <x v="12"/>
    </i>
    <i>
      <x v="2"/>
    </i>
    <i>
      <x v="37"/>
    </i>
    <i>
      <x v="52"/>
    </i>
    <i>
      <x v="77"/>
    </i>
    <i>
      <x v="42"/>
    </i>
    <i>
      <x v="144"/>
    </i>
    <i>
      <x v="64"/>
    </i>
    <i>
      <x v="72"/>
    </i>
    <i>
      <x v="63"/>
    </i>
    <i>
      <x v="41"/>
    </i>
    <i>
      <x v="94"/>
    </i>
    <i>
      <x v="142"/>
    </i>
    <i>
      <x v="159"/>
    </i>
    <i>
      <x v="67"/>
    </i>
    <i>
      <x v="56"/>
    </i>
    <i>
      <x v="79"/>
    </i>
    <i>
      <x v="96"/>
    </i>
    <i>
      <x/>
    </i>
    <i>
      <x v="83"/>
    </i>
    <i>
      <x v="161"/>
    </i>
    <i>
      <x v="76"/>
    </i>
    <i>
      <x v="163"/>
    </i>
    <i>
      <x v="84"/>
    </i>
    <i>
      <x v="115"/>
    </i>
    <i>
      <x v="143"/>
    </i>
    <i>
      <x v="36"/>
    </i>
    <i>
      <x v="88"/>
    </i>
    <i>
      <x v="106"/>
    </i>
    <i>
      <x v="148"/>
    </i>
    <i>
      <x v="120"/>
    </i>
    <i>
      <x v="139"/>
    </i>
    <i>
      <x v="80"/>
    </i>
    <i>
      <x v="20"/>
    </i>
    <i>
      <x v="111"/>
    </i>
    <i>
      <x v="33"/>
    </i>
    <i>
      <x v="17"/>
    </i>
    <i>
      <x v="95"/>
    </i>
    <i>
      <x v="126"/>
    </i>
    <i>
      <x v="23"/>
    </i>
    <i>
      <x v="15"/>
    </i>
    <i>
      <x v="1"/>
    </i>
    <i>
      <x v="117"/>
    </i>
    <i>
      <x v="5"/>
    </i>
    <i>
      <x v="118"/>
    </i>
    <i>
      <x v="18"/>
    </i>
  </rowItems>
  <colItems count="1">
    <i/>
  </colItems>
  <pageFields count="1">
    <pageField fld="1" item="5" hier="-1"/>
  </pageFields>
  <dataFields count="1">
    <dataField name="Sum of rdiocc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848A-B52D-4BB7-95FF-BCA71137CBE1}">
  <dimension ref="A1:L158"/>
  <sheetViews>
    <sheetView workbookViewId="0">
      <selection activeCell="B22" sqref="B22"/>
    </sheetView>
  </sheetViews>
  <sheetFormatPr defaultRowHeight="14.5" x14ac:dyDescent="0.35"/>
  <cols>
    <col min="1" max="1" width="26.453125" bestFit="1" customWidth="1"/>
    <col min="2" max="2" width="12.26953125" bestFit="1" customWidth="1"/>
    <col min="5" max="5" width="26.453125" bestFit="1" customWidth="1"/>
    <col min="6" max="6" width="28.26953125" bestFit="1" customWidth="1"/>
    <col min="7" max="7" width="26.453125" bestFit="1" customWidth="1"/>
    <col min="8" max="8" width="15.81640625" bestFit="1" customWidth="1"/>
  </cols>
  <sheetData>
    <row r="1" spans="1:12" x14ac:dyDescent="0.35">
      <c r="A1" s="4" t="s">
        <v>1</v>
      </c>
      <c r="B1" s="5">
        <v>2011</v>
      </c>
      <c r="C1" s="7">
        <f>AVERAGE(C4:C83)</f>
        <v>1.6401452937712661E-2</v>
      </c>
      <c r="D1" s="7" t="e">
        <f>AVERAGE(D4:D83)</f>
        <v>#N/A</v>
      </c>
      <c r="E1" s="4" t="s">
        <v>1</v>
      </c>
      <c r="F1" t="s">
        <v>175</v>
      </c>
      <c r="G1" s="4" t="s">
        <v>1</v>
      </c>
      <c r="H1" t="s">
        <v>175</v>
      </c>
    </row>
    <row r="2" spans="1:12" x14ac:dyDescent="0.35">
      <c r="C2" s="7">
        <f>AVERAGE(C87:C167)</f>
        <v>-5.0874268822048308E-3</v>
      </c>
      <c r="D2" s="7">
        <f>AVERAGE(D87:D167)</f>
        <v>5.7666666666666658E-2</v>
      </c>
      <c r="L2" t="s">
        <v>183</v>
      </c>
    </row>
    <row r="3" spans="1:12" x14ac:dyDescent="0.35">
      <c r="A3" s="4" t="s">
        <v>173</v>
      </c>
      <c r="B3" t="s">
        <v>179</v>
      </c>
      <c r="C3" t="s">
        <v>182</v>
      </c>
      <c r="D3" t="s">
        <v>183</v>
      </c>
      <c r="E3" s="4" t="s">
        <v>173</v>
      </c>
      <c r="F3" t="s">
        <v>176</v>
      </c>
      <c r="G3" s="4" t="s">
        <v>173</v>
      </c>
      <c r="H3" t="s">
        <v>181</v>
      </c>
      <c r="K3" t="s">
        <v>184</v>
      </c>
      <c r="L3" t="s">
        <v>185</v>
      </c>
    </row>
    <row r="4" spans="1:12" x14ac:dyDescent="0.35">
      <c r="A4" s="5" t="s">
        <v>31</v>
      </c>
      <c r="B4" s="6">
        <v>3.4798921904969702</v>
      </c>
      <c r="C4">
        <f>IFERROR(VLOOKUP(A4,E:F,2,0),"")</f>
        <v>-4.7382332617416895E-2</v>
      </c>
      <c r="D4">
        <f>VLOOKUP(A4,G:H,2,0)</f>
        <v>0.105</v>
      </c>
      <c r="E4" s="5" t="s">
        <v>9</v>
      </c>
      <c r="F4" s="6">
        <v>-4.988996312022106E-3</v>
      </c>
      <c r="G4" s="5" t="s">
        <v>9</v>
      </c>
      <c r="H4" s="8">
        <v>2.5000000000000001E-2</v>
      </c>
      <c r="I4" t="s">
        <v>178</v>
      </c>
      <c r="J4" t="s">
        <v>184</v>
      </c>
      <c r="K4" s="7">
        <f>AVERAGEIFS(C:C,B:B,"&gt;"&amp;MEDIAN(B:B),D:D,"&gt;"&amp;MEDIAN(D:D))</f>
        <v>1.6401452937712661E-2</v>
      </c>
      <c r="L4" s="7">
        <f>AVERAGEIFS(C:C,B:B,"&gt;"&amp;MEDIAN(B:B),D:D,"&lt;"&amp;MEDIAN(D:D))</f>
        <v>1.6401452937712661E-2</v>
      </c>
    </row>
    <row r="5" spans="1:12" x14ac:dyDescent="0.35">
      <c r="A5" s="5" t="s">
        <v>98</v>
      </c>
      <c r="B5" s="6">
        <v>3.4687970489332098</v>
      </c>
      <c r="C5">
        <f t="shared" ref="C5:C68" si="0">IFERROR(VLOOKUP(A5,E:F,2,0),"")</f>
        <v>-3.3525658305734306E-2</v>
      </c>
      <c r="D5">
        <f t="shared" ref="D5:D68" si="1">VLOOKUP(A5,G:H,2,0)</f>
        <v>9.8999999999999991E-2</v>
      </c>
      <c r="E5" s="5" t="s">
        <v>10</v>
      </c>
      <c r="F5" s="6">
        <v>-2.841841522604225E-2</v>
      </c>
      <c r="G5" s="5" t="s">
        <v>10</v>
      </c>
      <c r="H5" s="8">
        <v>7.9999999999999988E-2</v>
      </c>
      <c r="J5" t="s">
        <v>185</v>
      </c>
      <c r="K5" s="7" t="e">
        <f>AVERAGEIFS(C:C,B:B,"&lt;"&amp;MEDIAN(B:B),D:D,"&gt;"&amp;MEDIAN(D:D))</f>
        <v>#DIV/0!</v>
      </c>
      <c r="L5" s="7" t="e">
        <f>AVERAGEIFS(C:C,B:B,"&lt;"&amp;MEDIAN(B:B),D:D,"&lt;"&amp;MEDIAN(D:D))</f>
        <v>#DIV/0!</v>
      </c>
    </row>
    <row r="6" spans="1:12" x14ac:dyDescent="0.35">
      <c r="A6" s="5" t="s">
        <v>139</v>
      </c>
      <c r="B6" s="6">
        <v>3.4455179475130171</v>
      </c>
      <c r="C6">
        <f t="shared" si="0"/>
        <v>6.9102896377444101E-2</v>
      </c>
      <c r="D6">
        <f t="shared" si="1"/>
        <v>1E-3</v>
      </c>
      <c r="E6" s="5" t="s">
        <v>11</v>
      </c>
      <c r="F6" s="6">
        <v>-3.3528632484376195E-2</v>
      </c>
      <c r="G6" s="5" t="s">
        <v>11</v>
      </c>
      <c r="H6" s="8">
        <v>5.2000000000000005E-2</v>
      </c>
    </row>
    <row r="7" spans="1:12" x14ac:dyDescent="0.35">
      <c r="A7" s="5" t="s">
        <v>101</v>
      </c>
      <c r="B7" s="6">
        <v>3.4146839025193447</v>
      </c>
      <c r="C7">
        <f t="shared" si="0"/>
        <v>4.06846310943366E-2</v>
      </c>
      <c r="D7">
        <f t="shared" si="1"/>
        <v>1E-3</v>
      </c>
      <c r="E7" s="5" t="s">
        <v>12</v>
      </c>
      <c r="F7" s="6">
        <v>-3.4361520549282515E-2</v>
      </c>
      <c r="G7" s="5" t="s">
        <v>12</v>
      </c>
      <c r="H7" s="8">
        <v>0.10900000000000001</v>
      </c>
    </row>
    <row r="8" spans="1:12" x14ac:dyDescent="0.35">
      <c r="A8" s="5" t="s">
        <v>20</v>
      </c>
      <c r="B8" s="6">
        <v>3.3975804071709996</v>
      </c>
      <c r="C8">
        <f t="shared" si="0"/>
        <v>-2.1607657894492101E-2</v>
      </c>
      <c r="D8">
        <f t="shared" si="1"/>
        <v>2.8999999999999998E-2</v>
      </c>
      <c r="E8" s="5" t="s">
        <v>13</v>
      </c>
      <c r="F8" s="6">
        <v>-2.7982800500467392E-2</v>
      </c>
      <c r="G8" s="5" t="s">
        <v>13</v>
      </c>
      <c r="H8" s="8">
        <v>0.01</v>
      </c>
    </row>
    <row r="9" spans="1:12" x14ac:dyDescent="0.35">
      <c r="A9" s="5" t="s">
        <v>78</v>
      </c>
      <c r="B9" s="6">
        <v>3.3062509503581889</v>
      </c>
      <c r="C9">
        <f t="shared" si="0"/>
        <v>5.1994131878018185E-2</v>
      </c>
      <c r="D9">
        <f t="shared" si="1"/>
        <v>3.3000000000000002E-2</v>
      </c>
      <c r="E9" s="5" t="s">
        <v>14</v>
      </c>
      <c r="F9" s="6">
        <v>4.3953387066721798E-2</v>
      </c>
      <c r="G9" s="5" t="s">
        <v>14</v>
      </c>
      <c r="H9" s="8">
        <v>1.2999999999999999E-2</v>
      </c>
    </row>
    <row r="10" spans="1:12" x14ac:dyDescent="0.35">
      <c r="A10" s="5" t="s">
        <v>156</v>
      </c>
      <c r="B10" s="6">
        <v>3.2650131330487246</v>
      </c>
      <c r="C10">
        <f t="shared" si="0"/>
        <v>6.5264549106359315E-2</v>
      </c>
      <c r="D10">
        <f t="shared" si="1"/>
        <v>-3.0000000000000001E-3</v>
      </c>
      <c r="E10" s="5" t="s">
        <v>16</v>
      </c>
      <c r="F10" s="6">
        <v>6.9771036505699102E-2</v>
      </c>
      <c r="G10" s="5" t="s">
        <v>16</v>
      </c>
      <c r="H10" s="8">
        <v>3.8999999999999993E-2</v>
      </c>
    </row>
    <row r="11" spans="1:12" x14ac:dyDescent="0.35">
      <c r="A11" s="5" t="s">
        <v>64</v>
      </c>
      <c r="B11" s="6">
        <v>3.2332784699574892</v>
      </c>
      <c r="C11">
        <f t="shared" si="0"/>
        <v>-6.5460810437798795E-3</v>
      </c>
      <c r="D11">
        <f t="shared" si="1"/>
        <v>1.6E-2</v>
      </c>
      <c r="E11" s="5" t="s">
        <v>17</v>
      </c>
      <c r="F11" s="6">
        <v>-3.9832323556765713E-2</v>
      </c>
      <c r="G11" s="5" t="s">
        <v>17</v>
      </c>
      <c r="H11" s="8">
        <v>-1.3000000000000001E-2</v>
      </c>
    </row>
    <row r="12" spans="1:12" x14ac:dyDescent="0.35">
      <c r="A12" s="5" t="s">
        <v>107</v>
      </c>
      <c r="B12" s="6">
        <v>3.142397461396627</v>
      </c>
      <c r="C12">
        <f t="shared" si="0"/>
        <v>9.1831106692552594E-2</v>
      </c>
      <c r="D12">
        <f t="shared" si="1"/>
        <v>0</v>
      </c>
      <c r="E12" s="5" t="s">
        <v>18</v>
      </c>
      <c r="F12" s="6">
        <v>-1.2113779783248811E-2</v>
      </c>
      <c r="G12" s="5" t="s">
        <v>18</v>
      </c>
      <c r="H12" s="8">
        <v>0.10100000000000001</v>
      </c>
    </row>
    <row r="13" spans="1:12" x14ac:dyDescent="0.35">
      <c r="A13" s="5" t="s">
        <v>55</v>
      </c>
      <c r="B13" s="6">
        <v>3.1030320367900952</v>
      </c>
      <c r="C13">
        <f t="shared" si="0"/>
        <v>-6.5584354102611361E-2</v>
      </c>
      <c r="D13">
        <f t="shared" si="1"/>
        <v>7.6999999999999999E-2</v>
      </c>
      <c r="E13" s="5" t="s">
        <v>19</v>
      </c>
      <c r="F13" s="6">
        <v>4.8609187826514189E-2</v>
      </c>
      <c r="G13" s="5" t="s">
        <v>19</v>
      </c>
      <c r="H13" s="8">
        <v>0.161</v>
      </c>
    </row>
    <row r="14" spans="1:12" x14ac:dyDescent="0.35">
      <c r="A14" s="5" t="s">
        <v>41</v>
      </c>
      <c r="B14" s="6">
        <v>3.0277881017740569</v>
      </c>
      <c r="C14">
        <f t="shared" si="0"/>
        <v>-5.6080586742609691E-2</v>
      </c>
      <c r="D14">
        <f t="shared" si="1"/>
        <v>0.11800000000000001</v>
      </c>
      <c r="E14" s="5" t="s">
        <v>20</v>
      </c>
      <c r="F14" s="6">
        <v>-2.1607657894492101E-2</v>
      </c>
      <c r="G14" s="5" t="s">
        <v>20</v>
      </c>
      <c r="H14" s="8">
        <v>2.8999999999999998E-2</v>
      </c>
    </row>
    <row r="15" spans="1:12" x14ac:dyDescent="0.35">
      <c r="A15" s="5" t="s">
        <v>165</v>
      </c>
      <c r="B15" s="6">
        <v>3.0006688573756968</v>
      </c>
      <c r="C15">
        <f t="shared" si="0"/>
        <v>9.5286456868052483E-2</v>
      </c>
      <c r="D15">
        <f t="shared" si="1"/>
        <v>3.3000000000000002E-2</v>
      </c>
      <c r="E15" s="5" t="s">
        <v>21</v>
      </c>
      <c r="F15" s="6">
        <v>-1.543026603758329E-2</v>
      </c>
      <c r="G15" s="5" t="s">
        <v>21</v>
      </c>
      <c r="H15" s="8">
        <v>6.2E-2</v>
      </c>
    </row>
    <row r="16" spans="1:12" x14ac:dyDescent="0.35">
      <c r="A16" s="5" t="s">
        <v>145</v>
      </c>
      <c r="B16" s="6">
        <v>2.9502255545315363</v>
      </c>
      <c r="C16">
        <f t="shared" si="0"/>
        <v>5.1382679492235198E-2</v>
      </c>
      <c r="D16">
        <f t="shared" si="1"/>
        <v>0.03</v>
      </c>
      <c r="E16" s="5" t="s">
        <v>22</v>
      </c>
      <c r="F16" s="6">
        <v>-1.0540482588112288E-2</v>
      </c>
      <c r="G16" s="5" t="s">
        <v>22</v>
      </c>
      <c r="H16" s="8">
        <v>1.4E-2</v>
      </c>
    </row>
    <row r="17" spans="1:8" x14ac:dyDescent="0.35">
      <c r="A17" s="5" t="s">
        <v>164</v>
      </c>
      <c r="B17" s="6">
        <v>2.9121910761894449</v>
      </c>
      <c r="C17">
        <f t="shared" si="0"/>
        <v>0.1092744879424568</v>
      </c>
      <c r="D17">
        <f t="shared" si="1"/>
        <v>1.0999999999999999E-2</v>
      </c>
      <c r="E17" s="5" t="s">
        <v>23</v>
      </c>
      <c r="F17" s="6">
        <v>-3.2832924742251586E-2</v>
      </c>
      <c r="G17" s="5" t="s">
        <v>23</v>
      </c>
      <c r="H17" s="8">
        <v>1.4999999999999999E-2</v>
      </c>
    </row>
    <row r="18" spans="1:8" x14ac:dyDescent="0.35">
      <c r="A18" s="5" t="s">
        <v>90</v>
      </c>
      <c r="B18" s="6">
        <v>2.8714246787843862</v>
      </c>
      <c r="C18">
        <f t="shared" si="0"/>
        <v>2.5246496312320219E-2</v>
      </c>
      <c r="D18">
        <f t="shared" si="1"/>
        <v>2.7E-2</v>
      </c>
      <c r="E18" s="5" t="s">
        <v>24</v>
      </c>
      <c r="F18" s="6">
        <v>-3.8852433674037297E-2</v>
      </c>
      <c r="G18" s="5" t="s">
        <v>24</v>
      </c>
      <c r="H18" s="8">
        <v>4.0000000000000001E-3</v>
      </c>
    </row>
    <row r="19" spans="1:8" x14ac:dyDescent="0.35">
      <c r="A19" s="5" t="s">
        <v>59</v>
      </c>
      <c r="B19" s="6">
        <v>2.8622491438762219</v>
      </c>
      <c r="C19">
        <f t="shared" si="0"/>
        <v>-7.3148458730429203E-2</v>
      </c>
      <c r="D19">
        <f t="shared" si="1"/>
        <v>0.126</v>
      </c>
      <c r="E19" s="5" t="s">
        <v>25</v>
      </c>
      <c r="F19" s="6">
        <v>-1.6983048059046289E-2</v>
      </c>
      <c r="G19" s="5" t="s">
        <v>25</v>
      </c>
      <c r="H19" s="8">
        <v>4.8000000000000001E-2</v>
      </c>
    </row>
    <row r="20" spans="1:8" x14ac:dyDescent="0.35">
      <c r="A20" s="5" t="s">
        <v>94</v>
      </c>
      <c r="B20" s="6">
        <v>2.8568053804023648</v>
      </c>
      <c r="C20">
        <f t="shared" si="0"/>
        <v>4.0170783177018089E-2</v>
      </c>
      <c r="D20">
        <f t="shared" si="1"/>
        <v>1.9E-2</v>
      </c>
      <c r="E20" s="5" t="s">
        <v>26</v>
      </c>
      <c r="F20" s="6">
        <v>-4.6279158443212412E-2</v>
      </c>
      <c r="G20" s="5" t="s">
        <v>26</v>
      </c>
      <c r="H20" s="8">
        <v>8.0000000000000002E-3</v>
      </c>
    </row>
    <row r="21" spans="1:8" x14ac:dyDescent="0.35">
      <c r="A21" s="5" t="s">
        <v>87</v>
      </c>
      <c r="B21" s="6">
        <v>2.8566125392436685</v>
      </c>
      <c r="C21">
        <f t="shared" si="0"/>
        <v>3.134551458060738E-2</v>
      </c>
      <c r="D21">
        <f t="shared" si="1"/>
        <v>4.0000000000000001E-3</v>
      </c>
      <c r="E21" s="5" t="s">
        <v>27</v>
      </c>
      <c r="F21" s="6">
        <v>-3.8747221173252709E-2</v>
      </c>
      <c r="G21" s="5" t="s">
        <v>27</v>
      </c>
      <c r="H21" s="8">
        <v>2.5000000000000001E-2</v>
      </c>
    </row>
    <row r="22" spans="1:8" x14ac:dyDescent="0.35">
      <c r="A22" s="5" t="s">
        <v>125</v>
      </c>
      <c r="B22" s="6">
        <v>2.8360984449482944</v>
      </c>
      <c r="C22">
        <f t="shared" si="0"/>
        <v>3.7323970347642885E-2</v>
      </c>
      <c r="D22">
        <f t="shared" si="1"/>
        <v>5.8000000000000003E-2</v>
      </c>
      <c r="E22" s="5" t="s">
        <v>28</v>
      </c>
      <c r="F22" s="6">
        <v>4.6535227447748982E-3</v>
      </c>
      <c r="G22" s="5" t="s">
        <v>28</v>
      </c>
      <c r="H22" s="8">
        <v>0.13800000000000001</v>
      </c>
    </row>
    <row r="23" spans="1:8" x14ac:dyDescent="0.35">
      <c r="A23" s="5" t="s">
        <v>144</v>
      </c>
      <c r="B23" s="6">
        <v>2.8140533168057842</v>
      </c>
      <c r="C23">
        <f t="shared" si="0"/>
        <v>0.1288729179650546</v>
      </c>
      <c r="D23">
        <f t="shared" si="1"/>
        <v>0.11899999999999999</v>
      </c>
      <c r="E23" s="5" t="s">
        <v>29</v>
      </c>
      <c r="F23" s="6">
        <v>2.4913802742957989E-2</v>
      </c>
      <c r="G23" s="5" t="s">
        <v>29</v>
      </c>
      <c r="H23" s="8">
        <v>0.105</v>
      </c>
    </row>
    <row r="24" spans="1:8" x14ac:dyDescent="0.35">
      <c r="A24" s="5" t="s">
        <v>67</v>
      </c>
      <c r="B24" s="6">
        <v>2.8104846554779916</v>
      </c>
      <c r="C24" t="str">
        <f t="shared" si="0"/>
        <v/>
      </c>
      <c r="D24" t="e">
        <f t="shared" si="1"/>
        <v>#N/A</v>
      </c>
      <c r="E24" s="5" t="s">
        <v>30</v>
      </c>
      <c r="F24" s="6">
        <v>6.3012119382619705E-2</v>
      </c>
      <c r="G24" s="5" t="s">
        <v>30</v>
      </c>
      <c r="H24" s="8">
        <v>3.2000000000000001E-2</v>
      </c>
    </row>
    <row r="25" spans="1:8" x14ac:dyDescent="0.35">
      <c r="A25" s="5" t="s">
        <v>117</v>
      </c>
      <c r="B25" s="6">
        <v>2.7733443241549725</v>
      </c>
      <c r="C25">
        <f t="shared" si="0"/>
        <v>-9.530075825750689E-3</v>
      </c>
      <c r="D25">
        <f t="shared" si="1"/>
        <v>0.20600000000000002</v>
      </c>
      <c r="E25" s="5" t="s">
        <v>31</v>
      </c>
      <c r="F25" s="6">
        <v>-4.7382332617416895E-2</v>
      </c>
      <c r="G25" s="5" t="s">
        <v>31</v>
      </c>
      <c r="H25" s="8">
        <v>0.105</v>
      </c>
    </row>
    <row r="26" spans="1:8" x14ac:dyDescent="0.35">
      <c r="A26" s="5" t="s">
        <v>75</v>
      </c>
      <c r="B26" s="6">
        <v>2.7730669739983878</v>
      </c>
      <c r="C26">
        <f t="shared" si="0"/>
        <v>3.2902244478463988E-2</v>
      </c>
      <c r="D26">
        <f t="shared" si="1"/>
        <v>8.1000000000000003E-2</v>
      </c>
      <c r="E26" s="5" t="s">
        <v>32</v>
      </c>
      <c r="F26" s="6">
        <v>-2.5859556160867089E-2</v>
      </c>
      <c r="G26" s="5" t="s">
        <v>32</v>
      </c>
      <c r="H26" s="8">
        <v>3.3000000000000002E-2</v>
      </c>
    </row>
    <row r="27" spans="1:8" x14ac:dyDescent="0.35">
      <c r="A27" s="5" t="s">
        <v>122</v>
      </c>
      <c r="B27" s="6">
        <v>2.7687174462359407</v>
      </c>
      <c r="C27">
        <f t="shared" si="0"/>
        <v>7.318660151213391E-3</v>
      </c>
      <c r="D27">
        <f t="shared" si="1"/>
        <v>-6.0000000000000001E-3</v>
      </c>
      <c r="E27" s="5" t="s">
        <v>33</v>
      </c>
      <c r="F27" s="6">
        <v>-1.6768516041338468E-2</v>
      </c>
      <c r="G27" s="5" t="s">
        <v>33</v>
      </c>
      <c r="H27" s="8">
        <v>2.1999999999999999E-2</v>
      </c>
    </row>
    <row r="28" spans="1:8" x14ac:dyDescent="0.35">
      <c r="A28" s="5" t="s">
        <v>166</v>
      </c>
      <c r="B28" s="6">
        <v>2.7672922969096763</v>
      </c>
      <c r="C28">
        <f t="shared" si="0"/>
        <v>-6.0761105269192903E-3</v>
      </c>
      <c r="D28">
        <f t="shared" si="1"/>
        <v>7.6999999999999999E-2</v>
      </c>
      <c r="E28" s="5" t="s">
        <v>34</v>
      </c>
      <c r="F28" s="6">
        <v>-2.0599903538822989E-2</v>
      </c>
      <c r="G28" s="5" t="s">
        <v>34</v>
      </c>
      <c r="H28" s="8">
        <v>3.9999999999999994E-2</v>
      </c>
    </row>
    <row r="29" spans="1:8" x14ac:dyDescent="0.35">
      <c r="A29" s="5" t="s">
        <v>23</v>
      </c>
      <c r="B29" s="6">
        <v>2.7601987086915347</v>
      </c>
      <c r="C29">
        <f t="shared" si="0"/>
        <v>-3.2832924742251586E-2</v>
      </c>
      <c r="D29">
        <f t="shared" si="1"/>
        <v>1.4999999999999999E-2</v>
      </c>
      <c r="E29" s="5" t="s">
        <v>35</v>
      </c>
      <c r="F29" s="6">
        <v>3.2541178166866205E-2</v>
      </c>
      <c r="G29" s="5" t="s">
        <v>35</v>
      </c>
      <c r="H29" s="8">
        <v>0.192</v>
      </c>
    </row>
    <row r="30" spans="1:8" x14ac:dyDescent="0.35">
      <c r="A30" s="5" t="s">
        <v>74</v>
      </c>
      <c r="B30" s="6">
        <v>2.7581046253440058</v>
      </c>
      <c r="C30">
        <f t="shared" si="0"/>
        <v>3.5661428235471401E-2</v>
      </c>
      <c r="D30">
        <f t="shared" si="1"/>
        <v>1.9999999999999997E-2</v>
      </c>
      <c r="E30" s="5" t="s">
        <v>36</v>
      </c>
      <c r="F30" s="6">
        <v>3.5392500460147691E-2</v>
      </c>
      <c r="G30" s="5" t="s">
        <v>36</v>
      </c>
      <c r="H30" s="8">
        <v>0.14899999999999999</v>
      </c>
    </row>
    <row r="31" spans="1:8" x14ac:dyDescent="0.35">
      <c r="A31" s="5" t="s">
        <v>18</v>
      </c>
      <c r="B31" s="6">
        <v>2.7547264671101095</v>
      </c>
      <c r="C31">
        <f t="shared" si="0"/>
        <v>-1.2113779783248811E-2</v>
      </c>
      <c r="D31">
        <f t="shared" si="1"/>
        <v>0.10100000000000001</v>
      </c>
      <c r="E31" s="5" t="s">
        <v>37</v>
      </c>
      <c r="F31" s="6">
        <v>-1.0279566049579969E-4</v>
      </c>
      <c r="G31" s="5" t="s">
        <v>37</v>
      </c>
      <c r="H31" s="8">
        <v>0.129</v>
      </c>
    </row>
    <row r="32" spans="1:8" x14ac:dyDescent="0.35">
      <c r="A32" s="5" t="s">
        <v>140</v>
      </c>
      <c r="B32" s="6">
        <v>2.749452808862396</v>
      </c>
      <c r="C32">
        <f t="shared" si="0"/>
        <v>1.7299136146902989E-2</v>
      </c>
      <c r="D32">
        <f t="shared" si="1"/>
        <v>0.13800000000000001</v>
      </c>
      <c r="E32" s="5" t="s">
        <v>38</v>
      </c>
      <c r="F32" s="6">
        <v>8.923452347516991E-3</v>
      </c>
      <c r="G32" s="5" t="s">
        <v>38</v>
      </c>
      <c r="H32" s="8">
        <v>3.3000000000000002E-2</v>
      </c>
    </row>
    <row r="33" spans="1:8" x14ac:dyDescent="0.35">
      <c r="A33" s="5" t="s">
        <v>142</v>
      </c>
      <c r="B33" s="6">
        <v>2.7479731351317156</v>
      </c>
      <c r="C33">
        <f t="shared" si="0"/>
        <v>6.7665213719010298E-2</v>
      </c>
      <c r="D33">
        <f t="shared" si="1"/>
        <v>4.1999999999999996E-2</v>
      </c>
      <c r="E33" s="5" t="s">
        <v>39</v>
      </c>
      <c r="F33" s="6">
        <v>4.8779156059027004E-3</v>
      </c>
      <c r="G33" s="5" t="s">
        <v>39</v>
      </c>
      <c r="H33" s="8">
        <v>6.8000000000000005E-2</v>
      </c>
    </row>
    <row r="34" spans="1:8" x14ac:dyDescent="0.35">
      <c r="A34" s="5" t="s">
        <v>56</v>
      </c>
      <c r="B34" s="6">
        <v>2.7472250743210518</v>
      </c>
      <c r="C34">
        <f t="shared" si="0"/>
        <v>-8.9634656906128398E-3</v>
      </c>
      <c r="D34">
        <f t="shared" si="1"/>
        <v>0</v>
      </c>
      <c r="E34" s="5" t="s">
        <v>40</v>
      </c>
      <c r="F34" s="6">
        <v>2.6385458186268004E-3</v>
      </c>
      <c r="G34" s="5" t="s">
        <v>40</v>
      </c>
      <c r="H34" s="8">
        <v>2.8000000000000001E-2</v>
      </c>
    </row>
    <row r="35" spans="1:8" x14ac:dyDescent="0.35">
      <c r="A35" s="5" t="s">
        <v>71</v>
      </c>
      <c r="B35" s="6">
        <v>2.7247926354990795</v>
      </c>
      <c r="C35">
        <f t="shared" si="0"/>
        <v>-6.10188487917184E-2</v>
      </c>
      <c r="D35">
        <f t="shared" si="1"/>
        <v>1.9E-2</v>
      </c>
      <c r="E35" s="5" t="s">
        <v>41</v>
      </c>
      <c r="F35" s="6">
        <v>-5.6080586742609691E-2</v>
      </c>
      <c r="G35" s="5" t="s">
        <v>41</v>
      </c>
      <c r="H35" s="8">
        <v>0.11800000000000001</v>
      </c>
    </row>
    <row r="36" spans="1:8" x14ac:dyDescent="0.35">
      <c r="A36" s="5" t="s">
        <v>62</v>
      </c>
      <c r="B36" s="6">
        <v>2.7081038952550123</v>
      </c>
      <c r="C36">
        <f t="shared" si="0"/>
        <v>8.5961630567908093E-2</v>
      </c>
      <c r="D36">
        <f t="shared" si="1"/>
        <v>6.0000000000000005E-2</v>
      </c>
      <c r="E36" s="5" t="s">
        <v>42</v>
      </c>
      <c r="F36" s="6">
        <v>-1.3831853866577176E-2</v>
      </c>
      <c r="G36" s="5" t="s">
        <v>42</v>
      </c>
      <c r="H36" s="8">
        <v>3.4000000000000002E-2</v>
      </c>
    </row>
    <row r="37" spans="1:8" x14ac:dyDescent="0.35">
      <c r="A37" s="5" t="s">
        <v>137</v>
      </c>
      <c r="B37" s="6">
        <v>2.7048691053982163</v>
      </c>
      <c r="C37">
        <f t="shared" si="0"/>
        <v>7.8233261592686121E-2</v>
      </c>
      <c r="D37">
        <f t="shared" si="1"/>
        <v>6.0000000000000001E-3</v>
      </c>
      <c r="E37" s="5" t="s">
        <v>43</v>
      </c>
      <c r="F37" s="6">
        <v>1.8006949685513911E-2</v>
      </c>
      <c r="G37" s="5" t="s">
        <v>43</v>
      </c>
      <c r="H37" s="8">
        <v>0.125</v>
      </c>
    </row>
    <row r="38" spans="1:8" x14ac:dyDescent="0.35">
      <c r="A38" s="5" t="s">
        <v>16</v>
      </c>
      <c r="B38" s="6">
        <v>2.7039444244726636</v>
      </c>
      <c r="C38">
        <f t="shared" si="0"/>
        <v>6.9771036505699102E-2</v>
      </c>
      <c r="D38">
        <f t="shared" si="1"/>
        <v>3.8999999999999993E-2</v>
      </c>
      <c r="E38" s="5" t="s">
        <v>44</v>
      </c>
      <c r="F38" s="6">
        <v>6.3931645825504993E-2</v>
      </c>
      <c r="G38" s="5" t="s">
        <v>44</v>
      </c>
      <c r="H38" s="8">
        <v>5.0999999999999997E-2</v>
      </c>
    </row>
    <row r="39" spans="1:8" x14ac:dyDescent="0.35">
      <c r="A39" s="5" t="s">
        <v>106</v>
      </c>
      <c r="B39" s="6">
        <v>2.6989612976431849</v>
      </c>
      <c r="C39">
        <f t="shared" si="0"/>
        <v>2.9343031346798082E-3</v>
      </c>
      <c r="D39">
        <f t="shared" si="1"/>
        <v>4.2999999999999997E-2</v>
      </c>
      <c r="E39" s="5" t="s">
        <v>45</v>
      </c>
      <c r="F39" s="6">
        <v>-2.2727974690496894E-2</v>
      </c>
      <c r="G39" s="5" t="s">
        <v>45</v>
      </c>
      <c r="H39" s="8">
        <v>5.2999999999999992E-2</v>
      </c>
    </row>
    <row r="40" spans="1:8" x14ac:dyDescent="0.35">
      <c r="A40" s="5" t="s">
        <v>141</v>
      </c>
      <c r="B40" s="6">
        <v>2.6912061567884709</v>
      </c>
      <c r="C40">
        <f t="shared" si="0"/>
        <v>1.430168189108369E-2</v>
      </c>
      <c r="D40">
        <f t="shared" si="1"/>
        <v>0.14399999999999999</v>
      </c>
      <c r="E40" s="5" t="s">
        <v>46</v>
      </c>
      <c r="F40" s="6">
        <v>-2.8402302414177998E-3</v>
      </c>
      <c r="G40" s="5" t="s">
        <v>46</v>
      </c>
      <c r="H40" s="8">
        <v>9.4999999999999987E-2</v>
      </c>
    </row>
    <row r="41" spans="1:8" x14ac:dyDescent="0.35">
      <c r="A41" s="5" t="s">
        <v>47</v>
      </c>
      <c r="B41" s="6">
        <v>2.6815005949642359</v>
      </c>
      <c r="C41">
        <f t="shared" si="0"/>
        <v>5.3296755999326609E-2</v>
      </c>
      <c r="D41">
        <f t="shared" si="1"/>
        <v>4.5999999999999999E-2</v>
      </c>
      <c r="E41" s="5" t="s">
        <v>47</v>
      </c>
      <c r="F41" s="6">
        <v>5.3296755999326609E-2</v>
      </c>
      <c r="G41" s="5" t="s">
        <v>47</v>
      </c>
      <c r="H41" s="8">
        <v>4.5999999999999999E-2</v>
      </c>
    </row>
    <row r="42" spans="1:8" x14ac:dyDescent="0.35">
      <c r="A42" s="5" t="s">
        <v>100</v>
      </c>
      <c r="B42" s="6">
        <v>2.6783496363322801</v>
      </c>
      <c r="C42">
        <f t="shared" si="0"/>
        <v>-1.9631961360573689E-2</v>
      </c>
      <c r="D42">
        <f t="shared" si="1"/>
        <v>2.1000000000000001E-2</v>
      </c>
      <c r="E42" s="5" t="s">
        <v>48</v>
      </c>
      <c r="F42" s="6">
        <v>5.6343276053666999E-2</v>
      </c>
      <c r="G42" s="5" t="s">
        <v>48</v>
      </c>
      <c r="H42" s="8">
        <v>7.5999999999999998E-2</v>
      </c>
    </row>
    <row r="43" spans="1:8" x14ac:dyDescent="0.35">
      <c r="A43" s="5" t="s">
        <v>109</v>
      </c>
      <c r="B43" s="6">
        <v>2.6703790343323299</v>
      </c>
      <c r="C43">
        <f t="shared" si="0"/>
        <v>7.0009026676416286E-2</v>
      </c>
      <c r="D43">
        <f t="shared" si="1"/>
        <v>0.10200000000000001</v>
      </c>
      <c r="E43" s="5" t="s">
        <v>50</v>
      </c>
      <c r="F43" s="6">
        <v>-1.4867299236357181E-2</v>
      </c>
      <c r="G43" s="5" t="s">
        <v>50</v>
      </c>
      <c r="H43" s="8">
        <v>1.0999999999999999E-2</v>
      </c>
    </row>
    <row r="44" spans="1:8" x14ac:dyDescent="0.35">
      <c r="A44" s="5" t="s">
        <v>130</v>
      </c>
      <c r="B44" s="6">
        <v>2.6610414856861744</v>
      </c>
      <c r="C44">
        <f t="shared" si="0"/>
        <v>-2.0848844200372616E-2</v>
      </c>
      <c r="D44">
        <f t="shared" si="1"/>
        <v>3.0000000000000001E-3</v>
      </c>
      <c r="E44" s="5" t="s">
        <v>51</v>
      </c>
      <c r="F44" s="6">
        <v>2.2226087749004302E-2</v>
      </c>
      <c r="G44" s="5" t="s">
        <v>51</v>
      </c>
      <c r="H44" s="8">
        <v>3.8000000000000006E-2</v>
      </c>
    </row>
    <row r="45" spans="1:8" x14ac:dyDescent="0.35">
      <c r="A45" s="5" t="s">
        <v>108</v>
      </c>
      <c r="B45" s="6">
        <v>2.660977870978265</v>
      </c>
      <c r="C45">
        <f t="shared" si="0"/>
        <v>-2.0664338488131623E-2</v>
      </c>
      <c r="D45">
        <f t="shared" si="1"/>
        <v>9.0000000000000011E-3</v>
      </c>
      <c r="E45" s="5" t="s">
        <v>52</v>
      </c>
      <c r="F45" s="6">
        <v>8.9943254366516998E-2</v>
      </c>
      <c r="G45" s="5" t="s">
        <v>52</v>
      </c>
      <c r="H45" s="8">
        <v>0.11599999999999999</v>
      </c>
    </row>
    <row r="46" spans="1:8" x14ac:dyDescent="0.35">
      <c r="A46" s="5" t="s">
        <v>48</v>
      </c>
      <c r="B46" s="6">
        <v>2.6537782346717358</v>
      </c>
      <c r="C46">
        <f t="shared" si="0"/>
        <v>5.6343276053666999E-2</v>
      </c>
      <c r="D46">
        <f t="shared" si="1"/>
        <v>7.5999999999999998E-2</v>
      </c>
      <c r="E46" s="5" t="s">
        <v>53</v>
      </c>
      <c r="F46" s="6">
        <v>7.3754927143454994E-3</v>
      </c>
      <c r="G46" s="5" t="s">
        <v>53</v>
      </c>
      <c r="H46" s="8">
        <v>6.0000000000000001E-3</v>
      </c>
    </row>
    <row r="47" spans="1:8" x14ac:dyDescent="0.35">
      <c r="A47" s="5" t="s">
        <v>79</v>
      </c>
      <c r="B47" s="6">
        <v>2.6527953370860775</v>
      </c>
      <c r="C47">
        <f t="shared" si="0"/>
        <v>5.4835649207235094E-3</v>
      </c>
      <c r="D47">
        <f t="shared" si="1"/>
        <v>9.9999999999999985E-3</v>
      </c>
      <c r="E47" s="5" t="s">
        <v>55</v>
      </c>
      <c r="F47" s="6">
        <v>-6.5584354102611361E-2</v>
      </c>
      <c r="G47" s="5" t="s">
        <v>55</v>
      </c>
      <c r="H47" s="8">
        <v>7.6999999999999999E-2</v>
      </c>
    </row>
    <row r="48" spans="1:8" x14ac:dyDescent="0.35">
      <c r="A48" s="5" t="s">
        <v>121</v>
      </c>
      <c r="B48" s="6">
        <v>2.6347347059758635</v>
      </c>
      <c r="C48">
        <f t="shared" si="0"/>
        <v>4.7883214429020798E-2</v>
      </c>
      <c r="D48">
        <f t="shared" si="1"/>
        <v>0.11199999999999999</v>
      </c>
      <c r="E48" s="5" t="s">
        <v>56</v>
      </c>
      <c r="F48" s="6">
        <v>-8.9634656906128398E-3</v>
      </c>
      <c r="G48" s="5" t="s">
        <v>56</v>
      </c>
      <c r="H48" s="8">
        <v>0</v>
      </c>
    </row>
    <row r="49" spans="1:8" x14ac:dyDescent="0.35">
      <c r="A49" s="5" t="s">
        <v>44</v>
      </c>
      <c r="B49" s="6">
        <v>2.6319567683713481</v>
      </c>
      <c r="C49">
        <f t="shared" si="0"/>
        <v>6.3931645825504993E-2</v>
      </c>
      <c r="D49">
        <f t="shared" si="1"/>
        <v>5.0999999999999997E-2</v>
      </c>
      <c r="E49" s="5" t="s">
        <v>57</v>
      </c>
      <c r="F49" s="6">
        <v>2.9453696683049192E-2</v>
      </c>
      <c r="G49" s="5" t="s">
        <v>57</v>
      </c>
      <c r="H49" s="8">
        <v>6.7000000000000004E-2</v>
      </c>
    </row>
    <row r="50" spans="1:8" x14ac:dyDescent="0.35">
      <c r="A50" s="5" t="s">
        <v>162</v>
      </c>
      <c r="B50" s="6">
        <v>2.6278126626871217</v>
      </c>
      <c r="C50">
        <f t="shared" si="0"/>
        <v>-2.0041444338857996E-2</v>
      </c>
      <c r="D50">
        <f t="shared" si="1"/>
        <v>3.5000000000000003E-2</v>
      </c>
      <c r="E50" s="5" t="s">
        <v>59</v>
      </c>
      <c r="F50" s="6">
        <v>-7.3148458730429203E-2</v>
      </c>
      <c r="G50" s="5" t="s">
        <v>59</v>
      </c>
      <c r="H50" s="8">
        <v>0.126</v>
      </c>
    </row>
    <row r="51" spans="1:8" x14ac:dyDescent="0.35">
      <c r="A51" s="5" t="s">
        <v>28</v>
      </c>
      <c r="B51" s="6">
        <v>2.6242690785633429</v>
      </c>
      <c r="C51">
        <f t="shared" si="0"/>
        <v>4.6535227447748982E-3</v>
      </c>
      <c r="D51">
        <f t="shared" si="1"/>
        <v>0.13800000000000001</v>
      </c>
      <c r="E51" s="5" t="s">
        <v>61</v>
      </c>
      <c r="F51" s="6">
        <v>3.0133256688713913E-2</v>
      </c>
      <c r="G51" s="5" t="s">
        <v>61</v>
      </c>
      <c r="H51" s="8">
        <v>0.17100000000000001</v>
      </c>
    </row>
    <row r="52" spans="1:8" x14ac:dyDescent="0.35">
      <c r="A52" s="5" t="s">
        <v>36</v>
      </c>
      <c r="B52" s="6">
        <v>2.6237552625586593</v>
      </c>
      <c r="C52">
        <f t="shared" si="0"/>
        <v>3.5392500460147691E-2</v>
      </c>
      <c r="D52">
        <f t="shared" si="1"/>
        <v>0.14899999999999999</v>
      </c>
      <c r="E52" s="5" t="s">
        <v>62</v>
      </c>
      <c r="F52" s="6">
        <v>8.5961630567908093E-2</v>
      </c>
      <c r="G52" s="5" t="s">
        <v>62</v>
      </c>
      <c r="H52" s="8">
        <v>6.0000000000000005E-2</v>
      </c>
    </row>
    <row r="53" spans="1:8" x14ac:dyDescent="0.35">
      <c r="A53" s="5" t="s">
        <v>80</v>
      </c>
      <c r="B53" s="6">
        <v>2.6121904289993441</v>
      </c>
      <c r="C53">
        <f t="shared" si="0"/>
        <v>1.2711828574538191E-2</v>
      </c>
      <c r="D53">
        <f t="shared" si="1"/>
        <v>6.5000000000000002E-2</v>
      </c>
      <c r="E53" s="5" t="s">
        <v>63</v>
      </c>
      <c r="F53" s="6">
        <v>-9.8479166626926984E-4</v>
      </c>
      <c r="G53" s="5" t="s">
        <v>63</v>
      </c>
      <c r="H53" s="8">
        <v>5.5E-2</v>
      </c>
    </row>
    <row r="54" spans="1:8" x14ac:dyDescent="0.35">
      <c r="A54" s="5" t="s">
        <v>68</v>
      </c>
      <c r="B54" s="6">
        <v>2.6018349253721138</v>
      </c>
      <c r="C54">
        <f t="shared" si="0"/>
        <v>-8.362206630408691E-3</v>
      </c>
      <c r="D54">
        <f t="shared" si="1"/>
        <v>7.9000000000000001E-2</v>
      </c>
      <c r="E54" s="5" t="s">
        <v>64</v>
      </c>
      <c r="F54" s="6">
        <v>-6.5460810437798795E-3</v>
      </c>
      <c r="G54" s="5" t="s">
        <v>64</v>
      </c>
      <c r="H54" s="8">
        <v>1.6E-2</v>
      </c>
    </row>
    <row r="55" spans="1:8" x14ac:dyDescent="0.35">
      <c r="A55" s="5" t="s">
        <v>114</v>
      </c>
      <c r="B55" s="6">
        <v>2.5984143505745996</v>
      </c>
      <c r="C55">
        <f t="shared" si="0"/>
        <v>-7.6632378622890091E-3</v>
      </c>
      <c r="D55">
        <f t="shared" si="1"/>
        <v>3.0000000000000002E-2</v>
      </c>
      <c r="E55" s="5" t="s">
        <v>65</v>
      </c>
      <c r="F55" s="6">
        <v>1.249521691352129E-2</v>
      </c>
      <c r="G55" s="5" t="s">
        <v>65</v>
      </c>
      <c r="H55" s="8">
        <v>-1.2999999999999999E-2</v>
      </c>
    </row>
    <row r="56" spans="1:8" x14ac:dyDescent="0.35">
      <c r="A56" s="5" t="s">
        <v>163</v>
      </c>
      <c r="B56" s="6">
        <v>2.5961720541944677</v>
      </c>
      <c r="C56">
        <f t="shared" si="0"/>
        <v>-1.3920543715357689E-2</v>
      </c>
      <c r="D56">
        <f t="shared" si="1"/>
        <v>4.5999999999999999E-2</v>
      </c>
      <c r="E56" s="5" t="s">
        <v>66</v>
      </c>
      <c r="F56" s="6">
        <v>3.8759177550673478E-2</v>
      </c>
      <c r="G56" s="5" t="s">
        <v>66</v>
      </c>
      <c r="H56" s="8">
        <v>2.1999999999999999E-2</v>
      </c>
    </row>
    <row r="57" spans="1:8" x14ac:dyDescent="0.35">
      <c r="A57" s="5" t="s">
        <v>22</v>
      </c>
      <c r="B57" s="6">
        <v>2.5818138799551731</v>
      </c>
      <c r="C57">
        <f t="shared" si="0"/>
        <v>-1.0540482588112288E-2</v>
      </c>
      <c r="D57">
        <f t="shared" si="1"/>
        <v>1.4E-2</v>
      </c>
      <c r="E57" s="5" t="s">
        <v>68</v>
      </c>
      <c r="F57" s="6">
        <v>-8.362206630408691E-3</v>
      </c>
      <c r="G57" s="5" t="s">
        <v>68</v>
      </c>
      <c r="H57" s="8">
        <v>7.9000000000000001E-2</v>
      </c>
    </row>
    <row r="58" spans="1:8" x14ac:dyDescent="0.35">
      <c r="A58" s="5" t="s">
        <v>133</v>
      </c>
      <c r="B58" s="6">
        <v>2.5789693343789608</v>
      </c>
      <c r="C58">
        <f t="shared" si="0"/>
        <v>4.02587549760937E-2</v>
      </c>
      <c r="D58">
        <f t="shared" si="1"/>
        <v>2.3999999999999997E-2</v>
      </c>
      <c r="E58" s="5" t="s">
        <v>69</v>
      </c>
      <c r="F58" s="6">
        <v>-1.6895025735720985E-2</v>
      </c>
      <c r="G58" s="5" t="s">
        <v>69</v>
      </c>
      <c r="H58" s="8">
        <v>0.04</v>
      </c>
    </row>
    <row r="59" spans="1:8" x14ac:dyDescent="0.35">
      <c r="A59" s="5" t="s">
        <v>146</v>
      </c>
      <c r="B59" s="6">
        <v>2.5762842514509523</v>
      </c>
      <c r="C59">
        <f t="shared" si="0"/>
        <v>0.1338439565151929</v>
      </c>
      <c r="D59">
        <f t="shared" si="1"/>
        <v>3.2000000000000001E-2</v>
      </c>
      <c r="E59" s="5" t="s">
        <v>70</v>
      </c>
      <c r="F59" s="6">
        <v>4.4264936819672494E-2</v>
      </c>
      <c r="G59" s="5" t="s">
        <v>70</v>
      </c>
      <c r="H59" s="8">
        <v>0.10400000000000001</v>
      </c>
    </row>
    <row r="60" spans="1:8" x14ac:dyDescent="0.35">
      <c r="A60" s="5" t="s">
        <v>113</v>
      </c>
      <c r="B60" s="6">
        <v>2.5748638007110034</v>
      </c>
      <c r="C60">
        <f t="shared" si="0"/>
        <v>-5.1020193845033403E-2</v>
      </c>
      <c r="D60">
        <f t="shared" si="1"/>
        <v>7.3999999999999996E-2</v>
      </c>
      <c r="E60" s="5" t="s">
        <v>71</v>
      </c>
      <c r="F60" s="6">
        <v>-6.10188487917184E-2</v>
      </c>
      <c r="G60" s="5" t="s">
        <v>71</v>
      </c>
      <c r="H60" s="8">
        <v>1.9E-2</v>
      </c>
    </row>
    <row r="61" spans="1:8" x14ac:dyDescent="0.35">
      <c r="A61" s="5" t="s">
        <v>132</v>
      </c>
      <c r="B61" s="6">
        <v>2.5738387341949065</v>
      </c>
      <c r="C61">
        <f t="shared" si="0"/>
        <v>-1.05830999091268E-2</v>
      </c>
      <c r="D61">
        <f t="shared" si="1"/>
        <v>3.3000000000000002E-2</v>
      </c>
      <c r="E61" s="5" t="s">
        <v>72</v>
      </c>
      <c r="F61" s="6">
        <v>-1.5812609344720792E-2</v>
      </c>
      <c r="G61" s="5" t="s">
        <v>72</v>
      </c>
      <c r="H61" s="8">
        <v>6.4000000000000001E-2</v>
      </c>
    </row>
    <row r="62" spans="1:8" x14ac:dyDescent="0.35">
      <c r="A62" s="5" t="s">
        <v>169</v>
      </c>
      <c r="B62" s="6">
        <v>2.5686334346979618</v>
      </c>
      <c r="C62">
        <f t="shared" si="0"/>
        <v>-1.2205412611365301E-2</v>
      </c>
      <c r="D62">
        <f t="shared" si="1"/>
        <v>6.2E-2</v>
      </c>
      <c r="E62" s="5" t="s">
        <v>73</v>
      </c>
      <c r="F62" s="6">
        <v>-1.5859629027545379E-2</v>
      </c>
      <c r="G62" s="5" t="s">
        <v>73</v>
      </c>
      <c r="H62" s="8">
        <v>4.0999999999999995E-2</v>
      </c>
    </row>
    <row r="63" spans="1:8" x14ac:dyDescent="0.35">
      <c r="A63" s="5" t="s">
        <v>35</v>
      </c>
      <c r="B63" s="6">
        <v>2.5619417941343596</v>
      </c>
      <c r="C63">
        <f t="shared" si="0"/>
        <v>3.2541178166866205E-2</v>
      </c>
      <c r="D63">
        <f t="shared" si="1"/>
        <v>0.192</v>
      </c>
      <c r="E63" s="5" t="s">
        <v>74</v>
      </c>
      <c r="F63" s="6">
        <v>3.5661428235471401E-2</v>
      </c>
      <c r="G63" s="5" t="s">
        <v>74</v>
      </c>
      <c r="H63" s="8">
        <v>1.9999999999999997E-2</v>
      </c>
    </row>
    <row r="64" spans="1:8" x14ac:dyDescent="0.35">
      <c r="A64" s="5" t="s">
        <v>30</v>
      </c>
      <c r="B64" s="6">
        <v>2.5575555706292463</v>
      </c>
      <c r="C64">
        <f t="shared" si="0"/>
        <v>6.3012119382619705E-2</v>
      </c>
      <c r="D64">
        <f t="shared" si="1"/>
        <v>3.2000000000000001E-2</v>
      </c>
      <c r="E64" s="5" t="s">
        <v>75</v>
      </c>
      <c r="F64" s="6">
        <v>3.2902244478463988E-2</v>
      </c>
      <c r="G64" s="5" t="s">
        <v>75</v>
      </c>
      <c r="H64" s="8">
        <v>8.1000000000000003E-2</v>
      </c>
    </row>
    <row r="65" spans="1:8" x14ac:dyDescent="0.35">
      <c r="A65" s="5" t="s">
        <v>119</v>
      </c>
      <c r="B65" s="6">
        <v>2.5445773958423796</v>
      </c>
      <c r="C65">
        <f t="shared" si="0"/>
        <v>3.2546160742640488E-2</v>
      </c>
      <c r="D65">
        <f t="shared" si="1"/>
        <v>5.4000000000000006E-2</v>
      </c>
      <c r="E65" s="5" t="s">
        <v>76</v>
      </c>
      <c r="F65" s="6">
        <v>-5.1838414045050595E-2</v>
      </c>
      <c r="G65" s="5" t="s">
        <v>76</v>
      </c>
      <c r="H65" s="8">
        <v>0.09</v>
      </c>
    </row>
    <row r="66" spans="1:8" x14ac:dyDescent="0.35">
      <c r="A66" s="5" t="s">
        <v>70</v>
      </c>
      <c r="B66" s="6">
        <v>2.5435940919090725</v>
      </c>
      <c r="C66">
        <f t="shared" si="0"/>
        <v>4.4264936819672494E-2</v>
      </c>
      <c r="D66">
        <f t="shared" si="1"/>
        <v>0.10400000000000001</v>
      </c>
      <c r="E66" s="5" t="s">
        <v>77</v>
      </c>
      <c r="F66" s="6">
        <v>-2.0155683159828082E-2</v>
      </c>
      <c r="G66" s="5" t="s">
        <v>77</v>
      </c>
      <c r="H66" s="8">
        <v>0.08</v>
      </c>
    </row>
    <row r="67" spans="1:8" x14ac:dyDescent="0.35">
      <c r="A67" s="5" t="s">
        <v>38</v>
      </c>
      <c r="B67" s="6">
        <v>2.5330923957027278</v>
      </c>
      <c r="C67">
        <f t="shared" si="0"/>
        <v>8.923452347516991E-3</v>
      </c>
      <c r="D67">
        <f t="shared" si="1"/>
        <v>3.3000000000000002E-2</v>
      </c>
      <c r="E67" s="5" t="s">
        <v>78</v>
      </c>
      <c r="F67" s="6">
        <v>5.1994131878018185E-2</v>
      </c>
      <c r="G67" s="5" t="s">
        <v>78</v>
      </c>
      <c r="H67" s="8">
        <v>3.3000000000000002E-2</v>
      </c>
    </row>
    <row r="68" spans="1:8" x14ac:dyDescent="0.35">
      <c r="A68" s="5" t="s">
        <v>43</v>
      </c>
      <c r="B68" s="6">
        <v>2.5226638626966928</v>
      </c>
      <c r="C68">
        <f t="shared" si="0"/>
        <v>1.8006949685513911E-2</v>
      </c>
      <c r="D68">
        <f t="shared" si="1"/>
        <v>0.125</v>
      </c>
      <c r="E68" s="5" t="s">
        <v>79</v>
      </c>
      <c r="F68" s="6">
        <v>5.4835649207235094E-3</v>
      </c>
      <c r="G68" s="5" t="s">
        <v>79</v>
      </c>
      <c r="H68" s="8">
        <v>9.9999999999999985E-3</v>
      </c>
    </row>
    <row r="69" spans="1:8" x14ac:dyDescent="0.35">
      <c r="A69" s="5" t="s">
        <v>112</v>
      </c>
      <c r="B69" s="6">
        <v>2.5158544484983034</v>
      </c>
      <c r="C69">
        <f t="shared" ref="C69:C79" si="2">IFERROR(VLOOKUP(A69,E:F,2,0),"")</f>
        <v>2.9019517824054116E-3</v>
      </c>
      <c r="D69">
        <f t="shared" ref="D69:D132" si="3">VLOOKUP(A69,G:H,2,0)</f>
        <v>3.0000000000000002E-2</v>
      </c>
      <c r="E69" s="5" t="s">
        <v>80</v>
      </c>
      <c r="F69" s="6">
        <v>1.2711828574538191E-2</v>
      </c>
      <c r="G69" s="5" t="s">
        <v>80</v>
      </c>
      <c r="H69" s="8">
        <v>6.5000000000000002E-2</v>
      </c>
    </row>
    <row r="70" spans="1:8" x14ac:dyDescent="0.35">
      <c r="A70" s="5" t="s">
        <v>102</v>
      </c>
      <c r="B70" s="6">
        <v>2.5144145834322043</v>
      </c>
      <c r="C70">
        <f t="shared" si="2"/>
        <v>2.8951693326234693E-2</v>
      </c>
      <c r="D70">
        <f t="shared" si="3"/>
        <v>6.2E-2</v>
      </c>
      <c r="E70" s="5" t="s">
        <v>81</v>
      </c>
      <c r="F70" s="6">
        <v>2.1958936005830699E-2</v>
      </c>
      <c r="G70" s="5" t="s">
        <v>81</v>
      </c>
      <c r="H70" s="8">
        <v>9.0000000000000011E-3</v>
      </c>
    </row>
    <row r="71" spans="1:8" x14ac:dyDescent="0.35">
      <c r="A71" s="5" t="s">
        <v>167</v>
      </c>
      <c r="B71" s="6">
        <v>2.5098333714695649</v>
      </c>
      <c r="C71">
        <f t="shared" si="2"/>
        <v>-7.4263401329516783E-3</v>
      </c>
      <c r="D71">
        <f t="shared" si="3"/>
        <v>0.104</v>
      </c>
      <c r="E71" s="5" t="s">
        <v>82</v>
      </c>
      <c r="F71" s="6">
        <v>-5.8694742619996019E-5</v>
      </c>
      <c r="G71" s="5" t="s">
        <v>82</v>
      </c>
      <c r="H71" s="8">
        <v>6.6000000000000003E-2</v>
      </c>
    </row>
    <row r="72" spans="1:8" x14ac:dyDescent="0.35">
      <c r="A72" s="5" t="s">
        <v>160</v>
      </c>
      <c r="B72" s="6">
        <v>2.5035616457842504</v>
      </c>
      <c r="C72">
        <f t="shared" si="2"/>
        <v>-1.13446158356964E-2</v>
      </c>
      <c r="D72">
        <f t="shared" si="3"/>
        <v>1.0999999999999999E-2</v>
      </c>
      <c r="E72" s="5" t="s">
        <v>85</v>
      </c>
      <c r="F72" s="6">
        <v>-1.2578026391565885E-2</v>
      </c>
      <c r="G72" s="5" t="s">
        <v>85</v>
      </c>
      <c r="H72" s="8">
        <v>4.7E-2</v>
      </c>
    </row>
    <row r="73" spans="1:8" x14ac:dyDescent="0.35">
      <c r="A73" s="5" t="s">
        <v>136</v>
      </c>
      <c r="B73" s="6">
        <v>2.5016516732844596</v>
      </c>
      <c r="C73">
        <f t="shared" si="2"/>
        <v>-4.3917679227888473E-2</v>
      </c>
      <c r="D73">
        <f t="shared" si="3"/>
        <v>0</v>
      </c>
      <c r="E73" s="5" t="s">
        <v>86</v>
      </c>
      <c r="F73" s="6">
        <v>-4.2018208652734604E-2</v>
      </c>
      <c r="G73" s="5" t="s">
        <v>86</v>
      </c>
      <c r="H73" s="8">
        <v>2.8999999999999998E-2</v>
      </c>
    </row>
    <row r="74" spans="1:8" x14ac:dyDescent="0.35">
      <c r="A74" s="5" t="s">
        <v>34</v>
      </c>
      <c r="B74" s="6">
        <v>2.4929742825790004</v>
      </c>
      <c r="C74">
        <f t="shared" si="2"/>
        <v>-2.0599903538822989E-2</v>
      </c>
      <c r="D74">
        <f t="shared" si="3"/>
        <v>3.9999999999999994E-2</v>
      </c>
      <c r="E74" s="5" t="s">
        <v>87</v>
      </c>
      <c r="F74" s="6">
        <v>3.134551458060738E-2</v>
      </c>
      <c r="G74" s="5" t="s">
        <v>87</v>
      </c>
      <c r="H74" s="8">
        <v>4.0000000000000001E-3</v>
      </c>
    </row>
    <row r="75" spans="1:8" x14ac:dyDescent="0.35">
      <c r="A75" s="5" t="s">
        <v>147</v>
      </c>
      <c r="B75" s="6">
        <v>2.4927962005609992</v>
      </c>
      <c r="C75">
        <f t="shared" si="2"/>
        <v>4.4312417507171596E-2</v>
      </c>
      <c r="D75">
        <f t="shared" si="3"/>
        <v>6.5000000000000002E-2</v>
      </c>
      <c r="E75" s="5" t="s">
        <v>88</v>
      </c>
      <c r="F75" s="6">
        <v>-6.3567413017153896E-3</v>
      </c>
      <c r="G75" s="5" t="s">
        <v>88</v>
      </c>
      <c r="H75" s="8">
        <v>4.2000000000000003E-2</v>
      </c>
    </row>
    <row r="76" spans="1:8" x14ac:dyDescent="0.35">
      <c r="A76" s="5" t="s">
        <v>171</v>
      </c>
      <c r="B76" s="6">
        <v>2.4923222687192954</v>
      </c>
      <c r="C76">
        <f t="shared" si="2"/>
        <v>-1.5781598165631291E-2</v>
      </c>
      <c r="D76">
        <f t="shared" si="3"/>
        <v>3.5999999999999997E-2</v>
      </c>
      <c r="E76" s="5" t="s">
        <v>89</v>
      </c>
      <c r="F76" s="6">
        <v>-1.6944487579166851E-2</v>
      </c>
      <c r="G76" s="5" t="s">
        <v>89</v>
      </c>
      <c r="H76" s="8">
        <v>2.4999999999999998E-2</v>
      </c>
    </row>
    <row r="77" spans="1:8" x14ac:dyDescent="0.35">
      <c r="A77" s="5" t="s">
        <v>118</v>
      </c>
      <c r="B77" s="6">
        <v>2.4897737797628445</v>
      </c>
      <c r="C77">
        <f t="shared" si="2"/>
        <v>-1.61167141050092E-3</v>
      </c>
      <c r="D77">
        <f t="shared" si="3"/>
        <v>8.6999999999999994E-2</v>
      </c>
      <c r="E77" s="5" t="s">
        <v>90</v>
      </c>
      <c r="F77" s="6">
        <v>2.5246496312320219E-2</v>
      </c>
      <c r="G77" s="5" t="s">
        <v>90</v>
      </c>
      <c r="H77" s="8">
        <v>2.7E-2</v>
      </c>
    </row>
    <row r="78" spans="1:8" x14ac:dyDescent="0.35">
      <c r="A78" s="5" t="s">
        <v>116</v>
      </c>
      <c r="B78" s="6">
        <v>2.4896488251059901</v>
      </c>
      <c r="C78">
        <f t="shared" si="2"/>
        <v>-7.7377913519739286E-2</v>
      </c>
      <c r="D78">
        <f t="shared" si="3"/>
        <v>0.10199999999999999</v>
      </c>
      <c r="E78" s="5" t="s">
        <v>91</v>
      </c>
      <c r="F78" s="6">
        <v>-1.1220092885196205E-2</v>
      </c>
      <c r="G78" s="5" t="s">
        <v>91</v>
      </c>
      <c r="H78" s="8">
        <v>4.0999999999999995E-2</v>
      </c>
    </row>
    <row r="79" spans="1:8" x14ac:dyDescent="0.35">
      <c r="A79" s="5" t="s">
        <v>12</v>
      </c>
      <c r="B79" s="6">
        <v>2.4855210600463877</v>
      </c>
      <c r="C79">
        <f t="shared" si="2"/>
        <v>-3.4361520549282515E-2</v>
      </c>
      <c r="D79">
        <f t="shared" si="3"/>
        <v>0.10900000000000001</v>
      </c>
      <c r="E79" s="5" t="s">
        <v>92</v>
      </c>
      <c r="F79" s="6">
        <v>-1.0052870027720881E-2</v>
      </c>
      <c r="G79" s="5" t="s">
        <v>92</v>
      </c>
      <c r="H79" s="8">
        <v>8.900000000000001E-2</v>
      </c>
    </row>
    <row r="80" spans="1:8" x14ac:dyDescent="0.35">
      <c r="A80" s="5" t="s">
        <v>154</v>
      </c>
      <c r="B80" s="6">
        <v>2.4835090858201214</v>
      </c>
      <c r="D80" t="e">
        <f t="shared" si="3"/>
        <v>#N/A</v>
      </c>
      <c r="E80" s="5" t="s">
        <v>93</v>
      </c>
      <c r="F80" s="6">
        <v>-4.105364438146341E-2</v>
      </c>
      <c r="G80" s="5" t="s">
        <v>93</v>
      </c>
      <c r="H80" s="8">
        <v>8.5999999999999993E-2</v>
      </c>
    </row>
    <row r="81" spans="1:8" x14ac:dyDescent="0.35">
      <c r="A81" s="5" t="s">
        <v>96</v>
      </c>
      <c r="B81" s="6">
        <v>2.4798488228510602</v>
      </c>
      <c r="C81">
        <f t="shared" ref="C69:C132" si="4">VLOOKUP(A81,E:F,2,0)</f>
        <v>-1.3016055338084609E-2</v>
      </c>
      <c r="D81">
        <f t="shared" si="3"/>
        <v>0.10100000000000001</v>
      </c>
      <c r="E81" s="5" t="s">
        <v>94</v>
      </c>
      <c r="F81" s="6">
        <v>4.0170783177018089E-2</v>
      </c>
      <c r="G81" s="5" t="s">
        <v>94</v>
      </c>
      <c r="H81" s="8">
        <v>1.9E-2</v>
      </c>
    </row>
    <row r="82" spans="1:8" x14ac:dyDescent="0.35">
      <c r="A82" s="5" t="s">
        <v>25</v>
      </c>
      <c r="B82" s="6">
        <v>2.4762975644452729</v>
      </c>
      <c r="C82">
        <f t="shared" si="4"/>
        <v>-1.6983048059046289E-2</v>
      </c>
      <c r="D82">
        <f t="shared" si="3"/>
        <v>4.8000000000000001E-2</v>
      </c>
      <c r="E82" s="5" t="s">
        <v>95</v>
      </c>
      <c r="F82" s="6">
        <v>1.9682021811604101E-3</v>
      </c>
      <c r="G82" s="5" t="s">
        <v>95</v>
      </c>
      <c r="H82" s="8">
        <v>6.8000000000000005E-2</v>
      </c>
    </row>
    <row r="83" spans="1:8" x14ac:dyDescent="0.35">
      <c r="A83" s="5" t="s">
        <v>143</v>
      </c>
      <c r="B83" s="6">
        <v>2.4703273894151412</v>
      </c>
      <c r="C83">
        <f t="shared" si="4"/>
        <v>0.1025276500731705</v>
      </c>
      <c r="D83">
        <f t="shared" si="3"/>
        <v>0.05</v>
      </c>
      <c r="E83" s="5" t="s">
        <v>96</v>
      </c>
      <c r="F83" s="6">
        <v>-1.3016055338084609E-2</v>
      </c>
      <c r="G83" s="5" t="s">
        <v>96</v>
      </c>
      <c r="H83" s="8">
        <v>0.10100000000000001</v>
      </c>
    </row>
    <row r="84" spans="1:8" x14ac:dyDescent="0.35">
      <c r="A84" s="5" t="s">
        <v>95</v>
      </c>
      <c r="B84" s="6">
        <v>2.4694279257823357</v>
      </c>
      <c r="C84">
        <f t="shared" si="4"/>
        <v>1.9682021811604101E-3</v>
      </c>
      <c r="D84">
        <f t="shared" si="3"/>
        <v>6.8000000000000005E-2</v>
      </c>
      <c r="E84" s="5" t="s">
        <v>97</v>
      </c>
      <c r="F84" s="6">
        <v>2.0253868773579646E-2</v>
      </c>
      <c r="G84" s="5" t="s">
        <v>97</v>
      </c>
      <c r="H84" s="8">
        <v>6.8000000000000005E-2</v>
      </c>
    </row>
    <row r="85" spans="1:8" x14ac:dyDescent="0.35">
      <c r="A85" s="5" t="s">
        <v>13</v>
      </c>
      <c r="B85" s="6">
        <v>2.4597578200595649</v>
      </c>
      <c r="C85">
        <f t="shared" si="4"/>
        <v>-2.7982800500467392E-2</v>
      </c>
      <c r="D85">
        <f t="shared" si="3"/>
        <v>0.01</v>
      </c>
      <c r="E85" s="5" t="s">
        <v>98</v>
      </c>
      <c r="F85" s="6">
        <v>-3.3525658305734306E-2</v>
      </c>
      <c r="G85" s="5" t="s">
        <v>98</v>
      </c>
      <c r="H85" s="8">
        <v>9.8999999999999991E-2</v>
      </c>
    </row>
    <row r="86" spans="1:8" x14ac:dyDescent="0.35">
      <c r="A86" s="5" t="s">
        <v>161</v>
      </c>
      <c r="B86" s="6">
        <v>2.4454006202045178</v>
      </c>
      <c r="C86">
        <f t="shared" si="4"/>
        <v>-3.812727518379791E-3</v>
      </c>
      <c r="D86">
        <f t="shared" si="3"/>
        <v>6.4000000000000001E-2</v>
      </c>
      <c r="E86" s="5" t="s">
        <v>99</v>
      </c>
      <c r="F86" s="6">
        <v>2.4605803191661679E-2</v>
      </c>
      <c r="G86" s="5" t="s">
        <v>99</v>
      </c>
      <c r="H86" s="8">
        <v>0</v>
      </c>
    </row>
    <row r="87" spans="1:8" x14ac:dyDescent="0.35">
      <c r="A87" s="5" t="s">
        <v>150</v>
      </c>
      <c r="B87" s="6">
        <v>2.4417568102404315</v>
      </c>
      <c r="C87">
        <f t="shared" si="4"/>
        <v>-4.8656732775270876E-2</v>
      </c>
      <c r="D87">
        <f t="shared" si="3"/>
        <v>4.4999999999999998E-2</v>
      </c>
      <c r="E87" s="5" t="s">
        <v>100</v>
      </c>
      <c r="F87" s="6">
        <v>-1.9631961360573689E-2</v>
      </c>
      <c r="G87" s="5" t="s">
        <v>100</v>
      </c>
      <c r="H87" s="8">
        <v>2.1000000000000001E-2</v>
      </c>
    </row>
    <row r="88" spans="1:8" x14ac:dyDescent="0.35">
      <c r="A88" s="5" t="s">
        <v>128</v>
      </c>
      <c r="B88" s="6">
        <v>2.4394781973513684</v>
      </c>
      <c r="C88">
        <f t="shared" si="4"/>
        <v>8.9669389650225612E-2</v>
      </c>
      <c r="D88">
        <f t="shared" si="3"/>
        <v>8.2000000000000003E-2</v>
      </c>
      <c r="E88" s="5" t="s">
        <v>101</v>
      </c>
      <c r="F88" s="6">
        <v>4.06846310943366E-2</v>
      </c>
      <c r="G88" s="5" t="s">
        <v>101</v>
      </c>
      <c r="H88" s="8">
        <v>1E-3</v>
      </c>
    </row>
    <row r="89" spans="1:8" x14ac:dyDescent="0.35">
      <c r="A89" s="5" t="s">
        <v>53</v>
      </c>
      <c r="B89" s="6">
        <v>2.4359152956163483</v>
      </c>
      <c r="C89">
        <f t="shared" si="4"/>
        <v>7.3754927143454994E-3</v>
      </c>
      <c r="D89">
        <f t="shared" si="3"/>
        <v>6.0000000000000001E-3</v>
      </c>
      <c r="E89" s="5" t="s">
        <v>102</v>
      </c>
      <c r="F89" s="6">
        <v>2.8951693326234693E-2</v>
      </c>
      <c r="G89" s="5" t="s">
        <v>102</v>
      </c>
      <c r="H89" s="8">
        <v>6.2E-2</v>
      </c>
    </row>
    <row r="90" spans="1:8" x14ac:dyDescent="0.35">
      <c r="A90" s="5" t="s">
        <v>39</v>
      </c>
      <c r="B90" s="6">
        <v>2.4354745109111682</v>
      </c>
      <c r="C90">
        <f t="shared" si="4"/>
        <v>4.8779156059027004E-3</v>
      </c>
      <c r="D90">
        <f t="shared" si="3"/>
        <v>6.8000000000000005E-2</v>
      </c>
      <c r="E90" s="5" t="s">
        <v>103</v>
      </c>
      <c r="F90" s="6">
        <v>-0.10445905104279471</v>
      </c>
      <c r="G90" s="5" t="s">
        <v>103</v>
      </c>
      <c r="H90" s="8">
        <v>0.28900000000000003</v>
      </c>
    </row>
    <row r="91" spans="1:8" x14ac:dyDescent="0.35">
      <c r="A91" s="5" t="s">
        <v>159</v>
      </c>
      <c r="B91" s="6">
        <v>2.4343186460780486</v>
      </c>
      <c r="C91">
        <f t="shared" si="4"/>
        <v>3.9496423676609986E-2</v>
      </c>
      <c r="D91">
        <f t="shared" si="3"/>
        <v>6.699999999999999E-2</v>
      </c>
      <c r="E91" s="5" t="s">
        <v>104</v>
      </c>
      <c r="F91" s="6">
        <v>-2.1274588070809883E-2</v>
      </c>
      <c r="G91" s="5" t="s">
        <v>104</v>
      </c>
      <c r="H91" s="8">
        <v>4.2999999999999997E-2</v>
      </c>
    </row>
    <row r="92" spans="1:8" x14ac:dyDescent="0.35">
      <c r="A92" s="5" t="s">
        <v>66</v>
      </c>
      <c r="B92" s="6">
        <v>2.4329521043207367</v>
      </c>
      <c r="C92">
        <f t="shared" si="4"/>
        <v>3.8759177550673478E-2</v>
      </c>
      <c r="D92">
        <f t="shared" si="3"/>
        <v>2.1999999999999999E-2</v>
      </c>
      <c r="E92" s="5" t="s">
        <v>105</v>
      </c>
      <c r="F92" s="6">
        <v>-1.3885035179555498E-2</v>
      </c>
      <c r="G92" s="5" t="s">
        <v>105</v>
      </c>
      <c r="H92" s="8">
        <v>5.6000000000000001E-2</v>
      </c>
    </row>
    <row r="93" spans="1:8" x14ac:dyDescent="0.35">
      <c r="A93" s="5" t="s">
        <v>69</v>
      </c>
      <c r="B93" s="6">
        <v>2.4301639298379896</v>
      </c>
      <c r="C93">
        <f t="shared" si="4"/>
        <v>-1.6895025735720985E-2</v>
      </c>
      <c r="D93">
        <f t="shared" si="3"/>
        <v>0.04</v>
      </c>
      <c r="E93" s="5" t="s">
        <v>106</v>
      </c>
      <c r="F93" s="6">
        <v>2.9343031346798082E-3</v>
      </c>
      <c r="G93" s="5" t="s">
        <v>106</v>
      </c>
      <c r="H93" s="8">
        <v>4.2999999999999997E-2</v>
      </c>
    </row>
    <row r="94" spans="1:8" x14ac:dyDescent="0.35">
      <c r="A94" s="5" t="s">
        <v>17</v>
      </c>
      <c r="B94" s="6">
        <v>2.4273714041735346</v>
      </c>
      <c r="C94">
        <f t="shared" si="4"/>
        <v>-3.9832323556765713E-2</v>
      </c>
      <c r="D94">
        <f t="shared" si="3"/>
        <v>-1.3000000000000001E-2</v>
      </c>
      <c r="E94" s="5" t="s">
        <v>107</v>
      </c>
      <c r="F94" s="6">
        <v>9.1831106692552594E-2</v>
      </c>
      <c r="G94" s="5" t="s">
        <v>107</v>
      </c>
      <c r="H94" s="8">
        <v>0</v>
      </c>
    </row>
    <row r="95" spans="1:8" x14ac:dyDescent="0.35">
      <c r="A95" s="5" t="s">
        <v>131</v>
      </c>
      <c r="B95" s="6">
        <v>2.4270370127683192</v>
      </c>
      <c r="C95">
        <f t="shared" si="4"/>
        <v>4.0619997307658202E-2</v>
      </c>
      <c r="D95">
        <f t="shared" si="3"/>
        <v>0.16</v>
      </c>
      <c r="E95" s="5" t="s">
        <v>108</v>
      </c>
      <c r="F95" s="6">
        <v>-2.0664338488131623E-2</v>
      </c>
      <c r="G95" s="5" t="s">
        <v>108</v>
      </c>
      <c r="H95" s="8">
        <v>9.0000000000000011E-3</v>
      </c>
    </row>
    <row r="96" spans="1:8" x14ac:dyDescent="0.35">
      <c r="A96" s="5" t="s">
        <v>33</v>
      </c>
      <c r="B96" s="6">
        <v>2.4227860072293668</v>
      </c>
      <c r="C96">
        <f t="shared" si="4"/>
        <v>-1.6768516041338468E-2</v>
      </c>
      <c r="D96">
        <f t="shared" si="3"/>
        <v>2.1999999999999999E-2</v>
      </c>
      <c r="E96" s="5" t="s">
        <v>109</v>
      </c>
      <c r="F96" s="6">
        <v>7.0009026676416286E-2</v>
      </c>
      <c r="G96" s="5" t="s">
        <v>109</v>
      </c>
      <c r="H96" s="8">
        <v>0.10200000000000001</v>
      </c>
    </row>
    <row r="97" spans="1:8" x14ac:dyDescent="0.35">
      <c r="A97" s="5" t="s">
        <v>57</v>
      </c>
      <c r="B97" s="6">
        <v>2.4217584473945686</v>
      </c>
      <c r="C97">
        <f t="shared" si="4"/>
        <v>2.9453696683049192E-2</v>
      </c>
      <c r="D97">
        <f t="shared" si="3"/>
        <v>6.7000000000000004E-2</v>
      </c>
      <c r="E97" s="5" t="s">
        <v>110</v>
      </c>
      <c r="F97" s="6">
        <v>3.2844686880707692E-2</v>
      </c>
      <c r="G97" s="5" t="s">
        <v>110</v>
      </c>
      <c r="H97" s="8">
        <v>0.14600000000000002</v>
      </c>
    </row>
    <row r="98" spans="1:8" x14ac:dyDescent="0.35">
      <c r="A98" s="5" t="s">
        <v>40</v>
      </c>
      <c r="B98" s="6">
        <v>2.4195379090050593</v>
      </c>
      <c r="C98">
        <f t="shared" si="4"/>
        <v>2.6385458186268004E-3</v>
      </c>
      <c r="D98">
        <f t="shared" si="3"/>
        <v>2.8000000000000001E-2</v>
      </c>
      <c r="E98" s="5" t="s">
        <v>111</v>
      </c>
      <c r="F98" s="6">
        <v>-4.0847779135219621E-2</v>
      </c>
      <c r="G98" s="5" t="s">
        <v>111</v>
      </c>
      <c r="H98" s="8">
        <v>2.8000000000000001E-2</v>
      </c>
    </row>
    <row r="99" spans="1:8" x14ac:dyDescent="0.35">
      <c r="A99" s="5" t="s">
        <v>77</v>
      </c>
      <c r="B99" s="6">
        <v>2.4192350684921231</v>
      </c>
      <c r="C99">
        <f t="shared" si="4"/>
        <v>-2.0155683159828082E-2</v>
      </c>
      <c r="D99">
        <f t="shared" si="3"/>
        <v>0.08</v>
      </c>
      <c r="E99" s="5" t="s">
        <v>112</v>
      </c>
      <c r="F99" s="6">
        <v>2.9019517824054116E-3</v>
      </c>
      <c r="G99" s="5" t="s">
        <v>112</v>
      </c>
      <c r="H99" s="8">
        <v>3.0000000000000002E-2</v>
      </c>
    </row>
    <row r="100" spans="1:8" x14ac:dyDescent="0.35">
      <c r="A100" s="5" t="s">
        <v>37</v>
      </c>
      <c r="B100" s="6">
        <v>2.4183189403238825</v>
      </c>
      <c r="C100">
        <f t="shared" si="4"/>
        <v>-1.0279566049579969E-4</v>
      </c>
      <c r="D100">
        <f t="shared" si="3"/>
        <v>0.129</v>
      </c>
      <c r="E100" s="5" t="s">
        <v>113</v>
      </c>
      <c r="F100" s="6">
        <v>-5.1020193845033403E-2</v>
      </c>
      <c r="G100" s="5" t="s">
        <v>113</v>
      </c>
      <c r="H100" s="8">
        <v>7.3999999999999996E-2</v>
      </c>
    </row>
    <row r="101" spans="1:8" x14ac:dyDescent="0.35">
      <c r="A101" s="5" t="s">
        <v>63</v>
      </c>
      <c r="B101" s="6">
        <v>2.4075570885513682</v>
      </c>
      <c r="C101">
        <f t="shared" si="4"/>
        <v>-9.8479166626926984E-4</v>
      </c>
      <c r="D101">
        <f t="shared" si="3"/>
        <v>5.5E-2</v>
      </c>
      <c r="E101" s="5" t="s">
        <v>114</v>
      </c>
      <c r="F101" s="6">
        <v>-7.6632378622890091E-3</v>
      </c>
      <c r="G101" s="5" t="s">
        <v>114</v>
      </c>
      <c r="H101" s="8">
        <v>3.0000000000000002E-2</v>
      </c>
    </row>
    <row r="102" spans="1:8" x14ac:dyDescent="0.35">
      <c r="A102" s="5" t="s">
        <v>110</v>
      </c>
      <c r="B102" s="6">
        <v>2.4075306863696797</v>
      </c>
      <c r="C102">
        <f t="shared" si="4"/>
        <v>3.2844686880707692E-2</v>
      </c>
      <c r="D102">
        <f t="shared" si="3"/>
        <v>0.14600000000000002</v>
      </c>
      <c r="E102" s="5" t="s">
        <v>115</v>
      </c>
      <c r="F102" s="6">
        <v>-3.0628439970314419E-2</v>
      </c>
      <c r="G102" s="5" t="s">
        <v>115</v>
      </c>
      <c r="H102" s="8">
        <v>4.5000000000000005E-2</v>
      </c>
    </row>
    <row r="103" spans="1:8" x14ac:dyDescent="0.35">
      <c r="A103" s="5" t="s">
        <v>82</v>
      </c>
      <c r="B103" s="6">
        <v>2.4059542244069352</v>
      </c>
      <c r="C103">
        <f t="shared" si="4"/>
        <v>-5.8694742619996019E-5</v>
      </c>
      <c r="D103">
        <f t="shared" si="3"/>
        <v>6.6000000000000003E-2</v>
      </c>
      <c r="E103" s="5" t="s">
        <v>116</v>
      </c>
      <c r="F103" s="6">
        <v>-7.7377913519739286E-2</v>
      </c>
      <c r="G103" s="5" t="s">
        <v>116</v>
      </c>
      <c r="H103" s="8">
        <v>0.10199999999999999</v>
      </c>
    </row>
    <row r="104" spans="1:8" x14ac:dyDescent="0.35">
      <c r="A104" s="5" t="s">
        <v>134</v>
      </c>
      <c r="B104" s="6">
        <v>2.3997548426665976</v>
      </c>
      <c r="C104">
        <f t="shared" si="4"/>
        <v>-2.1500196307897598E-3</v>
      </c>
      <c r="D104">
        <f t="shared" si="3"/>
        <v>6.8999999999999992E-2</v>
      </c>
      <c r="E104" s="5" t="s">
        <v>117</v>
      </c>
      <c r="F104" s="6">
        <v>-9.530075825750689E-3</v>
      </c>
      <c r="G104" s="5" t="s">
        <v>117</v>
      </c>
      <c r="H104" s="8">
        <v>0.20600000000000002</v>
      </c>
    </row>
    <row r="105" spans="1:8" x14ac:dyDescent="0.35">
      <c r="A105" s="5" t="s">
        <v>52</v>
      </c>
      <c r="B105" s="6">
        <v>2.3983855779061045</v>
      </c>
      <c r="C105">
        <f t="shared" si="4"/>
        <v>8.9943254366516998E-2</v>
      </c>
      <c r="D105">
        <f t="shared" si="3"/>
        <v>0.11599999999999999</v>
      </c>
      <c r="E105" s="5" t="s">
        <v>118</v>
      </c>
      <c r="F105" s="6">
        <v>-1.61167141050092E-3</v>
      </c>
      <c r="G105" s="5" t="s">
        <v>118</v>
      </c>
      <c r="H105" s="8">
        <v>8.6999999999999994E-2</v>
      </c>
    </row>
    <row r="106" spans="1:8" x14ac:dyDescent="0.35">
      <c r="A106" s="5" t="s">
        <v>91</v>
      </c>
      <c r="B106" s="6">
        <v>2.3963985199414606</v>
      </c>
      <c r="C106">
        <f t="shared" si="4"/>
        <v>-1.1220092885196205E-2</v>
      </c>
      <c r="D106">
        <f t="shared" si="3"/>
        <v>4.0999999999999995E-2</v>
      </c>
      <c r="E106" s="5" t="s">
        <v>119</v>
      </c>
      <c r="F106" s="6">
        <v>3.2546160742640488E-2</v>
      </c>
      <c r="G106" s="5" t="s">
        <v>119</v>
      </c>
      <c r="H106" s="8">
        <v>5.4000000000000006E-2</v>
      </c>
    </row>
    <row r="107" spans="1:8" x14ac:dyDescent="0.35">
      <c r="A107" s="5" t="s">
        <v>138</v>
      </c>
      <c r="B107" s="6">
        <v>2.392949754263709</v>
      </c>
      <c r="C107">
        <f t="shared" si="4"/>
        <v>-1.6212267335504287E-2</v>
      </c>
      <c r="D107">
        <f t="shared" si="3"/>
        <v>2.7E-2</v>
      </c>
      <c r="E107" s="5" t="s">
        <v>120</v>
      </c>
      <c r="F107" s="6">
        <v>-1.3512388803064901E-2</v>
      </c>
      <c r="G107" s="5" t="s">
        <v>120</v>
      </c>
      <c r="H107" s="8">
        <v>4.5000000000000005E-2</v>
      </c>
    </row>
    <row r="108" spans="1:8" x14ac:dyDescent="0.35">
      <c r="A108" s="5" t="s">
        <v>149</v>
      </c>
      <c r="B108" s="6">
        <v>2.3917840642599626</v>
      </c>
      <c r="C108">
        <f t="shared" si="4"/>
        <v>6.9167321547865798E-2</v>
      </c>
      <c r="D108">
        <f t="shared" si="3"/>
        <v>0.11700000000000001</v>
      </c>
      <c r="E108" s="5" t="s">
        <v>121</v>
      </c>
      <c r="F108" s="6">
        <v>4.7883214429020798E-2</v>
      </c>
      <c r="G108" s="5" t="s">
        <v>121</v>
      </c>
      <c r="H108" s="8">
        <v>0.11199999999999999</v>
      </c>
    </row>
    <row r="109" spans="1:8" x14ac:dyDescent="0.35">
      <c r="A109" s="5" t="s">
        <v>99</v>
      </c>
      <c r="B109" s="6">
        <v>2.3909633155786523</v>
      </c>
      <c r="C109">
        <f t="shared" si="4"/>
        <v>2.4605803191661679E-2</v>
      </c>
      <c r="D109">
        <f t="shared" si="3"/>
        <v>0</v>
      </c>
      <c r="E109" s="5" t="s">
        <v>122</v>
      </c>
      <c r="F109" s="6">
        <v>7.318660151213391E-3</v>
      </c>
      <c r="G109" s="5" t="s">
        <v>122</v>
      </c>
      <c r="H109" s="8">
        <v>-6.0000000000000001E-3</v>
      </c>
    </row>
    <row r="110" spans="1:8" x14ac:dyDescent="0.35">
      <c r="A110" s="5" t="s">
        <v>155</v>
      </c>
      <c r="B110" s="6">
        <v>2.3855509035757918</v>
      </c>
      <c r="C110">
        <f t="shared" si="4"/>
        <v>-1.060257665812968E-2</v>
      </c>
      <c r="D110">
        <f t="shared" si="3"/>
        <v>0.23899999999999999</v>
      </c>
      <c r="E110" s="5" t="s">
        <v>124</v>
      </c>
      <c r="F110" s="6">
        <v>-1.5637707896530597E-2</v>
      </c>
      <c r="G110" s="5" t="s">
        <v>124</v>
      </c>
      <c r="H110" s="8">
        <v>4.8000000000000001E-2</v>
      </c>
    </row>
    <row r="111" spans="1:8" x14ac:dyDescent="0.35">
      <c r="A111" s="5" t="s">
        <v>111</v>
      </c>
      <c r="B111" s="6">
        <v>2.379032407540143</v>
      </c>
      <c r="C111">
        <f t="shared" si="4"/>
        <v>-4.0847779135219621E-2</v>
      </c>
      <c r="D111">
        <f t="shared" si="3"/>
        <v>2.8000000000000001E-2</v>
      </c>
      <c r="E111" s="5" t="s">
        <v>125</v>
      </c>
      <c r="F111" s="6">
        <v>3.7323970347642885E-2</v>
      </c>
      <c r="G111" s="5" t="s">
        <v>125</v>
      </c>
      <c r="H111" s="8">
        <v>5.8000000000000003E-2</v>
      </c>
    </row>
    <row r="112" spans="1:8" x14ac:dyDescent="0.35">
      <c r="A112" s="5" t="s">
        <v>19</v>
      </c>
      <c r="B112" s="6">
        <v>2.3773793217592676</v>
      </c>
      <c r="C112">
        <f t="shared" si="4"/>
        <v>4.8609187826514189E-2</v>
      </c>
      <c r="D112">
        <f t="shared" si="3"/>
        <v>0.161</v>
      </c>
      <c r="E112" s="5" t="s">
        <v>126</v>
      </c>
      <c r="F112" s="6">
        <v>-3.9063876029103869E-2</v>
      </c>
      <c r="G112" s="5" t="s">
        <v>126</v>
      </c>
      <c r="H112" s="8">
        <v>6.4000000000000001E-2</v>
      </c>
    </row>
    <row r="113" spans="1:8" x14ac:dyDescent="0.35">
      <c r="A113" s="5" t="s">
        <v>21</v>
      </c>
      <c r="B113" s="6">
        <v>2.3763952905267742</v>
      </c>
      <c r="C113">
        <f t="shared" si="4"/>
        <v>-1.543026603758329E-2</v>
      </c>
      <c r="D113">
        <f t="shared" si="3"/>
        <v>6.2E-2</v>
      </c>
      <c r="E113" s="5" t="s">
        <v>127</v>
      </c>
      <c r="F113" s="6">
        <v>5.3688921034335899E-3</v>
      </c>
      <c r="G113" s="5" t="s">
        <v>127</v>
      </c>
      <c r="H113" s="8">
        <v>1.2999999999999999E-2</v>
      </c>
    </row>
    <row r="114" spans="1:8" x14ac:dyDescent="0.35">
      <c r="A114" s="5" t="s">
        <v>11</v>
      </c>
      <c r="B114" s="6">
        <v>2.3757269496424955</v>
      </c>
      <c r="C114">
        <f t="shared" si="4"/>
        <v>-3.3528632484376195E-2</v>
      </c>
      <c r="D114">
        <f t="shared" si="3"/>
        <v>5.2000000000000005E-2</v>
      </c>
      <c r="E114" s="5" t="s">
        <v>128</v>
      </c>
      <c r="F114" s="6">
        <v>8.9669389650225612E-2</v>
      </c>
      <c r="G114" s="5" t="s">
        <v>128</v>
      </c>
      <c r="H114" s="8">
        <v>8.2000000000000003E-2</v>
      </c>
    </row>
    <row r="115" spans="1:8" x14ac:dyDescent="0.35">
      <c r="A115" s="5" t="s">
        <v>46</v>
      </c>
      <c r="B115" s="6">
        <v>2.3743425702918373</v>
      </c>
      <c r="C115">
        <f t="shared" si="4"/>
        <v>-2.8402302414177998E-3</v>
      </c>
      <c r="D115">
        <f t="shared" si="3"/>
        <v>9.4999999999999987E-2</v>
      </c>
      <c r="E115" s="5" t="s">
        <v>129</v>
      </c>
      <c r="F115" s="6">
        <v>4.90651233121751E-3</v>
      </c>
      <c r="G115" s="5" t="s">
        <v>129</v>
      </c>
      <c r="H115" s="8">
        <v>2.8000000000000001E-2</v>
      </c>
    </row>
    <row r="116" spans="1:8" x14ac:dyDescent="0.35">
      <c r="A116" s="5" t="s">
        <v>61</v>
      </c>
      <c r="B116" s="6">
        <v>2.3722152036637825</v>
      </c>
      <c r="C116">
        <f t="shared" si="4"/>
        <v>3.0133256688713913E-2</v>
      </c>
      <c r="D116">
        <f t="shared" si="3"/>
        <v>0.17100000000000001</v>
      </c>
      <c r="E116" s="5" t="s">
        <v>130</v>
      </c>
      <c r="F116" s="6">
        <v>-2.0848844200372616E-2</v>
      </c>
      <c r="G116" s="5" t="s">
        <v>130</v>
      </c>
      <c r="H116" s="8">
        <v>3.0000000000000001E-3</v>
      </c>
    </row>
    <row r="117" spans="1:8" x14ac:dyDescent="0.35">
      <c r="A117" s="5" t="s">
        <v>86</v>
      </c>
      <c r="B117" s="6">
        <v>2.3719658656817537</v>
      </c>
      <c r="C117">
        <f t="shared" si="4"/>
        <v>-4.2018208652734604E-2</v>
      </c>
      <c r="D117">
        <f t="shared" si="3"/>
        <v>2.8999999999999998E-2</v>
      </c>
      <c r="E117" s="5" t="s">
        <v>131</v>
      </c>
      <c r="F117" s="6">
        <v>4.0619997307658202E-2</v>
      </c>
      <c r="G117" s="5" t="s">
        <v>131</v>
      </c>
      <c r="H117" s="8">
        <v>0.16</v>
      </c>
    </row>
    <row r="118" spans="1:8" x14ac:dyDescent="0.35">
      <c r="A118" s="5" t="s">
        <v>51</v>
      </c>
      <c r="B118" s="6">
        <v>2.3627788425004983</v>
      </c>
      <c r="C118">
        <f t="shared" si="4"/>
        <v>2.2226087749004302E-2</v>
      </c>
      <c r="D118">
        <f t="shared" si="3"/>
        <v>3.8000000000000006E-2</v>
      </c>
      <c r="E118" s="5" t="s">
        <v>132</v>
      </c>
      <c r="F118" s="6">
        <v>-1.05830999091268E-2</v>
      </c>
      <c r="G118" s="5" t="s">
        <v>132</v>
      </c>
      <c r="H118" s="8">
        <v>3.3000000000000002E-2</v>
      </c>
    </row>
    <row r="119" spans="1:8" x14ac:dyDescent="0.35">
      <c r="A119" s="5" t="s">
        <v>153</v>
      </c>
      <c r="B119" s="6">
        <v>2.3590247554151946</v>
      </c>
      <c r="C119">
        <f t="shared" si="4"/>
        <v>-2.449656929820769E-2</v>
      </c>
      <c r="D119">
        <f t="shared" si="3"/>
        <v>1.4999999999999999E-2</v>
      </c>
      <c r="E119" s="5" t="s">
        <v>133</v>
      </c>
      <c r="F119" s="6">
        <v>4.02587549760937E-2</v>
      </c>
      <c r="G119" s="5" t="s">
        <v>133</v>
      </c>
      <c r="H119" s="8">
        <v>2.3999999999999997E-2</v>
      </c>
    </row>
    <row r="120" spans="1:8" x14ac:dyDescent="0.35">
      <c r="A120" s="5" t="s">
        <v>73</v>
      </c>
      <c r="B120" s="6">
        <v>2.3584493373423974</v>
      </c>
      <c r="C120">
        <f t="shared" si="4"/>
        <v>-1.5859629027545379E-2</v>
      </c>
      <c r="D120">
        <f t="shared" si="3"/>
        <v>4.0999999999999995E-2</v>
      </c>
      <c r="E120" s="5" t="s">
        <v>134</v>
      </c>
      <c r="F120" s="6">
        <v>-2.1500196307897598E-3</v>
      </c>
      <c r="G120" s="5" t="s">
        <v>134</v>
      </c>
      <c r="H120" s="8">
        <v>6.8999999999999992E-2</v>
      </c>
    </row>
    <row r="121" spans="1:8" x14ac:dyDescent="0.35">
      <c r="A121" s="5" t="s">
        <v>81</v>
      </c>
      <c r="B121" s="6">
        <v>2.3567260350721906</v>
      </c>
      <c r="C121">
        <f t="shared" si="4"/>
        <v>2.1958936005830699E-2</v>
      </c>
      <c r="D121">
        <f t="shared" si="3"/>
        <v>9.0000000000000011E-3</v>
      </c>
      <c r="E121" s="5" t="s">
        <v>135</v>
      </c>
      <c r="F121" s="6">
        <v>-3.5006978432647787E-2</v>
      </c>
      <c r="G121" s="5" t="s">
        <v>135</v>
      </c>
      <c r="H121" s="8">
        <v>4.8000000000000001E-2</v>
      </c>
    </row>
    <row r="122" spans="1:8" x14ac:dyDescent="0.35">
      <c r="A122" s="5" t="s">
        <v>72</v>
      </c>
      <c r="B122" s="6">
        <v>2.353610139854371</v>
      </c>
      <c r="C122">
        <f t="shared" si="4"/>
        <v>-1.5812609344720792E-2</v>
      </c>
      <c r="D122">
        <f t="shared" si="3"/>
        <v>6.4000000000000001E-2</v>
      </c>
      <c r="E122" s="5" t="s">
        <v>136</v>
      </c>
      <c r="F122" s="6">
        <v>-4.3917679227888473E-2</v>
      </c>
      <c r="G122" s="5" t="s">
        <v>136</v>
      </c>
      <c r="H122" s="8">
        <v>0</v>
      </c>
    </row>
    <row r="123" spans="1:8" x14ac:dyDescent="0.35">
      <c r="A123" s="5" t="s">
        <v>50</v>
      </c>
      <c r="B123" s="6">
        <v>2.3535705166004295</v>
      </c>
      <c r="C123">
        <f t="shared" si="4"/>
        <v>-1.4867299236357181E-2</v>
      </c>
      <c r="D123">
        <f t="shared" si="3"/>
        <v>1.0999999999999999E-2</v>
      </c>
      <c r="E123" s="5" t="s">
        <v>137</v>
      </c>
      <c r="F123" s="6">
        <v>7.8233261592686121E-2</v>
      </c>
      <c r="G123" s="5" t="s">
        <v>137</v>
      </c>
      <c r="H123" s="8">
        <v>6.0000000000000001E-3</v>
      </c>
    </row>
    <row r="124" spans="1:8" x14ac:dyDescent="0.35">
      <c r="A124" s="5" t="s">
        <v>103</v>
      </c>
      <c r="B124" s="6">
        <v>2.3470450457464573</v>
      </c>
      <c r="C124">
        <f t="shared" si="4"/>
        <v>-0.10445905104279471</v>
      </c>
      <c r="D124">
        <f t="shared" si="3"/>
        <v>0.28900000000000003</v>
      </c>
      <c r="E124" s="5" t="s">
        <v>138</v>
      </c>
      <c r="F124" s="6">
        <v>-1.6212267335504287E-2</v>
      </c>
      <c r="G124" s="5" t="s">
        <v>138</v>
      </c>
      <c r="H124" s="8">
        <v>2.7E-2</v>
      </c>
    </row>
    <row r="125" spans="1:8" x14ac:dyDescent="0.35">
      <c r="A125" s="5" t="s">
        <v>151</v>
      </c>
      <c r="B125" s="6">
        <v>2.3375824482867009</v>
      </c>
      <c r="C125">
        <f t="shared" si="4"/>
        <v>-2.2304244339410584E-5</v>
      </c>
      <c r="D125">
        <f t="shared" si="3"/>
        <v>8.3000000000000004E-2</v>
      </c>
      <c r="E125" s="5" t="s">
        <v>139</v>
      </c>
      <c r="F125" s="6">
        <v>6.9102896377444101E-2</v>
      </c>
      <c r="G125" s="5" t="s">
        <v>139</v>
      </c>
      <c r="H125" s="8">
        <v>1E-3</v>
      </c>
    </row>
    <row r="126" spans="1:8" x14ac:dyDescent="0.35">
      <c r="A126" s="5" t="s">
        <v>168</v>
      </c>
      <c r="B126" s="6">
        <v>2.3342329165936331</v>
      </c>
      <c r="C126">
        <f t="shared" si="4"/>
        <v>-2.3422809084877278E-2</v>
      </c>
      <c r="D126">
        <f t="shared" si="3"/>
        <v>5.7999999999999996E-2</v>
      </c>
      <c r="E126" s="5" t="s">
        <v>140</v>
      </c>
      <c r="F126" s="6">
        <v>1.7299136146902989E-2</v>
      </c>
      <c r="G126" s="5" t="s">
        <v>140</v>
      </c>
      <c r="H126" s="8">
        <v>0.13800000000000001</v>
      </c>
    </row>
    <row r="127" spans="1:8" x14ac:dyDescent="0.35">
      <c r="A127" s="5" t="s">
        <v>76</v>
      </c>
      <c r="B127" s="6">
        <v>2.3337546446087063</v>
      </c>
      <c r="C127">
        <f t="shared" si="4"/>
        <v>-5.1838414045050595E-2</v>
      </c>
      <c r="D127">
        <f t="shared" si="3"/>
        <v>0.09</v>
      </c>
      <c r="E127" s="5" t="s">
        <v>141</v>
      </c>
      <c r="F127" s="6">
        <v>1.430168189108369E-2</v>
      </c>
      <c r="G127" s="5" t="s">
        <v>141</v>
      </c>
      <c r="H127" s="8">
        <v>0.14399999999999999</v>
      </c>
    </row>
    <row r="128" spans="1:8" x14ac:dyDescent="0.35">
      <c r="A128" s="5" t="s">
        <v>65</v>
      </c>
      <c r="B128" s="6">
        <v>2.3307845831894722</v>
      </c>
      <c r="C128">
        <f t="shared" si="4"/>
        <v>1.249521691352129E-2</v>
      </c>
      <c r="D128">
        <f t="shared" si="3"/>
        <v>-1.2999999999999999E-2</v>
      </c>
      <c r="E128" s="5" t="s">
        <v>142</v>
      </c>
      <c r="F128" s="6">
        <v>6.7665213719010298E-2</v>
      </c>
      <c r="G128" s="5" t="s">
        <v>142</v>
      </c>
      <c r="H128" s="8">
        <v>4.1999999999999996E-2</v>
      </c>
    </row>
    <row r="129" spans="1:8" x14ac:dyDescent="0.35">
      <c r="A129" s="5" t="s">
        <v>88</v>
      </c>
      <c r="B129" s="6">
        <v>2.3284203240725563</v>
      </c>
      <c r="C129">
        <f t="shared" si="4"/>
        <v>-6.3567413017153896E-3</v>
      </c>
      <c r="D129">
        <f t="shared" si="3"/>
        <v>4.2000000000000003E-2</v>
      </c>
      <c r="E129" s="5" t="s">
        <v>143</v>
      </c>
      <c r="F129" s="6">
        <v>0.1025276500731705</v>
      </c>
      <c r="G129" s="5" t="s">
        <v>143</v>
      </c>
      <c r="H129" s="8">
        <v>0.05</v>
      </c>
    </row>
    <row r="130" spans="1:8" x14ac:dyDescent="0.35">
      <c r="A130" s="5" t="s">
        <v>105</v>
      </c>
      <c r="B130" s="6">
        <v>2.310010132891009</v>
      </c>
      <c r="C130">
        <f t="shared" si="4"/>
        <v>-1.3885035179555498E-2</v>
      </c>
      <c r="D130">
        <f t="shared" si="3"/>
        <v>5.6000000000000001E-2</v>
      </c>
      <c r="E130" s="5" t="s">
        <v>144</v>
      </c>
      <c r="F130" s="6">
        <v>0.1288729179650546</v>
      </c>
      <c r="G130" s="5" t="s">
        <v>144</v>
      </c>
      <c r="H130" s="8">
        <v>0.11899999999999999</v>
      </c>
    </row>
    <row r="131" spans="1:8" x14ac:dyDescent="0.35">
      <c r="A131" s="5" t="s">
        <v>9</v>
      </c>
      <c r="B131" s="6">
        <v>2.3056626785904561</v>
      </c>
      <c r="C131">
        <f t="shared" si="4"/>
        <v>-4.988996312022106E-3</v>
      </c>
      <c r="D131">
        <f t="shared" si="3"/>
        <v>2.5000000000000001E-2</v>
      </c>
      <c r="E131" s="5" t="s">
        <v>145</v>
      </c>
      <c r="F131" s="6">
        <v>5.1382679492235198E-2</v>
      </c>
      <c r="G131" s="5" t="s">
        <v>145</v>
      </c>
      <c r="H131" s="8">
        <v>0.03</v>
      </c>
    </row>
    <row r="132" spans="1:8" x14ac:dyDescent="0.35">
      <c r="A132" s="5" t="s">
        <v>92</v>
      </c>
      <c r="B132" s="6">
        <v>2.3052216706960564</v>
      </c>
      <c r="C132">
        <f t="shared" si="4"/>
        <v>-1.0052870027720881E-2</v>
      </c>
      <c r="D132">
        <f t="shared" si="3"/>
        <v>8.900000000000001E-2</v>
      </c>
      <c r="E132" s="5" t="s">
        <v>146</v>
      </c>
      <c r="F132" s="6">
        <v>0.1338439565151929</v>
      </c>
      <c r="G132" s="5" t="s">
        <v>146</v>
      </c>
      <c r="H132" s="8">
        <v>3.2000000000000001E-2</v>
      </c>
    </row>
    <row r="133" spans="1:8" x14ac:dyDescent="0.35">
      <c r="A133" s="5" t="s">
        <v>170</v>
      </c>
      <c r="B133" s="6">
        <v>2.3044225259789206</v>
      </c>
      <c r="C133">
        <f t="shared" ref="C133:C167" si="5">VLOOKUP(A133,E:F,2,0)</f>
        <v>2.4047302082180904E-2</v>
      </c>
      <c r="D133">
        <f t="shared" ref="D133:D167" si="6">VLOOKUP(A133,G:H,2,0)</f>
        <v>2.8999999999999998E-2</v>
      </c>
      <c r="E133" s="5" t="s">
        <v>147</v>
      </c>
      <c r="F133" s="6">
        <v>4.4312417507171596E-2</v>
      </c>
      <c r="G133" s="5" t="s">
        <v>147</v>
      </c>
      <c r="H133" s="8">
        <v>6.5000000000000002E-2</v>
      </c>
    </row>
    <row r="134" spans="1:8" x14ac:dyDescent="0.35">
      <c r="A134" s="5" t="s">
        <v>85</v>
      </c>
      <c r="B134" s="6">
        <v>2.3043390209418058</v>
      </c>
      <c r="C134">
        <f t="shared" si="5"/>
        <v>-1.2578026391565885E-2</v>
      </c>
      <c r="D134">
        <f t="shared" si="6"/>
        <v>4.7E-2</v>
      </c>
      <c r="E134" s="5" t="s">
        <v>148</v>
      </c>
      <c r="F134" s="6">
        <v>8.4470110014081053E-3</v>
      </c>
      <c r="G134" s="5" t="s">
        <v>148</v>
      </c>
      <c r="H134" s="8">
        <v>1.6E-2</v>
      </c>
    </row>
    <row r="135" spans="1:8" x14ac:dyDescent="0.35">
      <c r="A135" s="5" t="s">
        <v>172</v>
      </c>
      <c r="B135" s="6">
        <v>2.2972793726593643</v>
      </c>
      <c r="C135">
        <f t="shared" si="5"/>
        <v>-4.2281752219423548E-2</v>
      </c>
      <c r="D135">
        <f t="shared" si="6"/>
        <v>-9.0000000000000011E-3</v>
      </c>
      <c r="E135" s="5" t="s">
        <v>149</v>
      </c>
      <c r="F135" s="6">
        <v>6.9167321547865798E-2</v>
      </c>
      <c r="G135" s="5" t="s">
        <v>149</v>
      </c>
      <c r="H135" s="8">
        <v>0.11700000000000001</v>
      </c>
    </row>
    <row r="136" spans="1:8" x14ac:dyDescent="0.35">
      <c r="A136" s="5" t="s">
        <v>93</v>
      </c>
      <c r="B136" s="6">
        <v>2.2957168889885518</v>
      </c>
      <c r="C136">
        <f t="shared" si="5"/>
        <v>-4.105364438146341E-2</v>
      </c>
      <c r="D136">
        <f t="shared" si="6"/>
        <v>8.5999999999999993E-2</v>
      </c>
      <c r="E136" s="5" t="s">
        <v>150</v>
      </c>
      <c r="F136" s="6">
        <v>-4.8656732775270876E-2</v>
      </c>
      <c r="G136" s="5" t="s">
        <v>150</v>
      </c>
      <c r="H136" s="8">
        <v>4.4999999999999998E-2</v>
      </c>
    </row>
    <row r="137" spans="1:8" x14ac:dyDescent="0.35">
      <c r="A137" s="5" t="s">
        <v>124</v>
      </c>
      <c r="B137" s="6">
        <v>2.293008078441567</v>
      </c>
      <c r="C137">
        <f t="shared" si="5"/>
        <v>-1.5637707896530597E-2</v>
      </c>
      <c r="D137">
        <f t="shared" si="6"/>
        <v>4.8000000000000001E-2</v>
      </c>
      <c r="E137" s="5" t="s">
        <v>151</v>
      </c>
      <c r="F137" s="6">
        <v>-2.2304244339410584E-5</v>
      </c>
      <c r="G137" s="5" t="s">
        <v>151</v>
      </c>
      <c r="H137" s="8">
        <v>8.3000000000000004E-2</v>
      </c>
    </row>
    <row r="138" spans="1:8" x14ac:dyDescent="0.35">
      <c r="A138" s="5" t="s">
        <v>152</v>
      </c>
      <c r="B138" s="6">
        <v>2.2921868148759343</v>
      </c>
      <c r="C138">
        <f t="shared" si="5"/>
        <v>1.8563307821749999E-3</v>
      </c>
      <c r="D138">
        <f t="shared" si="6"/>
        <v>5.0000000000000001E-3</v>
      </c>
      <c r="E138" s="5" t="s">
        <v>152</v>
      </c>
      <c r="F138" s="6">
        <v>1.8563307821749999E-3</v>
      </c>
      <c r="G138" s="5" t="s">
        <v>152</v>
      </c>
      <c r="H138" s="8">
        <v>5.0000000000000001E-3</v>
      </c>
    </row>
    <row r="139" spans="1:8" x14ac:dyDescent="0.35">
      <c r="A139" s="5" t="s">
        <v>45</v>
      </c>
      <c r="B139" s="6">
        <v>2.2902556828246166</v>
      </c>
      <c r="C139">
        <f t="shared" si="5"/>
        <v>-2.2727974690496894E-2</v>
      </c>
      <c r="D139">
        <f t="shared" si="6"/>
        <v>5.2999999999999992E-2</v>
      </c>
      <c r="E139" s="5" t="s">
        <v>153</v>
      </c>
      <c r="F139" s="6">
        <v>-2.449656929820769E-2</v>
      </c>
      <c r="G139" s="5" t="s">
        <v>153</v>
      </c>
      <c r="H139" s="8">
        <v>1.4999999999999999E-2</v>
      </c>
    </row>
    <row r="140" spans="1:8" x14ac:dyDescent="0.35">
      <c r="A140" s="5" t="s">
        <v>97</v>
      </c>
      <c r="B140" s="6">
        <v>2.2852535265632086</v>
      </c>
      <c r="C140">
        <f t="shared" si="5"/>
        <v>2.0253868773579646E-2</v>
      </c>
      <c r="D140">
        <f t="shared" si="6"/>
        <v>6.8000000000000005E-2</v>
      </c>
      <c r="E140" s="5" t="s">
        <v>155</v>
      </c>
      <c r="F140" s="6">
        <v>-1.060257665812968E-2</v>
      </c>
      <c r="G140" s="5" t="s">
        <v>155</v>
      </c>
      <c r="H140" s="8">
        <v>0.23899999999999999</v>
      </c>
    </row>
    <row r="141" spans="1:8" x14ac:dyDescent="0.35">
      <c r="A141" s="5" t="s">
        <v>115</v>
      </c>
      <c r="B141" s="6">
        <v>2.2851040417234687</v>
      </c>
      <c r="C141">
        <f t="shared" si="5"/>
        <v>-3.0628439970314419E-2</v>
      </c>
      <c r="D141">
        <f t="shared" si="6"/>
        <v>4.5000000000000005E-2</v>
      </c>
      <c r="E141" s="5" t="s">
        <v>156</v>
      </c>
      <c r="F141" s="6">
        <v>6.5264549106359315E-2</v>
      </c>
      <c r="G141" s="5" t="s">
        <v>156</v>
      </c>
      <c r="H141" s="8">
        <v>-3.0000000000000001E-3</v>
      </c>
    </row>
    <row r="142" spans="1:8" x14ac:dyDescent="0.35">
      <c r="A142" s="5" t="s">
        <v>157</v>
      </c>
      <c r="B142" s="6">
        <v>2.2794864326226567</v>
      </c>
      <c r="C142">
        <f t="shared" si="5"/>
        <v>-1.7850765027105781E-2</v>
      </c>
      <c r="D142">
        <f t="shared" si="6"/>
        <v>2.1999999999999999E-2</v>
      </c>
      <c r="E142" s="5" t="s">
        <v>157</v>
      </c>
      <c r="F142" s="6">
        <v>-1.7850765027105781E-2</v>
      </c>
      <c r="G142" s="5" t="s">
        <v>157</v>
      </c>
      <c r="H142" s="8">
        <v>2.1999999999999999E-2</v>
      </c>
    </row>
    <row r="143" spans="1:8" x14ac:dyDescent="0.35">
      <c r="A143" s="5" t="s">
        <v>129</v>
      </c>
      <c r="B143" s="6">
        <v>2.275920157425869</v>
      </c>
      <c r="C143">
        <f t="shared" si="5"/>
        <v>4.90651233121751E-3</v>
      </c>
      <c r="D143">
        <f t="shared" si="6"/>
        <v>2.8000000000000001E-2</v>
      </c>
      <c r="E143" s="5" t="s">
        <v>159</v>
      </c>
      <c r="F143" s="6">
        <v>3.9496423676609986E-2</v>
      </c>
      <c r="G143" s="5" t="s">
        <v>159</v>
      </c>
      <c r="H143" s="8">
        <v>6.699999999999999E-2</v>
      </c>
    </row>
    <row r="144" spans="1:8" x14ac:dyDescent="0.35">
      <c r="A144" s="5" t="s">
        <v>148</v>
      </c>
      <c r="B144" s="6">
        <v>2.2529803627312002</v>
      </c>
      <c r="C144">
        <f t="shared" si="5"/>
        <v>8.4470110014081053E-3</v>
      </c>
      <c r="D144">
        <f t="shared" si="6"/>
        <v>1.6E-2</v>
      </c>
      <c r="E144" s="5" t="s">
        <v>160</v>
      </c>
      <c r="F144" s="6">
        <v>-1.13446158356964E-2</v>
      </c>
      <c r="G144" s="5" t="s">
        <v>160</v>
      </c>
      <c r="H144" s="8">
        <v>1.0999999999999999E-2</v>
      </c>
    </row>
    <row r="145" spans="1:8" x14ac:dyDescent="0.35">
      <c r="A145" s="5" t="s">
        <v>89</v>
      </c>
      <c r="B145" s="6">
        <v>2.245688078027527</v>
      </c>
      <c r="C145">
        <f t="shared" si="5"/>
        <v>-1.6944487579166851E-2</v>
      </c>
      <c r="D145">
        <f t="shared" si="6"/>
        <v>2.4999999999999998E-2</v>
      </c>
      <c r="E145" s="5" t="s">
        <v>161</v>
      </c>
      <c r="F145" s="6">
        <v>-3.812727518379791E-3</v>
      </c>
      <c r="G145" s="5" t="s">
        <v>161</v>
      </c>
      <c r="H145" s="8">
        <v>6.4000000000000001E-2</v>
      </c>
    </row>
    <row r="146" spans="1:8" x14ac:dyDescent="0.35">
      <c r="A146" s="5" t="s">
        <v>29</v>
      </c>
      <c r="B146" s="6">
        <v>2.2448088679538896</v>
      </c>
      <c r="C146">
        <f t="shared" si="5"/>
        <v>2.4913802742957989E-2</v>
      </c>
      <c r="D146">
        <f t="shared" si="6"/>
        <v>0.105</v>
      </c>
      <c r="E146" s="5" t="s">
        <v>162</v>
      </c>
      <c r="F146" s="6">
        <v>-2.0041444338857996E-2</v>
      </c>
      <c r="G146" s="5" t="s">
        <v>162</v>
      </c>
      <c r="H146" s="8">
        <v>3.5000000000000003E-2</v>
      </c>
    </row>
    <row r="147" spans="1:8" x14ac:dyDescent="0.35">
      <c r="A147" s="5" t="s">
        <v>120</v>
      </c>
      <c r="B147" s="6">
        <v>2.2423541382161911</v>
      </c>
      <c r="C147">
        <f t="shared" si="5"/>
        <v>-1.3512388803064901E-2</v>
      </c>
      <c r="D147">
        <f t="shared" si="6"/>
        <v>4.5000000000000005E-2</v>
      </c>
      <c r="E147" s="5" t="s">
        <v>163</v>
      </c>
      <c r="F147" s="6">
        <v>-1.3920543715357689E-2</v>
      </c>
      <c r="G147" s="5" t="s">
        <v>163</v>
      </c>
      <c r="H147" s="8">
        <v>4.5999999999999999E-2</v>
      </c>
    </row>
    <row r="148" spans="1:8" x14ac:dyDescent="0.35">
      <c r="A148" s="5" t="s">
        <v>42</v>
      </c>
      <c r="B148" s="6">
        <v>2.2342281008753484</v>
      </c>
      <c r="C148">
        <f t="shared" si="5"/>
        <v>-1.3831853866577176E-2</v>
      </c>
      <c r="D148">
        <f t="shared" si="6"/>
        <v>3.4000000000000002E-2</v>
      </c>
      <c r="E148" s="5" t="s">
        <v>164</v>
      </c>
      <c r="F148" s="6">
        <v>0.1092744879424568</v>
      </c>
      <c r="G148" s="5" t="s">
        <v>164</v>
      </c>
      <c r="H148" s="8">
        <v>1.0999999999999999E-2</v>
      </c>
    </row>
    <row r="149" spans="1:8" x14ac:dyDescent="0.35">
      <c r="A149" s="5" t="s">
        <v>26</v>
      </c>
      <c r="B149" s="6">
        <v>2.2321672806913804</v>
      </c>
      <c r="C149">
        <f t="shared" si="5"/>
        <v>-4.6279158443212412E-2</v>
      </c>
      <c r="D149">
        <f t="shared" si="6"/>
        <v>8.0000000000000002E-3</v>
      </c>
      <c r="E149" s="5" t="s">
        <v>165</v>
      </c>
      <c r="F149" s="6">
        <v>9.5286456868052483E-2</v>
      </c>
      <c r="G149" s="5" t="s">
        <v>165</v>
      </c>
      <c r="H149" s="8">
        <v>3.3000000000000002E-2</v>
      </c>
    </row>
    <row r="150" spans="1:8" x14ac:dyDescent="0.35">
      <c r="A150" s="5" t="s">
        <v>104</v>
      </c>
      <c r="B150" s="6">
        <v>2.2175383546746636</v>
      </c>
      <c r="C150">
        <f t="shared" si="5"/>
        <v>-2.1274588070809883E-2</v>
      </c>
      <c r="D150">
        <f t="shared" si="6"/>
        <v>4.2999999999999997E-2</v>
      </c>
      <c r="E150" s="5" t="s">
        <v>166</v>
      </c>
      <c r="F150" s="6">
        <v>-6.0761105269192903E-3</v>
      </c>
      <c r="G150" s="5" t="s">
        <v>166</v>
      </c>
      <c r="H150" s="8">
        <v>7.6999999999999999E-2</v>
      </c>
    </row>
    <row r="151" spans="1:8" x14ac:dyDescent="0.35">
      <c r="A151" s="5" t="s">
        <v>135</v>
      </c>
      <c r="B151" s="6">
        <v>2.2072290354376576</v>
      </c>
      <c r="C151">
        <f t="shared" si="5"/>
        <v>-3.5006978432647787E-2</v>
      </c>
      <c r="D151">
        <f t="shared" si="6"/>
        <v>4.8000000000000001E-2</v>
      </c>
      <c r="E151" s="5" t="s">
        <v>167</v>
      </c>
      <c r="F151" s="6">
        <v>-7.4263401329516783E-3</v>
      </c>
      <c r="G151" s="5" t="s">
        <v>167</v>
      </c>
      <c r="H151" s="8">
        <v>0.104</v>
      </c>
    </row>
    <row r="152" spans="1:8" x14ac:dyDescent="0.35">
      <c r="A152" s="5" t="s">
        <v>32</v>
      </c>
      <c r="B152" s="6">
        <v>2.1595591425370824</v>
      </c>
      <c r="C152">
        <f t="shared" si="5"/>
        <v>-2.5859556160867089E-2</v>
      </c>
      <c r="D152">
        <f t="shared" si="6"/>
        <v>3.3000000000000002E-2</v>
      </c>
      <c r="E152" s="5" t="s">
        <v>168</v>
      </c>
      <c r="F152" s="6">
        <v>-2.3422809084877278E-2</v>
      </c>
      <c r="G152" s="5" t="s">
        <v>168</v>
      </c>
      <c r="H152" s="8">
        <v>5.7999999999999996E-2</v>
      </c>
    </row>
    <row r="153" spans="1:8" x14ac:dyDescent="0.35">
      <c r="A153" s="5" t="s">
        <v>24</v>
      </c>
      <c r="B153" s="6">
        <v>2.1506784517628175</v>
      </c>
      <c r="C153">
        <f t="shared" si="5"/>
        <v>-3.8852433674037297E-2</v>
      </c>
      <c r="D153">
        <f t="shared" si="6"/>
        <v>4.0000000000000001E-3</v>
      </c>
      <c r="E153" s="5" t="s">
        <v>169</v>
      </c>
      <c r="F153" s="6">
        <v>-1.2205412611365301E-2</v>
      </c>
      <c r="G153" s="5" t="s">
        <v>169</v>
      </c>
      <c r="H153" s="8">
        <v>6.2E-2</v>
      </c>
    </row>
    <row r="154" spans="1:8" x14ac:dyDescent="0.35">
      <c r="A154" s="5" t="s">
        <v>10</v>
      </c>
      <c r="B154" s="6">
        <v>2.1173748320082195</v>
      </c>
      <c r="C154">
        <f t="shared" si="5"/>
        <v>-2.841841522604225E-2</v>
      </c>
      <c r="D154">
        <f t="shared" si="6"/>
        <v>7.9999999999999988E-2</v>
      </c>
      <c r="E154" s="5" t="s">
        <v>170</v>
      </c>
      <c r="F154" s="6">
        <v>2.4047302082180904E-2</v>
      </c>
      <c r="G154" s="5" t="s">
        <v>170</v>
      </c>
      <c r="H154" s="8">
        <v>2.8999999999999998E-2</v>
      </c>
    </row>
    <row r="155" spans="1:8" x14ac:dyDescent="0.35">
      <c r="A155" s="5" t="s">
        <v>126</v>
      </c>
      <c r="B155" s="6">
        <v>2.0524445771047275</v>
      </c>
      <c r="C155">
        <f t="shared" si="5"/>
        <v>-3.9063876029103869E-2</v>
      </c>
      <c r="D155">
        <f t="shared" si="6"/>
        <v>6.4000000000000001E-2</v>
      </c>
      <c r="E155" s="5" t="s">
        <v>171</v>
      </c>
      <c r="F155" s="6">
        <v>-1.5781598165631291E-2</v>
      </c>
      <c r="G155" s="5" t="s">
        <v>171</v>
      </c>
      <c r="H155" s="8">
        <v>3.5999999999999997E-2</v>
      </c>
    </row>
    <row r="156" spans="1:8" x14ac:dyDescent="0.35">
      <c r="A156" s="5" t="s">
        <v>14</v>
      </c>
      <c r="B156" s="6">
        <v>2.0485634014000755</v>
      </c>
      <c r="C156">
        <f t="shared" si="5"/>
        <v>4.3953387066721798E-2</v>
      </c>
      <c r="D156">
        <f t="shared" si="6"/>
        <v>1.2999999999999999E-2</v>
      </c>
      <c r="E156" s="5" t="s">
        <v>172</v>
      </c>
      <c r="F156" s="6">
        <v>-4.2281752219423548E-2</v>
      </c>
      <c r="G156" s="5" t="s">
        <v>172</v>
      </c>
      <c r="H156" s="8">
        <v>-9.0000000000000011E-3</v>
      </c>
    </row>
    <row r="157" spans="1:8" x14ac:dyDescent="0.35">
      <c r="A157" s="5" t="s">
        <v>127</v>
      </c>
      <c r="B157" s="6">
        <v>2.047222936451869</v>
      </c>
      <c r="C157">
        <f t="shared" si="5"/>
        <v>5.3688921034335899E-3</v>
      </c>
      <c r="D157">
        <f t="shared" si="6"/>
        <v>1.2999999999999999E-2</v>
      </c>
      <c r="E157" s="5" t="s">
        <v>174</v>
      </c>
      <c r="F157" s="6">
        <v>0.88319126778515267</v>
      </c>
      <c r="G157" s="5" t="s">
        <v>174</v>
      </c>
      <c r="H157" s="8">
        <v>8.7779999999999987</v>
      </c>
    </row>
    <row r="158" spans="1:8" x14ac:dyDescent="0.35">
      <c r="A158" s="5" t="s">
        <v>27</v>
      </c>
      <c r="B158" s="6">
        <v>1.9585144965772978</v>
      </c>
      <c r="C158">
        <f t="shared" si="5"/>
        <v>-3.8747221173252709E-2</v>
      </c>
      <c r="D158">
        <f t="shared" si="6"/>
        <v>2.5000000000000001E-2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AA4F-A0B4-4232-B299-6B60F8BE7D66}">
  <dimension ref="A1:X2653"/>
  <sheetViews>
    <sheetView tabSelected="1" workbookViewId="0">
      <selection activeCell="M9" sqref="M9"/>
    </sheetView>
  </sheetViews>
  <sheetFormatPr defaultRowHeight="14.5" x14ac:dyDescent="0.35"/>
  <cols>
    <col min="19" max="19" width="8.7265625" style="9"/>
  </cols>
  <sheetData>
    <row r="1" spans="1:24" x14ac:dyDescent="0.35">
      <c r="A1" t="s">
        <v>0</v>
      </c>
      <c r="B1" t="s">
        <v>1</v>
      </c>
      <c r="C1" t="s">
        <v>2</v>
      </c>
      <c r="D1" t="s">
        <v>177</v>
      </c>
      <c r="E1" t="s">
        <v>180</v>
      </c>
      <c r="F1" t="s">
        <v>3</v>
      </c>
      <c r="G1" t="s">
        <v>178</v>
      </c>
      <c r="H1" t="s">
        <v>4</v>
      </c>
      <c r="I1" t="s">
        <v>186</v>
      </c>
      <c r="J1" t="s">
        <v>187</v>
      </c>
      <c r="K1" t="s">
        <v>5</v>
      </c>
      <c r="L1" t="s">
        <v>6</v>
      </c>
      <c r="M1" t="s">
        <v>7</v>
      </c>
      <c r="N1" t="s">
        <v>8</v>
      </c>
    </row>
    <row r="2" spans="1:24" x14ac:dyDescent="0.35">
      <c r="A2" t="s">
        <v>9</v>
      </c>
      <c r="B2">
        <v>2006</v>
      </c>
      <c r="C2">
        <v>702640.9375</v>
      </c>
      <c r="D2" s="8">
        <v>0.94217407703399703</v>
      </c>
      <c r="E2" s="8">
        <v>3.0000000000000001E-3</v>
      </c>
      <c r="F2">
        <v>2.0522524650174101</v>
      </c>
      <c r="G2">
        <f>F2/D2</f>
        <v>2.1782094360715014</v>
      </c>
      <c r="I2">
        <f>IF(H2&gt;0,1,0)</f>
        <v>0</v>
      </c>
      <c r="K2">
        <v>-1.21024962216616E-2</v>
      </c>
      <c r="L2">
        <v>-1.84655357152223E-2</v>
      </c>
      <c r="M2">
        <v>-8.2892970144748997E-3</v>
      </c>
      <c r="N2">
        <v>-7.3675410822034004E-3</v>
      </c>
      <c r="O2" t="str">
        <f t="shared" ref="O2:O5" si="0">IF(B2&gt;=2010,SUM(N2:N6),"")</f>
        <v/>
      </c>
      <c r="R2">
        <v>1</v>
      </c>
      <c r="S2" s="9">
        <f>AVERAGEIF(J:J,R2,O:O)</f>
        <v>4.204626896119285E-3</v>
      </c>
      <c r="T2" s="2">
        <f>COUNTIF(J:J,R2)</f>
        <v>112</v>
      </c>
      <c r="X2" s="3"/>
    </row>
    <row r="3" spans="1:24" x14ac:dyDescent="0.35">
      <c r="A3" t="s">
        <v>9</v>
      </c>
      <c r="B3">
        <v>2007</v>
      </c>
      <c r="C3">
        <v>703387.5625</v>
      </c>
      <c r="D3" s="8">
        <v>0.94565826654434204</v>
      </c>
      <c r="E3" s="8">
        <v>2.8000000000000001E-2</v>
      </c>
      <c r="F3">
        <v>2.0550955858412001</v>
      </c>
      <c r="G3">
        <f t="shared" ref="G3:G66" si="1">F3/D3</f>
        <v>2.1731905261622715</v>
      </c>
      <c r="H3">
        <f>+G3/G2-1</f>
        <v>-2.3041447833784812E-3</v>
      </c>
      <c r="I3">
        <f t="shared" ref="I3:I66" si="2">IF(H3&gt;0,1,0)</f>
        <v>0</v>
      </c>
      <c r="K3">
        <v>-8.2892970144748997E-3</v>
      </c>
      <c r="L3">
        <v>-7.3675410822034004E-3</v>
      </c>
      <c r="M3">
        <v>-2.39686754643917E-2</v>
      </c>
      <c r="N3">
        <v>5.5421288125217004E-3</v>
      </c>
      <c r="O3" t="str">
        <f t="shared" si="0"/>
        <v/>
      </c>
      <c r="R3">
        <f>+R2+1</f>
        <v>2</v>
      </c>
      <c r="S3" s="9">
        <f t="shared" ref="S3:S6" si="3">AVERAGEIF(J:J,R3,O:O)</f>
        <v>1.0543287768416496E-3</v>
      </c>
      <c r="T3" s="2">
        <f t="shared" ref="T3:T6" si="4">COUNTIF(J:J,R3)</f>
        <v>530</v>
      </c>
      <c r="X3" s="3"/>
    </row>
    <row r="4" spans="1:24" x14ac:dyDescent="0.35">
      <c r="A4" t="s">
        <v>9</v>
      </c>
      <c r="B4">
        <v>2008</v>
      </c>
      <c r="C4">
        <v>703345.1875</v>
      </c>
      <c r="D4" s="8">
        <v>0.94196325540542603</v>
      </c>
      <c r="E4" s="8">
        <v>0</v>
      </c>
      <c r="F4">
        <v>2.02261992702527</v>
      </c>
      <c r="G4">
        <f t="shared" si="1"/>
        <v>2.1472386692565024</v>
      </c>
      <c r="H4">
        <f t="shared" ref="H4:H67" si="5">+G4/G3-1</f>
        <v>-1.1941823136694119E-2</v>
      </c>
      <c r="I4">
        <f t="shared" si="2"/>
        <v>0</v>
      </c>
      <c r="K4">
        <v>-2.39686754643917E-2</v>
      </c>
      <c r="L4">
        <v>5.5421288125217004E-3</v>
      </c>
      <c r="M4">
        <v>-1.8089341655373601E-2</v>
      </c>
      <c r="N4">
        <v>8.4773600101470496E-3</v>
      </c>
      <c r="O4" t="str">
        <f t="shared" si="0"/>
        <v/>
      </c>
      <c r="R4">
        <f t="shared" ref="R4:R6" si="6">+R3+1</f>
        <v>3</v>
      </c>
      <c r="S4" s="9">
        <f t="shared" si="3"/>
        <v>8.8891712926452554E-4</v>
      </c>
      <c r="T4" s="2">
        <f t="shared" si="4"/>
        <v>561</v>
      </c>
      <c r="V4" s="3"/>
      <c r="W4" s="3"/>
    </row>
    <row r="5" spans="1:24" x14ac:dyDescent="0.35">
      <c r="A5" t="s">
        <v>9</v>
      </c>
      <c r="B5">
        <v>2009</v>
      </c>
      <c r="C5">
        <v>703332</v>
      </c>
      <c r="D5" s="8">
        <v>0.93571358919143699</v>
      </c>
      <c r="E5" s="8">
        <v>1.4999999999999999E-2</v>
      </c>
      <c r="F5">
        <v>2.17177941306853</v>
      </c>
      <c r="G5">
        <f t="shared" si="1"/>
        <v>2.3209873599732527</v>
      </c>
      <c r="H5">
        <f t="shared" si="5"/>
        <v>8.0917269796054958E-2</v>
      </c>
      <c r="I5">
        <f t="shared" si="2"/>
        <v>1</v>
      </c>
      <c r="K5">
        <v>-1.8089341655373601E-2</v>
      </c>
      <c r="L5">
        <v>8.4773600101470496E-3</v>
      </c>
      <c r="M5">
        <v>-1.40216203257441E-2</v>
      </c>
      <c r="N5">
        <v>-4.5615115668624596E-3</v>
      </c>
      <c r="O5" t="str">
        <f t="shared" si="0"/>
        <v/>
      </c>
      <c r="R5">
        <f t="shared" si="6"/>
        <v>4</v>
      </c>
      <c r="S5" s="9">
        <f t="shared" si="3"/>
        <v>-8.1364289705228125E-5</v>
      </c>
      <c r="T5" s="2">
        <f t="shared" si="4"/>
        <v>175</v>
      </c>
      <c r="V5" s="3"/>
      <c r="W5" s="3"/>
    </row>
    <row r="6" spans="1:24" x14ac:dyDescent="0.35">
      <c r="A6" t="s">
        <v>9</v>
      </c>
      <c r="B6">
        <v>2010</v>
      </c>
      <c r="C6">
        <v>703146.4375</v>
      </c>
      <c r="D6" s="8">
        <v>0.93733251094818104</v>
      </c>
      <c r="E6" s="8">
        <v>6.0000000000000001E-3</v>
      </c>
      <c r="F6">
        <v>2.0934120635792501</v>
      </c>
      <c r="G6">
        <f t="shared" si="1"/>
        <v>2.2333718708440076</v>
      </c>
      <c r="H6">
        <f t="shared" si="5"/>
        <v>-3.7749231486661317E-2</v>
      </c>
      <c r="I6">
        <f t="shared" si="2"/>
        <v>0</v>
      </c>
      <c r="J6">
        <f>IF(AND(B6&gt;=2010,B6&lt;=2018),SUM(I2:I6),"")</f>
        <v>1</v>
      </c>
      <c r="K6">
        <v>-1.40216203257441E-2</v>
      </c>
      <c r="L6">
        <v>-4.5615115668624596E-3</v>
      </c>
      <c r="M6">
        <v>-2.20062307715416E-2</v>
      </c>
      <c r="N6">
        <v>-7.2245625779030203E-4</v>
      </c>
      <c r="O6">
        <f>IF(B6&gt;=2010,AVERAGE(N6:N10),"")</f>
        <v>-1.1251707561313836E-3</v>
      </c>
      <c r="R6">
        <f t="shared" si="6"/>
        <v>5</v>
      </c>
      <c r="S6" s="9">
        <f t="shared" si="3"/>
        <v>9.7796028213877601E-5</v>
      </c>
      <c r="T6" s="2">
        <f t="shared" si="4"/>
        <v>7</v>
      </c>
    </row>
    <row r="7" spans="1:24" x14ac:dyDescent="0.35">
      <c r="A7" t="s">
        <v>9</v>
      </c>
      <c r="B7">
        <v>2011</v>
      </c>
      <c r="C7">
        <v>702968.3125</v>
      </c>
      <c r="D7" s="8">
        <v>0.94377064704894997</v>
      </c>
      <c r="E7" s="8">
        <v>-4.0000000000000001E-3</v>
      </c>
      <c r="F7">
        <v>2.1760167580499301</v>
      </c>
      <c r="G7">
        <f t="shared" si="1"/>
        <v>2.3056626785904561</v>
      </c>
      <c r="H7">
        <f t="shared" si="5"/>
        <v>3.2368459856678244E-2</v>
      </c>
      <c r="I7">
        <f t="shared" si="2"/>
        <v>1</v>
      </c>
      <c r="J7">
        <f t="shared" ref="J7:J70" si="7">IF(AND(B7&gt;=2010,B7&lt;=2018),SUM(I3:I7),"")</f>
        <v>2</v>
      </c>
      <c r="K7">
        <v>-2.20062307715416E-2</v>
      </c>
      <c r="L7">
        <v>-7.2245625779030203E-4</v>
      </c>
      <c r="M7">
        <v>-1.17902283594012E-2</v>
      </c>
      <c r="N7">
        <v>-6.3520222902298303E-3</v>
      </c>
      <c r="O7">
        <f t="shared" ref="O7:O70" si="8">IF(B7&gt;=2010,AVERAGE(N7:N11),"")</f>
        <v>-3.6573167890310036E-3</v>
      </c>
      <c r="T7" s="2"/>
      <c r="X7" s="3"/>
    </row>
    <row r="8" spans="1:24" x14ac:dyDescent="0.35">
      <c r="A8" t="s">
        <v>9</v>
      </c>
      <c r="B8">
        <v>2012</v>
      </c>
      <c r="C8">
        <v>702671.0625</v>
      </c>
      <c r="D8" s="8">
        <v>0.94733417034149203</v>
      </c>
      <c r="E8" s="8">
        <v>3.0000000000000001E-3</v>
      </c>
      <c r="F8">
        <v>2.0772178045099898</v>
      </c>
      <c r="G8">
        <f t="shared" si="1"/>
        <v>2.1926980674213419</v>
      </c>
      <c r="H8">
        <f t="shared" si="5"/>
        <v>-4.8994422392339754E-2</v>
      </c>
      <c r="I8">
        <f t="shared" si="2"/>
        <v>0</v>
      </c>
      <c r="J8">
        <f t="shared" si="7"/>
        <v>2</v>
      </c>
      <c r="K8">
        <v>-1.17902283594012E-2</v>
      </c>
      <c r="L8">
        <v>-6.4376210793853196E-3</v>
      </c>
      <c r="M8">
        <v>-7.1021761745209896E-4</v>
      </c>
      <c r="N8">
        <v>-6.8369889631866897E-3</v>
      </c>
      <c r="O8">
        <f t="shared" si="8"/>
        <v>-3.6383304744958553E-3</v>
      </c>
      <c r="T8" s="2"/>
      <c r="X8" s="3"/>
    </row>
    <row r="9" spans="1:24" x14ac:dyDescent="0.35">
      <c r="A9" t="s">
        <v>9</v>
      </c>
      <c r="B9">
        <v>2013</v>
      </c>
      <c r="C9">
        <v>704072</v>
      </c>
      <c r="D9" s="8">
        <v>0.94798320531845104</v>
      </c>
      <c r="E9" s="8">
        <v>8.9999999999999993E-3</v>
      </c>
      <c r="F9">
        <v>2.0785540857334199</v>
      </c>
      <c r="G9">
        <f t="shared" si="1"/>
        <v>2.1926064450004494</v>
      </c>
      <c r="H9">
        <f t="shared" si="5"/>
        <v>-4.1785242689718061E-5</v>
      </c>
      <c r="I9">
        <f t="shared" si="2"/>
        <v>0</v>
      </c>
      <c r="J9">
        <f t="shared" si="7"/>
        <v>2</v>
      </c>
      <c r="K9">
        <v>-7.1021761745209896E-4</v>
      </c>
      <c r="L9">
        <v>-6.8369889631866897E-3</v>
      </c>
      <c r="M9">
        <v>1.07520882189274E-2</v>
      </c>
      <c r="N9">
        <v>8.7440647184848994E-3</v>
      </c>
      <c r="O9">
        <f t="shared" si="8"/>
        <v>-3.8332281634211353E-3</v>
      </c>
      <c r="T9" s="2"/>
      <c r="V9" s="3"/>
      <c r="W9" s="3"/>
    </row>
    <row r="10" spans="1:24" x14ac:dyDescent="0.35">
      <c r="A10" t="s">
        <v>9</v>
      </c>
      <c r="B10">
        <v>2014</v>
      </c>
      <c r="C10">
        <v>705015.5</v>
      </c>
      <c r="D10" s="8">
        <v>0.95023941993713401</v>
      </c>
      <c r="E10" s="8">
        <v>0</v>
      </c>
      <c r="F10">
        <v>2.0912610043913502</v>
      </c>
      <c r="G10">
        <f t="shared" si="1"/>
        <v>2.2007727321286081</v>
      </c>
      <c r="H10">
        <f t="shared" si="5"/>
        <v>3.7244655313219965E-3</v>
      </c>
      <c r="I10">
        <f t="shared" si="2"/>
        <v>1</v>
      </c>
      <c r="J10">
        <f t="shared" si="7"/>
        <v>2</v>
      </c>
      <c r="K10">
        <v>1.07520882189274E-2</v>
      </c>
      <c r="L10">
        <v>8.7440647184848994E-3</v>
      </c>
      <c r="M10">
        <v>2.98050010353327E-2</v>
      </c>
      <c r="N10">
        <v>-4.5845098793499602E-4</v>
      </c>
      <c r="O10">
        <f t="shared" si="8"/>
        <v>-6.4186079427599758E-3</v>
      </c>
      <c r="V10" s="3"/>
      <c r="W10" s="3"/>
    </row>
    <row r="11" spans="1:24" x14ac:dyDescent="0.35">
      <c r="A11" t="s">
        <v>9</v>
      </c>
      <c r="B11">
        <v>2015</v>
      </c>
      <c r="C11">
        <v>704402</v>
      </c>
      <c r="D11" s="8">
        <v>0.94737851619720503</v>
      </c>
      <c r="E11" s="8">
        <v>1.2999999999999999E-2</v>
      </c>
      <c r="F11">
        <v>2.15511194758981</v>
      </c>
      <c r="G11">
        <f t="shared" si="1"/>
        <v>2.2748161487136835</v>
      </c>
      <c r="H11">
        <f t="shared" si="5"/>
        <v>3.3644281167306112E-2</v>
      </c>
      <c r="I11">
        <f t="shared" si="2"/>
        <v>1</v>
      </c>
      <c r="J11">
        <f t="shared" si="7"/>
        <v>3</v>
      </c>
      <c r="K11">
        <v>2.98050010353327E-2</v>
      </c>
      <c r="L11">
        <v>-4.5845098793499602E-4</v>
      </c>
      <c r="M11">
        <v>-2.2962941974399999E-4</v>
      </c>
      <c r="N11">
        <v>-1.33831864222884E-2</v>
      </c>
      <c r="O11">
        <f t="shared" si="8"/>
        <v>-6.6494463011622347E-3</v>
      </c>
    </row>
    <row r="12" spans="1:24" x14ac:dyDescent="0.35">
      <c r="A12" t="s">
        <v>9</v>
      </c>
      <c r="B12">
        <v>2016</v>
      </c>
      <c r="C12">
        <v>703921.8125</v>
      </c>
      <c r="D12" s="8">
        <v>0.94821792840957597</v>
      </c>
      <c r="E12" s="8">
        <v>1.4999999999999999E-2</v>
      </c>
      <c r="F12">
        <v>2.0728131467327802</v>
      </c>
      <c r="G12">
        <f t="shared" si="1"/>
        <v>2.1860092333515162</v>
      </c>
      <c r="H12">
        <f t="shared" si="5"/>
        <v>-3.9039161653738108E-2</v>
      </c>
      <c r="I12">
        <f t="shared" si="2"/>
        <v>0</v>
      </c>
      <c r="J12">
        <f t="shared" si="7"/>
        <v>2</v>
      </c>
      <c r="K12">
        <v>-2.2962941974399999E-4</v>
      </c>
      <c r="L12">
        <v>-1.33831864222884E-2</v>
      </c>
      <c r="M12">
        <v>-3.4675172567368E-3</v>
      </c>
      <c r="N12">
        <v>-6.2570907175540898E-3</v>
      </c>
      <c r="O12">
        <f t="shared" si="8"/>
        <v>-6.5825089812278732E-3</v>
      </c>
      <c r="T12" s="2"/>
      <c r="X12" s="3"/>
    </row>
    <row r="13" spans="1:24" x14ac:dyDescent="0.35">
      <c r="A13" t="s">
        <v>9</v>
      </c>
      <c r="B13">
        <v>2017</v>
      </c>
      <c r="C13">
        <v>704079</v>
      </c>
      <c r="D13" s="8">
        <v>0.93643981218338002</v>
      </c>
      <c r="E13" s="8">
        <v>5.0000000000000001E-3</v>
      </c>
      <c r="F13">
        <v>2.0937691309986999</v>
      </c>
      <c r="G13">
        <f t="shared" si="1"/>
        <v>2.2358822251660992</v>
      </c>
      <c r="H13">
        <f t="shared" si="5"/>
        <v>2.2814629990432156E-2</v>
      </c>
      <c r="I13">
        <f t="shared" si="2"/>
        <v>1</v>
      </c>
      <c r="J13">
        <f t="shared" si="7"/>
        <v>3</v>
      </c>
      <c r="K13">
        <v>-3.4675172567368E-3</v>
      </c>
      <c r="L13">
        <v>-6.2570907175540898E-3</v>
      </c>
      <c r="M13">
        <v>1.3235455602406999E-3</v>
      </c>
      <c r="N13">
        <v>-7.8114774078130904E-3</v>
      </c>
      <c r="O13">
        <f t="shared" si="8"/>
        <v>-5.5843017995357343E-3</v>
      </c>
      <c r="T13" s="2"/>
      <c r="X13" s="3"/>
    </row>
    <row r="14" spans="1:24" x14ac:dyDescent="0.35">
      <c r="A14" t="s">
        <v>9</v>
      </c>
      <c r="B14">
        <v>2018</v>
      </c>
      <c r="C14">
        <v>703677.6875</v>
      </c>
      <c r="D14" s="8">
        <v>0.93597328662872303</v>
      </c>
      <c r="E14" s="8">
        <v>1E-3</v>
      </c>
      <c r="F14">
        <v>2.0485129341706099</v>
      </c>
      <c r="G14">
        <f t="shared" si="1"/>
        <v>2.1886446583845753</v>
      </c>
      <c r="H14">
        <f t="shared" si="5"/>
        <v>-2.1127037126481341E-2</v>
      </c>
      <c r="I14">
        <f t="shared" si="2"/>
        <v>0</v>
      </c>
      <c r="J14">
        <f t="shared" si="7"/>
        <v>3</v>
      </c>
      <c r="K14">
        <v>1.3235455602406999E-3</v>
      </c>
      <c r="L14">
        <v>-7.8114774078130904E-3</v>
      </c>
      <c r="M14">
        <v>1.36183604300022E-2</v>
      </c>
      <c r="N14">
        <v>-4.1828341782092996E-3</v>
      </c>
      <c r="O14">
        <f t="shared" si="8"/>
        <v>-6.614979356527155E-4</v>
      </c>
      <c r="T14" s="2"/>
      <c r="V14" s="3"/>
      <c r="W14" s="3"/>
    </row>
    <row r="15" spans="1:24" x14ac:dyDescent="0.35">
      <c r="A15" t="s">
        <v>9</v>
      </c>
      <c r="B15">
        <v>2019</v>
      </c>
      <c r="C15">
        <v>702894.25</v>
      </c>
      <c r="D15" s="8">
        <v>0.93692421913146995</v>
      </c>
      <c r="E15" s="8">
        <v>6.0000000000000001E-3</v>
      </c>
      <c r="F15">
        <v>2.0728111861584901</v>
      </c>
      <c r="G15">
        <f t="shared" si="1"/>
        <v>2.2123573538103103</v>
      </c>
      <c r="H15">
        <f t="shared" si="5"/>
        <v>1.0834419984483423E-2</v>
      </c>
      <c r="I15">
        <f t="shared" si="2"/>
        <v>1</v>
      </c>
      <c r="J15" t="str">
        <f t="shared" si="7"/>
        <v/>
      </c>
      <c r="K15">
        <v>1.36183604300022E-2</v>
      </c>
      <c r="L15">
        <v>-4.1828341782092996E-3</v>
      </c>
      <c r="M15">
        <v>1.7236547648906701E-2</v>
      </c>
      <c r="N15">
        <v>-1.6126427799462899E-3</v>
      </c>
      <c r="O15">
        <f t="shared" si="8"/>
        <v>9.6100140362980206E-4</v>
      </c>
    </row>
    <row r="16" spans="1:24" x14ac:dyDescent="0.35">
      <c r="A16" t="s">
        <v>9</v>
      </c>
      <c r="B16">
        <v>2020</v>
      </c>
      <c r="C16">
        <v>700395.1875</v>
      </c>
      <c r="D16" s="8">
        <v>0.94907408952713002</v>
      </c>
      <c r="E16" s="8">
        <v>7.0000000000000001E-3</v>
      </c>
      <c r="F16">
        <v>1.9864776926046399</v>
      </c>
      <c r="G16">
        <f t="shared" si="1"/>
        <v>2.0930691444694158</v>
      </c>
      <c r="H16">
        <f t="shared" si="5"/>
        <v>-5.3919051158460518E-2</v>
      </c>
      <c r="I16">
        <f t="shared" si="2"/>
        <v>0</v>
      </c>
      <c r="J16" t="str">
        <f t="shared" si="7"/>
        <v/>
      </c>
      <c r="K16">
        <v>1.7236547648906701E-2</v>
      </c>
      <c r="L16">
        <v>-1.6126427799462899E-3</v>
      </c>
      <c r="M16">
        <v>3.0541112899780301E-2</v>
      </c>
      <c r="N16">
        <v>-1.30484998226166E-2</v>
      </c>
      <c r="O16">
        <f t="shared" si="8"/>
        <v>1.1437974870205073E-3</v>
      </c>
      <c r="T16" s="2"/>
      <c r="X16" s="3"/>
    </row>
    <row r="17" spans="1:24" x14ac:dyDescent="0.35">
      <c r="A17" t="s">
        <v>9</v>
      </c>
      <c r="B17">
        <v>2021</v>
      </c>
      <c r="C17">
        <v>696923.1875</v>
      </c>
      <c r="D17" s="8">
        <v>0.96084487438201904</v>
      </c>
      <c r="E17" s="8">
        <v>1.9E-2</v>
      </c>
      <c r="F17">
        <v>1.9446602458362101</v>
      </c>
      <c r="G17">
        <f t="shared" si="1"/>
        <v>2.0239065614904237</v>
      </c>
      <c r="H17">
        <f t="shared" si="5"/>
        <v>-3.3043620733573364E-2</v>
      </c>
      <c r="I17">
        <f t="shared" si="2"/>
        <v>0</v>
      </c>
      <c r="J17" t="str">
        <f t="shared" si="7"/>
        <v/>
      </c>
      <c r="K17">
        <v>3.0541112899780301E-2</v>
      </c>
      <c r="L17">
        <v>-1.30484998226166E-2</v>
      </c>
      <c r="M17">
        <v>-3.33695615828037E-2</v>
      </c>
      <c r="N17">
        <v>-1.2660548090933899E-3</v>
      </c>
      <c r="O17">
        <f t="shared" si="8"/>
        <v>3.8436174392700376E-3</v>
      </c>
      <c r="T17" s="2"/>
      <c r="X17" s="3"/>
    </row>
    <row r="18" spans="1:24" x14ac:dyDescent="0.35">
      <c r="A18" t="s">
        <v>9</v>
      </c>
      <c r="B18">
        <v>2022</v>
      </c>
      <c r="C18">
        <v>698776.625</v>
      </c>
      <c r="D18" s="8">
        <v>0.93964922428131104</v>
      </c>
      <c r="E18" s="8">
        <v>1.2E-2</v>
      </c>
      <c r="F18">
        <v>2.0379026959490698</v>
      </c>
      <c r="G18">
        <f t="shared" si="1"/>
        <v>2.1687909097224614</v>
      </c>
      <c r="H18">
        <f t="shared" si="5"/>
        <v>7.1586480813295772E-2</v>
      </c>
      <c r="I18">
        <f t="shared" si="2"/>
        <v>1</v>
      </c>
      <c r="J18" t="str">
        <f t="shared" si="7"/>
        <v/>
      </c>
      <c r="K18">
        <v>-3.33695615828037E-2</v>
      </c>
      <c r="L18">
        <v>-7.873512804508E-4</v>
      </c>
      <c r="M18">
        <v>-2.7563858628273001E-3</v>
      </c>
      <c r="N18">
        <v>1.6802541911601999E-2</v>
      </c>
      <c r="O18">
        <f t="shared" si="8"/>
        <v>6.2531738076358947E-3</v>
      </c>
      <c r="V18" s="3"/>
      <c r="W18" s="3"/>
    </row>
    <row r="19" spans="1:24" x14ac:dyDescent="0.35">
      <c r="A19" t="s">
        <v>10</v>
      </c>
      <c r="B19">
        <v>2006</v>
      </c>
      <c r="C19">
        <v>860992.1875</v>
      </c>
      <c r="D19" s="8">
        <v>0.93429905176162698</v>
      </c>
      <c r="E19" s="8">
        <v>2.5000000000000001E-2</v>
      </c>
      <c r="F19">
        <v>2.0274731937154602</v>
      </c>
      <c r="G19">
        <f t="shared" si="1"/>
        <v>2.1700473631998731</v>
      </c>
      <c r="H19">
        <f t="shared" si="5"/>
        <v>5.7933361477080503E-4</v>
      </c>
      <c r="I19">
        <f t="shared" si="2"/>
        <v>1</v>
      </c>
      <c r="J19" t="str">
        <f t="shared" si="7"/>
        <v/>
      </c>
      <c r="K19">
        <v>-2.7314111292361999E-3</v>
      </c>
      <c r="L19">
        <v>-9.0944506227969898E-3</v>
      </c>
      <c r="M19">
        <v>3.0079065859317899E-3</v>
      </c>
      <c r="N19">
        <v>3.9296625182032897E-3</v>
      </c>
      <c r="O19" t="str">
        <f t="shared" si="8"/>
        <v/>
      </c>
    </row>
    <row r="20" spans="1:24" x14ac:dyDescent="0.35">
      <c r="A20" t="s">
        <v>10</v>
      </c>
      <c r="B20">
        <v>2007</v>
      </c>
      <c r="C20">
        <v>863865.8125</v>
      </c>
      <c r="D20" s="8">
        <v>0.93960303068161</v>
      </c>
      <c r="E20" s="8">
        <v>1.9E-2</v>
      </c>
      <c r="F20">
        <v>1.9634413798230601</v>
      </c>
      <c r="G20">
        <f t="shared" si="1"/>
        <v>2.0896499007657883</v>
      </c>
      <c r="H20">
        <f t="shared" si="5"/>
        <v>-3.7048713220495633E-2</v>
      </c>
      <c r="I20">
        <f t="shared" si="2"/>
        <v>0</v>
      </c>
      <c r="J20" t="str">
        <f t="shared" si="7"/>
        <v/>
      </c>
      <c r="K20">
        <v>3.0079065859317899E-3</v>
      </c>
      <c r="L20">
        <v>3.9296625182032897E-3</v>
      </c>
      <c r="M20">
        <v>-3.0209466639906101E-2</v>
      </c>
      <c r="N20">
        <v>-6.9866236299276298E-4</v>
      </c>
      <c r="O20" t="str">
        <f t="shared" si="8"/>
        <v/>
      </c>
    </row>
    <row r="21" spans="1:24" x14ac:dyDescent="0.35">
      <c r="A21" t="s">
        <v>10</v>
      </c>
      <c r="B21">
        <v>2008</v>
      </c>
      <c r="C21">
        <v>867088.625</v>
      </c>
      <c r="D21" s="8">
        <v>0.94313359260559104</v>
      </c>
      <c r="E21" s="8">
        <v>1.0999999999999999E-2</v>
      </c>
      <c r="F21">
        <v>1.9279959625619301</v>
      </c>
      <c r="G21">
        <f t="shared" si="1"/>
        <v>2.0442448213889444</v>
      </c>
      <c r="H21">
        <f t="shared" si="5"/>
        <v>-2.1728558147565469E-2</v>
      </c>
      <c r="I21">
        <f t="shared" si="2"/>
        <v>0</v>
      </c>
      <c r="J21" t="str">
        <f t="shared" si="7"/>
        <v/>
      </c>
      <c r="K21">
        <v>-3.0209466639906101E-2</v>
      </c>
      <c r="L21">
        <v>-6.9866236299276298E-4</v>
      </c>
      <c r="M21">
        <v>-2.61161017268896E-2</v>
      </c>
      <c r="N21">
        <v>4.5059993863104999E-4</v>
      </c>
      <c r="O21" t="str">
        <f t="shared" si="8"/>
        <v/>
      </c>
    </row>
    <row r="22" spans="1:24" x14ac:dyDescent="0.35">
      <c r="A22" t="s">
        <v>10</v>
      </c>
      <c r="B22">
        <v>2009</v>
      </c>
      <c r="C22">
        <v>869978.0625</v>
      </c>
      <c r="D22" s="8">
        <v>0.939372658729553</v>
      </c>
      <c r="E22" s="8">
        <v>0.01</v>
      </c>
      <c r="F22">
        <v>1.9835624570972701</v>
      </c>
      <c r="G22">
        <f t="shared" si="1"/>
        <v>2.1115820634804541</v>
      </c>
      <c r="H22">
        <f t="shared" si="5"/>
        <v>3.2939910810564355E-2</v>
      </c>
      <c r="I22">
        <f t="shared" si="2"/>
        <v>1</v>
      </c>
      <c r="J22" t="str">
        <f t="shared" si="7"/>
        <v/>
      </c>
      <c r="K22">
        <v>-2.61161017268896E-2</v>
      </c>
      <c r="L22">
        <v>4.5059993863104999E-4</v>
      </c>
      <c r="M22">
        <v>1.3216182738543E-3</v>
      </c>
      <c r="N22">
        <v>1.07817270327359E-2</v>
      </c>
      <c r="O22" t="str">
        <f t="shared" si="8"/>
        <v/>
      </c>
    </row>
    <row r="23" spans="1:24" x14ac:dyDescent="0.35">
      <c r="A23" t="s">
        <v>10</v>
      </c>
      <c r="B23">
        <v>2010</v>
      </c>
      <c r="C23">
        <v>872583.9375</v>
      </c>
      <c r="D23" s="8">
        <v>0.95149308443069502</v>
      </c>
      <c r="E23" s="8">
        <v>3.0000000000000001E-3</v>
      </c>
      <c r="F23">
        <v>1.9733375867829599</v>
      </c>
      <c r="G23">
        <f t="shared" si="1"/>
        <v>2.0739379182809965</v>
      </c>
      <c r="H23">
        <f t="shared" si="5"/>
        <v>-1.7827460201764511E-2</v>
      </c>
      <c r="I23">
        <f t="shared" si="2"/>
        <v>0</v>
      </c>
      <c r="J23">
        <f t="shared" si="7"/>
        <v>2</v>
      </c>
      <c r="K23">
        <v>1.3216182738543E-3</v>
      </c>
      <c r="L23">
        <v>1.07817270327359E-2</v>
      </c>
      <c r="M23">
        <v>-2.2714949555694999E-2</v>
      </c>
      <c r="N23">
        <v>-1.4311750419437599E-3</v>
      </c>
      <c r="O23">
        <f t="shared" si="8"/>
        <v>-5.9527982957661022E-3</v>
      </c>
    </row>
    <row r="24" spans="1:24" x14ac:dyDescent="0.35">
      <c r="A24" t="s">
        <v>10</v>
      </c>
      <c r="B24">
        <v>2011</v>
      </c>
      <c r="C24">
        <v>876306</v>
      </c>
      <c r="D24" s="8">
        <v>0.95166027545928999</v>
      </c>
      <c r="E24" s="8">
        <v>3.0000000000000001E-3</v>
      </c>
      <c r="F24">
        <v>2.0150215158795102</v>
      </c>
      <c r="G24">
        <f t="shared" si="1"/>
        <v>2.1173748320082195</v>
      </c>
      <c r="H24">
        <f t="shared" si="5"/>
        <v>2.0944172602440414E-2</v>
      </c>
      <c r="I24">
        <f t="shared" si="2"/>
        <v>1</v>
      </c>
      <c r="J24">
        <f t="shared" si="7"/>
        <v>2</v>
      </c>
      <c r="K24">
        <v>-2.2714949555694999E-2</v>
      </c>
      <c r="L24">
        <v>-1.4311750419437599E-3</v>
      </c>
      <c r="M24">
        <v>-1.33856128007173E-2</v>
      </c>
      <c r="N24">
        <v>-7.9474067315459494E-3</v>
      </c>
      <c r="O24">
        <f t="shared" si="8"/>
        <v>-5.1539968699216721E-3</v>
      </c>
    </row>
    <row r="25" spans="1:24" x14ac:dyDescent="0.35">
      <c r="A25" t="s">
        <v>10</v>
      </c>
      <c r="B25">
        <v>2012</v>
      </c>
      <c r="C25">
        <v>880506.5</v>
      </c>
      <c r="D25" s="8">
        <v>0.94888097047805797</v>
      </c>
      <c r="E25" s="8">
        <v>2.3E-2</v>
      </c>
      <c r="F25">
        <v>1.96791819860727</v>
      </c>
      <c r="G25">
        <f t="shared" si="1"/>
        <v>2.0739357831317964</v>
      </c>
      <c r="H25">
        <f t="shared" si="5"/>
        <v>-2.0515521493765676E-2</v>
      </c>
      <c r="I25">
        <f t="shared" si="2"/>
        <v>0</v>
      </c>
      <c r="J25">
        <f t="shared" si="7"/>
        <v>2</v>
      </c>
      <c r="K25">
        <v>-1.33856128007173E-2</v>
      </c>
      <c r="L25">
        <v>-8.03300552070145E-3</v>
      </c>
      <c r="M25">
        <v>3.3884648233650002E-4</v>
      </c>
      <c r="N25">
        <v>-5.7879248633980898E-3</v>
      </c>
      <c r="O25">
        <f t="shared" si="8"/>
        <v>-6.2901081517338225E-3</v>
      </c>
    </row>
    <row r="26" spans="1:24" x14ac:dyDescent="0.35">
      <c r="A26" t="s">
        <v>10</v>
      </c>
      <c r="B26">
        <v>2013</v>
      </c>
      <c r="C26">
        <v>884477.5</v>
      </c>
      <c r="D26" s="8">
        <v>0.94575697183608998</v>
      </c>
      <c r="E26" s="8">
        <v>1.7000000000000001E-2</v>
      </c>
      <c r="F26">
        <v>1.99757998798225</v>
      </c>
      <c r="G26">
        <f t="shared" si="1"/>
        <v>2.1121493655015344</v>
      </c>
      <c r="H26">
        <f t="shared" si="5"/>
        <v>1.8425634332820406E-2</v>
      </c>
      <c r="I26">
        <f t="shared" si="2"/>
        <v>1</v>
      </c>
      <c r="J26">
        <f t="shared" si="7"/>
        <v>3</v>
      </c>
      <c r="K26">
        <v>3.3884648233650002E-4</v>
      </c>
      <c r="L26">
        <v>-5.7879248633980898E-3</v>
      </c>
      <c r="M26">
        <v>-7.4254769682884202E-3</v>
      </c>
      <c r="N26">
        <v>-9.4335004687309196E-3</v>
      </c>
      <c r="O26">
        <f t="shared" si="8"/>
        <v>-7.4879899621009037E-3</v>
      </c>
    </row>
    <row r="27" spans="1:24" x14ac:dyDescent="0.35">
      <c r="A27" t="s">
        <v>10</v>
      </c>
      <c r="B27">
        <v>2014</v>
      </c>
      <c r="C27">
        <v>887621.5</v>
      </c>
      <c r="D27" s="8">
        <v>0.94400751590728804</v>
      </c>
      <c r="E27" s="8">
        <v>1.7999999999999999E-2</v>
      </c>
      <c r="F27">
        <v>1.9552098296528899</v>
      </c>
      <c r="G27">
        <f t="shared" si="1"/>
        <v>2.0711803631920587</v>
      </c>
      <c r="H27">
        <f t="shared" si="5"/>
        <v>-1.9396830062606618E-2</v>
      </c>
      <c r="I27">
        <f t="shared" si="2"/>
        <v>0</v>
      </c>
      <c r="J27">
        <f t="shared" si="7"/>
        <v>2</v>
      </c>
      <c r="K27">
        <v>-7.4254769682884202E-3</v>
      </c>
      <c r="L27">
        <v>-9.4335004687309196E-3</v>
      </c>
      <c r="M27">
        <v>2.5099467650055898E-2</v>
      </c>
      <c r="N27">
        <v>-5.1639843732117904E-3</v>
      </c>
      <c r="O27">
        <f t="shared" si="8"/>
        <v>-6.2930993735789394E-3</v>
      </c>
    </row>
    <row r="28" spans="1:24" x14ac:dyDescent="0.35">
      <c r="A28" t="s">
        <v>10</v>
      </c>
      <c r="B28">
        <v>2015</v>
      </c>
      <c r="C28">
        <v>890436.8125</v>
      </c>
      <c r="D28" s="8">
        <v>0.94814670085907005</v>
      </c>
      <c r="E28" s="8">
        <v>2.1999999999999999E-2</v>
      </c>
      <c r="F28">
        <v>1.87981637137419</v>
      </c>
      <c r="G28">
        <f t="shared" si="1"/>
        <v>1.9826218555324602</v>
      </c>
      <c r="H28">
        <f t="shared" si="5"/>
        <v>-4.275750641200271E-2</v>
      </c>
      <c r="I28">
        <f t="shared" si="2"/>
        <v>0</v>
      </c>
      <c r="J28">
        <f t="shared" si="7"/>
        <v>2</v>
      </c>
      <c r="K28">
        <v>2.5099467650055898E-2</v>
      </c>
      <c r="L28">
        <v>-5.1639843732117904E-3</v>
      </c>
      <c r="M28">
        <v>1.5716389089822799E-2</v>
      </c>
      <c r="N28">
        <v>2.5628320872783899E-3</v>
      </c>
      <c r="O28">
        <f t="shared" si="8"/>
        <v>-4.012145102024002E-3</v>
      </c>
    </row>
    <row r="29" spans="1:24" x14ac:dyDescent="0.35">
      <c r="A29" t="s">
        <v>10</v>
      </c>
      <c r="B29">
        <v>2016</v>
      </c>
      <c r="C29">
        <v>893670.125</v>
      </c>
      <c r="D29" s="8">
        <v>0.94744008779525801</v>
      </c>
      <c r="E29" s="8">
        <v>3.7999999999999999E-2</v>
      </c>
      <c r="F29">
        <v>2.02370476427956</v>
      </c>
      <c r="G29">
        <f t="shared" si="1"/>
        <v>2.1359712243006577</v>
      </c>
      <c r="H29">
        <f t="shared" si="5"/>
        <v>7.7346755933452194E-2</v>
      </c>
      <c r="I29">
        <f t="shared" si="2"/>
        <v>1</v>
      </c>
      <c r="J29">
        <f t="shared" si="7"/>
        <v>2</v>
      </c>
      <c r="K29">
        <v>1.5716389089822799E-2</v>
      </c>
      <c r="L29">
        <v>2.5628320872783899E-3</v>
      </c>
      <c r="M29">
        <v>-1.0838389679789499E-2</v>
      </c>
      <c r="N29">
        <v>-1.36279631406067E-2</v>
      </c>
      <c r="O29">
        <f t="shared" si="8"/>
        <v>-1.3244138658046661E-2</v>
      </c>
    </row>
    <row r="30" spans="1:24" x14ac:dyDescent="0.35">
      <c r="A30" t="s">
        <v>10</v>
      </c>
      <c r="B30">
        <v>2017</v>
      </c>
      <c r="C30">
        <v>897462</v>
      </c>
      <c r="D30" s="8">
        <v>0.93407899141311601</v>
      </c>
      <c r="E30" s="8">
        <v>4.2000000000000003E-2</v>
      </c>
      <c r="F30">
        <v>1.9472529292427401</v>
      </c>
      <c r="G30">
        <f t="shared" si="1"/>
        <v>2.0846769354022721</v>
      </c>
      <c r="H30">
        <f t="shared" si="5"/>
        <v>-2.4014503713728597E-2</v>
      </c>
      <c r="I30">
        <f t="shared" si="2"/>
        <v>0</v>
      </c>
      <c r="J30">
        <f t="shared" si="7"/>
        <v>2</v>
      </c>
      <c r="K30">
        <v>-1.0838389679789499E-2</v>
      </c>
      <c r="L30">
        <v>-1.36279631406067E-2</v>
      </c>
      <c r="M30">
        <v>-2.6423109471798E-3</v>
      </c>
      <c r="N30">
        <v>-1.1777333915233499E-2</v>
      </c>
      <c r="O30">
        <f t="shared" si="8"/>
        <v>-6.7563910037278796E-3</v>
      </c>
    </row>
    <row r="31" spans="1:24" x14ac:dyDescent="0.35">
      <c r="A31" t="s">
        <v>10</v>
      </c>
      <c r="B31">
        <v>2018</v>
      </c>
      <c r="C31">
        <v>898994.0625</v>
      </c>
      <c r="D31" s="8">
        <v>0.93087363243103005</v>
      </c>
      <c r="E31" s="8">
        <v>1.9E-2</v>
      </c>
      <c r="F31">
        <v>1.9596048490037901</v>
      </c>
      <c r="G31">
        <f t="shared" si="1"/>
        <v>2.105124455922303</v>
      </c>
      <c r="H31">
        <f t="shared" si="5"/>
        <v>9.8084840738572598E-3</v>
      </c>
      <c r="I31">
        <f t="shared" si="2"/>
        <v>1</v>
      </c>
      <c r="J31">
        <f t="shared" si="7"/>
        <v>2</v>
      </c>
      <c r="K31">
        <v>-2.6423109471798E-3</v>
      </c>
      <c r="L31">
        <v>-1.1777333915233499E-2</v>
      </c>
      <c r="M31">
        <v>1.43421470820904E-2</v>
      </c>
      <c r="N31">
        <v>-3.4590475261211001E-3</v>
      </c>
      <c r="O31">
        <f t="shared" si="8"/>
        <v>-2.3976314812898616E-3</v>
      </c>
    </row>
    <row r="32" spans="1:24" x14ac:dyDescent="0.35">
      <c r="A32" t="s">
        <v>10</v>
      </c>
      <c r="B32">
        <v>2019</v>
      </c>
      <c r="C32">
        <v>898669.375</v>
      </c>
      <c r="D32" s="8">
        <v>0.94777178764343295</v>
      </c>
      <c r="E32" s="8">
        <v>1.2E-2</v>
      </c>
      <c r="F32">
        <v>2.0402850483059498</v>
      </c>
      <c r="G32">
        <f t="shared" si="1"/>
        <v>2.1527176424811856</v>
      </c>
      <c r="H32">
        <f t="shared" si="5"/>
        <v>2.2608253124887456E-2</v>
      </c>
      <c r="I32">
        <f t="shared" si="2"/>
        <v>1</v>
      </c>
      <c r="J32" t="str">
        <f t="shared" si="7"/>
        <v/>
      </c>
      <c r="K32">
        <v>1.43421470820904E-2</v>
      </c>
      <c r="L32">
        <v>-3.4590475261211001E-3</v>
      </c>
      <c r="M32">
        <v>2.5089977413415902E-2</v>
      </c>
      <c r="N32">
        <v>6.2407869845628999E-3</v>
      </c>
      <c r="O32">
        <f t="shared" si="8"/>
        <v>1.2849513441323955E-4</v>
      </c>
    </row>
    <row r="33" spans="1:15" x14ac:dyDescent="0.35">
      <c r="A33" t="s">
        <v>10</v>
      </c>
      <c r="B33">
        <v>2020</v>
      </c>
      <c r="C33">
        <v>901194.375</v>
      </c>
      <c r="D33" s="8">
        <v>0.95633792877197299</v>
      </c>
      <c r="E33" s="8">
        <v>3.5000000000000003E-2</v>
      </c>
      <c r="F33">
        <v>1.7851374735627701</v>
      </c>
      <c r="G33">
        <f t="shared" si="1"/>
        <v>1.8666387893399281</v>
      </c>
      <c r="H33">
        <f t="shared" si="5"/>
        <v>-0.13289195363843809</v>
      </c>
      <c r="I33">
        <f t="shared" si="2"/>
        <v>0</v>
      </c>
      <c r="J33" t="str">
        <f t="shared" si="7"/>
        <v/>
      </c>
      <c r="K33">
        <v>2.5089977413415902E-2</v>
      </c>
      <c r="L33">
        <v>6.2407869845628999E-3</v>
      </c>
      <c r="M33" s="1">
        <v>-7.5229704379967096E-6</v>
      </c>
      <c r="N33">
        <v>-4.3597135692834903E-2</v>
      </c>
      <c r="O33">
        <f t="shared" si="8"/>
        <v>3.5738544538615921E-4</v>
      </c>
    </row>
    <row r="34" spans="1:15" x14ac:dyDescent="0.35">
      <c r="A34" t="s">
        <v>10</v>
      </c>
      <c r="B34">
        <v>2021</v>
      </c>
      <c r="C34">
        <v>905020.8125</v>
      </c>
      <c r="D34" s="8">
        <v>0.97100657224655196</v>
      </c>
      <c r="E34" s="8">
        <v>1.4E-2</v>
      </c>
      <c r="F34">
        <v>1.9133659694407299</v>
      </c>
      <c r="G34">
        <f t="shared" si="1"/>
        <v>1.9704974447432473</v>
      </c>
      <c r="H34">
        <f t="shared" si="5"/>
        <v>5.5639396329080437E-2</v>
      </c>
      <c r="I34">
        <f t="shared" si="2"/>
        <v>1</v>
      </c>
      <c r="J34" t="str">
        <f t="shared" si="7"/>
        <v/>
      </c>
      <c r="K34" s="1">
        <v>-7.5229704379967096E-6</v>
      </c>
      <c r="L34">
        <v>-4.3597135692834903E-2</v>
      </c>
      <c r="M34">
        <v>-1.3292731642723E-2</v>
      </c>
      <c r="N34">
        <v>1.8810775130987199E-2</v>
      </c>
      <c r="O34">
        <f t="shared" si="8"/>
        <v>9.8178670741617697E-3</v>
      </c>
    </row>
    <row r="35" spans="1:15" x14ac:dyDescent="0.35">
      <c r="A35" t="s">
        <v>10</v>
      </c>
      <c r="B35">
        <v>2022</v>
      </c>
      <c r="C35">
        <v>904804</v>
      </c>
      <c r="D35" s="8">
        <v>0.95240795612335205</v>
      </c>
      <c r="E35" s="8">
        <v>1.9E-2</v>
      </c>
      <c r="F35">
        <v>1.84166253963795</v>
      </c>
      <c r="G35">
        <f t="shared" si="1"/>
        <v>1.9336908388860889</v>
      </c>
      <c r="H35">
        <f t="shared" si="5"/>
        <v>-1.8678839678451964E-2</v>
      </c>
      <c r="I35">
        <f t="shared" si="2"/>
        <v>0</v>
      </c>
      <c r="J35" t="str">
        <f t="shared" si="7"/>
        <v/>
      </c>
      <c r="K35">
        <v>-1.3292731642723E-2</v>
      </c>
      <c r="L35">
        <v>1.9289478659629801E-2</v>
      </c>
      <c r="M35">
        <v>-9.5424640774727006E-3</v>
      </c>
      <c r="N35">
        <v>1.00164636969566E-2</v>
      </c>
      <c r="O35">
        <f t="shared" si="8"/>
        <v>6.1300981324166007E-3</v>
      </c>
    </row>
    <row r="36" spans="1:15" x14ac:dyDescent="0.35">
      <c r="A36" t="s">
        <v>11</v>
      </c>
      <c r="B36">
        <v>2006</v>
      </c>
      <c r="C36">
        <v>835802.1875</v>
      </c>
      <c r="D36" s="8">
        <v>0.94656306505203203</v>
      </c>
      <c r="E36" s="8">
        <v>8.9999999999999993E-3</v>
      </c>
      <c r="F36">
        <v>2.1618045721221901</v>
      </c>
      <c r="G36">
        <f t="shared" si="1"/>
        <v>2.2838463193187839</v>
      </c>
      <c r="H36">
        <f t="shared" si="5"/>
        <v>0.18108141870000449</v>
      </c>
      <c r="I36">
        <f t="shared" si="2"/>
        <v>1</v>
      </c>
      <c r="J36" t="str">
        <f t="shared" si="7"/>
        <v/>
      </c>
      <c r="K36">
        <v>4.6338379681109898E-3</v>
      </c>
      <c r="L36">
        <v>-1.7292015254498001E-3</v>
      </c>
      <c r="M36">
        <v>8.2498296201228994E-3</v>
      </c>
      <c r="N36">
        <v>9.1715855523944005E-3</v>
      </c>
      <c r="O36" t="str">
        <f t="shared" si="8"/>
        <v/>
      </c>
    </row>
    <row r="37" spans="1:15" x14ac:dyDescent="0.35">
      <c r="A37" t="s">
        <v>11</v>
      </c>
      <c r="B37">
        <v>2007</v>
      </c>
      <c r="C37">
        <v>853070.9375</v>
      </c>
      <c r="D37" s="8">
        <v>0.93670475482940696</v>
      </c>
      <c r="E37" s="8">
        <v>6.0000000000000001E-3</v>
      </c>
      <c r="F37">
        <v>2.2291158918810399</v>
      </c>
      <c r="G37">
        <f t="shared" si="1"/>
        <v>2.3797422617834445</v>
      </c>
      <c r="H37">
        <f t="shared" si="5"/>
        <v>4.1988789549230354E-2</v>
      </c>
      <c r="I37">
        <f t="shared" si="2"/>
        <v>1</v>
      </c>
      <c r="J37" t="str">
        <f t="shared" si="7"/>
        <v/>
      </c>
      <c r="K37">
        <v>8.2498296201228994E-3</v>
      </c>
      <c r="L37">
        <v>9.1715855523944005E-3</v>
      </c>
      <c r="M37">
        <v>-2.2125565737485899E-2</v>
      </c>
      <c r="N37">
        <v>7.3852385394274998E-3</v>
      </c>
      <c r="O37" t="str">
        <f t="shared" si="8"/>
        <v/>
      </c>
    </row>
    <row r="38" spans="1:15" x14ac:dyDescent="0.35">
      <c r="A38" t="s">
        <v>11</v>
      </c>
      <c r="B38">
        <v>2008</v>
      </c>
      <c r="C38">
        <v>866686</v>
      </c>
      <c r="D38" s="8">
        <v>0.930286824703217</v>
      </c>
      <c r="E38" s="8">
        <v>1.7000000000000001E-2</v>
      </c>
      <c r="F38">
        <v>2.17654906893857</v>
      </c>
      <c r="G38">
        <f t="shared" si="1"/>
        <v>2.3396537617663666</v>
      </c>
      <c r="H38">
        <f t="shared" si="5"/>
        <v>-1.6845731851244494E-2</v>
      </c>
      <c r="I38">
        <f t="shared" si="2"/>
        <v>0</v>
      </c>
      <c r="J38" t="str">
        <f t="shared" si="7"/>
        <v/>
      </c>
      <c r="K38">
        <v>-2.2125565737485899E-2</v>
      </c>
      <c r="L38">
        <v>7.3852385394274998E-3</v>
      </c>
      <c r="M38">
        <v>-2.2861429214477501E-2</v>
      </c>
      <c r="N38">
        <v>3.7052724510431498E-3</v>
      </c>
      <c r="O38" t="str">
        <f t="shared" si="8"/>
        <v/>
      </c>
    </row>
    <row r="39" spans="1:15" x14ac:dyDescent="0.35">
      <c r="A39" t="s">
        <v>11</v>
      </c>
      <c r="B39">
        <v>2009</v>
      </c>
      <c r="C39">
        <v>879749.5</v>
      </c>
      <c r="D39" s="8">
        <v>0.92638796567916903</v>
      </c>
      <c r="E39" s="8">
        <v>1.0999999999999999E-2</v>
      </c>
      <c r="F39">
        <v>2.3428842540048702</v>
      </c>
      <c r="G39">
        <f t="shared" si="1"/>
        <v>2.5290529894645335</v>
      </c>
      <c r="H39">
        <f t="shared" si="5"/>
        <v>8.0951818937164521E-2</v>
      </c>
      <c r="I39">
        <f t="shared" si="2"/>
        <v>1</v>
      </c>
      <c r="J39" t="str">
        <f t="shared" si="7"/>
        <v/>
      </c>
      <c r="K39">
        <v>-2.2861429214477501E-2</v>
      </c>
      <c r="L39">
        <v>3.7052724510431498E-3</v>
      </c>
      <c r="M39">
        <v>-9.0881783366203294E-3</v>
      </c>
      <c r="N39">
        <v>3.7193042226135302E-4</v>
      </c>
      <c r="O39" t="str">
        <f t="shared" si="8"/>
        <v/>
      </c>
    </row>
    <row r="40" spans="1:15" x14ac:dyDescent="0.35">
      <c r="A40" t="s">
        <v>11</v>
      </c>
      <c r="B40">
        <v>2010</v>
      </c>
      <c r="C40">
        <v>891441</v>
      </c>
      <c r="D40" s="8">
        <v>0.93516314029693604</v>
      </c>
      <c r="E40" s="8">
        <v>1E-3</v>
      </c>
      <c r="F40">
        <v>2.32806849606466</v>
      </c>
      <c r="G40">
        <f t="shared" si="1"/>
        <v>2.4894784618280017</v>
      </c>
      <c r="H40">
        <f t="shared" si="5"/>
        <v>-1.5647963012791921E-2</v>
      </c>
      <c r="I40">
        <f t="shared" si="2"/>
        <v>0</v>
      </c>
      <c r="J40">
        <f t="shared" si="7"/>
        <v>3</v>
      </c>
      <c r="K40">
        <v>-9.0881783366203294E-3</v>
      </c>
      <c r="L40">
        <v>3.7193042226135302E-4</v>
      </c>
      <c r="M40">
        <v>-1.6327122569084199E-2</v>
      </c>
      <c r="N40">
        <v>4.9566519446671E-3</v>
      </c>
      <c r="O40">
        <f t="shared" si="8"/>
        <v>-5.6972763501107202E-3</v>
      </c>
    </row>
    <row r="41" spans="1:15" x14ac:dyDescent="0.35">
      <c r="A41" t="s">
        <v>11</v>
      </c>
      <c r="B41">
        <v>2011</v>
      </c>
      <c r="C41">
        <v>898098.8125</v>
      </c>
      <c r="D41" s="8">
        <v>0.92895358800888095</v>
      </c>
      <c r="E41" s="8">
        <v>5.0000000000000001E-3</v>
      </c>
      <c r="F41">
        <v>2.2069400739997902</v>
      </c>
      <c r="G41">
        <f t="shared" si="1"/>
        <v>2.3757269496424955</v>
      </c>
      <c r="H41">
        <f t="shared" si="5"/>
        <v>-4.5692908747633654E-2</v>
      </c>
      <c r="I41">
        <f t="shared" si="2"/>
        <v>0</v>
      </c>
      <c r="J41">
        <f t="shared" si="7"/>
        <v>2</v>
      </c>
      <c r="K41">
        <v>-1.6327122569084199E-2</v>
      </c>
      <c r="L41">
        <v>4.9566519446671E-3</v>
      </c>
      <c r="M41">
        <v>-8.2798854485153991E-3</v>
      </c>
      <c r="N41">
        <v>-2.841679379344E-3</v>
      </c>
      <c r="O41">
        <f t="shared" si="8"/>
        <v>-6.2958702445029806E-3</v>
      </c>
    </row>
    <row r="42" spans="1:15" x14ac:dyDescent="0.35">
      <c r="A42" t="s">
        <v>11</v>
      </c>
      <c r="B42">
        <v>2012</v>
      </c>
      <c r="C42">
        <v>901305.3125</v>
      </c>
      <c r="D42" s="8">
        <v>0.93224978446960405</v>
      </c>
      <c r="E42" s="8">
        <v>1E-3</v>
      </c>
      <c r="F42">
        <v>2.2895528462477599</v>
      </c>
      <c r="G42">
        <f t="shared" si="1"/>
        <v>2.4559435511700145</v>
      </c>
      <c r="H42">
        <f t="shared" si="5"/>
        <v>3.376507621786673E-2</v>
      </c>
      <c r="I42">
        <f t="shared" si="2"/>
        <v>1</v>
      </c>
      <c r="J42">
        <f t="shared" si="7"/>
        <v>2</v>
      </c>
      <c r="K42">
        <v>-8.2798854485153991E-3</v>
      </c>
      <c r="L42">
        <v>-2.9272781684994901E-3</v>
      </c>
      <c r="M42">
        <v>-1.08057422190904E-2</v>
      </c>
      <c r="N42">
        <v>-1.6932513564824999E-2</v>
      </c>
      <c r="O42">
        <f t="shared" si="8"/>
        <v>-5.5104769766330221E-3</v>
      </c>
    </row>
    <row r="43" spans="1:15" x14ac:dyDescent="0.35">
      <c r="A43" t="s">
        <v>11</v>
      </c>
      <c r="B43">
        <v>2013</v>
      </c>
      <c r="C43">
        <v>902727.8125</v>
      </c>
      <c r="D43" s="8">
        <v>0.92623287439346302</v>
      </c>
      <c r="E43" s="8">
        <v>0.02</v>
      </c>
      <c r="F43">
        <v>2.3370727866299799</v>
      </c>
      <c r="G43">
        <f t="shared" si="1"/>
        <v>2.5232021570821432</v>
      </c>
      <c r="H43">
        <f t="shared" si="5"/>
        <v>2.7386055302487167E-2</v>
      </c>
      <c r="I43">
        <f t="shared" si="2"/>
        <v>1</v>
      </c>
      <c r="J43">
        <f t="shared" si="7"/>
        <v>3</v>
      </c>
      <c r="K43">
        <v>-1.08057422190904E-2</v>
      </c>
      <c r="L43">
        <v>-1.6932513564824999E-2</v>
      </c>
      <c r="M43">
        <v>2.6855532228946899E-3</v>
      </c>
      <c r="N43">
        <v>6.7752972245219796E-4</v>
      </c>
      <c r="O43">
        <f t="shared" si="8"/>
        <v>-1.8067158758639824E-3</v>
      </c>
    </row>
    <row r="44" spans="1:15" x14ac:dyDescent="0.35">
      <c r="A44" t="s">
        <v>11</v>
      </c>
      <c r="B44">
        <v>2014</v>
      </c>
      <c r="C44">
        <v>902268.375</v>
      </c>
      <c r="D44" s="8">
        <v>0.93144822120666504</v>
      </c>
      <c r="E44" s="8">
        <v>6.0000000000000001E-3</v>
      </c>
      <c r="F44">
        <v>2.3098993260105498</v>
      </c>
      <c r="G44">
        <f t="shared" si="1"/>
        <v>2.4799009471703539</v>
      </c>
      <c r="H44">
        <f t="shared" si="5"/>
        <v>-1.716121309989016E-2</v>
      </c>
      <c r="I44">
        <f t="shared" si="2"/>
        <v>0</v>
      </c>
      <c r="J44">
        <f t="shared" si="7"/>
        <v>2</v>
      </c>
      <c r="K44">
        <v>2.6855532228946899E-3</v>
      </c>
      <c r="L44">
        <v>6.7752972245219796E-4</v>
      </c>
      <c r="M44">
        <v>1.5917081549763699E-2</v>
      </c>
      <c r="N44">
        <v>-1.43463704735039E-2</v>
      </c>
      <c r="O44">
        <f t="shared" si="8"/>
        <v>2.4501152336597774E-3</v>
      </c>
    </row>
    <row r="45" spans="1:15" x14ac:dyDescent="0.35">
      <c r="A45" t="s">
        <v>11</v>
      </c>
      <c r="B45">
        <v>2015</v>
      </c>
      <c r="C45">
        <v>903531.125</v>
      </c>
      <c r="D45" s="8">
        <v>0.93269896507263195</v>
      </c>
      <c r="E45" s="8">
        <v>2.5000000000000001E-2</v>
      </c>
      <c r="F45">
        <v>2.2854627204548001</v>
      </c>
      <c r="G45">
        <f t="shared" si="1"/>
        <v>2.4503755295545169</v>
      </c>
      <c r="H45">
        <f t="shared" si="5"/>
        <v>-1.1905885857871223E-2</v>
      </c>
      <c r="I45">
        <f t="shared" si="2"/>
        <v>0</v>
      </c>
      <c r="J45">
        <f t="shared" si="7"/>
        <v>2</v>
      </c>
      <c r="K45">
        <v>1.5917081549763699E-2</v>
      </c>
      <c r="L45">
        <v>-1.43463704735039E-2</v>
      </c>
      <c r="M45">
        <v>1.51172394752502E-2</v>
      </c>
      <c r="N45">
        <v>1.9636824727057899E-3</v>
      </c>
      <c r="O45">
        <f t="shared" si="8"/>
        <v>1.2148638814687737E-2</v>
      </c>
    </row>
    <row r="46" spans="1:15" x14ac:dyDescent="0.35">
      <c r="A46" t="s">
        <v>11</v>
      </c>
      <c r="B46">
        <v>2016</v>
      </c>
      <c r="C46">
        <v>906161.1875</v>
      </c>
      <c r="D46" s="8">
        <v>0.93307286500930797</v>
      </c>
      <c r="E46" s="8">
        <v>6.0000000000000001E-3</v>
      </c>
      <c r="F46">
        <v>2.3013386551482098</v>
      </c>
      <c r="G46">
        <f t="shared" si="1"/>
        <v>2.4664082961251399</v>
      </c>
      <c r="H46">
        <f t="shared" si="5"/>
        <v>6.5429834640642337E-3</v>
      </c>
      <c r="I46">
        <f t="shared" si="2"/>
        <v>1</v>
      </c>
      <c r="J46">
        <f t="shared" si="7"/>
        <v>3</v>
      </c>
      <c r="K46">
        <v>1.51172394752502E-2</v>
      </c>
      <c r="L46">
        <v>1.9636824727057899E-3</v>
      </c>
      <c r="M46">
        <v>3.8748604208230899E-3</v>
      </c>
      <c r="N46">
        <v>1.0852869600058001E-3</v>
      </c>
      <c r="O46">
        <f t="shared" si="8"/>
        <v>2.1226284652948381E-2</v>
      </c>
    </row>
    <row r="47" spans="1:15" x14ac:dyDescent="0.35">
      <c r="A47" t="s">
        <v>11</v>
      </c>
      <c r="B47">
        <v>2017</v>
      </c>
      <c r="C47">
        <v>908417.75</v>
      </c>
      <c r="D47" s="8">
        <v>0.92878252267837502</v>
      </c>
      <c r="E47" s="8">
        <v>-2E-3</v>
      </c>
      <c r="F47">
        <v>1.9948204815981501</v>
      </c>
      <c r="G47">
        <f t="shared" si="1"/>
        <v>2.1477799515925322</v>
      </c>
      <c r="H47">
        <f t="shared" si="5"/>
        <v>-0.12918718487656322</v>
      </c>
      <c r="I47">
        <f t="shared" si="2"/>
        <v>0</v>
      </c>
      <c r="J47">
        <f t="shared" si="7"/>
        <v>2</v>
      </c>
      <c r="K47">
        <v>3.8748604208230899E-3</v>
      </c>
      <c r="L47">
        <v>1.0852869600058001E-3</v>
      </c>
      <c r="M47">
        <v>1.0721314907074E-2</v>
      </c>
      <c r="N47">
        <v>1.5862919390202E-3</v>
      </c>
      <c r="O47">
        <f t="shared" si="8"/>
        <v>2.6712499931454657E-2</v>
      </c>
    </row>
    <row r="48" spans="1:15" x14ac:dyDescent="0.35">
      <c r="A48" t="s">
        <v>11</v>
      </c>
      <c r="B48">
        <v>2018</v>
      </c>
      <c r="C48">
        <v>910651.8125</v>
      </c>
      <c r="D48" s="8">
        <v>0.93799877166748002</v>
      </c>
      <c r="E48" s="8">
        <v>7.0000000000000001E-3</v>
      </c>
      <c r="F48">
        <v>2.1146343395927398</v>
      </c>
      <c r="G48">
        <f t="shared" si="1"/>
        <v>2.2544105637084741</v>
      </c>
      <c r="H48">
        <f t="shared" si="5"/>
        <v>4.9646897968703696E-2</v>
      </c>
      <c r="I48">
        <f t="shared" si="2"/>
        <v>1</v>
      </c>
      <c r="J48">
        <f t="shared" si="7"/>
        <v>2</v>
      </c>
      <c r="K48">
        <v>1.0721314907074E-2</v>
      </c>
      <c r="L48">
        <v>1.5862919390202E-3</v>
      </c>
      <c r="M48">
        <v>3.9762879878282503E-2</v>
      </c>
      <c r="N48">
        <v>2.1961685270070998E-2</v>
      </c>
      <c r="O48">
        <f t="shared" si="8"/>
        <v>2.4977880716323841E-2</v>
      </c>
    </row>
    <row r="49" spans="1:15" x14ac:dyDescent="0.35">
      <c r="A49" t="s">
        <v>11</v>
      </c>
      <c r="B49">
        <v>2019</v>
      </c>
      <c r="C49">
        <v>914078.6875</v>
      </c>
      <c r="D49" s="8">
        <v>0.94230151176452603</v>
      </c>
      <c r="E49" s="8">
        <v>5.0000000000000001E-3</v>
      </c>
      <c r="F49">
        <v>2.2253856433584298</v>
      </c>
      <c r="G49">
        <f t="shared" si="1"/>
        <v>2.361649233896737</v>
      </c>
      <c r="H49">
        <f t="shared" si="5"/>
        <v>4.756838524206386E-2</v>
      </c>
      <c r="I49">
        <f t="shared" si="2"/>
        <v>1</v>
      </c>
      <c r="J49" t="str">
        <f t="shared" si="7"/>
        <v/>
      </c>
      <c r="K49">
        <v>3.9762879878282503E-2</v>
      </c>
      <c r="L49">
        <v>2.1961685270070998E-2</v>
      </c>
      <c r="M49">
        <v>5.2995437860488902E-2</v>
      </c>
      <c r="N49">
        <v>3.4146247431635898E-2</v>
      </c>
      <c r="O49">
        <f t="shared" si="8"/>
        <v>2.2881455533206457E-2</v>
      </c>
    </row>
    <row r="50" spans="1:15" x14ac:dyDescent="0.35">
      <c r="A50" t="s">
        <v>11</v>
      </c>
      <c r="B50">
        <v>2020</v>
      </c>
      <c r="C50">
        <v>918201.8125</v>
      </c>
      <c r="D50" s="8">
        <v>0.94807034730911299</v>
      </c>
      <c r="E50" s="8">
        <v>8.0000000000000002E-3</v>
      </c>
      <c r="F50">
        <v>1.89650663661622</v>
      </c>
      <c r="G50">
        <f t="shared" si="1"/>
        <v>2.0003859861233217</v>
      </c>
      <c r="H50">
        <f t="shared" si="5"/>
        <v>-0.15297074713221848</v>
      </c>
      <c r="I50">
        <f t="shared" si="2"/>
        <v>0</v>
      </c>
      <c r="J50" t="str">
        <f t="shared" si="7"/>
        <v/>
      </c>
      <c r="K50">
        <v>5.2995437860488902E-2</v>
      </c>
      <c r="L50">
        <v>3.4146247431635898E-2</v>
      </c>
      <c r="M50">
        <v>9.0941524386406E-2</v>
      </c>
      <c r="N50">
        <v>4.7351911664008997E-2</v>
      </c>
      <c r="O50">
        <f t="shared" si="8"/>
        <v>1.6020819265395388E-2</v>
      </c>
    </row>
    <row r="51" spans="1:15" x14ac:dyDescent="0.35">
      <c r="A51" t="s">
        <v>11</v>
      </c>
      <c r="B51">
        <v>2021</v>
      </c>
      <c r="C51">
        <v>919607.3125</v>
      </c>
      <c r="D51" s="8">
        <v>0.95190584659576405</v>
      </c>
      <c r="E51" s="8">
        <v>5.0000000000000001E-3</v>
      </c>
      <c r="F51">
        <v>2.1732418524871302</v>
      </c>
      <c r="G51">
        <f t="shared" si="1"/>
        <v>2.2830428663287936</v>
      </c>
      <c r="H51">
        <f t="shared" si="5"/>
        <v>0.14130116995732966</v>
      </c>
      <c r="I51">
        <f t="shared" si="2"/>
        <v>1</v>
      </c>
      <c r="J51" t="str">
        <f t="shared" si="7"/>
        <v/>
      </c>
      <c r="K51">
        <v>9.0941524386406E-2</v>
      </c>
      <c r="L51">
        <v>4.7351911664008997E-2</v>
      </c>
      <c r="M51">
        <v>-3.58714342117309E-3</v>
      </c>
      <c r="N51">
        <v>2.85163633525372E-2</v>
      </c>
      <c r="O51">
        <f t="shared" si="8"/>
        <v>6.8006665445864214E-3</v>
      </c>
    </row>
    <row r="52" spans="1:15" x14ac:dyDescent="0.35">
      <c r="A52" t="s">
        <v>11</v>
      </c>
      <c r="B52">
        <v>2022</v>
      </c>
      <c r="C52">
        <v>920852.625</v>
      </c>
      <c r="D52" s="8">
        <v>0.93772214651107799</v>
      </c>
      <c r="E52" s="8">
        <v>0</v>
      </c>
      <c r="F52">
        <v>1.951778583559</v>
      </c>
      <c r="G52">
        <f t="shared" si="1"/>
        <v>2.0814039540612921</v>
      </c>
      <c r="H52">
        <f t="shared" si="5"/>
        <v>-8.8320248051997119E-2</v>
      </c>
      <c r="I52">
        <f t="shared" si="2"/>
        <v>0</v>
      </c>
      <c r="J52" t="str">
        <f t="shared" si="7"/>
        <v/>
      </c>
      <c r="K52">
        <v>-3.58714342117309E-3</v>
      </c>
      <c r="L52">
        <v>2.8995066881179799E-2</v>
      </c>
      <c r="M52">
        <v>-2.6645731911063199E-2</v>
      </c>
      <c r="N52">
        <v>-7.0868041366338999E-3</v>
      </c>
      <c r="O52">
        <f t="shared" si="8"/>
        <v>3.1962725333868738E-4</v>
      </c>
    </row>
    <row r="53" spans="1:15" x14ac:dyDescent="0.35">
      <c r="A53" t="s">
        <v>12</v>
      </c>
      <c r="B53">
        <v>2006</v>
      </c>
      <c r="C53">
        <v>243130.296875</v>
      </c>
      <c r="D53" s="8">
        <v>0.90681856870651201</v>
      </c>
      <c r="E53" s="8">
        <v>2.7E-2</v>
      </c>
      <c r="F53">
        <v>2.3157292787944002</v>
      </c>
      <c r="G53">
        <f t="shared" si="1"/>
        <v>2.553685333216722</v>
      </c>
      <c r="H53">
        <f t="shared" si="5"/>
        <v>0.22690519936502551</v>
      </c>
      <c r="I53">
        <f t="shared" si="2"/>
        <v>1</v>
      </c>
      <c r="J53" t="str">
        <f t="shared" si="7"/>
        <v/>
      </c>
      <c r="K53">
        <v>5.0330251753329999E-3</v>
      </c>
      <c r="L53">
        <v>-1.3300143182277901E-3</v>
      </c>
      <c r="M53">
        <v>1.0557803422212599E-2</v>
      </c>
      <c r="N53">
        <v>1.14795593544841E-2</v>
      </c>
      <c r="O53" t="str">
        <f t="shared" si="8"/>
        <v/>
      </c>
    </row>
    <row r="54" spans="1:15" x14ac:dyDescent="0.35">
      <c r="A54" t="s">
        <v>12</v>
      </c>
      <c r="B54">
        <v>2007</v>
      </c>
      <c r="C54">
        <v>245068.890625</v>
      </c>
      <c r="D54" s="8">
        <v>0.91461479663848899</v>
      </c>
      <c r="E54" s="8">
        <v>2E-3</v>
      </c>
      <c r="F54">
        <v>2.24306803594351</v>
      </c>
      <c r="G54">
        <f t="shared" si="1"/>
        <v>2.452472936352577</v>
      </c>
      <c r="H54">
        <f t="shared" si="5"/>
        <v>-3.9633856038423398E-2</v>
      </c>
      <c r="I54">
        <f t="shared" si="2"/>
        <v>0</v>
      </c>
      <c r="J54" t="str">
        <f t="shared" si="7"/>
        <v/>
      </c>
      <c r="K54">
        <v>1.0557803422212599E-2</v>
      </c>
      <c r="L54">
        <v>1.14795593544841E-2</v>
      </c>
      <c r="M54">
        <v>-2.9667738184332802E-2</v>
      </c>
      <c r="N54">
        <v>-1.5693390741944299E-4</v>
      </c>
      <c r="O54" t="str">
        <f t="shared" si="8"/>
        <v/>
      </c>
    </row>
    <row r="55" spans="1:15" x14ac:dyDescent="0.35">
      <c r="A55" t="s">
        <v>12</v>
      </c>
      <c r="B55">
        <v>2008</v>
      </c>
      <c r="C55">
        <v>247197.296875</v>
      </c>
      <c r="D55" s="8">
        <v>0.90661990642547596</v>
      </c>
      <c r="E55" s="8">
        <v>7.0999999999999994E-2</v>
      </c>
      <c r="F55">
        <v>2.2353991666115398</v>
      </c>
      <c r="G55">
        <f t="shared" si="1"/>
        <v>2.4656409491658224</v>
      </c>
      <c r="H55">
        <f t="shared" si="5"/>
        <v>5.369279561889595E-3</v>
      </c>
      <c r="I55">
        <f t="shared" si="2"/>
        <v>1</v>
      </c>
      <c r="J55" t="str">
        <f t="shared" si="7"/>
        <v/>
      </c>
      <c r="K55">
        <v>-2.9667738184332802E-2</v>
      </c>
      <c r="L55">
        <v>-1.5693390741944299E-4</v>
      </c>
      <c r="M55">
        <v>-2.5315553605556498E-2</v>
      </c>
      <c r="N55">
        <v>1.2511480599641501E-3</v>
      </c>
      <c r="O55" t="str">
        <f t="shared" si="8"/>
        <v/>
      </c>
    </row>
    <row r="56" spans="1:15" x14ac:dyDescent="0.35">
      <c r="A56" t="s">
        <v>12</v>
      </c>
      <c r="B56">
        <v>2009</v>
      </c>
      <c r="C56">
        <v>250232.5</v>
      </c>
      <c r="D56" s="8">
        <v>0.90047258138656605</v>
      </c>
      <c r="E56" s="8">
        <v>1E-3</v>
      </c>
      <c r="F56">
        <v>2.3481941846085501</v>
      </c>
      <c r="G56">
        <f t="shared" si="1"/>
        <v>2.6077353526886435</v>
      </c>
      <c r="H56">
        <f t="shared" si="5"/>
        <v>5.762980354901015E-2</v>
      </c>
      <c r="I56">
        <f t="shared" si="2"/>
        <v>1</v>
      </c>
      <c r="J56" t="str">
        <f t="shared" si="7"/>
        <v/>
      </c>
      <c r="K56">
        <v>-2.5315553605556498E-2</v>
      </c>
      <c r="L56">
        <v>1.2511480599641501E-3</v>
      </c>
      <c r="M56">
        <v>-1.33489418625831E-2</v>
      </c>
      <c r="N56">
        <v>-3.8888331037014701E-3</v>
      </c>
      <c r="O56" t="str">
        <f t="shared" si="8"/>
        <v/>
      </c>
    </row>
    <row r="57" spans="1:15" x14ac:dyDescent="0.35">
      <c r="A57" t="s">
        <v>12</v>
      </c>
      <c r="B57">
        <v>2010</v>
      </c>
      <c r="C57">
        <v>253668.703125</v>
      </c>
      <c r="D57" s="8">
        <v>0.90407645702362105</v>
      </c>
      <c r="E57" s="8">
        <v>0</v>
      </c>
      <c r="F57">
        <v>2.24118909893255</v>
      </c>
      <c r="G57">
        <f t="shared" si="1"/>
        <v>2.4789818178773722</v>
      </c>
      <c r="H57">
        <f t="shared" si="5"/>
        <v>-4.937369686633386E-2</v>
      </c>
      <c r="I57">
        <f t="shared" si="2"/>
        <v>0</v>
      </c>
      <c r="J57">
        <f t="shared" si="7"/>
        <v>3</v>
      </c>
      <c r="K57">
        <v>-1.33489418625831E-2</v>
      </c>
      <c r="L57">
        <v>-3.8888331037014701E-3</v>
      </c>
      <c r="M57">
        <v>-1.9958800047635901E-2</v>
      </c>
      <c r="N57">
        <v>1.3249744661153E-3</v>
      </c>
      <c r="O57">
        <f t="shared" si="8"/>
        <v>-6.5901894588023422E-3</v>
      </c>
    </row>
    <row r="58" spans="1:15" x14ac:dyDescent="0.35">
      <c r="A58" t="s">
        <v>12</v>
      </c>
      <c r="B58">
        <v>2011</v>
      </c>
      <c r="C58">
        <v>256914.609375</v>
      </c>
      <c r="D58" s="8">
        <v>0.90391284227371205</v>
      </c>
      <c r="E58" s="8">
        <v>0</v>
      </c>
      <c r="F58">
        <v>2.2466944059177001</v>
      </c>
      <c r="G58">
        <f t="shared" si="1"/>
        <v>2.4855210600463877</v>
      </c>
      <c r="H58">
        <f t="shared" si="5"/>
        <v>2.637874195711154E-3</v>
      </c>
      <c r="I58">
        <f t="shared" si="2"/>
        <v>1</v>
      </c>
      <c r="J58">
        <f t="shared" si="7"/>
        <v>3</v>
      </c>
      <c r="K58">
        <v>-1.9958800047635901E-2</v>
      </c>
      <c r="L58">
        <v>1.3249744661153E-3</v>
      </c>
      <c r="M58">
        <v>-4.3111893385649001E-3</v>
      </c>
      <c r="N58">
        <v>1.12701673060649E-3</v>
      </c>
      <c r="O58">
        <f t="shared" si="8"/>
        <v>-9.6757858525961821E-3</v>
      </c>
    </row>
    <row r="59" spans="1:15" x14ac:dyDescent="0.35">
      <c r="A59" t="s">
        <v>12</v>
      </c>
      <c r="B59">
        <v>2012</v>
      </c>
      <c r="C59">
        <v>258919.59375</v>
      </c>
      <c r="D59" s="8">
        <v>0.90451043844223</v>
      </c>
      <c r="E59" s="8">
        <v>6.0000000000000001E-3</v>
      </c>
      <c r="F59">
        <v>2.29615568575869</v>
      </c>
      <c r="G59">
        <f t="shared" si="1"/>
        <v>2.5385618431481958</v>
      </c>
      <c r="H59">
        <f t="shared" si="5"/>
        <v>2.1339904921513053E-2</v>
      </c>
      <c r="I59">
        <f t="shared" si="2"/>
        <v>1</v>
      </c>
      <c r="J59">
        <f t="shared" si="7"/>
        <v>4</v>
      </c>
      <c r="K59">
        <v>-4.3111893385649001E-3</v>
      </c>
      <c r="L59">
        <v>1.0414179414509901E-3</v>
      </c>
      <c r="M59">
        <v>-5.1377840340139996E-4</v>
      </c>
      <c r="N59">
        <v>-6.6405497491359997E-3</v>
      </c>
      <c r="O59">
        <f t="shared" si="8"/>
        <v>-1.48714998969808E-2</v>
      </c>
    </row>
    <row r="60" spans="1:15" x14ac:dyDescent="0.35">
      <c r="A60" t="s">
        <v>12</v>
      </c>
      <c r="B60">
        <v>2013</v>
      </c>
      <c r="C60">
        <v>260501</v>
      </c>
      <c r="D60" s="8">
        <v>0.90037417411804199</v>
      </c>
      <c r="E60" s="8">
        <v>0.02</v>
      </c>
      <c r="F60">
        <v>2.5058457422056701</v>
      </c>
      <c r="G60">
        <f t="shared" si="1"/>
        <v>2.7831159691583354</v>
      </c>
      <c r="H60">
        <f t="shared" si="5"/>
        <v>9.6335697580192114E-2</v>
      </c>
      <c r="I60">
        <f t="shared" si="2"/>
        <v>1</v>
      </c>
      <c r="J60">
        <f t="shared" si="7"/>
        <v>4</v>
      </c>
      <c r="K60">
        <v>-5.1377840340139996E-4</v>
      </c>
      <c r="L60">
        <v>-6.6405497491359997E-3</v>
      </c>
      <c r="M60">
        <v>6.0507544875140003E-4</v>
      </c>
      <c r="N60">
        <v>-1.4029480516911E-3</v>
      </c>
      <c r="O60">
        <f t="shared" si="8"/>
        <v>-1.5425229282118338E-2</v>
      </c>
    </row>
    <row r="61" spans="1:15" x14ac:dyDescent="0.35">
      <c r="A61" t="s">
        <v>12</v>
      </c>
      <c r="B61">
        <v>2014</v>
      </c>
      <c r="C61">
        <v>262482.3125</v>
      </c>
      <c r="D61" s="8">
        <v>0.89598143100738503</v>
      </c>
      <c r="E61" s="8">
        <v>1.7000000000000001E-2</v>
      </c>
      <c r="F61">
        <v>2.4350961538461502</v>
      </c>
      <c r="G61">
        <f t="shared" si="1"/>
        <v>2.7177975676440989</v>
      </c>
      <c r="H61">
        <f t="shared" si="5"/>
        <v>-2.346952201707575E-2</v>
      </c>
      <c r="I61">
        <f t="shared" si="2"/>
        <v>0</v>
      </c>
      <c r="J61">
        <f t="shared" si="7"/>
        <v>3</v>
      </c>
      <c r="K61">
        <v>6.0507544875140003E-4</v>
      </c>
      <c r="L61">
        <v>-1.4029480516911E-3</v>
      </c>
      <c r="M61">
        <v>2.9040113333612702E-3</v>
      </c>
      <c r="N61">
        <v>-2.7359440689906402E-2</v>
      </c>
      <c r="O61">
        <f t="shared" si="8"/>
        <v>-1.5568860829807759E-2</v>
      </c>
    </row>
    <row r="62" spans="1:15" x14ac:dyDescent="0.35">
      <c r="A62" t="s">
        <v>12</v>
      </c>
      <c r="B62">
        <v>2015</v>
      </c>
      <c r="C62">
        <v>263689.3125</v>
      </c>
      <c r="D62" s="8">
        <v>0.86821526288986195</v>
      </c>
      <c r="E62" s="8">
        <v>6.6000000000000003E-2</v>
      </c>
      <c r="F62">
        <v>2.3075056335586699</v>
      </c>
      <c r="G62">
        <f t="shared" si="1"/>
        <v>2.6577575080609819</v>
      </c>
      <c r="H62">
        <f t="shared" si="5"/>
        <v>-2.2091439148340331E-2</v>
      </c>
      <c r="I62">
        <f t="shared" si="2"/>
        <v>0</v>
      </c>
      <c r="J62">
        <f t="shared" si="7"/>
        <v>3</v>
      </c>
      <c r="K62">
        <v>2.9040113333612702E-3</v>
      </c>
      <c r="L62">
        <v>-2.7359440689906402E-2</v>
      </c>
      <c r="M62">
        <v>-9.4945050030949903E-4</v>
      </c>
      <c r="N62">
        <v>-1.41030075028539E-2</v>
      </c>
      <c r="O62">
        <f t="shared" si="8"/>
        <v>-1.2507408368401179E-2</v>
      </c>
    </row>
    <row r="63" spans="1:15" x14ac:dyDescent="0.35">
      <c r="A63" t="s">
        <v>12</v>
      </c>
      <c r="B63">
        <v>2016</v>
      </c>
      <c r="C63">
        <v>265262.21875</v>
      </c>
      <c r="D63" s="8">
        <v>0.85664898157119795</v>
      </c>
      <c r="E63" s="8">
        <v>1.4999999999999999E-2</v>
      </c>
      <c r="F63">
        <v>2.4219010074463401</v>
      </c>
      <c r="G63">
        <f t="shared" si="1"/>
        <v>2.8271801631098428</v>
      </c>
      <c r="H63">
        <f t="shared" si="5"/>
        <v>6.3746468417454016E-2</v>
      </c>
      <c r="I63">
        <f t="shared" si="2"/>
        <v>1</v>
      </c>
      <c r="J63">
        <f t="shared" si="7"/>
        <v>3</v>
      </c>
      <c r="K63">
        <v>-9.4945050030949903E-4</v>
      </c>
      <c r="L63">
        <v>-1.41030075028539E-2</v>
      </c>
      <c r="M63">
        <v>-2.20619800304994E-2</v>
      </c>
      <c r="N63">
        <v>-2.48515534913166E-2</v>
      </c>
      <c r="O63">
        <f t="shared" si="8"/>
        <v>-8.8213057024404008E-3</v>
      </c>
    </row>
    <row r="64" spans="1:15" x14ac:dyDescent="0.35">
      <c r="A64" t="s">
        <v>12</v>
      </c>
      <c r="B64">
        <v>2017</v>
      </c>
      <c r="C64">
        <v>266460.6875</v>
      </c>
      <c r="D64" s="8">
        <v>0.850566446781158</v>
      </c>
      <c r="E64" s="8">
        <v>-2E-3</v>
      </c>
      <c r="F64">
        <v>2.3800984528832601</v>
      </c>
      <c r="G64">
        <f t="shared" si="1"/>
        <v>2.798251050097718</v>
      </c>
      <c r="H64">
        <f t="shared" si="5"/>
        <v>-1.0232497167885879E-2</v>
      </c>
      <c r="I64">
        <f t="shared" si="2"/>
        <v>0</v>
      </c>
      <c r="J64">
        <f t="shared" si="7"/>
        <v>2</v>
      </c>
      <c r="K64">
        <v>-2.20619800304994E-2</v>
      </c>
      <c r="L64">
        <v>-2.48515534913166E-2</v>
      </c>
      <c r="M64">
        <v>-2.74173706769902E-4</v>
      </c>
      <c r="N64">
        <v>-9.4091966748236899E-3</v>
      </c>
      <c r="O64">
        <f t="shared" si="8"/>
        <v>-2.8944537043569947E-4</v>
      </c>
    </row>
    <row r="65" spans="1:15" x14ac:dyDescent="0.35">
      <c r="A65" t="s">
        <v>12</v>
      </c>
      <c r="B65">
        <v>2018</v>
      </c>
      <c r="C65">
        <v>266793.21875</v>
      </c>
      <c r="D65" s="8">
        <v>0.86155074834823597</v>
      </c>
      <c r="E65" s="8">
        <v>0</v>
      </c>
      <c r="F65">
        <v>2.2238396743739002</v>
      </c>
      <c r="G65">
        <f t="shared" si="1"/>
        <v>2.5812056673822674</v>
      </c>
      <c r="H65">
        <f t="shared" si="5"/>
        <v>-7.7564656933791221E-2</v>
      </c>
      <c r="I65">
        <f t="shared" si="2"/>
        <v>0</v>
      </c>
      <c r="J65">
        <f t="shared" si="7"/>
        <v>1</v>
      </c>
      <c r="K65">
        <v>-2.74173706769902E-4</v>
      </c>
      <c r="L65">
        <v>-9.4091966748236899E-3</v>
      </c>
      <c r="M65">
        <v>1.5680088818073298E-2</v>
      </c>
      <c r="N65">
        <v>-2.1211057901382E-3</v>
      </c>
      <c r="O65">
        <f t="shared" si="8"/>
        <v>2.3540217429399361E-3</v>
      </c>
    </row>
    <row r="66" spans="1:15" x14ac:dyDescent="0.35">
      <c r="A66" t="s">
        <v>12</v>
      </c>
      <c r="B66">
        <v>2019</v>
      </c>
      <c r="C66">
        <v>267779.5</v>
      </c>
      <c r="D66" s="8">
        <v>0.84440815448760997</v>
      </c>
      <c r="E66" s="8">
        <v>0</v>
      </c>
      <c r="F66">
        <v>2.2077122488658398</v>
      </c>
      <c r="G66">
        <f t="shared" si="1"/>
        <v>2.6145084425499041</v>
      </c>
      <c r="H66">
        <f t="shared" si="5"/>
        <v>1.2902023108220861E-2</v>
      </c>
      <c r="I66">
        <f t="shared" si="2"/>
        <v>1</v>
      </c>
      <c r="J66" t="str">
        <f t="shared" si="7"/>
        <v/>
      </c>
      <c r="K66">
        <v>1.5680088818073298E-2</v>
      </c>
      <c r="L66">
        <v>-2.1211057901382E-3</v>
      </c>
      <c r="M66">
        <v>6.7970120459794996E-3</v>
      </c>
      <c r="N66">
        <v>-1.20521783828735E-2</v>
      </c>
      <c r="O66">
        <f t="shared" si="8"/>
        <v>6.9092238321900156E-3</v>
      </c>
    </row>
    <row r="67" spans="1:15" x14ac:dyDescent="0.35">
      <c r="A67" t="s">
        <v>12</v>
      </c>
      <c r="B67">
        <v>2020</v>
      </c>
      <c r="C67">
        <v>269244.28125</v>
      </c>
      <c r="D67" s="8">
        <v>0.88618129491805997</v>
      </c>
      <c r="E67" s="8">
        <v>5.0000000000000001E-3</v>
      </c>
      <c r="F67">
        <v>2.19333850973252</v>
      </c>
      <c r="G67">
        <f t="shared" ref="G67:G130" si="9">F67/D67</f>
        <v>2.4750449172314397</v>
      </c>
      <c r="H67">
        <f t="shared" si="5"/>
        <v>-5.3342159102935272E-2</v>
      </c>
      <c r="I67">
        <f t="shared" ref="I67:I130" si="10">IF(H67&gt;0,1,0)</f>
        <v>0</v>
      </c>
      <c r="J67" t="str">
        <f t="shared" si="7"/>
        <v/>
      </c>
      <c r="K67">
        <v>6.7970120459794996E-3</v>
      </c>
      <c r="L67">
        <v>-1.20521783828735E-2</v>
      </c>
      <c r="M67">
        <v>4.7917118549346799E-2</v>
      </c>
      <c r="N67">
        <v>4.32750582694999E-3</v>
      </c>
      <c r="O67">
        <f t="shared" si="8"/>
        <v>9.3398221768438532E-3</v>
      </c>
    </row>
    <row r="68" spans="1:15" x14ac:dyDescent="0.35">
      <c r="A68" t="s">
        <v>12</v>
      </c>
      <c r="B68">
        <v>2021</v>
      </c>
      <c r="C68">
        <v>270021.3125</v>
      </c>
      <c r="D68" s="8">
        <v>0.90664732456207298</v>
      </c>
      <c r="E68" s="8">
        <v>1E-3</v>
      </c>
      <c r="F68">
        <v>2.2332656644354199</v>
      </c>
      <c r="G68">
        <f t="shared" si="9"/>
        <v>2.4632132075326285</v>
      </c>
      <c r="H68">
        <f t="shared" ref="H68:H131" si="11">+G68/G67-1</f>
        <v>-4.7804020106616552E-3</v>
      </c>
      <c r="I68">
        <f t="shared" si="10"/>
        <v>0</v>
      </c>
      <c r="J68" t="str">
        <f t="shared" si="7"/>
        <v/>
      </c>
      <c r="K68">
        <v>4.7917118549346799E-2</v>
      </c>
      <c r="L68">
        <v>4.32750582694999E-3</v>
      </c>
      <c r="M68">
        <v>-1.42957586050034E-2</v>
      </c>
      <c r="N68">
        <v>1.7807748168706901E-2</v>
      </c>
      <c r="O68">
        <f t="shared" si="8"/>
        <v>1.6650211997330147E-3</v>
      </c>
    </row>
    <row r="69" spans="1:15" x14ac:dyDescent="0.35">
      <c r="A69" t="s">
        <v>12</v>
      </c>
      <c r="B69">
        <v>2022</v>
      </c>
      <c r="C69">
        <v>271259.40625</v>
      </c>
      <c r="D69" s="8">
        <v>0.88434898853302002</v>
      </c>
      <c r="E69" s="8">
        <v>0</v>
      </c>
      <c r="F69">
        <v>2.1591096212655798</v>
      </c>
      <c r="G69">
        <f t="shared" si="9"/>
        <v>2.4414678472660034</v>
      </c>
      <c r="H69">
        <f t="shared" si="11"/>
        <v>-8.8280463096441775E-3</v>
      </c>
      <c r="I69">
        <f t="shared" si="10"/>
        <v>0</v>
      </c>
      <c r="J69" t="str">
        <f t="shared" si="7"/>
        <v/>
      </c>
      <c r="K69">
        <v>-1.42957586050034E-2</v>
      </c>
      <c r="L69">
        <v>1.82864516973495E-2</v>
      </c>
      <c r="M69">
        <v>-1.57507888823748E-2</v>
      </c>
      <c r="N69">
        <v>3.8081388920544901E-3</v>
      </c>
      <c r="O69">
        <f t="shared" si="8"/>
        <v>-1.7060631420463385E-3</v>
      </c>
    </row>
    <row r="70" spans="1:15" x14ac:dyDescent="0.35">
      <c r="A70" t="s">
        <v>13</v>
      </c>
      <c r="B70">
        <v>2006</v>
      </c>
      <c r="C70">
        <v>359066.8125</v>
      </c>
      <c r="D70" s="8">
        <v>0.95300459861755404</v>
      </c>
      <c r="E70" s="8">
        <v>2.4E-2</v>
      </c>
      <c r="F70">
        <v>2.3914099818810701</v>
      </c>
      <c r="G70">
        <f t="shared" si="9"/>
        <v>2.509337295276532</v>
      </c>
      <c r="H70">
        <f t="shared" si="11"/>
        <v>2.7798624539139505E-2</v>
      </c>
      <c r="I70">
        <f t="shared" si="10"/>
        <v>1</v>
      </c>
      <c r="J70" t="str">
        <f t="shared" si="7"/>
        <v/>
      </c>
      <c r="K70">
        <v>2.9211522668600099E-2</v>
      </c>
      <c r="L70">
        <v>2.2848483175039298E-2</v>
      </c>
      <c r="M70">
        <v>1.9733148723840601E-2</v>
      </c>
      <c r="N70">
        <v>2.0654904656112201E-2</v>
      </c>
      <c r="O70" t="str">
        <f t="shared" si="8"/>
        <v/>
      </c>
    </row>
    <row r="71" spans="1:15" x14ac:dyDescent="0.35">
      <c r="A71" t="s">
        <v>13</v>
      </c>
      <c r="B71">
        <v>2007</v>
      </c>
      <c r="C71">
        <v>361551.40625</v>
      </c>
      <c r="D71" s="8">
        <v>0.95352858304977395</v>
      </c>
      <c r="E71" s="8">
        <v>0.01</v>
      </c>
      <c r="F71">
        <v>2.5181667631038098</v>
      </c>
      <c r="G71">
        <f t="shared" si="9"/>
        <v>2.6408927932183048</v>
      </c>
      <c r="H71">
        <f t="shared" si="11"/>
        <v>5.2426390899863229E-2</v>
      </c>
      <c r="I71">
        <f t="shared" si="10"/>
        <v>1</v>
      </c>
      <c r="J71" t="str">
        <f t="shared" ref="J71:J134" si="12">IF(AND(B71&gt;=2010,B71&lt;=2018),SUM(I67:I71),"")</f>
        <v/>
      </c>
      <c r="K71">
        <v>1.9733148723840601E-2</v>
      </c>
      <c r="L71">
        <v>2.0654904656112201E-2</v>
      </c>
      <c r="M71">
        <v>-2.9409990936517701E-2</v>
      </c>
      <c r="N71">
        <v>1.00813340395682E-4</v>
      </c>
      <c r="O71" t="str">
        <f t="shared" ref="O71:O134" si="13">IF(B71&gt;=2010,AVERAGE(N71:N75),"")</f>
        <v/>
      </c>
    </row>
    <row r="72" spans="1:15" x14ac:dyDescent="0.35">
      <c r="A72" t="s">
        <v>13</v>
      </c>
      <c r="B72">
        <v>2008</v>
      </c>
      <c r="C72">
        <v>367880.875</v>
      </c>
      <c r="D72" s="8">
        <v>0.94625997543335005</v>
      </c>
      <c r="E72" s="8">
        <v>1E-3</v>
      </c>
      <c r="F72">
        <v>2.3323890462700598</v>
      </c>
      <c r="G72">
        <f t="shared" si="9"/>
        <v>2.4648501541047607</v>
      </c>
      <c r="H72">
        <f t="shared" si="11"/>
        <v>-6.6660274724371193E-2</v>
      </c>
      <c r="I72">
        <f t="shared" si="10"/>
        <v>0</v>
      </c>
      <c r="J72" t="str">
        <f t="shared" si="12"/>
        <v/>
      </c>
      <c r="K72">
        <v>-2.9409990936517701E-2</v>
      </c>
      <c r="L72">
        <v>1.00813340395682E-4</v>
      </c>
      <c r="M72">
        <v>-6.0613200724124801E-2</v>
      </c>
      <c r="N72">
        <v>-3.4046499058604199E-2</v>
      </c>
      <c r="O72" t="str">
        <f t="shared" si="13"/>
        <v/>
      </c>
    </row>
    <row r="73" spans="1:15" x14ac:dyDescent="0.35">
      <c r="A73" t="s">
        <v>13</v>
      </c>
      <c r="B73">
        <v>2009</v>
      </c>
      <c r="C73">
        <v>376824.40625</v>
      </c>
      <c r="D73" s="8">
        <v>0.93942481279373202</v>
      </c>
      <c r="E73" s="8">
        <v>-3.0000000000000001E-3</v>
      </c>
      <c r="F73">
        <v>2.4302909576384302</v>
      </c>
      <c r="G73">
        <f t="shared" si="9"/>
        <v>2.5869989003282217</v>
      </c>
      <c r="H73">
        <f t="shared" si="11"/>
        <v>4.9556256399621024E-2</v>
      </c>
      <c r="I73">
        <f t="shared" si="10"/>
        <v>1</v>
      </c>
      <c r="J73" t="str">
        <f t="shared" si="12"/>
        <v/>
      </c>
      <c r="K73">
        <v>-6.0613200724124801E-2</v>
      </c>
      <c r="L73">
        <v>-3.4046499058604199E-2</v>
      </c>
      <c r="M73">
        <v>-8.5077822990715507E-3</v>
      </c>
      <c r="N73">
        <v>9.5232645981013395E-4</v>
      </c>
      <c r="O73" t="str">
        <f t="shared" si="13"/>
        <v/>
      </c>
    </row>
    <row r="74" spans="1:15" x14ac:dyDescent="0.35">
      <c r="A74" t="s">
        <v>13</v>
      </c>
      <c r="B74">
        <v>2010</v>
      </c>
      <c r="C74">
        <v>384787.90625</v>
      </c>
      <c r="D74" s="8">
        <v>0.94402372837066695</v>
      </c>
      <c r="E74" s="8">
        <v>1E-3</v>
      </c>
      <c r="F74">
        <v>2.47156662688176</v>
      </c>
      <c r="G74">
        <f t="shared" si="9"/>
        <v>2.6181191770969021</v>
      </c>
      <c r="H74">
        <f t="shared" si="11"/>
        <v>1.2029489755380984E-2</v>
      </c>
      <c r="I74">
        <f t="shared" si="10"/>
        <v>1</v>
      </c>
      <c r="J74">
        <f t="shared" si="12"/>
        <v>4</v>
      </c>
      <c r="K74">
        <v>-8.5077822990715507E-3</v>
      </c>
      <c r="L74">
        <v>9.5232645981013395E-4</v>
      </c>
      <c r="M74">
        <v>-2.09712296426296E-2</v>
      </c>
      <c r="N74">
        <v>3.1254487112169702E-4</v>
      </c>
      <c r="O74">
        <f t="shared" si="13"/>
        <v>-5.5169313680380411E-3</v>
      </c>
    </row>
    <row r="75" spans="1:15" x14ac:dyDescent="0.35">
      <c r="A75" t="s">
        <v>13</v>
      </c>
      <c r="B75">
        <v>2011</v>
      </c>
      <c r="C75">
        <v>389558.5</v>
      </c>
      <c r="D75" s="8">
        <v>0.94256240129470803</v>
      </c>
      <c r="E75" s="8">
        <v>0</v>
      </c>
      <c r="F75">
        <v>2.31847523747878</v>
      </c>
      <c r="G75">
        <f t="shared" si="9"/>
        <v>2.4597578200595649</v>
      </c>
      <c r="H75">
        <f t="shared" si="11"/>
        <v>-6.0486687704161768E-2</v>
      </c>
      <c r="I75">
        <f t="shared" si="10"/>
        <v>0</v>
      </c>
      <c r="J75">
        <f t="shared" si="12"/>
        <v>3</v>
      </c>
      <c r="K75">
        <v>-2.09712296426296E-2</v>
      </c>
      <c r="L75">
        <v>3.1254487112169702E-4</v>
      </c>
      <c r="M75">
        <v>1.63141423463819E-3</v>
      </c>
      <c r="N75">
        <v>7.0696203038095899E-3</v>
      </c>
      <c r="O75">
        <f t="shared" si="13"/>
        <v>-2.3185522900894279E-2</v>
      </c>
    </row>
    <row r="76" spans="1:15" x14ac:dyDescent="0.35">
      <c r="A76" t="s">
        <v>13</v>
      </c>
      <c r="B76">
        <v>2012</v>
      </c>
      <c r="C76">
        <v>394062.28125</v>
      </c>
      <c r="D76" s="8">
        <v>0.94151955842971802</v>
      </c>
      <c r="E76" s="8">
        <v>2E-3</v>
      </c>
      <c r="F76">
        <v>2.4992629445365702</v>
      </c>
      <c r="G76">
        <f t="shared" si="9"/>
        <v>2.6544992317577369</v>
      </c>
      <c r="H76">
        <f t="shared" si="11"/>
        <v>7.9170969641822797E-2</v>
      </c>
      <c r="I76">
        <f t="shared" si="10"/>
        <v>1</v>
      </c>
      <c r="J76">
        <f t="shared" si="12"/>
        <v>3</v>
      </c>
      <c r="K76">
        <v>1.63141423463819E-3</v>
      </c>
      <c r="L76">
        <v>6.9840215146540997E-3</v>
      </c>
      <c r="M76">
        <v>4.9622232466936004E-3</v>
      </c>
      <c r="N76">
        <v>-1.1645480990409901E-3</v>
      </c>
      <c r="O76">
        <f t="shared" si="13"/>
        <v>-2.7941168984398218E-2</v>
      </c>
    </row>
    <row r="77" spans="1:15" x14ac:dyDescent="0.35">
      <c r="A77" t="s">
        <v>13</v>
      </c>
      <c r="B77">
        <v>2013</v>
      </c>
      <c r="C77">
        <v>398276.625</v>
      </c>
      <c r="D77" s="8">
        <v>0.94581156969070401</v>
      </c>
      <c r="E77" s="8">
        <v>-2E-3</v>
      </c>
      <c r="F77">
        <v>2.4967307166924599</v>
      </c>
      <c r="G77">
        <f t="shared" si="9"/>
        <v>2.6397760364772576</v>
      </c>
      <c r="H77">
        <f t="shared" si="11"/>
        <v>-5.5465057606101098E-3</v>
      </c>
      <c r="I77">
        <f t="shared" si="10"/>
        <v>0</v>
      </c>
      <c r="J77">
        <f t="shared" si="12"/>
        <v>3</v>
      </c>
      <c r="K77">
        <v>4.9622232466936004E-3</v>
      </c>
      <c r="L77">
        <v>-1.1645480990409901E-3</v>
      </c>
      <c r="M77">
        <v>-3.7871163189411002E-3</v>
      </c>
      <c r="N77">
        <v>-5.7951398193836004E-3</v>
      </c>
      <c r="O77">
        <f t="shared" si="13"/>
        <v>-3.0731467297300641E-2</v>
      </c>
    </row>
    <row r="78" spans="1:15" x14ac:dyDescent="0.35">
      <c r="A78" t="s">
        <v>13</v>
      </c>
      <c r="B78">
        <v>2014</v>
      </c>
      <c r="C78">
        <v>399384.1875</v>
      </c>
      <c r="D78" s="8">
        <v>0.94402050971984897</v>
      </c>
      <c r="E78" s="8">
        <v>5.0000000000000001E-3</v>
      </c>
      <c r="F78">
        <v>2.3478609482743198</v>
      </c>
      <c r="G78">
        <f t="shared" si="9"/>
        <v>2.4870867995983263</v>
      </c>
      <c r="H78">
        <f t="shared" si="11"/>
        <v>-5.7841739135829351E-2</v>
      </c>
      <c r="I78">
        <f t="shared" si="10"/>
        <v>0</v>
      </c>
      <c r="J78">
        <f t="shared" si="12"/>
        <v>2</v>
      </c>
      <c r="K78">
        <v>-3.7871163189411002E-3</v>
      </c>
      <c r="L78">
        <v>-5.7951398193836004E-3</v>
      </c>
      <c r="M78">
        <v>2.2563179265707701E-3</v>
      </c>
      <c r="N78">
        <v>-2.80071340966969E-2</v>
      </c>
      <c r="O78">
        <f t="shared" si="13"/>
        <v>-3.1811113795265501E-2</v>
      </c>
    </row>
    <row r="79" spans="1:15" x14ac:dyDescent="0.35">
      <c r="A79" t="s">
        <v>13</v>
      </c>
      <c r="B79">
        <v>2015</v>
      </c>
      <c r="C79">
        <v>400652.71875</v>
      </c>
      <c r="D79" s="8">
        <v>0.94608199596404996</v>
      </c>
      <c r="E79" s="8">
        <v>5.0000000000000001E-3</v>
      </c>
      <c r="F79">
        <v>2.4399435273674999</v>
      </c>
      <c r="G79">
        <f t="shared" si="9"/>
        <v>2.5789979492012391</v>
      </c>
      <c r="H79">
        <f t="shared" si="11"/>
        <v>3.695534454919569E-2</v>
      </c>
      <c r="I79">
        <f t="shared" si="10"/>
        <v>1</v>
      </c>
      <c r="J79">
        <f t="shared" si="12"/>
        <v>2</v>
      </c>
      <c r="K79">
        <v>2.2563179265707701E-3</v>
      </c>
      <c r="L79">
        <v>-2.80071340966969E-2</v>
      </c>
      <c r="M79">
        <v>-7.4876855790615093E-2</v>
      </c>
      <c r="N79">
        <v>-8.8030412793159499E-2</v>
      </c>
      <c r="O79">
        <f t="shared" si="13"/>
        <v>-2.5295027997344677E-2</v>
      </c>
    </row>
    <row r="80" spans="1:15" x14ac:dyDescent="0.35">
      <c r="A80" t="s">
        <v>13</v>
      </c>
      <c r="B80">
        <v>2016</v>
      </c>
      <c r="C80">
        <v>402706.09375</v>
      </c>
      <c r="D80" s="8">
        <v>0.91890782117843595</v>
      </c>
      <c r="E80" s="8">
        <v>4.0000000000000001E-3</v>
      </c>
      <c r="F80">
        <v>2.3913173652694599</v>
      </c>
      <c r="G80">
        <f t="shared" si="9"/>
        <v>2.6023473847493865</v>
      </c>
      <c r="H80">
        <f t="shared" si="11"/>
        <v>9.0536851940417051E-3</v>
      </c>
      <c r="I80">
        <f t="shared" si="10"/>
        <v>1</v>
      </c>
      <c r="J80">
        <f t="shared" si="12"/>
        <v>3</v>
      </c>
      <c r="K80">
        <v>-7.4876855790615093E-2</v>
      </c>
      <c r="L80">
        <v>-8.8030412793159499E-2</v>
      </c>
      <c r="M80">
        <v>-1.39190366528928E-2</v>
      </c>
      <c r="N80">
        <v>-1.6708610113710099E-2</v>
      </c>
      <c r="O80">
        <f t="shared" si="13"/>
        <v>-5.9314160607754855E-3</v>
      </c>
    </row>
    <row r="81" spans="1:15" x14ac:dyDescent="0.35">
      <c r="A81" t="s">
        <v>13</v>
      </c>
      <c r="B81">
        <v>2017</v>
      </c>
      <c r="C81">
        <v>401472.8125</v>
      </c>
      <c r="D81" s="8">
        <v>0.91557091474533103</v>
      </c>
      <c r="E81" s="8">
        <v>3.0000000000000001E-3</v>
      </c>
      <c r="F81">
        <v>2.5381358193819201</v>
      </c>
      <c r="G81">
        <f t="shared" si="9"/>
        <v>2.7721892193221436</v>
      </c>
      <c r="H81">
        <f t="shared" si="11"/>
        <v>6.5264858784067847E-2</v>
      </c>
      <c r="I81">
        <f t="shared" si="10"/>
        <v>1</v>
      </c>
      <c r="J81">
        <f t="shared" si="12"/>
        <v>3</v>
      </c>
      <c r="K81">
        <v>-1.39190366528928E-2</v>
      </c>
      <c r="L81">
        <v>-1.6708610113710099E-2</v>
      </c>
      <c r="M81">
        <v>-5.9810166954993998E-3</v>
      </c>
      <c r="N81">
        <v>-1.5116039663553099E-2</v>
      </c>
      <c r="O81">
        <f t="shared" si="13"/>
        <v>4.6094078570604342E-3</v>
      </c>
    </row>
    <row r="82" spans="1:15" x14ac:dyDescent="0.35">
      <c r="A82" t="s">
        <v>13</v>
      </c>
      <c r="B82">
        <v>2018</v>
      </c>
      <c r="C82">
        <v>399076.375</v>
      </c>
      <c r="D82" s="8">
        <v>0.91411137580871604</v>
      </c>
      <c r="E82" s="8">
        <v>7.0000000000000001E-3</v>
      </c>
      <c r="F82">
        <v>2.3629000627549401</v>
      </c>
      <c r="G82">
        <f t="shared" si="9"/>
        <v>2.584914842203422</v>
      </c>
      <c r="H82">
        <f t="shared" si="11"/>
        <v>-6.7554687758476284E-2</v>
      </c>
      <c r="I82">
        <f t="shared" si="10"/>
        <v>0</v>
      </c>
      <c r="J82">
        <f t="shared" si="12"/>
        <v>3</v>
      </c>
      <c r="K82">
        <v>-5.9810166954993998E-3</v>
      </c>
      <c r="L82">
        <v>-1.5116039663553099E-2</v>
      </c>
      <c r="M82">
        <v>6.6078222990035998E-3</v>
      </c>
      <c r="N82">
        <v>-1.1193372309207901E-2</v>
      </c>
      <c r="O82">
        <f t="shared" si="13"/>
        <v>1.4495992287993392E-2</v>
      </c>
    </row>
    <row r="83" spans="1:15" x14ac:dyDescent="0.35">
      <c r="A83" t="s">
        <v>13</v>
      </c>
      <c r="B83">
        <v>2019</v>
      </c>
      <c r="C83">
        <v>398190.71875</v>
      </c>
      <c r="D83" s="8">
        <v>0.92941588163375899</v>
      </c>
      <c r="E83" s="8">
        <v>4.0000000000000001E-3</v>
      </c>
      <c r="F83">
        <v>2.4690336408536</v>
      </c>
      <c r="G83">
        <f t="shared" si="9"/>
        <v>2.6565434157564085</v>
      </c>
      <c r="H83">
        <f t="shared" si="11"/>
        <v>2.7710225645936282E-2</v>
      </c>
      <c r="I83">
        <f t="shared" si="10"/>
        <v>1</v>
      </c>
      <c r="J83" t="str">
        <f t="shared" si="12"/>
        <v/>
      </c>
      <c r="K83">
        <v>6.6078222990035998E-3</v>
      </c>
      <c r="L83">
        <v>-1.1193372309207901E-2</v>
      </c>
      <c r="M83">
        <v>2.3422485321760101E-2</v>
      </c>
      <c r="N83">
        <v>4.5732948929071903E-3</v>
      </c>
      <c r="O83">
        <f t="shared" si="13"/>
        <v>1.5817465819418394E-2</v>
      </c>
    </row>
    <row r="84" spans="1:15" x14ac:dyDescent="0.35">
      <c r="A84" t="s">
        <v>13</v>
      </c>
      <c r="B84">
        <v>2020</v>
      </c>
      <c r="C84">
        <v>398788.6875</v>
      </c>
      <c r="D84" s="8">
        <v>0.95320355892181396</v>
      </c>
      <c r="E84" s="8">
        <v>-5.0000000000000001E-3</v>
      </c>
      <c r="F84">
        <v>2.29948186528497</v>
      </c>
      <c r="G84">
        <f t="shared" si="9"/>
        <v>2.4123723036514426</v>
      </c>
      <c r="H84">
        <f t="shared" si="11"/>
        <v>-9.1913089263569225E-2</v>
      </c>
      <c r="I84">
        <f t="shared" si="10"/>
        <v>0</v>
      </c>
      <c r="J84" t="str">
        <f t="shared" si="12"/>
        <v/>
      </c>
      <c r="K84">
        <v>2.3422485321760101E-2</v>
      </c>
      <c r="L84">
        <v>4.5732948929071903E-3</v>
      </c>
      <c r="M84">
        <v>5.2377259612083303E-2</v>
      </c>
      <c r="N84">
        <v>8.7876468896864804E-3</v>
      </c>
      <c r="O84">
        <f t="shared" si="13"/>
        <v>1.5636784117668813E-2</v>
      </c>
    </row>
    <row r="85" spans="1:15" x14ac:dyDescent="0.35">
      <c r="A85" t="s">
        <v>13</v>
      </c>
      <c r="B85">
        <v>2021</v>
      </c>
      <c r="C85">
        <v>400110.40625</v>
      </c>
      <c r="D85" s="8">
        <v>0.97142261266708396</v>
      </c>
      <c r="E85" s="8">
        <v>3.0000000000000001E-3</v>
      </c>
      <c r="F85">
        <v>2.2511332052453801</v>
      </c>
      <c r="G85">
        <f t="shared" si="9"/>
        <v>2.317357220113287</v>
      </c>
      <c r="H85">
        <f t="shared" si="11"/>
        <v>-3.938657536166279E-2</v>
      </c>
      <c r="I85">
        <f t="shared" si="10"/>
        <v>0</v>
      </c>
      <c r="J85" t="str">
        <f t="shared" si="12"/>
        <v/>
      </c>
      <c r="K85">
        <v>5.2377259612083303E-2</v>
      </c>
      <c r="L85">
        <v>8.7876468896864804E-3</v>
      </c>
      <c r="M85">
        <v>3.8920027017592899E-3</v>
      </c>
      <c r="N85">
        <v>3.5995509475469499E-2</v>
      </c>
      <c r="O85">
        <f t="shared" si="13"/>
        <v>1.5179908927530008E-2</v>
      </c>
    </row>
    <row r="86" spans="1:15" x14ac:dyDescent="0.35">
      <c r="A86" t="s">
        <v>13</v>
      </c>
      <c r="B86">
        <v>2022</v>
      </c>
      <c r="C86">
        <v>401503.125</v>
      </c>
      <c r="D86" s="8">
        <v>0.94760924577713002</v>
      </c>
      <c r="E86" s="8">
        <v>-2E-3</v>
      </c>
      <c r="F86">
        <v>2.2287785244677498</v>
      </c>
      <c r="G86">
        <f t="shared" si="9"/>
        <v>2.3520016656654068</v>
      </c>
      <c r="H86">
        <f t="shared" si="11"/>
        <v>1.4949980629411108E-2</v>
      </c>
      <c r="I86">
        <f t="shared" si="10"/>
        <v>1</v>
      </c>
      <c r="J86" t="str">
        <f t="shared" si="12"/>
        <v/>
      </c>
      <c r="K86">
        <v>3.8920027017592899E-3</v>
      </c>
      <c r="L86">
        <v>3.6474213004112098E-2</v>
      </c>
      <c r="M86">
        <v>1.4757954716682301E-2</v>
      </c>
      <c r="N86">
        <v>3.43168824911117E-2</v>
      </c>
      <c r="O86">
        <f t="shared" si="13"/>
        <v>7.9253768082707902E-3</v>
      </c>
    </row>
    <row r="87" spans="1:15" x14ac:dyDescent="0.35">
      <c r="A87" t="s">
        <v>14</v>
      </c>
      <c r="B87">
        <v>2006</v>
      </c>
      <c r="C87">
        <v>344321.59375</v>
      </c>
      <c r="D87" s="8">
        <v>0.94538241624832198</v>
      </c>
      <c r="E87" s="8">
        <v>0</v>
      </c>
      <c r="F87">
        <v>1.9771195957327301</v>
      </c>
      <c r="G87">
        <f t="shared" si="9"/>
        <v>2.0913437374674033</v>
      </c>
      <c r="H87">
        <f t="shared" si="11"/>
        <v>-0.11082387057930099</v>
      </c>
      <c r="I87">
        <f t="shared" si="10"/>
        <v>0</v>
      </c>
      <c r="J87" t="str">
        <f t="shared" si="12"/>
        <v/>
      </c>
      <c r="K87">
        <v>-1.42377283126116E-2</v>
      </c>
      <c r="L87">
        <v>-2.0600767806172399E-2</v>
      </c>
      <c r="M87">
        <v>-5.5077605843544004E-3</v>
      </c>
      <c r="N87">
        <v>-4.5860046520829001E-3</v>
      </c>
      <c r="O87" t="str">
        <f t="shared" si="13"/>
        <v/>
      </c>
    </row>
    <row r="88" spans="1:15" x14ac:dyDescent="0.35">
      <c r="A88" t="s">
        <v>14</v>
      </c>
      <c r="B88">
        <v>2007</v>
      </c>
      <c r="C88">
        <v>344379</v>
      </c>
      <c r="D88" s="8">
        <v>0.94904631376266502</v>
      </c>
      <c r="E88" s="8">
        <v>1E-3</v>
      </c>
      <c r="F88">
        <v>2.09446204919269</v>
      </c>
      <c r="G88">
        <f t="shared" si="9"/>
        <v>2.2069123696280091</v>
      </c>
      <c r="H88">
        <f t="shared" si="11"/>
        <v>5.5260467272854052E-2</v>
      </c>
      <c r="I88">
        <f t="shared" si="10"/>
        <v>1</v>
      </c>
      <c r="J88" t="str">
        <f t="shared" si="12"/>
        <v/>
      </c>
      <c r="K88">
        <v>-5.5077605843544004E-3</v>
      </c>
      <c r="L88">
        <v>-4.5860046520829001E-3</v>
      </c>
      <c r="M88">
        <v>-2.5840917892754001E-2</v>
      </c>
      <c r="N88">
        <v>3.6698863841593001E-3</v>
      </c>
      <c r="O88" t="str">
        <f t="shared" si="13"/>
        <v/>
      </c>
    </row>
    <row r="89" spans="1:15" x14ac:dyDescent="0.35">
      <c r="A89" t="s">
        <v>14</v>
      </c>
      <c r="B89">
        <v>2008</v>
      </c>
      <c r="C89">
        <v>342090.78125</v>
      </c>
      <c r="D89" s="8">
        <v>0.94539988040924094</v>
      </c>
      <c r="E89" s="8">
        <v>0</v>
      </c>
      <c r="F89">
        <v>2.0760805210183499</v>
      </c>
      <c r="G89">
        <f t="shared" si="9"/>
        <v>2.1959813662337937</v>
      </c>
      <c r="H89">
        <f t="shared" si="11"/>
        <v>-4.9530754118968234E-3</v>
      </c>
      <c r="I89">
        <f t="shared" si="10"/>
        <v>0</v>
      </c>
      <c r="J89" t="str">
        <f t="shared" si="12"/>
        <v/>
      </c>
      <c r="K89">
        <v>-2.5840917892754001E-2</v>
      </c>
      <c r="L89">
        <v>3.6698863841593001E-3</v>
      </c>
      <c r="M89">
        <v>-2.0063430726528199E-2</v>
      </c>
      <c r="N89">
        <v>6.50327093899245E-3</v>
      </c>
      <c r="O89" t="str">
        <f t="shared" si="13"/>
        <v/>
      </c>
    </row>
    <row r="90" spans="1:15" x14ac:dyDescent="0.35">
      <c r="A90" t="s">
        <v>14</v>
      </c>
      <c r="B90">
        <v>2009</v>
      </c>
      <c r="C90">
        <v>344190</v>
      </c>
      <c r="D90" s="8">
        <v>0.93825215101242099</v>
      </c>
      <c r="E90" s="8">
        <v>0</v>
      </c>
      <c r="F90">
        <v>1.96432783588871</v>
      </c>
      <c r="G90">
        <f t="shared" si="9"/>
        <v>2.09360333868577</v>
      </c>
      <c r="H90">
        <f t="shared" si="11"/>
        <v>-4.6620626714882651E-2</v>
      </c>
      <c r="I90">
        <f t="shared" si="10"/>
        <v>0</v>
      </c>
      <c r="J90" t="str">
        <f t="shared" si="12"/>
        <v/>
      </c>
      <c r="K90">
        <v>-2.0063430726528199E-2</v>
      </c>
      <c r="L90">
        <v>6.50327093899245E-3</v>
      </c>
      <c r="M90">
        <v>-9.7372598797082904E-3</v>
      </c>
      <c r="N90">
        <v>-2.7715112082660502E-4</v>
      </c>
      <c r="O90" t="str">
        <f t="shared" si="13"/>
        <v/>
      </c>
    </row>
    <row r="91" spans="1:15" x14ac:dyDescent="0.35">
      <c r="A91" t="s">
        <v>14</v>
      </c>
      <c r="B91">
        <v>2010</v>
      </c>
      <c r="C91">
        <v>347278.8125</v>
      </c>
      <c r="D91" s="8">
        <v>0.94448661804199197</v>
      </c>
      <c r="E91" s="8">
        <v>2E-3</v>
      </c>
      <c r="F91">
        <v>2.02091814114707</v>
      </c>
      <c r="G91">
        <f t="shared" si="9"/>
        <v>2.1397001318415927</v>
      </c>
      <c r="H91">
        <f t="shared" si="11"/>
        <v>2.2017921114302119E-2</v>
      </c>
      <c r="I91">
        <f t="shared" si="10"/>
        <v>1</v>
      </c>
      <c r="J91">
        <f t="shared" si="12"/>
        <v>2</v>
      </c>
      <c r="K91">
        <v>-9.7372598797082904E-3</v>
      </c>
      <c r="L91">
        <v>-2.7715112082660502E-4</v>
      </c>
      <c r="M91">
        <v>-1.25373456329107E-2</v>
      </c>
      <c r="N91">
        <v>8.7464288808405902E-3</v>
      </c>
      <c r="O91">
        <f t="shared" si="13"/>
        <v>1.0557082947343598E-2</v>
      </c>
    </row>
    <row r="92" spans="1:15" x14ac:dyDescent="0.35">
      <c r="A92" t="s">
        <v>14</v>
      </c>
      <c r="B92">
        <v>2011</v>
      </c>
      <c r="C92">
        <v>351481.28125</v>
      </c>
      <c r="D92" s="8">
        <v>0.95220220088958696</v>
      </c>
      <c r="E92" s="8">
        <v>-5.0000000000000001E-3</v>
      </c>
      <c r="F92">
        <v>1.9506465794750101</v>
      </c>
      <c r="G92">
        <f t="shared" si="9"/>
        <v>2.0485634014000755</v>
      </c>
      <c r="H92">
        <f t="shared" si="11"/>
        <v>-4.2593225604504625E-2</v>
      </c>
      <c r="I92">
        <f t="shared" si="10"/>
        <v>0</v>
      </c>
      <c r="J92">
        <f t="shared" si="12"/>
        <v>2</v>
      </c>
      <c r="K92">
        <v>-1.25373456329107E-2</v>
      </c>
      <c r="L92">
        <v>8.7464288808405902E-3</v>
      </c>
      <c r="M92">
        <v>2.63425723612308E-2</v>
      </c>
      <c r="N92">
        <v>3.17807784304023E-2</v>
      </c>
      <c r="O92">
        <f t="shared" si="13"/>
        <v>1.1752683855593202E-2</v>
      </c>
    </row>
    <row r="93" spans="1:15" x14ac:dyDescent="0.35">
      <c r="A93" t="s">
        <v>14</v>
      </c>
      <c r="B93">
        <v>2012</v>
      </c>
      <c r="C93">
        <v>354950.71875</v>
      </c>
      <c r="D93" s="8">
        <v>0.96298193931579601</v>
      </c>
      <c r="E93" s="8">
        <v>-2E-3</v>
      </c>
      <c r="F93">
        <v>2.18664667773196</v>
      </c>
      <c r="G93">
        <f t="shared" si="9"/>
        <v>2.2707037260590623</v>
      </c>
      <c r="H93">
        <f t="shared" si="11"/>
        <v>0.10843712452695708</v>
      </c>
      <c r="I93">
        <f t="shared" si="10"/>
        <v>1</v>
      </c>
      <c r="J93">
        <f t="shared" si="12"/>
        <v>2</v>
      </c>
      <c r="K93">
        <v>2.63425723612308E-2</v>
      </c>
      <c r="L93">
        <v>3.1695179641246699E-2</v>
      </c>
      <c r="M93">
        <v>1.1443546637892699E-2</v>
      </c>
      <c r="N93">
        <v>5.3167752921580904E-3</v>
      </c>
      <c r="O93">
        <f t="shared" si="13"/>
        <v>1.1608893051743499E-2</v>
      </c>
    </row>
    <row r="94" spans="1:15" x14ac:dyDescent="0.35">
      <c r="A94" t="s">
        <v>14</v>
      </c>
      <c r="B94">
        <v>2013</v>
      </c>
      <c r="C94">
        <v>359271.40625</v>
      </c>
      <c r="D94" s="8">
        <v>0.96419858932495095</v>
      </c>
      <c r="E94" s="8">
        <v>0</v>
      </c>
      <c r="F94">
        <v>2.0885545096203999</v>
      </c>
      <c r="G94">
        <f t="shared" si="9"/>
        <v>2.1661040917749386</v>
      </c>
      <c r="H94">
        <f t="shared" si="11"/>
        <v>-4.6064853412497997E-2</v>
      </c>
      <c r="I94">
        <f t="shared" si="10"/>
        <v>0</v>
      </c>
      <c r="J94">
        <f t="shared" si="12"/>
        <v>2</v>
      </c>
      <c r="K94">
        <v>1.1443546637892699E-2</v>
      </c>
      <c r="L94">
        <v>5.3167752921580904E-3</v>
      </c>
      <c r="M94">
        <v>1.4766025185585001E-2</v>
      </c>
      <c r="N94">
        <v>1.27580016851425E-2</v>
      </c>
      <c r="O94">
        <f t="shared" si="13"/>
        <v>8.9724875986576039E-3</v>
      </c>
    </row>
    <row r="95" spans="1:15" x14ac:dyDescent="0.35">
      <c r="A95" t="s">
        <v>14</v>
      </c>
      <c r="B95">
        <v>2014</v>
      </c>
      <c r="C95">
        <v>363622</v>
      </c>
      <c r="D95" s="8">
        <v>0.96385133266448997</v>
      </c>
      <c r="E95" s="8">
        <v>8.9999999999999993E-3</v>
      </c>
      <c r="F95">
        <v>2.0393438444452499</v>
      </c>
      <c r="G95">
        <f t="shared" si="9"/>
        <v>2.1158282147181837</v>
      </c>
      <c r="H95">
        <f t="shared" si="11"/>
        <v>-2.3210277496663601E-2</v>
      </c>
      <c r="I95">
        <f t="shared" si="10"/>
        <v>0</v>
      </c>
      <c r="J95">
        <f t="shared" si="12"/>
        <v>2</v>
      </c>
      <c r="K95">
        <v>1.4766025185585001E-2</v>
      </c>
      <c r="L95">
        <v>1.27580016851425E-2</v>
      </c>
      <c r="M95">
        <v>2.44468824714421E-2</v>
      </c>
      <c r="N95">
        <v>-5.8165695518254904E-3</v>
      </c>
      <c r="O95">
        <f t="shared" si="13"/>
        <v>8.5655488073825628E-3</v>
      </c>
    </row>
    <row r="96" spans="1:15" x14ac:dyDescent="0.35">
      <c r="A96" t="s">
        <v>14</v>
      </c>
      <c r="B96">
        <v>2015</v>
      </c>
      <c r="C96">
        <v>367239.40625</v>
      </c>
      <c r="D96" s="8">
        <v>0.96170413494110096</v>
      </c>
      <c r="E96" s="8">
        <v>6.0000000000000001E-3</v>
      </c>
      <c r="F96">
        <v>2.0889973844812499</v>
      </c>
      <c r="G96">
        <f t="shared" si="9"/>
        <v>2.1721830119917178</v>
      </c>
      <c r="H96">
        <f t="shared" si="11"/>
        <v>2.6634864249147183E-2</v>
      </c>
      <c r="I96">
        <f t="shared" si="10"/>
        <v>1</v>
      </c>
      <c r="J96">
        <f t="shared" si="12"/>
        <v>2</v>
      </c>
      <c r="K96">
        <v>2.44468824714421E-2</v>
      </c>
      <c r="L96">
        <v>-5.8165695518254904E-3</v>
      </c>
      <c r="M96">
        <v>2.7877990424633001E-2</v>
      </c>
      <c r="N96">
        <v>1.47244334220886E-2</v>
      </c>
      <c r="O96">
        <f t="shared" si="13"/>
        <v>5.9018081054091221E-3</v>
      </c>
    </row>
    <row r="97" spans="1:15" x14ac:dyDescent="0.35">
      <c r="A97" t="s">
        <v>14</v>
      </c>
      <c r="B97">
        <v>2016</v>
      </c>
      <c r="C97">
        <v>371019</v>
      </c>
      <c r="D97" s="8">
        <v>0.97008430957794201</v>
      </c>
      <c r="E97" s="8">
        <v>1.6E-2</v>
      </c>
      <c r="F97">
        <v>1.9233565271575399</v>
      </c>
      <c r="G97">
        <f t="shared" si="9"/>
        <v>1.9826694527142092</v>
      </c>
      <c r="H97">
        <f t="shared" si="11"/>
        <v>-8.7245668634402862E-2</v>
      </c>
      <c r="I97">
        <f t="shared" si="10"/>
        <v>0</v>
      </c>
      <c r="J97">
        <f t="shared" si="12"/>
        <v>2</v>
      </c>
      <c r="K97">
        <v>2.7877990424633001E-2</v>
      </c>
      <c r="L97">
        <v>1.47244334220886E-2</v>
      </c>
      <c r="M97">
        <v>3.3851397871971098E-2</v>
      </c>
      <c r="N97">
        <v>3.10618244111538E-2</v>
      </c>
      <c r="O97">
        <f t="shared" si="13"/>
        <v>2.9569214209914014E-3</v>
      </c>
    </row>
    <row r="98" spans="1:15" x14ac:dyDescent="0.35">
      <c r="A98" t="s">
        <v>14</v>
      </c>
      <c r="B98">
        <v>2017</v>
      </c>
      <c r="C98">
        <v>373790.59375</v>
      </c>
      <c r="D98" s="8">
        <v>0.96932375431060802</v>
      </c>
      <c r="E98" s="8">
        <v>0</v>
      </c>
      <c r="F98">
        <v>2.1489931646037301</v>
      </c>
      <c r="G98">
        <f t="shared" si="9"/>
        <v>2.2170024772911026</v>
      </c>
      <c r="H98">
        <f t="shared" si="11"/>
        <v>0.11819066675794043</v>
      </c>
      <c r="I98">
        <f t="shared" si="10"/>
        <v>1</v>
      </c>
      <c r="J98">
        <f t="shared" si="12"/>
        <v>2</v>
      </c>
      <c r="K98">
        <v>3.3851397871971098E-2</v>
      </c>
      <c r="L98">
        <v>3.10618244111538E-2</v>
      </c>
      <c r="M98">
        <v>1.2697709947823901E-3</v>
      </c>
      <c r="N98">
        <v>-7.8652519732713908E-3</v>
      </c>
      <c r="O98">
        <f t="shared" si="13"/>
        <v>-4.0742905810475395E-3</v>
      </c>
    </row>
    <row r="99" spans="1:15" x14ac:dyDescent="0.35">
      <c r="A99" t="s">
        <v>14</v>
      </c>
      <c r="B99">
        <v>2018</v>
      </c>
      <c r="C99">
        <v>374353.40625</v>
      </c>
      <c r="D99" s="8">
        <v>0.95353657007217396</v>
      </c>
      <c r="E99" s="8">
        <v>1.4999999999999999E-2</v>
      </c>
      <c r="F99">
        <v>2.12194469701021</v>
      </c>
      <c r="G99">
        <f t="shared" si="9"/>
        <v>2.2253417054047526</v>
      </c>
      <c r="H99">
        <f t="shared" si="11"/>
        <v>3.7614879546006286E-3</v>
      </c>
      <c r="I99">
        <f t="shared" si="10"/>
        <v>1</v>
      </c>
      <c r="J99">
        <f t="shared" si="12"/>
        <v>3</v>
      </c>
      <c r="K99">
        <v>1.2697709947823901E-3</v>
      </c>
      <c r="L99">
        <v>-7.8652519732713908E-3</v>
      </c>
      <c r="M99">
        <v>2.85245023369789E-2</v>
      </c>
      <c r="N99">
        <v>1.07233077287673E-2</v>
      </c>
      <c r="O99">
        <f t="shared" si="13"/>
        <v>-2.3100292310118801E-3</v>
      </c>
    </row>
    <row r="100" spans="1:15" x14ac:dyDescent="0.35">
      <c r="A100" t="s">
        <v>14</v>
      </c>
      <c r="B100">
        <v>2019</v>
      </c>
      <c r="C100">
        <v>372773.71875</v>
      </c>
      <c r="D100" s="8">
        <v>0.960942983627319</v>
      </c>
      <c r="E100" s="8">
        <v>1.4999999999999999E-2</v>
      </c>
      <c r="F100">
        <v>2.1400213487143902</v>
      </c>
      <c r="G100">
        <f t="shared" si="9"/>
        <v>2.2270013779967943</v>
      </c>
      <c r="H100">
        <f t="shared" si="11"/>
        <v>7.4580572862625871E-4</v>
      </c>
      <c r="I100">
        <f t="shared" si="10"/>
        <v>1</v>
      </c>
      <c r="J100" t="str">
        <f t="shared" si="12"/>
        <v/>
      </c>
      <c r="K100">
        <v>2.85245023369789E-2</v>
      </c>
      <c r="L100">
        <v>1.07233077287673E-2</v>
      </c>
      <c r="M100">
        <v>-2.8608263283970003E-4</v>
      </c>
      <c r="N100">
        <v>-1.9135273061692701E-2</v>
      </c>
      <c r="O100">
        <f t="shared" si="13"/>
        <v>-4.8855673521757004E-3</v>
      </c>
    </row>
    <row r="101" spans="1:15" x14ac:dyDescent="0.35">
      <c r="A101" t="s">
        <v>14</v>
      </c>
      <c r="B101">
        <v>2020</v>
      </c>
      <c r="C101">
        <v>370135.3125</v>
      </c>
      <c r="D101" s="8">
        <v>0.95381009578704801</v>
      </c>
      <c r="E101" s="8">
        <v>7.0000000000000001E-3</v>
      </c>
      <c r="F101">
        <v>2.0344624605340602</v>
      </c>
      <c r="G101">
        <f t="shared" si="9"/>
        <v>2.132984825302461</v>
      </c>
      <c r="H101">
        <f t="shared" si="11"/>
        <v>-4.2216656722009693E-2</v>
      </c>
      <c r="I101">
        <f t="shared" si="10"/>
        <v>0</v>
      </c>
      <c r="J101" t="str">
        <f t="shared" si="12"/>
        <v/>
      </c>
      <c r="K101">
        <v>-2.8608263283970003E-4</v>
      </c>
      <c r="L101">
        <v>-1.9135273061692701E-2</v>
      </c>
      <c r="M101">
        <v>4.3589612722396899E-2</v>
      </c>
      <c r="N101">
        <v>0</v>
      </c>
      <c r="O101">
        <f t="shared" si="13"/>
        <v>-5.7772385887801397E-3</v>
      </c>
    </row>
    <row r="102" spans="1:15" x14ac:dyDescent="0.35">
      <c r="A102" t="s">
        <v>14</v>
      </c>
      <c r="B102">
        <v>2021</v>
      </c>
      <c r="C102">
        <v>365686.3125</v>
      </c>
      <c r="D102" s="8">
        <v>0.97650593519210804</v>
      </c>
      <c r="E102" s="8">
        <v>2.5999999999999999E-2</v>
      </c>
      <c r="F102">
        <v>2.0436377220090298</v>
      </c>
      <c r="G102">
        <f t="shared" si="9"/>
        <v>2.0928062476209988</v>
      </c>
      <c r="H102">
        <f t="shared" si="11"/>
        <v>-1.8836785524606325E-2</v>
      </c>
      <c r="I102">
        <f t="shared" si="10"/>
        <v>0</v>
      </c>
      <c r="J102" t="str">
        <f t="shared" si="12"/>
        <v/>
      </c>
      <c r="K102">
        <v>4.3589612722396899E-2</v>
      </c>
      <c r="L102">
        <v>0</v>
      </c>
      <c r="M102">
        <v>-3.6197742372751203E-2</v>
      </c>
      <c r="N102">
        <v>-4.0942355990409001E-3</v>
      </c>
      <c r="O102">
        <f t="shared" si="13"/>
        <v>-6.3685505650937294E-3</v>
      </c>
    </row>
    <row r="103" spans="1:15" x14ac:dyDescent="0.35">
      <c r="A103" t="s">
        <v>14</v>
      </c>
      <c r="B103">
        <v>2022</v>
      </c>
      <c r="C103">
        <v>368493.09375</v>
      </c>
      <c r="D103" s="8">
        <v>0.95579707622528098</v>
      </c>
      <c r="E103" s="8">
        <v>2E-3</v>
      </c>
      <c r="F103">
        <v>2.0312569086611201</v>
      </c>
      <c r="G103">
        <f t="shared" si="9"/>
        <v>2.1251968217805612</v>
      </c>
      <c r="H103">
        <f t="shared" si="11"/>
        <v>1.5477101234948387E-2</v>
      </c>
      <c r="I103">
        <f t="shared" si="10"/>
        <v>1</v>
      </c>
      <c r="J103" t="str">
        <f t="shared" si="12"/>
        <v/>
      </c>
      <c r="K103">
        <v>-3.6197742372751203E-2</v>
      </c>
      <c r="L103">
        <v>-3.6155320703982999E-3</v>
      </c>
      <c r="M103">
        <v>-1.8602872997522401E-2</v>
      </c>
      <c r="N103">
        <v>9.5605477690690103E-4</v>
      </c>
      <c r="O103">
        <f t="shared" si="13"/>
        <v>-5.276856804266563E-3</v>
      </c>
    </row>
    <row r="104" spans="1:15" x14ac:dyDescent="0.35">
      <c r="A104" t="s">
        <v>15</v>
      </c>
      <c r="B104">
        <v>2006</v>
      </c>
      <c r="C104">
        <v>184063.09375</v>
      </c>
      <c r="D104" s="8">
        <v>0.91946810483932495</v>
      </c>
      <c r="E104" s="8">
        <v>1.2E-2</v>
      </c>
      <c r="F104">
        <v>2.3875287717095599</v>
      </c>
      <c r="G104">
        <f t="shared" si="9"/>
        <v>2.5966412093508948</v>
      </c>
      <c r="H104">
        <f t="shared" si="11"/>
        <v>0.22183563552261565</v>
      </c>
      <c r="I104">
        <f t="shared" si="10"/>
        <v>1</v>
      </c>
      <c r="J104" t="str">
        <f t="shared" si="12"/>
        <v/>
      </c>
      <c r="K104">
        <v>3.1534140586852999E-2</v>
      </c>
      <c r="L104">
        <v>2.5171101093292202E-2</v>
      </c>
      <c r="M104">
        <v>-3.0761388093233002E-3</v>
      </c>
      <c r="N104">
        <v>-2.1543828770517999E-3</v>
      </c>
      <c r="O104" t="str">
        <f t="shared" si="13"/>
        <v/>
      </c>
    </row>
    <row r="105" spans="1:15" x14ac:dyDescent="0.35">
      <c r="A105" t="s">
        <v>15</v>
      </c>
      <c r="B105">
        <v>2007</v>
      </c>
      <c r="C105">
        <v>187571.5</v>
      </c>
      <c r="D105" s="8">
        <v>0.89702212810516402</v>
      </c>
      <c r="E105" s="8">
        <v>0.02</v>
      </c>
      <c r="F105">
        <v>2.2294377149693401</v>
      </c>
      <c r="G105">
        <f t="shared" si="9"/>
        <v>2.4853764975438466</v>
      </c>
      <c r="H105">
        <f t="shared" si="11"/>
        <v>-4.2849474700766277E-2</v>
      </c>
      <c r="I105">
        <f t="shared" si="10"/>
        <v>0</v>
      </c>
      <c r="J105" t="str">
        <f t="shared" si="12"/>
        <v/>
      </c>
      <c r="K105">
        <v>-3.0761388093233002E-3</v>
      </c>
      <c r="L105">
        <v>-2.1543828770517999E-3</v>
      </c>
      <c r="M105">
        <v>-5.31044335216284E-2</v>
      </c>
      <c r="N105">
        <v>-2.3593629244714899E-2</v>
      </c>
      <c r="O105" t="str">
        <f t="shared" si="13"/>
        <v/>
      </c>
    </row>
    <row r="106" spans="1:15" x14ac:dyDescent="0.35">
      <c r="A106" t="s">
        <v>15</v>
      </c>
      <c r="B106">
        <v>2008</v>
      </c>
      <c r="C106">
        <v>190474.296875</v>
      </c>
      <c r="D106" s="8">
        <v>0.89636373519897505</v>
      </c>
      <c r="E106" s="8">
        <v>1E-3</v>
      </c>
      <c r="F106">
        <v>2.22663237495681</v>
      </c>
      <c r="G106">
        <f t="shared" si="9"/>
        <v>2.4840723553620134</v>
      </c>
      <c r="H106">
        <f t="shared" si="11"/>
        <v>-5.2472620672239234E-4</v>
      </c>
      <c r="I106">
        <f t="shared" si="10"/>
        <v>0</v>
      </c>
      <c r="J106" t="str">
        <f t="shared" si="12"/>
        <v/>
      </c>
      <c r="K106">
        <v>-5.31044335216284E-2</v>
      </c>
      <c r="L106">
        <v>-2.3593629244714899E-2</v>
      </c>
      <c r="M106">
        <v>-2.9523261547088599E-2</v>
      </c>
      <c r="N106">
        <v>-2.9565598815679498E-3</v>
      </c>
      <c r="O106" t="str">
        <f t="shared" si="13"/>
        <v/>
      </c>
    </row>
    <row r="107" spans="1:15" x14ac:dyDescent="0.35">
      <c r="A107" t="s">
        <v>15</v>
      </c>
      <c r="B107">
        <v>2009</v>
      </c>
      <c r="C107">
        <v>192392.8125</v>
      </c>
      <c r="D107" s="8">
        <v>0.90298163890838601</v>
      </c>
      <c r="E107" s="8">
        <v>1E-3</v>
      </c>
      <c r="F107">
        <v>2.3489283335292499</v>
      </c>
      <c r="G107">
        <f t="shared" si="9"/>
        <v>2.6013024322054523</v>
      </c>
      <c r="H107">
        <f t="shared" si="11"/>
        <v>4.719269814761673E-2</v>
      </c>
      <c r="I107">
        <f t="shared" si="10"/>
        <v>1</v>
      </c>
      <c r="J107" t="str">
        <f t="shared" si="12"/>
        <v/>
      </c>
      <c r="K107">
        <v>-2.9523261547088599E-2</v>
      </c>
      <c r="L107">
        <v>-2.9565598815679498E-3</v>
      </c>
      <c r="M107">
        <v>-8.0958755537867497E-3</v>
      </c>
      <c r="N107">
        <v>1.36423320509493E-3</v>
      </c>
      <c r="O107" t="str">
        <f t="shared" si="13"/>
        <v/>
      </c>
    </row>
    <row r="108" spans="1:15" x14ac:dyDescent="0.35">
      <c r="A108" t="s">
        <v>15</v>
      </c>
      <c r="B108">
        <v>2010</v>
      </c>
      <c r="C108">
        <v>193725.59375</v>
      </c>
      <c r="D108" s="8">
        <v>0.91318821907043501</v>
      </c>
      <c r="E108" s="8">
        <v>0</v>
      </c>
      <c r="F108">
        <v>2.2164111812443599</v>
      </c>
      <c r="G108">
        <f t="shared" si="9"/>
        <v>2.4271132007161889</v>
      </c>
      <c r="H108">
        <f t="shared" si="11"/>
        <v>-6.6962314467057693E-2</v>
      </c>
      <c r="I108">
        <f t="shared" si="10"/>
        <v>0</v>
      </c>
      <c r="J108">
        <f t="shared" si="12"/>
        <v>2</v>
      </c>
      <c r="K108">
        <v>-8.0958755537867497E-3</v>
      </c>
      <c r="L108">
        <v>1.36423320509493E-3</v>
      </c>
      <c r="M108">
        <v>-2.1258155226707501E-2</v>
      </c>
      <c r="N108">
        <v>2.5619287043799401E-5</v>
      </c>
      <c r="O108">
        <f t="shared" si="13"/>
        <v>-1.0834226617589609E-2</v>
      </c>
    </row>
    <row r="109" spans="1:15" x14ac:dyDescent="0.35">
      <c r="A109" t="s">
        <v>16</v>
      </c>
      <c r="B109">
        <v>2006</v>
      </c>
      <c r="C109">
        <v>4965195</v>
      </c>
      <c r="D109" s="8">
        <v>0.907628953456879</v>
      </c>
      <c r="E109" s="8">
        <v>1.4999999999999999E-2</v>
      </c>
      <c r="F109">
        <v>2.3097692277100199</v>
      </c>
      <c r="G109">
        <f t="shared" si="9"/>
        <v>2.544838635780426</v>
      </c>
      <c r="H109">
        <f t="shared" si="11"/>
        <v>4.8504303396108117E-2</v>
      </c>
      <c r="I109">
        <f t="shared" si="10"/>
        <v>1</v>
      </c>
      <c r="J109" t="str">
        <f t="shared" si="12"/>
        <v/>
      </c>
      <c r="K109">
        <v>-1.46275371015072E-2</v>
      </c>
      <c r="L109">
        <v>-2.0990576595067999E-2</v>
      </c>
      <c r="M109">
        <v>-1.46215734034777E-2</v>
      </c>
      <c r="N109">
        <v>-1.36998174712062E-2</v>
      </c>
      <c r="O109" t="str">
        <f t="shared" si="13"/>
        <v/>
      </c>
    </row>
    <row r="110" spans="1:15" x14ac:dyDescent="0.35">
      <c r="A110" t="s">
        <v>16</v>
      </c>
      <c r="B110">
        <v>2007</v>
      </c>
      <c r="C110">
        <v>5092258</v>
      </c>
      <c r="D110" s="8">
        <v>0.89656019210815396</v>
      </c>
      <c r="E110" s="8">
        <v>1.2999999999999999E-2</v>
      </c>
      <c r="F110">
        <v>2.3871222195084401</v>
      </c>
      <c r="G110">
        <f t="shared" si="9"/>
        <v>2.6625342509301109</v>
      </c>
      <c r="H110">
        <f t="shared" si="11"/>
        <v>4.6248753651757957E-2</v>
      </c>
      <c r="I110">
        <f t="shared" si="10"/>
        <v>1</v>
      </c>
      <c r="J110" t="str">
        <f t="shared" si="12"/>
        <v/>
      </c>
      <c r="K110">
        <v>-1.46215734034777E-2</v>
      </c>
      <c r="L110">
        <v>-1.36998174712062E-2</v>
      </c>
      <c r="M110">
        <v>-5.5519464716315303E-2</v>
      </c>
      <c r="N110">
        <v>-2.60086604394019E-2</v>
      </c>
      <c r="O110" t="str">
        <f t="shared" si="13"/>
        <v/>
      </c>
    </row>
    <row r="111" spans="1:15" x14ac:dyDescent="0.35">
      <c r="A111" t="s">
        <v>16</v>
      </c>
      <c r="B111">
        <v>2008</v>
      </c>
      <c r="C111">
        <v>5188001</v>
      </c>
      <c r="D111" s="8">
        <v>0.89292711019516002</v>
      </c>
      <c r="E111" s="8">
        <v>2.8000000000000001E-2</v>
      </c>
      <c r="F111">
        <v>2.3672919898153202</v>
      </c>
      <c r="G111">
        <f t="shared" si="9"/>
        <v>2.6511592746891961</v>
      </c>
      <c r="H111">
        <f t="shared" si="11"/>
        <v>-4.2722365869813927E-3</v>
      </c>
      <c r="I111">
        <f t="shared" si="10"/>
        <v>0</v>
      </c>
      <c r="J111" t="str">
        <f t="shared" si="12"/>
        <v/>
      </c>
      <c r="K111">
        <v>-5.5519464716315303E-2</v>
      </c>
      <c r="L111">
        <v>-2.60086604394019E-2</v>
      </c>
      <c r="M111">
        <v>-2.97496437132358E-2</v>
      </c>
      <c r="N111">
        <v>-3.18294204771524E-3</v>
      </c>
      <c r="O111" t="str">
        <f t="shared" si="13"/>
        <v/>
      </c>
    </row>
    <row r="112" spans="1:15" x14ac:dyDescent="0.35">
      <c r="A112" t="s">
        <v>16</v>
      </c>
      <c r="B112">
        <v>2009</v>
      </c>
      <c r="C112">
        <v>5256739</v>
      </c>
      <c r="D112" s="8">
        <v>0.897097408771515</v>
      </c>
      <c r="E112" s="8">
        <v>1.2E-2</v>
      </c>
      <c r="F112">
        <v>2.4080086542801098</v>
      </c>
      <c r="G112">
        <f t="shared" si="9"/>
        <v>2.6842220596508426</v>
      </c>
      <c r="H112">
        <f t="shared" si="11"/>
        <v>1.2471067007289616E-2</v>
      </c>
      <c r="I112">
        <f t="shared" si="10"/>
        <v>1</v>
      </c>
      <c r="J112" t="str">
        <f t="shared" si="12"/>
        <v/>
      </c>
      <c r="K112">
        <v>-2.97496437132358E-2</v>
      </c>
      <c r="L112">
        <v>-3.18294204771524E-3</v>
      </c>
      <c r="M112">
        <v>-2.0765441175550198E-2</v>
      </c>
      <c r="N112">
        <v>-1.13053324166685E-2</v>
      </c>
      <c r="O112" t="str">
        <f t="shared" si="13"/>
        <v/>
      </c>
    </row>
    <row r="113" spans="1:15" x14ac:dyDescent="0.35">
      <c r="A113" t="s">
        <v>16</v>
      </c>
      <c r="B113">
        <v>2010</v>
      </c>
      <c r="C113">
        <v>5319784</v>
      </c>
      <c r="D113" s="8">
        <v>0.90631604194641102</v>
      </c>
      <c r="E113" s="8">
        <v>6.0000000000000001E-3</v>
      </c>
      <c r="F113">
        <v>2.4481175718185999</v>
      </c>
      <c r="G113">
        <f t="shared" si="9"/>
        <v>2.7011742687032267</v>
      </c>
      <c r="H113">
        <f t="shared" si="11"/>
        <v>6.3155017266303126E-3</v>
      </c>
      <c r="I113">
        <f t="shared" si="10"/>
        <v>1</v>
      </c>
      <c r="J113">
        <f t="shared" si="12"/>
        <v>4</v>
      </c>
      <c r="K113">
        <v>-2.0765441175550198E-2</v>
      </c>
      <c r="L113">
        <v>-1.13053324166685E-2</v>
      </c>
      <c r="M113">
        <v>-1.7565867274999598E-2</v>
      </c>
      <c r="N113">
        <v>3.7179072387517002E-3</v>
      </c>
      <c r="O113">
        <f t="shared" si="13"/>
        <v>1.4714908506721238E-2</v>
      </c>
    </row>
    <row r="114" spans="1:15" x14ac:dyDescent="0.35">
      <c r="A114" t="s">
        <v>16</v>
      </c>
      <c r="B114">
        <v>2011</v>
      </c>
      <c r="C114">
        <v>5388462</v>
      </c>
      <c r="D114" s="8">
        <v>0.90554273128509499</v>
      </c>
      <c r="E114" s="8">
        <v>2E-3</v>
      </c>
      <c r="F114">
        <v>2.4485372193800798</v>
      </c>
      <c r="G114">
        <f t="shared" si="9"/>
        <v>2.7039444244726636</v>
      </c>
      <c r="H114">
        <f t="shared" si="11"/>
        <v>1.0255375973082792E-3</v>
      </c>
      <c r="I114">
        <f t="shared" si="10"/>
        <v>1</v>
      </c>
      <c r="J114">
        <f t="shared" si="12"/>
        <v>4</v>
      </c>
      <c r="K114">
        <v>-1.7565867274999598E-2</v>
      </c>
      <c r="L114">
        <v>3.7179072387517002E-3</v>
      </c>
      <c r="M114">
        <v>5.7536398023366898E-3</v>
      </c>
      <c r="N114">
        <v>1.1191845871508E-2</v>
      </c>
      <c r="O114">
        <f t="shared" si="13"/>
        <v>1.6600866429507699E-2</v>
      </c>
    </row>
    <row r="115" spans="1:15" x14ac:dyDescent="0.35">
      <c r="A115" t="s">
        <v>16</v>
      </c>
      <c r="B115">
        <v>2012</v>
      </c>
      <c r="C115">
        <v>5466024</v>
      </c>
      <c r="D115" s="8">
        <v>0.91628336906433105</v>
      </c>
      <c r="E115" s="8">
        <v>-5.0000000000000001E-3</v>
      </c>
      <c r="F115">
        <v>2.4602704657217198</v>
      </c>
      <c r="G115">
        <f t="shared" si="9"/>
        <v>2.6850541533172665</v>
      </c>
      <c r="H115">
        <f t="shared" si="11"/>
        <v>-6.9861906126569284E-3</v>
      </c>
      <c r="I115">
        <f t="shared" si="10"/>
        <v>0</v>
      </c>
      <c r="J115">
        <f t="shared" si="12"/>
        <v>3</v>
      </c>
      <c r="K115">
        <v>5.7536398023366898E-3</v>
      </c>
      <c r="L115">
        <v>1.11062470823526E-2</v>
      </c>
      <c r="M115">
        <v>1.9906752407550798E-2</v>
      </c>
      <c r="N115">
        <v>1.3779981061816099E-2</v>
      </c>
      <c r="O115">
        <f t="shared" si="13"/>
        <v>1.5644152462482463E-2</v>
      </c>
    </row>
    <row r="116" spans="1:15" x14ac:dyDescent="0.35">
      <c r="A116" t="s">
        <v>16</v>
      </c>
      <c r="B116">
        <v>2013</v>
      </c>
      <c r="C116">
        <v>5537353</v>
      </c>
      <c r="D116" s="8">
        <v>0.92231214046478305</v>
      </c>
      <c r="E116" s="8">
        <v>1.2999999999999999E-2</v>
      </c>
      <c r="F116">
        <v>2.4406703798091498</v>
      </c>
      <c r="G116">
        <f t="shared" si="9"/>
        <v>2.6462520363000066</v>
      </c>
      <c r="H116">
        <f t="shared" si="11"/>
        <v>-1.44511487670822E-2</v>
      </c>
      <c r="I116">
        <f t="shared" si="10"/>
        <v>0</v>
      </c>
      <c r="J116">
        <f t="shared" si="12"/>
        <v>3</v>
      </c>
      <c r="K116">
        <v>1.9906752407550798E-2</v>
      </c>
      <c r="L116">
        <v>1.3779981061816099E-2</v>
      </c>
      <c r="M116">
        <v>1.8444287419319201E-2</v>
      </c>
      <c r="N116">
        <v>1.64362639188767E-2</v>
      </c>
      <c r="O116">
        <f t="shared" si="13"/>
        <v>1.6529118642210999E-2</v>
      </c>
    </row>
    <row r="117" spans="1:15" x14ac:dyDescent="0.35">
      <c r="A117" t="s">
        <v>16</v>
      </c>
      <c r="B117">
        <v>2014</v>
      </c>
      <c r="C117">
        <v>5625005</v>
      </c>
      <c r="D117" s="8">
        <v>0.91777199506759599</v>
      </c>
      <c r="E117" s="8">
        <v>1.2999999999999999E-2</v>
      </c>
      <c r="F117">
        <v>2.48666619605117</v>
      </c>
      <c r="G117">
        <f t="shared" si="9"/>
        <v>2.7094596581888744</v>
      </c>
      <c r="H117">
        <f t="shared" si="11"/>
        <v>2.3885714974165806E-2</v>
      </c>
      <c r="I117">
        <f t="shared" si="10"/>
        <v>1</v>
      </c>
      <c r="J117">
        <f t="shared" si="12"/>
        <v>3</v>
      </c>
      <c r="K117">
        <v>1.8444287419319201E-2</v>
      </c>
      <c r="L117">
        <v>1.64362639188767E-2</v>
      </c>
      <c r="M117">
        <v>5.8711996465921401E-2</v>
      </c>
      <c r="N117">
        <v>2.8448544442653701E-2</v>
      </c>
      <c r="O117">
        <f t="shared" si="13"/>
        <v>1.4488858357071898E-2</v>
      </c>
    </row>
    <row r="118" spans="1:15" x14ac:dyDescent="0.35">
      <c r="A118" t="s">
        <v>16</v>
      </c>
      <c r="B118">
        <v>2015</v>
      </c>
      <c r="C118">
        <v>5721846</v>
      </c>
      <c r="D118" s="8">
        <v>0.91949880123138406</v>
      </c>
      <c r="E118" s="8">
        <v>1.7999999999999999E-2</v>
      </c>
      <c r="F118">
        <v>2.4797882841220802</v>
      </c>
      <c r="G118">
        <f t="shared" si="9"/>
        <v>2.6968912638071645</v>
      </c>
      <c r="H118">
        <f t="shared" si="11"/>
        <v>-4.6387088081286665E-3</v>
      </c>
      <c r="I118">
        <f t="shared" si="10"/>
        <v>0</v>
      </c>
      <c r="J118">
        <f t="shared" si="12"/>
        <v>2</v>
      </c>
      <c r="K118">
        <v>5.8711996465921401E-2</v>
      </c>
      <c r="L118">
        <v>2.8448544442653701E-2</v>
      </c>
      <c r="M118">
        <v>2.6301253855228399E-2</v>
      </c>
      <c r="N118">
        <v>1.3147696852684E-2</v>
      </c>
      <c r="O118">
        <f t="shared" si="13"/>
        <v>9.8633430898189788E-3</v>
      </c>
    </row>
    <row r="119" spans="1:15" x14ac:dyDescent="0.35">
      <c r="A119" t="s">
        <v>16</v>
      </c>
      <c r="B119">
        <v>2016</v>
      </c>
      <c r="C119">
        <v>5822267</v>
      </c>
      <c r="D119" s="8">
        <v>0.91096055507659901</v>
      </c>
      <c r="E119" s="8">
        <v>1.7999999999999999E-2</v>
      </c>
      <c r="F119">
        <v>2.4263816549280599</v>
      </c>
      <c r="G119">
        <f t="shared" si="9"/>
        <v>2.6635419518510712</v>
      </c>
      <c r="H119">
        <f t="shared" si="11"/>
        <v>-1.2365834842378631E-2</v>
      </c>
      <c r="I119">
        <f t="shared" si="10"/>
        <v>0</v>
      </c>
      <c r="J119">
        <f t="shared" si="12"/>
        <v>1</v>
      </c>
      <c r="K119">
        <v>2.6301253855228399E-2</v>
      </c>
      <c r="L119">
        <v>1.3147696852684E-2</v>
      </c>
      <c r="M119">
        <v>9.1978494971990902E-3</v>
      </c>
      <c r="N119">
        <v>6.4082760363818004E-3</v>
      </c>
      <c r="O119">
        <f t="shared" si="13"/>
        <v>2.1973668783903177E-2</v>
      </c>
    </row>
    <row r="120" spans="1:15" x14ac:dyDescent="0.35">
      <c r="A120" t="s">
        <v>16</v>
      </c>
      <c r="B120">
        <v>2017</v>
      </c>
      <c r="C120">
        <v>5905755</v>
      </c>
      <c r="D120" s="8">
        <v>0.906033575534821</v>
      </c>
      <c r="E120" s="8">
        <v>2.9000000000000001E-2</v>
      </c>
      <c r="F120">
        <v>2.4102627920592301</v>
      </c>
      <c r="G120">
        <f t="shared" si="9"/>
        <v>2.6602356216616809</v>
      </c>
      <c r="H120">
        <f t="shared" si="11"/>
        <v>-1.241328369952055E-3</v>
      </c>
      <c r="I120">
        <f t="shared" si="10"/>
        <v>0</v>
      </c>
      <c r="J120">
        <f t="shared" si="12"/>
        <v>1</v>
      </c>
      <c r="K120">
        <v>9.1978494971990902E-3</v>
      </c>
      <c r="L120">
        <v>6.4082760363818004E-3</v>
      </c>
      <c r="M120">
        <v>2.73398349285126E-2</v>
      </c>
      <c r="N120">
        <v>1.8204811960458801E-2</v>
      </c>
      <c r="O120">
        <f t="shared" si="13"/>
        <v>1.4530809968710017E-2</v>
      </c>
    </row>
    <row r="121" spans="1:15" x14ac:dyDescent="0.35">
      <c r="A121" t="s">
        <v>16</v>
      </c>
      <c r="B121">
        <v>2018</v>
      </c>
      <c r="C121">
        <v>5981888</v>
      </c>
      <c r="D121" s="8">
        <v>0.91402238607406605</v>
      </c>
      <c r="E121" s="8">
        <v>1.7000000000000001E-2</v>
      </c>
      <c r="F121">
        <v>2.3848174391604902</v>
      </c>
      <c r="G121">
        <f t="shared" si="9"/>
        <v>2.6091455477407104</v>
      </c>
      <c r="H121">
        <f t="shared" si="11"/>
        <v>-1.9205093528165684E-2</v>
      </c>
      <c r="I121">
        <f t="shared" si="10"/>
        <v>0</v>
      </c>
      <c r="J121">
        <f t="shared" si="12"/>
        <v>1</v>
      </c>
      <c r="K121">
        <v>2.73398349285126E-2</v>
      </c>
      <c r="L121">
        <v>1.8204811960458801E-2</v>
      </c>
      <c r="M121">
        <v>2.4036157101392699E-2</v>
      </c>
      <c r="N121">
        <v>6.2349624931811896E-3</v>
      </c>
      <c r="O121">
        <f t="shared" si="13"/>
        <v>1.3199124485254773E-3</v>
      </c>
    </row>
    <row r="122" spans="1:15" x14ac:dyDescent="0.35">
      <c r="A122" t="s">
        <v>16</v>
      </c>
      <c r="B122">
        <v>2019</v>
      </c>
      <c r="C122">
        <v>6057035</v>
      </c>
      <c r="D122" s="8">
        <v>0.91110908985137895</v>
      </c>
      <c r="E122" s="8">
        <v>2.5999999999999999E-2</v>
      </c>
      <c r="F122">
        <v>2.3196210693256298</v>
      </c>
      <c r="G122">
        <f t="shared" si="9"/>
        <v>2.5459312119298567</v>
      </c>
      <c r="H122">
        <f t="shared" si="11"/>
        <v>-2.4227983703550615E-2</v>
      </c>
      <c r="I122">
        <f t="shared" si="10"/>
        <v>0</v>
      </c>
      <c r="J122" t="str">
        <f t="shared" si="12"/>
        <v/>
      </c>
      <c r="K122">
        <v>2.4036157101392699E-2</v>
      </c>
      <c r="L122">
        <v>6.2349624931811896E-3</v>
      </c>
      <c r="M122">
        <v>2.4170158535242101E-2</v>
      </c>
      <c r="N122">
        <v>5.3209681063891004E-3</v>
      </c>
      <c r="O122">
        <f t="shared" si="13"/>
        <v>4.0745604783301787E-4</v>
      </c>
    </row>
    <row r="123" spans="1:15" x14ac:dyDescent="0.35">
      <c r="A123" t="s">
        <v>16</v>
      </c>
      <c r="B123">
        <v>2020</v>
      </c>
      <c r="C123">
        <v>6115917</v>
      </c>
      <c r="D123" s="8">
        <v>0.91866725683212302</v>
      </c>
      <c r="E123" s="8">
        <v>3.2000000000000001E-2</v>
      </c>
      <c r="F123">
        <v>2.16321664483762</v>
      </c>
      <c r="G123">
        <f t="shared" si="9"/>
        <v>2.3547335868888224</v>
      </c>
      <c r="H123">
        <f t="shared" si="11"/>
        <v>-7.5099289464346297E-2</v>
      </c>
      <c r="I123">
        <f t="shared" si="10"/>
        <v>0</v>
      </c>
      <c r="J123" t="str">
        <f t="shared" si="12"/>
        <v/>
      </c>
      <c r="K123">
        <v>2.4170158535242101E-2</v>
      </c>
      <c r="L123">
        <v>5.3209681063891004E-3</v>
      </c>
      <c r="M123">
        <v>0.117288938045501</v>
      </c>
      <c r="N123">
        <v>7.3699325323104997E-2</v>
      </c>
      <c r="O123">
        <f t="shared" si="13"/>
        <v>-9.1064963489766637E-4</v>
      </c>
    </row>
    <row r="124" spans="1:15" x14ac:dyDescent="0.35">
      <c r="A124" t="s">
        <v>16</v>
      </c>
      <c r="B124">
        <v>2021</v>
      </c>
      <c r="C124">
        <v>6167900</v>
      </c>
      <c r="D124" s="8">
        <v>0.938579201698303</v>
      </c>
      <c r="E124" s="8">
        <v>1.7999999999999999E-2</v>
      </c>
      <c r="F124">
        <v>2.2720941591064201</v>
      </c>
      <c r="G124">
        <f t="shared" si="9"/>
        <v>2.4207804253441814</v>
      </c>
      <c r="H124">
        <f t="shared" si="11"/>
        <v>2.8048539683261042E-2</v>
      </c>
      <c r="I124">
        <f t="shared" si="10"/>
        <v>1</v>
      </c>
      <c r="J124" t="str">
        <f t="shared" si="12"/>
        <v/>
      </c>
      <c r="K124">
        <v>0.117288938045501</v>
      </c>
      <c r="L124">
        <v>7.3699325323104997E-2</v>
      </c>
      <c r="M124">
        <v>-6.2909524813294398E-2</v>
      </c>
      <c r="N124">
        <v>-3.0806018039584E-2</v>
      </c>
      <c r="O124">
        <f t="shared" si="13"/>
        <v>-1.4508541487157337E-2</v>
      </c>
    </row>
    <row r="125" spans="1:15" x14ac:dyDescent="0.35">
      <c r="A125" t="s">
        <v>16</v>
      </c>
      <c r="B125">
        <v>2022</v>
      </c>
      <c r="C125">
        <v>6257506</v>
      </c>
      <c r="D125" s="8">
        <v>0.90623831748962402</v>
      </c>
      <c r="E125" s="8">
        <v>3.1E-2</v>
      </c>
      <c r="F125">
        <v>2.31142498998488</v>
      </c>
      <c r="G125">
        <f t="shared" si="9"/>
        <v>2.5505707995086455</v>
      </c>
      <c r="H125">
        <f t="shared" si="11"/>
        <v>5.3615095696261106E-2</v>
      </c>
      <c r="I125">
        <f t="shared" si="10"/>
        <v>1</v>
      </c>
      <c r="J125" t="str">
        <f t="shared" si="12"/>
        <v/>
      </c>
      <c r="K125">
        <v>-6.2909524813294398E-2</v>
      </c>
      <c r="L125">
        <v>-3.0327314510941498E-2</v>
      </c>
      <c r="M125">
        <v>-6.7408603414893201E-2</v>
      </c>
      <c r="N125">
        <v>-4.7849675640463898E-2</v>
      </c>
      <c r="O125">
        <f t="shared" si="13"/>
        <v>-6.7162096034735592E-3</v>
      </c>
    </row>
    <row r="126" spans="1:15" x14ac:dyDescent="0.35">
      <c r="A126" t="s">
        <v>17</v>
      </c>
      <c r="B126">
        <v>2006</v>
      </c>
      <c r="C126">
        <v>271879.6875</v>
      </c>
      <c r="D126" s="8">
        <v>0.92754775285720803</v>
      </c>
      <c r="E126" s="8">
        <v>0</v>
      </c>
      <c r="F126">
        <v>2.2246078371994402</v>
      </c>
      <c r="G126">
        <f t="shared" si="9"/>
        <v>2.3983755341401909</v>
      </c>
      <c r="H126">
        <f t="shared" si="11"/>
        <v>-5.9671060845585711E-2</v>
      </c>
      <c r="I126">
        <f t="shared" si="10"/>
        <v>0</v>
      </c>
      <c r="J126" t="str">
        <f t="shared" si="12"/>
        <v/>
      </c>
      <c r="K126">
        <v>-2.5011248588562001E-3</v>
      </c>
      <c r="L126">
        <v>-8.8641643524169905E-3</v>
      </c>
      <c r="M126">
        <v>7.5092455744739698E-4</v>
      </c>
      <c r="N126">
        <v>1.67268048971889E-3</v>
      </c>
      <c r="O126" t="str">
        <f t="shared" si="13"/>
        <v/>
      </c>
    </row>
    <row r="127" spans="1:15" x14ac:dyDescent="0.35">
      <c r="A127" t="s">
        <v>17</v>
      </c>
      <c r="B127">
        <v>2007</v>
      </c>
      <c r="C127">
        <v>272478.90625</v>
      </c>
      <c r="D127" s="8">
        <v>0.92615967988967896</v>
      </c>
      <c r="E127" s="8">
        <v>0</v>
      </c>
      <c r="F127">
        <v>2.1671826625386998</v>
      </c>
      <c r="G127">
        <f t="shared" si="9"/>
        <v>2.3399665409714743</v>
      </c>
      <c r="H127">
        <f t="shared" si="11"/>
        <v>-2.4353564459477339E-2</v>
      </c>
      <c r="I127">
        <f t="shared" si="10"/>
        <v>0</v>
      </c>
      <c r="J127" t="str">
        <f t="shared" si="12"/>
        <v/>
      </c>
      <c r="K127">
        <v>7.5092455744739698E-4</v>
      </c>
      <c r="L127">
        <v>1.67268048971889E-3</v>
      </c>
      <c r="M127">
        <v>-3.07803645841777E-2</v>
      </c>
      <c r="N127">
        <v>-1.26956030726432E-3</v>
      </c>
      <c r="O127" t="str">
        <f t="shared" si="13"/>
        <v/>
      </c>
    </row>
    <row r="128" spans="1:15" x14ac:dyDescent="0.35">
      <c r="A128" t="s">
        <v>17</v>
      </c>
      <c r="B128">
        <v>2008</v>
      </c>
      <c r="C128">
        <v>273284.40625</v>
      </c>
      <c r="D128" s="8">
        <v>0.92422860860824596</v>
      </c>
      <c r="E128" s="8">
        <v>0</v>
      </c>
      <c r="F128">
        <v>2.3203695745595101</v>
      </c>
      <c r="G128">
        <f t="shared" si="9"/>
        <v>2.5106013306098038</v>
      </c>
      <c r="H128">
        <f t="shared" si="11"/>
        <v>7.2921892963259127E-2</v>
      </c>
      <c r="I128">
        <f t="shared" si="10"/>
        <v>1</v>
      </c>
      <c r="J128" t="str">
        <f t="shared" si="12"/>
        <v/>
      </c>
      <c r="K128">
        <v>-3.07803645841777E-2</v>
      </c>
      <c r="L128">
        <v>-1.26956030726432E-3</v>
      </c>
      <c r="M128">
        <v>-2.0856835603714E-2</v>
      </c>
      <c r="N128">
        <v>5.7098660618066501E-3</v>
      </c>
      <c r="O128" t="str">
        <f t="shared" si="13"/>
        <v/>
      </c>
    </row>
    <row r="129" spans="1:15" x14ac:dyDescent="0.35">
      <c r="A129" t="s">
        <v>17</v>
      </c>
      <c r="B129">
        <v>2009</v>
      </c>
      <c r="C129">
        <v>274288.3125</v>
      </c>
      <c r="D129" s="8">
        <v>0.924546718597412</v>
      </c>
      <c r="E129" s="8">
        <v>0</v>
      </c>
      <c r="F129">
        <v>2.3530032654945998</v>
      </c>
      <c r="G129">
        <f t="shared" si="9"/>
        <v>2.5450344673379348</v>
      </c>
      <c r="H129">
        <f t="shared" si="11"/>
        <v>1.3715095387035303E-2</v>
      </c>
      <c r="I129">
        <f t="shared" si="10"/>
        <v>1</v>
      </c>
      <c r="J129" t="str">
        <f t="shared" si="12"/>
        <v/>
      </c>
      <c r="K129">
        <v>-2.0856835603714E-2</v>
      </c>
      <c r="L129">
        <v>5.7098660618066501E-3</v>
      </c>
      <c r="M129">
        <v>-1.30446738004679E-3</v>
      </c>
      <c r="N129">
        <v>8.1556413788348801E-3</v>
      </c>
      <c r="O129" t="str">
        <f t="shared" si="13"/>
        <v/>
      </c>
    </row>
    <row r="130" spans="1:15" x14ac:dyDescent="0.35">
      <c r="A130" t="s">
        <v>17</v>
      </c>
      <c r="B130">
        <v>2010</v>
      </c>
      <c r="C130">
        <v>275223.125</v>
      </c>
      <c r="D130" s="8">
        <v>0.92482191324233998</v>
      </c>
      <c r="E130" s="8">
        <v>1E-3</v>
      </c>
      <c r="F130">
        <v>2.25447908518642</v>
      </c>
      <c r="G130">
        <f t="shared" si="9"/>
        <v>2.4377440163397783</v>
      </c>
      <c r="H130">
        <f t="shared" si="11"/>
        <v>-4.2156777196962869E-2</v>
      </c>
      <c r="I130">
        <f t="shared" si="10"/>
        <v>0</v>
      </c>
      <c r="J130">
        <f t="shared" si="12"/>
        <v>2</v>
      </c>
      <c r="K130">
        <v>-1.30446738004679E-3</v>
      </c>
      <c r="L130">
        <v>8.1556413788348801E-3</v>
      </c>
      <c r="M130">
        <v>-2.09586446806788E-2</v>
      </c>
      <c r="N130">
        <v>3.2512983307249999E-4</v>
      </c>
      <c r="O130">
        <f t="shared" si="13"/>
        <v>-7.8843189869075413E-3</v>
      </c>
    </row>
    <row r="131" spans="1:15" x14ac:dyDescent="0.35">
      <c r="A131" t="s">
        <v>17</v>
      </c>
      <c r="B131">
        <v>2011</v>
      </c>
      <c r="C131">
        <v>276306.5</v>
      </c>
      <c r="D131" s="8">
        <v>0.92722898721694902</v>
      </c>
      <c r="E131" s="8">
        <v>0</v>
      </c>
      <c r="F131">
        <v>2.2507291286912099</v>
      </c>
      <c r="G131">
        <f t="shared" ref="G131:G194" si="14">F131/D131</f>
        <v>2.4273714041735346</v>
      </c>
      <c r="H131">
        <f t="shared" si="11"/>
        <v>-4.2550046669043162E-3</v>
      </c>
      <c r="I131">
        <f t="shared" ref="I131:I194" si="15">IF(H131&gt;0,1,0)</f>
        <v>0</v>
      </c>
      <c r="J131">
        <f t="shared" si="12"/>
        <v>2</v>
      </c>
      <c r="K131">
        <v>-2.09586446806788E-2</v>
      </c>
      <c r="L131">
        <v>3.2512983307249999E-4</v>
      </c>
      <c r="M131">
        <v>-1.97913703080266E-2</v>
      </c>
      <c r="N131">
        <v>-1.4353164238855199E-2</v>
      </c>
      <c r="O131">
        <f t="shared" si="13"/>
        <v>-1.2432014383375581E-2</v>
      </c>
    </row>
    <row r="132" spans="1:15" x14ac:dyDescent="0.35">
      <c r="A132" t="s">
        <v>17</v>
      </c>
      <c r="B132">
        <v>2012</v>
      </c>
      <c r="C132">
        <v>277407.09375</v>
      </c>
      <c r="D132" s="8">
        <v>0.92969441413879395</v>
      </c>
      <c r="E132" s="8">
        <v>0</v>
      </c>
      <c r="F132">
        <v>2.4376088218223999</v>
      </c>
      <c r="G132">
        <f t="shared" si="14"/>
        <v>2.6219462919764189</v>
      </c>
      <c r="H132">
        <f t="shared" ref="H132:H195" si="16">+G132/G131-1</f>
        <v>8.0158680071924504E-2</v>
      </c>
      <c r="I132">
        <f t="shared" si="15"/>
        <v>1</v>
      </c>
      <c r="J132">
        <f t="shared" si="12"/>
        <v>3</v>
      </c>
      <c r="K132">
        <v>-1.97913703080266E-2</v>
      </c>
      <c r="L132">
        <v>-1.44387630280107E-2</v>
      </c>
      <c r="M132">
        <v>1.0866623967885999E-2</v>
      </c>
      <c r="N132">
        <v>4.7398526221513904E-3</v>
      </c>
      <c r="O132">
        <f t="shared" si="13"/>
        <v>-1.031344202347094E-2</v>
      </c>
    </row>
    <row r="133" spans="1:15" x14ac:dyDescent="0.35">
      <c r="A133" t="s">
        <v>17</v>
      </c>
      <c r="B133">
        <v>2013</v>
      </c>
      <c r="C133">
        <v>277835.375</v>
      </c>
      <c r="D133" s="8">
        <v>0.92063415050506603</v>
      </c>
      <c r="E133" s="8">
        <v>-8.0000000000000002E-3</v>
      </c>
      <c r="F133">
        <v>2.4556000640922901</v>
      </c>
      <c r="G133">
        <f t="shared" si="14"/>
        <v>2.6672919560339268</v>
      </c>
      <c r="H133">
        <f t="shared" si="16"/>
        <v>1.7294657863996976E-2</v>
      </c>
      <c r="I133">
        <f t="shared" si="15"/>
        <v>1</v>
      </c>
      <c r="J133">
        <f t="shared" si="12"/>
        <v>3</v>
      </c>
      <c r="K133">
        <v>1.0866623967885999E-2</v>
      </c>
      <c r="L133">
        <v>4.7398526221513904E-3</v>
      </c>
      <c r="M133">
        <v>-9.15555766224861E-3</v>
      </c>
      <c r="N133">
        <v>-1.1163581162691101E-2</v>
      </c>
      <c r="O133">
        <f t="shared" si="13"/>
        <v>-9.6899353433399782E-3</v>
      </c>
    </row>
    <row r="134" spans="1:15" x14ac:dyDescent="0.35">
      <c r="A134" t="s">
        <v>17</v>
      </c>
      <c r="B134">
        <v>2014</v>
      </c>
      <c r="C134">
        <v>277084.5</v>
      </c>
      <c r="D134" s="8">
        <v>0.92250686883926403</v>
      </c>
      <c r="E134" s="8">
        <v>-1.2E-2</v>
      </c>
      <c r="F134">
        <v>2.52763659466327</v>
      </c>
      <c r="G134">
        <f t="shared" si="14"/>
        <v>2.7399650669741309</v>
      </c>
      <c r="H134">
        <f t="shared" si="16"/>
        <v>2.7246027858256694E-2</v>
      </c>
      <c r="I134">
        <f t="shared" si="15"/>
        <v>1</v>
      </c>
      <c r="J134">
        <f t="shared" si="12"/>
        <v>3</v>
      </c>
      <c r="K134">
        <v>-9.15555766224861E-3</v>
      </c>
      <c r="L134">
        <v>-1.1163581162691101E-2</v>
      </c>
      <c r="M134">
        <v>1.12936200350522E-2</v>
      </c>
      <c r="N134">
        <v>-1.8969831988215301E-2</v>
      </c>
      <c r="O134">
        <f t="shared" si="13"/>
        <v>-1.0028386162593897E-2</v>
      </c>
    </row>
    <row r="135" spans="1:15" x14ac:dyDescent="0.35">
      <c r="A135" t="s">
        <v>17</v>
      </c>
      <c r="B135">
        <v>2015</v>
      </c>
      <c r="C135">
        <v>275617.875</v>
      </c>
      <c r="D135" s="8">
        <v>0.90896469354629505</v>
      </c>
      <c r="E135" s="8">
        <v>7.0000000000000001E-3</v>
      </c>
      <c r="F135">
        <v>2.4363288108539498</v>
      </c>
      <c r="G135">
        <f t="shared" si="14"/>
        <v>2.680333821711705</v>
      </c>
      <c r="H135">
        <f t="shared" si="16"/>
        <v>-2.1763505666982597E-2</v>
      </c>
      <c r="I135">
        <f t="shared" si="15"/>
        <v>0</v>
      </c>
      <c r="J135">
        <f t="shared" ref="J135:J198" si="17">IF(AND(B135&gt;=2010,B135&lt;=2018),SUM(I131:I135),"")</f>
        <v>3</v>
      </c>
      <c r="K135">
        <v>1.12936200350522E-2</v>
      </c>
      <c r="L135">
        <v>-1.8969831988215301E-2</v>
      </c>
      <c r="M135">
        <v>-9.2597901467233804E-3</v>
      </c>
      <c r="N135">
        <v>-2.2413347149267699E-2</v>
      </c>
      <c r="O135">
        <f t="shared" ref="O135:O198" si="18">IF(B135&gt;=2010,AVERAGE(N135:N139),"")</f>
        <v>2.8736851643771425E-3</v>
      </c>
    </row>
    <row r="136" spans="1:15" x14ac:dyDescent="0.35">
      <c r="A136" t="s">
        <v>17</v>
      </c>
      <c r="B136">
        <v>2016</v>
      </c>
      <c r="C136">
        <v>274070.3125</v>
      </c>
      <c r="D136" s="8">
        <v>0.90127152204513505</v>
      </c>
      <c r="E136" s="8">
        <v>0</v>
      </c>
      <c r="F136">
        <v>2.5358884073672798</v>
      </c>
      <c r="G136">
        <f t="shared" si="14"/>
        <v>2.8136786144234613</v>
      </c>
      <c r="H136">
        <f t="shared" si="16"/>
        <v>4.9749322875984214E-2</v>
      </c>
      <c r="I136">
        <f t="shared" si="15"/>
        <v>1</v>
      </c>
      <c r="J136">
        <f t="shared" si="17"/>
        <v>4</v>
      </c>
      <c r="K136">
        <v>-9.2597901467233804E-3</v>
      </c>
      <c r="L136">
        <v>-2.2413347149267699E-2</v>
      </c>
      <c r="M136">
        <v>-9.7072897851469995E-4</v>
      </c>
      <c r="N136">
        <v>-3.7603024393319901E-3</v>
      </c>
      <c r="O136">
        <f t="shared" si="18"/>
        <v>1.6486033797264103E-2</v>
      </c>
    </row>
    <row r="137" spans="1:15" x14ac:dyDescent="0.35">
      <c r="A137" t="s">
        <v>17</v>
      </c>
      <c r="B137">
        <v>2017</v>
      </c>
      <c r="C137">
        <v>273493.40625</v>
      </c>
      <c r="D137" s="8">
        <v>0.91367107629776001</v>
      </c>
      <c r="E137" s="8">
        <v>8.0000000000000002E-3</v>
      </c>
      <c r="F137">
        <v>2.4139151682225402</v>
      </c>
      <c r="G137">
        <f t="shared" si="14"/>
        <v>2.6419958241469597</v>
      </c>
      <c r="H137">
        <f t="shared" si="16"/>
        <v>-6.1017199831005065E-2</v>
      </c>
      <c r="I137">
        <f t="shared" si="15"/>
        <v>0</v>
      </c>
      <c r="J137">
        <f t="shared" si="17"/>
        <v>3</v>
      </c>
      <c r="K137">
        <v>-9.7072897851469995E-4</v>
      </c>
      <c r="L137">
        <v>-3.7603024393319901E-3</v>
      </c>
      <c r="M137">
        <v>1.6992408990859999E-2</v>
      </c>
      <c r="N137">
        <v>7.8573860228062006E-3</v>
      </c>
      <c r="O137">
        <f t="shared" si="18"/>
        <v>2.4973433837294563E-2</v>
      </c>
    </row>
    <row r="138" spans="1:15" x14ac:dyDescent="0.35">
      <c r="A138" t="s">
        <v>17</v>
      </c>
      <c r="B138">
        <v>2018</v>
      </c>
      <c r="C138">
        <v>273430.5</v>
      </c>
      <c r="D138" s="8">
        <v>0.92117112874984697</v>
      </c>
      <c r="E138" s="8">
        <v>4.8000000000000001E-2</v>
      </c>
      <c r="F138">
        <v>2.32193180595891</v>
      </c>
      <c r="G138">
        <f t="shared" si="14"/>
        <v>2.520630242841071</v>
      </c>
      <c r="H138">
        <f t="shared" si="16"/>
        <v>-4.593708294186083E-2</v>
      </c>
      <c r="I138">
        <f t="shared" si="15"/>
        <v>0</v>
      </c>
      <c r="J138">
        <f t="shared" si="17"/>
        <v>2</v>
      </c>
      <c r="K138">
        <v>1.6992408990859999E-2</v>
      </c>
      <c r="L138">
        <v>7.8573860228062006E-3</v>
      </c>
      <c r="M138">
        <v>4.9453593492508E-3</v>
      </c>
      <c r="N138">
        <v>-1.28558352589607E-2</v>
      </c>
      <c r="O138">
        <f t="shared" si="18"/>
        <v>2.8906587883830038E-2</v>
      </c>
    </row>
    <row r="139" spans="1:15" x14ac:dyDescent="0.35">
      <c r="A139" t="s">
        <v>17</v>
      </c>
      <c r="B139">
        <v>2019</v>
      </c>
      <c r="C139">
        <v>274183.1875</v>
      </c>
      <c r="D139" s="8">
        <v>0.89461064338684104</v>
      </c>
      <c r="E139" s="8">
        <v>5.2999999999999999E-2</v>
      </c>
      <c r="F139">
        <v>2.23099940155595</v>
      </c>
      <c r="G139">
        <f t="shared" si="14"/>
        <v>2.4938216620246911</v>
      </c>
      <c r="H139">
        <f t="shared" si="16"/>
        <v>-1.0635665779429537E-2</v>
      </c>
      <c r="I139">
        <f t="shared" si="15"/>
        <v>0</v>
      </c>
      <c r="J139" t="str">
        <f t="shared" si="17"/>
        <v/>
      </c>
      <c r="K139">
        <v>4.9453593492508E-3</v>
      </c>
      <c r="L139">
        <v>-1.28558352589607E-2</v>
      </c>
      <c r="M139">
        <v>6.4389715075492904E-2</v>
      </c>
      <c r="N139">
        <v>4.55405246466399E-2</v>
      </c>
      <c r="O139">
        <f t="shared" si="18"/>
        <v>3.1011112965643385E-2</v>
      </c>
    </row>
    <row r="140" spans="1:15" x14ac:dyDescent="0.35">
      <c r="A140" t="s">
        <v>17</v>
      </c>
      <c r="B140">
        <v>2020</v>
      </c>
      <c r="C140">
        <v>274386.09375</v>
      </c>
      <c r="D140" s="8">
        <v>0.93170899152755704</v>
      </c>
      <c r="E140" s="8">
        <v>4.4999999999999998E-2</v>
      </c>
      <c r="F140">
        <v>2.18481228668941</v>
      </c>
      <c r="G140">
        <f t="shared" si="14"/>
        <v>2.3449513813399645</v>
      </c>
      <c r="H140">
        <f t="shared" si="16"/>
        <v>-5.9695640210239209E-2</v>
      </c>
      <c r="I140">
        <f t="shared" si="15"/>
        <v>0</v>
      </c>
      <c r="J140" t="str">
        <f t="shared" si="17"/>
        <v/>
      </c>
      <c r="K140">
        <v>6.4389715075492904E-2</v>
      </c>
      <c r="L140">
        <v>4.55405246466399E-2</v>
      </c>
      <c r="M140">
        <v>8.9238008737564004E-2</v>
      </c>
      <c r="N140">
        <v>4.5648396015167098E-2</v>
      </c>
      <c r="O140">
        <f t="shared" si="18"/>
        <v>1.7471139598637799E-2</v>
      </c>
    </row>
    <row r="141" spans="1:15" x14ac:dyDescent="0.35">
      <c r="A141" t="s">
        <v>17</v>
      </c>
      <c r="B141">
        <v>2021</v>
      </c>
      <c r="C141">
        <v>275209.90625</v>
      </c>
      <c r="D141" s="8">
        <v>0.98233747482299805</v>
      </c>
      <c r="E141" s="8">
        <v>0</v>
      </c>
      <c r="F141">
        <v>2.26604852326924</v>
      </c>
      <c r="G141">
        <f t="shared" si="14"/>
        <v>2.3067923003523272</v>
      </c>
      <c r="H141">
        <f t="shared" si="16"/>
        <v>-1.6272866589597368E-2</v>
      </c>
      <c r="I141">
        <f t="shared" si="15"/>
        <v>0</v>
      </c>
      <c r="J141" t="str">
        <f t="shared" si="17"/>
        <v/>
      </c>
      <c r="K141">
        <v>8.9238008737564004E-2</v>
      </c>
      <c r="L141">
        <v>4.5648396015167098E-2</v>
      </c>
      <c r="M141">
        <v>6.5731909871100903E-3</v>
      </c>
      <c r="N141">
        <v>3.8676697760820299E-2</v>
      </c>
      <c r="O141">
        <f t="shared" si="18"/>
        <v>7.306861225515611E-3</v>
      </c>
    </row>
    <row r="142" spans="1:15" x14ac:dyDescent="0.35">
      <c r="A142" t="s">
        <v>17</v>
      </c>
      <c r="B142">
        <v>2022</v>
      </c>
      <c r="C142">
        <v>276267.5</v>
      </c>
      <c r="D142" s="8">
        <v>0.97293174266815197</v>
      </c>
      <c r="E142" s="8">
        <v>0</v>
      </c>
      <c r="F142">
        <v>2.3891460387737302</v>
      </c>
      <c r="G142">
        <f t="shared" si="14"/>
        <v>2.4556152646657159</v>
      </c>
      <c r="H142">
        <f t="shared" si="16"/>
        <v>6.4515112301466448E-2</v>
      </c>
      <c r="I142">
        <f t="shared" si="15"/>
        <v>1</v>
      </c>
      <c r="J142" t="str">
        <f t="shared" si="17"/>
        <v/>
      </c>
      <c r="K142">
        <v>6.5731909871100903E-3</v>
      </c>
      <c r="L142">
        <v>3.9155401289462897E-2</v>
      </c>
      <c r="M142">
        <v>7.9642284810542904E-3</v>
      </c>
      <c r="N142">
        <v>2.75231562554836E-2</v>
      </c>
      <c r="O142">
        <f t="shared" si="18"/>
        <v>4.9471571110190605E-4</v>
      </c>
    </row>
    <row r="143" spans="1:15" x14ac:dyDescent="0.35">
      <c r="A143" t="s">
        <v>18</v>
      </c>
      <c r="B143">
        <v>2006</v>
      </c>
      <c r="C143">
        <v>540332.8125</v>
      </c>
      <c r="D143" s="8">
        <v>0.89671099185943604</v>
      </c>
      <c r="E143" s="8">
        <v>8.9999999999999993E-3</v>
      </c>
      <c r="F143">
        <v>2.2330005371663502</v>
      </c>
      <c r="G143">
        <f t="shared" si="14"/>
        <v>2.4902120721593475</v>
      </c>
      <c r="H143">
        <f t="shared" si="16"/>
        <v>1.4088855038267178E-2</v>
      </c>
      <c r="I143">
        <f t="shared" si="15"/>
        <v>1</v>
      </c>
      <c r="J143" t="str">
        <f t="shared" si="17"/>
        <v/>
      </c>
      <c r="K143">
        <v>3.01553435921669E-2</v>
      </c>
      <c r="L143">
        <v>2.3792304098606099E-2</v>
      </c>
      <c r="M143">
        <v>-3.2549657821655002E-3</v>
      </c>
      <c r="N143">
        <v>-2.3332098498939999E-3</v>
      </c>
      <c r="O143" t="str">
        <f t="shared" si="18"/>
        <v/>
      </c>
    </row>
    <row r="144" spans="1:15" x14ac:dyDescent="0.35">
      <c r="A144" t="s">
        <v>18</v>
      </c>
      <c r="B144">
        <v>2007</v>
      </c>
      <c r="C144">
        <v>547296.0625</v>
      </c>
      <c r="D144" s="8">
        <v>0.87953245639801003</v>
      </c>
      <c r="E144" s="8">
        <v>1.2E-2</v>
      </c>
      <c r="F144">
        <v>2.2412287793047598</v>
      </c>
      <c r="G144">
        <f t="shared" si="14"/>
        <v>2.5482047456024168</v>
      </c>
      <c r="H144">
        <f t="shared" si="16"/>
        <v>2.3288246849105576E-2</v>
      </c>
      <c r="I144">
        <f t="shared" si="15"/>
        <v>1</v>
      </c>
      <c r="J144" t="str">
        <f t="shared" si="17"/>
        <v/>
      </c>
      <c r="K144">
        <v>-3.2549657821655002E-3</v>
      </c>
      <c r="L144">
        <v>-2.3332098498939999E-3</v>
      </c>
      <c r="M144">
        <v>-5.1670146465301499E-2</v>
      </c>
      <c r="N144">
        <v>-2.2159342188388002E-2</v>
      </c>
      <c r="O144" t="str">
        <f t="shared" si="18"/>
        <v/>
      </c>
    </row>
    <row r="145" spans="1:15" x14ac:dyDescent="0.35">
      <c r="A145" t="s">
        <v>18</v>
      </c>
      <c r="B145">
        <v>2008</v>
      </c>
      <c r="C145">
        <v>554017.8125</v>
      </c>
      <c r="D145" s="8">
        <v>0.87529003620147705</v>
      </c>
      <c r="E145" s="8">
        <v>1.4999999999999999E-2</v>
      </c>
      <c r="F145">
        <v>2.39207413945278</v>
      </c>
      <c r="G145">
        <f t="shared" si="14"/>
        <v>2.7328931445783815</v>
      </c>
      <c r="H145">
        <f t="shared" si="16"/>
        <v>7.2477849079706891E-2</v>
      </c>
      <c r="I145">
        <f t="shared" si="15"/>
        <v>1</v>
      </c>
      <c r="J145" t="str">
        <f t="shared" si="17"/>
        <v/>
      </c>
      <c r="K145">
        <v>-5.1670146465301499E-2</v>
      </c>
      <c r="L145">
        <v>-2.2159342188388002E-2</v>
      </c>
      <c r="M145">
        <v>-3.1739697515964498E-2</v>
      </c>
      <c r="N145">
        <v>-5.1729958504438496E-3</v>
      </c>
      <c r="O145" t="str">
        <f t="shared" si="18"/>
        <v/>
      </c>
    </row>
    <row r="146" spans="1:15" x14ac:dyDescent="0.35">
      <c r="A146" t="s">
        <v>18</v>
      </c>
      <c r="B146">
        <v>2009</v>
      </c>
      <c r="C146">
        <v>560270.375</v>
      </c>
      <c r="D146" s="8">
        <v>0.88193655014038097</v>
      </c>
      <c r="E146" s="8">
        <v>5.2999999999999999E-2</v>
      </c>
      <c r="F146">
        <v>2.4451303504923199</v>
      </c>
      <c r="G146">
        <f t="shared" si="14"/>
        <v>2.7724560798655182</v>
      </c>
      <c r="H146">
        <f t="shared" si="16"/>
        <v>1.4476575992597107E-2</v>
      </c>
      <c r="I146">
        <f t="shared" si="15"/>
        <v>1</v>
      </c>
      <c r="J146" t="str">
        <f t="shared" si="17"/>
        <v/>
      </c>
      <c r="K146">
        <v>-3.1739697515964498E-2</v>
      </c>
      <c r="L146">
        <v>-5.1729958504438496E-3</v>
      </c>
      <c r="M146">
        <v>-4.8441385701299003E-3</v>
      </c>
      <c r="N146">
        <v>4.6159701887517803E-3</v>
      </c>
      <c r="O146" t="str">
        <f t="shared" si="18"/>
        <v/>
      </c>
    </row>
    <row r="147" spans="1:15" x14ac:dyDescent="0.35">
      <c r="A147" t="s">
        <v>18</v>
      </c>
      <c r="B147">
        <v>2010</v>
      </c>
      <c r="C147">
        <v>567673.5</v>
      </c>
      <c r="D147" s="8">
        <v>0.89419060945510898</v>
      </c>
      <c r="E147" s="8">
        <v>1.7000000000000001E-2</v>
      </c>
      <c r="F147">
        <v>2.3320947072554898</v>
      </c>
      <c r="G147">
        <f t="shared" si="14"/>
        <v>2.6080509933744365</v>
      </c>
      <c r="H147">
        <f t="shared" si="16"/>
        <v>-5.929943766649548E-2</v>
      </c>
      <c r="I147">
        <f t="shared" si="15"/>
        <v>0</v>
      </c>
      <c r="J147">
        <f t="shared" si="17"/>
        <v>4</v>
      </c>
      <c r="K147">
        <v>-4.8441385701299003E-3</v>
      </c>
      <c r="L147">
        <v>4.6159701887517803E-3</v>
      </c>
      <c r="M147">
        <v>-1.9848239950835699E-2</v>
      </c>
      <c r="N147">
        <v>1.4355345629156E-3</v>
      </c>
      <c r="O147">
        <f t="shared" si="18"/>
        <v>-2.1185292862355423E-3</v>
      </c>
    </row>
    <row r="148" spans="1:15" x14ac:dyDescent="0.35">
      <c r="A148" t="s">
        <v>18</v>
      </c>
      <c r="B148">
        <v>2011</v>
      </c>
      <c r="C148">
        <v>571904.8125</v>
      </c>
      <c r="D148" s="8">
        <v>0.89422583580017101</v>
      </c>
      <c r="E148" s="8">
        <v>3.0000000000000001E-3</v>
      </c>
      <c r="F148">
        <v>2.4633475774523901</v>
      </c>
      <c r="G148">
        <f t="shared" si="14"/>
        <v>2.7547264671101095</v>
      </c>
      <c r="H148">
        <f t="shared" si="16"/>
        <v>5.623949612499568E-2</v>
      </c>
      <c r="I148">
        <f t="shared" si="15"/>
        <v>1</v>
      </c>
      <c r="J148">
        <f t="shared" si="17"/>
        <v>4</v>
      </c>
      <c r="K148">
        <v>-1.9848239950835699E-2</v>
      </c>
      <c r="L148">
        <v>1.4355345629156E-3</v>
      </c>
      <c r="M148">
        <v>-4.6922828108071999E-3</v>
      </c>
      <c r="N148">
        <v>7.4592325836419799E-4</v>
      </c>
      <c r="O148">
        <f t="shared" si="18"/>
        <v>-4.5898348093032625E-3</v>
      </c>
    </row>
    <row r="149" spans="1:15" x14ac:dyDescent="0.35">
      <c r="A149" t="s">
        <v>18</v>
      </c>
      <c r="B149">
        <v>2012</v>
      </c>
      <c r="C149">
        <v>576721.375</v>
      </c>
      <c r="D149" s="8">
        <v>0.89967674016952504</v>
      </c>
      <c r="E149" s="8">
        <v>1.7999999999999999E-2</v>
      </c>
      <c r="F149">
        <v>2.3688311688311599</v>
      </c>
      <c r="G149">
        <f t="shared" si="14"/>
        <v>2.6329803395659686</v>
      </c>
      <c r="H149">
        <f t="shared" si="16"/>
        <v>-4.4195359865206729E-2</v>
      </c>
      <c r="I149">
        <f t="shared" si="15"/>
        <v>0</v>
      </c>
      <c r="J149">
        <f t="shared" si="17"/>
        <v>3</v>
      </c>
      <c r="K149">
        <v>-4.6922828108071999E-3</v>
      </c>
      <c r="L149">
        <v>6.603244692087E-4</v>
      </c>
      <c r="M149">
        <v>4.7423845529556002E-3</v>
      </c>
      <c r="N149">
        <v>-1.384386792779E-3</v>
      </c>
      <c r="O149">
        <f t="shared" si="18"/>
        <v>-2.8438391163944825E-3</v>
      </c>
    </row>
    <row r="150" spans="1:15" x14ac:dyDescent="0.35">
      <c r="A150" t="s">
        <v>18</v>
      </c>
      <c r="B150">
        <v>2013</v>
      </c>
      <c r="C150">
        <v>579987.1875</v>
      </c>
      <c r="D150" s="8">
        <v>0.90831303596496604</v>
      </c>
      <c r="E150" s="8">
        <v>8.9999999999999993E-3</v>
      </c>
      <c r="F150">
        <v>2.2995971388637599</v>
      </c>
      <c r="G150">
        <f t="shared" si="14"/>
        <v>2.5317231480892852</v>
      </c>
      <c r="H150">
        <f t="shared" si="16"/>
        <v>-3.845725315722448E-2</v>
      </c>
      <c r="I150">
        <f t="shared" si="15"/>
        <v>0</v>
      </c>
      <c r="J150">
        <f t="shared" si="17"/>
        <v>2</v>
      </c>
      <c r="K150">
        <v>4.7423845529556002E-3</v>
      </c>
      <c r="L150">
        <v>-1.384386792779E-3</v>
      </c>
      <c r="M150">
        <v>4.8209156990050902E-3</v>
      </c>
      <c r="N150">
        <v>2.81289219856259E-3</v>
      </c>
      <c r="O150">
        <f t="shared" si="18"/>
        <v>-2.9671227559446801E-3</v>
      </c>
    </row>
    <row r="151" spans="1:15" x14ac:dyDescent="0.35">
      <c r="A151" t="s">
        <v>18</v>
      </c>
      <c r="B151">
        <v>2014</v>
      </c>
      <c r="C151">
        <v>583941.25</v>
      </c>
      <c r="D151" s="8">
        <v>0.90445530414581299</v>
      </c>
      <c r="E151" s="8">
        <v>2.1000000000000001E-2</v>
      </c>
      <c r="F151">
        <v>2.4465081723625501</v>
      </c>
      <c r="G151">
        <f t="shared" si="14"/>
        <v>2.7049519872881778</v>
      </c>
      <c r="H151">
        <f t="shared" si="16"/>
        <v>6.8423294754653474E-2</v>
      </c>
      <c r="I151">
        <f t="shared" si="15"/>
        <v>1</v>
      </c>
      <c r="J151">
        <f t="shared" si="17"/>
        <v>2</v>
      </c>
      <c r="K151">
        <v>4.8209156990050902E-3</v>
      </c>
      <c r="L151">
        <v>2.81289219856259E-3</v>
      </c>
      <c r="M151">
        <v>1.60608423650264E-2</v>
      </c>
      <c r="N151">
        <v>-1.42026096582411E-2</v>
      </c>
      <c r="O151">
        <f t="shared" si="18"/>
        <v>-2.78775207698298E-4</v>
      </c>
    </row>
    <row r="152" spans="1:15" x14ac:dyDescent="0.35">
      <c r="A152" t="s">
        <v>18</v>
      </c>
      <c r="B152">
        <v>2015</v>
      </c>
      <c r="C152">
        <v>590014.5625</v>
      </c>
      <c r="D152" s="8">
        <v>0.90257340669632002</v>
      </c>
      <c r="E152" s="8">
        <v>5.2999999999999999E-2</v>
      </c>
      <c r="F152">
        <v>2.53969102138961</v>
      </c>
      <c r="G152">
        <f t="shared" si="14"/>
        <v>2.8138332046427275</v>
      </c>
      <c r="H152">
        <f t="shared" si="16"/>
        <v>4.0252550827605482E-2</v>
      </c>
      <c r="I152">
        <f t="shared" si="15"/>
        <v>1</v>
      </c>
      <c r="J152">
        <f t="shared" si="17"/>
        <v>3</v>
      </c>
      <c r="K152">
        <v>1.60608423650264E-2</v>
      </c>
      <c r="L152">
        <v>-1.42026096582411E-2</v>
      </c>
      <c r="M152">
        <v>2.2325639501213999E-3</v>
      </c>
      <c r="N152">
        <v>-1.0920993052423E-2</v>
      </c>
      <c r="O152">
        <f t="shared" si="18"/>
        <v>6.8978538736701013E-3</v>
      </c>
    </row>
    <row r="153" spans="1:15" x14ac:dyDescent="0.35">
      <c r="A153" t="s">
        <v>18</v>
      </c>
      <c r="B153">
        <v>2016</v>
      </c>
      <c r="C153">
        <v>595348.375</v>
      </c>
      <c r="D153" s="8">
        <v>0.89717644453048695</v>
      </c>
      <c r="E153" s="8">
        <v>2.9000000000000001E-2</v>
      </c>
      <c r="F153">
        <v>2.44131767700138</v>
      </c>
      <c r="G153">
        <f t="shared" si="14"/>
        <v>2.721112097720062</v>
      </c>
      <c r="H153">
        <f t="shared" si="16"/>
        <v>-3.2951884557222089E-2</v>
      </c>
      <c r="I153">
        <f t="shared" si="15"/>
        <v>0</v>
      </c>
      <c r="J153">
        <f t="shared" si="17"/>
        <v>2</v>
      </c>
      <c r="K153">
        <v>2.2325639501213999E-3</v>
      </c>
      <c r="L153">
        <v>-1.0920993052423E-2</v>
      </c>
      <c r="M153">
        <v>1.22654751837253E-2</v>
      </c>
      <c r="N153">
        <v>9.4759017229080998E-3</v>
      </c>
      <c r="O153">
        <f t="shared" si="18"/>
        <v>8.6687881499528819E-3</v>
      </c>
    </row>
    <row r="154" spans="1:15" x14ac:dyDescent="0.35">
      <c r="A154" t="s">
        <v>18</v>
      </c>
      <c r="B154">
        <v>2017</v>
      </c>
      <c r="C154">
        <v>600068.8125</v>
      </c>
      <c r="D154" s="8">
        <v>0.90865594148635898</v>
      </c>
      <c r="E154" s="8">
        <v>1.7000000000000001E-2</v>
      </c>
      <c r="F154">
        <v>2.3540886514266002</v>
      </c>
      <c r="G154">
        <f t="shared" si="14"/>
        <v>2.590737091946854</v>
      </c>
      <c r="H154">
        <f t="shared" si="16"/>
        <v>-4.7912397979651522E-2</v>
      </c>
      <c r="I154">
        <f t="shared" si="15"/>
        <v>0</v>
      </c>
      <c r="J154">
        <f t="shared" si="17"/>
        <v>2</v>
      </c>
      <c r="K154">
        <v>1.22654751837253E-2</v>
      </c>
      <c r="L154">
        <v>9.4759017229080998E-3</v>
      </c>
      <c r="M154">
        <v>7.1342179775237997E-3</v>
      </c>
      <c r="N154">
        <v>-2.0008049905299902E-3</v>
      </c>
      <c r="O154">
        <f t="shared" si="18"/>
        <v>4.1948389261960827E-3</v>
      </c>
    </row>
    <row r="155" spans="1:15" x14ac:dyDescent="0.35">
      <c r="A155" t="s">
        <v>18</v>
      </c>
      <c r="B155">
        <v>2018</v>
      </c>
      <c r="C155">
        <v>604204.875</v>
      </c>
      <c r="D155" s="8">
        <v>0.90646588802337602</v>
      </c>
      <c r="E155" s="8">
        <v>1.2999999999999999E-2</v>
      </c>
      <c r="F155">
        <v>2.2818740994375801</v>
      </c>
      <c r="G155">
        <f t="shared" si="14"/>
        <v>2.5173303591306624</v>
      </c>
      <c r="H155">
        <f t="shared" si="16"/>
        <v>-2.8334304180988479E-2</v>
      </c>
      <c r="I155">
        <f t="shared" si="15"/>
        <v>0</v>
      </c>
      <c r="J155">
        <f t="shared" si="17"/>
        <v>2</v>
      </c>
      <c r="K155">
        <v>7.1342179775237997E-3</v>
      </c>
      <c r="L155">
        <v>-2.0008049905299902E-3</v>
      </c>
      <c r="M155">
        <v>3.4055824548006097E-2</v>
      </c>
      <c r="N155">
        <v>1.6254629939794499E-2</v>
      </c>
      <c r="O155">
        <f t="shared" si="18"/>
        <v>1.1247832328081012E-3</v>
      </c>
    </row>
    <row r="156" spans="1:15" x14ac:dyDescent="0.35">
      <c r="A156" t="s">
        <v>18</v>
      </c>
      <c r="B156">
        <v>2019</v>
      </c>
      <c r="C156">
        <v>608788.5625</v>
      </c>
      <c r="D156" s="8">
        <v>0.90877532958984397</v>
      </c>
      <c r="E156" s="8">
        <v>3.3000000000000002E-2</v>
      </c>
      <c r="F156">
        <v>2.2900096029669799</v>
      </c>
      <c r="G156">
        <f t="shared" si="14"/>
        <v>2.5198853098273761</v>
      </c>
      <c r="H156">
        <f t="shared" si="16"/>
        <v>1.0149445373535126E-3</v>
      </c>
      <c r="I156">
        <f t="shared" si="15"/>
        <v>1</v>
      </c>
      <c r="J156" t="str">
        <f t="shared" si="17"/>
        <v/>
      </c>
      <c r="K156">
        <v>3.4055824548006097E-2</v>
      </c>
      <c r="L156">
        <v>1.6254629939794499E-2</v>
      </c>
      <c r="M156">
        <v>4.0529726177453998E-2</v>
      </c>
      <c r="N156">
        <v>2.1680535748600901E-2</v>
      </c>
      <c r="O156">
        <f t="shared" si="18"/>
        <v>1.4069536700844799E-3</v>
      </c>
    </row>
    <row r="157" spans="1:15" x14ac:dyDescent="0.35">
      <c r="A157" t="s">
        <v>18</v>
      </c>
      <c r="B157">
        <v>2020</v>
      </c>
      <c r="C157">
        <v>613228.5</v>
      </c>
      <c r="D157" s="8">
        <v>0.93004453182220503</v>
      </c>
      <c r="E157" s="8">
        <v>1.2E-2</v>
      </c>
      <c r="F157">
        <v>2.3051758299716298</v>
      </c>
      <c r="G157">
        <f t="shared" si="14"/>
        <v>2.4785650053284827</v>
      </c>
      <c r="H157">
        <f t="shared" si="16"/>
        <v>-1.6397692521063267E-2</v>
      </c>
      <c r="I157">
        <f t="shared" si="15"/>
        <v>0</v>
      </c>
      <c r="J157" t="str">
        <f t="shared" si="17"/>
        <v/>
      </c>
      <c r="K157">
        <v>4.0529726177453998E-2</v>
      </c>
      <c r="L157">
        <v>2.1680535748600901E-2</v>
      </c>
      <c r="M157">
        <v>4.1523291051387801E-2</v>
      </c>
      <c r="N157">
        <v>-2.0663216710091001E-3</v>
      </c>
      <c r="O157">
        <f t="shared" si="18"/>
        <v>-3.6383811384439304E-3</v>
      </c>
    </row>
    <row r="158" spans="1:15" x14ac:dyDescent="0.35">
      <c r="A158" t="s">
        <v>18</v>
      </c>
      <c r="B158">
        <v>2021</v>
      </c>
      <c r="C158">
        <v>618254.1875</v>
      </c>
      <c r="D158" s="8">
        <v>0.91065460443496704</v>
      </c>
      <c r="E158" s="8">
        <v>4.7E-2</v>
      </c>
      <c r="F158">
        <v>2.2248980293487901</v>
      </c>
      <c r="G158">
        <f t="shared" si="14"/>
        <v>2.4431853948943356</v>
      </c>
      <c r="H158">
        <f t="shared" si="16"/>
        <v>-1.4274231403286652E-2</v>
      </c>
      <c r="I158">
        <f t="shared" si="15"/>
        <v>0</v>
      </c>
      <c r="J158" t="str">
        <f t="shared" si="17"/>
        <v/>
      </c>
      <c r="K158">
        <v>4.1523291051387801E-2</v>
      </c>
      <c r="L158">
        <v>-2.0663216710091001E-3</v>
      </c>
      <c r="M158">
        <v>-4.4997351169586197E-2</v>
      </c>
      <c r="N158">
        <v>-1.28938443958759E-2</v>
      </c>
      <c r="O158">
        <f t="shared" si="18"/>
        <v>-5.7956561446189502E-3</v>
      </c>
    </row>
    <row r="159" spans="1:15" x14ac:dyDescent="0.35">
      <c r="A159" t="s">
        <v>18</v>
      </c>
      <c r="B159">
        <v>2022</v>
      </c>
      <c r="C159">
        <v>626112.4375</v>
      </c>
      <c r="D159" s="8">
        <v>0.87172782421112105</v>
      </c>
      <c r="E159" s="8">
        <v>6.5000000000000002E-2</v>
      </c>
      <c r="F159">
        <v>2.3699642507895202</v>
      </c>
      <c r="G159">
        <f t="shared" si="14"/>
        <v>2.7186974936061534</v>
      </c>
      <c r="H159">
        <f t="shared" si="16"/>
        <v>0.11276757764170142</v>
      </c>
      <c r="I159">
        <f t="shared" si="15"/>
        <v>1</v>
      </c>
      <c r="J159" t="str">
        <f t="shared" si="17"/>
        <v/>
      </c>
      <c r="K159">
        <v>-4.4997351169586197E-2</v>
      </c>
      <c r="L159">
        <v>-1.2415140867233301E-2</v>
      </c>
      <c r="M159">
        <v>-3.6910011231899201E-2</v>
      </c>
      <c r="N159">
        <v>-1.7351083457469899E-2</v>
      </c>
      <c r="O159">
        <f t="shared" si="18"/>
        <v>-2.0976684521883337E-3</v>
      </c>
    </row>
    <row r="160" spans="1:15" x14ac:dyDescent="0.35">
      <c r="A160" t="s">
        <v>19</v>
      </c>
      <c r="B160">
        <v>2006</v>
      </c>
      <c r="C160">
        <v>1530992</v>
      </c>
      <c r="D160" s="8">
        <v>0.93183219432830799</v>
      </c>
      <c r="E160" s="8">
        <v>2.3E-2</v>
      </c>
      <c r="F160">
        <v>2.2085810534379</v>
      </c>
      <c r="G160">
        <f t="shared" si="14"/>
        <v>2.3701489032903722</v>
      </c>
      <c r="H160">
        <f t="shared" si="16"/>
        <v>-0.1282042563159379</v>
      </c>
      <c r="I160">
        <f t="shared" si="15"/>
        <v>0</v>
      </c>
      <c r="J160" t="str">
        <f t="shared" si="17"/>
        <v/>
      </c>
      <c r="K160">
        <v>5.0768234133719897E-3</v>
      </c>
      <c r="L160">
        <v>-1.28621608018879E-3</v>
      </c>
      <c r="M160">
        <v>1.6743726193904799E-2</v>
      </c>
      <c r="N160">
        <v>1.7665482126176399E-2</v>
      </c>
      <c r="O160" t="str">
        <f t="shared" si="18"/>
        <v/>
      </c>
    </row>
    <row r="161" spans="1:15" x14ac:dyDescent="0.35">
      <c r="A161" t="s">
        <v>19</v>
      </c>
      <c r="B161">
        <v>2007</v>
      </c>
      <c r="C161">
        <v>1591849</v>
      </c>
      <c r="D161" s="8">
        <v>0.93416368961334195</v>
      </c>
      <c r="E161" s="8">
        <v>2.1000000000000001E-2</v>
      </c>
      <c r="F161">
        <v>2.26883934910874</v>
      </c>
      <c r="G161">
        <f t="shared" si="14"/>
        <v>2.4287385330164475</v>
      </c>
      <c r="H161">
        <f t="shared" si="16"/>
        <v>2.4719809647713697E-2</v>
      </c>
      <c r="I161">
        <f t="shared" si="15"/>
        <v>1</v>
      </c>
      <c r="J161" t="str">
        <f t="shared" si="17"/>
        <v/>
      </c>
      <c r="K161">
        <v>1.6743726193904799E-2</v>
      </c>
      <c r="L161">
        <v>1.7665482126176399E-2</v>
      </c>
      <c r="M161">
        <v>-3.3056942570954498E-2</v>
      </c>
      <c r="N161">
        <v>-3.5461382940411498E-3</v>
      </c>
      <c r="O161" t="str">
        <f t="shared" si="18"/>
        <v/>
      </c>
    </row>
    <row r="162" spans="1:15" x14ac:dyDescent="0.35">
      <c r="A162" t="s">
        <v>19</v>
      </c>
      <c r="B162">
        <v>2008</v>
      </c>
      <c r="C162">
        <v>1646057</v>
      </c>
      <c r="D162" s="8">
        <v>0.90785193443298295</v>
      </c>
      <c r="E162" s="8">
        <v>6.9000000000000006E-2</v>
      </c>
      <c r="F162">
        <v>2.2447985617389801</v>
      </c>
      <c r="G162">
        <f t="shared" si="14"/>
        <v>2.4726483213818495</v>
      </c>
      <c r="H162">
        <f t="shared" si="16"/>
        <v>1.8079257099308688E-2</v>
      </c>
      <c r="I162">
        <f t="shared" si="15"/>
        <v>1</v>
      </c>
      <c r="J162" t="str">
        <f t="shared" si="17"/>
        <v/>
      </c>
      <c r="K162">
        <v>-3.3056942570954498E-2</v>
      </c>
      <c r="L162">
        <v>-3.5461382940411498E-3</v>
      </c>
      <c r="M162">
        <v>-3.9419398367404899E-2</v>
      </c>
      <c r="N162">
        <v>-1.28526967018842E-2</v>
      </c>
      <c r="O162" t="str">
        <f t="shared" si="18"/>
        <v/>
      </c>
    </row>
    <row r="163" spans="1:15" x14ac:dyDescent="0.35">
      <c r="A163" t="s">
        <v>19</v>
      </c>
      <c r="B163">
        <v>2009</v>
      </c>
      <c r="C163">
        <v>1693767</v>
      </c>
      <c r="D163" s="8">
        <v>0.90347921848297097</v>
      </c>
      <c r="E163" s="8">
        <v>2.7E-2</v>
      </c>
      <c r="F163">
        <v>2.2654472269833001</v>
      </c>
      <c r="G163">
        <f t="shared" si="14"/>
        <v>2.5074702114202529</v>
      </c>
      <c r="H163">
        <f t="shared" si="16"/>
        <v>1.4082831649485428E-2</v>
      </c>
      <c r="I163">
        <f t="shared" si="15"/>
        <v>1</v>
      </c>
      <c r="J163" t="str">
        <f t="shared" si="17"/>
        <v/>
      </c>
      <c r="K163">
        <v>-3.9419398367404899E-2</v>
      </c>
      <c r="L163">
        <v>-1.28526967018842E-2</v>
      </c>
      <c r="M163">
        <v>-3.8640146926045E-3</v>
      </c>
      <c r="N163">
        <v>5.5960940662771802E-3</v>
      </c>
      <c r="O163" t="str">
        <f t="shared" si="18"/>
        <v/>
      </c>
    </row>
    <row r="164" spans="1:15" x14ac:dyDescent="0.35">
      <c r="A164" t="s">
        <v>19</v>
      </c>
      <c r="B164">
        <v>2010</v>
      </c>
      <c r="C164">
        <v>1741076</v>
      </c>
      <c r="D164" s="8">
        <v>0.92493540048599199</v>
      </c>
      <c r="E164" s="8">
        <v>8.9999999999999993E-3</v>
      </c>
      <c r="F164">
        <v>2.3617585120065501</v>
      </c>
      <c r="G164">
        <f t="shared" si="14"/>
        <v>2.5534307701549785</v>
      </c>
      <c r="H164">
        <f t="shared" si="16"/>
        <v>1.832945353663562E-2</v>
      </c>
      <c r="I164">
        <f t="shared" si="15"/>
        <v>1</v>
      </c>
      <c r="J164">
        <f t="shared" si="17"/>
        <v>4</v>
      </c>
      <c r="K164">
        <v>-3.8640146926045E-3</v>
      </c>
      <c r="L164">
        <v>5.5960940662771802E-3</v>
      </c>
      <c r="M164">
        <v>-9.6910636574029999E-3</v>
      </c>
      <c r="N164">
        <v>1.15927108563483E-2</v>
      </c>
      <c r="O164">
        <f t="shared" si="18"/>
        <v>1.2057499494403599E-2</v>
      </c>
    </row>
    <row r="165" spans="1:15" x14ac:dyDescent="0.35">
      <c r="A165" t="s">
        <v>19</v>
      </c>
      <c r="B165">
        <v>2011</v>
      </c>
      <c r="C165">
        <v>1794669</v>
      </c>
      <c r="D165" s="8">
        <v>0.93185597658157304</v>
      </c>
      <c r="E165" s="8">
        <v>2E-3</v>
      </c>
      <c r="F165">
        <v>2.2153751295828199</v>
      </c>
      <c r="G165">
        <f t="shared" si="14"/>
        <v>2.3773793217592676</v>
      </c>
      <c r="H165">
        <f t="shared" si="16"/>
        <v>-6.8947022356523724E-2</v>
      </c>
      <c r="I165">
        <f t="shared" si="15"/>
        <v>0</v>
      </c>
      <c r="J165">
        <f t="shared" si="17"/>
        <v>4</v>
      </c>
      <c r="K165">
        <v>-9.6910636574029999E-3</v>
      </c>
      <c r="L165">
        <v>1.15927108563483E-2</v>
      </c>
      <c r="M165">
        <v>7.8966726511717003E-3</v>
      </c>
      <c r="N165">
        <v>1.3334878720343101E-2</v>
      </c>
      <c r="O165">
        <f t="shared" si="18"/>
        <v>7.7539505437016392E-3</v>
      </c>
    </row>
    <row r="166" spans="1:15" x14ac:dyDescent="0.35">
      <c r="A166" t="s">
        <v>19</v>
      </c>
      <c r="B166">
        <v>2012</v>
      </c>
      <c r="C166">
        <v>1848120</v>
      </c>
      <c r="D166" s="8">
        <v>0.93640202283859297</v>
      </c>
      <c r="E166" s="8">
        <v>2.4E-2</v>
      </c>
      <c r="F166">
        <v>2.2781879382496601</v>
      </c>
      <c r="G166">
        <f t="shared" si="14"/>
        <v>2.4329165066769085</v>
      </c>
      <c r="H166">
        <f t="shared" si="16"/>
        <v>2.3360674676241144E-2</v>
      </c>
      <c r="I166">
        <f t="shared" si="15"/>
        <v>1</v>
      </c>
      <c r="J166">
        <f t="shared" si="17"/>
        <v>4</v>
      </c>
      <c r="K166">
        <v>7.8966726511717003E-3</v>
      </c>
      <c r="L166">
        <v>1.32492799311876E-2</v>
      </c>
      <c r="M166">
        <v>1.9104745835065801E-2</v>
      </c>
      <c r="N166">
        <v>1.29779744893312E-2</v>
      </c>
      <c r="O166">
        <f t="shared" si="18"/>
        <v>2.590139582753199E-3</v>
      </c>
    </row>
    <row r="167" spans="1:15" x14ac:dyDescent="0.35">
      <c r="A167" t="s">
        <v>19</v>
      </c>
      <c r="B167">
        <v>2013</v>
      </c>
      <c r="C167">
        <v>1899710</v>
      </c>
      <c r="D167" s="8">
        <v>0.93115162849426303</v>
      </c>
      <c r="E167" s="8">
        <v>4.1000000000000002E-2</v>
      </c>
      <c r="F167">
        <v>2.27194248550652</v>
      </c>
      <c r="G167">
        <f t="shared" si="14"/>
        <v>2.4399275219873795</v>
      </c>
      <c r="H167">
        <f t="shared" si="16"/>
        <v>2.8817328055565916E-3</v>
      </c>
      <c r="I167">
        <f t="shared" si="15"/>
        <v>1</v>
      </c>
      <c r="J167">
        <f t="shared" si="17"/>
        <v>4</v>
      </c>
      <c r="K167">
        <v>1.9104745835065801E-2</v>
      </c>
      <c r="L167">
        <v>1.29779744893312E-2</v>
      </c>
      <c r="M167">
        <v>9.2495761960744993E-3</v>
      </c>
      <c r="N167">
        <v>7.2415526956319896E-3</v>
      </c>
      <c r="O167">
        <f t="shared" si="18"/>
        <v>1.5918441116810182E-3</v>
      </c>
    </row>
    <row r="168" spans="1:15" x14ac:dyDescent="0.35">
      <c r="A168" t="s">
        <v>19</v>
      </c>
      <c r="B168">
        <v>2014</v>
      </c>
      <c r="C168">
        <v>1959680</v>
      </c>
      <c r="D168" s="8">
        <v>0.92379623651504505</v>
      </c>
      <c r="E168" s="8">
        <v>4.8000000000000001E-2</v>
      </c>
      <c r="F168">
        <v>2.2287328707633698</v>
      </c>
      <c r="G168">
        <f t="shared" si="14"/>
        <v>2.4125805915502583</v>
      </c>
      <c r="H168">
        <f t="shared" si="16"/>
        <v>-1.1208091302173817E-2</v>
      </c>
      <c r="I168">
        <f t="shared" si="15"/>
        <v>0</v>
      </c>
      <c r="J168">
        <f t="shared" si="17"/>
        <v>3</v>
      </c>
      <c r="K168">
        <v>9.2495761960744993E-3</v>
      </c>
      <c r="L168">
        <v>7.2415526956319896E-3</v>
      </c>
      <c r="M168">
        <v>4.5403832733631098E-2</v>
      </c>
      <c r="N168">
        <v>1.51403807103634E-2</v>
      </c>
      <c r="O168">
        <f t="shared" si="18"/>
        <v>2.3970555514097602E-3</v>
      </c>
    </row>
    <row r="169" spans="1:15" x14ac:dyDescent="0.35">
      <c r="A169" t="s">
        <v>19</v>
      </c>
      <c r="B169">
        <v>2015</v>
      </c>
      <c r="C169">
        <v>2019753</v>
      </c>
      <c r="D169" s="8">
        <v>0.92827242612838701</v>
      </c>
      <c r="E169" s="8">
        <v>4.8000000000000001E-2</v>
      </c>
      <c r="F169">
        <v>2.2229072502201799</v>
      </c>
      <c r="G169">
        <f t="shared" si="14"/>
        <v>2.3946712060503832</v>
      </c>
      <c r="H169">
        <f t="shared" si="16"/>
        <v>-7.4233314993084054E-3</v>
      </c>
      <c r="I169">
        <f t="shared" si="15"/>
        <v>0</v>
      </c>
      <c r="J169">
        <f t="shared" si="17"/>
        <v>2</v>
      </c>
      <c r="K169">
        <v>4.5403832733631098E-2</v>
      </c>
      <c r="L169">
        <v>1.51403807103634E-2</v>
      </c>
      <c r="M169">
        <v>3.22852310538289E-3</v>
      </c>
      <c r="N169">
        <v>-9.9250338971614994E-3</v>
      </c>
      <c r="O169">
        <f t="shared" si="18"/>
        <v>-8.5613753646611602E-3</v>
      </c>
    </row>
    <row r="170" spans="1:15" x14ac:dyDescent="0.35">
      <c r="A170" t="s">
        <v>19</v>
      </c>
      <c r="B170">
        <v>2016</v>
      </c>
      <c r="C170">
        <v>2078534.875</v>
      </c>
      <c r="D170" s="8">
        <v>0.910619556903839</v>
      </c>
      <c r="E170" s="8">
        <v>5.8999999999999997E-2</v>
      </c>
      <c r="F170">
        <v>2.2297250327041001</v>
      </c>
      <c r="G170">
        <f t="shared" si="14"/>
        <v>2.4485802175008176</v>
      </c>
      <c r="H170">
        <f t="shared" si="16"/>
        <v>2.2512072352240953E-2</v>
      </c>
      <c r="I170">
        <f t="shared" si="15"/>
        <v>1</v>
      </c>
      <c r="J170">
        <f t="shared" si="17"/>
        <v>3</v>
      </c>
      <c r="K170">
        <v>3.22852310538289E-3</v>
      </c>
      <c r="L170">
        <v>-9.9250338971614994E-3</v>
      </c>
      <c r="M170">
        <v>-9.6946026235818997E-3</v>
      </c>
      <c r="N170">
        <v>-1.24841760843991E-2</v>
      </c>
      <c r="O170">
        <f t="shared" si="18"/>
        <v>7.583686336874962E-3</v>
      </c>
    </row>
    <row r="171" spans="1:15" x14ac:dyDescent="0.35">
      <c r="A171" t="s">
        <v>19</v>
      </c>
      <c r="B171">
        <v>2017</v>
      </c>
      <c r="C171">
        <v>2131416</v>
      </c>
      <c r="D171" s="8">
        <v>0.90020132064819303</v>
      </c>
      <c r="E171" s="8">
        <v>5.1999999999999998E-2</v>
      </c>
      <c r="F171">
        <v>2.1895553925349001</v>
      </c>
      <c r="G171">
        <f t="shared" si="14"/>
        <v>2.4322952458660061</v>
      </c>
      <c r="H171">
        <f t="shared" si="16"/>
        <v>-6.6507813460295884E-3</v>
      </c>
      <c r="I171">
        <f t="shared" si="15"/>
        <v>0</v>
      </c>
      <c r="J171">
        <f t="shared" si="17"/>
        <v>2</v>
      </c>
      <c r="K171">
        <v>-9.6946026235818997E-3</v>
      </c>
      <c r="L171">
        <v>-1.24841760843991E-2</v>
      </c>
      <c r="M171">
        <v>1.7121520102024099E-2</v>
      </c>
      <c r="N171">
        <v>7.9864971339703005E-3</v>
      </c>
      <c r="O171">
        <f t="shared" si="18"/>
        <v>5.820746719837182E-3</v>
      </c>
    </row>
    <row r="172" spans="1:15" x14ac:dyDescent="0.35">
      <c r="A172" t="s">
        <v>19</v>
      </c>
      <c r="B172">
        <v>2018</v>
      </c>
      <c r="C172">
        <v>2185146</v>
      </c>
      <c r="D172" s="8">
        <v>0.92175209522247303</v>
      </c>
      <c r="E172" s="8">
        <v>3.3000000000000002E-2</v>
      </c>
      <c r="F172">
        <v>2.2593084707533699</v>
      </c>
      <c r="G172">
        <f t="shared" si="14"/>
        <v>2.4511020723072678</v>
      </c>
      <c r="H172">
        <f t="shared" si="16"/>
        <v>7.7321313986147278E-3</v>
      </c>
      <c r="I172">
        <f t="shared" si="15"/>
        <v>1</v>
      </c>
      <c r="J172">
        <f t="shared" si="17"/>
        <v>2</v>
      </c>
      <c r="K172">
        <v>1.7121520102024099E-2</v>
      </c>
      <c r="L172">
        <v>7.9864971339703005E-3</v>
      </c>
      <c r="M172">
        <v>2.9068804502487201E-2</v>
      </c>
      <c r="N172">
        <v>1.12676098942757E-2</v>
      </c>
      <c r="O172">
        <f t="shared" si="18"/>
        <v>-9.9916510283947196E-3</v>
      </c>
    </row>
    <row r="173" spans="1:15" x14ac:dyDescent="0.35">
      <c r="A173" t="s">
        <v>19</v>
      </c>
      <c r="B173">
        <v>2019</v>
      </c>
      <c r="C173">
        <v>2248783</v>
      </c>
      <c r="D173" s="8">
        <v>0.91739618778228804</v>
      </c>
      <c r="E173" s="8">
        <v>4.8000000000000001E-2</v>
      </c>
      <c r="F173">
        <v>2.2024781349435298</v>
      </c>
      <c r="G173">
        <f t="shared" si="14"/>
        <v>2.4007927700983767</v>
      </c>
      <c r="H173">
        <f t="shared" si="16"/>
        <v>-2.0525176318558658E-2</v>
      </c>
      <c r="I173">
        <f t="shared" si="15"/>
        <v>0</v>
      </c>
      <c r="J173" t="str">
        <f t="shared" si="17"/>
        <v/>
      </c>
      <c r="K173">
        <v>2.9068804502487201E-2</v>
      </c>
      <c r="L173">
        <v>1.12676098942757E-2</v>
      </c>
      <c r="M173">
        <v>-2.0802583441138198E-2</v>
      </c>
      <c r="N173">
        <v>-3.9651773869991198E-2</v>
      </c>
      <c r="O173">
        <f t="shared" si="18"/>
        <v>-9.0839857235551196E-3</v>
      </c>
    </row>
    <row r="174" spans="1:15" x14ac:dyDescent="0.35">
      <c r="A174" t="s">
        <v>19</v>
      </c>
      <c r="B174">
        <v>2020</v>
      </c>
      <c r="C174">
        <v>2314886</v>
      </c>
      <c r="D174" s="8">
        <v>0.89550727605819702</v>
      </c>
      <c r="E174" s="8">
        <v>5.5E-2</v>
      </c>
      <c r="F174">
        <v>2.0392577976564099</v>
      </c>
      <c r="G174">
        <f t="shared" si="14"/>
        <v>2.277209635451229</v>
      </c>
      <c r="H174">
        <f t="shared" si="16"/>
        <v>-5.147596918249786E-2</v>
      </c>
      <c r="I174">
        <f t="shared" si="15"/>
        <v>0</v>
      </c>
      <c r="J174" t="str">
        <f t="shared" si="17"/>
        <v/>
      </c>
      <c r="K174">
        <v>-2.0802583441138198E-2</v>
      </c>
      <c r="L174">
        <v>-3.9651773869991198E-2</v>
      </c>
      <c r="M174">
        <v>0.114389887332916</v>
      </c>
      <c r="N174">
        <v>7.0800274610519104E-2</v>
      </c>
      <c r="O174">
        <f t="shared" si="18"/>
        <v>-1.2972976081073811E-3</v>
      </c>
    </row>
    <row r="175" spans="1:15" x14ac:dyDescent="0.35">
      <c r="A175" t="s">
        <v>19</v>
      </c>
      <c r="B175">
        <v>2021</v>
      </c>
      <c r="C175">
        <v>2376382</v>
      </c>
      <c r="D175" s="8">
        <v>0.934503674507141</v>
      </c>
      <c r="E175" s="8">
        <v>4.9000000000000002E-2</v>
      </c>
      <c r="F175">
        <v>2.0683513990420899</v>
      </c>
      <c r="G175">
        <f t="shared" si="14"/>
        <v>2.2133154266439266</v>
      </c>
      <c r="H175">
        <f t="shared" si="16"/>
        <v>-2.8058114550635893E-2</v>
      </c>
      <c r="I175">
        <f t="shared" si="15"/>
        <v>0</v>
      </c>
      <c r="J175" t="str">
        <f t="shared" si="17"/>
        <v/>
      </c>
      <c r="K175">
        <v>0.114389887332916</v>
      </c>
      <c r="L175">
        <v>7.0800274610519104E-2</v>
      </c>
      <c r="M175">
        <v>-5.34023809432983E-2</v>
      </c>
      <c r="N175">
        <v>-2.1298874169587999E-2</v>
      </c>
      <c r="O175">
        <f t="shared" si="18"/>
        <v>-2.1469196584075683E-2</v>
      </c>
    </row>
    <row r="176" spans="1:15" x14ac:dyDescent="0.35">
      <c r="A176" t="s">
        <v>19</v>
      </c>
      <c r="B176">
        <v>2022</v>
      </c>
      <c r="C176">
        <v>2445493</v>
      </c>
      <c r="D176" s="8">
        <v>0.90637254714965798</v>
      </c>
      <c r="E176" s="8">
        <v>5.8000000000000003E-2</v>
      </c>
      <c r="F176">
        <v>2.0627211959134399</v>
      </c>
      <c r="G176">
        <f t="shared" si="14"/>
        <v>2.275798403647864</v>
      </c>
      <c r="H176">
        <f t="shared" si="16"/>
        <v>2.8230489089700717E-2</v>
      </c>
      <c r="I176">
        <f t="shared" si="15"/>
        <v>1</v>
      </c>
      <c r="J176" t="str">
        <f t="shared" si="17"/>
        <v/>
      </c>
      <c r="K176">
        <v>-5.34023809432983E-2</v>
      </c>
      <c r="L176">
        <v>-2.08201706409454E-2</v>
      </c>
      <c r="M176">
        <v>-9.0634419381618495E-2</v>
      </c>
      <c r="N176">
        <v>-7.1075491607189206E-2</v>
      </c>
      <c r="O176">
        <f t="shared" si="18"/>
        <v>-1.6926049301400792E-2</v>
      </c>
    </row>
    <row r="177" spans="1:15" x14ac:dyDescent="0.35">
      <c r="A177" t="s">
        <v>20</v>
      </c>
      <c r="B177">
        <v>2006</v>
      </c>
      <c r="C177">
        <v>789159.125</v>
      </c>
      <c r="D177" s="8">
        <v>0.94811427593231201</v>
      </c>
      <c r="E177" s="8">
        <v>2.7E-2</v>
      </c>
      <c r="F177">
        <v>3.0877448224933501</v>
      </c>
      <c r="G177">
        <f t="shared" si="14"/>
        <v>3.2567222125804074</v>
      </c>
      <c r="H177">
        <f t="shared" si="16"/>
        <v>0.43102403418520119</v>
      </c>
      <c r="I177">
        <f t="shared" si="15"/>
        <v>1</v>
      </c>
      <c r="J177" t="str">
        <f t="shared" si="17"/>
        <v/>
      </c>
      <c r="K177">
        <v>2.4987073272466701E-2</v>
      </c>
      <c r="L177">
        <v>1.86240337789059E-2</v>
      </c>
      <c r="M177">
        <v>1.48841804862021E-2</v>
      </c>
      <c r="N177">
        <v>1.58059364184737E-2</v>
      </c>
      <c r="O177" t="str">
        <f t="shared" si="18"/>
        <v/>
      </c>
    </row>
    <row r="178" spans="1:15" x14ac:dyDescent="0.35">
      <c r="A178" t="s">
        <v>20</v>
      </c>
      <c r="B178">
        <v>2007</v>
      </c>
      <c r="C178">
        <v>807037.1875</v>
      </c>
      <c r="D178" s="8">
        <v>0.94531559944152799</v>
      </c>
      <c r="E178" s="8">
        <v>3.2000000000000001E-2</v>
      </c>
      <c r="F178">
        <v>3.0638244609641099</v>
      </c>
      <c r="G178">
        <f t="shared" si="14"/>
        <v>3.2410598775415864</v>
      </c>
      <c r="H178">
        <f t="shared" si="16"/>
        <v>-4.8092327243381972E-3</v>
      </c>
      <c r="I178">
        <f t="shared" si="15"/>
        <v>0</v>
      </c>
      <c r="J178" t="str">
        <f t="shared" si="17"/>
        <v/>
      </c>
      <c r="K178">
        <v>1.48841804862021E-2</v>
      </c>
      <c r="L178">
        <v>1.58059364184737E-2</v>
      </c>
      <c r="M178">
        <v>-3.0229137569665901E-2</v>
      </c>
      <c r="N178">
        <v>-7.1833329275250402E-4</v>
      </c>
      <c r="O178" t="str">
        <f t="shared" si="18"/>
        <v/>
      </c>
    </row>
    <row r="179" spans="1:15" x14ac:dyDescent="0.35">
      <c r="A179" t="s">
        <v>20</v>
      </c>
      <c r="B179">
        <v>2008</v>
      </c>
      <c r="C179">
        <v>821314.375</v>
      </c>
      <c r="D179" s="8">
        <v>0.94060128927230802</v>
      </c>
      <c r="E179" s="8">
        <v>0.02</v>
      </c>
      <c r="F179">
        <v>2.9451046162027201</v>
      </c>
      <c r="G179">
        <f t="shared" si="14"/>
        <v>3.1310871564732672</v>
      </c>
      <c r="H179">
        <f t="shared" si="16"/>
        <v>-3.3931098228193179E-2</v>
      </c>
      <c r="I179">
        <f t="shared" si="15"/>
        <v>0</v>
      </c>
      <c r="J179" t="str">
        <f t="shared" si="17"/>
        <v/>
      </c>
      <c r="K179">
        <v>-3.0229137569665901E-2</v>
      </c>
      <c r="L179">
        <v>-7.1833329275250402E-4</v>
      </c>
      <c r="M179">
        <v>-5.6625921934843101E-2</v>
      </c>
      <c r="N179">
        <v>-3.0059220269322399E-2</v>
      </c>
      <c r="O179" t="str">
        <f t="shared" si="18"/>
        <v/>
      </c>
    </row>
    <row r="180" spans="1:15" x14ac:dyDescent="0.35">
      <c r="A180" t="s">
        <v>20</v>
      </c>
      <c r="B180">
        <v>2009</v>
      </c>
      <c r="C180">
        <v>833048.5625</v>
      </c>
      <c r="D180" s="8">
        <v>0.93400764465331998</v>
      </c>
      <c r="E180" s="8">
        <v>4.0000000000000001E-3</v>
      </c>
      <c r="F180">
        <v>3.1304992482762102</v>
      </c>
      <c r="G180">
        <f t="shared" si="14"/>
        <v>3.3516848242052371</v>
      </c>
      <c r="H180">
        <f t="shared" si="16"/>
        <v>7.0454016994034196E-2</v>
      </c>
      <c r="I180">
        <f t="shared" si="15"/>
        <v>1</v>
      </c>
      <c r="J180" t="str">
        <f t="shared" si="17"/>
        <v/>
      </c>
      <c r="K180">
        <v>-5.6625921934843101E-2</v>
      </c>
      <c r="L180">
        <v>-3.0059220269322399E-2</v>
      </c>
      <c r="M180">
        <v>-8.0432465150952308E-3</v>
      </c>
      <c r="N180">
        <v>1.4168622437864501E-3</v>
      </c>
      <c r="O180" t="str">
        <f t="shared" si="18"/>
        <v/>
      </c>
    </row>
    <row r="181" spans="1:15" x14ac:dyDescent="0.35">
      <c r="A181" t="s">
        <v>20</v>
      </c>
      <c r="B181">
        <v>2010</v>
      </c>
      <c r="C181">
        <v>843624.875</v>
      </c>
      <c r="D181" s="8">
        <v>0.94078838825225797</v>
      </c>
      <c r="E181" s="8">
        <v>3.0000000000000001E-3</v>
      </c>
      <c r="F181">
        <v>3.0706155184075699</v>
      </c>
      <c r="G181">
        <f t="shared" si="14"/>
        <v>3.2638748062271272</v>
      </c>
      <c r="H181">
        <f t="shared" si="16"/>
        <v>-2.6198769449908399E-2</v>
      </c>
      <c r="I181">
        <f t="shared" si="15"/>
        <v>0</v>
      </c>
      <c r="J181">
        <f t="shared" si="17"/>
        <v>2</v>
      </c>
      <c r="K181">
        <v>-8.0432465150952308E-3</v>
      </c>
      <c r="L181">
        <v>1.4168622437864501E-3</v>
      </c>
      <c r="M181">
        <v>-1.58000796735287E-2</v>
      </c>
      <c r="N181">
        <v>5.4836948402225997E-3</v>
      </c>
      <c r="O181">
        <f t="shared" si="18"/>
        <v>-3.2076728530227999E-3</v>
      </c>
    </row>
    <row r="182" spans="1:15" x14ac:dyDescent="0.35">
      <c r="A182" t="s">
        <v>20</v>
      </c>
      <c r="B182">
        <v>2011</v>
      </c>
      <c r="C182">
        <v>851223.5625</v>
      </c>
      <c r="D182" s="8">
        <v>0.94050973653793302</v>
      </c>
      <c r="E182" s="8">
        <v>1.0999999999999999E-2</v>
      </c>
      <c r="F182">
        <v>3.1954574536148401</v>
      </c>
      <c r="G182">
        <f t="shared" si="14"/>
        <v>3.3975804071709996</v>
      </c>
      <c r="H182">
        <f t="shared" si="16"/>
        <v>4.0965297041656301E-2</v>
      </c>
      <c r="I182">
        <f t="shared" si="15"/>
        <v>1</v>
      </c>
      <c r="J182">
        <f t="shared" si="17"/>
        <v>2</v>
      </c>
      <c r="K182">
        <v>-1.58000796735287E-2</v>
      </c>
      <c r="L182">
        <v>5.4836948402225997E-3</v>
      </c>
      <c r="M182">
        <v>1.1594590693711901E-3</v>
      </c>
      <c r="N182">
        <v>6.5976651385425897E-3</v>
      </c>
      <c r="O182">
        <f t="shared" si="18"/>
        <v>-4.7533923760056376E-3</v>
      </c>
    </row>
    <row r="183" spans="1:15" x14ac:dyDescent="0.35">
      <c r="A183" t="s">
        <v>20</v>
      </c>
      <c r="B183">
        <v>2012</v>
      </c>
      <c r="C183">
        <v>858512.0625</v>
      </c>
      <c r="D183" s="8">
        <v>0.93638116121292103</v>
      </c>
      <c r="E183" s="8">
        <v>1E-3</v>
      </c>
      <c r="F183">
        <v>3.1758765118358498</v>
      </c>
      <c r="G183">
        <f t="shared" si="14"/>
        <v>3.3916493020022394</v>
      </c>
      <c r="H183">
        <f t="shared" si="16"/>
        <v>-1.7456850046114747E-3</v>
      </c>
      <c r="I183">
        <f t="shared" si="15"/>
        <v>0</v>
      </c>
      <c r="J183">
        <f t="shared" si="17"/>
        <v>2</v>
      </c>
      <c r="K183">
        <v>1.1594590693711901E-3</v>
      </c>
      <c r="L183">
        <v>6.51206634938709E-3</v>
      </c>
      <c r="M183">
        <v>3.967514634132E-4</v>
      </c>
      <c r="N183">
        <v>-5.7300198823213898E-3</v>
      </c>
      <c r="O183">
        <f t="shared" si="18"/>
        <v>-4.1038099676370347E-3</v>
      </c>
    </row>
    <row r="184" spans="1:15" x14ac:dyDescent="0.35">
      <c r="A184" t="s">
        <v>20</v>
      </c>
      <c r="B184">
        <v>2013</v>
      </c>
      <c r="C184">
        <v>867212.8125</v>
      </c>
      <c r="D184" s="8">
        <v>0.93488919734954801</v>
      </c>
      <c r="E184" s="8">
        <v>1.0999999999999999E-2</v>
      </c>
      <c r="F184">
        <v>3.0954117824621399</v>
      </c>
      <c r="G184">
        <f t="shared" si="14"/>
        <v>3.3109932077916491</v>
      </c>
      <c r="H184">
        <f t="shared" si="16"/>
        <v>-2.3780788350663329E-2</v>
      </c>
      <c r="I184">
        <f t="shared" si="15"/>
        <v>0</v>
      </c>
      <c r="J184">
        <f t="shared" si="17"/>
        <v>2</v>
      </c>
      <c r="K184">
        <v>3.967514634132E-4</v>
      </c>
      <c r="L184">
        <v>-5.7300198823213898E-3</v>
      </c>
      <c r="M184">
        <v>-4.9704007655382004E-3</v>
      </c>
      <c r="N184">
        <v>-6.9784242659806997E-3</v>
      </c>
      <c r="O184">
        <f t="shared" si="18"/>
        <v>-1.2960344552993379E-3</v>
      </c>
    </row>
    <row r="185" spans="1:15" x14ac:dyDescent="0.35">
      <c r="A185" t="s">
        <v>20</v>
      </c>
      <c r="B185">
        <v>2014</v>
      </c>
      <c r="C185">
        <v>875106.0625</v>
      </c>
      <c r="D185" s="8">
        <v>0.93180644512176503</v>
      </c>
      <c r="E185" s="8">
        <v>1.4999999999999999E-2</v>
      </c>
      <c r="F185">
        <v>3.21910200797593</v>
      </c>
      <c r="G185">
        <f t="shared" si="14"/>
        <v>3.4546895708102445</v>
      </c>
      <c r="H185">
        <f t="shared" si="16"/>
        <v>4.3399775837787757E-2</v>
      </c>
      <c r="I185">
        <f t="shared" si="15"/>
        <v>1</v>
      </c>
      <c r="J185">
        <f t="shared" si="17"/>
        <v>2</v>
      </c>
      <c r="K185">
        <v>-4.9704007655382004E-3</v>
      </c>
      <c r="L185">
        <v>-6.9784242659806997E-3</v>
      </c>
      <c r="M185">
        <v>1.4852171927690399E-2</v>
      </c>
      <c r="N185">
        <v>-1.5411280095577099E-2</v>
      </c>
      <c r="O185">
        <f t="shared" si="18"/>
        <v>1.4270570129156402E-3</v>
      </c>
    </row>
    <row r="186" spans="1:15" x14ac:dyDescent="0.35">
      <c r="A186" t="s">
        <v>20</v>
      </c>
      <c r="B186">
        <v>2015</v>
      </c>
      <c r="C186">
        <v>882005</v>
      </c>
      <c r="D186" s="8">
        <v>0.94514650106430098</v>
      </c>
      <c r="E186" s="8">
        <v>2E-3</v>
      </c>
      <c r="F186">
        <v>3.0963309139644499</v>
      </c>
      <c r="G186">
        <f t="shared" si="14"/>
        <v>3.2760327742606727</v>
      </c>
      <c r="H186">
        <f t="shared" si="16"/>
        <v>-5.1714283696891017E-2</v>
      </c>
      <c r="I186">
        <f t="shared" si="15"/>
        <v>0</v>
      </c>
      <c r="J186">
        <f t="shared" si="17"/>
        <v>2</v>
      </c>
      <c r="K186">
        <v>1.4852171927690399E-2</v>
      </c>
      <c r="L186">
        <v>-1.5411280095577099E-2</v>
      </c>
      <c r="M186">
        <v>1.0908654227852799E-2</v>
      </c>
      <c r="N186">
        <v>-2.24490277469159E-3</v>
      </c>
      <c r="O186">
        <f t="shared" si="18"/>
        <v>8.2878053188324002E-3</v>
      </c>
    </row>
    <row r="187" spans="1:15" x14ac:dyDescent="0.35">
      <c r="A187" t="s">
        <v>20</v>
      </c>
      <c r="B187">
        <v>2016</v>
      </c>
      <c r="C187">
        <v>887814.6875</v>
      </c>
      <c r="D187" s="8">
        <v>0.94754397869110096</v>
      </c>
      <c r="E187" s="8">
        <v>1.4E-2</v>
      </c>
      <c r="F187">
        <v>3.0305222680075299</v>
      </c>
      <c r="G187">
        <f t="shared" si="14"/>
        <v>3.1982919380626229</v>
      </c>
      <c r="H187">
        <f t="shared" si="16"/>
        <v>-2.3730176574803696E-2</v>
      </c>
      <c r="I187">
        <f t="shared" si="15"/>
        <v>0</v>
      </c>
      <c r="J187">
        <f t="shared" si="17"/>
        <v>1</v>
      </c>
      <c r="K187">
        <v>1.0908654227852799E-2</v>
      </c>
      <c r="L187">
        <v>-2.24490277469159E-3</v>
      </c>
      <c r="M187">
        <v>1.26351506412028E-2</v>
      </c>
      <c r="N187">
        <v>9.8455771803856E-3</v>
      </c>
      <c r="O187">
        <f t="shared" si="18"/>
        <v>1.609056554734712E-2</v>
      </c>
    </row>
    <row r="188" spans="1:15" x14ac:dyDescent="0.35">
      <c r="A188" t="s">
        <v>20</v>
      </c>
      <c r="B188">
        <v>2017</v>
      </c>
      <c r="C188">
        <v>894813</v>
      </c>
      <c r="D188" s="8">
        <v>0.95296186208724998</v>
      </c>
      <c r="E188" s="8">
        <v>3.0000000000000001E-3</v>
      </c>
      <c r="F188">
        <v>3.13697754407448</v>
      </c>
      <c r="G188">
        <f t="shared" si="14"/>
        <v>3.2918185594580165</v>
      </c>
      <c r="H188">
        <f t="shared" si="16"/>
        <v>2.9242678031464298E-2</v>
      </c>
      <c r="I188">
        <f t="shared" si="15"/>
        <v>1</v>
      </c>
      <c r="J188">
        <f t="shared" si="17"/>
        <v>2</v>
      </c>
      <c r="K188">
        <v>1.26351506412028E-2</v>
      </c>
      <c r="L188">
        <v>9.8455771803856E-3</v>
      </c>
      <c r="M188">
        <v>1.7443880647420799E-2</v>
      </c>
      <c r="N188">
        <v>8.3088576793671001E-3</v>
      </c>
      <c r="O188">
        <f t="shared" si="18"/>
        <v>1.5361570194363655E-2</v>
      </c>
    </row>
    <row r="189" spans="1:15" x14ac:dyDescent="0.35">
      <c r="A189" t="s">
        <v>20</v>
      </c>
      <c r="B189">
        <v>2018</v>
      </c>
      <c r="C189">
        <v>901621.1875</v>
      </c>
      <c r="D189" s="8">
        <v>0.95990574359893799</v>
      </c>
      <c r="E189" s="8">
        <v>0</v>
      </c>
      <c r="F189">
        <v>3.0006845694578002</v>
      </c>
      <c r="G189">
        <f t="shared" si="14"/>
        <v>3.1260200175565656</v>
      </c>
      <c r="H189">
        <f t="shared" si="16"/>
        <v>-5.0366853125935585E-2</v>
      </c>
      <c r="I189">
        <f t="shared" si="15"/>
        <v>0</v>
      </c>
      <c r="J189">
        <f t="shared" si="17"/>
        <v>2</v>
      </c>
      <c r="K189">
        <v>1.7443880647420799E-2</v>
      </c>
      <c r="L189">
        <v>8.3088576793671001E-3</v>
      </c>
      <c r="M189">
        <v>2.44382276833057E-2</v>
      </c>
      <c r="N189">
        <v>6.6370330750941901E-3</v>
      </c>
      <c r="O189">
        <f t="shared" si="18"/>
        <v>1.5093939751386695E-2</v>
      </c>
    </row>
    <row r="190" spans="1:15" x14ac:dyDescent="0.35">
      <c r="A190" t="s">
        <v>20</v>
      </c>
      <c r="B190">
        <v>2019</v>
      </c>
      <c r="C190">
        <v>907308</v>
      </c>
      <c r="D190" s="8">
        <v>0.95606899261474598</v>
      </c>
      <c r="E190" s="8">
        <v>6.0000000000000001E-3</v>
      </c>
      <c r="F190">
        <v>2.9263569664840499</v>
      </c>
      <c r="G190">
        <f t="shared" si="14"/>
        <v>3.06082195855006</v>
      </c>
      <c r="H190">
        <f t="shared" si="16"/>
        <v>-2.0856571180074224E-2</v>
      </c>
      <c r="I190">
        <f t="shared" si="15"/>
        <v>0</v>
      </c>
      <c r="J190" t="str">
        <f t="shared" si="17"/>
        <v/>
      </c>
      <c r="K190">
        <v>2.44382276833057E-2</v>
      </c>
      <c r="L190">
        <v>6.6370330750941901E-3</v>
      </c>
      <c r="M190">
        <v>3.7741651862859701E-2</v>
      </c>
      <c r="N190">
        <v>1.8892461434006701E-2</v>
      </c>
      <c r="O190">
        <f t="shared" si="18"/>
        <v>1.3753935135901039E-2</v>
      </c>
    </row>
    <row r="191" spans="1:15" x14ac:dyDescent="0.35">
      <c r="A191" t="s">
        <v>20</v>
      </c>
      <c r="B191">
        <v>2020</v>
      </c>
      <c r="C191">
        <v>907759.875</v>
      </c>
      <c r="D191" s="8">
        <v>0.97074764966964699</v>
      </c>
      <c r="E191" s="8">
        <v>1.9E-2</v>
      </c>
      <c r="F191">
        <v>3.02108479079034</v>
      </c>
      <c r="G191">
        <f t="shared" si="14"/>
        <v>3.1121216639756364</v>
      </c>
      <c r="H191">
        <f t="shared" si="16"/>
        <v>1.676010761824176E-2</v>
      </c>
      <c r="I191">
        <f t="shared" si="15"/>
        <v>1</v>
      </c>
      <c r="J191" t="str">
        <f t="shared" si="17"/>
        <v/>
      </c>
      <c r="K191">
        <v>3.7741651862859701E-2</v>
      </c>
      <c r="L191">
        <v>1.8892461434006701E-2</v>
      </c>
      <c r="M191">
        <v>8.0358511090278903E-2</v>
      </c>
      <c r="N191">
        <v>3.6768898367881997E-2</v>
      </c>
      <c r="O191">
        <f t="shared" si="18"/>
        <v>1.0230248328298393E-2</v>
      </c>
    </row>
    <row r="192" spans="1:15" x14ac:dyDescent="0.35">
      <c r="A192" t="s">
        <v>20</v>
      </c>
      <c r="B192">
        <v>2021</v>
      </c>
      <c r="C192">
        <v>913706.8125</v>
      </c>
      <c r="D192" s="8">
        <v>0.96925097703933705</v>
      </c>
      <c r="E192" s="8">
        <v>3.2000000000000001E-2</v>
      </c>
      <c r="F192">
        <v>2.9562367238917702</v>
      </c>
      <c r="G192">
        <f t="shared" si="14"/>
        <v>3.0500219178750347</v>
      </c>
      <c r="H192">
        <f t="shared" si="16"/>
        <v>-1.9954151156568622E-2</v>
      </c>
      <c r="I192">
        <f t="shared" si="15"/>
        <v>0</v>
      </c>
      <c r="J192" t="str">
        <f t="shared" si="17"/>
        <v/>
      </c>
      <c r="K192">
        <v>8.0358511090278903E-2</v>
      </c>
      <c r="L192">
        <v>3.6768898367881997E-2</v>
      </c>
      <c r="M192">
        <v>-2.5902906358241998E-2</v>
      </c>
      <c r="N192">
        <v>6.2006004154682897E-3</v>
      </c>
      <c r="O192">
        <f t="shared" si="18"/>
        <v>7.8800668008625514E-3</v>
      </c>
    </row>
    <row r="193" spans="1:15" x14ac:dyDescent="0.35">
      <c r="A193" t="s">
        <v>20</v>
      </c>
      <c r="B193">
        <v>2022</v>
      </c>
      <c r="C193">
        <v>916965.25</v>
      </c>
      <c r="D193" s="8">
        <v>0.964957594871521</v>
      </c>
      <c r="E193" s="8">
        <v>0</v>
      </c>
      <c r="F193">
        <v>2.95029658416854</v>
      </c>
      <c r="G193">
        <f t="shared" si="14"/>
        <v>3.0574365131157464</v>
      </c>
      <c r="H193">
        <f t="shared" si="16"/>
        <v>2.4309973634148996E-3</v>
      </c>
      <c r="I193">
        <f t="shared" si="15"/>
        <v>1</v>
      </c>
      <c r="J193" t="str">
        <f t="shared" si="17"/>
        <v/>
      </c>
      <c r="K193">
        <v>-2.5902906358241998E-2</v>
      </c>
      <c r="L193">
        <v>6.6793039441108903E-3</v>
      </c>
      <c r="M193">
        <v>-1.2588222309947E-2</v>
      </c>
      <c r="N193">
        <v>6.9707054644822996E-3</v>
      </c>
      <c r="O193">
        <f t="shared" si="18"/>
        <v>1.1595476372167433E-2</v>
      </c>
    </row>
    <row r="194" spans="1:15" x14ac:dyDescent="0.35">
      <c r="A194" t="s">
        <v>21</v>
      </c>
      <c r="B194">
        <v>2006</v>
      </c>
      <c r="C194">
        <v>2660376</v>
      </c>
      <c r="D194" s="8">
        <v>0.93478703498840299</v>
      </c>
      <c r="E194" s="8">
        <v>4.0000000000000001E-3</v>
      </c>
      <c r="F194">
        <v>2.1784694926818902</v>
      </c>
      <c r="G194">
        <f t="shared" si="14"/>
        <v>2.3304447014596392</v>
      </c>
      <c r="H194">
        <f t="shared" si="16"/>
        <v>-0.23777821993603743</v>
      </c>
      <c r="I194">
        <f t="shared" si="15"/>
        <v>0</v>
      </c>
      <c r="J194" t="str">
        <f t="shared" si="17"/>
        <v/>
      </c>
      <c r="K194">
        <v>-1.8626399040221999E-3</v>
      </c>
      <c r="L194">
        <v>-8.2256793975829905E-3</v>
      </c>
      <c r="M194">
        <v>-9.8474593460559992E-4</v>
      </c>
      <c r="N194">
        <v>-6.2990002334098794E-5</v>
      </c>
      <c r="O194" t="str">
        <f t="shared" si="18"/>
        <v/>
      </c>
    </row>
    <row r="195" spans="1:15" x14ac:dyDescent="0.35">
      <c r="A195" t="s">
        <v>21</v>
      </c>
      <c r="B195">
        <v>2007</v>
      </c>
      <c r="C195">
        <v>2670651</v>
      </c>
      <c r="D195" s="8">
        <v>0.93277972936630205</v>
      </c>
      <c r="E195" s="8">
        <v>1.2E-2</v>
      </c>
      <c r="F195">
        <v>2.1480681153213701</v>
      </c>
      <c r="G195">
        <f t="shared" ref="G195:G258" si="19">F195/D195</f>
        <v>2.3028674913215497</v>
      </c>
      <c r="H195">
        <f t="shared" si="16"/>
        <v>-1.1833453984476439E-2</v>
      </c>
      <c r="I195">
        <f t="shared" ref="I195:I258" si="20">IF(H195&gt;0,1,0)</f>
        <v>0</v>
      </c>
      <c r="J195" t="str">
        <f t="shared" si="17"/>
        <v/>
      </c>
      <c r="K195">
        <v>-9.8474593460559992E-4</v>
      </c>
      <c r="L195">
        <v>-6.2990002334098794E-5</v>
      </c>
      <c r="M195">
        <v>-2.8236776880919901E-2</v>
      </c>
      <c r="N195">
        <v>1.2740273959934701E-3</v>
      </c>
      <c r="O195" t="str">
        <f t="shared" si="18"/>
        <v/>
      </c>
    </row>
    <row r="196" spans="1:15" x14ac:dyDescent="0.35">
      <c r="A196" t="s">
        <v>21</v>
      </c>
      <c r="B196">
        <v>2008</v>
      </c>
      <c r="C196">
        <v>2683983</v>
      </c>
      <c r="D196" s="8">
        <v>0.93154871463775601</v>
      </c>
      <c r="E196" s="8">
        <v>6.0000000000000001E-3</v>
      </c>
      <c r="F196">
        <v>2.2000731894982399</v>
      </c>
      <c r="G196">
        <f t="shared" si="19"/>
        <v>2.3617371318619282</v>
      </c>
      <c r="H196">
        <f t="shared" ref="H196:H259" si="21">+G196/G195-1</f>
        <v>2.5563624812209751E-2</v>
      </c>
      <c r="I196">
        <f t="shared" si="20"/>
        <v>1</v>
      </c>
      <c r="J196" t="str">
        <f t="shared" si="17"/>
        <v/>
      </c>
      <c r="K196">
        <v>-2.8236776880919901E-2</v>
      </c>
      <c r="L196">
        <v>1.2740273959934701E-3</v>
      </c>
      <c r="M196">
        <v>-1.54871093481779E-3</v>
      </c>
      <c r="N196">
        <v>2.5017990730702801E-2</v>
      </c>
      <c r="O196" t="str">
        <f t="shared" si="18"/>
        <v/>
      </c>
    </row>
    <row r="197" spans="1:15" x14ac:dyDescent="0.35">
      <c r="A197" t="s">
        <v>21</v>
      </c>
      <c r="B197">
        <v>2009</v>
      </c>
      <c r="C197">
        <v>2701402</v>
      </c>
      <c r="D197" s="8">
        <v>0.935164093971252</v>
      </c>
      <c r="E197" s="8">
        <v>8.9999999999999993E-3</v>
      </c>
      <c r="F197">
        <v>2.1952299270993598</v>
      </c>
      <c r="G197">
        <f t="shared" si="19"/>
        <v>2.3474275170009293</v>
      </c>
      <c r="H197">
        <f t="shared" si="21"/>
        <v>-6.0589363091893E-3</v>
      </c>
      <c r="I197">
        <f t="shared" si="20"/>
        <v>0</v>
      </c>
      <c r="J197" t="str">
        <f t="shared" si="17"/>
        <v/>
      </c>
      <c r="K197">
        <v>-1.54871093481779E-3</v>
      </c>
      <c r="L197">
        <v>2.5017990730702801E-2</v>
      </c>
      <c r="M197">
        <v>1.53175395131111E-2</v>
      </c>
      <c r="N197">
        <v>2.4777648271992699E-2</v>
      </c>
      <c r="O197" t="str">
        <f t="shared" si="18"/>
        <v/>
      </c>
    </row>
    <row r="198" spans="1:15" x14ac:dyDescent="0.35">
      <c r="A198" t="s">
        <v>21</v>
      </c>
      <c r="B198">
        <v>2010</v>
      </c>
      <c r="C198">
        <v>2722588</v>
      </c>
      <c r="D198" s="8">
        <v>0.94007700681686401</v>
      </c>
      <c r="E198" s="8">
        <v>3.0000000000000001E-3</v>
      </c>
      <c r="F198">
        <v>2.29839759596093</v>
      </c>
      <c r="G198">
        <f t="shared" si="19"/>
        <v>2.4449035337470812</v>
      </c>
      <c r="H198">
        <f t="shared" si="21"/>
        <v>4.152461195934487E-2</v>
      </c>
      <c r="I198">
        <f t="shared" si="20"/>
        <v>1</v>
      </c>
      <c r="J198">
        <f t="shared" si="17"/>
        <v>2</v>
      </c>
      <c r="K198">
        <v>1.53175395131111E-2</v>
      </c>
      <c r="L198">
        <v>2.4777648271992699E-2</v>
      </c>
      <c r="M198">
        <v>-1.4945559546351401E-2</v>
      </c>
      <c r="N198">
        <v>6.3382149673998902E-3</v>
      </c>
      <c r="O198">
        <f t="shared" si="18"/>
        <v>-1.8012904562055821E-3</v>
      </c>
    </row>
    <row r="199" spans="1:15" x14ac:dyDescent="0.35">
      <c r="A199" t="s">
        <v>21</v>
      </c>
      <c r="B199">
        <v>2011</v>
      </c>
      <c r="C199">
        <v>2745445</v>
      </c>
      <c r="D199" s="8">
        <v>0.93964642286300704</v>
      </c>
      <c r="E199" s="8">
        <v>8.0000000000000002E-3</v>
      </c>
      <c r="F199">
        <v>2.2329713340519799</v>
      </c>
      <c r="G199">
        <f t="shared" si="19"/>
        <v>2.3763952905267742</v>
      </c>
      <c r="H199">
        <f t="shared" si="21"/>
        <v>-2.8020836926563986E-2</v>
      </c>
      <c r="I199">
        <f t="shared" si="20"/>
        <v>0</v>
      </c>
      <c r="J199">
        <f t="shared" ref="J199:J262" si="22">IF(AND(B199&gt;=2010,B199&lt;=2018),SUM(I195:I199),"")</f>
        <v>2</v>
      </c>
      <c r="K199">
        <v>-1.4945559546351401E-2</v>
      </c>
      <c r="L199">
        <v>6.3382149673998902E-3</v>
      </c>
      <c r="M199">
        <v>-8.0214480906724995E-3</v>
      </c>
      <c r="N199">
        <v>-2.5832420215010999E-3</v>
      </c>
      <c r="O199">
        <f t="shared" ref="O199:O262" si="23">IF(B199&gt;=2010,AVERAGE(N199:N203),"")</f>
        <v>-6.5465586259960797E-3</v>
      </c>
    </row>
    <row r="200" spans="1:15" x14ac:dyDescent="0.35">
      <c r="A200" t="s">
        <v>21</v>
      </c>
      <c r="B200">
        <v>2012</v>
      </c>
      <c r="C200">
        <v>2769260</v>
      </c>
      <c r="D200" s="8">
        <v>0.94287973642349199</v>
      </c>
      <c r="E200" s="8">
        <v>1.2999999999999999E-2</v>
      </c>
      <c r="F200">
        <v>2.2469923599027402</v>
      </c>
      <c r="G200">
        <f t="shared" si="19"/>
        <v>2.383116608726767</v>
      </c>
      <c r="H200">
        <f t="shared" si="21"/>
        <v>2.828367076296745E-3</v>
      </c>
      <c r="I200">
        <f t="shared" si="20"/>
        <v>1</v>
      </c>
      <c r="J200">
        <f t="shared" si="22"/>
        <v>3</v>
      </c>
      <c r="K200">
        <v>-8.0214480906724995E-3</v>
      </c>
      <c r="L200">
        <v>-2.66884081065659E-3</v>
      </c>
      <c r="M200">
        <v>7.3321188241243004E-3</v>
      </c>
      <c r="N200">
        <v>1.2053474783897001E-3</v>
      </c>
      <c r="O200">
        <f t="shared" si="23"/>
        <v>-7.5362421572207974E-3</v>
      </c>
    </row>
    <row r="201" spans="1:15" x14ac:dyDescent="0.35">
      <c r="A201" t="s">
        <v>21</v>
      </c>
      <c r="B201">
        <v>2013</v>
      </c>
      <c r="C201">
        <v>2786456</v>
      </c>
      <c r="D201" s="8">
        <v>0.93944466114044201</v>
      </c>
      <c r="E201" s="8">
        <v>1.9E-2</v>
      </c>
      <c r="F201">
        <v>2.2222979278913</v>
      </c>
      <c r="G201">
        <f t="shared" si="19"/>
        <v>2.3655442622810097</v>
      </c>
      <c r="H201">
        <f t="shared" si="21"/>
        <v>-7.373683008799925E-3</v>
      </c>
      <c r="I201">
        <f t="shared" si="20"/>
        <v>0</v>
      </c>
      <c r="J201">
        <f t="shared" si="22"/>
        <v>2</v>
      </c>
      <c r="K201">
        <v>7.3321188241243004E-3</v>
      </c>
      <c r="L201">
        <v>1.2053474783897001E-3</v>
      </c>
      <c r="M201">
        <v>-1.55714078247549E-3</v>
      </c>
      <c r="N201">
        <v>-3.5651642829179998E-3</v>
      </c>
      <c r="O201">
        <f t="shared" si="23"/>
        <v>-8.6531061679124364E-3</v>
      </c>
    </row>
    <row r="202" spans="1:15" x14ac:dyDescent="0.35">
      <c r="A202" t="s">
        <v>21</v>
      </c>
      <c r="B202">
        <v>2014</v>
      </c>
      <c r="C202">
        <v>2802469</v>
      </c>
      <c r="D202" s="8">
        <v>0.941994369029999</v>
      </c>
      <c r="E202" s="8">
        <v>1.7000000000000001E-2</v>
      </c>
      <c r="F202">
        <v>2.2655358734086599</v>
      </c>
      <c r="G202">
        <f t="shared" si="19"/>
        <v>2.4050418430224298</v>
      </c>
      <c r="H202">
        <f t="shared" si="21"/>
        <v>1.6697037282800142E-2</v>
      </c>
      <c r="I202">
        <f t="shared" si="20"/>
        <v>1</v>
      </c>
      <c r="J202">
        <f t="shared" si="22"/>
        <v>3</v>
      </c>
      <c r="K202">
        <v>-1.55714078247549E-3</v>
      </c>
      <c r="L202">
        <v>-3.5651642829179998E-3</v>
      </c>
      <c r="M202">
        <v>1.9861843600869199E-2</v>
      </c>
      <c r="N202">
        <v>-1.0401608422398401E-2</v>
      </c>
      <c r="O202">
        <f t="shared" si="23"/>
        <v>-8.3731614053248749E-3</v>
      </c>
    </row>
    <row r="203" spans="1:15" x14ac:dyDescent="0.35">
      <c r="A203" t="s">
        <v>21</v>
      </c>
      <c r="B203">
        <v>2015</v>
      </c>
      <c r="C203">
        <v>2815029</v>
      </c>
      <c r="D203" s="8">
        <v>0.93975889682769798</v>
      </c>
      <c r="E203" s="8">
        <v>1.2999999999999999E-2</v>
      </c>
      <c r="F203">
        <v>2.3001282962652398</v>
      </c>
      <c r="G203">
        <f t="shared" si="19"/>
        <v>2.4475727806671266</v>
      </c>
      <c r="H203">
        <f t="shared" si="21"/>
        <v>1.7684073883408091E-2</v>
      </c>
      <c r="I203">
        <f t="shared" si="20"/>
        <v>1</v>
      </c>
      <c r="J203">
        <f t="shared" si="22"/>
        <v>3</v>
      </c>
      <c r="K203">
        <v>1.9861843600869199E-2</v>
      </c>
      <c r="L203">
        <v>-1.0401608422398401E-2</v>
      </c>
      <c r="M203">
        <v>-4.2345688790082804E-3</v>
      </c>
      <c r="N203">
        <v>-1.7388125881552599E-2</v>
      </c>
      <c r="O203">
        <f t="shared" si="23"/>
        <v>-5.4386541247367585E-3</v>
      </c>
    </row>
    <row r="204" spans="1:15" x14ac:dyDescent="0.35">
      <c r="A204" t="s">
        <v>21</v>
      </c>
      <c r="B204">
        <v>2016</v>
      </c>
      <c r="C204">
        <v>2823673</v>
      </c>
      <c r="D204" s="8">
        <v>0.93059861660003695</v>
      </c>
      <c r="E204" s="8">
        <v>1.4E-2</v>
      </c>
      <c r="F204">
        <v>2.2475602381229698</v>
      </c>
      <c r="G204">
        <f t="shared" si="19"/>
        <v>2.4151768528675466</v>
      </c>
      <c r="H204">
        <f t="shared" si="21"/>
        <v>-1.3235940543001923E-2</v>
      </c>
      <c r="I204">
        <f t="shared" si="20"/>
        <v>0</v>
      </c>
      <c r="J204">
        <f t="shared" si="22"/>
        <v>3</v>
      </c>
      <c r="K204">
        <v>-4.2345688790082804E-3</v>
      </c>
      <c r="L204">
        <v>-1.7388125881552599E-2</v>
      </c>
      <c r="M204">
        <v>-4.7420862168073997E-3</v>
      </c>
      <c r="N204">
        <v>-7.5316596776246903E-3</v>
      </c>
      <c r="O204">
        <f t="shared" si="23"/>
        <v>1.177164539694762E-3</v>
      </c>
    </row>
    <row r="205" spans="1:15" x14ac:dyDescent="0.35">
      <c r="A205" t="s">
        <v>21</v>
      </c>
      <c r="B205">
        <v>2017</v>
      </c>
      <c r="C205">
        <v>2831946</v>
      </c>
      <c r="D205" s="8">
        <v>0.92620706558227495</v>
      </c>
      <c r="E205" s="8">
        <v>2.1000000000000001E-2</v>
      </c>
      <c r="F205">
        <v>2.23768522743906</v>
      </c>
      <c r="G205">
        <f t="shared" si="19"/>
        <v>2.4159664837282397</v>
      </c>
      <c r="H205">
        <f t="shared" si="21"/>
        <v>3.2694535795818602E-4</v>
      </c>
      <c r="I205">
        <f t="shared" si="20"/>
        <v>1</v>
      </c>
      <c r="J205">
        <f t="shared" si="22"/>
        <v>3</v>
      </c>
      <c r="K205">
        <v>-4.7420862168073997E-3</v>
      </c>
      <c r="L205">
        <v>-7.5316596776246903E-3</v>
      </c>
      <c r="M205">
        <v>4.7560503929852897E-3</v>
      </c>
      <c r="N205">
        <v>-4.3789725750684903E-3</v>
      </c>
      <c r="O205">
        <f t="shared" si="23"/>
        <v>-1.16993673145772E-3</v>
      </c>
    </row>
    <row r="206" spans="1:15" x14ac:dyDescent="0.35">
      <c r="A206" t="s">
        <v>21</v>
      </c>
      <c r="B206">
        <v>2018</v>
      </c>
      <c r="C206">
        <v>2838570</v>
      </c>
      <c r="D206" s="8">
        <v>0.93149757385253895</v>
      </c>
      <c r="E206" s="8">
        <v>1.7999999999999999E-2</v>
      </c>
      <c r="F206">
        <v>2.1345818110345398</v>
      </c>
      <c r="G206">
        <f t="shared" si="19"/>
        <v>2.291559174122396</v>
      </c>
      <c r="H206">
        <f t="shared" si="21"/>
        <v>-5.1493806078742654E-2</v>
      </c>
      <c r="I206">
        <f t="shared" si="20"/>
        <v>0</v>
      </c>
      <c r="J206">
        <f t="shared" si="22"/>
        <v>3</v>
      </c>
      <c r="K206">
        <v>4.7560503929852897E-3</v>
      </c>
      <c r="L206">
        <v>-4.3789725750684903E-3</v>
      </c>
      <c r="M206">
        <v>1.56357541382313E-2</v>
      </c>
      <c r="N206">
        <v>-2.1654404699802E-3</v>
      </c>
      <c r="O206">
        <f t="shared" si="23"/>
        <v>-2.2422691807151003E-3</v>
      </c>
    </row>
    <row r="207" spans="1:15" x14ac:dyDescent="0.35">
      <c r="A207" t="s">
        <v>21</v>
      </c>
      <c r="B207">
        <v>2019</v>
      </c>
      <c r="C207">
        <v>2843757</v>
      </c>
      <c r="D207" s="8">
        <v>0.93573409318923995</v>
      </c>
      <c r="E207" s="8">
        <v>1.4E-2</v>
      </c>
      <c r="F207">
        <v>2.2238860523497301</v>
      </c>
      <c r="G207">
        <f t="shared" si="19"/>
        <v>2.3766218079861909</v>
      </c>
      <c r="H207">
        <f t="shared" si="21"/>
        <v>3.7119981375288491E-2</v>
      </c>
      <c r="I207">
        <f t="shared" si="20"/>
        <v>1</v>
      </c>
      <c r="J207" t="str">
        <f t="shared" si="22"/>
        <v/>
      </c>
      <c r="K207">
        <v>1.56357541382313E-2</v>
      </c>
      <c r="L207">
        <v>-2.1654404699802E-3</v>
      </c>
      <c r="M207">
        <v>2.31201184093951E-2</v>
      </c>
      <c r="N207">
        <v>4.2709279805421899E-3</v>
      </c>
      <c r="O207">
        <f t="shared" si="23"/>
        <v>-2.8161872178316403E-3</v>
      </c>
    </row>
    <row r="208" spans="1:15" x14ac:dyDescent="0.35">
      <c r="A208" t="s">
        <v>21</v>
      </c>
      <c r="B208">
        <v>2020</v>
      </c>
      <c r="C208">
        <v>2847001</v>
      </c>
      <c r="D208" s="8">
        <v>0.94748902320861805</v>
      </c>
      <c r="E208" s="8">
        <v>1.9E-2</v>
      </c>
      <c r="F208">
        <v>2.0351709942640799</v>
      </c>
      <c r="G208">
        <f t="shared" si="19"/>
        <v>2.1479626089725961</v>
      </c>
      <c r="H208">
        <f t="shared" si="21"/>
        <v>-9.621185762296236E-2</v>
      </c>
      <c r="I208">
        <f t="shared" si="20"/>
        <v>0</v>
      </c>
      <c r="J208" t="str">
        <f t="shared" si="22"/>
        <v/>
      </c>
      <c r="K208">
        <v>2.31201184093951E-2</v>
      </c>
      <c r="L208">
        <v>4.2709279805421899E-3</v>
      </c>
      <c r="M208">
        <v>5.9280580163002E-2</v>
      </c>
      <c r="N208">
        <v>1.5690967440605001E-2</v>
      </c>
      <c r="O208">
        <f t="shared" si="23"/>
        <v>-8.8027750141918774E-3</v>
      </c>
    </row>
    <row r="209" spans="1:15" x14ac:dyDescent="0.35">
      <c r="A209" t="s">
        <v>21</v>
      </c>
      <c r="B209">
        <v>2021</v>
      </c>
      <c r="C209">
        <v>2846509</v>
      </c>
      <c r="D209" s="8">
        <v>0.95880860090255704</v>
      </c>
      <c r="E209" s="8">
        <v>8.0000000000000002E-3</v>
      </c>
      <c r="F209">
        <v>2.1544086310925601</v>
      </c>
      <c r="G209">
        <f t="shared" si="19"/>
        <v>2.2469642315103835</v>
      </c>
      <c r="H209">
        <f t="shared" si="21"/>
        <v>4.6090943168299203E-2</v>
      </c>
      <c r="I209">
        <f t="shared" si="20"/>
        <v>1</v>
      </c>
      <c r="J209" t="str">
        <f t="shared" si="22"/>
        <v/>
      </c>
      <c r="K209">
        <v>5.9280580163002E-2</v>
      </c>
      <c r="L209">
        <v>1.5690967440605001E-2</v>
      </c>
      <c r="M209">
        <v>-5.1370672807097402E-2</v>
      </c>
      <c r="N209">
        <v>-1.9267166033387101E-2</v>
      </c>
      <c r="O209">
        <f t="shared" si="23"/>
        <v>-1.1257344204932428E-2</v>
      </c>
    </row>
    <row r="210" spans="1:15" x14ac:dyDescent="0.35">
      <c r="A210" t="s">
        <v>21</v>
      </c>
      <c r="B210">
        <v>2022</v>
      </c>
      <c r="C210">
        <v>2845911</v>
      </c>
      <c r="D210" s="8">
        <v>0.936695337295532</v>
      </c>
      <c r="E210" s="8">
        <v>6.0000000000000001E-3</v>
      </c>
      <c r="F210">
        <v>2.0834245489285901</v>
      </c>
      <c r="G210">
        <f t="shared" si="19"/>
        <v>2.2242285895688827</v>
      </c>
      <c r="H210">
        <f t="shared" si="21"/>
        <v>-1.0118381780478192E-2</v>
      </c>
      <c r="I210">
        <f t="shared" si="20"/>
        <v>0</v>
      </c>
      <c r="J210" t="str">
        <f t="shared" si="22"/>
        <v/>
      </c>
      <c r="K210">
        <v>-5.1370672807097402E-2</v>
      </c>
      <c r="L210">
        <v>-1.8788462504744498E-2</v>
      </c>
      <c r="M210">
        <v>-2.9299562595784701E-2</v>
      </c>
      <c r="N210">
        <v>-9.7406348213553897E-3</v>
      </c>
      <c r="O210">
        <f t="shared" si="23"/>
        <v>-7.0597719866782368E-3</v>
      </c>
    </row>
    <row r="211" spans="1:15" x14ac:dyDescent="0.35">
      <c r="A211" t="s">
        <v>22</v>
      </c>
      <c r="B211">
        <v>2006</v>
      </c>
      <c r="C211">
        <v>773860.4375</v>
      </c>
      <c r="D211" s="8">
        <v>0.92814165353775002</v>
      </c>
      <c r="E211" s="8">
        <v>0.01</v>
      </c>
      <c r="F211">
        <v>2.3357750367368699</v>
      </c>
      <c r="G211">
        <f t="shared" si="19"/>
        <v>2.5166148161045414</v>
      </c>
      <c r="H211">
        <f t="shared" si="21"/>
        <v>0.13145511567780499</v>
      </c>
      <c r="I211">
        <f t="shared" si="20"/>
        <v>1</v>
      </c>
      <c r="J211" t="str">
        <f t="shared" si="22"/>
        <v/>
      </c>
      <c r="K211">
        <v>3.2860619604587499E-2</v>
      </c>
      <c r="L211">
        <v>2.6497580111026799E-2</v>
      </c>
      <c r="M211">
        <v>-5.9567865878343996E-3</v>
      </c>
      <c r="N211">
        <v>-5.0350306555629002E-3</v>
      </c>
      <c r="O211" t="str">
        <f t="shared" si="23"/>
        <v/>
      </c>
    </row>
    <row r="212" spans="1:15" x14ac:dyDescent="0.35">
      <c r="A212" t="s">
        <v>22</v>
      </c>
      <c r="B212">
        <v>2007</v>
      </c>
      <c r="C212">
        <v>781783.625</v>
      </c>
      <c r="D212" s="8">
        <v>0.90007376670837402</v>
      </c>
      <c r="E212" s="8">
        <v>3.7999999999999999E-2</v>
      </c>
      <c r="F212">
        <v>2.14607095099504</v>
      </c>
      <c r="G212">
        <f t="shared" si="19"/>
        <v>2.3843278521974431</v>
      </c>
      <c r="H212">
        <f t="shared" si="21"/>
        <v>-5.2565439518418189E-2</v>
      </c>
      <c r="I212">
        <f t="shared" si="20"/>
        <v>0</v>
      </c>
      <c r="J212" t="str">
        <f t="shared" si="22"/>
        <v/>
      </c>
      <c r="K212">
        <v>-5.9567865878343996E-3</v>
      </c>
      <c r="L212">
        <v>-5.0350306555629002E-3</v>
      </c>
      <c r="M212">
        <v>-5.5172815278172499E-2</v>
      </c>
      <c r="N212">
        <v>-2.5662011001258998E-2</v>
      </c>
      <c r="O212" t="str">
        <f t="shared" si="23"/>
        <v/>
      </c>
    </row>
    <row r="213" spans="1:15" x14ac:dyDescent="0.35">
      <c r="A213" t="s">
        <v>22</v>
      </c>
      <c r="B213">
        <v>2008</v>
      </c>
      <c r="C213">
        <v>789833.125</v>
      </c>
      <c r="D213" s="8">
        <v>0.891712546348572</v>
      </c>
      <c r="E213" s="8">
        <v>7.8E-2</v>
      </c>
      <c r="F213">
        <v>2.3796776603693002</v>
      </c>
      <c r="G213">
        <f t="shared" si="19"/>
        <v>2.6686600632835327</v>
      </c>
      <c r="H213">
        <f t="shared" si="21"/>
        <v>0.11925046751605217</v>
      </c>
      <c r="I213">
        <f t="shared" si="20"/>
        <v>1</v>
      </c>
      <c r="J213" t="str">
        <f t="shared" si="22"/>
        <v/>
      </c>
      <c r="K213">
        <v>-5.5172815278172499E-2</v>
      </c>
      <c r="L213">
        <v>-2.5662011001258998E-2</v>
      </c>
      <c r="M213">
        <v>-2.31485801786184E-2</v>
      </c>
      <c r="N213">
        <v>3.4181214869022499E-3</v>
      </c>
      <c r="O213" t="str">
        <f t="shared" si="23"/>
        <v/>
      </c>
    </row>
    <row r="214" spans="1:15" x14ac:dyDescent="0.35">
      <c r="A214" t="s">
        <v>22</v>
      </c>
      <c r="B214">
        <v>2009</v>
      </c>
      <c r="C214">
        <v>798139</v>
      </c>
      <c r="D214" s="8">
        <v>0.90832912921905495</v>
      </c>
      <c r="E214" s="8">
        <v>8.9999999999999993E-3</v>
      </c>
      <c r="F214">
        <v>2.3659975024398401</v>
      </c>
      <c r="G214">
        <f t="shared" si="19"/>
        <v>2.604779948512749</v>
      </c>
      <c r="H214">
        <f t="shared" si="21"/>
        <v>-2.3937149451768391E-2</v>
      </c>
      <c r="I214">
        <f t="shared" si="20"/>
        <v>0</v>
      </c>
      <c r="J214" t="str">
        <f t="shared" si="22"/>
        <v/>
      </c>
      <c r="K214">
        <v>-2.31485801786184E-2</v>
      </c>
      <c r="L214">
        <v>3.4181214869022499E-3</v>
      </c>
      <c r="M214">
        <v>-7.7394137009978298E-3</v>
      </c>
      <c r="N214">
        <v>1.72069505788385E-3</v>
      </c>
      <c r="O214" t="str">
        <f t="shared" si="23"/>
        <v/>
      </c>
    </row>
    <row r="215" spans="1:15" x14ac:dyDescent="0.35">
      <c r="A215" t="s">
        <v>22</v>
      </c>
      <c r="B215">
        <v>2010</v>
      </c>
      <c r="C215">
        <v>806026.625</v>
      </c>
      <c r="D215" s="8">
        <v>0.91767418384552002</v>
      </c>
      <c r="E215" s="8">
        <v>0.01</v>
      </c>
      <c r="F215">
        <v>2.27226109835973</v>
      </c>
      <c r="G215">
        <f t="shared" si="19"/>
        <v>2.4761087740725189</v>
      </c>
      <c r="H215">
        <f t="shared" si="21"/>
        <v>-4.9398097721727874E-2</v>
      </c>
      <c r="I215">
        <f t="shared" si="20"/>
        <v>0</v>
      </c>
      <c r="J215">
        <f t="shared" si="22"/>
        <v>2</v>
      </c>
      <c r="K215">
        <v>-7.7394137009978298E-3</v>
      </c>
      <c r="L215">
        <v>1.72069505788385E-3</v>
      </c>
      <c r="M215">
        <v>-2.6730084668844901E-2</v>
      </c>
      <c r="N215">
        <v>-5.44631015509363E-3</v>
      </c>
      <c r="O215">
        <f t="shared" si="23"/>
        <v>-3.180238790810086E-3</v>
      </c>
    </row>
    <row r="216" spans="1:15" x14ac:dyDescent="0.35">
      <c r="A216" t="s">
        <v>22</v>
      </c>
      <c r="B216">
        <v>2011</v>
      </c>
      <c r="C216">
        <v>811475</v>
      </c>
      <c r="D216" s="8">
        <v>0.91895896196365401</v>
      </c>
      <c r="E216" s="8">
        <v>1.2E-2</v>
      </c>
      <c r="F216">
        <v>2.3725810031069599</v>
      </c>
      <c r="G216">
        <f t="shared" si="19"/>
        <v>2.5818138799551731</v>
      </c>
      <c r="H216">
        <f t="shared" si="21"/>
        <v>4.2690009013133245E-2</v>
      </c>
      <c r="I216">
        <f t="shared" si="20"/>
        <v>1</v>
      </c>
      <c r="J216">
        <f t="shared" si="22"/>
        <v>2</v>
      </c>
      <c r="K216">
        <v>-2.6730084668844901E-2</v>
      </c>
      <c r="L216">
        <v>-5.44631015509363E-3</v>
      </c>
      <c r="M216">
        <v>-9.4734237566589993E-3</v>
      </c>
      <c r="N216">
        <v>-4.0352176874875996E-3</v>
      </c>
      <c r="O216">
        <f t="shared" si="23"/>
        <v>2.9326979070902004E-3</v>
      </c>
    </row>
    <row r="217" spans="1:15" x14ac:dyDescent="0.35">
      <c r="A217" t="s">
        <v>22</v>
      </c>
      <c r="B217">
        <v>2012</v>
      </c>
      <c r="C217">
        <v>817948.75</v>
      </c>
      <c r="D217" s="8">
        <v>0.92783480882644698</v>
      </c>
      <c r="E217" s="8">
        <v>0</v>
      </c>
      <c r="F217">
        <v>2.32581245678421</v>
      </c>
      <c r="G217">
        <f t="shared" si="19"/>
        <v>2.506709636951395</v>
      </c>
      <c r="H217">
        <f t="shared" si="21"/>
        <v>-2.9089720055685109E-2</v>
      </c>
      <c r="I217">
        <f t="shared" si="20"/>
        <v>0</v>
      </c>
      <c r="J217">
        <f t="shared" si="22"/>
        <v>2</v>
      </c>
      <c r="K217">
        <v>-9.4734237566589993E-3</v>
      </c>
      <c r="L217">
        <v>-4.1208164766430898E-3</v>
      </c>
      <c r="M217">
        <v>5.7002721726894003E-3</v>
      </c>
      <c r="N217">
        <v>-4.2649917304520002E-4</v>
      </c>
      <c r="O217">
        <f t="shared" si="23"/>
        <v>-3.3821860328316399E-3</v>
      </c>
    </row>
    <row r="218" spans="1:15" x14ac:dyDescent="0.35">
      <c r="A218" t="s">
        <v>22</v>
      </c>
      <c r="B218">
        <v>2013</v>
      </c>
      <c r="C218">
        <v>824664.6875</v>
      </c>
      <c r="D218" s="8">
        <v>0.93034708499908403</v>
      </c>
      <c r="E218" s="8">
        <v>3.0000000000000001E-3</v>
      </c>
      <c r="F218">
        <v>2.2339544950641299</v>
      </c>
      <c r="G218">
        <f t="shared" si="19"/>
        <v>2.4012054544851176</v>
      </c>
      <c r="H218">
        <f t="shared" si="21"/>
        <v>-4.2088712992937372E-2</v>
      </c>
      <c r="I218">
        <f t="shared" si="20"/>
        <v>0</v>
      </c>
      <c r="J218">
        <f t="shared" si="22"/>
        <v>1</v>
      </c>
      <c r="K218">
        <v>5.7002721726894003E-3</v>
      </c>
      <c r="L218">
        <v>-4.2649917304520002E-4</v>
      </c>
      <c r="M218">
        <v>3.39200982451439E-3</v>
      </c>
      <c r="N218">
        <v>1.38398632407189E-3</v>
      </c>
      <c r="O218">
        <f t="shared" si="23"/>
        <v>-1.0713615361601061E-2</v>
      </c>
    </row>
    <row r="219" spans="1:15" x14ac:dyDescent="0.35">
      <c r="A219" t="s">
        <v>22</v>
      </c>
      <c r="B219">
        <v>2014</v>
      </c>
      <c r="C219">
        <v>830950.9375</v>
      </c>
      <c r="D219" s="8">
        <v>0.92323583364486705</v>
      </c>
      <c r="E219" s="8">
        <v>5.0000000000000001E-3</v>
      </c>
      <c r="F219">
        <v>2.34520944126796</v>
      </c>
      <c r="G219">
        <f t="shared" si="19"/>
        <v>2.5402062569530539</v>
      </c>
      <c r="H219">
        <f t="shared" si="21"/>
        <v>5.788792550354338E-2</v>
      </c>
      <c r="I219">
        <f t="shared" si="20"/>
        <v>1</v>
      </c>
      <c r="J219">
        <f t="shared" si="22"/>
        <v>2</v>
      </c>
      <c r="K219">
        <v>3.39200982451439E-3</v>
      </c>
      <c r="L219">
        <v>1.38398632407189E-3</v>
      </c>
      <c r="M219">
        <v>2.2886298760771799E-2</v>
      </c>
      <c r="N219">
        <v>-7.3771532624958896E-3</v>
      </c>
      <c r="O219">
        <f t="shared" si="23"/>
        <v>-1.859971308149392E-2</v>
      </c>
    </row>
    <row r="220" spans="1:15" x14ac:dyDescent="0.35">
      <c r="A220" t="s">
        <v>22</v>
      </c>
      <c r="B220">
        <v>2015</v>
      </c>
      <c r="C220">
        <v>837054.375</v>
      </c>
      <c r="D220" s="8">
        <v>0.91496920585632302</v>
      </c>
      <c r="E220" s="8">
        <v>6.0000000000000001E-3</v>
      </c>
      <c r="F220">
        <v>2.2117049833311602</v>
      </c>
      <c r="G220">
        <f t="shared" si="19"/>
        <v>2.4172452681193981</v>
      </c>
      <c r="H220">
        <f t="shared" si="21"/>
        <v>-4.8405907393183845E-2</v>
      </c>
      <c r="I220">
        <f t="shared" si="20"/>
        <v>0</v>
      </c>
      <c r="J220">
        <f t="shared" si="22"/>
        <v>2</v>
      </c>
      <c r="K220">
        <v>2.2886298760771799E-2</v>
      </c>
      <c r="L220">
        <v>-7.3771532624958896E-3</v>
      </c>
      <c r="M220">
        <v>3.8271930336952198E-2</v>
      </c>
      <c r="N220">
        <v>2.5118373334407799E-2</v>
      </c>
      <c r="O220">
        <f t="shared" si="23"/>
        <v>-1.6963453078642443E-2</v>
      </c>
    </row>
    <row r="221" spans="1:15" x14ac:dyDescent="0.35">
      <c r="A221" t="s">
        <v>22</v>
      </c>
      <c r="B221">
        <v>2016</v>
      </c>
      <c r="C221">
        <v>842251.5625</v>
      </c>
      <c r="D221" s="8">
        <v>0.91662007570266701</v>
      </c>
      <c r="E221" s="8">
        <v>2.4E-2</v>
      </c>
      <c r="F221">
        <v>2.3674739791833401</v>
      </c>
      <c r="G221">
        <f t="shared" si="19"/>
        <v>2.5828301626150512</v>
      </c>
      <c r="H221">
        <f t="shared" si="21"/>
        <v>6.8501486663153921E-2</v>
      </c>
      <c r="I221">
        <f t="shared" si="20"/>
        <v>1</v>
      </c>
      <c r="J221">
        <f t="shared" si="22"/>
        <v>2</v>
      </c>
      <c r="K221">
        <v>3.8271930336952198E-2</v>
      </c>
      <c r="L221">
        <v>2.5118373334407799E-2</v>
      </c>
      <c r="M221">
        <v>-3.2820063926279501E-2</v>
      </c>
      <c r="N221">
        <v>-3.5609637387096799E-2</v>
      </c>
      <c r="O221">
        <f t="shared" si="23"/>
        <v>-2.4748663092032042E-2</v>
      </c>
    </row>
    <row r="222" spans="1:15" x14ac:dyDescent="0.35">
      <c r="A222" t="s">
        <v>22</v>
      </c>
      <c r="B222">
        <v>2017</v>
      </c>
      <c r="C222">
        <v>842001.5</v>
      </c>
      <c r="D222" s="8">
        <v>0.88219505548477195</v>
      </c>
      <c r="E222" s="8">
        <v>1.7000000000000001E-2</v>
      </c>
      <c r="F222">
        <v>2.3493712468353101</v>
      </c>
      <c r="G222">
        <f t="shared" si="19"/>
        <v>2.6630972733624256</v>
      </c>
      <c r="H222">
        <f t="shared" si="21"/>
        <v>3.1077192728036662E-2</v>
      </c>
      <c r="I222">
        <f t="shared" si="20"/>
        <v>1</v>
      </c>
      <c r="J222">
        <f t="shared" si="22"/>
        <v>3</v>
      </c>
      <c r="K222">
        <v>-3.2820063926279501E-2</v>
      </c>
      <c r="L222">
        <v>-3.5609637387096799E-2</v>
      </c>
      <c r="M222">
        <v>-2.7948622848838499E-2</v>
      </c>
      <c r="N222">
        <v>-3.7083645816892302E-2</v>
      </c>
      <c r="O222">
        <f t="shared" si="23"/>
        <v>-2.2413310082629301E-2</v>
      </c>
    </row>
    <row r="223" spans="1:15" x14ac:dyDescent="0.35">
      <c r="A223" t="s">
        <v>22</v>
      </c>
      <c r="B223">
        <v>2018</v>
      </c>
      <c r="C223">
        <v>844395.625</v>
      </c>
      <c r="D223" s="8">
        <v>0.85163360834121704</v>
      </c>
      <c r="E223" s="8">
        <v>5.2999999999999999E-2</v>
      </c>
      <c r="F223">
        <v>2.2385888824244899</v>
      </c>
      <c r="G223">
        <f t="shared" si="19"/>
        <v>2.6285821279232242</v>
      </c>
      <c r="H223">
        <f t="shared" si="21"/>
        <v>-1.2960527497226093E-2</v>
      </c>
      <c r="I223">
        <f t="shared" si="20"/>
        <v>0</v>
      </c>
      <c r="J223">
        <f t="shared" si="22"/>
        <v>3</v>
      </c>
      <c r="K223">
        <v>-2.7948622848838499E-2</v>
      </c>
      <c r="L223">
        <v>-3.7083645816892302E-2</v>
      </c>
      <c r="M223">
        <v>-2.0245307667180801E-2</v>
      </c>
      <c r="N223">
        <v>-3.8046502275392399E-2</v>
      </c>
      <c r="O223">
        <f t="shared" si="23"/>
        <v>-1.5716586774215099E-2</v>
      </c>
    </row>
    <row r="224" spans="1:15" x14ac:dyDescent="0.35">
      <c r="A224" t="s">
        <v>22</v>
      </c>
      <c r="B224">
        <v>2019</v>
      </c>
      <c r="C224">
        <v>847852.125</v>
      </c>
      <c r="D224" s="8">
        <v>0.87194919586181596</v>
      </c>
      <c r="E224" s="8">
        <v>1.9E-2</v>
      </c>
      <c r="F224">
        <v>2.14419317911833</v>
      </c>
      <c r="G224">
        <f t="shared" si="19"/>
        <v>2.459080402040001</v>
      </c>
      <c r="H224">
        <f t="shared" si="21"/>
        <v>-6.4484089761784325E-2</v>
      </c>
      <c r="I224">
        <f t="shared" si="20"/>
        <v>0</v>
      </c>
      <c r="J224" t="str">
        <f t="shared" si="22"/>
        <v/>
      </c>
      <c r="K224">
        <v>-2.0245307667180801E-2</v>
      </c>
      <c r="L224">
        <v>-3.8046502275392399E-2</v>
      </c>
      <c r="M224">
        <v>1.9653337180614499E-2</v>
      </c>
      <c r="N224">
        <v>8.0414675176149805E-4</v>
      </c>
      <c r="O224">
        <f t="shared" si="23"/>
        <v>-4.7864442691206779E-3</v>
      </c>
    </row>
    <row r="225" spans="1:15" x14ac:dyDescent="0.35">
      <c r="A225" t="s">
        <v>22</v>
      </c>
      <c r="B225">
        <v>2020</v>
      </c>
      <c r="C225">
        <v>850013.5</v>
      </c>
      <c r="D225" s="8">
        <v>0.89413988590240501</v>
      </c>
      <c r="E225" s="8">
        <v>1.2E-2</v>
      </c>
      <c r="F225">
        <v>2.0081099067191501</v>
      </c>
      <c r="G225">
        <f t="shared" si="19"/>
        <v>2.2458565358511859</v>
      </c>
      <c r="H225">
        <f t="shared" si="21"/>
        <v>-8.6708781873064855E-2</v>
      </c>
      <c r="I225">
        <f t="shared" si="20"/>
        <v>0</v>
      </c>
      <c r="J225" t="str">
        <f t="shared" si="22"/>
        <v/>
      </c>
      <c r="K225">
        <v>1.9653337180614499E-2</v>
      </c>
      <c r="L225">
        <v>8.0414675176149805E-4</v>
      </c>
      <c r="M225">
        <v>2.9781935989856699E-2</v>
      </c>
      <c r="N225">
        <v>-1.38076767325402E-2</v>
      </c>
      <c r="O225">
        <f t="shared" si="23"/>
        <v>-3.0330828391015576E-3</v>
      </c>
    </row>
    <row r="226" spans="1:15" x14ac:dyDescent="0.35">
      <c r="A226" t="s">
        <v>22</v>
      </c>
      <c r="B226">
        <v>2021</v>
      </c>
      <c r="C226">
        <v>852156.5</v>
      </c>
      <c r="D226" s="8">
        <v>0.91992127895355202</v>
      </c>
      <c r="E226" s="8">
        <v>1.0999999999999999E-2</v>
      </c>
      <c r="F226">
        <v>2.2791721196257999</v>
      </c>
      <c r="G226">
        <f t="shared" si="19"/>
        <v>2.4775729964834068</v>
      </c>
      <c r="H226">
        <f t="shared" si="21"/>
        <v>0.10317509463907037</v>
      </c>
      <c r="I226">
        <f t="shared" si="20"/>
        <v>1</v>
      </c>
      <c r="J226" t="str">
        <f t="shared" si="22"/>
        <v/>
      </c>
      <c r="K226">
        <v>2.9781935989856699E-2</v>
      </c>
      <c r="L226">
        <v>-1.38076767325402E-2</v>
      </c>
      <c r="M226">
        <v>-5.6036379113793403E-2</v>
      </c>
      <c r="N226">
        <v>-2.3932872340083101E-2</v>
      </c>
      <c r="O226">
        <f t="shared" si="23"/>
        <v>1.1928190477192503E-3</v>
      </c>
    </row>
    <row r="227" spans="1:15" x14ac:dyDescent="0.35">
      <c r="A227" t="s">
        <v>22</v>
      </c>
      <c r="B227">
        <v>2022</v>
      </c>
      <c r="C227">
        <v>853922</v>
      </c>
      <c r="D227" s="8">
        <v>0.89594829082489003</v>
      </c>
      <c r="E227" s="8">
        <v>8.0000000000000002E-3</v>
      </c>
      <c r="F227">
        <v>2.11323794087523</v>
      </c>
      <c r="G227">
        <f t="shared" si="19"/>
        <v>2.3586606085598918</v>
      </c>
      <c r="H227">
        <f t="shared" si="21"/>
        <v>-4.7995513388423117E-2</v>
      </c>
      <c r="I227">
        <f t="shared" si="20"/>
        <v>0</v>
      </c>
      <c r="J227" t="str">
        <f t="shared" si="22"/>
        <v/>
      </c>
      <c r="K227">
        <v>-5.6036379113793403E-2</v>
      </c>
      <c r="L227">
        <v>-2.3454168811440499E-2</v>
      </c>
      <c r="M227">
        <v>-2.3158957049250601E-2</v>
      </c>
      <c r="N227">
        <v>-3.6000292748212901E-3</v>
      </c>
      <c r="O227">
        <f t="shared" si="23"/>
        <v>3.4981423523277101E-3</v>
      </c>
    </row>
    <row r="228" spans="1:15" x14ac:dyDescent="0.35">
      <c r="A228" t="s">
        <v>23</v>
      </c>
      <c r="B228">
        <v>2006</v>
      </c>
      <c r="C228">
        <v>394245.09375</v>
      </c>
      <c r="D228" s="8">
        <v>0.92615175247192405</v>
      </c>
      <c r="E228" s="8">
        <v>1.6E-2</v>
      </c>
      <c r="F228">
        <v>2.3490171095740799</v>
      </c>
      <c r="G228">
        <f t="shared" si="19"/>
        <v>2.5363198885112399</v>
      </c>
      <c r="H228">
        <f t="shared" si="21"/>
        <v>7.5322104124094347E-2</v>
      </c>
      <c r="I228">
        <f t="shared" si="20"/>
        <v>1</v>
      </c>
      <c r="J228" t="str">
        <f t="shared" si="22"/>
        <v/>
      </c>
      <c r="K228">
        <v>8.8359207212925003E-3</v>
      </c>
      <c r="L228">
        <v>2.4728812277316999E-3</v>
      </c>
      <c r="M228">
        <v>1.5682454317808198E-2</v>
      </c>
      <c r="N228">
        <v>1.6604210250079701E-2</v>
      </c>
      <c r="O228" t="str">
        <f t="shared" si="23"/>
        <v/>
      </c>
    </row>
    <row r="229" spans="1:15" x14ac:dyDescent="0.35">
      <c r="A229" t="s">
        <v>23</v>
      </c>
      <c r="B229">
        <v>2007</v>
      </c>
      <c r="C229">
        <v>397406.40625</v>
      </c>
      <c r="D229" s="8">
        <v>0.93614548444747903</v>
      </c>
      <c r="E229" s="8">
        <v>0</v>
      </c>
      <c r="F229">
        <v>2.21716134211706</v>
      </c>
      <c r="G229">
        <f t="shared" si="19"/>
        <v>2.368393993189688</v>
      </c>
      <c r="H229">
        <f t="shared" si="21"/>
        <v>-6.6208484222437858E-2</v>
      </c>
      <c r="I229">
        <f t="shared" si="20"/>
        <v>0</v>
      </c>
      <c r="J229" t="str">
        <f t="shared" si="22"/>
        <v/>
      </c>
      <c r="K229">
        <v>1.5682454317808198E-2</v>
      </c>
      <c r="L229">
        <v>1.6604210250079701E-2</v>
      </c>
      <c r="M229">
        <v>-1.9939850375056301E-2</v>
      </c>
      <c r="N229">
        <v>9.5709539018570995E-3</v>
      </c>
      <c r="O229" t="str">
        <f t="shared" si="23"/>
        <v/>
      </c>
    </row>
    <row r="230" spans="1:15" x14ac:dyDescent="0.35">
      <c r="A230" t="s">
        <v>23</v>
      </c>
      <c r="B230">
        <v>2008</v>
      </c>
      <c r="C230">
        <v>400145.8125</v>
      </c>
      <c r="D230" s="8">
        <v>0.93837130069732699</v>
      </c>
      <c r="E230" s="8">
        <v>3.5999999999999997E-2</v>
      </c>
      <c r="F230">
        <v>2.24656457697143</v>
      </c>
      <c r="G230">
        <f t="shared" si="19"/>
        <v>2.3941104926183825</v>
      </c>
      <c r="H230">
        <f t="shared" si="21"/>
        <v>1.085820159257378E-2</v>
      </c>
      <c r="I230">
        <f t="shared" si="20"/>
        <v>1</v>
      </c>
      <c r="J230" t="str">
        <f t="shared" si="22"/>
        <v/>
      </c>
      <c r="K230">
        <v>-1.9939850375056301E-2</v>
      </c>
      <c r="L230">
        <v>9.5709539018570995E-3</v>
      </c>
      <c r="M230">
        <v>-1.9244868963956802E-2</v>
      </c>
      <c r="N230">
        <v>7.3218327015638403E-3</v>
      </c>
      <c r="O230" t="str">
        <f t="shared" si="23"/>
        <v/>
      </c>
    </row>
    <row r="231" spans="1:15" x14ac:dyDescent="0.35">
      <c r="A231" t="s">
        <v>23</v>
      </c>
      <c r="B231">
        <v>2009</v>
      </c>
      <c r="C231">
        <v>402175.125</v>
      </c>
      <c r="D231" s="8">
        <v>0.90458214282989502</v>
      </c>
      <c r="E231" s="8">
        <v>3.6999999999999998E-2</v>
      </c>
      <c r="F231">
        <v>2.2675863709341701</v>
      </c>
      <c r="G231">
        <f t="shared" si="19"/>
        <v>2.5067777303675842</v>
      </c>
      <c r="H231">
        <f t="shared" si="21"/>
        <v>4.7060166227324007E-2</v>
      </c>
      <c r="I231">
        <f t="shared" si="20"/>
        <v>1</v>
      </c>
      <c r="J231" t="str">
        <f t="shared" si="22"/>
        <v/>
      </c>
      <c r="K231">
        <v>-1.9244868963956802E-2</v>
      </c>
      <c r="L231">
        <v>7.3218327015638403E-3</v>
      </c>
      <c r="M231">
        <v>-2.1866364575922399E-2</v>
      </c>
      <c r="N231">
        <v>-1.2406255817040799E-2</v>
      </c>
      <c r="O231" t="str">
        <f t="shared" si="23"/>
        <v/>
      </c>
    </row>
    <row r="232" spans="1:15" x14ac:dyDescent="0.35">
      <c r="A232" t="s">
        <v>23</v>
      </c>
      <c r="B232">
        <v>2010</v>
      </c>
      <c r="C232">
        <v>404398</v>
      </c>
      <c r="D232" s="8">
        <v>0.89969080686569203</v>
      </c>
      <c r="E232" s="8">
        <v>0.108</v>
      </c>
      <c r="F232">
        <v>2.3050533044275001</v>
      </c>
      <c r="G232">
        <f t="shared" si="19"/>
        <v>2.562050525399671</v>
      </c>
      <c r="H232">
        <f t="shared" si="21"/>
        <v>2.2049340219717717E-2</v>
      </c>
      <c r="I232">
        <f t="shared" si="20"/>
        <v>1</v>
      </c>
      <c r="J232">
        <f t="shared" si="22"/>
        <v>4</v>
      </c>
      <c r="K232">
        <v>-2.1866364575922399E-2</v>
      </c>
      <c r="L232">
        <v>-1.2406255817040799E-2</v>
      </c>
      <c r="M232">
        <v>-2.3473146714270102E-2</v>
      </c>
      <c r="N232">
        <v>-2.1893722005188001E-3</v>
      </c>
      <c r="O232">
        <f t="shared" si="23"/>
        <v>-6.9873396307229777E-3</v>
      </c>
    </row>
    <row r="233" spans="1:15" x14ac:dyDescent="0.35">
      <c r="A233" t="s">
        <v>23</v>
      </c>
      <c r="B233">
        <v>2011</v>
      </c>
      <c r="C233">
        <v>405797.5</v>
      </c>
      <c r="D233" s="8">
        <v>0.90756100416183505</v>
      </c>
      <c r="E233" s="8">
        <v>1.2E-2</v>
      </c>
      <c r="F233">
        <v>2.5050487117462898</v>
      </c>
      <c r="G233">
        <f t="shared" si="19"/>
        <v>2.7601987086915347</v>
      </c>
      <c r="H233">
        <f t="shared" si="21"/>
        <v>7.7339686055158285E-2</v>
      </c>
      <c r="I233">
        <f t="shared" si="20"/>
        <v>1</v>
      </c>
      <c r="J233">
        <f t="shared" si="22"/>
        <v>4</v>
      </c>
      <c r="K233">
        <v>-2.3473146714270102E-2</v>
      </c>
      <c r="L233">
        <v>-2.1893722005188001E-3</v>
      </c>
      <c r="M233">
        <v>-1.9247554991394199E-2</v>
      </c>
      <c r="N233">
        <v>-1.3809348922222801E-2</v>
      </c>
      <c r="O233">
        <f t="shared" si="23"/>
        <v>-6.0884210281073976E-3</v>
      </c>
    </row>
    <row r="234" spans="1:15" x14ac:dyDescent="0.35">
      <c r="A234" t="s">
        <v>23</v>
      </c>
      <c r="B234">
        <v>2012</v>
      </c>
      <c r="C234">
        <v>405633.59375</v>
      </c>
      <c r="D234" s="8">
        <v>0.90439844131469704</v>
      </c>
      <c r="E234" s="8">
        <v>1.2E-2</v>
      </c>
      <c r="F234">
        <v>2.2303595516070498</v>
      </c>
      <c r="G234">
        <f t="shared" si="19"/>
        <v>2.4661249397608898</v>
      </c>
      <c r="H234">
        <f t="shared" si="21"/>
        <v>-0.10654079650303505</v>
      </c>
      <c r="I234">
        <f t="shared" si="20"/>
        <v>0</v>
      </c>
      <c r="J234">
        <f t="shared" si="22"/>
        <v>4</v>
      </c>
      <c r="K234">
        <v>-1.9247554991394199E-2</v>
      </c>
      <c r="L234">
        <v>-1.38949477113783E-2</v>
      </c>
      <c r="M234">
        <v>-2.1721183881163899E-3</v>
      </c>
      <c r="N234">
        <v>-8.2988897338509993E-3</v>
      </c>
      <c r="O234">
        <f t="shared" si="23"/>
        <v>2.769941464066502E-3</v>
      </c>
    </row>
    <row r="235" spans="1:15" x14ac:dyDescent="0.35">
      <c r="A235" t="s">
        <v>23</v>
      </c>
      <c r="B235">
        <v>2013</v>
      </c>
      <c r="C235">
        <v>407266.21875</v>
      </c>
      <c r="D235" s="8">
        <v>0.88858610391616799</v>
      </c>
      <c r="E235" s="8">
        <v>0</v>
      </c>
      <c r="F235">
        <v>2.1778630160210199</v>
      </c>
      <c r="G235">
        <f t="shared" si="19"/>
        <v>2.4509307611527609</v>
      </c>
      <c r="H235">
        <f t="shared" si="21"/>
        <v>-6.1611552452821572E-3</v>
      </c>
      <c r="I235">
        <f t="shared" si="20"/>
        <v>0</v>
      </c>
      <c r="J235">
        <f t="shared" si="22"/>
        <v>3</v>
      </c>
      <c r="K235">
        <v>-2.1721183881163899E-3</v>
      </c>
      <c r="L235">
        <v>-8.2988897338509993E-3</v>
      </c>
      <c r="M235">
        <v>-1.9566343948245E-3</v>
      </c>
      <c r="N235">
        <v>-3.9646578952670002E-3</v>
      </c>
      <c r="O235">
        <f t="shared" si="23"/>
        <v>1.8287530168891221E-3</v>
      </c>
    </row>
    <row r="236" spans="1:15" x14ac:dyDescent="0.35">
      <c r="A236" t="s">
        <v>23</v>
      </c>
      <c r="B236">
        <v>2014</v>
      </c>
      <c r="C236">
        <v>408839.28125</v>
      </c>
      <c r="D236" s="8">
        <v>0.91315466165542603</v>
      </c>
      <c r="E236" s="8">
        <v>0</v>
      </c>
      <c r="F236">
        <v>2.2374654640012999</v>
      </c>
      <c r="G236">
        <f t="shared" si="19"/>
        <v>2.4502590393012693</v>
      </c>
      <c r="H236">
        <f t="shared" si="21"/>
        <v>-2.740680651360794E-4</v>
      </c>
      <c r="I236">
        <f t="shared" si="20"/>
        <v>0</v>
      </c>
      <c r="J236">
        <f t="shared" si="22"/>
        <v>2</v>
      </c>
      <c r="K236">
        <v>-1.9566343948245E-3</v>
      </c>
      <c r="L236">
        <v>-3.9646578952670002E-3</v>
      </c>
      <c r="M236">
        <v>2.3589022621512301E-2</v>
      </c>
      <c r="N236">
        <v>-6.6744294017552896E-3</v>
      </c>
      <c r="O236">
        <f t="shared" si="23"/>
        <v>1.4395732432604025E-3</v>
      </c>
    </row>
    <row r="237" spans="1:15" x14ac:dyDescent="0.35">
      <c r="A237" t="s">
        <v>23</v>
      </c>
      <c r="B237">
        <v>2015</v>
      </c>
      <c r="C237">
        <v>412001.3125</v>
      </c>
      <c r="D237" s="8">
        <v>0.91583830118179299</v>
      </c>
      <c r="E237" s="8">
        <v>3.0000000000000001E-3</v>
      </c>
      <c r="F237">
        <v>2.3637618257095401</v>
      </c>
      <c r="G237">
        <f t="shared" si="19"/>
        <v>2.5809816237859393</v>
      </c>
      <c r="H237">
        <f t="shared" si="21"/>
        <v>5.3350516164996087E-2</v>
      </c>
      <c r="I237">
        <f t="shared" si="20"/>
        <v>1</v>
      </c>
      <c r="J237">
        <f t="shared" si="22"/>
        <v>2</v>
      </c>
      <c r="K237">
        <v>2.3589022621512301E-2</v>
      </c>
      <c r="L237">
        <v>-6.6744294017552896E-3</v>
      </c>
      <c r="M237">
        <v>1.54587778151035E-2</v>
      </c>
      <c r="N237">
        <v>2.3052208125591001E-3</v>
      </c>
      <c r="O237">
        <f t="shared" si="23"/>
        <v>-3.1628140946850006E-3</v>
      </c>
    </row>
    <row r="238" spans="1:15" x14ac:dyDescent="0.35">
      <c r="A238" t="s">
        <v>23</v>
      </c>
      <c r="B238">
        <v>2016</v>
      </c>
      <c r="C238">
        <v>414101.71875</v>
      </c>
      <c r="D238" s="8">
        <v>0.91160827875137296</v>
      </c>
      <c r="E238" s="8">
        <v>0</v>
      </c>
      <c r="F238">
        <v>2.3048075271484998</v>
      </c>
      <c r="G238">
        <f t="shared" si="19"/>
        <v>2.528287183070987</v>
      </c>
      <c r="H238">
        <f t="shared" si="21"/>
        <v>-2.0416433898377329E-2</v>
      </c>
      <c r="I238">
        <f t="shared" si="20"/>
        <v>0</v>
      </c>
      <c r="J238">
        <f t="shared" si="22"/>
        <v>1</v>
      </c>
      <c r="K238">
        <v>1.54587778151035E-2</v>
      </c>
      <c r="L238">
        <v>2.3052208125591001E-3</v>
      </c>
      <c r="M238">
        <v>3.3272036999464003E-2</v>
      </c>
      <c r="N238">
        <v>3.0482463538646701E-2</v>
      </c>
      <c r="O238">
        <f t="shared" si="23"/>
        <v>-1.1411959840916081E-2</v>
      </c>
    </row>
    <row r="239" spans="1:15" x14ac:dyDescent="0.35">
      <c r="A239" t="s">
        <v>23</v>
      </c>
      <c r="B239">
        <v>2017</v>
      </c>
      <c r="C239">
        <v>414155.5</v>
      </c>
      <c r="D239" s="8">
        <v>0.87499415874481201</v>
      </c>
      <c r="E239" s="8">
        <v>0</v>
      </c>
      <c r="F239">
        <v>2.2668504901960702</v>
      </c>
      <c r="G239">
        <f t="shared" si="19"/>
        <v>2.5907035693219829</v>
      </c>
      <c r="H239">
        <f t="shared" si="21"/>
        <v>2.4687221716316987E-2</v>
      </c>
      <c r="I239">
        <f t="shared" si="20"/>
        <v>1</v>
      </c>
      <c r="J239">
        <f t="shared" si="22"/>
        <v>2</v>
      </c>
      <c r="K239">
        <v>3.3272036999464003E-2</v>
      </c>
      <c r="L239">
        <v>3.0482463538646701E-2</v>
      </c>
      <c r="M239">
        <v>-3.8698090016841902E-3</v>
      </c>
      <c r="N239">
        <v>-1.3004831969737901E-2</v>
      </c>
      <c r="O239">
        <f t="shared" si="23"/>
        <v>-2.0216407789848699E-2</v>
      </c>
    </row>
    <row r="240" spans="1:15" x14ac:dyDescent="0.35">
      <c r="A240" t="s">
        <v>23</v>
      </c>
      <c r="B240">
        <v>2018</v>
      </c>
      <c r="C240">
        <v>410440</v>
      </c>
      <c r="D240" s="8">
        <v>0.88110816478729204</v>
      </c>
      <c r="E240" s="8">
        <v>0</v>
      </c>
      <c r="F240">
        <v>2.2644956314535301</v>
      </c>
      <c r="G240">
        <f t="shared" si="19"/>
        <v>2.5700540772995799</v>
      </c>
      <c r="H240">
        <f t="shared" si="21"/>
        <v>-7.9706116388326143E-3</v>
      </c>
      <c r="I240">
        <f t="shared" si="20"/>
        <v>0</v>
      </c>
      <c r="J240">
        <f t="shared" si="22"/>
        <v>2</v>
      </c>
      <c r="K240">
        <v>-3.8698090016841902E-3</v>
      </c>
      <c r="L240">
        <v>-1.3004831969737901E-2</v>
      </c>
      <c r="M240">
        <v>1.18906378448009E-2</v>
      </c>
      <c r="N240">
        <v>-5.9105567634106003E-3</v>
      </c>
      <c r="O240">
        <f t="shared" si="23"/>
        <v>-1.2293676449917242E-2</v>
      </c>
    </row>
    <row r="241" spans="1:15" x14ac:dyDescent="0.35">
      <c r="A241" t="s">
        <v>23</v>
      </c>
      <c r="B241">
        <v>2019</v>
      </c>
      <c r="C241">
        <v>409984</v>
      </c>
      <c r="D241" s="8">
        <v>0.88785505294799805</v>
      </c>
      <c r="E241" s="8">
        <v>3.0000000000000001E-3</v>
      </c>
      <c r="F241">
        <v>2.3449246917267499</v>
      </c>
      <c r="G241">
        <f t="shared" si="19"/>
        <v>2.6411120643406338</v>
      </c>
      <c r="H241">
        <f t="shared" si="21"/>
        <v>2.7648440423369003E-2</v>
      </c>
      <c r="I241">
        <f t="shared" si="20"/>
        <v>1</v>
      </c>
      <c r="J241" t="str">
        <f t="shared" si="22"/>
        <v/>
      </c>
      <c r="K241">
        <v>1.18906378448009E-2</v>
      </c>
      <c r="L241">
        <v>-5.9105567634106003E-3</v>
      </c>
      <c r="M241">
        <v>-1.08371756626293E-2</v>
      </c>
      <c r="N241">
        <v>-2.96863660914823E-2</v>
      </c>
      <c r="O241">
        <f t="shared" si="23"/>
        <v>-1.0243346891365922E-2</v>
      </c>
    </row>
    <row r="242" spans="1:15" x14ac:dyDescent="0.35">
      <c r="A242" t="s">
        <v>23</v>
      </c>
      <c r="B242">
        <v>2020</v>
      </c>
      <c r="C242">
        <v>409027.59375</v>
      </c>
      <c r="D242" s="8">
        <v>0.89026683568954501</v>
      </c>
      <c r="E242" s="8">
        <v>2.1999999999999999E-2</v>
      </c>
      <c r="F242">
        <v>2.18177920685959</v>
      </c>
      <c r="G242">
        <f t="shared" si="19"/>
        <v>2.4507025527573654</v>
      </c>
      <c r="H242">
        <f t="shared" si="21"/>
        <v>-7.2094446182011995E-2</v>
      </c>
      <c r="I242">
        <f t="shared" si="20"/>
        <v>0</v>
      </c>
      <c r="J242" t="str">
        <f t="shared" si="22"/>
        <v/>
      </c>
      <c r="K242">
        <v>-1.08371756626293E-2</v>
      </c>
      <c r="L242">
        <v>-2.96863660914823E-2</v>
      </c>
      <c r="M242">
        <v>4.6491048038005897E-3</v>
      </c>
      <c r="N242">
        <v>-3.8940507918596302E-2</v>
      </c>
      <c r="O242">
        <f t="shared" si="23"/>
        <v>-4.5434950850903816E-3</v>
      </c>
    </row>
    <row r="243" spans="1:15" x14ac:dyDescent="0.35">
      <c r="A243" t="s">
        <v>23</v>
      </c>
      <c r="B243">
        <v>2021</v>
      </c>
      <c r="C243">
        <v>407556.21875</v>
      </c>
      <c r="D243" s="8">
        <v>0.89242607355117798</v>
      </c>
      <c r="E243" s="8">
        <v>1.2999999999999999E-2</v>
      </c>
      <c r="F243">
        <v>2.2277872404648398</v>
      </c>
      <c r="G243">
        <f t="shared" si="19"/>
        <v>2.4963269300278719</v>
      </c>
      <c r="H243">
        <f t="shared" si="21"/>
        <v>1.8616856304806584E-2</v>
      </c>
      <c r="I243">
        <f t="shared" si="20"/>
        <v>1</v>
      </c>
      <c r="J243" t="str">
        <f t="shared" si="22"/>
        <v/>
      </c>
      <c r="K243">
        <v>4.6491048038005897E-3</v>
      </c>
      <c r="L243">
        <v>-3.8940507918596302E-2</v>
      </c>
      <c r="M243">
        <v>-4.56432829797268E-2</v>
      </c>
      <c r="N243">
        <v>-1.35397762060164E-2</v>
      </c>
      <c r="O243">
        <f t="shared" si="23"/>
        <v>3.34773370996119E-3</v>
      </c>
    </row>
    <row r="244" spans="1:15" x14ac:dyDescent="0.35">
      <c r="A244" t="s">
        <v>23</v>
      </c>
      <c r="B244">
        <v>2022</v>
      </c>
      <c r="C244">
        <v>407656.71875</v>
      </c>
      <c r="D244" s="8">
        <v>0.87179940938949596</v>
      </c>
      <c r="E244" s="8">
        <v>3.5000000000000003E-2</v>
      </c>
      <c r="F244">
        <v>2.4474559493169599</v>
      </c>
      <c r="G244">
        <f t="shared" si="19"/>
        <v>2.8073613298624109</v>
      </c>
      <c r="H244">
        <f t="shared" si="21"/>
        <v>0.12459682107065451</v>
      </c>
      <c r="I244">
        <f t="shared" si="20"/>
        <v>1</v>
      </c>
      <c r="J244" t="str">
        <f t="shared" si="22"/>
        <v/>
      </c>
      <c r="K244">
        <v>-4.56432829797268E-2</v>
      </c>
      <c r="L244">
        <v>-1.30610726773739E-2</v>
      </c>
      <c r="M244">
        <v>7.0498969554900898E-3</v>
      </c>
      <c r="N244">
        <v>2.6608824729919399E-2</v>
      </c>
      <c r="O244">
        <f t="shared" si="23"/>
        <v>7.967280177399505E-3</v>
      </c>
    </row>
    <row r="245" spans="1:15" x14ac:dyDescent="0.35">
      <c r="A245" t="s">
        <v>24</v>
      </c>
      <c r="B245">
        <v>2006</v>
      </c>
      <c r="C245">
        <v>252427</v>
      </c>
      <c r="D245" s="8">
        <v>0.94425231218338002</v>
      </c>
      <c r="E245" s="8">
        <v>0</v>
      </c>
      <c r="F245">
        <v>1.9634297655586701</v>
      </c>
      <c r="G245">
        <f t="shared" si="19"/>
        <v>2.0793486446632699</v>
      </c>
      <c r="H245">
        <f t="shared" si="21"/>
        <v>-0.25932275886795841</v>
      </c>
      <c r="I245">
        <f t="shared" si="20"/>
        <v>0</v>
      </c>
      <c r="J245" t="str">
        <f t="shared" si="22"/>
        <v/>
      </c>
      <c r="K245">
        <v>3.7504512071610103E-4</v>
      </c>
      <c r="L245">
        <v>-5.98799437284469E-3</v>
      </c>
      <c r="M245">
        <v>3.4193350970744998E-3</v>
      </c>
      <c r="N245">
        <v>4.3410910293459996E-3</v>
      </c>
      <c r="O245" t="str">
        <f t="shared" si="23"/>
        <v/>
      </c>
    </row>
    <row r="246" spans="1:15" x14ac:dyDescent="0.35">
      <c r="A246" t="s">
        <v>24</v>
      </c>
      <c r="B246">
        <v>2007</v>
      </c>
      <c r="C246">
        <v>252461.59375</v>
      </c>
      <c r="D246" s="8">
        <v>0.94291114807128895</v>
      </c>
      <c r="E246" s="8">
        <v>1E-3</v>
      </c>
      <c r="F246">
        <v>2.02671891699323</v>
      </c>
      <c r="G246">
        <f t="shared" si="19"/>
        <v>2.1494272510605628</v>
      </c>
      <c r="H246">
        <f t="shared" si="21"/>
        <v>3.3702191586366448E-2</v>
      </c>
      <c r="I246">
        <f t="shared" si="20"/>
        <v>1</v>
      </c>
      <c r="J246" t="str">
        <f t="shared" si="22"/>
        <v/>
      </c>
      <c r="K246">
        <v>3.4193350970744998E-3</v>
      </c>
      <c r="L246">
        <v>4.3410910293459996E-3</v>
      </c>
      <c r="M246">
        <v>-3.0697911337018002E-2</v>
      </c>
      <c r="N246">
        <v>-1.1871070601046001E-3</v>
      </c>
      <c r="O246" t="str">
        <f t="shared" si="23"/>
        <v/>
      </c>
    </row>
    <row r="247" spans="1:15" x14ac:dyDescent="0.35">
      <c r="A247" t="s">
        <v>24</v>
      </c>
      <c r="B247">
        <v>2008</v>
      </c>
      <c r="C247">
        <v>252448.703125</v>
      </c>
      <c r="D247" s="8">
        <v>0.94226413965225198</v>
      </c>
      <c r="E247" s="8">
        <v>0</v>
      </c>
      <c r="F247">
        <v>1.96595089972573</v>
      </c>
      <c r="G247">
        <f t="shared" si="19"/>
        <v>2.0864116726879529</v>
      </c>
      <c r="H247">
        <f t="shared" si="21"/>
        <v>-2.9317381335663639E-2</v>
      </c>
      <c r="I247">
        <f t="shared" si="20"/>
        <v>0</v>
      </c>
      <c r="J247" t="str">
        <f t="shared" si="22"/>
        <v/>
      </c>
      <c r="K247">
        <v>-3.0697911337018002E-2</v>
      </c>
      <c r="L247">
        <v>-1.1871070601046001E-3</v>
      </c>
      <c r="M247">
        <v>-2.60510656088591E-2</v>
      </c>
      <c r="N247">
        <v>5.1563605666155E-4</v>
      </c>
      <c r="O247" t="str">
        <f t="shared" si="23"/>
        <v/>
      </c>
    </row>
    <row r="248" spans="1:15" x14ac:dyDescent="0.35">
      <c r="A248" t="s">
        <v>24</v>
      </c>
      <c r="B248">
        <v>2009</v>
      </c>
      <c r="C248">
        <v>252074.09375</v>
      </c>
      <c r="D248" s="8">
        <v>0.94276583194732699</v>
      </c>
      <c r="E248" s="8">
        <v>0</v>
      </c>
      <c r="F248">
        <v>2.0479360417686401</v>
      </c>
      <c r="G248">
        <f t="shared" si="19"/>
        <v>2.1722637503085283</v>
      </c>
      <c r="H248">
        <f t="shared" si="21"/>
        <v>4.1148196563706385E-2</v>
      </c>
      <c r="I248">
        <f t="shared" si="20"/>
        <v>1</v>
      </c>
      <c r="J248" t="str">
        <f t="shared" si="22"/>
        <v/>
      </c>
      <c r="K248">
        <v>-2.60510656088591E-2</v>
      </c>
      <c r="L248">
        <v>5.1563605666155E-4</v>
      </c>
      <c r="M248">
        <v>9.7847372293499699E-5</v>
      </c>
      <c r="N248">
        <v>9.5579561311751795E-3</v>
      </c>
      <c r="O248" t="str">
        <f t="shared" si="23"/>
        <v/>
      </c>
    </row>
    <row r="249" spans="1:15" x14ac:dyDescent="0.35">
      <c r="A249" t="s">
        <v>24</v>
      </c>
      <c r="B249">
        <v>2010</v>
      </c>
      <c r="C249">
        <v>251653.3125</v>
      </c>
      <c r="D249" s="8">
        <v>0.94253849983215299</v>
      </c>
      <c r="E249" s="8">
        <v>2E-3</v>
      </c>
      <c r="F249">
        <v>2.1810751544953102</v>
      </c>
      <c r="G249">
        <f t="shared" si="19"/>
        <v>2.3140435694496464</v>
      </c>
      <c r="H249">
        <f t="shared" si="21"/>
        <v>6.5268234173212702E-2</v>
      </c>
      <c r="I249">
        <f t="shared" si="20"/>
        <v>1</v>
      </c>
      <c r="J249">
        <f t="shared" si="22"/>
        <v>3</v>
      </c>
      <c r="K249">
        <v>9.7847372293499699E-5</v>
      </c>
      <c r="L249">
        <v>9.5579561311751795E-3</v>
      </c>
      <c r="M249">
        <v>-2.4505189497023801E-2</v>
      </c>
      <c r="N249">
        <v>-3.22141498327252E-3</v>
      </c>
      <c r="O249">
        <f t="shared" si="23"/>
        <v>-8.3976499736308635E-3</v>
      </c>
    </row>
    <row r="250" spans="1:15" x14ac:dyDescent="0.35">
      <c r="A250" t="s">
        <v>24</v>
      </c>
      <c r="B250">
        <v>2011</v>
      </c>
      <c r="C250">
        <v>251312.390625</v>
      </c>
      <c r="D250" s="8">
        <v>0.94513255357742298</v>
      </c>
      <c r="E250" s="8">
        <v>0</v>
      </c>
      <c r="F250">
        <v>2.0326762170385302</v>
      </c>
      <c r="G250">
        <f t="shared" si="19"/>
        <v>2.1506784517628175</v>
      </c>
      <c r="H250">
        <f t="shared" si="21"/>
        <v>-7.0597252291875523E-2</v>
      </c>
      <c r="I250">
        <f t="shared" si="20"/>
        <v>0</v>
      </c>
      <c r="J250">
        <f t="shared" si="22"/>
        <v>3</v>
      </c>
      <c r="K250">
        <v>-2.4505189497023801E-2</v>
      </c>
      <c r="L250">
        <v>-3.22141498327252E-3</v>
      </c>
      <c r="M250">
        <v>-1.54846145808696E-2</v>
      </c>
      <c r="N250">
        <v>-1.0046408511698199E-2</v>
      </c>
      <c r="O250">
        <f t="shared" si="23"/>
        <v>-9.7311887890100205E-3</v>
      </c>
    </row>
    <row r="251" spans="1:15" x14ac:dyDescent="0.35">
      <c r="A251" t="s">
        <v>24</v>
      </c>
      <c r="B251">
        <v>2012</v>
      </c>
      <c r="C251">
        <v>251091.90625</v>
      </c>
      <c r="D251" s="8">
        <v>0.94749015569686901</v>
      </c>
      <c r="E251" s="8">
        <v>0</v>
      </c>
      <c r="F251">
        <v>2.09841502694773</v>
      </c>
      <c r="G251">
        <f t="shared" si="19"/>
        <v>2.2147090545804855</v>
      </c>
      <c r="H251">
        <f t="shared" si="21"/>
        <v>2.9772280819192254E-2</v>
      </c>
      <c r="I251">
        <f t="shared" si="20"/>
        <v>1</v>
      </c>
      <c r="J251">
        <f t="shared" si="22"/>
        <v>3</v>
      </c>
      <c r="K251">
        <v>-1.54846145808696E-2</v>
      </c>
      <c r="L251">
        <v>-1.01320073008537E-2</v>
      </c>
      <c r="M251">
        <v>-4.3961222842335904E-3</v>
      </c>
      <c r="N251">
        <v>-1.0522893629968199E-2</v>
      </c>
      <c r="O251">
        <f t="shared" si="23"/>
        <v>-9.5751455053686794E-3</v>
      </c>
    </row>
    <row r="252" spans="1:15" x14ac:dyDescent="0.35">
      <c r="A252" t="s">
        <v>24</v>
      </c>
      <c r="B252">
        <v>2013</v>
      </c>
      <c r="C252">
        <v>251070.6875</v>
      </c>
      <c r="D252" s="8">
        <v>0.949990093708038</v>
      </c>
      <c r="E252" s="8">
        <v>0</v>
      </c>
      <c r="F252">
        <v>2.0998171717881999</v>
      </c>
      <c r="G252">
        <f t="shared" si="19"/>
        <v>2.2103569139253993</v>
      </c>
      <c r="H252">
        <f t="shared" si="21"/>
        <v>-1.9651071756288108E-3</v>
      </c>
      <c r="I252">
        <f t="shared" si="20"/>
        <v>0</v>
      </c>
      <c r="J252">
        <f t="shared" si="22"/>
        <v>3</v>
      </c>
      <c r="K252">
        <v>-4.3961222842335904E-3</v>
      </c>
      <c r="L252">
        <v>-1.0522893629968199E-2</v>
      </c>
      <c r="M252">
        <v>-5.4639663398265998E-3</v>
      </c>
      <c r="N252">
        <v>-7.4719898402691E-3</v>
      </c>
      <c r="O252">
        <f t="shared" si="23"/>
        <v>-1.1587591283023318E-2</v>
      </c>
    </row>
    <row r="253" spans="1:15" x14ac:dyDescent="0.35">
      <c r="A253" t="s">
        <v>24</v>
      </c>
      <c r="B253">
        <v>2014</v>
      </c>
      <c r="C253">
        <v>250880</v>
      </c>
      <c r="D253" s="8">
        <v>0.95105236768722501</v>
      </c>
      <c r="E253" s="8">
        <v>0</v>
      </c>
      <c r="F253">
        <v>2.1182287591926099</v>
      </c>
      <c r="G253">
        <f t="shared" si="19"/>
        <v>2.2272472380713708</v>
      </c>
      <c r="H253">
        <f t="shared" si="21"/>
        <v>7.6414465191396719E-3</v>
      </c>
      <c r="I253">
        <f t="shared" si="20"/>
        <v>1</v>
      </c>
      <c r="J253">
        <f t="shared" si="22"/>
        <v>3</v>
      </c>
      <c r="K253">
        <v>-5.4639663398265998E-3</v>
      </c>
      <c r="L253">
        <v>-7.4719898402691E-3</v>
      </c>
      <c r="M253">
        <v>1.9537909120321301E-2</v>
      </c>
      <c r="N253">
        <v>-1.07255429029463E-2</v>
      </c>
      <c r="O253">
        <f t="shared" si="23"/>
        <v>-1.3039745576679657E-2</v>
      </c>
    </row>
    <row r="254" spans="1:15" x14ac:dyDescent="0.35">
      <c r="A254" t="s">
        <v>24</v>
      </c>
      <c r="B254">
        <v>2015</v>
      </c>
      <c r="C254">
        <v>249969.796875</v>
      </c>
      <c r="D254" s="8">
        <v>0.94890671968460105</v>
      </c>
      <c r="E254" s="8">
        <v>4.0000000000000001E-3</v>
      </c>
      <c r="F254">
        <v>2.0478079875113799</v>
      </c>
      <c r="G254">
        <f t="shared" si="19"/>
        <v>2.1580709094272548</v>
      </c>
      <c r="H254">
        <f t="shared" si="21"/>
        <v>-3.1059115243989521E-2</v>
      </c>
      <c r="I254">
        <f t="shared" si="20"/>
        <v>0</v>
      </c>
      <c r="J254">
        <f t="shared" si="22"/>
        <v>2</v>
      </c>
      <c r="K254">
        <v>1.9537909120321301E-2</v>
      </c>
      <c r="L254">
        <v>-1.07255429029463E-2</v>
      </c>
      <c r="M254">
        <v>3.2644479423760901E-3</v>
      </c>
      <c r="N254">
        <v>-9.8891090601682993E-3</v>
      </c>
      <c r="O254">
        <f t="shared" si="23"/>
        <v>-1.3489639945328216E-2</v>
      </c>
    </row>
    <row r="255" spans="1:15" x14ac:dyDescent="0.35">
      <c r="A255" t="s">
        <v>24</v>
      </c>
      <c r="B255">
        <v>2016</v>
      </c>
      <c r="C255">
        <v>249078.40625</v>
      </c>
      <c r="D255" s="8">
        <v>0.95611733198165905</v>
      </c>
      <c r="E255" s="8">
        <v>-3.0000000000000001E-3</v>
      </c>
      <c r="F255">
        <v>2.1492542090775202</v>
      </c>
      <c r="G255">
        <f t="shared" si="19"/>
        <v>2.2478979694081613</v>
      </c>
      <c r="H255">
        <f t="shared" si="21"/>
        <v>4.1623775932713158E-2</v>
      </c>
      <c r="I255">
        <f t="shared" si="20"/>
        <v>1</v>
      </c>
      <c r="J255">
        <f t="shared" si="22"/>
        <v>3</v>
      </c>
      <c r="K255">
        <v>3.2644479423760901E-3</v>
      </c>
      <c r="L255">
        <v>-9.8891090601682993E-3</v>
      </c>
      <c r="M255">
        <v>-6.4766186326742003E-3</v>
      </c>
      <c r="N255">
        <v>-9.2661920934914901E-3</v>
      </c>
      <c r="O255">
        <f t="shared" si="23"/>
        <v>-2.0090105198323716E-2</v>
      </c>
    </row>
    <row r="256" spans="1:15" x14ac:dyDescent="0.35">
      <c r="A256" t="s">
        <v>24</v>
      </c>
      <c r="B256">
        <v>2017</v>
      </c>
      <c r="C256">
        <v>248560.8125</v>
      </c>
      <c r="D256" s="8">
        <v>0.95067286491393999</v>
      </c>
      <c r="E256" s="8">
        <v>0</v>
      </c>
      <c r="F256">
        <v>1.9693150152290799</v>
      </c>
      <c r="G256">
        <f t="shared" si="19"/>
        <v>2.0714959771228485</v>
      </c>
      <c r="H256">
        <f t="shared" si="21"/>
        <v>-7.8474198867556688E-2</v>
      </c>
      <c r="I256">
        <f t="shared" si="20"/>
        <v>0</v>
      </c>
      <c r="J256">
        <f t="shared" si="22"/>
        <v>2</v>
      </c>
      <c r="K256">
        <v>-6.4766186326742003E-3</v>
      </c>
      <c r="L256">
        <v>-9.2661920934914901E-3</v>
      </c>
      <c r="M256">
        <v>-1.14500995501876E-2</v>
      </c>
      <c r="N256">
        <v>-2.0585122518241399E-2</v>
      </c>
      <c r="O256">
        <f t="shared" si="23"/>
        <v>-1.8972893059253697E-2</v>
      </c>
    </row>
    <row r="257" spans="1:15" x14ac:dyDescent="0.35">
      <c r="A257" t="s">
        <v>24</v>
      </c>
      <c r="B257">
        <v>2018</v>
      </c>
      <c r="C257">
        <v>248150.5</v>
      </c>
      <c r="D257" s="8">
        <v>0.95918387174606301</v>
      </c>
      <c r="E257" s="8">
        <v>1.4E-2</v>
      </c>
      <c r="F257">
        <v>1.92433191788257</v>
      </c>
      <c r="G257">
        <f t="shared" si="19"/>
        <v>2.0062179677600156</v>
      </c>
      <c r="H257">
        <f t="shared" si="21"/>
        <v>-3.1512496323308881E-2</v>
      </c>
      <c r="I257">
        <f t="shared" si="20"/>
        <v>0</v>
      </c>
      <c r="J257">
        <f t="shared" si="22"/>
        <v>2</v>
      </c>
      <c r="K257">
        <v>-1.14500995501876E-2</v>
      </c>
      <c r="L257">
        <v>-2.0585122518241399E-2</v>
      </c>
      <c r="M257">
        <v>3.0684332996607001E-3</v>
      </c>
      <c r="N257">
        <v>-1.47327613085508E-2</v>
      </c>
      <c r="O257">
        <f t="shared" si="23"/>
        <v>-1.9344954285770637E-2</v>
      </c>
    </row>
    <row r="258" spans="1:15" x14ac:dyDescent="0.35">
      <c r="A258" t="s">
        <v>24</v>
      </c>
      <c r="B258">
        <v>2019</v>
      </c>
      <c r="C258">
        <v>247385.296875</v>
      </c>
      <c r="D258" s="8">
        <v>0.96745896339416504</v>
      </c>
      <c r="E258" s="8">
        <v>3.2000000000000001E-2</v>
      </c>
      <c r="F258">
        <v>1.9869809341642499</v>
      </c>
      <c r="G258">
        <f t="shared" si="19"/>
        <v>2.0538141764620854</v>
      </c>
      <c r="H258">
        <f t="shared" si="21"/>
        <v>2.3724345742557551E-2</v>
      </c>
      <c r="I258">
        <f t="shared" si="20"/>
        <v>1</v>
      </c>
      <c r="J258" t="str">
        <f t="shared" si="22"/>
        <v/>
      </c>
      <c r="K258">
        <v>3.0684332996607001E-3</v>
      </c>
      <c r="L258">
        <v>-1.47327613085508E-2</v>
      </c>
      <c r="M258">
        <v>5.8741756826638999E-3</v>
      </c>
      <c r="N258">
        <v>-1.29750147461891E-2</v>
      </c>
      <c r="O258">
        <f t="shared" si="23"/>
        <v>-1.6672798339277504E-2</v>
      </c>
    </row>
    <row r="259" spans="1:15" x14ac:dyDescent="0.35">
      <c r="A259" t="s">
        <v>24</v>
      </c>
      <c r="B259">
        <v>2020</v>
      </c>
      <c r="C259">
        <v>246558.203125</v>
      </c>
      <c r="D259" s="8">
        <v>0.971233010292053</v>
      </c>
      <c r="E259" s="8">
        <v>8.9999999999999993E-3</v>
      </c>
      <c r="F259">
        <v>1.9311541377500401</v>
      </c>
      <c r="G259">
        <f t="shared" ref="G259:G322" si="24">F259/D259</f>
        <v>1.9883530700519905</v>
      </c>
      <c r="H259">
        <f t="shared" si="21"/>
        <v>-3.1872945060131386E-2</v>
      </c>
      <c r="I259">
        <f t="shared" ref="I259:I322" si="25">IF(H259&gt;0,1,0)</f>
        <v>0</v>
      </c>
      <c r="J259" t="str">
        <f t="shared" si="22"/>
        <v/>
      </c>
      <c r="K259">
        <v>5.8741756826638999E-3</v>
      </c>
      <c r="L259">
        <v>-1.29750147461891E-2</v>
      </c>
      <c r="M259">
        <v>6.9817739725110096E-4</v>
      </c>
      <c r="N259">
        <v>-4.2891435325145798E-2</v>
      </c>
      <c r="O259">
        <f t="shared" si="23"/>
        <v>-1.4228663453832275E-2</v>
      </c>
    </row>
    <row r="260" spans="1:15" x14ac:dyDescent="0.35">
      <c r="A260" t="s">
        <v>25</v>
      </c>
      <c r="B260">
        <v>2006</v>
      </c>
      <c r="C260">
        <v>1100865</v>
      </c>
      <c r="D260" s="8">
        <v>0.91405725479125999</v>
      </c>
      <c r="E260" s="8">
        <v>4.0000000000000001E-3</v>
      </c>
      <c r="F260">
        <v>2.2076999140551998</v>
      </c>
      <c r="G260">
        <f t="shared" si="24"/>
        <v>2.415275304126725</v>
      </c>
      <c r="H260">
        <f t="shared" ref="H260:H323" si="26">+G260/G259-1</f>
        <v>0.21471148183132871</v>
      </c>
      <c r="I260">
        <f t="shared" si="25"/>
        <v>1</v>
      </c>
      <c r="J260" t="str">
        <f t="shared" si="22"/>
        <v/>
      </c>
      <c r="K260">
        <v>2.9463214457035099E-2</v>
      </c>
      <c r="L260">
        <v>2.3100174963474301E-2</v>
      </c>
      <c r="M260">
        <v>-4.6018873304129E-3</v>
      </c>
      <c r="N260">
        <v>-3.6801313981413902E-3</v>
      </c>
      <c r="O260" t="str">
        <f t="shared" si="23"/>
        <v/>
      </c>
    </row>
    <row r="261" spans="1:15" x14ac:dyDescent="0.35">
      <c r="A261" t="s">
        <v>25</v>
      </c>
      <c r="B261">
        <v>2007</v>
      </c>
      <c r="C261">
        <v>1109710</v>
      </c>
      <c r="D261" s="8">
        <v>0.90303713083267201</v>
      </c>
      <c r="E261" s="8">
        <v>0.03</v>
      </c>
      <c r="F261">
        <v>2.2096594491419199</v>
      </c>
      <c r="G261">
        <f t="shared" si="24"/>
        <v>2.4469198150295752</v>
      </c>
      <c r="H261">
        <f t="shared" si="26"/>
        <v>1.3101823568014259E-2</v>
      </c>
      <c r="I261">
        <f t="shared" si="25"/>
        <v>1</v>
      </c>
      <c r="J261" t="str">
        <f t="shared" si="22"/>
        <v/>
      </c>
      <c r="K261">
        <v>-4.6018873304129E-3</v>
      </c>
      <c r="L261">
        <v>-3.6801313981413902E-3</v>
      </c>
      <c r="M261">
        <v>-5.1956232927739598E-2</v>
      </c>
      <c r="N261">
        <v>-2.2445428650826101E-2</v>
      </c>
      <c r="O261" t="str">
        <f t="shared" si="23"/>
        <v/>
      </c>
    </row>
    <row r="262" spans="1:15" x14ac:dyDescent="0.35">
      <c r="A262" t="s">
        <v>25</v>
      </c>
      <c r="B262">
        <v>2008</v>
      </c>
      <c r="C262">
        <v>1119191</v>
      </c>
      <c r="D262" s="8">
        <v>0.90070617198944103</v>
      </c>
      <c r="E262" s="8">
        <v>2E-3</v>
      </c>
      <c r="F262">
        <v>2.2345405825914</v>
      </c>
      <c r="G262">
        <f t="shared" si="24"/>
        <v>2.4808762858323075</v>
      </c>
      <c r="H262">
        <f t="shared" si="26"/>
        <v>1.3877230710284572E-2</v>
      </c>
      <c r="I262">
        <f t="shared" si="25"/>
        <v>1</v>
      </c>
      <c r="J262" t="str">
        <f t="shared" si="22"/>
        <v/>
      </c>
      <c r="K262">
        <v>-5.1956232927739598E-2</v>
      </c>
      <c r="L262">
        <v>-2.2445428650826101E-2</v>
      </c>
      <c r="M262">
        <v>-2.79386832416058E-2</v>
      </c>
      <c r="N262">
        <v>-1.3719815760851401E-3</v>
      </c>
      <c r="O262" t="str">
        <f t="shared" si="23"/>
        <v/>
      </c>
    </row>
    <row r="263" spans="1:15" x14ac:dyDescent="0.35">
      <c r="A263" t="s">
        <v>25</v>
      </c>
      <c r="B263">
        <v>2009</v>
      </c>
      <c r="C263">
        <v>1126366</v>
      </c>
      <c r="D263" s="8">
        <v>0.90403270721435502</v>
      </c>
      <c r="E263" s="8">
        <v>1.0999999999999999E-2</v>
      </c>
      <c r="F263">
        <v>2.27500078866841</v>
      </c>
      <c r="G263">
        <f t="shared" si="24"/>
        <v>2.5165027443293431</v>
      </c>
      <c r="H263">
        <f t="shared" si="26"/>
        <v>1.4360433327727629E-2</v>
      </c>
      <c r="I263">
        <f t="shared" si="25"/>
        <v>1</v>
      </c>
      <c r="J263" t="str">
        <f t="shared" ref="J263:J326" si="27">IF(AND(B263&gt;=2010,B263&lt;=2018),SUM(I259:I263),"")</f>
        <v/>
      </c>
      <c r="K263">
        <v>-2.79386832416058E-2</v>
      </c>
      <c r="L263">
        <v>-1.3719815760851401E-3</v>
      </c>
      <c r="M263">
        <v>-1.0214449077844599E-2</v>
      </c>
      <c r="N263">
        <v>-7.5434031896293499E-4</v>
      </c>
      <c r="O263" t="str">
        <f t="shared" ref="O263:O326" si="28">IF(B263&gt;=2010,AVERAGE(N263:N267),"")</f>
        <v/>
      </c>
    </row>
    <row r="264" spans="1:15" x14ac:dyDescent="0.35">
      <c r="A264" t="s">
        <v>25</v>
      </c>
      <c r="B264">
        <v>2010</v>
      </c>
      <c r="C264">
        <v>1130535</v>
      </c>
      <c r="D264" s="8">
        <v>0.91348785161972001</v>
      </c>
      <c r="E264" s="8">
        <v>1.2999999999999999E-2</v>
      </c>
      <c r="F264">
        <v>2.2350750640178001</v>
      </c>
      <c r="G264">
        <f t="shared" si="24"/>
        <v>2.4467485364526222</v>
      </c>
      <c r="H264">
        <f t="shared" si="26"/>
        <v>-2.7718709241984385E-2</v>
      </c>
      <c r="I264">
        <f t="shared" si="25"/>
        <v>0</v>
      </c>
      <c r="J264">
        <f t="shared" si="27"/>
        <v>4</v>
      </c>
      <c r="K264">
        <v>-1.0214449077844599E-2</v>
      </c>
      <c r="L264">
        <v>-7.5434031896293499E-4</v>
      </c>
      <c r="M264">
        <v>-2.6721088558435399E-2</v>
      </c>
      <c r="N264">
        <v>-5.4373140446841396E-3</v>
      </c>
      <c r="O264">
        <f t="shared" si="28"/>
        <v>-4.4669526629149857E-3</v>
      </c>
    </row>
    <row r="265" spans="1:15" x14ac:dyDescent="0.35">
      <c r="A265" t="s">
        <v>25</v>
      </c>
      <c r="B265">
        <v>2011</v>
      </c>
      <c r="C265">
        <v>1135198</v>
      </c>
      <c r="D265" s="8">
        <v>0.91710197925567605</v>
      </c>
      <c r="E265" s="8">
        <v>5.0000000000000001E-3</v>
      </c>
      <c r="F265">
        <v>2.27101739757877</v>
      </c>
      <c r="G265">
        <f t="shared" si="24"/>
        <v>2.4762975644452729</v>
      </c>
      <c r="H265">
        <f t="shared" si="26"/>
        <v>1.2076855284643084E-2</v>
      </c>
      <c r="I265">
        <f t="shared" si="25"/>
        <v>1</v>
      </c>
      <c r="J265">
        <f t="shared" si="27"/>
        <v>4</v>
      </c>
      <c r="K265">
        <v>-2.6721088558435399E-2</v>
      </c>
      <c r="L265">
        <v>-5.4373140446841396E-3</v>
      </c>
      <c r="M265">
        <v>-9.0068926140666004E-3</v>
      </c>
      <c r="N265">
        <v>-3.5686865448951999E-3</v>
      </c>
      <c r="O265">
        <f t="shared" si="28"/>
        <v>-4.6108193695545158E-3</v>
      </c>
    </row>
    <row r="266" spans="1:15" x14ac:dyDescent="0.35">
      <c r="A266" t="s">
        <v>25</v>
      </c>
      <c r="B266">
        <v>2012</v>
      </c>
      <c r="C266">
        <v>1141482</v>
      </c>
      <c r="D266" s="8">
        <v>0.91125470399856601</v>
      </c>
      <c r="E266" s="8">
        <v>8.0000000000000002E-3</v>
      </c>
      <c r="F266">
        <v>2.2468693562590398</v>
      </c>
      <c r="G266">
        <f t="shared" si="24"/>
        <v>2.4656875255620911</v>
      </c>
      <c r="H266">
        <f t="shared" si="26"/>
        <v>-4.2846380966168329E-3</v>
      </c>
      <c r="I266">
        <f t="shared" si="25"/>
        <v>0</v>
      </c>
      <c r="J266">
        <f t="shared" si="27"/>
        <v>3</v>
      </c>
      <c r="K266">
        <v>-9.0068926140666004E-3</v>
      </c>
      <c r="L266">
        <v>-3.6542853340507E-3</v>
      </c>
      <c r="M266">
        <v>1.0949155911803199E-2</v>
      </c>
      <c r="N266">
        <v>4.8223845660685999E-3</v>
      </c>
      <c r="O266">
        <f t="shared" si="28"/>
        <v>-4.6929109841584941E-3</v>
      </c>
    </row>
    <row r="267" spans="1:15" x14ac:dyDescent="0.35">
      <c r="A267" t="s">
        <v>25</v>
      </c>
      <c r="B267">
        <v>2013</v>
      </c>
      <c r="C267">
        <v>1148346</v>
      </c>
      <c r="D267" s="8">
        <v>0.90932363271713301</v>
      </c>
      <c r="E267" s="8">
        <v>8.9999999999999993E-3</v>
      </c>
      <c r="F267">
        <v>2.25488676292556</v>
      </c>
      <c r="G267">
        <f t="shared" si="24"/>
        <v>2.4797406355620328</v>
      </c>
      <c r="H267">
        <f t="shared" si="26"/>
        <v>5.6994691558647226E-3</v>
      </c>
      <c r="I267">
        <f t="shared" si="25"/>
        <v>1</v>
      </c>
      <c r="J267">
        <f t="shared" si="27"/>
        <v>3</v>
      </c>
      <c r="K267">
        <v>1.0949155911803199E-2</v>
      </c>
      <c r="L267">
        <v>4.8223845660685999E-3</v>
      </c>
      <c r="M267">
        <v>-8.8570669144392E-3</v>
      </c>
      <c r="N267">
        <v>-1.0865090414881699E-2</v>
      </c>
      <c r="O267">
        <f t="shared" si="28"/>
        <v>-8.4763728082177386E-4</v>
      </c>
    </row>
    <row r="268" spans="1:15" x14ac:dyDescent="0.35">
      <c r="A268" t="s">
        <v>25</v>
      </c>
      <c r="B268">
        <v>2014</v>
      </c>
      <c r="C268">
        <v>1153943</v>
      </c>
      <c r="D268" s="8">
        <v>0.89627039432525601</v>
      </c>
      <c r="E268" s="8">
        <v>1.9E-2</v>
      </c>
      <c r="F268">
        <v>2.3354982268270601</v>
      </c>
      <c r="G268">
        <f t="shared" si="24"/>
        <v>2.6057964667965026</v>
      </c>
      <c r="H268">
        <f t="shared" si="26"/>
        <v>5.083428058027506E-2</v>
      </c>
      <c r="I268">
        <f t="shared" si="25"/>
        <v>1</v>
      </c>
      <c r="J268">
        <f t="shared" si="27"/>
        <v>3</v>
      </c>
      <c r="K268">
        <v>-8.8570669144392E-3</v>
      </c>
      <c r="L268">
        <v>-1.0865090414881699E-2</v>
      </c>
      <c r="M268">
        <v>2.2977395147085199E-2</v>
      </c>
      <c r="N268">
        <v>-7.2860568761824902E-3</v>
      </c>
      <c r="O268">
        <f t="shared" si="28"/>
        <v>2.2160731256008438E-3</v>
      </c>
    </row>
    <row r="269" spans="1:15" x14ac:dyDescent="0.35">
      <c r="A269" t="s">
        <v>25</v>
      </c>
      <c r="B269">
        <v>2015</v>
      </c>
      <c r="C269">
        <v>1159589</v>
      </c>
      <c r="D269" s="8">
        <v>0.89189058542251598</v>
      </c>
      <c r="E269" s="8">
        <v>1.2E-2</v>
      </c>
      <c r="F269">
        <v>2.1543664622759402</v>
      </c>
      <c r="G269">
        <f t="shared" si="24"/>
        <v>2.4155053293396418</v>
      </c>
      <c r="H269">
        <f t="shared" si="26"/>
        <v>-7.3026093895506627E-2</v>
      </c>
      <c r="I269">
        <f t="shared" si="25"/>
        <v>0</v>
      </c>
      <c r="J269">
        <f t="shared" si="27"/>
        <v>3</v>
      </c>
      <c r="K269">
        <v>2.2977395147085199E-2</v>
      </c>
      <c r="L269">
        <v>-7.2860568761824902E-3</v>
      </c>
      <c r="M269">
        <v>6.9969094246626002E-3</v>
      </c>
      <c r="N269">
        <v>-6.1566475778817896E-3</v>
      </c>
      <c r="O269">
        <f t="shared" si="28"/>
        <v>3.6732845008373418E-3</v>
      </c>
    </row>
    <row r="270" spans="1:15" x14ac:dyDescent="0.35">
      <c r="A270" t="s">
        <v>25</v>
      </c>
      <c r="B270">
        <v>2016</v>
      </c>
      <c r="C270">
        <v>1164841</v>
      </c>
      <c r="D270" s="8">
        <v>0.88933527469634999</v>
      </c>
      <c r="E270" s="8">
        <v>2.7E-2</v>
      </c>
      <c r="F270">
        <v>2.1897411864304202</v>
      </c>
      <c r="G270">
        <f t="shared" si="24"/>
        <v>2.4622223459854036</v>
      </c>
      <c r="H270">
        <f t="shared" si="26"/>
        <v>1.934047343150902E-2</v>
      </c>
      <c r="I270">
        <f t="shared" si="25"/>
        <v>1</v>
      </c>
      <c r="J270">
        <f t="shared" si="27"/>
        <v>3</v>
      </c>
      <c r="K270">
        <v>6.9969094246626002E-3</v>
      </c>
      <c r="L270">
        <v>-6.1566475778817896E-3</v>
      </c>
      <c r="M270">
        <v>-1.1895711570978E-3</v>
      </c>
      <c r="N270">
        <v>-3.9791446179150902E-3</v>
      </c>
      <c r="O270">
        <f t="shared" si="28"/>
        <v>5.348844453692438E-3</v>
      </c>
    </row>
    <row r="271" spans="1:15" x14ac:dyDescent="0.35">
      <c r="A271" t="s">
        <v>25</v>
      </c>
      <c r="B271">
        <v>2017</v>
      </c>
      <c r="C271">
        <v>1169507</v>
      </c>
      <c r="D271" s="8">
        <v>0.89937084913253795</v>
      </c>
      <c r="E271" s="8">
        <v>5.0000000000000001E-3</v>
      </c>
      <c r="F271">
        <v>2.1532808324330399</v>
      </c>
      <c r="G271">
        <f t="shared" si="24"/>
        <v>2.3942079449316425</v>
      </c>
      <c r="H271">
        <f t="shared" si="26"/>
        <v>-2.7623175934804234E-2</v>
      </c>
      <c r="I271">
        <f t="shared" si="25"/>
        <v>0</v>
      </c>
      <c r="J271">
        <f t="shared" si="27"/>
        <v>3</v>
      </c>
      <c r="K271">
        <v>-1.1895711570978E-3</v>
      </c>
      <c r="L271">
        <v>-3.9791446179150902E-3</v>
      </c>
      <c r="M271">
        <v>3.3183776050805899E-2</v>
      </c>
      <c r="N271">
        <v>2.40487530827522E-2</v>
      </c>
      <c r="O271">
        <f t="shared" si="28"/>
        <v>3.4951575100422155E-3</v>
      </c>
    </row>
    <row r="272" spans="1:15" x14ac:dyDescent="0.35">
      <c r="A272" t="s">
        <v>25</v>
      </c>
      <c r="B272">
        <v>2018</v>
      </c>
      <c r="C272">
        <v>1174202</v>
      </c>
      <c r="D272" s="8">
        <v>0.91259330511093095</v>
      </c>
      <c r="E272" s="8">
        <v>0</v>
      </c>
      <c r="F272">
        <v>2.1830458969745701</v>
      </c>
      <c r="G272">
        <f t="shared" si="24"/>
        <v>2.392134464222492</v>
      </c>
      <c r="H272">
        <f t="shared" si="26"/>
        <v>-8.6604035941817425E-4</v>
      </c>
      <c r="I272">
        <f t="shared" si="25"/>
        <v>0</v>
      </c>
      <c r="J272">
        <f t="shared" si="27"/>
        <v>2</v>
      </c>
      <c r="K272">
        <v>3.3183776050805899E-2</v>
      </c>
      <c r="L272">
        <v>2.40487530827522E-2</v>
      </c>
      <c r="M272">
        <v>2.2254656225442902E-2</v>
      </c>
      <c r="N272">
        <v>4.4534616172313898E-3</v>
      </c>
      <c r="O272">
        <f t="shared" si="28"/>
        <v>-3.9414644241332637E-3</v>
      </c>
    </row>
    <row r="273" spans="1:15" x14ac:dyDescent="0.35">
      <c r="A273" t="s">
        <v>25</v>
      </c>
      <c r="B273">
        <v>2019</v>
      </c>
      <c r="C273">
        <v>1178841</v>
      </c>
      <c r="D273" s="8">
        <v>0.91269820928573597</v>
      </c>
      <c r="E273" s="8">
        <v>0</v>
      </c>
      <c r="F273">
        <v>2.1558943793748702</v>
      </c>
      <c r="G273">
        <f t="shared" si="24"/>
        <v>2.362110889931559</v>
      </c>
      <c r="H273">
        <f t="shared" si="26"/>
        <v>-1.2550955951671994E-2</v>
      </c>
      <c r="I273">
        <f t="shared" si="25"/>
        <v>0</v>
      </c>
      <c r="J273" t="str">
        <f t="shared" si="27"/>
        <v/>
      </c>
      <c r="K273">
        <v>2.2254656225442902E-2</v>
      </c>
      <c r="L273">
        <v>4.4534616172313898E-3</v>
      </c>
      <c r="M273">
        <v>1.8849190428853E-2</v>
      </c>
      <c r="N273">
        <v>0</v>
      </c>
      <c r="O273">
        <f t="shared" si="28"/>
        <v>-6.3461424782871815E-3</v>
      </c>
    </row>
    <row r="274" spans="1:15" x14ac:dyDescent="0.35">
      <c r="A274" t="s">
        <v>25</v>
      </c>
      <c r="B274">
        <v>2020</v>
      </c>
      <c r="C274">
        <v>1181616</v>
      </c>
      <c r="D274" s="8">
        <v>0.90743291378021196</v>
      </c>
      <c r="E274" s="8">
        <v>1.2999999999999999E-2</v>
      </c>
      <c r="F274">
        <v>1.93372237149038</v>
      </c>
      <c r="G274">
        <f t="shared" si="24"/>
        <v>2.1309810809427439</v>
      </c>
      <c r="H274">
        <f t="shared" si="26"/>
        <v>-9.7848839347043581E-2</v>
      </c>
      <c r="I274">
        <f t="shared" si="25"/>
        <v>0</v>
      </c>
      <c r="J274" t="str">
        <f t="shared" si="27"/>
        <v/>
      </c>
      <c r="K274">
        <v>1.8849190428853E-2</v>
      </c>
      <c r="L274">
        <v>0</v>
      </c>
      <c r="M274">
        <v>4.5810764908790602E-2</v>
      </c>
      <c r="N274">
        <v>2.2211521863936901E-3</v>
      </c>
      <c r="O274">
        <f t="shared" si="28"/>
        <v>-5.1634765230118814E-3</v>
      </c>
    </row>
    <row r="275" spans="1:15" x14ac:dyDescent="0.35">
      <c r="A275" t="s">
        <v>25</v>
      </c>
      <c r="B275">
        <v>2021</v>
      </c>
      <c r="C275">
        <v>1180936</v>
      </c>
      <c r="D275" s="8">
        <v>0.91671782732009899</v>
      </c>
      <c r="E275" s="8">
        <v>1.6E-2</v>
      </c>
      <c r="F275">
        <v>2.1449586315340801</v>
      </c>
      <c r="G275">
        <f t="shared" si="24"/>
        <v>2.3398242813762851</v>
      </c>
      <c r="H275">
        <f t="shared" si="26"/>
        <v>9.8003310447575265E-2</v>
      </c>
      <c r="I275">
        <f t="shared" si="25"/>
        <v>1</v>
      </c>
      <c r="J275" t="str">
        <f t="shared" si="27"/>
        <v/>
      </c>
      <c r="K275">
        <v>4.5810764908790602E-2</v>
      </c>
      <c r="L275">
        <v>2.2211521863936901E-3</v>
      </c>
      <c r="M275">
        <v>-4.53510861098766E-2</v>
      </c>
      <c r="N275">
        <v>-1.32475793361662E-2</v>
      </c>
      <c r="O275">
        <f t="shared" si="28"/>
        <v>-3.6766222678124502E-3</v>
      </c>
    </row>
    <row r="276" spans="1:15" x14ac:dyDescent="0.35">
      <c r="A276" t="s">
        <v>25</v>
      </c>
      <c r="B276">
        <v>2022</v>
      </c>
      <c r="C276">
        <v>1182311</v>
      </c>
      <c r="D276" s="8">
        <v>0.89364254474639904</v>
      </c>
      <c r="E276" s="8">
        <v>1.2999999999999999E-2</v>
      </c>
      <c r="F276">
        <v>2.11665898683869</v>
      </c>
      <c r="G276">
        <f t="shared" si="24"/>
        <v>2.3685745483831715</v>
      </c>
      <c r="H276">
        <f t="shared" si="26"/>
        <v>1.2287361591946322E-2</v>
      </c>
      <c r="I276">
        <f t="shared" si="25"/>
        <v>1</v>
      </c>
      <c r="J276" t="str">
        <f t="shared" si="27"/>
        <v/>
      </c>
      <c r="K276">
        <v>-4.53510861098766E-2</v>
      </c>
      <c r="L276">
        <v>-1.27688758075237E-2</v>
      </c>
      <c r="M276">
        <v>-3.2693284362554503E-2</v>
      </c>
      <c r="N276">
        <v>-1.3134356588125199E-2</v>
      </c>
      <c r="O276">
        <f t="shared" si="28"/>
        <v>-2.1788700600154664E-3</v>
      </c>
    </row>
    <row r="277" spans="1:15" x14ac:dyDescent="0.35">
      <c r="A277" t="s">
        <v>26</v>
      </c>
      <c r="B277">
        <v>2006</v>
      </c>
      <c r="C277">
        <v>180268.796875</v>
      </c>
      <c r="D277" s="8">
        <v>0.889248847961426</v>
      </c>
      <c r="E277" s="8">
        <v>0</v>
      </c>
      <c r="F277">
        <v>2.1355093966369898</v>
      </c>
      <c r="G277">
        <f t="shared" si="24"/>
        <v>2.4014755841771125</v>
      </c>
      <c r="H277">
        <f t="shared" si="26"/>
        <v>1.3890648202903311E-2</v>
      </c>
      <c r="I277">
        <f t="shared" si="25"/>
        <v>1</v>
      </c>
      <c r="J277" t="str">
        <f t="shared" si="27"/>
        <v/>
      </c>
      <c r="K277">
        <v>-1.19688477069139E-2</v>
      </c>
      <c r="L277">
        <v>-1.83318872004746E-2</v>
      </c>
      <c r="M277">
        <v>-8.4916845858097004E-3</v>
      </c>
      <c r="N277">
        <v>-7.5699286535382002E-3</v>
      </c>
      <c r="O277" t="str">
        <f t="shared" si="28"/>
        <v/>
      </c>
    </row>
    <row r="278" spans="1:15" x14ac:dyDescent="0.35">
      <c r="A278" t="s">
        <v>26</v>
      </c>
      <c r="B278">
        <v>2007</v>
      </c>
      <c r="C278">
        <v>182362</v>
      </c>
      <c r="D278" s="8">
        <v>0.88890135288238503</v>
      </c>
      <c r="E278" s="8">
        <v>1.4999999999999999E-2</v>
      </c>
      <c r="F278">
        <v>2.0379880408019599</v>
      </c>
      <c r="G278">
        <f t="shared" si="24"/>
        <v>2.2927043976179169</v>
      </c>
      <c r="H278">
        <f t="shared" si="26"/>
        <v>-4.5293480090270011E-2</v>
      </c>
      <c r="I278">
        <f t="shared" si="25"/>
        <v>0</v>
      </c>
      <c r="J278" t="str">
        <f t="shared" si="27"/>
        <v/>
      </c>
      <c r="K278">
        <v>-8.4916845858097004E-3</v>
      </c>
      <c r="L278">
        <v>-7.5699286535382002E-3</v>
      </c>
      <c r="M278">
        <v>-2.35974745005368E-2</v>
      </c>
      <c r="N278">
        <v>5.9133297763764997E-3</v>
      </c>
      <c r="O278" t="str">
        <f t="shared" si="28"/>
        <v/>
      </c>
    </row>
    <row r="279" spans="1:15" x14ac:dyDescent="0.35">
      <c r="A279" t="s">
        <v>26</v>
      </c>
      <c r="B279">
        <v>2008</v>
      </c>
      <c r="C279">
        <v>183992.59375</v>
      </c>
      <c r="D279" s="8">
        <v>0.90368229150772095</v>
      </c>
      <c r="E279" s="8">
        <v>0</v>
      </c>
      <c r="F279">
        <v>2.00652428768031</v>
      </c>
      <c r="G279">
        <f t="shared" si="24"/>
        <v>2.2203868622152441</v>
      </c>
      <c r="H279">
        <f t="shared" si="26"/>
        <v>-3.1542459410733303E-2</v>
      </c>
      <c r="I279">
        <f t="shared" si="25"/>
        <v>0</v>
      </c>
      <c r="J279" t="str">
        <f t="shared" si="27"/>
        <v/>
      </c>
      <c r="K279">
        <v>-2.35974745005368E-2</v>
      </c>
      <c r="L279">
        <v>5.9133297763764997E-3</v>
      </c>
      <c r="M279">
        <v>-1.69112782031298E-2</v>
      </c>
      <c r="N279">
        <v>9.6554234623908494E-3</v>
      </c>
      <c r="O279" t="str">
        <f t="shared" si="28"/>
        <v/>
      </c>
    </row>
    <row r="280" spans="1:15" x14ac:dyDescent="0.35">
      <c r="A280" t="s">
        <v>26</v>
      </c>
      <c r="B280">
        <v>2009</v>
      </c>
      <c r="C280">
        <v>185560.390625</v>
      </c>
      <c r="D280" s="8">
        <v>0.90213316679000899</v>
      </c>
      <c r="E280" s="8">
        <v>3.0000000000000001E-3</v>
      </c>
      <c r="F280">
        <v>2.00013515948819</v>
      </c>
      <c r="G280">
        <f t="shared" si="24"/>
        <v>2.2171174202641466</v>
      </c>
      <c r="H280">
        <f t="shared" si="26"/>
        <v>-1.4724650045152554E-3</v>
      </c>
      <c r="I280">
        <f t="shared" si="25"/>
        <v>0</v>
      </c>
      <c r="J280" t="str">
        <f t="shared" si="27"/>
        <v/>
      </c>
      <c r="K280">
        <v>-1.69112782031298E-2</v>
      </c>
      <c r="L280">
        <v>9.6554234623908494E-3</v>
      </c>
      <c r="M280">
        <v>-1.5218927056062899E-2</v>
      </c>
      <c r="N280">
        <v>-5.7588182971812802E-3</v>
      </c>
      <c r="O280" t="str">
        <f t="shared" si="28"/>
        <v/>
      </c>
    </row>
    <row r="281" spans="1:15" x14ac:dyDescent="0.35">
      <c r="A281" t="s">
        <v>26</v>
      </c>
      <c r="B281">
        <v>2010</v>
      </c>
      <c r="C281">
        <v>186669.5</v>
      </c>
      <c r="D281" s="8">
        <v>0.90212339162826505</v>
      </c>
      <c r="E281" s="8">
        <v>2E-3</v>
      </c>
      <c r="F281">
        <v>2.0911321236902598</v>
      </c>
      <c r="G281">
        <f t="shared" si="24"/>
        <v>2.3180111979093274</v>
      </c>
      <c r="H281">
        <f t="shared" si="26"/>
        <v>4.5506736234637746E-2</v>
      </c>
      <c r="I281">
        <f t="shared" si="25"/>
        <v>1</v>
      </c>
      <c r="J281">
        <f t="shared" si="27"/>
        <v>2</v>
      </c>
      <c r="K281">
        <v>-1.5218927056062899E-2</v>
      </c>
      <c r="L281">
        <v>-5.7588182971812802E-3</v>
      </c>
      <c r="M281">
        <v>-2.3841400973498801E-2</v>
      </c>
      <c r="N281">
        <v>-2.5576264597475199E-3</v>
      </c>
      <c r="O281">
        <f t="shared" si="28"/>
        <v>-9.7502372227608845E-3</v>
      </c>
    </row>
    <row r="282" spans="1:15" x14ac:dyDescent="0.35">
      <c r="A282" t="s">
        <v>26</v>
      </c>
      <c r="B282">
        <v>2011</v>
      </c>
      <c r="C282">
        <v>187869.796875</v>
      </c>
      <c r="D282" s="8">
        <v>0.91006618738174405</v>
      </c>
      <c r="E282" s="8">
        <v>0</v>
      </c>
      <c r="F282">
        <v>2.0314199667370798</v>
      </c>
      <c r="G282">
        <f t="shared" si="24"/>
        <v>2.2321672806913804</v>
      </c>
      <c r="H282">
        <f t="shared" si="26"/>
        <v>-3.7033435082355015E-2</v>
      </c>
      <c r="I282">
        <f t="shared" si="25"/>
        <v>0</v>
      </c>
      <c r="J282">
        <f t="shared" si="27"/>
        <v>1</v>
      </c>
      <c r="K282">
        <v>-2.3841400973498801E-2</v>
      </c>
      <c r="L282">
        <v>-2.5576264597475199E-3</v>
      </c>
      <c r="M282">
        <v>-4.1439759582281004E-3</v>
      </c>
      <c r="N282">
        <v>1.2942301109432901E-3</v>
      </c>
      <c r="O282">
        <f t="shared" si="28"/>
        <v>-1.0912351869046662E-2</v>
      </c>
    </row>
    <row r="283" spans="1:15" x14ac:dyDescent="0.35">
      <c r="A283" t="s">
        <v>26</v>
      </c>
      <c r="B283">
        <v>2012</v>
      </c>
      <c r="C283">
        <v>189735.703125</v>
      </c>
      <c r="D283" s="8">
        <v>0.91123580932617199</v>
      </c>
      <c r="E283" s="8">
        <v>8.0000000000000002E-3</v>
      </c>
      <c r="F283">
        <v>2.2052582822356501</v>
      </c>
      <c r="G283">
        <f t="shared" si="24"/>
        <v>2.4200742109403754</v>
      </c>
      <c r="H283">
        <f t="shared" si="26"/>
        <v>8.418138365991723E-2</v>
      </c>
      <c r="I283">
        <f t="shared" si="25"/>
        <v>1</v>
      </c>
      <c r="J283">
        <f t="shared" si="27"/>
        <v>2</v>
      </c>
      <c r="K283">
        <v>-4.1439759582281004E-3</v>
      </c>
      <c r="L283">
        <v>1.2086313217877899E-3</v>
      </c>
      <c r="M283">
        <v>-6.1984084174036896E-3</v>
      </c>
      <c r="N283">
        <v>-1.2325179763138299E-2</v>
      </c>
      <c r="O283">
        <f t="shared" si="28"/>
        <v>-1.8580911867320478E-2</v>
      </c>
    </row>
    <row r="284" spans="1:15" x14ac:dyDescent="0.35">
      <c r="A284" t="s">
        <v>26</v>
      </c>
      <c r="B284">
        <v>2013</v>
      </c>
      <c r="C284">
        <v>191063.40625</v>
      </c>
      <c r="D284" s="8">
        <v>0.90751302242279097</v>
      </c>
      <c r="E284" s="8">
        <v>0</v>
      </c>
      <c r="F284">
        <v>2.22861260926167</v>
      </c>
      <c r="G284">
        <f t="shared" si="24"/>
        <v>2.4557362309930655</v>
      </c>
      <c r="H284">
        <f t="shared" si="26"/>
        <v>1.473592003562274E-2</v>
      </c>
      <c r="I284">
        <f t="shared" si="25"/>
        <v>1</v>
      </c>
      <c r="J284">
        <f t="shared" si="27"/>
        <v>3</v>
      </c>
      <c r="K284">
        <v>-6.1984084174036896E-3</v>
      </c>
      <c r="L284">
        <v>-1.2325179763138299E-2</v>
      </c>
      <c r="M284">
        <v>-6.7027268782258002E-3</v>
      </c>
      <c r="N284">
        <v>-8.7107503786682996E-3</v>
      </c>
      <c r="O284">
        <f t="shared" si="28"/>
        <v>-1.7137343063950476E-2</v>
      </c>
    </row>
    <row r="285" spans="1:15" x14ac:dyDescent="0.35">
      <c r="A285" t="s">
        <v>26</v>
      </c>
      <c r="B285">
        <v>2014</v>
      </c>
      <c r="C285">
        <v>189999.6875</v>
      </c>
      <c r="D285" s="8">
        <v>0.90718674659729004</v>
      </c>
      <c r="E285" s="8">
        <v>0</v>
      </c>
      <c r="F285">
        <v>2.26430865519229</v>
      </c>
      <c r="G285">
        <f t="shared" si="24"/>
        <v>2.4959675212246468</v>
      </c>
      <c r="H285">
        <f t="shared" si="26"/>
        <v>1.6382577951098654E-2</v>
      </c>
      <c r="I285">
        <f t="shared" si="25"/>
        <v>1</v>
      </c>
      <c r="J285">
        <f t="shared" si="27"/>
        <v>4</v>
      </c>
      <c r="K285">
        <v>-6.7027268782258002E-3</v>
      </c>
      <c r="L285">
        <v>-8.7107503786682996E-3</v>
      </c>
      <c r="M285">
        <v>3.8115924000740099E-3</v>
      </c>
      <c r="N285">
        <v>-2.6451859623193599E-2</v>
      </c>
      <c r="O285">
        <f t="shared" si="28"/>
        <v>-1.6542723588645399E-2</v>
      </c>
    </row>
    <row r="286" spans="1:15" x14ac:dyDescent="0.35">
      <c r="A286" t="s">
        <v>26</v>
      </c>
      <c r="B286">
        <v>2015</v>
      </c>
      <c r="C286">
        <v>189198.59375</v>
      </c>
      <c r="D286" s="8">
        <v>0.92003619670867898</v>
      </c>
      <c r="E286" s="8">
        <v>0</v>
      </c>
      <c r="F286">
        <v>2.1539134783695899</v>
      </c>
      <c r="G286">
        <f t="shared" si="24"/>
        <v>2.3411181930395362</v>
      </c>
      <c r="H286">
        <f t="shared" si="26"/>
        <v>-6.2039800946261492E-2</v>
      </c>
      <c r="I286">
        <f t="shared" si="25"/>
        <v>0</v>
      </c>
      <c r="J286">
        <f t="shared" si="27"/>
        <v>3</v>
      </c>
      <c r="K286">
        <v>3.8115924000740099E-3</v>
      </c>
      <c r="L286">
        <v>-2.6451859623193599E-2</v>
      </c>
      <c r="M286">
        <v>4.7853573113679996E-3</v>
      </c>
      <c r="N286">
        <v>-8.3681996911764006E-3</v>
      </c>
      <c r="O286">
        <f t="shared" si="28"/>
        <v>-1.1135331727564299E-2</v>
      </c>
    </row>
    <row r="287" spans="1:15" x14ac:dyDescent="0.35">
      <c r="A287" t="s">
        <v>26</v>
      </c>
      <c r="B287">
        <v>2016</v>
      </c>
      <c r="C287">
        <v>188945.6875</v>
      </c>
      <c r="D287" s="8">
        <v>0.92123806476592995</v>
      </c>
      <c r="E287" s="8">
        <v>0</v>
      </c>
      <c r="F287">
        <v>2.08736437124454</v>
      </c>
      <c r="G287">
        <f t="shared" si="24"/>
        <v>2.2658251445297171</v>
      </c>
      <c r="H287">
        <f t="shared" si="26"/>
        <v>-3.2161147922251665E-2</v>
      </c>
      <c r="I287">
        <f t="shared" si="25"/>
        <v>0</v>
      </c>
      <c r="J287">
        <f t="shared" si="27"/>
        <v>3</v>
      </c>
      <c r="K287">
        <v>4.7853573113679996E-3</v>
      </c>
      <c r="L287">
        <v>-8.3681996911764006E-3</v>
      </c>
      <c r="M287">
        <v>-3.4258996419608598E-2</v>
      </c>
      <c r="N287">
        <v>-3.7048569880425798E-2</v>
      </c>
      <c r="O287">
        <f t="shared" si="28"/>
        <v>-1.6939399763941988E-3</v>
      </c>
    </row>
    <row r="288" spans="1:15" x14ac:dyDescent="0.35">
      <c r="A288" t="s">
        <v>26</v>
      </c>
      <c r="B288">
        <v>2017</v>
      </c>
      <c r="C288">
        <v>188297.109375</v>
      </c>
      <c r="D288" s="8">
        <v>0.92727810144424405</v>
      </c>
      <c r="E288" s="8">
        <v>5.0000000000000001E-3</v>
      </c>
      <c r="F288">
        <v>2.2328925693424102</v>
      </c>
      <c r="G288">
        <f t="shared" si="24"/>
        <v>2.4080074422815114</v>
      </c>
      <c r="H288">
        <f t="shared" si="26"/>
        <v>6.2750781142604461E-2</v>
      </c>
      <c r="I288">
        <f t="shared" si="25"/>
        <v>1</v>
      </c>
      <c r="J288">
        <f t="shared" si="27"/>
        <v>3</v>
      </c>
      <c r="K288">
        <v>-3.4258996419608598E-2</v>
      </c>
      <c r="L288">
        <v>-3.7048569880425798E-2</v>
      </c>
      <c r="M288">
        <v>4.0276872217655003E-3</v>
      </c>
      <c r="N288">
        <v>-5.10733574628829E-3</v>
      </c>
      <c r="O288">
        <f t="shared" si="28"/>
        <v>8.3801470696925808E-3</v>
      </c>
    </row>
    <row r="289" spans="1:15" x14ac:dyDescent="0.35">
      <c r="A289" t="s">
        <v>26</v>
      </c>
      <c r="B289">
        <v>2018</v>
      </c>
      <c r="C289">
        <v>187542.609375</v>
      </c>
      <c r="D289" s="8">
        <v>0.91305947303771995</v>
      </c>
      <c r="E289" s="8">
        <v>0</v>
      </c>
      <c r="F289">
        <v>2.0018831585705099</v>
      </c>
      <c r="G289">
        <f t="shared" si="24"/>
        <v>2.1925002890669409</v>
      </c>
      <c r="H289">
        <f t="shared" si="26"/>
        <v>-8.9496049484956819E-2</v>
      </c>
      <c r="I289">
        <f t="shared" si="25"/>
        <v>0</v>
      </c>
      <c r="J289">
        <f t="shared" si="27"/>
        <v>2</v>
      </c>
      <c r="K289">
        <v>4.0276872217655003E-3</v>
      </c>
      <c r="L289">
        <v>-5.10733574628829E-3</v>
      </c>
      <c r="M289">
        <v>1.20635416060686E-2</v>
      </c>
      <c r="N289">
        <v>-5.7376530021429001E-3</v>
      </c>
      <c r="O289">
        <f t="shared" si="28"/>
        <v>2.2860307246446561E-2</v>
      </c>
    </row>
    <row r="290" spans="1:15" x14ac:dyDescent="0.35">
      <c r="A290" t="s">
        <v>26</v>
      </c>
      <c r="B290">
        <v>2019</v>
      </c>
      <c r="C290">
        <v>186587.296875</v>
      </c>
      <c r="D290" s="8">
        <v>0.92973595857620195</v>
      </c>
      <c r="E290" s="8">
        <v>0</v>
      </c>
      <c r="F290">
        <v>2.18900299529311</v>
      </c>
      <c r="G290">
        <f t="shared" si="24"/>
        <v>2.35443512225272</v>
      </c>
      <c r="H290">
        <f t="shared" si="26"/>
        <v>7.3858523072164894E-2</v>
      </c>
      <c r="I290">
        <f t="shared" si="25"/>
        <v>1</v>
      </c>
      <c r="J290" t="str">
        <f t="shared" si="27"/>
        <v/>
      </c>
      <c r="K290">
        <v>1.20635416060686E-2</v>
      </c>
      <c r="L290">
        <v>-5.7376530021429001E-3</v>
      </c>
      <c r="M290">
        <v>1.94342901110648E-2</v>
      </c>
      <c r="N290">
        <v>5.8509968221189597E-4</v>
      </c>
      <c r="O290">
        <f t="shared" si="28"/>
        <v>2.2937411628663501E-2</v>
      </c>
    </row>
    <row r="291" spans="1:15" x14ac:dyDescent="0.35">
      <c r="A291" t="s">
        <v>26</v>
      </c>
      <c r="B291">
        <v>2020</v>
      </c>
      <c r="C291">
        <v>186724.390625</v>
      </c>
      <c r="D291" s="8">
        <v>0.95507681369781505</v>
      </c>
      <c r="E291" s="8">
        <v>2.5999999999999999E-2</v>
      </c>
      <c r="F291">
        <v>1.82752030578117</v>
      </c>
      <c r="G291">
        <f t="shared" si="24"/>
        <v>1.9134799207463482</v>
      </c>
      <c r="H291">
        <f t="shared" si="26"/>
        <v>-0.187287047045266</v>
      </c>
      <c r="I291">
        <f t="shared" si="25"/>
        <v>0</v>
      </c>
      <c r="J291" t="str">
        <f t="shared" si="27"/>
        <v/>
      </c>
      <c r="K291">
        <v>1.94342901110648E-2</v>
      </c>
      <c r="L291">
        <v>5.8509968221189597E-4</v>
      </c>
      <c r="M291">
        <v>8.2428371787071006E-2</v>
      </c>
      <c r="N291">
        <v>3.88387590646741E-2</v>
      </c>
      <c r="O291">
        <f t="shared" si="28"/>
        <v>2.395890792831774E-2</v>
      </c>
    </row>
    <row r="292" spans="1:15" x14ac:dyDescent="0.35">
      <c r="A292" t="s">
        <v>26</v>
      </c>
      <c r="B292">
        <v>2021</v>
      </c>
      <c r="C292">
        <v>186802.3125</v>
      </c>
      <c r="D292" s="8">
        <v>0.97779750823974598</v>
      </c>
      <c r="E292" s="8">
        <v>0</v>
      </c>
      <c r="F292">
        <v>1.9849287648651801</v>
      </c>
      <c r="G292">
        <f t="shared" si="24"/>
        <v>2.0299998191225659</v>
      </c>
      <c r="H292">
        <f t="shared" si="26"/>
        <v>6.0894236261841428E-2</v>
      </c>
      <c r="I292">
        <f t="shared" si="25"/>
        <v>1</v>
      </c>
      <c r="J292" t="str">
        <f t="shared" si="27"/>
        <v/>
      </c>
      <c r="K292">
        <v>8.2428371787071006E-2</v>
      </c>
      <c r="L292">
        <v>3.88387590646741E-2</v>
      </c>
      <c r="M292">
        <v>-1.87816414237022E-2</v>
      </c>
      <c r="N292">
        <v>1.3321865350008099E-2</v>
      </c>
      <c r="O292">
        <f t="shared" si="28"/>
        <v>1.8252188991755243E-2</v>
      </c>
    </row>
    <row r="293" spans="1:15" x14ac:dyDescent="0.35">
      <c r="A293" t="s">
        <v>26</v>
      </c>
      <c r="B293">
        <v>2022</v>
      </c>
      <c r="C293">
        <v>186856.203125</v>
      </c>
      <c r="D293" s="8">
        <v>0.96691936254501298</v>
      </c>
      <c r="E293" s="8">
        <v>0</v>
      </c>
      <c r="F293">
        <v>1.7791708975321101</v>
      </c>
      <c r="G293">
        <f t="shared" si="24"/>
        <v>1.840040613985827</v>
      </c>
      <c r="H293">
        <f t="shared" si="26"/>
        <v>-9.3575971459369689E-2</v>
      </c>
      <c r="I293">
        <f t="shared" si="25"/>
        <v>0</v>
      </c>
      <c r="J293" t="str">
        <f t="shared" si="27"/>
        <v/>
      </c>
      <c r="K293">
        <v>-1.87816414237022E-2</v>
      </c>
      <c r="L293">
        <v>1.38005688786507E-2</v>
      </c>
      <c r="M293">
        <v>4.7734537363052297E-2</v>
      </c>
      <c r="N293">
        <v>6.7293465137481606E-2</v>
      </c>
      <c r="O293">
        <f t="shared" si="28"/>
        <v>1.4683902589604236E-2</v>
      </c>
    </row>
    <row r="294" spans="1:15" x14ac:dyDescent="0.35">
      <c r="A294" t="s">
        <v>27</v>
      </c>
      <c r="B294">
        <v>2006</v>
      </c>
      <c r="C294">
        <v>152990.40625</v>
      </c>
      <c r="D294" s="8">
        <v>0.91705739498138406</v>
      </c>
      <c r="E294" s="8">
        <v>4.0000000000000001E-3</v>
      </c>
      <c r="F294">
        <v>2.0058768087819399</v>
      </c>
      <c r="G294">
        <f t="shared" si="24"/>
        <v>2.1872969126677817</v>
      </c>
      <c r="H294">
        <f t="shared" si="26"/>
        <v>0.18872208365539334</v>
      </c>
      <c r="I294">
        <f t="shared" si="25"/>
        <v>1</v>
      </c>
      <c r="J294" t="str">
        <f t="shared" si="27"/>
        <v/>
      </c>
      <c r="K294">
        <v>-1.1777038097381599E-2</v>
      </c>
      <c r="L294">
        <v>-1.81400775909423E-2</v>
      </c>
      <c r="M294">
        <v>-6.2738870233296998E-3</v>
      </c>
      <c r="N294">
        <v>-5.3521310910581996E-3</v>
      </c>
      <c r="O294" t="str">
        <f t="shared" si="28"/>
        <v/>
      </c>
    </row>
    <row r="295" spans="1:15" x14ac:dyDescent="0.35">
      <c r="A295" t="s">
        <v>27</v>
      </c>
      <c r="B295">
        <v>2007</v>
      </c>
      <c r="C295">
        <v>154804</v>
      </c>
      <c r="D295" s="8">
        <v>0.92467647790908802</v>
      </c>
      <c r="E295" s="8">
        <v>1E-3</v>
      </c>
      <c r="F295">
        <v>2.1276266010301201</v>
      </c>
      <c r="G295">
        <f t="shared" si="24"/>
        <v>2.300941628623653</v>
      </c>
      <c r="H295">
        <f t="shared" si="26"/>
        <v>5.1956693806723298E-2</v>
      </c>
      <c r="I295">
        <f t="shared" si="25"/>
        <v>1</v>
      </c>
      <c r="J295" t="str">
        <f t="shared" si="27"/>
        <v/>
      </c>
      <c r="K295">
        <v>-6.2738870233296998E-3</v>
      </c>
      <c r="L295">
        <v>-5.3521310910581996E-3</v>
      </c>
      <c r="M295">
        <v>-2.3818223096430301E-2</v>
      </c>
      <c r="N295">
        <v>5.6925811804831002E-3</v>
      </c>
      <c r="O295" t="str">
        <f t="shared" si="28"/>
        <v/>
      </c>
    </row>
    <row r="296" spans="1:15" x14ac:dyDescent="0.35">
      <c r="A296" t="s">
        <v>27</v>
      </c>
      <c r="B296">
        <v>2008</v>
      </c>
      <c r="C296">
        <v>156589.59375</v>
      </c>
      <c r="D296" s="8">
        <v>0.93334490060806297</v>
      </c>
      <c r="E296" s="8">
        <v>6.0000000000000001E-3</v>
      </c>
      <c r="F296">
        <v>1.8175446049277799</v>
      </c>
      <c r="G296">
        <f t="shared" si="24"/>
        <v>1.9473450851273431</v>
      </c>
      <c r="H296">
        <f t="shared" si="26"/>
        <v>-0.15367471260356125</v>
      </c>
      <c r="I296">
        <f t="shared" si="25"/>
        <v>0</v>
      </c>
      <c r="J296" t="str">
        <f t="shared" si="27"/>
        <v/>
      </c>
      <c r="K296">
        <v>-2.3818223096430301E-2</v>
      </c>
      <c r="L296">
        <v>5.6925811804831002E-3</v>
      </c>
      <c r="M296">
        <v>-1.6261537283658999E-2</v>
      </c>
      <c r="N296">
        <v>1.03051643818616E-2</v>
      </c>
      <c r="O296" t="str">
        <f t="shared" si="28"/>
        <v/>
      </c>
    </row>
    <row r="297" spans="1:15" x14ac:dyDescent="0.35">
      <c r="A297" t="s">
        <v>27</v>
      </c>
      <c r="B297">
        <v>2009</v>
      </c>
      <c r="C297">
        <v>158375.109375</v>
      </c>
      <c r="D297" s="8">
        <v>0.930988550186157</v>
      </c>
      <c r="E297" s="8">
        <v>1E-3</v>
      </c>
      <c r="F297">
        <v>2.0782692850518099</v>
      </c>
      <c r="G297">
        <f t="shared" si="24"/>
        <v>2.2323252897538288</v>
      </c>
      <c r="H297">
        <f t="shared" si="26"/>
        <v>0.146342939832798</v>
      </c>
      <c r="I297">
        <f t="shared" si="25"/>
        <v>1</v>
      </c>
      <c r="J297" t="str">
        <f t="shared" si="27"/>
        <v/>
      </c>
      <c r="K297">
        <v>-1.6261537283658999E-2</v>
      </c>
      <c r="L297">
        <v>1.03051643818616E-2</v>
      </c>
      <c r="M297">
        <v>-1.39796754196286E-2</v>
      </c>
      <c r="N297">
        <v>-4.5195666607469303E-3</v>
      </c>
      <c r="O297" t="str">
        <f t="shared" si="28"/>
        <v/>
      </c>
    </row>
    <row r="298" spans="1:15" x14ac:dyDescent="0.35">
      <c r="A298" t="s">
        <v>27</v>
      </c>
      <c r="B298">
        <v>2010</v>
      </c>
      <c r="C298">
        <v>160151.796875</v>
      </c>
      <c r="D298" s="8">
        <v>0.93025285005569502</v>
      </c>
      <c r="E298" s="8">
        <v>0.02</v>
      </c>
      <c r="F298">
        <v>1.99401864532629</v>
      </c>
      <c r="G298">
        <f t="shared" si="24"/>
        <v>2.1435232853163595</v>
      </c>
      <c r="H298">
        <f t="shared" si="26"/>
        <v>-3.9780046772333044E-2</v>
      </c>
      <c r="I298">
        <f t="shared" si="25"/>
        <v>0</v>
      </c>
      <c r="J298">
        <f t="shared" si="27"/>
        <v>3</v>
      </c>
      <c r="K298">
        <v>-1.39796754196286E-2</v>
      </c>
      <c r="L298">
        <v>-4.5195666607469303E-3</v>
      </c>
      <c r="M298">
        <v>-2.34561240002512E-2</v>
      </c>
      <c r="N298">
        <v>-2.1723494864999901E-3</v>
      </c>
      <c r="O298">
        <f t="shared" si="28"/>
        <v>-8.1667943741194401E-3</v>
      </c>
    </row>
    <row r="299" spans="1:15" x14ac:dyDescent="0.35">
      <c r="A299" t="s">
        <v>27</v>
      </c>
      <c r="B299">
        <v>2011</v>
      </c>
      <c r="C299">
        <v>160840.296875</v>
      </c>
      <c r="D299" s="8">
        <v>0.93769735097885099</v>
      </c>
      <c r="E299" s="8">
        <v>1.0999999999999999E-2</v>
      </c>
      <c r="F299">
        <v>1.8364938552942101</v>
      </c>
      <c r="G299">
        <f t="shared" si="24"/>
        <v>1.9585144965772978</v>
      </c>
      <c r="H299">
        <f t="shared" si="26"/>
        <v>-8.6310603671261976E-2</v>
      </c>
      <c r="I299">
        <f t="shared" si="25"/>
        <v>0</v>
      </c>
      <c r="J299">
        <f t="shared" si="27"/>
        <v>2</v>
      </c>
      <c r="K299">
        <v>-2.34561240002512E-2</v>
      </c>
      <c r="L299">
        <v>-2.1723494864999901E-3</v>
      </c>
      <c r="M299">
        <v>-3.8518070280552002E-3</v>
      </c>
      <c r="N299">
        <v>1.5863990411161899E-3</v>
      </c>
      <c r="O299">
        <f t="shared" si="28"/>
        <v>-6.1473870533518011E-3</v>
      </c>
    </row>
    <row r="300" spans="1:15" x14ac:dyDescent="0.35">
      <c r="A300" t="s">
        <v>27</v>
      </c>
      <c r="B300">
        <v>2012</v>
      </c>
      <c r="C300">
        <v>161028.5</v>
      </c>
      <c r="D300" s="8">
        <v>0.94823437929153398</v>
      </c>
      <c r="E300" s="8">
        <v>0</v>
      </c>
      <c r="F300">
        <v>1.9327294685990299</v>
      </c>
      <c r="G300">
        <f t="shared" si="24"/>
        <v>2.0382402397633523</v>
      </c>
      <c r="H300">
        <f t="shared" si="26"/>
        <v>4.0707252014413609E-2</v>
      </c>
      <c r="I300">
        <f t="shared" si="25"/>
        <v>1</v>
      </c>
      <c r="J300">
        <f t="shared" si="27"/>
        <v>2</v>
      </c>
      <c r="K300">
        <v>-3.8518070280552002E-3</v>
      </c>
      <c r="L300">
        <v>1.50080025196069E-3</v>
      </c>
      <c r="M300">
        <v>-5.2392774820327701E-3</v>
      </c>
      <c r="N300">
        <v>-1.1366048827767299E-2</v>
      </c>
      <c r="O300">
        <f t="shared" si="28"/>
        <v>-7.033002364914798E-3</v>
      </c>
    </row>
    <row r="301" spans="1:15" x14ac:dyDescent="0.35">
      <c r="A301" t="s">
        <v>27</v>
      </c>
      <c r="B301">
        <v>2013</v>
      </c>
      <c r="C301">
        <v>160806.59375</v>
      </c>
      <c r="D301" s="8">
        <v>0.95230561494827304</v>
      </c>
      <c r="E301" s="8">
        <v>7.0000000000000001E-3</v>
      </c>
      <c r="F301">
        <v>1.89744178042904</v>
      </c>
      <c r="G301">
        <f t="shared" si="24"/>
        <v>1.9924714825209808</v>
      </c>
      <c r="H301">
        <f t="shared" si="26"/>
        <v>-2.2455035647655275E-2</v>
      </c>
      <c r="I301">
        <f t="shared" si="25"/>
        <v>0</v>
      </c>
      <c r="J301">
        <f t="shared" si="27"/>
        <v>2</v>
      </c>
      <c r="K301">
        <v>-5.2392774820327701E-3</v>
      </c>
      <c r="L301">
        <v>-1.1366048827767299E-2</v>
      </c>
      <c r="M301">
        <v>-1.6737257243599701E-2</v>
      </c>
      <c r="N301">
        <v>-1.8745280744042199E-2</v>
      </c>
      <c r="O301">
        <f t="shared" si="28"/>
        <v>-8.297666895668878E-3</v>
      </c>
    </row>
    <row r="302" spans="1:15" x14ac:dyDescent="0.35">
      <c r="A302" t="s">
        <v>27</v>
      </c>
      <c r="B302">
        <v>2014</v>
      </c>
      <c r="C302">
        <v>161112</v>
      </c>
      <c r="D302" s="8">
        <v>0.93764626979827903</v>
      </c>
      <c r="E302" s="8">
        <v>5.0000000000000001E-3</v>
      </c>
      <c r="F302">
        <v>2.0804307039725898</v>
      </c>
      <c r="G302">
        <f t="shared" si="24"/>
        <v>2.218779907715267</v>
      </c>
      <c r="H302">
        <f t="shared" si="26"/>
        <v>0.11358176374396511</v>
      </c>
      <c r="I302">
        <f t="shared" si="25"/>
        <v>1</v>
      </c>
      <c r="J302">
        <f t="shared" si="27"/>
        <v>2</v>
      </c>
      <c r="K302">
        <v>-1.6737257243599701E-2</v>
      </c>
      <c r="L302">
        <v>-1.8745280744042199E-2</v>
      </c>
      <c r="M302">
        <v>2.01267601698637E-2</v>
      </c>
      <c r="N302">
        <v>-1.0136691853403899E-2</v>
      </c>
      <c r="O302">
        <f t="shared" si="28"/>
        <v>-5.0000004470347583E-3</v>
      </c>
    </row>
    <row r="303" spans="1:15" x14ac:dyDescent="0.35">
      <c r="A303" t="s">
        <v>27</v>
      </c>
      <c r="B303">
        <v>2015</v>
      </c>
      <c r="C303">
        <v>161201.796875</v>
      </c>
      <c r="D303" s="8">
        <v>0.95414769649505604</v>
      </c>
      <c r="E303" s="8">
        <v>1.2999999999999999E-2</v>
      </c>
      <c r="F303">
        <v>2.02693114013868</v>
      </c>
      <c r="G303">
        <f t="shared" si="24"/>
        <v>2.1243368794835034</v>
      </c>
      <c r="H303">
        <f t="shared" si="26"/>
        <v>-4.2565298118736772E-2</v>
      </c>
      <c r="I303">
        <f t="shared" si="25"/>
        <v>0</v>
      </c>
      <c r="J303">
        <f t="shared" si="27"/>
        <v>2</v>
      </c>
      <c r="K303">
        <v>2.01267601698637E-2</v>
      </c>
      <c r="L303">
        <v>-1.0136691853403899E-2</v>
      </c>
      <c r="M303">
        <v>2.10782441198826E-2</v>
      </c>
      <c r="N303">
        <v>7.9246871173381996E-3</v>
      </c>
      <c r="O303">
        <f t="shared" si="28"/>
        <v>-3.7719078361987584E-3</v>
      </c>
    </row>
    <row r="304" spans="1:15" x14ac:dyDescent="0.35">
      <c r="A304" t="s">
        <v>27</v>
      </c>
      <c r="B304">
        <v>2016</v>
      </c>
      <c r="C304">
        <v>161783.09375</v>
      </c>
      <c r="D304" s="8">
        <v>0.952448129653931</v>
      </c>
      <c r="E304" s="8">
        <v>2.7E-2</v>
      </c>
      <c r="F304">
        <v>2.08933492370336</v>
      </c>
      <c r="G304">
        <f t="shared" si="24"/>
        <v>2.193646938508361</v>
      </c>
      <c r="H304">
        <f t="shared" si="26"/>
        <v>3.2626679739095499E-2</v>
      </c>
      <c r="I304">
        <f t="shared" si="25"/>
        <v>1</v>
      </c>
      <c r="J304">
        <f t="shared" si="27"/>
        <v>3</v>
      </c>
      <c r="K304">
        <v>2.10782441198826E-2</v>
      </c>
      <c r="L304">
        <v>7.9246871173381996E-3</v>
      </c>
      <c r="M304">
        <v>-5.2104055881501501E-5</v>
      </c>
      <c r="N304">
        <v>-2.84167751669879E-3</v>
      </c>
      <c r="O304">
        <f t="shared" si="28"/>
        <v>-1.5483119338750798E-2</v>
      </c>
    </row>
    <row r="305" spans="1:15" x14ac:dyDescent="0.35">
      <c r="A305" t="s">
        <v>27</v>
      </c>
      <c r="B305">
        <v>2017</v>
      </c>
      <c r="C305">
        <v>161725.40625</v>
      </c>
      <c r="D305" s="8">
        <v>0.96468251943588301</v>
      </c>
      <c r="E305" s="8">
        <v>-1.2E-2</v>
      </c>
      <c r="F305">
        <v>2.1079887148266301</v>
      </c>
      <c r="G305">
        <f t="shared" si="24"/>
        <v>2.1851631727081751</v>
      </c>
      <c r="H305">
        <f t="shared" si="26"/>
        <v>-3.8674253596865382E-3</v>
      </c>
      <c r="I305">
        <f t="shared" si="25"/>
        <v>0</v>
      </c>
      <c r="J305">
        <f t="shared" si="27"/>
        <v>2</v>
      </c>
      <c r="K305">
        <v>-5.2104055881501501E-5</v>
      </c>
      <c r="L305">
        <v>-2.84167751669879E-3</v>
      </c>
      <c r="M305">
        <v>-8.5543485134839999E-3</v>
      </c>
      <c r="N305">
        <v>-1.7689371481537701E-2</v>
      </c>
      <c r="O305">
        <f t="shared" si="28"/>
        <v>-1.2179868668317781E-2</v>
      </c>
    </row>
    <row r="306" spans="1:15" x14ac:dyDescent="0.35">
      <c r="A306" t="s">
        <v>27</v>
      </c>
      <c r="B306">
        <v>2018</v>
      </c>
      <c r="C306">
        <v>161608.3125</v>
      </c>
      <c r="D306" s="8">
        <v>0.96478509902954102</v>
      </c>
      <c r="E306" s="8">
        <v>1.2E-2</v>
      </c>
      <c r="F306">
        <v>2.0452218430034099</v>
      </c>
      <c r="G306">
        <f t="shared" si="24"/>
        <v>2.1198729593363947</v>
      </c>
      <c r="H306">
        <f t="shared" si="26"/>
        <v>-2.9878873206005574E-2</v>
      </c>
      <c r="I306">
        <f t="shared" si="25"/>
        <v>0</v>
      </c>
      <c r="J306">
        <f t="shared" si="27"/>
        <v>2</v>
      </c>
      <c r="K306">
        <v>-8.5543485134839999E-3</v>
      </c>
      <c r="L306">
        <v>-1.7689371481537701E-2</v>
      </c>
      <c r="M306">
        <v>1.55442461073399E-2</v>
      </c>
      <c r="N306">
        <v>-2.2569485008716002E-3</v>
      </c>
      <c r="O306">
        <f t="shared" si="28"/>
        <v>-5.7848725467920404E-3</v>
      </c>
    </row>
    <row r="307" spans="1:15" x14ac:dyDescent="0.35">
      <c r="A307" t="s">
        <v>27</v>
      </c>
      <c r="B307">
        <v>2019</v>
      </c>
      <c r="C307">
        <v>161405.59375</v>
      </c>
      <c r="D307" s="8">
        <v>0.97929996252059903</v>
      </c>
      <c r="E307" s="8">
        <v>2E-3</v>
      </c>
      <c r="F307">
        <v>2.11259679452548</v>
      </c>
      <c r="G307">
        <f t="shared" si="24"/>
        <v>2.1572519916041992</v>
      </c>
      <c r="H307">
        <f t="shared" si="26"/>
        <v>1.7632675629536632E-2</v>
      </c>
      <c r="I307">
        <f t="shared" si="25"/>
        <v>1</v>
      </c>
      <c r="J307" t="str">
        <f t="shared" si="27"/>
        <v/>
      </c>
      <c r="K307">
        <v>1.55442461073399E-2</v>
      </c>
      <c r="L307">
        <v>-2.2569485008716002E-3</v>
      </c>
      <c r="M307">
        <v>1.48529616296291E-2</v>
      </c>
      <c r="N307">
        <v>-3.9962287992238998E-3</v>
      </c>
      <c r="O307">
        <f t="shared" si="28"/>
        <v>-1.5850124880671605E-3</v>
      </c>
    </row>
    <row r="308" spans="1:15" x14ac:dyDescent="0.35">
      <c r="A308" t="s">
        <v>27</v>
      </c>
      <c r="B308">
        <v>2020</v>
      </c>
      <c r="C308">
        <v>162162.203125</v>
      </c>
      <c r="D308" s="8">
        <v>0.97475689649581898</v>
      </c>
      <c r="E308" s="8">
        <v>2.4E-2</v>
      </c>
      <c r="F308">
        <v>1.9809360974567201</v>
      </c>
      <c r="G308">
        <f t="shared" si="24"/>
        <v>2.0322360422152879</v>
      </c>
      <c r="H308">
        <f t="shared" si="26"/>
        <v>-5.7951481734846211E-2</v>
      </c>
      <c r="I308">
        <f t="shared" si="25"/>
        <v>0</v>
      </c>
      <c r="J308" t="str">
        <f t="shared" si="27"/>
        <v/>
      </c>
      <c r="K308">
        <v>1.48529616296291E-2</v>
      </c>
      <c r="L308">
        <v>-3.9962287992238998E-3</v>
      </c>
      <c r="M308">
        <v>-7.0417576730250897E-3</v>
      </c>
      <c r="N308">
        <v>-5.0631370395422003E-2</v>
      </c>
      <c r="O308">
        <f t="shared" si="28"/>
        <v>-8.7425364181400371E-4</v>
      </c>
    </row>
    <row r="309" spans="1:15" x14ac:dyDescent="0.35">
      <c r="A309" t="s">
        <v>27</v>
      </c>
      <c r="B309">
        <v>2021</v>
      </c>
      <c r="C309">
        <v>162718.59375</v>
      </c>
      <c r="D309" s="8">
        <v>0.98504269123077404</v>
      </c>
      <c r="E309" s="8">
        <v>3.0000000000000001E-3</v>
      </c>
      <c r="F309">
        <v>1.8882790584217499</v>
      </c>
      <c r="G309">
        <f t="shared" si="24"/>
        <v>1.9169514938102996</v>
      </c>
      <c r="H309">
        <f t="shared" si="26"/>
        <v>-5.6727932193998298E-2</v>
      </c>
      <c r="I309">
        <f t="shared" si="25"/>
        <v>0</v>
      </c>
      <c r="J309" t="str">
        <f t="shared" si="27"/>
        <v/>
      </c>
      <c r="K309">
        <v>-7.0417576730250897E-3</v>
      </c>
      <c r="L309">
        <v>-5.0631370395422003E-2</v>
      </c>
      <c r="M309">
        <v>-1.8428930938243899E-2</v>
      </c>
      <c r="N309">
        <v>1.36745758354663E-2</v>
      </c>
      <c r="O309">
        <f t="shared" si="28"/>
        <v>2.8132081963121959E-3</v>
      </c>
    </row>
    <row r="310" spans="1:15" x14ac:dyDescent="0.35">
      <c r="A310" t="s">
        <v>27</v>
      </c>
      <c r="B310">
        <v>2022</v>
      </c>
      <c r="C310">
        <v>162727.09375</v>
      </c>
      <c r="D310" s="8">
        <v>0.97672778367996205</v>
      </c>
      <c r="E310" s="8">
        <v>1.6E-2</v>
      </c>
      <c r="F310">
        <v>1.8535508103220399</v>
      </c>
      <c r="G310">
        <f t="shared" si="24"/>
        <v>1.897714840606378</v>
      </c>
      <c r="H310">
        <f t="shared" si="26"/>
        <v>-1.0035023455750136E-2</v>
      </c>
      <c r="I310">
        <f t="shared" si="25"/>
        <v>0</v>
      </c>
      <c r="J310" t="str">
        <f t="shared" si="27"/>
        <v/>
      </c>
      <c r="K310">
        <v>-1.8428930938243899E-2</v>
      </c>
      <c r="L310">
        <v>1.4153279364108901E-2</v>
      </c>
      <c r="M310">
        <v>-5.2733186483382901E-3</v>
      </c>
      <c r="N310">
        <v>1.4285609126091E-2</v>
      </c>
      <c r="O310">
        <f t="shared" si="28"/>
        <v>1.179259736091141E-4</v>
      </c>
    </row>
    <row r="311" spans="1:15" x14ac:dyDescent="0.35">
      <c r="A311" t="s">
        <v>28</v>
      </c>
      <c r="B311">
        <v>2006</v>
      </c>
      <c r="C311">
        <v>575487.4375</v>
      </c>
      <c r="D311" s="8">
        <v>0.95532393455505404</v>
      </c>
      <c r="E311" s="8">
        <v>2.9000000000000001E-2</v>
      </c>
      <c r="F311">
        <v>2.3766464121386601</v>
      </c>
      <c r="G311">
        <f t="shared" si="24"/>
        <v>2.4877911315449168</v>
      </c>
      <c r="H311">
        <f t="shared" si="26"/>
        <v>0.31094044179471747</v>
      </c>
      <c r="I311">
        <f t="shared" si="25"/>
        <v>1</v>
      </c>
      <c r="J311" t="str">
        <f t="shared" si="27"/>
        <v/>
      </c>
      <c r="K311">
        <v>2.72684149742125E-2</v>
      </c>
      <c r="L311">
        <v>2.09053754806518E-2</v>
      </c>
      <c r="M311">
        <v>1.7820595860481198E-2</v>
      </c>
      <c r="N311">
        <v>1.8742351792752798E-2</v>
      </c>
      <c r="O311" t="str">
        <f t="shared" si="28"/>
        <v/>
      </c>
    </row>
    <row r="312" spans="1:15" x14ac:dyDescent="0.35">
      <c r="A312" t="s">
        <v>28</v>
      </c>
      <c r="B312">
        <v>2007</v>
      </c>
      <c r="C312">
        <v>593548</v>
      </c>
      <c r="D312" s="8">
        <v>0.94713830947875999</v>
      </c>
      <c r="E312" s="8">
        <v>0.04</v>
      </c>
      <c r="F312">
        <v>2.39691151210054</v>
      </c>
      <c r="G312">
        <f t="shared" si="24"/>
        <v>2.5306879556161506</v>
      </c>
      <c r="H312">
        <f t="shared" si="26"/>
        <v>1.7242936325042146E-2</v>
      </c>
      <c r="I312">
        <f t="shared" si="25"/>
        <v>1</v>
      </c>
      <c r="J312" t="str">
        <f t="shared" si="27"/>
        <v/>
      </c>
      <c r="K312">
        <v>1.7820595860481198E-2</v>
      </c>
      <c r="L312">
        <v>1.8742351792752798E-2</v>
      </c>
      <c r="M312">
        <v>-2.9953238844871499E-2</v>
      </c>
      <c r="N312">
        <v>-4.4243456795811599E-4</v>
      </c>
      <c r="O312" t="str">
        <f t="shared" si="28"/>
        <v/>
      </c>
    </row>
    <row r="313" spans="1:15" x14ac:dyDescent="0.35">
      <c r="A313" t="s">
        <v>28</v>
      </c>
      <c r="B313">
        <v>2008</v>
      </c>
      <c r="C313">
        <v>605274.5</v>
      </c>
      <c r="D313" s="8">
        <v>0.93383759260177601</v>
      </c>
      <c r="E313" s="8">
        <v>2.3E-2</v>
      </c>
      <c r="F313">
        <v>2.4732164420615299</v>
      </c>
      <c r="G313">
        <f t="shared" si="24"/>
        <v>2.6484438639601904</v>
      </c>
      <c r="H313">
        <f t="shared" si="26"/>
        <v>4.6531184566913408E-2</v>
      </c>
      <c r="I313">
        <f t="shared" si="25"/>
        <v>1</v>
      </c>
      <c r="J313" t="str">
        <f t="shared" si="27"/>
        <v/>
      </c>
      <c r="K313">
        <v>-2.9953238844871499E-2</v>
      </c>
      <c r="L313">
        <v>-4.4243456795811599E-4</v>
      </c>
      <c r="M313">
        <v>-5.8760762870311602E-2</v>
      </c>
      <c r="N313">
        <v>-3.2194061204791E-2</v>
      </c>
      <c r="O313" t="str">
        <f t="shared" si="28"/>
        <v/>
      </c>
    </row>
    <row r="314" spans="1:15" x14ac:dyDescent="0.35">
      <c r="A314" t="s">
        <v>28</v>
      </c>
      <c r="B314">
        <v>2009</v>
      </c>
      <c r="C314">
        <v>613015.9375</v>
      </c>
      <c r="D314" s="8">
        <v>0.92540818452835105</v>
      </c>
      <c r="E314" s="8">
        <v>8.9999999999999993E-3</v>
      </c>
      <c r="F314">
        <v>2.5213626150136901</v>
      </c>
      <c r="G314">
        <f t="shared" si="24"/>
        <v>2.7245951107496875</v>
      </c>
      <c r="H314">
        <f t="shared" si="26"/>
        <v>2.8753204032661239E-2</v>
      </c>
      <c r="I314">
        <f t="shared" si="25"/>
        <v>1</v>
      </c>
      <c r="J314" t="str">
        <f t="shared" si="27"/>
        <v/>
      </c>
      <c r="K314">
        <v>-5.8760762870311602E-2</v>
      </c>
      <c r="L314">
        <v>-3.2194061204791E-2</v>
      </c>
      <c r="M314">
        <v>-9.2619440369307998E-3</v>
      </c>
      <c r="N314">
        <v>1.98164721950885E-4</v>
      </c>
      <c r="O314" t="str">
        <f t="shared" si="28"/>
        <v/>
      </c>
    </row>
    <row r="315" spans="1:15" x14ac:dyDescent="0.35">
      <c r="A315" t="s">
        <v>28</v>
      </c>
      <c r="B315">
        <v>2010</v>
      </c>
      <c r="C315">
        <v>620364.0625</v>
      </c>
      <c r="D315" s="8">
        <v>0.93705278635025002</v>
      </c>
      <c r="E315" s="8">
        <v>0</v>
      </c>
      <c r="F315">
        <v>2.4343003286098699</v>
      </c>
      <c r="G315">
        <f t="shared" si="24"/>
        <v>2.5978262527677725</v>
      </c>
      <c r="H315">
        <f t="shared" si="26"/>
        <v>-4.6527595047703763E-2</v>
      </c>
      <c r="I315">
        <f t="shared" si="25"/>
        <v>0</v>
      </c>
      <c r="J315">
        <f t="shared" si="27"/>
        <v>4</v>
      </c>
      <c r="K315">
        <v>-9.2619440369307998E-3</v>
      </c>
      <c r="L315">
        <v>1.98164721950885E-4</v>
      </c>
      <c r="M315">
        <v>-1.9489016726613E-2</v>
      </c>
      <c r="N315">
        <v>1.7947577871383E-3</v>
      </c>
      <c r="O315">
        <f t="shared" si="28"/>
        <v>1.3067758642137397E-3</v>
      </c>
    </row>
    <row r="316" spans="1:15" x14ac:dyDescent="0.35">
      <c r="A316" t="s">
        <v>28</v>
      </c>
      <c r="B316">
        <v>2011</v>
      </c>
      <c r="C316">
        <v>630100.125</v>
      </c>
      <c r="D316" s="8">
        <v>0.94053381681442305</v>
      </c>
      <c r="E316" s="8">
        <v>0</v>
      </c>
      <c r="F316">
        <v>2.4682138128092501</v>
      </c>
      <c r="G316">
        <f t="shared" si="24"/>
        <v>2.6242690785633429</v>
      </c>
      <c r="H316">
        <f t="shared" si="26"/>
        <v>1.0178827690034309E-2</v>
      </c>
      <c r="I316">
        <f t="shared" si="25"/>
        <v>1</v>
      </c>
      <c r="J316">
        <f t="shared" si="27"/>
        <v>4</v>
      </c>
      <c r="K316">
        <v>-1.9489016726613E-2</v>
      </c>
      <c r="L316">
        <v>1.7947577871383E-3</v>
      </c>
      <c r="M316">
        <v>1.54335954785349E-3</v>
      </c>
      <c r="N316">
        <v>6.9815656170249003E-3</v>
      </c>
      <c r="O316">
        <f t="shared" si="28"/>
        <v>4.3442690744996196E-3</v>
      </c>
    </row>
    <row r="317" spans="1:15" x14ac:dyDescent="0.35">
      <c r="A317" t="s">
        <v>28</v>
      </c>
      <c r="B317">
        <v>2012</v>
      </c>
      <c r="C317">
        <v>640452.8125</v>
      </c>
      <c r="D317" s="8">
        <v>0.93984532356262196</v>
      </c>
      <c r="E317" s="8">
        <v>2.3E-2</v>
      </c>
      <c r="F317">
        <v>2.5134731486286301</v>
      </c>
      <c r="G317">
        <f t="shared" si="24"/>
        <v>2.6743476672320297</v>
      </c>
      <c r="H317">
        <f t="shared" si="26"/>
        <v>1.9082871142200863E-2</v>
      </c>
      <c r="I317">
        <f t="shared" si="25"/>
        <v>1</v>
      </c>
      <c r="J317">
        <f t="shared" si="27"/>
        <v>4</v>
      </c>
      <c r="K317">
        <v>1.54335954785349E-3</v>
      </c>
      <c r="L317">
        <v>6.8959668278693997E-3</v>
      </c>
      <c r="M317">
        <v>1.09682890027761E-2</v>
      </c>
      <c r="N317">
        <v>4.8415176570415002E-3</v>
      </c>
      <c r="O317">
        <f t="shared" si="28"/>
        <v>6.3841406255960602E-3</v>
      </c>
    </row>
    <row r="318" spans="1:15" x14ac:dyDescent="0.35">
      <c r="A318" t="s">
        <v>28</v>
      </c>
      <c r="B318">
        <v>2013</v>
      </c>
      <c r="C318">
        <v>652568.75</v>
      </c>
      <c r="D318" s="8">
        <v>0.948430895805359</v>
      </c>
      <c r="E318" s="8">
        <v>1.0999999999999999E-2</v>
      </c>
      <c r="F318">
        <v>2.6265739667825398</v>
      </c>
      <c r="G318">
        <f t="shared" si="24"/>
        <v>2.7693888699736924</v>
      </c>
      <c r="H318">
        <f t="shared" si="26"/>
        <v>3.5538088000365065E-2</v>
      </c>
      <c r="I318">
        <f t="shared" si="25"/>
        <v>1</v>
      </c>
      <c r="J318">
        <f t="shared" si="27"/>
        <v>4</v>
      </c>
      <c r="K318">
        <v>1.09682890027761E-2</v>
      </c>
      <c r="L318">
        <v>4.8415176570415002E-3</v>
      </c>
      <c r="M318">
        <v>5.9039767980576001E-3</v>
      </c>
      <c r="N318">
        <v>3.8959532976150998E-3</v>
      </c>
      <c r="O318">
        <f t="shared" si="28"/>
        <v>7.4031922966242194E-3</v>
      </c>
    </row>
    <row r="319" spans="1:15" x14ac:dyDescent="0.35">
      <c r="A319" t="s">
        <v>28</v>
      </c>
      <c r="B319">
        <v>2014</v>
      </c>
      <c r="C319">
        <v>665717.6875</v>
      </c>
      <c r="D319" s="8">
        <v>0.94614362716674805</v>
      </c>
      <c r="E319" s="8">
        <v>2.4E-2</v>
      </c>
      <c r="F319">
        <v>2.4172475924199999</v>
      </c>
      <c r="G319">
        <f t="shared" si="24"/>
        <v>2.5548421222880413</v>
      </c>
      <c r="H319">
        <f t="shared" si="26"/>
        <v>-7.7470791484653079E-2</v>
      </c>
      <c r="I319">
        <f t="shared" si="25"/>
        <v>0</v>
      </c>
      <c r="J319">
        <f t="shared" si="27"/>
        <v>3</v>
      </c>
      <c r="K319">
        <v>5.9039767980576001E-3</v>
      </c>
      <c r="L319">
        <v>3.8959532976150998E-3</v>
      </c>
      <c r="M319">
        <v>1.9283536985516499E-2</v>
      </c>
      <c r="N319">
        <v>-1.0979915037751101E-2</v>
      </c>
      <c r="O319">
        <f t="shared" si="28"/>
        <v>7.3415692895651185E-3</v>
      </c>
    </row>
    <row r="320" spans="1:15" x14ac:dyDescent="0.35">
      <c r="A320" t="s">
        <v>28</v>
      </c>
      <c r="B320">
        <v>2015</v>
      </c>
      <c r="C320">
        <v>678874.0625</v>
      </c>
      <c r="D320" s="8">
        <v>0.939830303192139</v>
      </c>
      <c r="E320" s="8">
        <v>0.08</v>
      </c>
      <c r="F320">
        <v>2.2288595024573099</v>
      </c>
      <c r="G320">
        <f t="shared" si="24"/>
        <v>2.3715552636332067</v>
      </c>
      <c r="H320">
        <f t="shared" si="26"/>
        <v>-7.1740972585299434E-2</v>
      </c>
      <c r="I320">
        <f t="shared" si="25"/>
        <v>0</v>
      </c>
      <c r="J320">
        <f t="shared" si="27"/>
        <v>3</v>
      </c>
      <c r="K320">
        <v>1.9283536985516499E-2</v>
      </c>
      <c r="L320">
        <v>-1.0979915037751101E-2</v>
      </c>
      <c r="M320">
        <v>3.0135780841112101E-2</v>
      </c>
      <c r="N320">
        <v>1.6982223838567699E-2</v>
      </c>
      <c r="O320">
        <f t="shared" si="28"/>
        <v>1.4961287006735819E-2</v>
      </c>
    </row>
    <row r="321" spans="1:15" x14ac:dyDescent="0.35">
      <c r="A321" t="s">
        <v>28</v>
      </c>
      <c r="B321">
        <v>2016</v>
      </c>
      <c r="C321">
        <v>696030</v>
      </c>
      <c r="D321" s="8">
        <v>0.94288808107376099</v>
      </c>
      <c r="E321" s="8">
        <v>4.2000000000000003E-2</v>
      </c>
      <c r="F321">
        <v>2.26719596628537</v>
      </c>
      <c r="G321">
        <f t="shared" si="24"/>
        <v>2.4045228821892488</v>
      </c>
      <c r="H321">
        <f t="shared" si="26"/>
        <v>1.3901265157758136E-2</v>
      </c>
      <c r="I321">
        <f t="shared" si="25"/>
        <v>1</v>
      </c>
      <c r="J321">
        <f t="shared" si="27"/>
        <v>3</v>
      </c>
      <c r="K321">
        <v>3.0135780841112101E-2</v>
      </c>
      <c r="L321">
        <v>1.6982223838567699E-2</v>
      </c>
      <c r="M321">
        <v>1.9970496833324299E-2</v>
      </c>
      <c r="N321">
        <v>1.7180923372507099E-2</v>
      </c>
      <c r="O321">
        <f t="shared" si="28"/>
        <v>1.4177990332245876E-2</v>
      </c>
    </row>
    <row r="322" spans="1:15" x14ac:dyDescent="0.35">
      <c r="A322" t="s">
        <v>28</v>
      </c>
      <c r="B322">
        <v>2017</v>
      </c>
      <c r="C322">
        <v>714540.5625</v>
      </c>
      <c r="D322" s="8">
        <v>0.94593268632888805</v>
      </c>
      <c r="E322" s="8">
        <v>5.5E-2</v>
      </c>
      <c r="F322">
        <v>2.36688319302112</v>
      </c>
      <c r="G322">
        <f t="shared" si="24"/>
        <v>2.5021687348672361</v>
      </c>
      <c r="H322">
        <f t="shared" si="26"/>
        <v>4.0609242441096427E-2</v>
      </c>
      <c r="I322">
        <f t="shared" si="25"/>
        <v>1</v>
      </c>
      <c r="J322">
        <f t="shared" si="27"/>
        <v>3</v>
      </c>
      <c r="K322">
        <v>1.9970496833324299E-2</v>
      </c>
      <c r="L322">
        <v>1.7180923372507099E-2</v>
      </c>
      <c r="M322">
        <v>1.9071798980236102E-2</v>
      </c>
      <c r="N322">
        <v>9.9367760121822999E-3</v>
      </c>
      <c r="O322">
        <f t="shared" si="28"/>
        <v>5.8183081448078978E-3</v>
      </c>
    </row>
    <row r="323" spans="1:15" x14ac:dyDescent="0.35">
      <c r="A323" t="s">
        <v>28</v>
      </c>
      <c r="B323">
        <v>2018</v>
      </c>
      <c r="C323">
        <v>733983.5625</v>
      </c>
      <c r="D323" s="8">
        <v>0.95379060506820701</v>
      </c>
      <c r="E323" s="8">
        <v>8.5000000000000006E-2</v>
      </c>
      <c r="F323">
        <v>2.3677950023715</v>
      </c>
      <c r="G323">
        <f t="shared" ref="G323:G386" si="29">F323/D323</f>
        <v>2.4825103013068319</v>
      </c>
      <c r="H323">
        <f t="shared" si="26"/>
        <v>-7.8565579077333192E-3</v>
      </c>
      <c r="I323">
        <f t="shared" ref="I323:I386" si="30">IF(H323&gt;0,1,0)</f>
        <v>0</v>
      </c>
      <c r="J323">
        <f t="shared" si="27"/>
        <v>2</v>
      </c>
      <c r="K323">
        <v>1.9071798980236102E-2</v>
      </c>
      <c r="L323">
        <v>9.9367760121822999E-3</v>
      </c>
      <c r="M323">
        <v>2.1389032870531101E-2</v>
      </c>
      <c r="N323">
        <v>3.58783826231959E-3</v>
      </c>
      <c r="O323">
        <f t="shared" si="28"/>
        <v>-5.9774670749902017E-3</v>
      </c>
    </row>
    <row r="324" spans="1:15" x14ac:dyDescent="0.35">
      <c r="A324" t="s">
        <v>28</v>
      </c>
      <c r="B324">
        <v>2019</v>
      </c>
      <c r="C324">
        <v>754370.8125</v>
      </c>
      <c r="D324" s="8">
        <v>0.93591326475143399</v>
      </c>
      <c r="E324" s="8">
        <v>0.09</v>
      </c>
      <c r="F324">
        <v>2.4234082870136402</v>
      </c>
      <c r="G324">
        <f t="shared" si="29"/>
        <v>2.5893513622304143</v>
      </c>
      <c r="H324">
        <f t="shared" ref="H324:H387" si="31">+G324/G323-1</f>
        <v>4.3037509599593404E-2</v>
      </c>
      <c r="I324">
        <f t="shared" si="30"/>
        <v>1</v>
      </c>
      <c r="J324" t="str">
        <f t="shared" si="27"/>
        <v/>
      </c>
      <c r="K324">
        <v>2.1389032870531101E-2</v>
      </c>
      <c r="L324">
        <v>3.58783826231959E-3</v>
      </c>
      <c r="M324">
        <v>4.5967863976955403E-2</v>
      </c>
      <c r="N324">
        <v>2.71186735481024E-2</v>
      </c>
      <c r="O324">
        <f t="shared" si="28"/>
        <v>-5.9485463425516423E-3</v>
      </c>
    </row>
    <row r="325" spans="1:15" x14ac:dyDescent="0.35">
      <c r="A325" t="s">
        <v>28</v>
      </c>
      <c r="B325">
        <v>2020</v>
      </c>
      <c r="C325">
        <v>776969.125</v>
      </c>
      <c r="D325" s="8">
        <v>0.950023293495178</v>
      </c>
      <c r="E325" s="8">
        <v>9.9000000000000005E-2</v>
      </c>
      <c r="F325">
        <v>2.2235385358945199</v>
      </c>
      <c r="G325">
        <f t="shared" si="29"/>
        <v>2.3405094918399554</v>
      </c>
      <c r="H325">
        <f t="shared" si="31"/>
        <v>-9.6102009955154055E-2</v>
      </c>
      <c r="I325">
        <f t="shared" si="30"/>
        <v>0</v>
      </c>
      <c r="J325" t="str">
        <f t="shared" si="27"/>
        <v/>
      </c>
      <c r="K325">
        <v>4.5967863976955403E-2</v>
      </c>
      <c r="L325">
        <v>2.71186735481024E-2</v>
      </c>
      <c r="M325">
        <v>5.6655353188515001E-2</v>
      </c>
      <c r="N325">
        <v>1.3065740466117999E-2</v>
      </c>
      <c r="O325">
        <f t="shared" si="28"/>
        <v>-9.6538751386105424E-3</v>
      </c>
    </row>
    <row r="326" spans="1:15" x14ac:dyDescent="0.35">
      <c r="A326" t="s">
        <v>28</v>
      </c>
      <c r="B326">
        <v>2021</v>
      </c>
      <c r="C326">
        <v>801222.75</v>
      </c>
      <c r="D326" s="8">
        <v>0.94453078508377097</v>
      </c>
      <c r="E326" s="8">
        <v>7.6999999999999999E-2</v>
      </c>
      <c r="F326">
        <v>2.4587996611227498</v>
      </c>
      <c r="G326">
        <f t="shared" si="29"/>
        <v>2.6031969523414502</v>
      </c>
      <c r="H326">
        <f t="shared" si="31"/>
        <v>0.11223516136864164</v>
      </c>
      <c r="I326">
        <f t="shared" si="30"/>
        <v>1</v>
      </c>
      <c r="J326" t="str">
        <f t="shared" si="27"/>
        <v/>
      </c>
      <c r="K326">
        <v>5.6655353188515001E-2</v>
      </c>
      <c r="L326">
        <v>1.3065740466117999E-2</v>
      </c>
      <c r="M326">
        <v>-5.6720994338393199E-2</v>
      </c>
      <c r="N326">
        <v>-2.4617487564682801E-2</v>
      </c>
      <c r="O326">
        <f t="shared" si="28"/>
        <v>-1.4299157541245184E-2</v>
      </c>
    </row>
    <row r="327" spans="1:15" x14ac:dyDescent="0.35">
      <c r="A327" t="s">
        <v>28</v>
      </c>
      <c r="B327">
        <v>2022</v>
      </c>
      <c r="C327">
        <v>817483.25</v>
      </c>
      <c r="D327" s="8">
        <v>0.91608625650405895</v>
      </c>
      <c r="E327" s="8">
        <v>7.5999999999999998E-2</v>
      </c>
      <c r="F327">
        <v>2.4442942607632698</v>
      </c>
      <c r="G327">
        <f t="shared" si="29"/>
        <v>2.6681922618194411</v>
      </c>
      <c r="H327">
        <f t="shared" si="31"/>
        <v>2.4967495993543976E-2</v>
      </c>
      <c r="I327">
        <f t="shared" si="30"/>
        <v>1</v>
      </c>
      <c r="J327" t="str">
        <f t="shared" ref="J327:J390" si="32">IF(AND(B327&gt;=2010,B327&lt;=2018),SUM(I323:I327),"")</f>
        <v/>
      </c>
      <c r="K327">
        <v>-5.6720994338393199E-2</v>
      </c>
      <c r="L327">
        <v>-2.4138784036040299E-2</v>
      </c>
      <c r="M327">
        <v>-6.8601027861237507E-2</v>
      </c>
      <c r="N327">
        <v>-4.9042100086808198E-2</v>
      </c>
      <c r="O327">
        <f t="shared" ref="O327:O390" si="33">IF(B327&gt;=2010,AVERAGE(N327:N331),"")</f>
        <v>-6.5166309941560221E-3</v>
      </c>
    </row>
    <row r="328" spans="1:15" x14ac:dyDescent="0.35">
      <c r="A328" t="s">
        <v>29</v>
      </c>
      <c r="B328">
        <v>2006</v>
      </c>
      <c r="C328">
        <v>4432227</v>
      </c>
      <c r="D328" s="8">
        <v>0.94813269376754805</v>
      </c>
      <c r="E328" s="8">
        <v>3.7999999999999999E-2</v>
      </c>
      <c r="F328">
        <v>2.0847331551370298</v>
      </c>
      <c r="G328">
        <f t="shared" si="29"/>
        <v>2.1987778386304018</v>
      </c>
      <c r="H328">
        <f t="shared" si="31"/>
        <v>-0.17592975960021173</v>
      </c>
      <c r="I328">
        <f t="shared" si="30"/>
        <v>0</v>
      </c>
      <c r="J328" t="str">
        <f t="shared" si="32"/>
        <v/>
      </c>
      <c r="K328">
        <v>-1.90361099019647E-2</v>
      </c>
      <c r="L328">
        <v>-2.53991493955254E-2</v>
      </c>
      <c r="M328">
        <v>2.81068599224089E-3</v>
      </c>
      <c r="N328">
        <v>3.7324419245123898E-3</v>
      </c>
      <c r="O328" t="str">
        <f t="shared" si="33"/>
        <v/>
      </c>
    </row>
    <row r="329" spans="1:15" x14ac:dyDescent="0.35">
      <c r="A329" t="s">
        <v>29</v>
      </c>
      <c r="B329">
        <v>2007</v>
      </c>
      <c r="C329">
        <v>4456634</v>
      </c>
      <c r="D329" s="8">
        <v>0.94858753681182895</v>
      </c>
      <c r="E329" s="8">
        <v>2.1000000000000001E-2</v>
      </c>
      <c r="F329">
        <v>2.05049958685776</v>
      </c>
      <c r="G329">
        <f t="shared" si="29"/>
        <v>2.1616345432382769</v>
      </c>
      <c r="H329">
        <f t="shared" si="31"/>
        <v>-1.6892700453657983E-2</v>
      </c>
      <c r="I329">
        <f t="shared" si="30"/>
        <v>0</v>
      </c>
      <c r="J329" t="str">
        <f t="shared" si="32"/>
        <v/>
      </c>
      <c r="K329">
        <v>2.81068599224089E-3</v>
      </c>
      <c r="L329">
        <v>3.7324419245123898E-3</v>
      </c>
      <c r="M329">
        <v>-2.09187747091054E-2</v>
      </c>
      <c r="N329">
        <v>8.5920295678079007E-3</v>
      </c>
      <c r="O329" t="str">
        <f t="shared" si="33"/>
        <v/>
      </c>
    </row>
    <row r="330" spans="1:15" x14ac:dyDescent="0.35">
      <c r="A330" t="s">
        <v>29</v>
      </c>
      <c r="B330">
        <v>2008</v>
      </c>
      <c r="C330">
        <v>4494352</v>
      </c>
      <c r="D330" s="8">
        <v>0.94660174846649203</v>
      </c>
      <c r="E330" s="8">
        <v>2.4E-2</v>
      </c>
      <c r="F330">
        <v>2.0718943766523399</v>
      </c>
      <c r="G330">
        <f t="shared" si="29"/>
        <v>2.1887709166065217</v>
      </c>
      <c r="H330">
        <f t="shared" si="31"/>
        <v>1.2553636068191487E-2</v>
      </c>
      <c r="I330">
        <f t="shared" si="30"/>
        <v>1</v>
      </c>
      <c r="J330" t="str">
        <f t="shared" si="32"/>
        <v/>
      </c>
      <c r="K330">
        <v>-2.09187747091054E-2</v>
      </c>
      <c r="L330">
        <v>8.5920295678079007E-3</v>
      </c>
      <c r="M330">
        <v>-3.6727373212575798E-2</v>
      </c>
      <c r="N330">
        <v>-1.0160671547055199E-2</v>
      </c>
      <c r="O330" t="str">
        <f t="shared" si="33"/>
        <v/>
      </c>
    </row>
    <row r="331" spans="1:15" x14ac:dyDescent="0.35">
      <c r="A331" t="s">
        <v>29</v>
      </c>
      <c r="B331">
        <v>2009</v>
      </c>
      <c r="C331">
        <v>4537709</v>
      </c>
      <c r="D331" s="8">
        <v>0.94725227355956998</v>
      </c>
      <c r="E331" s="8">
        <v>1.6E-2</v>
      </c>
      <c r="F331">
        <v>2.07652071312067</v>
      </c>
      <c r="G331">
        <f t="shared" si="29"/>
        <v>2.1921517330515896</v>
      </c>
      <c r="H331">
        <f t="shared" si="31"/>
        <v>1.5446186804737305E-3</v>
      </c>
      <c r="I331">
        <f t="shared" si="30"/>
        <v>1</v>
      </c>
      <c r="J331" t="str">
        <f t="shared" si="32"/>
        <v/>
      </c>
      <c r="K331">
        <v>-3.6727373212575798E-2</v>
      </c>
      <c r="L331">
        <v>-1.0160671547055199E-2</v>
      </c>
      <c r="M331">
        <v>4.8350364118813901E-3</v>
      </c>
      <c r="N331">
        <v>1.4295145170763E-2</v>
      </c>
      <c r="O331" t="str">
        <f t="shared" si="33"/>
        <v/>
      </c>
    </row>
    <row r="332" spans="1:15" x14ac:dyDescent="0.35">
      <c r="A332" t="s">
        <v>29</v>
      </c>
      <c r="B332">
        <v>2010</v>
      </c>
      <c r="C332">
        <v>4580697</v>
      </c>
      <c r="D332" s="8">
        <v>0.95275467634201005</v>
      </c>
      <c r="E332" s="8">
        <v>7.0000000000000001E-3</v>
      </c>
      <c r="F332">
        <v>2.1126571160758401</v>
      </c>
      <c r="G332">
        <f t="shared" si="29"/>
        <v>2.2174198338098319</v>
      </c>
      <c r="H332">
        <f t="shared" si="31"/>
        <v>1.1526620341680394E-2</v>
      </c>
      <c r="I332">
        <f t="shared" si="30"/>
        <v>1</v>
      </c>
      <c r="J332">
        <f t="shared" si="32"/>
        <v>3</v>
      </c>
      <c r="K332">
        <v>4.8350364118813901E-3</v>
      </c>
      <c r="L332">
        <v>1.4295145170763E-2</v>
      </c>
      <c r="M332">
        <v>-1.53443313837051E-2</v>
      </c>
      <c r="N332">
        <v>5.9394431300461899E-3</v>
      </c>
      <c r="O332">
        <f t="shared" si="33"/>
        <v>6.1877689324319361E-3</v>
      </c>
    </row>
    <row r="333" spans="1:15" x14ac:dyDescent="0.35">
      <c r="A333" t="s">
        <v>29</v>
      </c>
      <c r="B333">
        <v>2011</v>
      </c>
      <c r="C333">
        <v>4631012</v>
      </c>
      <c r="D333" s="8">
        <v>0.954489886760712</v>
      </c>
      <c r="E333" s="8">
        <v>1E-3</v>
      </c>
      <c r="F333">
        <v>2.1426473621727502</v>
      </c>
      <c r="G333">
        <f t="shared" si="29"/>
        <v>2.2448088679538896</v>
      </c>
      <c r="H333">
        <f t="shared" si="31"/>
        <v>1.235175843854508E-2</v>
      </c>
      <c r="I333">
        <f t="shared" si="30"/>
        <v>1</v>
      </c>
      <c r="J333">
        <f t="shared" si="32"/>
        <v>4</v>
      </c>
      <c r="K333">
        <v>-1.53443313837051E-2</v>
      </c>
      <c r="L333">
        <v>5.9394431300461899E-3</v>
      </c>
      <c r="M333">
        <v>-4.2552131265402001E-3</v>
      </c>
      <c r="N333">
        <v>1.18299294263119E-3</v>
      </c>
      <c r="O333">
        <f t="shared" si="33"/>
        <v>3.015061654150478E-3</v>
      </c>
    </row>
    <row r="334" spans="1:15" x14ac:dyDescent="0.35">
      <c r="A334" t="s">
        <v>29</v>
      </c>
      <c r="B334">
        <v>2012</v>
      </c>
      <c r="C334">
        <v>4684876</v>
      </c>
      <c r="D334" s="8">
        <v>0.95249396562576305</v>
      </c>
      <c r="E334" s="8">
        <v>1.7000000000000001E-2</v>
      </c>
      <c r="F334">
        <v>2.1365753712781999</v>
      </c>
      <c r="G334">
        <f t="shared" si="29"/>
        <v>2.2431379603276826</v>
      </c>
      <c r="H334">
        <f t="shared" si="31"/>
        <v>-7.4434293719172206E-4</v>
      </c>
      <c r="I334">
        <f t="shared" si="30"/>
        <v>0</v>
      </c>
      <c r="J334">
        <f t="shared" si="32"/>
        <v>4</v>
      </c>
      <c r="K334">
        <v>-4.2552131265402001E-3</v>
      </c>
      <c r="L334">
        <v>1.0973941534756901E-3</v>
      </c>
      <c r="M334">
        <v>8.0604913085699E-3</v>
      </c>
      <c r="N334">
        <v>1.9337199628353E-3</v>
      </c>
      <c r="O334">
        <f t="shared" si="33"/>
        <v>3.02211605012418E-3</v>
      </c>
    </row>
    <row r="335" spans="1:15" x14ac:dyDescent="0.35">
      <c r="A335" t="s">
        <v>29</v>
      </c>
      <c r="B335">
        <v>2013</v>
      </c>
      <c r="C335">
        <v>4736530</v>
      </c>
      <c r="D335" s="8">
        <v>0.94966101646423295</v>
      </c>
      <c r="E335" s="8">
        <v>1.7999999999999999E-2</v>
      </c>
      <c r="F335">
        <v>2.1475806649614801</v>
      </c>
      <c r="G335">
        <f t="shared" si="29"/>
        <v>2.2614181562988951</v>
      </c>
      <c r="H335">
        <f t="shared" si="31"/>
        <v>8.1493855012564342E-3</v>
      </c>
      <c r="I335">
        <f t="shared" si="30"/>
        <v>1</v>
      </c>
      <c r="J335">
        <f t="shared" si="32"/>
        <v>4</v>
      </c>
      <c r="K335">
        <v>8.0604913085699E-3</v>
      </c>
      <c r="L335">
        <v>1.9337199628353E-3</v>
      </c>
      <c r="M335">
        <v>6.9659732431173E-3</v>
      </c>
      <c r="N335">
        <v>4.9579497426747998E-3</v>
      </c>
      <c r="O335">
        <f t="shared" si="33"/>
        <v>3.11704315245154E-3</v>
      </c>
    </row>
    <row r="336" spans="1:15" x14ac:dyDescent="0.35">
      <c r="A336" t="s">
        <v>29</v>
      </c>
      <c r="B336">
        <v>2014</v>
      </c>
      <c r="C336">
        <v>4784529</v>
      </c>
      <c r="D336" s="8">
        <v>0.95106452703475997</v>
      </c>
      <c r="E336" s="8">
        <v>2.5999999999999999E-2</v>
      </c>
      <c r="F336">
        <v>2.1780308965453199</v>
      </c>
      <c r="G336">
        <f t="shared" si="29"/>
        <v>2.2900979214691248</v>
      </c>
      <c r="H336">
        <f t="shared" si="31"/>
        <v>1.2682203461728658E-2</v>
      </c>
      <c r="I336">
        <f t="shared" si="30"/>
        <v>1</v>
      </c>
      <c r="J336">
        <f t="shared" si="32"/>
        <v>4</v>
      </c>
      <c r="K336">
        <v>6.9659732431173E-3</v>
      </c>
      <c r="L336">
        <v>4.9579497426747998E-3</v>
      </c>
      <c r="M336">
        <v>4.7188190907239899E-2</v>
      </c>
      <c r="N336">
        <v>1.6924738883972199E-2</v>
      </c>
      <c r="O336">
        <f t="shared" si="33"/>
        <v>2.5531709194183579E-3</v>
      </c>
    </row>
    <row r="337" spans="1:15" x14ac:dyDescent="0.35">
      <c r="A337" t="s">
        <v>29</v>
      </c>
      <c r="B337">
        <v>2015</v>
      </c>
      <c r="C337">
        <v>4822188</v>
      </c>
      <c r="D337" s="8">
        <v>0.94234180450439498</v>
      </c>
      <c r="E337" s="8">
        <v>4.3999999999999997E-2</v>
      </c>
      <c r="F337">
        <v>2.1831388210357598</v>
      </c>
      <c r="G337">
        <f t="shared" si="29"/>
        <v>2.3167165147511799</v>
      </c>
      <c r="H337">
        <f t="shared" si="31"/>
        <v>1.1623342841593054E-2</v>
      </c>
      <c r="I337">
        <f t="shared" si="30"/>
        <v>1</v>
      </c>
      <c r="J337">
        <f t="shared" si="32"/>
        <v>4</v>
      </c>
      <c r="K337">
        <v>4.7188190907239899E-2</v>
      </c>
      <c r="L337">
        <v>1.6924738883972199E-2</v>
      </c>
      <c r="M337">
        <v>3.2294637411832902E-3</v>
      </c>
      <c r="N337">
        <v>-9.9240932613610996E-3</v>
      </c>
      <c r="O337">
        <f t="shared" si="33"/>
        <v>-1.5261968597769701E-2</v>
      </c>
    </row>
    <row r="338" spans="1:15" x14ac:dyDescent="0.35">
      <c r="A338" t="s">
        <v>29</v>
      </c>
      <c r="B338">
        <v>2016</v>
      </c>
      <c r="C338">
        <v>4860300</v>
      </c>
      <c r="D338" s="8">
        <v>0.94829541444778398</v>
      </c>
      <c r="E338" s="8">
        <v>0.03</v>
      </c>
      <c r="F338">
        <v>2.1567786157441602</v>
      </c>
      <c r="G338">
        <f t="shared" si="29"/>
        <v>2.2743741906630501</v>
      </c>
      <c r="H338">
        <f t="shared" si="31"/>
        <v>-1.8276868930024226E-2</v>
      </c>
      <c r="I338">
        <f t="shared" si="30"/>
        <v>0</v>
      </c>
      <c r="J338">
        <f t="shared" si="32"/>
        <v>3</v>
      </c>
      <c r="K338">
        <v>3.2294637411832902E-3</v>
      </c>
      <c r="L338">
        <v>-9.9240932613610996E-3</v>
      </c>
      <c r="M338">
        <v>4.0078383833169898E-3</v>
      </c>
      <c r="N338">
        <v>1.2182649224997E-3</v>
      </c>
      <c r="O338">
        <f t="shared" si="33"/>
        <v>-9.3515805900096817E-3</v>
      </c>
    </row>
    <row r="339" spans="1:15" x14ac:dyDescent="0.35">
      <c r="A339" t="s">
        <v>29</v>
      </c>
      <c r="B339">
        <v>2017</v>
      </c>
      <c r="C339">
        <v>4895391</v>
      </c>
      <c r="D339" s="8">
        <v>0.94030553102493297</v>
      </c>
      <c r="E339" s="8">
        <v>4.2000000000000003E-2</v>
      </c>
      <c r="F339">
        <v>2.1653903672908599</v>
      </c>
      <c r="G339">
        <f t="shared" si="29"/>
        <v>2.3028582687699224</v>
      </c>
      <c r="H339">
        <f t="shared" si="31"/>
        <v>1.25239189856301E-2</v>
      </c>
      <c r="I339">
        <f t="shared" si="30"/>
        <v>1</v>
      </c>
      <c r="J339">
        <f t="shared" si="32"/>
        <v>4</v>
      </c>
      <c r="K339">
        <v>4.0078383833169898E-3</v>
      </c>
      <c r="L339">
        <v>1.2182649224997E-3</v>
      </c>
      <c r="M339">
        <v>1.1543378442525801E-2</v>
      </c>
      <c r="N339">
        <v>2.4083554744721001E-3</v>
      </c>
      <c r="O339">
        <f t="shared" si="33"/>
        <v>-9.6909742802381415E-3</v>
      </c>
    </row>
    <row r="340" spans="1:15" x14ac:dyDescent="0.35">
      <c r="A340" t="s">
        <v>29</v>
      </c>
      <c r="B340">
        <v>2018</v>
      </c>
      <c r="C340">
        <v>4917657</v>
      </c>
      <c r="D340" s="8">
        <v>0.946735620498657</v>
      </c>
      <c r="E340" s="8">
        <v>3.6999999999999998E-2</v>
      </c>
      <c r="F340">
        <v>2.1517315535677999</v>
      </c>
      <c r="G340">
        <f t="shared" si="29"/>
        <v>2.2727903196823385</v>
      </c>
      <c r="H340">
        <f t="shared" si="31"/>
        <v>-1.3056795329243087E-2</v>
      </c>
      <c r="I340">
        <f t="shared" si="30"/>
        <v>0</v>
      </c>
      <c r="J340">
        <f t="shared" si="32"/>
        <v>3</v>
      </c>
      <c r="K340">
        <v>1.1543378442525801E-2</v>
      </c>
      <c r="L340">
        <v>2.4083554744721001E-3</v>
      </c>
      <c r="M340">
        <v>1.99397831857204E-2</v>
      </c>
      <c r="N340">
        <v>2.13858857750889E-3</v>
      </c>
      <c r="O340">
        <f t="shared" si="33"/>
        <v>-9.2532671988010424E-3</v>
      </c>
    </row>
    <row r="341" spans="1:15" x14ac:dyDescent="0.35">
      <c r="A341" t="s">
        <v>29</v>
      </c>
      <c r="B341">
        <v>2019</v>
      </c>
      <c r="C341">
        <v>4936642</v>
      </c>
      <c r="D341" s="8">
        <v>0.94593524932861295</v>
      </c>
      <c r="E341" s="8">
        <v>3.4000000000000002E-2</v>
      </c>
      <c r="F341">
        <v>2.1433410069340599</v>
      </c>
      <c r="G341">
        <f t="shared" si="29"/>
        <v>2.2658432577233145</v>
      </c>
      <c r="H341">
        <f t="shared" si="31"/>
        <v>-3.0566224692452071E-3</v>
      </c>
      <c r="I341">
        <f t="shared" si="30"/>
        <v>0</v>
      </c>
      <c r="J341" t="str">
        <f t="shared" si="32"/>
        <v/>
      </c>
      <c r="K341">
        <v>1.99397831857204E-2</v>
      </c>
      <c r="L341">
        <v>2.13858857750889E-3</v>
      </c>
      <c r="M341">
        <v>-5.3301768273115099E-2</v>
      </c>
      <c r="N341">
        <v>-7.2150958701968096E-2</v>
      </c>
      <c r="O341">
        <f t="shared" si="33"/>
        <v>-6.1791891232132789E-3</v>
      </c>
    </row>
    <row r="342" spans="1:15" x14ac:dyDescent="0.35">
      <c r="A342" t="s">
        <v>29</v>
      </c>
      <c r="B342">
        <v>2020</v>
      </c>
      <c r="C342">
        <v>4925667</v>
      </c>
      <c r="D342" s="8">
        <v>0.91970938444137595</v>
      </c>
      <c r="E342" s="8">
        <v>4.8000000000000001E-2</v>
      </c>
      <c r="F342">
        <v>2.1299597039976601</v>
      </c>
      <c r="G342">
        <f t="shared" si="29"/>
        <v>2.3159051544215572</v>
      </c>
      <c r="H342">
        <f t="shared" si="31"/>
        <v>2.2094157010906557E-2</v>
      </c>
      <c r="I342">
        <f t="shared" si="30"/>
        <v>1</v>
      </c>
      <c r="J342" t="str">
        <f t="shared" si="32"/>
        <v/>
      </c>
      <c r="K342">
        <v>-5.3301768273115099E-2</v>
      </c>
      <c r="L342">
        <v>-7.2150958701968096E-2</v>
      </c>
      <c r="M342">
        <v>6.3217459499835996E-2</v>
      </c>
      <c r="N342">
        <v>1.9627846777438999E-2</v>
      </c>
      <c r="O342">
        <f t="shared" si="33"/>
        <v>8.7356711737811392E-3</v>
      </c>
    </row>
    <row r="343" spans="1:15" x14ac:dyDescent="0.35">
      <c r="A343" t="s">
        <v>29</v>
      </c>
      <c r="B343">
        <v>2021</v>
      </c>
      <c r="C343">
        <v>4915604</v>
      </c>
      <c r="D343" s="8">
        <v>0.95548796653747603</v>
      </c>
      <c r="E343" s="8">
        <v>3.2000000000000001E-2</v>
      </c>
      <c r="F343">
        <v>2.1517727125359198</v>
      </c>
      <c r="G343">
        <f t="shared" si="29"/>
        <v>2.2520144553296406</v>
      </c>
      <c r="H343">
        <f t="shared" si="31"/>
        <v>-2.7587787422958865E-2</v>
      </c>
      <c r="I343">
        <f t="shared" si="30"/>
        <v>0</v>
      </c>
      <c r="J343" t="str">
        <f t="shared" si="32"/>
        <v/>
      </c>
      <c r="K343">
        <v>6.3217459499835996E-2</v>
      </c>
      <c r="L343">
        <v>1.9627846777438999E-2</v>
      </c>
      <c r="M343">
        <v>-3.25822103023529E-2</v>
      </c>
      <c r="N343">
        <v>-4.7870352864259799E-4</v>
      </c>
      <c r="O343">
        <f t="shared" si="33"/>
        <v>2.1844347938896057E-4</v>
      </c>
    </row>
    <row r="344" spans="1:15" x14ac:dyDescent="0.35">
      <c r="A344" t="s">
        <v>29</v>
      </c>
      <c r="B344">
        <v>2022</v>
      </c>
      <c r="C344">
        <v>4939754</v>
      </c>
      <c r="D344" s="8">
        <v>0.95054918527603105</v>
      </c>
      <c r="E344" s="8">
        <v>2.5000000000000001E-2</v>
      </c>
      <c r="F344">
        <v>2.1205933971323501</v>
      </c>
      <c r="G344">
        <f t="shared" si="29"/>
        <v>2.2309139074339943</v>
      </c>
      <c r="H344">
        <f t="shared" si="31"/>
        <v>-9.3696325286498627E-3</v>
      </c>
      <c r="I344">
        <f t="shared" si="30"/>
        <v>0</v>
      </c>
      <c r="J344" t="str">
        <f t="shared" si="32"/>
        <v/>
      </c>
      <c r="K344">
        <v>-3.25822103023529E-2</v>
      </c>
      <c r="L344">
        <v>0</v>
      </c>
      <c r="M344">
        <v>-1.49620368927717E-2</v>
      </c>
      <c r="N344">
        <v>4.5968908816576004E-3</v>
      </c>
      <c r="O344">
        <f t="shared" si="33"/>
        <v>2.6252889540046205E-3</v>
      </c>
    </row>
    <row r="345" spans="1:15" x14ac:dyDescent="0.35">
      <c r="A345" t="s">
        <v>30</v>
      </c>
      <c r="B345">
        <v>2006</v>
      </c>
      <c r="C345">
        <v>244803</v>
      </c>
      <c r="D345" s="8">
        <v>0.95120614767074596</v>
      </c>
      <c r="E345" s="8">
        <v>2E-3</v>
      </c>
      <c r="F345">
        <v>2.2251238783982799</v>
      </c>
      <c r="G345">
        <f t="shared" si="29"/>
        <v>2.339265661651813</v>
      </c>
      <c r="H345">
        <f t="shared" si="31"/>
        <v>4.8568326127136574E-2</v>
      </c>
      <c r="I345">
        <f t="shared" si="30"/>
        <v>1</v>
      </c>
      <c r="J345" t="str">
        <f t="shared" si="32"/>
        <v/>
      </c>
      <c r="K345">
        <v>2.8408953577279999E-2</v>
      </c>
      <c r="L345">
        <v>2.2045914083719201E-2</v>
      </c>
      <c r="M345">
        <v>1.6587223023176199E-2</v>
      </c>
      <c r="N345">
        <v>1.7508978955447702E-2</v>
      </c>
      <c r="O345" t="str">
        <f t="shared" si="33"/>
        <v/>
      </c>
    </row>
    <row r="346" spans="1:15" x14ac:dyDescent="0.35">
      <c r="A346" t="s">
        <v>30</v>
      </c>
      <c r="B346">
        <v>2007</v>
      </c>
      <c r="C346">
        <v>244805.09375</v>
      </c>
      <c r="D346" s="8">
        <v>0.95101130008697499</v>
      </c>
      <c r="E346" s="8">
        <v>-1E-3</v>
      </c>
      <c r="F346">
        <v>2.3017708709794</v>
      </c>
      <c r="G346">
        <f t="shared" si="29"/>
        <v>2.420340190246836</v>
      </c>
      <c r="H346">
        <f t="shared" si="31"/>
        <v>3.4658110843970746E-2</v>
      </c>
      <c r="I346">
        <f t="shared" si="30"/>
        <v>1</v>
      </c>
      <c r="J346" t="str">
        <f t="shared" si="32"/>
        <v/>
      </c>
      <c r="K346">
        <v>1.6587223023176199E-2</v>
      </c>
      <c r="L346">
        <v>1.7508978955447702E-2</v>
      </c>
      <c r="M346">
        <v>-2.70874614939094E-2</v>
      </c>
      <c r="N346">
        <v>2.4233427830039999E-3</v>
      </c>
      <c r="O346" t="str">
        <f t="shared" si="33"/>
        <v/>
      </c>
    </row>
    <row r="347" spans="1:15" x14ac:dyDescent="0.35">
      <c r="A347" t="s">
        <v>30</v>
      </c>
      <c r="B347">
        <v>2008</v>
      </c>
      <c r="C347">
        <v>247394.5</v>
      </c>
      <c r="D347" s="8">
        <v>0.94362694025039695</v>
      </c>
      <c r="E347" s="8">
        <v>0</v>
      </c>
      <c r="F347">
        <v>2.2038588562489099</v>
      </c>
      <c r="G347">
        <f t="shared" si="29"/>
        <v>2.3355192208311717</v>
      </c>
      <c r="H347">
        <f t="shared" si="31"/>
        <v>-3.5045060920553484E-2</v>
      </c>
      <c r="I347">
        <f t="shared" si="30"/>
        <v>0</v>
      </c>
      <c r="J347" t="str">
        <f t="shared" si="32"/>
        <v/>
      </c>
      <c r="K347">
        <v>-2.70874614939094E-2</v>
      </c>
      <c r="L347">
        <v>2.4233427830039999E-3</v>
      </c>
      <c r="M347">
        <v>-4.9524993360042499E-2</v>
      </c>
      <c r="N347">
        <v>-2.2958291694521901E-2</v>
      </c>
      <c r="O347" t="str">
        <f t="shared" si="33"/>
        <v/>
      </c>
    </row>
    <row r="348" spans="1:15" x14ac:dyDescent="0.35">
      <c r="A348" t="s">
        <v>30</v>
      </c>
      <c r="B348">
        <v>2009</v>
      </c>
      <c r="C348">
        <v>249558.203125</v>
      </c>
      <c r="D348" s="8">
        <v>0.93235135078430198</v>
      </c>
      <c r="E348" s="8">
        <v>1.4E-2</v>
      </c>
      <c r="F348">
        <v>2.4110645886640301</v>
      </c>
      <c r="G348">
        <f t="shared" si="29"/>
        <v>2.5860042854400564</v>
      </c>
      <c r="H348">
        <f t="shared" si="31"/>
        <v>0.10725026896577683</v>
      </c>
      <c r="I348">
        <f t="shared" si="30"/>
        <v>1</v>
      </c>
      <c r="J348" t="str">
        <f t="shared" si="32"/>
        <v/>
      </c>
      <c r="K348">
        <v>-4.9524993360042499E-2</v>
      </c>
      <c r="L348">
        <v>-2.2958291694521901E-2</v>
      </c>
      <c r="M348">
        <v>2.0954150855540901E-3</v>
      </c>
      <c r="N348">
        <v>1.15555238444357E-2</v>
      </c>
      <c r="O348" t="str">
        <f t="shared" si="33"/>
        <v/>
      </c>
    </row>
    <row r="349" spans="1:15" x14ac:dyDescent="0.35">
      <c r="A349" t="s">
        <v>30</v>
      </c>
      <c r="B349">
        <v>2010</v>
      </c>
      <c r="C349">
        <v>252514.09375</v>
      </c>
      <c r="D349" s="8">
        <v>0.93790382146835305</v>
      </c>
      <c r="E349" s="8">
        <v>0</v>
      </c>
      <c r="F349">
        <v>2.2876198293805499</v>
      </c>
      <c r="G349">
        <f t="shared" si="29"/>
        <v>2.4390772028192864</v>
      </c>
      <c r="H349">
        <f t="shared" si="31"/>
        <v>-5.6816256433916856E-2</v>
      </c>
      <c r="I349">
        <f t="shared" si="30"/>
        <v>0</v>
      </c>
      <c r="J349">
        <f t="shared" si="32"/>
        <v>3</v>
      </c>
      <c r="K349">
        <v>2.0954150855540901E-3</v>
      </c>
      <c r="L349">
        <v>1.15555238444357E-2</v>
      </c>
      <c r="M349">
        <v>-2.13093938007951E-2</v>
      </c>
      <c r="N349">
        <v>-2.5619287043799401E-5</v>
      </c>
      <c r="O349">
        <f t="shared" si="33"/>
        <v>1.2614419776946282E-2</v>
      </c>
    </row>
    <row r="350" spans="1:15" x14ac:dyDescent="0.35">
      <c r="A350" t="s">
        <v>30</v>
      </c>
      <c r="B350">
        <v>2011</v>
      </c>
      <c r="C350">
        <v>254777.5</v>
      </c>
      <c r="D350" s="8">
        <v>0.92752343416214</v>
      </c>
      <c r="E350" s="8">
        <v>0</v>
      </c>
      <c r="F350">
        <v>2.37219272593055</v>
      </c>
      <c r="G350">
        <f t="shared" si="29"/>
        <v>2.5575555706292463</v>
      </c>
      <c r="H350">
        <f t="shared" si="31"/>
        <v>4.8575078998324805E-2</v>
      </c>
      <c r="I350">
        <f t="shared" si="30"/>
        <v>1</v>
      </c>
      <c r="J350">
        <f t="shared" si="32"/>
        <v>3</v>
      </c>
      <c r="K350">
        <v>-2.13093938007951E-2</v>
      </c>
      <c r="L350">
        <v>-2.5619287043799401E-5</v>
      </c>
      <c r="M350">
        <v>-4.1089749932288998E-3</v>
      </c>
      <c r="N350">
        <v>1.3292310759425001E-3</v>
      </c>
      <c r="O350">
        <f t="shared" si="33"/>
        <v>1.7968322895467258E-2</v>
      </c>
    </row>
    <row r="351" spans="1:15" x14ac:dyDescent="0.35">
      <c r="A351" t="s">
        <v>30</v>
      </c>
      <c r="B351">
        <v>2012</v>
      </c>
      <c r="C351">
        <v>254671.203125</v>
      </c>
      <c r="D351" s="8">
        <v>0.92972034215927102</v>
      </c>
      <c r="E351" s="8">
        <v>0</v>
      </c>
      <c r="F351">
        <v>2.2020979020979001</v>
      </c>
      <c r="G351">
        <f t="shared" si="29"/>
        <v>2.3685594498056677</v>
      </c>
      <c r="H351">
        <f t="shared" si="31"/>
        <v>-7.3897170796206391E-2</v>
      </c>
      <c r="I351">
        <f t="shared" si="30"/>
        <v>0</v>
      </c>
      <c r="J351">
        <f t="shared" si="32"/>
        <v>2</v>
      </c>
      <c r="K351">
        <v>-4.1089749932288998E-3</v>
      </c>
      <c r="L351">
        <v>1.2436322867869999E-3</v>
      </c>
      <c r="M351">
        <v>4.2489642649888998E-3</v>
      </c>
      <c r="N351">
        <v>-1.8778070807457001E-3</v>
      </c>
      <c r="O351">
        <f t="shared" si="33"/>
        <v>2.3986750841140742E-2</v>
      </c>
    </row>
    <row r="352" spans="1:15" x14ac:dyDescent="0.35">
      <c r="A352" t="s">
        <v>30</v>
      </c>
      <c r="B352">
        <v>2013</v>
      </c>
      <c r="C352">
        <v>253770.09375</v>
      </c>
      <c r="D352" s="8">
        <v>0.94228655099868797</v>
      </c>
      <c r="E352" s="8">
        <v>0</v>
      </c>
      <c r="F352">
        <v>2.4007100066563098</v>
      </c>
      <c r="G352">
        <f t="shared" si="29"/>
        <v>2.547749412439245</v>
      </c>
      <c r="H352">
        <f t="shared" si="31"/>
        <v>7.5653563455322814E-2</v>
      </c>
      <c r="I352">
        <f t="shared" si="30"/>
        <v>1</v>
      </c>
      <c r="J352">
        <f t="shared" si="32"/>
        <v>3</v>
      </c>
      <c r="K352">
        <v>4.2489642649888998E-3</v>
      </c>
      <c r="L352">
        <v>-1.8778070807457001E-3</v>
      </c>
      <c r="M352">
        <v>1.7649872988462399E-2</v>
      </c>
      <c r="N352">
        <v>1.5641849488019801E-2</v>
      </c>
      <c r="O352">
        <f t="shared" si="33"/>
        <v>3.0482954531908042E-2</v>
      </c>
    </row>
    <row r="353" spans="1:15" x14ac:dyDescent="0.35">
      <c r="A353" t="s">
        <v>30</v>
      </c>
      <c r="B353">
        <v>2014</v>
      </c>
      <c r="C353">
        <v>256327.09375</v>
      </c>
      <c r="D353" s="8">
        <v>0.94155663251876798</v>
      </c>
      <c r="E353" s="8">
        <v>3.1E-2</v>
      </c>
      <c r="F353">
        <v>2.2761495105309999</v>
      </c>
      <c r="G353">
        <f t="shared" si="29"/>
        <v>2.417432400685287</v>
      </c>
      <c r="H353">
        <f t="shared" si="31"/>
        <v>-5.1149854502052894E-2</v>
      </c>
      <c r="I353">
        <f t="shared" si="30"/>
        <v>0</v>
      </c>
      <c r="J353">
        <f t="shared" si="32"/>
        <v>2</v>
      </c>
      <c r="K353">
        <v>1.7649872988462399E-2</v>
      </c>
      <c r="L353">
        <v>1.5641849488019801E-2</v>
      </c>
      <c r="M353">
        <v>7.8267896711826296E-2</v>
      </c>
      <c r="N353">
        <v>4.8004444688558599E-2</v>
      </c>
      <c r="O353">
        <f t="shared" si="33"/>
        <v>2.9059531539678617E-2</v>
      </c>
    </row>
    <row r="354" spans="1:15" x14ac:dyDescent="0.35">
      <c r="A354" t="s">
        <v>30</v>
      </c>
      <c r="B354">
        <v>2015</v>
      </c>
      <c r="C354">
        <v>262004.296875</v>
      </c>
      <c r="D354" s="8">
        <v>0.95322978496551503</v>
      </c>
      <c r="E354" s="8">
        <v>1E-3</v>
      </c>
      <c r="F354">
        <v>2.3135876418663299</v>
      </c>
      <c r="G354">
        <f t="shared" si="29"/>
        <v>2.4271038089205623</v>
      </c>
      <c r="H354">
        <f t="shared" si="31"/>
        <v>4.0006943865456002E-3</v>
      </c>
      <c r="I354">
        <f t="shared" si="30"/>
        <v>1</v>
      </c>
      <c r="J354">
        <f t="shared" si="32"/>
        <v>3</v>
      </c>
      <c r="K354">
        <v>7.8267896711826296E-2</v>
      </c>
      <c r="L354">
        <v>4.8004444688558599E-2</v>
      </c>
      <c r="M354">
        <v>3.9897453308105499E-2</v>
      </c>
      <c r="N354">
        <v>2.67438963055611E-2</v>
      </c>
      <c r="O354">
        <f t="shared" si="33"/>
        <v>1.8876904249191341E-2</v>
      </c>
    </row>
    <row r="355" spans="1:15" x14ac:dyDescent="0.35">
      <c r="A355" t="s">
        <v>30</v>
      </c>
      <c r="B355">
        <v>2016</v>
      </c>
      <c r="C355">
        <v>266072</v>
      </c>
      <c r="D355" s="8">
        <v>0.94378054141998302</v>
      </c>
      <c r="E355" s="8">
        <v>8.9999999999999993E-3</v>
      </c>
      <c r="F355">
        <v>2.4512971835923798</v>
      </c>
      <c r="G355">
        <f t="shared" si="29"/>
        <v>2.597316935464927</v>
      </c>
      <c r="H355">
        <f t="shared" si="31"/>
        <v>7.0130138611609549E-2</v>
      </c>
      <c r="I355">
        <f t="shared" si="30"/>
        <v>1</v>
      </c>
      <c r="J355">
        <f t="shared" si="32"/>
        <v>3</v>
      </c>
      <c r="K355">
        <v>3.9897453308105499E-2</v>
      </c>
      <c r="L355">
        <v>2.67438963055611E-2</v>
      </c>
      <c r="M355">
        <v>3.4210944265127198E-2</v>
      </c>
      <c r="N355">
        <v>3.14213708043099E-2</v>
      </c>
      <c r="O355">
        <f t="shared" si="33"/>
        <v>2.1579395234584943E-2</v>
      </c>
    </row>
    <row r="356" spans="1:15" x14ac:dyDescent="0.35">
      <c r="A356" t="s">
        <v>30</v>
      </c>
      <c r="B356">
        <v>2017</v>
      </c>
      <c r="C356">
        <v>269494.8125</v>
      </c>
      <c r="D356" s="8">
        <v>0.94569230079650901</v>
      </c>
      <c r="E356" s="8">
        <v>2.7E-2</v>
      </c>
      <c r="F356">
        <v>2.2651640987456299</v>
      </c>
      <c r="G356">
        <f t="shared" si="29"/>
        <v>2.3952443060367479</v>
      </c>
      <c r="H356">
        <f t="shared" si="31"/>
        <v>-7.7800528179287287E-2</v>
      </c>
      <c r="I356">
        <f t="shared" si="30"/>
        <v>0</v>
      </c>
      <c r="J356">
        <f t="shared" si="32"/>
        <v>3</v>
      </c>
      <c r="K356">
        <v>3.4210944265127198E-2</v>
      </c>
      <c r="L356">
        <v>3.14213708043099E-2</v>
      </c>
      <c r="M356">
        <v>3.9738234341144603E-2</v>
      </c>
      <c r="N356">
        <v>3.06032113730908E-2</v>
      </c>
      <c r="O356">
        <f t="shared" si="33"/>
        <v>1.9564349204303222E-3</v>
      </c>
    </row>
    <row r="357" spans="1:15" x14ac:dyDescent="0.35">
      <c r="A357" t="s">
        <v>30</v>
      </c>
      <c r="B357">
        <v>2018</v>
      </c>
      <c r="C357">
        <v>272658.5</v>
      </c>
      <c r="D357" s="8">
        <v>0.94227105379104603</v>
      </c>
      <c r="E357" s="8">
        <v>1.7999999999999999E-2</v>
      </c>
      <c r="F357">
        <v>2.2386573337575499</v>
      </c>
      <c r="G357">
        <f t="shared" si="29"/>
        <v>2.3758103623694513</v>
      </c>
      <c r="H357">
        <f t="shared" si="31"/>
        <v>-8.1135538526558859E-3</v>
      </c>
      <c r="I357">
        <f t="shared" si="30"/>
        <v>0</v>
      </c>
      <c r="J357">
        <f t="shared" si="32"/>
        <v>2</v>
      </c>
      <c r="K357">
        <v>3.9738234341144603E-2</v>
      </c>
      <c r="L357">
        <v>3.06032113730908E-2</v>
      </c>
      <c r="M357">
        <v>2.6325929135084199E-2</v>
      </c>
      <c r="N357">
        <v>8.5247345268726904E-3</v>
      </c>
      <c r="O357">
        <f t="shared" si="33"/>
        <v>-6.7973284050820999E-3</v>
      </c>
    </row>
    <row r="358" spans="1:15" x14ac:dyDescent="0.35">
      <c r="A358" t="s">
        <v>30</v>
      </c>
      <c r="B358">
        <v>2019</v>
      </c>
      <c r="C358">
        <v>275165.1875</v>
      </c>
      <c r="D358" s="8">
        <v>0.93922823667526201</v>
      </c>
      <c r="E358" s="8">
        <v>1.2E-2</v>
      </c>
      <c r="F358">
        <v>2.4492119632663099</v>
      </c>
      <c r="G358">
        <f t="shared" si="29"/>
        <v>2.6076856163696496</v>
      </c>
      <c r="H358">
        <f t="shared" si="31"/>
        <v>9.7598384817609629E-2</v>
      </c>
      <c r="I358">
        <f t="shared" si="30"/>
        <v>1</v>
      </c>
      <c r="J358" t="str">
        <f t="shared" si="32"/>
        <v/>
      </c>
      <c r="K358">
        <v>2.6325929135084199E-2</v>
      </c>
      <c r="L358">
        <v>8.5247345268726904E-3</v>
      </c>
      <c r="M358">
        <v>1.5940498664975201E-2</v>
      </c>
      <c r="N358">
        <v>-2.9086917638777902E-3</v>
      </c>
      <c r="O358">
        <f t="shared" si="33"/>
        <v>-5.406742542981997E-3</v>
      </c>
    </row>
    <row r="359" spans="1:15" x14ac:dyDescent="0.35">
      <c r="A359" t="s">
        <v>30</v>
      </c>
      <c r="B359">
        <v>2020</v>
      </c>
      <c r="C359">
        <v>276022.625</v>
      </c>
      <c r="D359" s="8">
        <v>0.94198602437973</v>
      </c>
      <c r="E359" s="8">
        <v>3.5000000000000003E-2</v>
      </c>
      <c r="F359">
        <v>2.25328433922996</v>
      </c>
      <c r="G359">
        <f t="shared" si="29"/>
        <v>2.3920570803730143</v>
      </c>
      <c r="H359">
        <f t="shared" si="31"/>
        <v>-8.2689621265322422E-2</v>
      </c>
      <c r="I359">
        <f t="shared" si="30"/>
        <v>0</v>
      </c>
      <c r="J359" t="str">
        <f t="shared" si="32"/>
        <v/>
      </c>
      <c r="K359">
        <v>1.5940498664975201E-2</v>
      </c>
      <c r="L359">
        <v>-2.9086917638777902E-3</v>
      </c>
      <c r="M359">
        <v>8.3845963954925995E-2</v>
      </c>
      <c r="N359">
        <v>4.0256351232529103E-2</v>
      </c>
      <c r="O359">
        <f t="shared" si="33"/>
        <v>-4.3696886859833388E-3</v>
      </c>
    </row>
    <row r="360" spans="1:15" x14ac:dyDescent="0.35">
      <c r="A360" t="s">
        <v>30</v>
      </c>
      <c r="B360">
        <v>2021</v>
      </c>
      <c r="C360">
        <v>276879.3125</v>
      </c>
      <c r="D360" s="8">
        <v>0.94005882740020796</v>
      </c>
      <c r="E360" s="8">
        <v>4.3999999999999997E-2</v>
      </c>
      <c r="F360">
        <v>2.2432487965245902</v>
      </c>
      <c r="G360">
        <f t="shared" si="29"/>
        <v>2.3862855505845695</v>
      </c>
      <c r="H360">
        <f t="shared" si="31"/>
        <v>-2.4127893250543986E-3</v>
      </c>
      <c r="I360">
        <f t="shared" si="30"/>
        <v>0</v>
      </c>
      <c r="J360" t="str">
        <f t="shared" si="32"/>
        <v/>
      </c>
      <c r="K360">
        <v>8.3845963954925995E-2</v>
      </c>
      <c r="L360">
        <v>4.0256351232529103E-2</v>
      </c>
      <c r="M360">
        <v>-9.8796937540173504E-2</v>
      </c>
      <c r="N360">
        <v>-6.6693430766463196E-2</v>
      </c>
      <c r="O360">
        <f t="shared" si="33"/>
        <v>-1.3488485198467969E-2</v>
      </c>
    </row>
    <row r="361" spans="1:15" x14ac:dyDescent="0.35">
      <c r="A361" t="s">
        <v>30</v>
      </c>
      <c r="B361">
        <v>2022</v>
      </c>
      <c r="C361">
        <v>277769.1875</v>
      </c>
      <c r="D361" s="8">
        <v>0.88603454828262296</v>
      </c>
      <c r="E361" s="8">
        <v>6.3E-2</v>
      </c>
      <c r="F361">
        <v>2.3526696606786399</v>
      </c>
      <c r="G361">
        <f t="shared" si="29"/>
        <v>2.6552798254184968</v>
      </c>
      <c r="H361">
        <f t="shared" si="31"/>
        <v>0.11272509895893723</v>
      </c>
      <c r="I361">
        <f t="shared" si="30"/>
        <v>1</v>
      </c>
      <c r="J361" t="str">
        <f t="shared" si="32"/>
        <v/>
      </c>
      <c r="K361">
        <v>-9.8796937540173504E-2</v>
      </c>
      <c r="L361">
        <v>-6.6214727237820598E-2</v>
      </c>
      <c r="M361">
        <v>-3.2724533028900597E-2</v>
      </c>
      <c r="N361">
        <v>-1.31656052544713E-2</v>
      </c>
      <c r="O361">
        <f t="shared" si="33"/>
        <v>-1.9745917990803882E-3</v>
      </c>
    </row>
    <row r="362" spans="1:15" x14ac:dyDescent="0.35">
      <c r="A362" t="s">
        <v>31</v>
      </c>
      <c r="B362">
        <v>2006</v>
      </c>
      <c r="C362">
        <v>381681.78125</v>
      </c>
      <c r="D362" s="8">
        <v>0.93242102861404397</v>
      </c>
      <c r="E362" s="8">
        <v>6.7000000000000004E-2</v>
      </c>
      <c r="F362">
        <v>3.0578114440189199</v>
      </c>
      <c r="G362">
        <f t="shared" si="29"/>
        <v>3.2794320914920467</v>
      </c>
      <c r="H362">
        <f t="shared" si="31"/>
        <v>0.23506082488883351</v>
      </c>
      <c r="I362">
        <f t="shared" si="30"/>
        <v>1</v>
      </c>
      <c r="J362" t="str">
        <f t="shared" si="32"/>
        <v/>
      </c>
      <c r="K362">
        <v>6.1831303238868898E-3</v>
      </c>
      <c r="L362">
        <v>-1.7990916967389799E-4</v>
      </c>
      <c r="M362">
        <v>1.45559079051017E-2</v>
      </c>
      <c r="N362">
        <v>1.5477663837373199E-2</v>
      </c>
      <c r="O362" t="str">
        <f t="shared" si="33"/>
        <v/>
      </c>
    </row>
    <row r="363" spans="1:15" x14ac:dyDescent="0.35">
      <c r="A363" t="s">
        <v>31</v>
      </c>
      <c r="B363">
        <v>2007</v>
      </c>
      <c r="C363">
        <v>387976.90625</v>
      </c>
      <c r="D363" s="8">
        <v>0.93833279609680198</v>
      </c>
      <c r="E363" s="8">
        <v>8.9999999999999993E-3</v>
      </c>
      <c r="F363">
        <v>3.15970961887477</v>
      </c>
      <c r="G363">
        <f t="shared" si="29"/>
        <v>3.367365642571873</v>
      </c>
      <c r="H363">
        <f t="shared" si="31"/>
        <v>2.6813652067367189E-2</v>
      </c>
      <c r="I363">
        <f t="shared" si="30"/>
        <v>1</v>
      </c>
      <c r="J363" t="str">
        <f t="shared" si="32"/>
        <v/>
      </c>
      <c r="K363">
        <v>1.45559079051017E-2</v>
      </c>
      <c r="L363">
        <v>1.5477663837373199E-2</v>
      </c>
      <c r="M363">
        <v>-2.72342267557978E-2</v>
      </c>
      <c r="N363">
        <v>2.2765775211154998E-3</v>
      </c>
      <c r="O363" t="str">
        <f t="shared" si="33"/>
        <v/>
      </c>
    </row>
    <row r="364" spans="1:15" x14ac:dyDescent="0.35">
      <c r="A364" t="s">
        <v>31</v>
      </c>
      <c r="B364">
        <v>2008</v>
      </c>
      <c r="C364">
        <v>394842.5</v>
      </c>
      <c r="D364" s="8">
        <v>0.932958483695984</v>
      </c>
      <c r="E364" s="8">
        <v>6.0000000000000001E-3</v>
      </c>
      <c r="F364">
        <v>2.8606563756647998</v>
      </c>
      <c r="G364">
        <f t="shared" si="29"/>
        <v>3.0662204435208071</v>
      </c>
      <c r="H364">
        <f t="shared" si="31"/>
        <v>-8.9430501767863269E-2</v>
      </c>
      <c r="I364">
        <f t="shared" si="30"/>
        <v>0</v>
      </c>
      <c r="J364" t="str">
        <f t="shared" si="32"/>
        <v/>
      </c>
      <c r="K364">
        <v>-2.72342267557978E-2</v>
      </c>
      <c r="L364">
        <v>2.2765775211154998E-3</v>
      </c>
      <c r="M364">
        <v>-3.1904332995414703E-2</v>
      </c>
      <c r="N364">
        <v>-5.3376313298940502E-3</v>
      </c>
      <c r="O364" t="str">
        <f t="shared" si="33"/>
        <v/>
      </c>
    </row>
    <row r="365" spans="1:15" x14ac:dyDescent="0.35">
      <c r="A365" t="s">
        <v>31</v>
      </c>
      <c r="B365">
        <v>2009</v>
      </c>
      <c r="C365">
        <v>402136.40625</v>
      </c>
      <c r="D365" s="8">
        <v>0.91598016023635898</v>
      </c>
      <c r="E365" s="8">
        <v>2.5000000000000001E-2</v>
      </c>
      <c r="F365">
        <v>3.1498154042011399</v>
      </c>
      <c r="G365">
        <f t="shared" si="29"/>
        <v>3.4387375850895761</v>
      </c>
      <c r="H365">
        <f t="shared" si="31"/>
        <v>0.12149065875414489</v>
      </c>
      <c r="I365">
        <f t="shared" si="30"/>
        <v>1</v>
      </c>
      <c r="J365" t="str">
        <f t="shared" si="32"/>
        <v/>
      </c>
      <c r="K365">
        <v>-3.1904332995414703E-2</v>
      </c>
      <c r="L365">
        <v>-5.3376313298940502E-3</v>
      </c>
      <c r="M365">
        <v>-1.8584072528406902E-2</v>
      </c>
      <c r="N365">
        <v>-9.1239637695252895E-3</v>
      </c>
      <c r="O365" t="str">
        <f t="shared" si="33"/>
        <v/>
      </c>
    </row>
    <row r="366" spans="1:15" x14ac:dyDescent="0.35">
      <c r="A366" t="s">
        <v>31</v>
      </c>
      <c r="B366">
        <v>2010</v>
      </c>
      <c r="C366">
        <v>408849.6875</v>
      </c>
      <c r="D366" s="8">
        <v>0.91017132997512795</v>
      </c>
      <c r="E366" s="8">
        <v>2.5000000000000001E-2</v>
      </c>
      <c r="F366">
        <v>3.1950712113938202</v>
      </c>
      <c r="G366">
        <f t="shared" si="29"/>
        <v>3.5104063445737532</v>
      </c>
      <c r="H366">
        <f t="shared" si="31"/>
        <v>2.0841590179760727E-2</v>
      </c>
      <c r="I366">
        <f t="shared" si="30"/>
        <v>1</v>
      </c>
      <c r="J366">
        <f t="shared" si="32"/>
        <v>4</v>
      </c>
      <c r="K366">
        <v>-1.8584072528406902E-2</v>
      </c>
      <c r="L366">
        <v>-9.1239637695252895E-3</v>
      </c>
      <c r="M366">
        <v>-2.3250588558614199E-2</v>
      </c>
      <c r="N366">
        <v>-1.96681404486295E-3</v>
      </c>
      <c r="O366">
        <f t="shared" si="33"/>
        <v>-9.8527095746248697E-3</v>
      </c>
    </row>
    <row r="367" spans="1:15" x14ac:dyDescent="0.35">
      <c r="A367" t="s">
        <v>31</v>
      </c>
      <c r="B367">
        <v>2011</v>
      </c>
      <c r="C367">
        <v>413276.875</v>
      </c>
      <c r="D367" s="8">
        <v>0.91461706161499001</v>
      </c>
      <c r="E367" s="8">
        <v>1.7000000000000001E-2</v>
      </c>
      <c r="F367">
        <v>3.1827687700092899</v>
      </c>
      <c r="G367">
        <f t="shared" si="29"/>
        <v>3.4798921904969702</v>
      </c>
      <c r="H367">
        <f t="shared" si="31"/>
        <v>-8.6924848811166244E-3</v>
      </c>
      <c r="I367">
        <f t="shared" si="30"/>
        <v>0</v>
      </c>
      <c r="J367">
        <f t="shared" si="32"/>
        <v>3</v>
      </c>
      <c r="K367">
        <v>-2.3250588558614199E-2</v>
      </c>
      <c r="L367">
        <v>-1.96681404486295E-3</v>
      </c>
      <c r="M367">
        <v>-8.1882386505603994E-3</v>
      </c>
      <c r="N367">
        <v>-2.7500325813889998E-3</v>
      </c>
      <c r="O367">
        <f t="shared" si="33"/>
        <v>-1.3130288990214439E-2</v>
      </c>
    </row>
    <row r="368" spans="1:15" x14ac:dyDescent="0.35">
      <c r="A368" t="s">
        <v>31</v>
      </c>
      <c r="B368">
        <v>2012</v>
      </c>
      <c r="C368">
        <v>415324.40625</v>
      </c>
      <c r="D368" s="8">
        <v>0.91661334037780795</v>
      </c>
      <c r="E368" s="8">
        <v>7.0000000000000001E-3</v>
      </c>
      <c r="F368">
        <v>3.1004992354052301</v>
      </c>
      <c r="G368">
        <f t="shared" si="29"/>
        <v>3.3825595797321388</v>
      </c>
      <c r="H368">
        <f t="shared" si="31"/>
        <v>-2.7970007528000718E-2</v>
      </c>
      <c r="I368">
        <f t="shared" si="30"/>
        <v>0</v>
      </c>
      <c r="J368">
        <f t="shared" si="32"/>
        <v>2</v>
      </c>
      <c r="K368">
        <v>-8.1882386505603994E-3</v>
      </c>
      <c r="L368">
        <v>-2.83563137054449E-3</v>
      </c>
      <c r="M368">
        <v>-1.7266369983554E-3</v>
      </c>
      <c r="N368">
        <v>-7.8534083440900005E-3</v>
      </c>
      <c r="O368">
        <f t="shared" si="33"/>
        <v>-1.4185293624177536E-2</v>
      </c>
    </row>
    <row r="369" spans="1:15" x14ac:dyDescent="0.35">
      <c r="A369" t="s">
        <v>31</v>
      </c>
      <c r="B369">
        <v>2013</v>
      </c>
      <c r="C369">
        <v>416396.09375</v>
      </c>
      <c r="D369" s="8">
        <v>0.92324018478393599</v>
      </c>
      <c r="E369" s="8">
        <v>1E-3</v>
      </c>
      <c r="F369">
        <v>3.1040414563132699</v>
      </c>
      <c r="G369">
        <f t="shared" si="29"/>
        <v>3.362116930644329</v>
      </c>
      <c r="H369">
        <f t="shared" si="31"/>
        <v>-6.0435444242576963E-3</v>
      </c>
      <c r="I369">
        <f t="shared" si="30"/>
        <v>0</v>
      </c>
      <c r="J369">
        <f t="shared" si="32"/>
        <v>2</v>
      </c>
      <c r="K369">
        <v>-1.7266369983554E-3</v>
      </c>
      <c r="L369">
        <v>-7.8534083440900005E-3</v>
      </c>
      <c r="M369">
        <v>-1.3942522400990099E-2</v>
      </c>
      <c r="N369">
        <v>-1.5950545901432599E-2</v>
      </c>
      <c r="O369">
        <f t="shared" si="33"/>
        <v>-1.6303819464519559E-2</v>
      </c>
    </row>
    <row r="370" spans="1:15" x14ac:dyDescent="0.35">
      <c r="A370" t="s">
        <v>31</v>
      </c>
      <c r="B370">
        <v>2014</v>
      </c>
      <c r="C370">
        <v>417394.8125</v>
      </c>
      <c r="D370" s="8">
        <v>0.91770040988922097</v>
      </c>
      <c r="E370" s="8">
        <v>4.4999999999999998E-2</v>
      </c>
      <c r="F370">
        <v>3.13224572108175</v>
      </c>
      <c r="G370">
        <f t="shared" si="29"/>
        <v>3.4131462592022324</v>
      </c>
      <c r="H370">
        <f t="shared" si="31"/>
        <v>1.517773760120944E-2</v>
      </c>
      <c r="I370">
        <f t="shared" si="30"/>
        <v>1</v>
      </c>
      <c r="J370">
        <f t="shared" si="32"/>
        <v>2</v>
      </c>
      <c r="K370">
        <v>-1.3942522400990099E-2</v>
      </c>
      <c r="L370">
        <v>-1.5950545901432599E-2</v>
      </c>
      <c r="M370">
        <v>9.5207050219177896E-3</v>
      </c>
      <c r="N370">
        <v>-2.0742747001349801E-2</v>
      </c>
      <c r="O370">
        <f t="shared" si="33"/>
        <v>-1.4413138106465278E-2</v>
      </c>
    </row>
    <row r="371" spans="1:15" x14ac:dyDescent="0.35">
      <c r="A371" t="s">
        <v>31</v>
      </c>
      <c r="B371">
        <v>2015</v>
      </c>
      <c r="C371">
        <v>417783.125</v>
      </c>
      <c r="D371" s="8">
        <v>0.92078453302383401</v>
      </c>
      <c r="E371" s="8">
        <v>5.1999999999999998E-2</v>
      </c>
      <c r="F371">
        <v>3.00416290023312</v>
      </c>
      <c r="G371">
        <f t="shared" si="29"/>
        <v>3.2626122534525228</v>
      </c>
      <c r="H371">
        <f t="shared" si="31"/>
        <v>-4.4104176709056198E-2</v>
      </c>
      <c r="I371">
        <f t="shared" si="30"/>
        <v>0</v>
      </c>
      <c r="J371">
        <f t="shared" si="32"/>
        <v>1</v>
      </c>
      <c r="K371">
        <v>9.5207050219177896E-3</v>
      </c>
      <c r="L371">
        <v>-2.0742747001349801E-2</v>
      </c>
      <c r="M371">
        <v>-5.20115412026643E-3</v>
      </c>
      <c r="N371">
        <v>-1.8354711122810799E-2</v>
      </c>
      <c r="O371">
        <f t="shared" si="33"/>
        <v>-1.3634068705141496E-2</v>
      </c>
    </row>
    <row r="372" spans="1:15" x14ac:dyDescent="0.35">
      <c r="A372" t="s">
        <v>31</v>
      </c>
      <c r="B372">
        <v>2016</v>
      </c>
      <c r="C372">
        <v>419020.8125</v>
      </c>
      <c r="D372" s="8">
        <v>0.91704577207565297</v>
      </c>
      <c r="E372" s="8">
        <v>4.2000000000000003E-2</v>
      </c>
      <c r="F372">
        <v>2.97303816870618</v>
      </c>
      <c r="G372">
        <f t="shared" si="29"/>
        <v>3.2419735843467965</v>
      </c>
      <c r="H372">
        <f t="shared" si="31"/>
        <v>-6.3258111912889436E-3</v>
      </c>
      <c r="I372">
        <f t="shared" si="30"/>
        <v>0</v>
      </c>
      <c r="J372">
        <f t="shared" si="32"/>
        <v>1</v>
      </c>
      <c r="K372">
        <v>-5.20115412026643E-3</v>
      </c>
      <c r="L372">
        <v>-1.8354711122810799E-2</v>
      </c>
      <c r="M372">
        <v>-5.2354822903872E-3</v>
      </c>
      <c r="N372">
        <v>-8.0250557512044907E-3</v>
      </c>
      <c r="O372">
        <f t="shared" si="33"/>
        <v>-1.2055276334285698E-2</v>
      </c>
    </row>
    <row r="373" spans="1:15" x14ac:dyDescent="0.35">
      <c r="A373" t="s">
        <v>31</v>
      </c>
      <c r="B373">
        <v>2017</v>
      </c>
      <c r="C373">
        <v>419135.5</v>
      </c>
      <c r="D373" s="8">
        <v>0.90632820129394498</v>
      </c>
      <c r="E373" s="8">
        <v>1.2999999999999999E-2</v>
      </c>
      <c r="F373">
        <v>3.0790528928776002</v>
      </c>
      <c r="G373">
        <f t="shared" si="29"/>
        <v>3.3972824507520607</v>
      </c>
      <c r="H373">
        <f t="shared" si="31"/>
        <v>4.7905654492418126E-2</v>
      </c>
      <c r="I373">
        <f t="shared" si="30"/>
        <v>1</v>
      </c>
      <c r="J373">
        <f t="shared" si="32"/>
        <v>2</v>
      </c>
      <c r="K373">
        <v>-5.2354822903872E-3</v>
      </c>
      <c r="L373">
        <v>-8.0250557512044907E-3</v>
      </c>
      <c r="M373">
        <v>-9.3110145777464005E-3</v>
      </c>
      <c r="N373">
        <v>-1.8446037545800101E-2</v>
      </c>
      <c r="O373">
        <f t="shared" si="33"/>
        <v>-3.5591926425695003E-3</v>
      </c>
    </row>
    <row r="374" spans="1:15" x14ac:dyDescent="0.35">
      <c r="A374" t="s">
        <v>31</v>
      </c>
      <c r="B374">
        <v>2018</v>
      </c>
      <c r="C374">
        <v>419065.40625</v>
      </c>
      <c r="D374" s="8">
        <v>0.92833721637725797</v>
      </c>
      <c r="E374" s="8">
        <v>2.7E-2</v>
      </c>
      <c r="F374">
        <v>3.0887004025301898</v>
      </c>
      <c r="G374">
        <f t="shared" si="29"/>
        <v>3.3271319387404619</v>
      </c>
      <c r="H374">
        <f t="shared" si="31"/>
        <v>-2.0649007855107704E-2</v>
      </c>
      <c r="I374">
        <f t="shared" si="30"/>
        <v>0</v>
      </c>
      <c r="J374">
        <f t="shared" si="32"/>
        <v>2</v>
      </c>
      <c r="K374">
        <v>-9.3110145777464005E-3</v>
      </c>
      <c r="L374">
        <v>-1.8446037545800101E-2</v>
      </c>
      <c r="M374">
        <v>1.1304055497050301E-2</v>
      </c>
      <c r="N374">
        <v>-6.4971391111611999E-3</v>
      </c>
      <c r="O374">
        <f t="shared" si="33"/>
        <v>3.5833060741424809E-3</v>
      </c>
    </row>
    <row r="375" spans="1:15" x14ac:dyDescent="0.35">
      <c r="A375" t="s">
        <v>31</v>
      </c>
      <c r="B375">
        <v>2019</v>
      </c>
      <c r="C375">
        <v>420172.6875</v>
      </c>
      <c r="D375" s="8">
        <v>0.94107568264007602</v>
      </c>
      <c r="E375" s="8">
        <v>4.0000000000000001E-3</v>
      </c>
      <c r="F375">
        <v>3.0262715612560802</v>
      </c>
      <c r="G375">
        <f t="shared" si="29"/>
        <v>3.2157579003276706</v>
      </c>
      <c r="H375">
        <f t="shared" si="31"/>
        <v>-3.347448807664466E-2</v>
      </c>
      <c r="I375">
        <f t="shared" si="30"/>
        <v>0</v>
      </c>
      <c r="J375" t="str">
        <f t="shared" si="32"/>
        <v/>
      </c>
      <c r="K375">
        <v>1.1304055497050301E-2</v>
      </c>
      <c r="L375">
        <v>-6.4971391111611999E-3</v>
      </c>
      <c r="M375">
        <v>2.0017904341220901E-3</v>
      </c>
      <c r="N375">
        <v>-1.6847399994730901E-2</v>
      </c>
      <c r="O375">
        <f t="shared" si="33"/>
        <v>5.7739840820431997E-3</v>
      </c>
    </row>
    <row r="376" spans="1:15" x14ac:dyDescent="0.35">
      <c r="A376" t="s">
        <v>31</v>
      </c>
      <c r="B376">
        <v>2020</v>
      </c>
      <c r="C376">
        <v>421882</v>
      </c>
      <c r="D376" s="8">
        <v>0.95772707462310802</v>
      </c>
      <c r="E376" s="8">
        <v>8.0000000000000002E-3</v>
      </c>
      <c r="F376">
        <v>2.9086110418884901</v>
      </c>
      <c r="G376">
        <f t="shared" si="29"/>
        <v>3.0369936477290347</v>
      </c>
      <c r="H376">
        <f t="shared" si="31"/>
        <v>-5.5590084247455485E-2</v>
      </c>
      <c r="I376">
        <f t="shared" si="30"/>
        <v>0</v>
      </c>
      <c r="J376" t="str">
        <f t="shared" si="32"/>
        <v/>
      </c>
      <c r="K376">
        <v>2.0017904341220901E-3</v>
      </c>
      <c r="L376">
        <v>-1.6847399994730901E-2</v>
      </c>
      <c r="M376">
        <v>3.31288634538651E-2</v>
      </c>
      <c r="N376">
        <v>-1.0460749268531799E-2</v>
      </c>
      <c r="O376">
        <f t="shared" si="33"/>
        <v>8.9701321907341668E-3</v>
      </c>
    </row>
    <row r="377" spans="1:15" x14ac:dyDescent="0.35">
      <c r="A377" t="s">
        <v>31</v>
      </c>
      <c r="B377">
        <v>2021</v>
      </c>
      <c r="C377">
        <v>423464.5</v>
      </c>
      <c r="D377" s="8">
        <v>0.96240592002868697</v>
      </c>
      <c r="E377" s="8">
        <v>3.2000000000000001E-2</v>
      </c>
      <c r="F377">
        <v>2.8953267841541099</v>
      </c>
      <c r="G377">
        <f t="shared" si="29"/>
        <v>3.0084257836525023</v>
      </c>
      <c r="H377">
        <f t="shared" si="31"/>
        <v>-9.4066262199443695E-3</v>
      </c>
      <c r="I377">
        <f t="shared" si="30"/>
        <v>0</v>
      </c>
      <c r="J377" t="str">
        <f t="shared" si="32"/>
        <v/>
      </c>
      <c r="K377">
        <v>3.31288634538651E-2</v>
      </c>
      <c r="L377">
        <v>-1.0460749268531799E-2</v>
      </c>
      <c r="M377">
        <v>2.3518559336661998E-3</v>
      </c>
      <c r="N377">
        <v>3.4455362707376501E-2</v>
      </c>
      <c r="O377">
        <f t="shared" si="33"/>
        <v>1.1118191946297897E-2</v>
      </c>
    </row>
    <row r="378" spans="1:15" x14ac:dyDescent="0.35">
      <c r="A378" t="s">
        <v>31</v>
      </c>
      <c r="B378">
        <v>2022</v>
      </c>
      <c r="C378">
        <v>426414.09375</v>
      </c>
      <c r="D378" s="8">
        <v>0.95485424995422397</v>
      </c>
      <c r="E378" s="8">
        <v>5.0000000000000001E-3</v>
      </c>
      <c r="F378">
        <v>2.7191276536372802</v>
      </c>
      <c r="G378">
        <f t="shared" si="29"/>
        <v>2.8476886957016068</v>
      </c>
      <c r="H378">
        <f t="shared" si="31"/>
        <v>-5.3428969005758886E-2</v>
      </c>
      <c r="I378">
        <f t="shared" si="30"/>
        <v>0</v>
      </c>
      <c r="J378" t="str">
        <f t="shared" si="32"/>
        <v/>
      </c>
      <c r="K378">
        <v>2.3518559336661998E-3</v>
      </c>
      <c r="L378">
        <v>3.49340662360191E-2</v>
      </c>
      <c r="M378">
        <v>-2.2924717366695001E-3</v>
      </c>
      <c r="N378">
        <v>1.7266456037759802E-2</v>
      </c>
      <c r="O378">
        <f t="shared" si="33"/>
        <v>6.2599446158855977E-3</v>
      </c>
    </row>
    <row r="379" spans="1:15" x14ac:dyDescent="0.35">
      <c r="A379" t="s">
        <v>32</v>
      </c>
      <c r="B379">
        <v>2006</v>
      </c>
      <c r="C379">
        <v>1140639</v>
      </c>
      <c r="D379" s="8">
        <v>0.91067528724670399</v>
      </c>
      <c r="E379" s="8">
        <v>1E-3</v>
      </c>
      <c r="F379">
        <v>2.03323373456164</v>
      </c>
      <c r="G379">
        <f t="shared" si="29"/>
        <v>2.2326659820854813</v>
      </c>
      <c r="H379">
        <f t="shared" si="31"/>
        <v>-0.21597259368429589</v>
      </c>
      <c r="I379">
        <f t="shared" si="30"/>
        <v>0</v>
      </c>
      <c r="J379" t="str">
        <f t="shared" si="32"/>
        <v/>
      </c>
      <c r="K379">
        <v>-1.3912118673324999E-3</v>
      </c>
      <c r="L379">
        <v>-7.7542513608932903E-3</v>
      </c>
      <c r="M379">
        <v>3.5344949960708998E-3</v>
      </c>
      <c r="N379">
        <v>4.4562509283423996E-3</v>
      </c>
      <c r="O379" t="str">
        <f t="shared" si="33"/>
        <v/>
      </c>
    </row>
    <row r="380" spans="1:15" x14ac:dyDescent="0.35">
      <c r="A380" t="s">
        <v>32</v>
      </c>
      <c r="B380">
        <v>2007</v>
      </c>
      <c r="C380">
        <v>1137342</v>
      </c>
      <c r="D380" s="8">
        <v>0.91810971498489402</v>
      </c>
      <c r="E380" s="8">
        <v>-1E-3</v>
      </c>
      <c r="F380">
        <v>2.0446514657980401</v>
      </c>
      <c r="G380">
        <f t="shared" si="29"/>
        <v>2.2270230152522474</v>
      </c>
      <c r="H380">
        <f t="shared" si="31"/>
        <v>-2.5274568065765113E-3</v>
      </c>
      <c r="I380">
        <f t="shared" si="30"/>
        <v>0</v>
      </c>
      <c r="J380" t="str">
        <f t="shared" si="32"/>
        <v/>
      </c>
      <c r="K380">
        <v>3.5344949960708998E-3</v>
      </c>
      <c r="L380">
        <v>4.4562509283423996E-3</v>
      </c>
      <c r="M380">
        <v>-3.0377463728189402E-2</v>
      </c>
      <c r="N380">
        <v>-8.6665945127606305E-4</v>
      </c>
      <c r="O380" t="str">
        <f t="shared" si="33"/>
        <v/>
      </c>
    </row>
    <row r="381" spans="1:15" x14ac:dyDescent="0.35">
      <c r="A381" t="s">
        <v>32</v>
      </c>
      <c r="B381">
        <v>2008</v>
      </c>
      <c r="C381">
        <v>1136166</v>
      </c>
      <c r="D381" s="8">
        <v>0.92455798387527499</v>
      </c>
      <c r="E381" s="8">
        <v>0</v>
      </c>
      <c r="F381">
        <v>2.0194744606538899</v>
      </c>
      <c r="G381">
        <f t="shared" si="29"/>
        <v>2.1842593930012741</v>
      </c>
      <c r="H381">
        <f t="shared" si="31"/>
        <v>-1.9202146523900954E-2</v>
      </c>
      <c r="I381">
        <f t="shared" si="30"/>
        <v>0</v>
      </c>
      <c r="J381" t="str">
        <f t="shared" si="32"/>
        <v/>
      </c>
      <c r="K381">
        <v>-3.0377463728189402E-2</v>
      </c>
      <c r="L381">
        <v>-8.6665945127606305E-4</v>
      </c>
      <c r="M381">
        <v>-2.6287152156233801E-2</v>
      </c>
      <c r="N381">
        <v>2.79549509286849E-4</v>
      </c>
      <c r="O381" t="str">
        <f t="shared" si="33"/>
        <v/>
      </c>
    </row>
    <row r="382" spans="1:15" x14ac:dyDescent="0.35">
      <c r="A382" t="s">
        <v>32</v>
      </c>
      <c r="B382">
        <v>2009</v>
      </c>
      <c r="C382">
        <v>1135766</v>
      </c>
      <c r="D382" s="8">
        <v>0.91805016994476296</v>
      </c>
      <c r="E382" s="8">
        <v>3.0000000000000001E-3</v>
      </c>
      <c r="F382">
        <v>1.95074934108005</v>
      </c>
      <c r="G382">
        <f t="shared" si="29"/>
        <v>2.1248831544766471</v>
      </c>
      <c r="H382">
        <f t="shared" si="31"/>
        <v>-2.7183693802521058E-2</v>
      </c>
      <c r="I382">
        <f t="shared" si="30"/>
        <v>0</v>
      </c>
      <c r="J382" t="str">
        <f t="shared" si="32"/>
        <v/>
      </c>
      <c r="K382">
        <v>-2.6287152156233801E-2</v>
      </c>
      <c r="L382">
        <v>2.79549509286849E-4</v>
      </c>
      <c r="M382">
        <v>7.0401729643339902E-4</v>
      </c>
      <c r="N382">
        <v>1.0164126055315E-2</v>
      </c>
      <c r="O382" t="str">
        <f t="shared" si="33"/>
        <v/>
      </c>
    </row>
    <row r="383" spans="1:15" x14ac:dyDescent="0.35">
      <c r="A383" t="s">
        <v>32</v>
      </c>
      <c r="B383">
        <v>2010</v>
      </c>
      <c r="C383">
        <v>1137687</v>
      </c>
      <c r="D383" s="8">
        <v>0.92341363430023204</v>
      </c>
      <c r="E383" s="8">
        <v>1E-3</v>
      </c>
      <c r="F383">
        <v>2.0494926239661599</v>
      </c>
      <c r="G383">
        <f t="shared" si="29"/>
        <v>2.2194740773123596</v>
      </c>
      <c r="H383">
        <f t="shared" si="31"/>
        <v>4.4515823204881011E-2</v>
      </c>
      <c r="I383">
        <f t="shared" si="30"/>
        <v>1</v>
      </c>
      <c r="J383">
        <f t="shared" si="32"/>
        <v>1</v>
      </c>
      <c r="K383">
        <v>7.0401729643339902E-4</v>
      </c>
      <c r="L383">
        <v>1.0164126055315E-2</v>
      </c>
      <c r="M383">
        <v>-2.1399041049182398E-2</v>
      </c>
      <c r="N383">
        <v>-1.15266535431101E-4</v>
      </c>
      <c r="O383">
        <f t="shared" si="33"/>
        <v>-5.1778447814285382E-3</v>
      </c>
    </row>
    <row r="384" spans="1:15" x14ac:dyDescent="0.35">
      <c r="A384" t="s">
        <v>32</v>
      </c>
      <c r="B384">
        <v>2011</v>
      </c>
      <c r="C384">
        <v>1141333</v>
      </c>
      <c r="D384" s="8">
        <v>0.92796051502227805</v>
      </c>
      <c r="E384" s="8">
        <v>1.0999999999999999E-2</v>
      </c>
      <c r="F384">
        <v>2.00398561412978</v>
      </c>
      <c r="G384">
        <f t="shared" si="29"/>
        <v>2.1595591425370824</v>
      </c>
      <c r="H384">
        <f t="shared" si="31"/>
        <v>-2.6995104555503691E-2</v>
      </c>
      <c r="I384">
        <f t="shared" si="30"/>
        <v>0</v>
      </c>
      <c r="J384">
        <f t="shared" si="32"/>
        <v>1</v>
      </c>
      <c r="K384">
        <v>-2.1399041049182398E-2</v>
      </c>
      <c r="L384">
        <v>-1.15266535431101E-4</v>
      </c>
      <c r="M384">
        <v>-8.2489962726830998E-3</v>
      </c>
      <c r="N384">
        <v>-2.8107902035117002E-3</v>
      </c>
      <c r="O384">
        <f t="shared" si="33"/>
        <v>-7.6202619820832981E-3</v>
      </c>
    </row>
    <row r="385" spans="1:15" x14ac:dyDescent="0.35">
      <c r="A385" t="s">
        <v>32</v>
      </c>
      <c r="B385">
        <v>2012</v>
      </c>
      <c r="C385">
        <v>1144908</v>
      </c>
      <c r="D385" s="8">
        <v>0.93270748853683505</v>
      </c>
      <c r="E385" s="8">
        <v>1E-3</v>
      </c>
      <c r="F385">
        <v>2.0319546263232899</v>
      </c>
      <c r="G385">
        <f t="shared" si="29"/>
        <v>2.1785550682249539</v>
      </c>
      <c r="H385">
        <f t="shared" si="31"/>
        <v>8.7962053521510875E-3</v>
      </c>
      <c r="I385">
        <f t="shared" si="30"/>
        <v>1</v>
      </c>
      <c r="J385">
        <f t="shared" si="32"/>
        <v>2</v>
      </c>
      <c r="K385">
        <v>-8.2489962726830998E-3</v>
      </c>
      <c r="L385">
        <v>-2.8963889926671999E-3</v>
      </c>
      <c r="M385">
        <v>2.1609241515397901E-3</v>
      </c>
      <c r="N385">
        <v>-3.9658471941947998E-3</v>
      </c>
      <c r="O385">
        <f t="shared" si="33"/>
        <v>-7.2657575830816961E-3</v>
      </c>
    </row>
    <row r="386" spans="1:15" x14ac:dyDescent="0.35">
      <c r="A386" t="s">
        <v>32</v>
      </c>
      <c r="B386">
        <v>2013</v>
      </c>
      <c r="C386">
        <v>1149094</v>
      </c>
      <c r="D386" s="8">
        <v>0.93025881052017201</v>
      </c>
      <c r="E386" s="8">
        <v>7.0000000000000001E-3</v>
      </c>
      <c r="F386">
        <v>2.04674713202047</v>
      </c>
      <c r="G386">
        <f t="shared" si="29"/>
        <v>2.2001910746494215</v>
      </c>
      <c r="H386">
        <f t="shared" si="31"/>
        <v>9.931356218640941E-3</v>
      </c>
      <c r="I386">
        <f t="shared" si="30"/>
        <v>1</v>
      </c>
      <c r="J386">
        <f t="shared" si="32"/>
        <v>3</v>
      </c>
      <c r="K386">
        <v>2.1609241515397901E-3</v>
      </c>
      <c r="L386">
        <v>-3.9658471941947998E-3</v>
      </c>
      <c r="M386">
        <v>-8.8562799468636499E-3</v>
      </c>
      <c r="N386">
        <v>-1.0864303447306101E-2</v>
      </c>
      <c r="O386">
        <f t="shared" si="33"/>
        <v>-8.4308633580803538E-3</v>
      </c>
    </row>
    <row r="387" spans="1:15" x14ac:dyDescent="0.35">
      <c r="A387" t="s">
        <v>32</v>
      </c>
      <c r="B387">
        <v>2014</v>
      </c>
      <c r="C387">
        <v>1152803</v>
      </c>
      <c r="D387" s="8">
        <v>0.93061739206314098</v>
      </c>
      <c r="E387" s="8">
        <v>8.9999999999999993E-3</v>
      </c>
      <c r="F387">
        <v>2.1030516431924799</v>
      </c>
      <c r="G387">
        <f t="shared" ref="G387:G450" si="34">F387/D387</f>
        <v>2.2598456262783784</v>
      </c>
      <c r="H387">
        <f t="shared" si="31"/>
        <v>2.7113350434103678E-2</v>
      </c>
      <c r="I387">
        <f t="shared" ref="I387:I450" si="35">IF(H387&gt;0,1,0)</f>
        <v>1</v>
      </c>
      <c r="J387">
        <f t="shared" si="32"/>
        <v>4</v>
      </c>
      <c r="K387">
        <v>-8.8562799468636499E-3</v>
      </c>
      <c r="L387">
        <v>-1.0864303447306101E-2</v>
      </c>
      <c r="M387">
        <v>2.21304354965687E-2</v>
      </c>
      <c r="N387">
        <v>-8.1330165266989898E-3</v>
      </c>
      <c r="O387">
        <f t="shared" si="33"/>
        <v>-9.2256706207990338E-3</v>
      </c>
    </row>
    <row r="388" spans="1:15" x14ac:dyDescent="0.35">
      <c r="A388" t="s">
        <v>32</v>
      </c>
      <c r="B388">
        <v>2015</v>
      </c>
      <c r="C388">
        <v>1154536</v>
      </c>
      <c r="D388" s="8">
        <v>0.933310866355896</v>
      </c>
      <c r="E388" s="8">
        <v>1.6E-2</v>
      </c>
      <c r="F388">
        <v>2.0343026495459502</v>
      </c>
      <c r="G388">
        <f t="shared" si="34"/>
        <v>2.1796624499711088</v>
      </c>
      <c r="H388">
        <f t="shared" ref="H388:H451" si="36">+G388/G387-1</f>
        <v>-3.5481705199181701E-2</v>
      </c>
      <c r="I388">
        <f t="shared" si="35"/>
        <v>0</v>
      </c>
      <c r="J388">
        <f t="shared" si="32"/>
        <v>3</v>
      </c>
      <c r="K388">
        <v>2.21304354965687E-2</v>
      </c>
      <c r="L388">
        <v>-8.1330165266989898E-3</v>
      </c>
      <c r="M388">
        <v>8.2620446383949999E-4</v>
      </c>
      <c r="N388">
        <v>-1.23273525387049E-2</v>
      </c>
      <c r="O388">
        <f t="shared" si="33"/>
        <v>-7.5086586177348967E-3</v>
      </c>
    </row>
    <row r="389" spans="1:15" x14ac:dyDescent="0.35">
      <c r="A389" t="s">
        <v>32</v>
      </c>
      <c r="B389">
        <v>2016</v>
      </c>
      <c r="C389">
        <v>1156519</v>
      </c>
      <c r="D389" s="8">
        <v>0.93475860357284501</v>
      </c>
      <c r="E389" s="8">
        <v>2.5000000000000001E-2</v>
      </c>
      <c r="F389">
        <v>2.0027421901042102</v>
      </c>
      <c r="G389">
        <f t="shared" si="34"/>
        <v>2.1425234091981675</v>
      </c>
      <c r="H389">
        <f t="shared" si="36"/>
        <v>-1.7038895528724396E-2</v>
      </c>
      <c r="I389">
        <f t="shared" si="35"/>
        <v>0</v>
      </c>
      <c r="J389">
        <f t="shared" si="32"/>
        <v>3</v>
      </c>
      <c r="K389">
        <v>8.2620446383949999E-4</v>
      </c>
      <c r="L389">
        <v>-1.23273525387049E-2</v>
      </c>
      <c r="M389">
        <v>1.75130525231359E-3</v>
      </c>
      <c r="N389">
        <v>-1.03826820850369E-3</v>
      </c>
      <c r="O389">
        <f t="shared" si="33"/>
        <v>-1.4104502275586118E-2</v>
      </c>
    </row>
    <row r="390" spans="1:15" x14ac:dyDescent="0.35">
      <c r="A390" t="s">
        <v>32</v>
      </c>
      <c r="B390">
        <v>2017</v>
      </c>
      <c r="C390">
        <v>1160267</v>
      </c>
      <c r="D390" s="8">
        <v>0.93752056360244795</v>
      </c>
      <c r="E390" s="8">
        <v>2.5000000000000001E-2</v>
      </c>
      <c r="F390">
        <v>2.0320220246379299</v>
      </c>
      <c r="G390">
        <f t="shared" si="34"/>
        <v>2.1674426178235819</v>
      </c>
      <c r="H390">
        <f t="shared" si="36"/>
        <v>1.1630775429772422E-2</v>
      </c>
      <c r="I390">
        <f t="shared" si="35"/>
        <v>1</v>
      </c>
      <c r="J390">
        <f t="shared" si="32"/>
        <v>3</v>
      </c>
      <c r="K390">
        <v>1.75130525231359E-3</v>
      </c>
      <c r="L390">
        <v>-1.03826820850369E-3</v>
      </c>
      <c r="M390">
        <v>-6.5635310113429997E-4</v>
      </c>
      <c r="N390">
        <v>-9.7913760691880902E-3</v>
      </c>
      <c r="O390">
        <f t="shared" si="33"/>
        <v>-1.4260990545153599E-2</v>
      </c>
    </row>
    <row r="391" spans="1:15" x14ac:dyDescent="0.35">
      <c r="A391" t="s">
        <v>32</v>
      </c>
      <c r="B391">
        <v>2018</v>
      </c>
      <c r="C391">
        <v>1163725</v>
      </c>
      <c r="D391" s="8">
        <v>0.95159256458282504</v>
      </c>
      <c r="E391" s="8">
        <v>1.6E-2</v>
      </c>
      <c r="F391">
        <v>1.99234041536218</v>
      </c>
      <c r="G391">
        <f t="shared" si="34"/>
        <v>2.0936906082653297</v>
      </c>
      <c r="H391">
        <f t="shared" si="36"/>
        <v>-3.4027202820395619E-2</v>
      </c>
      <c r="I391">
        <f t="shared" si="35"/>
        <v>0</v>
      </c>
      <c r="J391">
        <f t="shared" ref="J391:J454" si="37">IF(AND(B391&gt;=2010,B391&lt;=2018),SUM(I387:I391),"")</f>
        <v>2</v>
      </c>
      <c r="K391">
        <v>-6.5635310113429997E-4</v>
      </c>
      <c r="L391">
        <v>-9.7913760691880902E-3</v>
      </c>
      <c r="M391">
        <v>2.9628548473120001E-3</v>
      </c>
      <c r="N391">
        <v>-1.48383397608995E-2</v>
      </c>
      <c r="O391">
        <f t="shared" ref="O391:O454" si="38">IF(B391&gt;=2010,AVERAGE(N391:N395),"")</f>
        <v>-9.3622855842113405E-3</v>
      </c>
    </row>
    <row r="392" spans="1:15" x14ac:dyDescent="0.35">
      <c r="A392" t="s">
        <v>32</v>
      </c>
      <c r="B392">
        <v>2019</v>
      </c>
      <c r="C392">
        <v>1165853</v>
      </c>
      <c r="D392" s="8">
        <v>0.95631802082061801</v>
      </c>
      <c r="E392" s="8">
        <v>2.4E-2</v>
      </c>
      <c r="F392">
        <v>1.9936207746541601</v>
      </c>
      <c r="G392">
        <f t="shared" si="34"/>
        <v>2.0846838930666922</v>
      </c>
      <c r="H392">
        <f t="shared" si="36"/>
        <v>-4.3018367485059272E-3</v>
      </c>
      <c r="I392">
        <f t="shared" si="35"/>
        <v>0</v>
      </c>
      <c r="J392" t="str">
        <f t="shared" si="37"/>
        <v/>
      </c>
      <c r="K392">
        <v>2.9628548473120001E-3</v>
      </c>
      <c r="L392">
        <v>-1.48383397608995E-2</v>
      </c>
      <c r="M392">
        <v>1.9301233917474601E-2</v>
      </c>
      <c r="N392">
        <v>4.5204348862169699E-4</v>
      </c>
      <c r="O392">
        <f t="shared" si="38"/>
        <v>-7.4025912210345214E-3</v>
      </c>
    </row>
    <row r="393" spans="1:15" x14ac:dyDescent="0.35">
      <c r="A393" t="s">
        <v>32</v>
      </c>
      <c r="B393">
        <v>2020</v>
      </c>
      <c r="C393">
        <v>1164522</v>
      </c>
      <c r="D393" s="8">
        <v>0.96074348688125599</v>
      </c>
      <c r="E393" s="8">
        <v>1.9E-2</v>
      </c>
      <c r="F393">
        <v>1.84672086532559</v>
      </c>
      <c r="G393">
        <f t="shared" si="34"/>
        <v>1.9221789067968329</v>
      </c>
      <c r="H393">
        <f t="shared" si="36"/>
        <v>-7.7951859660989165E-2</v>
      </c>
      <c r="I393">
        <f t="shared" si="35"/>
        <v>0</v>
      </c>
      <c r="J393" t="str">
        <f t="shared" si="37"/>
        <v/>
      </c>
      <c r="K393">
        <v>1.9301233917474601E-2</v>
      </c>
      <c r="L393">
        <v>4.5204348862169699E-4</v>
      </c>
      <c r="M393">
        <v>-1.71695810556409E-3</v>
      </c>
      <c r="N393">
        <v>-4.5306570827961003E-2</v>
      </c>
      <c r="O393">
        <f t="shared" si="38"/>
        <v>-6.2564867548644404E-3</v>
      </c>
    </row>
    <row r="394" spans="1:15" x14ac:dyDescent="0.35">
      <c r="A394" t="s">
        <v>32</v>
      </c>
      <c r="B394">
        <v>2021</v>
      </c>
      <c r="C394">
        <v>1163127</v>
      </c>
      <c r="D394" s="8">
        <v>0.963448226451874</v>
      </c>
      <c r="E394" s="8">
        <v>2.7E-2</v>
      </c>
      <c r="F394">
        <v>1.9573266645365801</v>
      </c>
      <c r="G394">
        <f t="shared" si="34"/>
        <v>2.0315846879960522</v>
      </c>
      <c r="H394">
        <f t="shared" si="36"/>
        <v>5.6917584940902266E-2</v>
      </c>
      <c r="I394">
        <f t="shared" si="35"/>
        <v>1</v>
      </c>
      <c r="J394" t="str">
        <f t="shared" si="37"/>
        <v/>
      </c>
      <c r="K394">
        <v>-1.71695810556409E-3</v>
      </c>
      <c r="L394">
        <v>-4.5306570827961003E-2</v>
      </c>
      <c r="M394">
        <v>-3.3924216330051403E-2</v>
      </c>
      <c r="N394">
        <v>-1.8207095563410999E-3</v>
      </c>
      <c r="O394">
        <f t="shared" si="38"/>
        <v>4.4105456210673088E-3</v>
      </c>
    </row>
    <row r="395" spans="1:15" x14ac:dyDescent="0.35">
      <c r="A395" t="s">
        <v>32</v>
      </c>
      <c r="B395">
        <v>2022</v>
      </c>
      <c r="C395">
        <v>1158716</v>
      </c>
      <c r="D395" s="8">
        <v>0.96082341670990001</v>
      </c>
      <c r="E395" s="8">
        <v>1.6E-2</v>
      </c>
      <c r="F395">
        <v>1.9361562686679601</v>
      </c>
      <c r="G395">
        <f t="shared" si="34"/>
        <v>2.0151010424973239</v>
      </c>
      <c r="H395">
        <f t="shared" si="36"/>
        <v>-8.1136885880881415E-3</v>
      </c>
      <c r="I395">
        <f t="shared" si="35"/>
        <v>0</v>
      </c>
      <c r="J395" t="str">
        <f t="shared" si="37"/>
        <v/>
      </c>
      <c r="K395">
        <v>-3.3924216330051403E-2</v>
      </c>
      <c r="L395">
        <v>-1.3420060276984999E-3</v>
      </c>
      <c r="M395">
        <v>-4.8567790389060896E-3</v>
      </c>
      <c r="N395">
        <v>1.47021487355232E-2</v>
      </c>
      <c r="O395">
        <f t="shared" si="38"/>
        <v>3.6494581727311111E-3</v>
      </c>
    </row>
    <row r="396" spans="1:15" x14ac:dyDescent="0.35">
      <c r="A396" t="s">
        <v>33</v>
      </c>
      <c r="B396">
        <v>2006</v>
      </c>
      <c r="C396">
        <v>405469.21875</v>
      </c>
      <c r="D396" s="8">
        <v>0.92131990194320701</v>
      </c>
      <c r="E396" s="8">
        <v>1E-3</v>
      </c>
      <c r="F396">
        <v>2.10987089252558</v>
      </c>
      <c r="G396">
        <f t="shared" si="34"/>
        <v>2.2900524433212981</v>
      </c>
      <c r="H396">
        <f t="shared" si="36"/>
        <v>0.1364454660215082</v>
      </c>
      <c r="I396">
        <f t="shared" si="35"/>
        <v>1</v>
      </c>
      <c r="J396" t="str">
        <f t="shared" si="37"/>
        <v/>
      </c>
      <c r="K396">
        <v>-1.18474851995707E-2</v>
      </c>
      <c r="L396">
        <v>-1.8210524693131499E-2</v>
      </c>
      <c r="M396">
        <v>-5.9616238772869003E-3</v>
      </c>
      <c r="N396">
        <v>-5.0398679450154001E-3</v>
      </c>
      <c r="O396" t="str">
        <f t="shared" si="38"/>
        <v/>
      </c>
    </row>
    <row r="397" spans="1:15" x14ac:dyDescent="0.35">
      <c r="A397" t="s">
        <v>33</v>
      </c>
      <c r="B397">
        <v>2007</v>
      </c>
      <c r="C397">
        <v>405986.59375</v>
      </c>
      <c r="D397" s="8">
        <v>0.92715042829513505</v>
      </c>
      <c r="E397" s="8">
        <v>4.0000000000000001E-3</v>
      </c>
      <c r="F397">
        <v>1.99431870037419</v>
      </c>
      <c r="G397">
        <f t="shared" si="34"/>
        <v>2.1510195535813836</v>
      </c>
      <c r="H397">
        <f t="shared" si="36"/>
        <v>-6.0711661929572669E-2</v>
      </c>
      <c r="I397">
        <f t="shared" si="35"/>
        <v>0</v>
      </c>
      <c r="J397" t="str">
        <f t="shared" si="37"/>
        <v/>
      </c>
      <c r="K397">
        <v>-5.9616238772869003E-3</v>
      </c>
      <c r="L397">
        <v>-5.0398679450154001E-3</v>
      </c>
      <c r="M397">
        <v>-2.3328238457441301E-2</v>
      </c>
      <c r="N397">
        <v>6.1825658194720997E-3</v>
      </c>
      <c r="O397" t="str">
        <f t="shared" si="38"/>
        <v/>
      </c>
    </row>
    <row r="398" spans="1:15" x14ac:dyDescent="0.35">
      <c r="A398" t="s">
        <v>33</v>
      </c>
      <c r="B398">
        <v>2008</v>
      </c>
      <c r="C398">
        <v>405904</v>
      </c>
      <c r="D398" s="8">
        <v>0.93629688024520896</v>
      </c>
      <c r="E398" s="8">
        <v>0</v>
      </c>
      <c r="F398">
        <v>2.3133412950630499</v>
      </c>
      <c r="G398">
        <f t="shared" si="34"/>
        <v>2.4707348105840143</v>
      </c>
      <c r="H398">
        <f t="shared" si="36"/>
        <v>0.14863428668991618</v>
      </c>
      <c r="I398">
        <f t="shared" si="35"/>
        <v>1</v>
      </c>
      <c r="J398" t="str">
        <f t="shared" si="37"/>
        <v/>
      </c>
      <c r="K398">
        <v>-2.3328238457441301E-2</v>
      </c>
      <c r="L398">
        <v>6.1825658194720997E-3</v>
      </c>
      <c r="M398">
        <v>-1.8538110613822899E-2</v>
      </c>
      <c r="N398">
        <v>8.0285910516977501E-3</v>
      </c>
      <c r="O398" t="str">
        <f t="shared" si="38"/>
        <v/>
      </c>
    </row>
    <row r="399" spans="1:15" x14ac:dyDescent="0.35">
      <c r="A399" t="s">
        <v>33</v>
      </c>
      <c r="B399">
        <v>2009</v>
      </c>
      <c r="C399">
        <v>404952</v>
      </c>
      <c r="D399" s="8">
        <v>0.93303740024566695</v>
      </c>
      <c r="E399" s="8">
        <v>0</v>
      </c>
      <c r="F399">
        <v>2.1762902401635098</v>
      </c>
      <c r="G399">
        <f t="shared" si="34"/>
        <v>2.3324791049002931</v>
      </c>
      <c r="H399">
        <f t="shared" si="36"/>
        <v>-5.5957322935455522E-2</v>
      </c>
      <c r="I399">
        <f t="shared" si="35"/>
        <v>0</v>
      </c>
      <c r="J399" t="str">
        <f t="shared" si="37"/>
        <v/>
      </c>
      <c r="K399">
        <v>-1.8538110613822899E-2</v>
      </c>
      <c r="L399">
        <v>8.0285910516977501E-3</v>
      </c>
      <c r="M399">
        <v>-1.50862555569037E-2</v>
      </c>
      <c r="N399">
        <v>-5.6261467980220897E-3</v>
      </c>
      <c r="O399" t="str">
        <f t="shared" si="38"/>
        <v/>
      </c>
    </row>
    <row r="400" spans="1:15" x14ac:dyDescent="0.35">
      <c r="A400" t="s">
        <v>33</v>
      </c>
      <c r="B400">
        <v>2010</v>
      </c>
      <c r="C400">
        <v>404237.21875</v>
      </c>
      <c r="D400" s="8">
        <v>0.93236315250396695</v>
      </c>
      <c r="E400" s="8">
        <v>0</v>
      </c>
      <c r="F400">
        <v>2.1513385497689699</v>
      </c>
      <c r="G400">
        <f t="shared" si="34"/>
        <v>2.3074040881938611</v>
      </c>
      <c r="H400">
        <f t="shared" si="36"/>
        <v>-1.0750371419727567E-2</v>
      </c>
      <c r="I400">
        <f t="shared" si="35"/>
        <v>0</v>
      </c>
      <c r="J400">
        <f t="shared" si="37"/>
        <v>2</v>
      </c>
      <c r="K400">
        <v>-1.50862555569037E-2</v>
      </c>
      <c r="L400">
        <v>-5.6261467980220897E-3</v>
      </c>
      <c r="M400">
        <v>-2.53075439184904E-2</v>
      </c>
      <c r="N400">
        <v>-4.0237694047391102E-3</v>
      </c>
      <c r="O400">
        <f t="shared" si="38"/>
        <v>-4.1413373313844166E-3</v>
      </c>
    </row>
    <row r="401" spans="1:15" x14ac:dyDescent="0.35">
      <c r="A401" t="s">
        <v>33</v>
      </c>
      <c r="B401">
        <v>2011</v>
      </c>
      <c r="C401">
        <v>404026.625</v>
      </c>
      <c r="D401" s="8">
        <v>0.93928027153015103</v>
      </c>
      <c r="E401" s="8">
        <v>0</v>
      </c>
      <c r="F401">
        <v>2.2756750987298502</v>
      </c>
      <c r="G401">
        <f t="shared" si="34"/>
        <v>2.4227860072293668</v>
      </c>
      <c r="H401">
        <f t="shared" si="36"/>
        <v>5.000507697194112E-2</v>
      </c>
      <c r="I401">
        <f t="shared" si="35"/>
        <v>1</v>
      </c>
      <c r="J401">
        <f t="shared" si="37"/>
        <v>2</v>
      </c>
      <c r="K401">
        <v>-2.53075439184904E-2</v>
      </c>
      <c r="L401">
        <v>-4.0237694047391102E-3</v>
      </c>
      <c r="M401">
        <v>-1.3656369693577201E-2</v>
      </c>
      <c r="N401">
        <v>-8.2181636244058904E-3</v>
      </c>
      <c r="O401">
        <f t="shared" si="38"/>
        <v>-7.3948242701589954E-3</v>
      </c>
    </row>
    <row r="402" spans="1:15" x14ac:dyDescent="0.35">
      <c r="A402" t="s">
        <v>33</v>
      </c>
      <c r="B402">
        <v>2012</v>
      </c>
      <c r="C402">
        <v>404607.6875</v>
      </c>
      <c r="D402" s="8">
        <v>0.946549892425537</v>
      </c>
      <c r="E402" s="8">
        <v>0</v>
      </c>
      <c r="F402">
        <v>2.1334166071853402</v>
      </c>
      <c r="G402">
        <f t="shared" si="34"/>
        <v>2.2538871159960236</v>
      </c>
      <c r="H402">
        <f t="shared" si="36"/>
        <v>-6.9712674057619828E-2</v>
      </c>
      <c r="I402">
        <f t="shared" si="35"/>
        <v>0</v>
      </c>
      <c r="J402">
        <f t="shared" si="37"/>
        <v>2</v>
      </c>
      <c r="K402">
        <v>-1.3656369693577201E-2</v>
      </c>
      <c r="L402">
        <v>-8.3037624135613892E-3</v>
      </c>
      <c r="M402">
        <v>8.056374639273E-4</v>
      </c>
      <c r="N402">
        <v>-5.32113388180729E-3</v>
      </c>
      <c r="O402">
        <f t="shared" si="38"/>
        <v>-6.3038059510290359E-3</v>
      </c>
    </row>
    <row r="403" spans="1:15" x14ac:dyDescent="0.35">
      <c r="A403" t="s">
        <v>33</v>
      </c>
      <c r="B403">
        <v>2013</v>
      </c>
      <c r="C403">
        <v>405052.09375</v>
      </c>
      <c r="D403" s="8">
        <v>0.94492787122726396</v>
      </c>
      <c r="E403" s="8">
        <v>3.0000000000000001E-3</v>
      </c>
      <c r="F403">
        <v>2.2029915861639102</v>
      </c>
      <c r="G403">
        <f t="shared" si="34"/>
        <v>2.3313859747862917</v>
      </c>
      <c r="H403">
        <f t="shared" si="36"/>
        <v>3.4384534274255474E-2</v>
      </c>
      <c r="I403">
        <f t="shared" si="35"/>
        <v>1</v>
      </c>
      <c r="J403">
        <f t="shared" si="37"/>
        <v>2</v>
      </c>
      <c r="K403">
        <v>8.056374639273E-4</v>
      </c>
      <c r="L403">
        <v>-5.32113388180729E-3</v>
      </c>
      <c r="M403">
        <v>2.5849796980618998E-3</v>
      </c>
      <c r="N403">
        <v>5.7695619761940001E-4</v>
      </c>
      <c r="O403">
        <f t="shared" si="38"/>
        <v>-6.6466086544096168E-3</v>
      </c>
    </row>
    <row r="404" spans="1:15" x14ac:dyDescent="0.35">
      <c r="A404" t="s">
        <v>33</v>
      </c>
      <c r="B404">
        <v>2014</v>
      </c>
      <c r="C404">
        <v>405484.59375</v>
      </c>
      <c r="D404" s="8">
        <v>0.94946086406707797</v>
      </c>
      <c r="E404" s="8">
        <v>3.0000000000000001E-3</v>
      </c>
      <c r="F404">
        <v>2.2275973961734001</v>
      </c>
      <c r="G404">
        <f t="shared" si="34"/>
        <v>2.3461708433471817</v>
      </c>
      <c r="H404">
        <f t="shared" si="36"/>
        <v>6.3416648812282261E-3</v>
      </c>
      <c r="I404">
        <f t="shared" si="35"/>
        <v>1</v>
      </c>
      <c r="J404">
        <f t="shared" si="37"/>
        <v>3</v>
      </c>
      <c r="K404">
        <v>2.5849796980618998E-3</v>
      </c>
      <c r="L404">
        <v>5.7695619761940001E-4</v>
      </c>
      <c r="M404">
        <v>2.65428760796785E-2</v>
      </c>
      <c r="N404">
        <v>-3.7205759435891901E-3</v>
      </c>
      <c r="O404">
        <f t="shared" si="38"/>
        <v>-8.0830072052776349E-3</v>
      </c>
    </row>
    <row r="405" spans="1:15" x14ac:dyDescent="0.35">
      <c r="A405" t="s">
        <v>33</v>
      </c>
      <c r="B405">
        <v>2015</v>
      </c>
      <c r="C405">
        <v>404651</v>
      </c>
      <c r="D405" s="8">
        <v>0.94225281476974498</v>
      </c>
      <c r="E405" s="8">
        <v>1.6E-2</v>
      </c>
      <c r="F405">
        <v>2.2288877805486198</v>
      </c>
      <c r="G405">
        <f t="shared" si="34"/>
        <v>2.3654880575690136</v>
      </c>
      <c r="H405">
        <f t="shared" si="36"/>
        <v>8.2335070681693878E-3</v>
      </c>
      <c r="I405">
        <f t="shared" si="35"/>
        <v>1</v>
      </c>
      <c r="J405">
        <f t="shared" si="37"/>
        <v>4</v>
      </c>
      <c r="K405">
        <v>2.65428760796785E-2</v>
      </c>
      <c r="L405">
        <v>-3.7205759435891901E-3</v>
      </c>
      <c r="M405">
        <v>-7.1376470960676603E-3</v>
      </c>
      <c r="N405">
        <v>-2.0291204098612001E-2</v>
      </c>
      <c r="O405">
        <f t="shared" si="38"/>
        <v>-8.2267385907470771E-3</v>
      </c>
    </row>
    <row r="406" spans="1:15" x14ac:dyDescent="0.35">
      <c r="A406" t="s">
        <v>33</v>
      </c>
      <c r="B406">
        <v>2016</v>
      </c>
      <c r="C406">
        <v>403683</v>
      </c>
      <c r="D406" s="8">
        <v>0.93048912286758401</v>
      </c>
      <c r="E406" s="8">
        <v>1.9E-2</v>
      </c>
      <c r="F406">
        <v>2.1540622518982899</v>
      </c>
      <c r="G406">
        <f t="shared" si="34"/>
        <v>2.3149784333425574</v>
      </c>
      <c r="H406">
        <f t="shared" si="36"/>
        <v>-2.135272848443992E-2</v>
      </c>
      <c r="I406">
        <f t="shared" si="35"/>
        <v>0</v>
      </c>
      <c r="J406">
        <f t="shared" si="37"/>
        <v>3</v>
      </c>
      <c r="K406">
        <v>-7.1376470960676603E-3</v>
      </c>
      <c r="L406">
        <v>-2.0291204098612001E-2</v>
      </c>
      <c r="M406">
        <v>2.6501432061197501E-5</v>
      </c>
      <c r="N406">
        <v>-2.7630720287561E-3</v>
      </c>
      <c r="O406">
        <f t="shared" si="38"/>
        <v>-1.3703791797161077E-2</v>
      </c>
    </row>
    <row r="407" spans="1:15" x14ac:dyDescent="0.35">
      <c r="A407" t="s">
        <v>33</v>
      </c>
      <c r="B407">
        <v>2017</v>
      </c>
      <c r="C407">
        <v>402590.09375</v>
      </c>
      <c r="D407" s="8">
        <v>0.93452173471450795</v>
      </c>
      <c r="E407" s="8">
        <v>8.0000000000000002E-3</v>
      </c>
      <c r="F407">
        <v>2.3359897220101602</v>
      </c>
      <c r="G407">
        <f t="shared" si="34"/>
        <v>2.4996633414029628</v>
      </c>
      <c r="H407">
        <f t="shared" si="36"/>
        <v>7.9778241300391795E-2</v>
      </c>
      <c r="I407">
        <f t="shared" si="35"/>
        <v>1</v>
      </c>
      <c r="J407">
        <f t="shared" si="37"/>
        <v>4</v>
      </c>
      <c r="K407">
        <v>2.6501432061197501E-5</v>
      </c>
      <c r="L407">
        <v>-2.7630720287561E-3</v>
      </c>
      <c r="M407">
        <v>2.0998755693435998E-3</v>
      </c>
      <c r="N407">
        <v>-7.0351473987101901E-3</v>
      </c>
      <c r="O407">
        <f t="shared" si="38"/>
        <v>-1.0111841931939116E-2</v>
      </c>
    </row>
    <row r="408" spans="1:15" x14ac:dyDescent="0.35">
      <c r="A408" t="s">
        <v>33</v>
      </c>
      <c r="B408">
        <v>2018</v>
      </c>
      <c r="C408">
        <v>402138.6875</v>
      </c>
      <c r="D408" s="8">
        <v>0.94314843416214</v>
      </c>
      <c r="E408" s="8">
        <v>0</v>
      </c>
      <c r="F408">
        <v>2.1165710742520498</v>
      </c>
      <c r="G408">
        <f t="shared" si="34"/>
        <v>2.2441547879283044</v>
      </c>
      <c r="H408">
        <f t="shared" si="36"/>
        <v>-0.10221718630767751</v>
      </c>
      <c r="I408">
        <f t="shared" si="35"/>
        <v>0</v>
      </c>
      <c r="J408">
        <f t="shared" si="37"/>
        <v>3</v>
      </c>
      <c r="K408">
        <v>2.0998755693435998E-3</v>
      </c>
      <c r="L408">
        <v>-7.0351473987101901E-3</v>
      </c>
      <c r="M408">
        <v>1.1196158051490801E-2</v>
      </c>
      <c r="N408">
        <v>-6.6050365567206998E-3</v>
      </c>
      <c r="O408">
        <f t="shared" si="38"/>
        <v>-5.2208457142114808E-3</v>
      </c>
    </row>
    <row r="409" spans="1:15" x14ac:dyDescent="0.35">
      <c r="A409" t="s">
        <v>33</v>
      </c>
      <c r="B409">
        <v>2019</v>
      </c>
      <c r="C409">
        <v>401751.59375</v>
      </c>
      <c r="D409" s="8">
        <v>0.94450414180755604</v>
      </c>
      <c r="E409" s="8">
        <v>0</v>
      </c>
      <c r="F409">
        <v>2.0764594389689099</v>
      </c>
      <c r="G409">
        <f t="shared" si="34"/>
        <v>2.1984651491258269</v>
      </c>
      <c r="H409">
        <f t="shared" si="36"/>
        <v>-2.0359397243117971E-2</v>
      </c>
      <c r="I409">
        <f t="shared" si="35"/>
        <v>0</v>
      </c>
      <c r="J409" t="str">
        <f t="shared" si="37"/>
        <v/>
      </c>
      <c r="K409">
        <v>1.1196158051490801E-2</v>
      </c>
      <c r="L409">
        <v>-6.6050365567206998E-3</v>
      </c>
      <c r="M409">
        <v>1.4409957557916599E-2</v>
      </c>
      <c r="N409">
        <v>-4.4392328709363998E-3</v>
      </c>
      <c r="O409">
        <f t="shared" si="38"/>
        <v>-4.5981207862496589E-3</v>
      </c>
    </row>
    <row r="410" spans="1:15" x14ac:dyDescent="0.35">
      <c r="A410" t="s">
        <v>33</v>
      </c>
      <c r="B410">
        <v>2020</v>
      </c>
      <c r="C410">
        <v>401068.59375</v>
      </c>
      <c r="D410" s="8">
        <v>0.96945995092392001</v>
      </c>
      <c r="E410" s="8">
        <v>0</v>
      </c>
      <c r="F410">
        <v>2.0526519926306599</v>
      </c>
      <c r="G410">
        <f t="shared" si="34"/>
        <v>2.1173148933841262</v>
      </c>
      <c r="H410">
        <f t="shared" si="36"/>
        <v>-3.6912232051514837E-2</v>
      </c>
      <c r="I410">
        <f t="shared" si="35"/>
        <v>0</v>
      </c>
      <c r="J410" t="str">
        <f t="shared" si="37"/>
        <v/>
      </c>
      <c r="K410">
        <v>1.4409957557916599E-2</v>
      </c>
      <c r="L410">
        <v>-4.4392328709363998E-3</v>
      </c>
      <c r="M410">
        <v>-4.0868574082850899E-3</v>
      </c>
      <c r="N410">
        <v>-4.7676470130681999E-2</v>
      </c>
      <c r="O410">
        <f t="shared" si="38"/>
        <v>-3.0197248794138604E-3</v>
      </c>
    </row>
    <row r="411" spans="1:15" x14ac:dyDescent="0.35">
      <c r="A411" t="s">
        <v>33</v>
      </c>
      <c r="B411">
        <v>2021</v>
      </c>
      <c r="C411">
        <v>400254.59375</v>
      </c>
      <c r="D411" s="8">
        <v>0.96336126327514604</v>
      </c>
      <c r="E411" s="8">
        <v>1.4E-2</v>
      </c>
      <c r="F411">
        <v>2.08169052382154</v>
      </c>
      <c r="G411">
        <f t="shared" si="34"/>
        <v>2.1608617692851819</v>
      </c>
      <c r="H411">
        <f t="shared" si="36"/>
        <v>2.0567028568648338E-2</v>
      </c>
      <c r="I411">
        <f t="shared" si="35"/>
        <v>1</v>
      </c>
      <c r="J411" t="str">
        <f t="shared" si="37"/>
        <v/>
      </c>
      <c r="K411">
        <v>-4.0868574082850899E-3</v>
      </c>
      <c r="L411">
        <v>-4.7676470130681999E-2</v>
      </c>
      <c r="M411">
        <v>-1.6906829476356501E-2</v>
      </c>
      <c r="N411">
        <v>1.5196677297353699E-2</v>
      </c>
      <c r="O411">
        <f t="shared" si="38"/>
        <v>8.3663417957722912E-3</v>
      </c>
    </row>
    <row r="412" spans="1:15" x14ac:dyDescent="0.35">
      <c r="A412" t="s">
        <v>33</v>
      </c>
      <c r="B412">
        <v>2022</v>
      </c>
      <c r="C412">
        <v>399642.90625</v>
      </c>
      <c r="D412" s="8">
        <v>0.95815861225128196</v>
      </c>
      <c r="E412" s="8">
        <v>6.0000000000000001E-3</v>
      </c>
      <c r="F412">
        <v>2.1855638607710901</v>
      </c>
      <c r="G412">
        <f t="shared" si="34"/>
        <v>2.2810042437920655</v>
      </c>
      <c r="H412">
        <f t="shared" si="36"/>
        <v>5.5599333661508155E-2</v>
      </c>
      <c r="I412">
        <f t="shared" si="35"/>
        <v>1</v>
      </c>
      <c r="J412" t="str">
        <f t="shared" si="37"/>
        <v/>
      </c>
      <c r="K412">
        <v>-1.6906829476356501E-2</v>
      </c>
      <c r="L412">
        <v>1.5675380825996298E-2</v>
      </c>
      <c r="M412">
        <v>-2.1390940845012999E-3</v>
      </c>
      <c r="N412">
        <v>1.7419833689927999E-2</v>
      </c>
      <c r="O412">
        <f t="shared" si="38"/>
        <v>4.2085137683898054E-3</v>
      </c>
    </row>
    <row r="413" spans="1:15" x14ac:dyDescent="0.35">
      <c r="A413" t="s">
        <v>34</v>
      </c>
      <c r="B413">
        <v>2006</v>
      </c>
      <c r="C413">
        <v>225328.296875</v>
      </c>
      <c r="D413" s="8">
        <v>0.88347780704498302</v>
      </c>
      <c r="E413" s="8">
        <v>3.3000000000000002E-2</v>
      </c>
      <c r="F413">
        <v>1.9346162539149501</v>
      </c>
      <c r="G413">
        <f t="shared" si="34"/>
        <v>2.1897734594893423</v>
      </c>
      <c r="H413">
        <f t="shared" si="36"/>
        <v>-3.9995885387331009E-2</v>
      </c>
      <c r="I413">
        <f t="shared" si="35"/>
        <v>0</v>
      </c>
      <c r="J413" t="str">
        <f t="shared" si="37"/>
        <v/>
      </c>
      <c r="K413">
        <v>-1.4817009091377301E-2</v>
      </c>
      <c r="L413">
        <v>-2.1180048584938001E-2</v>
      </c>
      <c r="M413">
        <v>-4.4131678491830997E-3</v>
      </c>
      <c r="N413">
        <v>-3.4914119169115999E-3</v>
      </c>
      <c r="O413" t="str">
        <f t="shared" si="38"/>
        <v/>
      </c>
    </row>
    <row r="414" spans="1:15" x14ac:dyDescent="0.35">
      <c r="A414" t="s">
        <v>34</v>
      </c>
      <c r="B414">
        <v>2007</v>
      </c>
      <c r="C414">
        <v>227717.1875</v>
      </c>
      <c r="D414" s="8">
        <v>0.89524388313293501</v>
      </c>
      <c r="E414" s="8">
        <v>1E-3</v>
      </c>
      <c r="F414">
        <v>2.21355892096545</v>
      </c>
      <c r="G414">
        <f t="shared" si="34"/>
        <v>2.472576426011456</v>
      </c>
      <c r="H414">
        <f t="shared" si="36"/>
        <v>0.12914713405470879</v>
      </c>
      <c r="I414">
        <f t="shared" si="35"/>
        <v>1</v>
      </c>
      <c r="J414" t="str">
        <f t="shared" si="37"/>
        <v/>
      </c>
      <c r="K414">
        <v>-4.4131678491830997E-3</v>
      </c>
      <c r="L414">
        <v>-3.4914119169115999E-3</v>
      </c>
      <c r="M414">
        <v>-2.60580576136707E-2</v>
      </c>
      <c r="N414">
        <v>3.4527466632426002E-3</v>
      </c>
      <c r="O414" t="str">
        <f t="shared" si="38"/>
        <v/>
      </c>
    </row>
    <row r="415" spans="1:15" x14ac:dyDescent="0.35">
      <c r="A415" t="s">
        <v>34</v>
      </c>
      <c r="B415">
        <v>2008</v>
      </c>
      <c r="C415">
        <v>229002</v>
      </c>
      <c r="D415" s="8">
        <v>0.90574085712432895</v>
      </c>
      <c r="E415" s="8">
        <v>0</v>
      </c>
      <c r="F415">
        <v>2.0595478401291798</v>
      </c>
      <c r="G415">
        <f t="shared" si="34"/>
        <v>2.2738820093289336</v>
      </c>
      <c r="H415">
        <f t="shared" si="36"/>
        <v>-8.0359261939190629E-2</v>
      </c>
      <c r="I415">
        <f t="shared" si="35"/>
        <v>0</v>
      </c>
      <c r="J415" t="str">
        <f t="shared" si="37"/>
        <v/>
      </c>
      <c r="K415">
        <v>-2.60580576136707E-2</v>
      </c>
      <c r="L415">
        <v>3.4527466632426002E-3</v>
      </c>
      <c r="M415">
        <v>-1.7312838420271901E-2</v>
      </c>
      <c r="N415">
        <v>9.2538632452487495E-3</v>
      </c>
      <c r="O415" t="str">
        <f t="shared" si="38"/>
        <v/>
      </c>
    </row>
    <row r="416" spans="1:15" x14ac:dyDescent="0.35">
      <c r="A416" t="s">
        <v>34</v>
      </c>
      <c r="B416">
        <v>2009</v>
      </c>
      <c r="C416">
        <v>231203.90625</v>
      </c>
      <c r="D416" s="8">
        <v>0.90216845273971602</v>
      </c>
      <c r="E416" s="8">
        <v>0</v>
      </c>
      <c r="F416">
        <v>2.24762454001208</v>
      </c>
      <c r="G416">
        <f t="shared" si="34"/>
        <v>2.4913579422850209</v>
      </c>
      <c r="H416">
        <f t="shared" si="36"/>
        <v>9.5640816921837013E-2</v>
      </c>
      <c r="I416">
        <f t="shared" si="35"/>
        <v>1</v>
      </c>
      <c r="J416" t="str">
        <f t="shared" si="37"/>
        <v/>
      </c>
      <c r="K416">
        <v>-1.7312838420271901E-2</v>
      </c>
      <c r="L416">
        <v>9.2538632452487495E-3</v>
      </c>
      <c r="M416">
        <v>-1.50525715984404E-2</v>
      </c>
      <c r="N416">
        <v>-5.5924628395587197E-3</v>
      </c>
      <c r="O416" t="str">
        <f t="shared" si="38"/>
        <v/>
      </c>
    </row>
    <row r="417" spans="1:15" x14ac:dyDescent="0.35">
      <c r="A417" t="s">
        <v>34</v>
      </c>
      <c r="B417">
        <v>2010</v>
      </c>
      <c r="C417">
        <v>232583.5</v>
      </c>
      <c r="D417" s="8">
        <v>0.90213203430175803</v>
      </c>
      <c r="E417" s="8">
        <v>0</v>
      </c>
      <c r="F417">
        <v>2.0408510638297801</v>
      </c>
      <c r="G417">
        <f t="shared" si="34"/>
        <v>2.2622531804996595</v>
      </c>
      <c r="H417">
        <f t="shared" si="36"/>
        <v>-9.1959793451129479E-2</v>
      </c>
      <c r="I417">
        <f t="shared" si="35"/>
        <v>0</v>
      </c>
      <c r="J417">
        <f t="shared" si="37"/>
        <v>2</v>
      </c>
      <c r="K417">
        <v>-1.50525715984404E-2</v>
      </c>
      <c r="L417">
        <v>-5.5924628395587197E-3</v>
      </c>
      <c r="M417">
        <v>-2.6585427455604001E-2</v>
      </c>
      <c r="N417">
        <v>-5.3016529418527802E-3</v>
      </c>
      <c r="O417">
        <f t="shared" si="38"/>
        <v>-5.1631915383040568E-3</v>
      </c>
    </row>
    <row r="418" spans="1:15" x14ac:dyDescent="0.35">
      <c r="A418" t="s">
        <v>34</v>
      </c>
      <c r="B418">
        <v>2011</v>
      </c>
      <c r="C418">
        <v>233696.203125</v>
      </c>
      <c r="D418" s="8">
        <v>0.90141731500625599</v>
      </c>
      <c r="E418" s="8">
        <v>6.7000000000000004E-2</v>
      </c>
      <c r="F418">
        <v>2.24721018418201</v>
      </c>
      <c r="G418">
        <f t="shared" si="34"/>
        <v>2.4929742825790004</v>
      </c>
      <c r="H418">
        <f t="shared" si="36"/>
        <v>0.10198730366173336</v>
      </c>
      <c r="I418">
        <f t="shared" si="35"/>
        <v>1</v>
      </c>
      <c r="J418">
        <f t="shared" si="37"/>
        <v>3</v>
      </c>
      <c r="K418">
        <v>-2.6585427455604001E-2</v>
      </c>
      <c r="L418">
        <v>-5.3016529418527802E-3</v>
      </c>
      <c r="M418">
        <v>-8.2275963425635992E-3</v>
      </c>
      <c r="N418">
        <v>-2.7893902733922E-3</v>
      </c>
      <c r="O418">
        <f t="shared" si="38"/>
        <v>-8.7047663517295995E-3</v>
      </c>
    </row>
    <row r="419" spans="1:15" x14ac:dyDescent="0.35">
      <c r="A419" t="s">
        <v>34</v>
      </c>
      <c r="B419">
        <v>2012</v>
      </c>
      <c r="C419">
        <v>234803</v>
      </c>
      <c r="D419" s="8">
        <v>0.90560597181320202</v>
      </c>
      <c r="E419" s="8">
        <v>3.7999999999999999E-2</v>
      </c>
      <c r="F419">
        <v>2.1637504126774498</v>
      </c>
      <c r="G419">
        <f t="shared" si="34"/>
        <v>2.3892846116564295</v>
      </c>
      <c r="H419">
        <f t="shared" si="36"/>
        <v>-4.1592755949051874E-2</v>
      </c>
      <c r="I419">
        <f t="shared" si="35"/>
        <v>0</v>
      </c>
      <c r="J419">
        <f t="shared" si="37"/>
        <v>2</v>
      </c>
      <c r="K419">
        <v>-8.2275963425635992E-3</v>
      </c>
      <c r="L419">
        <v>-2.8749890625476898E-3</v>
      </c>
      <c r="M419">
        <v>1.2322574853900099E-4</v>
      </c>
      <c r="N419">
        <v>-6.0035455971955897E-3</v>
      </c>
      <c r="O419">
        <f t="shared" si="38"/>
        <v>-1.0672873165458379E-2</v>
      </c>
    </row>
    <row r="420" spans="1:15" x14ac:dyDescent="0.35">
      <c r="A420" t="s">
        <v>34</v>
      </c>
      <c r="B420">
        <v>2013</v>
      </c>
      <c r="C420">
        <v>236010.890625</v>
      </c>
      <c r="D420" s="8">
        <v>0.922163546085358</v>
      </c>
      <c r="E420" s="8">
        <v>0</v>
      </c>
      <c r="F420">
        <v>1.99294333916446</v>
      </c>
      <c r="G420">
        <f t="shared" si="34"/>
        <v>2.1611604011290941</v>
      </c>
      <c r="H420">
        <f t="shared" si="36"/>
        <v>-9.547803949952316E-2</v>
      </c>
      <c r="I420">
        <f t="shared" si="35"/>
        <v>0</v>
      </c>
      <c r="J420">
        <f t="shared" si="37"/>
        <v>2</v>
      </c>
      <c r="K420">
        <v>1.2322574853900099E-4</v>
      </c>
      <c r="L420">
        <v>-6.0035455971955897E-3</v>
      </c>
      <c r="M420">
        <v>3.38883587718009E-3</v>
      </c>
      <c r="N420">
        <v>1.3808123767375901E-3</v>
      </c>
      <c r="O420">
        <f t="shared" si="38"/>
        <v>-1.0399357136338879E-2</v>
      </c>
    </row>
    <row r="421" spans="1:15" x14ac:dyDescent="0.35">
      <c r="A421" t="s">
        <v>34</v>
      </c>
      <c r="B421">
        <v>2014</v>
      </c>
      <c r="C421">
        <v>237154.296875</v>
      </c>
      <c r="D421" s="8">
        <v>0.91651839017867998</v>
      </c>
      <c r="E421" s="8">
        <v>4.0000000000000001E-3</v>
      </c>
      <c r="F421">
        <v>2.2223951129552701</v>
      </c>
      <c r="G421">
        <f t="shared" si="34"/>
        <v>2.4248232624355772</v>
      </c>
      <c r="H421">
        <f t="shared" si="36"/>
        <v>0.12200059799760021</v>
      </c>
      <c r="I421">
        <f t="shared" si="35"/>
        <v>1</v>
      </c>
      <c r="J421">
        <f t="shared" si="37"/>
        <v>2</v>
      </c>
      <c r="K421">
        <v>3.38883587718009E-3</v>
      </c>
      <c r="L421">
        <v>1.3808123767375901E-3</v>
      </c>
      <c r="M421">
        <v>1.7161270767450301E-2</v>
      </c>
      <c r="N421">
        <v>-1.3102181255817301E-2</v>
      </c>
      <c r="O421">
        <f t="shared" si="38"/>
        <v>-1.320754280313842E-2</v>
      </c>
    </row>
    <row r="422" spans="1:15" x14ac:dyDescent="0.35">
      <c r="A422" t="s">
        <v>34</v>
      </c>
      <c r="B422">
        <v>2015</v>
      </c>
      <c r="C422">
        <v>238119</v>
      </c>
      <c r="D422" s="8">
        <v>0.92842030525207497</v>
      </c>
      <c r="E422" s="8">
        <v>-2E-3</v>
      </c>
      <c r="F422">
        <v>1.9979348779314801</v>
      </c>
      <c r="G422">
        <f t="shared" si="34"/>
        <v>2.1519724058480407</v>
      </c>
      <c r="H422">
        <f t="shared" si="36"/>
        <v>-0.1125240180653313</v>
      </c>
      <c r="I422">
        <f t="shared" si="35"/>
        <v>0</v>
      </c>
      <c r="J422">
        <f t="shared" si="37"/>
        <v>2</v>
      </c>
      <c r="K422">
        <v>1.7161270767450301E-2</v>
      </c>
      <c r="L422">
        <v>-1.3102181255817301E-2</v>
      </c>
      <c r="M422">
        <v>-9.8559700064361003E-3</v>
      </c>
      <c r="N422">
        <v>-2.3009527008980499E-2</v>
      </c>
      <c r="O422">
        <f t="shared" si="38"/>
        <v>-1.3793036434799361E-2</v>
      </c>
    </row>
    <row r="423" spans="1:15" x14ac:dyDescent="0.35">
      <c r="A423" t="s">
        <v>34</v>
      </c>
      <c r="B423">
        <v>2016</v>
      </c>
      <c r="C423">
        <v>238506.609375</v>
      </c>
      <c r="D423" s="8">
        <v>0.91013789176940896</v>
      </c>
      <c r="E423" s="8">
        <v>1.4999999999999999E-2</v>
      </c>
      <c r="F423">
        <v>1.8580439183927699</v>
      </c>
      <c r="G423">
        <f t="shared" si="34"/>
        <v>2.0414971568544704</v>
      </c>
      <c r="H423">
        <f t="shared" si="36"/>
        <v>-5.1336740514586032E-2</v>
      </c>
      <c r="I423">
        <f t="shared" si="35"/>
        <v>0</v>
      </c>
      <c r="J423">
        <f t="shared" si="37"/>
        <v>1</v>
      </c>
      <c r="K423">
        <v>-9.8559700064361003E-3</v>
      </c>
      <c r="L423">
        <v>-2.3009527008980499E-2</v>
      </c>
      <c r="M423">
        <v>-9.8403508812188994E-3</v>
      </c>
      <c r="N423">
        <v>-1.26299243420361E-2</v>
      </c>
      <c r="O423">
        <f t="shared" si="38"/>
        <v>-1.8213770724832955E-2</v>
      </c>
    </row>
    <row r="424" spans="1:15" x14ac:dyDescent="0.35">
      <c r="A424" t="s">
        <v>34</v>
      </c>
      <c r="B424">
        <v>2017</v>
      </c>
      <c r="C424">
        <v>238164.09375</v>
      </c>
      <c r="D424" s="8">
        <v>0.90615886449813798</v>
      </c>
      <c r="E424" s="8">
        <v>1.2E-2</v>
      </c>
      <c r="F424">
        <v>1.93635066582117</v>
      </c>
      <c r="G424">
        <f t="shared" si="34"/>
        <v>2.1368776951639576</v>
      </c>
      <c r="H424">
        <f t="shared" si="36"/>
        <v>4.6720877366515312E-2</v>
      </c>
      <c r="I424">
        <f t="shared" si="35"/>
        <v>1</v>
      </c>
      <c r="J424">
        <f t="shared" si="37"/>
        <v>2</v>
      </c>
      <c r="K424">
        <v>-9.8403508812188994E-3</v>
      </c>
      <c r="L424">
        <v>-1.26299243420361E-2</v>
      </c>
      <c r="M424">
        <v>4.4990575164556897E-3</v>
      </c>
      <c r="N424">
        <v>-4.6359654515980902E-3</v>
      </c>
      <c r="O424">
        <f t="shared" si="38"/>
        <v>-1.5405800566077201E-2</v>
      </c>
    </row>
    <row r="425" spans="1:15" x14ac:dyDescent="0.35">
      <c r="A425" t="s">
        <v>34</v>
      </c>
      <c r="B425">
        <v>2018</v>
      </c>
      <c r="C425">
        <v>237265.390625</v>
      </c>
      <c r="D425" s="8">
        <v>0.90757530927658103</v>
      </c>
      <c r="E425" s="8">
        <v>-1E-3</v>
      </c>
      <c r="F425">
        <v>1.8363955192629799</v>
      </c>
      <c r="G425">
        <f t="shared" si="34"/>
        <v>2.023408416351423</v>
      </c>
      <c r="H425">
        <f t="shared" si="36"/>
        <v>-5.3100502227774182E-2</v>
      </c>
      <c r="I425">
        <f t="shared" si="35"/>
        <v>0</v>
      </c>
      <c r="J425">
        <f t="shared" si="37"/>
        <v>2</v>
      </c>
      <c r="K425">
        <v>4.4990575164556897E-3</v>
      </c>
      <c r="L425">
        <v>-4.6359654515980902E-3</v>
      </c>
      <c r="M425">
        <v>5.1410786509513999E-3</v>
      </c>
      <c r="N425">
        <v>-1.2660115957260101E-2</v>
      </c>
      <c r="O425">
        <f t="shared" si="38"/>
        <v>-2.080607572570442E-2</v>
      </c>
    </row>
    <row r="426" spans="1:15" x14ac:dyDescent="0.35">
      <c r="A426" t="s">
        <v>34</v>
      </c>
      <c r="B426">
        <v>2019</v>
      </c>
      <c r="C426">
        <v>236369.296875</v>
      </c>
      <c r="D426" s="8">
        <v>0.91693615913391102</v>
      </c>
      <c r="E426" s="8">
        <v>8.0000000000000002E-3</v>
      </c>
      <c r="F426">
        <v>2.10635675294946</v>
      </c>
      <c r="G426">
        <f t="shared" si="34"/>
        <v>2.2971683818631519</v>
      </c>
      <c r="H426">
        <f t="shared" si="36"/>
        <v>0.13529644499817217</v>
      </c>
      <c r="I426">
        <f t="shared" si="35"/>
        <v>1</v>
      </c>
      <c r="J426" t="str">
        <f t="shared" si="37"/>
        <v/>
      </c>
      <c r="K426">
        <v>5.1410786509513999E-3</v>
      </c>
      <c r="L426">
        <v>-1.2660115957260101E-2</v>
      </c>
      <c r="M426">
        <v>2.8195410147309002E-3</v>
      </c>
      <c r="N426">
        <v>-1.6029649414122001E-2</v>
      </c>
      <c r="O426">
        <f t="shared" si="38"/>
        <v>-1.8398137483745809E-2</v>
      </c>
    </row>
    <row r="427" spans="1:15" x14ac:dyDescent="0.35">
      <c r="A427" t="s">
        <v>34</v>
      </c>
      <c r="B427">
        <v>2020</v>
      </c>
      <c r="C427">
        <v>236696.109375</v>
      </c>
      <c r="D427" s="8">
        <v>0.93327134847641002</v>
      </c>
      <c r="E427" s="8">
        <v>2.7E-2</v>
      </c>
      <c r="F427">
        <v>2.0410684474123499</v>
      </c>
      <c r="G427">
        <f t="shared" si="34"/>
        <v>2.1870042948864206</v>
      </c>
      <c r="H427">
        <f t="shared" si="36"/>
        <v>-4.7956470168451948E-2</v>
      </c>
      <c r="I427">
        <f t="shared" si="35"/>
        <v>0</v>
      </c>
      <c r="J427" t="str">
        <f t="shared" si="37"/>
        <v/>
      </c>
      <c r="K427">
        <v>2.8195410147309002E-3</v>
      </c>
      <c r="L427">
        <v>-1.6029649414122001E-2</v>
      </c>
      <c r="M427">
        <v>-1.5235857367515899E-3</v>
      </c>
      <c r="N427">
        <v>-4.5113198459148497E-2</v>
      </c>
      <c r="O427">
        <f t="shared" si="38"/>
        <v>-1.4347756141796734E-2</v>
      </c>
    </row>
    <row r="428" spans="1:15" x14ac:dyDescent="0.35">
      <c r="A428" t="s">
        <v>35</v>
      </c>
      <c r="B428">
        <v>2006</v>
      </c>
      <c r="C428">
        <v>617908.375</v>
      </c>
      <c r="D428" s="8">
        <v>0.92040562629699696</v>
      </c>
      <c r="E428" s="8">
        <v>2.7E-2</v>
      </c>
      <c r="F428">
        <v>2.2821323449253201</v>
      </c>
      <c r="G428">
        <f t="shared" si="34"/>
        <v>2.4794854352497411</v>
      </c>
      <c r="H428">
        <f t="shared" si="36"/>
        <v>0.13373596981368086</v>
      </c>
      <c r="I428">
        <f t="shared" si="35"/>
        <v>1</v>
      </c>
      <c r="J428" t="str">
        <f t="shared" si="37"/>
        <v/>
      </c>
      <c r="K428">
        <v>3.1100121915340301E-2</v>
      </c>
      <c r="L428">
        <v>2.4737082421779501E-2</v>
      </c>
      <c r="M428">
        <v>4.88170519471198E-4</v>
      </c>
      <c r="N428">
        <v>1.4099264517426901E-3</v>
      </c>
      <c r="O428" t="str">
        <f t="shared" si="38"/>
        <v/>
      </c>
    </row>
    <row r="429" spans="1:15" x14ac:dyDescent="0.35">
      <c r="A429" t="s">
        <v>35</v>
      </c>
      <c r="B429">
        <v>2007</v>
      </c>
      <c r="C429">
        <v>632187.0625</v>
      </c>
      <c r="D429" s="8">
        <v>0.91040837764740001</v>
      </c>
      <c r="E429" s="8">
        <v>2.5999999999999999E-2</v>
      </c>
      <c r="F429">
        <v>2.1957412246627501</v>
      </c>
      <c r="G429">
        <f t="shared" si="34"/>
        <v>2.411820100268407</v>
      </c>
      <c r="H429">
        <f t="shared" si="36"/>
        <v>-2.7290071568627172E-2</v>
      </c>
      <c r="I429">
        <f t="shared" si="35"/>
        <v>0</v>
      </c>
      <c r="J429" t="str">
        <f t="shared" si="37"/>
        <v/>
      </c>
      <c r="K429">
        <v>4.88170519471198E-4</v>
      </c>
      <c r="L429">
        <v>1.4099264517426901E-3</v>
      </c>
      <c r="M429">
        <v>-6.1148145526647601E-2</v>
      </c>
      <c r="N429">
        <v>-3.1637341249734198E-2</v>
      </c>
      <c r="O429" t="str">
        <f t="shared" si="38"/>
        <v/>
      </c>
    </row>
    <row r="430" spans="1:15" x14ac:dyDescent="0.35">
      <c r="A430" t="s">
        <v>35</v>
      </c>
      <c r="B430">
        <v>2008</v>
      </c>
      <c r="C430">
        <v>646598.875</v>
      </c>
      <c r="D430" s="8">
        <v>0.89641642570495605</v>
      </c>
      <c r="E430" s="8">
        <v>6.5000000000000002E-2</v>
      </c>
      <c r="F430">
        <v>2.2821546680233999</v>
      </c>
      <c r="G430">
        <f t="shared" si="34"/>
        <v>2.5458644025054289</v>
      </c>
      <c r="H430">
        <f t="shared" si="36"/>
        <v>5.5578068290460081E-2</v>
      </c>
      <c r="I430">
        <f t="shared" si="35"/>
        <v>1</v>
      </c>
      <c r="J430" t="str">
        <f t="shared" si="37"/>
        <v/>
      </c>
      <c r="K430">
        <v>-6.1148145526647601E-2</v>
      </c>
      <c r="L430">
        <v>-3.1637341249734198E-2</v>
      </c>
      <c r="M430">
        <v>-2.7187126412987699E-2</v>
      </c>
      <c r="N430">
        <v>-6.2042474746704795E-4</v>
      </c>
      <c r="O430" t="str">
        <f t="shared" si="38"/>
        <v/>
      </c>
    </row>
    <row r="431" spans="1:15" x14ac:dyDescent="0.35">
      <c r="A431" t="s">
        <v>35</v>
      </c>
      <c r="B431">
        <v>2009</v>
      </c>
      <c r="C431">
        <v>658397.5</v>
      </c>
      <c r="D431" s="8">
        <v>0.905062556266785</v>
      </c>
      <c r="E431" s="8">
        <v>3.4000000000000002E-2</v>
      </c>
      <c r="F431">
        <v>2.2787300241995698</v>
      </c>
      <c r="G431">
        <f t="shared" si="34"/>
        <v>2.5177596934281627</v>
      </c>
      <c r="H431">
        <f t="shared" si="36"/>
        <v>-1.1039358203684291E-2</v>
      </c>
      <c r="I431">
        <f t="shared" si="35"/>
        <v>0</v>
      </c>
      <c r="J431" t="str">
        <f t="shared" si="37"/>
        <v/>
      </c>
      <c r="K431">
        <v>-2.7187126412987699E-2</v>
      </c>
      <c r="L431">
        <v>-6.2042474746704795E-4</v>
      </c>
      <c r="M431">
        <v>-5.2378514632582997E-3</v>
      </c>
      <c r="N431">
        <v>4.22225729562338E-3</v>
      </c>
      <c r="O431" t="str">
        <f t="shared" si="38"/>
        <v/>
      </c>
    </row>
    <row r="432" spans="1:15" x14ac:dyDescent="0.35">
      <c r="A432" t="s">
        <v>35</v>
      </c>
      <c r="B432">
        <v>2010</v>
      </c>
      <c r="C432">
        <v>670175.625</v>
      </c>
      <c r="D432" s="8">
        <v>0.91997140645980802</v>
      </c>
      <c r="E432" s="8">
        <v>1.6E-2</v>
      </c>
      <c r="F432">
        <v>2.4272704550147202</v>
      </c>
      <c r="G432">
        <f t="shared" si="34"/>
        <v>2.6384194530080358</v>
      </c>
      <c r="H432">
        <f t="shared" si="36"/>
        <v>4.7923461438682313E-2</v>
      </c>
      <c r="I432">
        <f t="shared" si="35"/>
        <v>1</v>
      </c>
      <c r="J432">
        <f t="shared" si="37"/>
        <v>3</v>
      </c>
      <c r="K432">
        <v>-5.2378514632582997E-3</v>
      </c>
      <c r="L432">
        <v>4.22225729562338E-3</v>
      </c>
      <c r="M432">
        <v>-1.31099767684937E-2</v>
      </c>
      <c r="N432">
        <v>8.17379774525759E-3</v>
      </c>
      <c r="O432">
        <f t="shared" si="38"/>
        <v>8.1601149402558588E-3</v>
      </c>
    </row>
    <row r="433" spans="1:15" x14ac:dyDescent="0.35">
      <c r="A433" t="s">
        <v>35</v>
      </c>
      <c r="B433">
        <v>2011</v>
      </c>
      <c r="C433">
        <v>682831.4375</v>
      </c>
      <c r="D433" s="8">
        <v>0.925295829772949</v>
      </c>
      <c r="E433" s="8">
        <v>0</v>
      </c>
      <c r="F433">
        <v>2.3705540582335498</v>
      </c>
      <c r="G433">
        <f t="shared" si="34"/>
        <v>2.5619417941343596</v>
      </c>
      <c r="H433">
        <f t="shared" si="36"/>
        <v>-2.8986163965128764E-2</v>
      </c>
      <c r="I433">
        <f t="shared" si="35"/>
        <v>0</v>
      </c>
      <c r="J433">
        <f t="shared" si="37"/>
        <v>2</v>
      </c>
      <c r="K433">
        <v>-1.31099767684937E-2</v>
      </c>
      <c r="L433">
        <v>8.17379774525759E-3</v>
      </c>
      <c r="M433">
        <v>4.7343009710309997E-4</v>
      </c>
      <c r="N433">
        <v>5.9116361662744999E-3</v>
      </c>
      <c r="O433">
        <f t="shared" si="38"/>
        <v>6.2905086204409402E-3</v>
      </c>
    </row>
    <row r="434" spans="1:15" x14ac:dyDescent="0.35">
      <c r="A434" t="s">
        <v>35</v>
      </c>
      <c r="B434">
        <v>2012</v>
      </c>
      <c r="C434">
        <v>696729.625</v>
      </c>
      <c r="D434" s="8">
        <v>0.93060463666915905</v>
      </c>
      <c r="E434" s="8">
        <v>0.02</v>
      </c>
      <c r="F434">
        <v>2.3090333135348602</v>
      </c>
      <c r="G434">
        <f t="shared" si="34"/>
        <v>2.481218363363634</v>
      </c>
      <c r="H434">
        <f t="shared" si="36"/>
        <v>-3.1508690383030724E-2</v>
      </c>
      <c r="I434">
        <f t="shared" si="35"/>
        <v>0</v>
      </c>
      <c r="J434">
        <f t="shared" si="37"/>
        <v>2</v>
      </c>
      <c r="K434">
        <v>4.7343009710309997E-4</v>
      </c>
      <c r="L434">
        <v>5.8260373771190001E-3</v>
      </c>
      <c r="M434">
        <v>5.8064261823892998E-3</v>
      </c>
      <c r="N434">
        <v>-3.2034516334529799E-4</v>
      </c>
      <c r="O434">
        <f t="shared" si="38"/>
        <v>2.677222900092621E-3</v>
      </c>
    </row>
    <row r="435" spans="1:15" x14ac:dyDescent="0.35">
      <c r="A435" t="s">
        <v>35</v>
      </c>
      <c r="B435">
        <v>2013</v>
      </c>
      <c r="C435">
        <v>709825.5</v>
      </c>
      <c r="D435" s="8">
        <v>0.91976523399353005</v>
      </c>
      <c r="E435" s="8">
        <v>4.9000000000000002E-2</v>
      </c>
      <c r="F435">
        <v>2.3017426839185098</v>
      </c>
      <c r="G435">
        <f t="shared" si="34"/>
        <v>2.5025328190809843</v>
      </c>
      <c r="H435">
        <f t="shared" si="36"/>
        <v>8.590318382319051E-3</v>
      </c>
      <c r="I435">
        <f t="shared" si="35"/>
        <v>1</v>
      </c>
      <c r="J435">
        <f t="shared" si="37"/>
        <v>2</v>
      </c>
      <c r="K435">
        <v>5.8064261823892998E-3</v>
      </c>
      <c r="L435">
        <v>-3.2034516334529799E-4</v>
      </c>
      <c r="M435">
        <v>2.0033079028129501E-2</v>
      </c>
      <c r="N435">
        <v>1.8025055527687E-2</v>
      </c>
      <c r="O435">
        <f t="shared" si="38"/>
        <v>7.1175713092091997E-4</v>
      </c>
    </row>
    <row r="436" spans="1:15" x14ac:dyDescent="0.35">
      <c r="A436" t="s">
        <v>35</v>
      </c>
      <c r="B436">
        <v>2014</v>
      </c>
      <c r="C436">
        <v>724652.5625</v>
      </c>
      <c r="D436" s="8">
        <v>0.92704254388809204</v>
      </c>
      <c r="E436" s="8">
        <v>7.2999999999999995E-2</v>
      </c>
      <c r="F436">
        <v>2.2591213180229599</v>
      </c>
      <c r="G436">
        <f t="shared" si="34"/>
        <v>2.4369122354924735</v>
      </c>
      <c r="H436">
        <f t="shared" si="36"/>
        <v>-2.6221667539452653E-2</v>
      </c>
      <c r="I436">
        <f t="shared" si="35"/>
        <v>0</v>
      </c>
      <c r="J436">
        <f t="shared" si="37"/>
        <v>2</v>
      </c>
      <c r="K436">
        <v>2.0033079028129501E-2</v>
      </c>
      <c r="L436">
        <v>1.8025055527687E-2</v>
      </c>
      <c r="M436">
        <v>3.9273882448673199E-2</v>
      </c>
      <c r="N436">
        <v>9.0104304254055006E-3</v>
      </c>
      <c r="O436">
        <f t="shared" si="38"/>
        <v>-2.1089693531393416E-3</v>
      </c>
    </row>
    <row r="437" spans="1:15" x14ac:dyDescent="0.35">
      <c r="A437" t="s">
        <v>35</v>
      </c>
      <c r="B437">
        <v>2015</v>
      </c>
      <c r="C437">
        <v>740963.3125</v>
      </c>
      <c r="D437" s="8">
        <v>0.91723197698593095</v>
      </c>
      <c r="E437" s="8">
        <v>0.05</v>
      </c>
      <c r="F437">
        <v>2.20005050186225</v>
      </c>
      <c r="G437">
        <f t="shared" si="34"/>
        <v>2.3985758859952999</v>
      </c>
      <c r="H437">
        <f t="shared" si="36"/>
        <v>-1.5731526535433971E-2</v>
      </c>
      <c r="I437">
        <f t="shared" si="35"/>
        <v>0</v>
      </c>
      <c r="J437">
        <f t="shared" si="37"/>
        <v>1</v>
      </c>
      <c r="K437">
        <v>3.9273882448673199E-2</v>
      </c>
      <c r="L437">
        <v>9.0104304254055006E-3</v>
      </c>
      <c r="M437">
        <v>1.19793231487274E-2</v>
      </c>
      <c r="N437">
        <v>-1.174233853817E-3</v>
      </c>
      <c r="O437">
        <f t="shared" si="38"/>
        <v>-5.7910753414034209E-3</v>
      </c>
    </row>
    <row r="438" spans="1:15" x14ac:dyDescent="0.35">
      <c r="A438" t="s">
        <v>35</v>
      </c>
      <c r="B438">
        <v>2016</v>
      </c>
      <c r="C438">
        <v>755333.375</v>
      </c>
      <c r="D438" s="8">
        <v>0.90047538280487105</v>
      </c>
      <c r="E438" s="8">
        <v>0.04</v>
      </c>
      <c r="F438">
        <v>2.11632016317134</v>
      </c>
      <c r="G438">
        <f t="shared" si="34"/>
        <v>2.3502254515601089</v>
      </c>
      <c r="H438">
        <f t="shared" si="36"/>
        <v>-2.0157975704457542E-2</v>
      </c>
      <c r="I438">
        <f t="shared" si="35"/>
        <v>0</v>
      </c>
      <c r="J438">
        <f t="shared" si="37"/>
        <v>1</v>
      </c>
      <c r="K438">
        <v>1.19793231487274E-2</v>
      </c>
      <c r="L438">
        <v>-1.174233853817E-3</v>
      </c>
      <c r="M438">
        <v>-9.3652189746499005E-3</v>
      </c>
      <c r="N438">
        <v>-1.2154792435467099E-2</v>
      </c>
      <c r="O438">
        <f t="shared" si="38"/>
        <v>3.8791837170719982E-3</v>
      </c>
    </row>
    <row r="439" spans="1:15" x14ac:dyDescent="0.35">
      <c r="A439" t="s">
        <v>35</v>
      </c>
      <c r="B439">
        <v>2017</v>
      </c>
      <c r="C439">
        <v>767765.375</v>
      </c>
      <c r="D439" s="8">
        <v>0.87342494726180997</v>
      </c>
      <c r="E439" s="8">
        <v>0.1</v>
      </c>
      <c r="F439">
        <v>2.0937073221977101</v>
      </c>
      <c r="G439">
        <f t="shared" si="34"/>
        <v>2.3971233347083678</v>
      </c>
      <c r="H439">
        <f t="shared" si="36"/>
        <v>1.9954631636351028E-2</v>
      </c>
      <c r="I439">
        <f t="shared" si="35"/>
        <v>1</v>
      </c>
      <c r="J439">
        <f t="shared" si="37"/>
        <v>2</v>
      </c>
      <c r="K439">
        <v>-9.3652189746499005E-3</v>
      </c>
      <c r="L439">
        <v>-1.2154792435467099E-2</v>
      </c>
      <c r="M439">
        <v>-1.0126510411501001E-3</v>
      </c>
      <c r="N439">
        <v>-1.01476740092038E-2</v>
      </c>
      <c r="O439">
        <f t="shared" si="38"/>
        <v>1.2104417756199777E-2</v>
      </c>
    </row>
    <row r="440" spans="1:15" x14ac:dyDescent="0.35">
      <c r="A440" t="s">
        <v>35</v>
      </c>
      <c r="B440">
        <v>2018</v>
      </c>
      <c r="C440">
        <v>779496.8125</v>
      </c>
      <c r="D440" s="8">
        <v>0.87849384546279896</v>
      </c>
      <c r="E440" s="8">
        <v>7.1999999999999995E-2</v>
      </c>
      <c r="F440">
        <v>2.21042223793276</v>
      </c>
      <c r="G440">
        <f t="shared" si="34"/>
        <v>2.5161499415722015</v>
      </c>
      <c r="H440">
        <f t="shared" si="36"/>
        <v>4.9653935256658066E-2</v>
      </c>
      <c r="I440">
        <f t="shared" si="35"/>
        <v>1</v>
      </c>
      <c r="J440">
        <f t="shared" si="37"/>
        <v>2</v>
      </c>
      <c r="K440">
        <v>-1.0126510411501001E-3</v>
      </c>
      <c r="L440">
        <v>-1.01476740092038E-2</v>
      </c>
      <c r="M440">
        <v>2.1722617715597199E-2</v>
      </c>
      <c r="N440">
        <v>3.92142310738569E-3</v>
      </c>
      <c r="O440">
        <f t="shared" si="38"/>
        <v>1.2243862636387258E-2</v>
      </c>
    </row>
    <row r="441" spans="1:15" x14ac:dyDescent="0.35">
      <c r="A441" t="s">
        <v>35</v>
      </c>
      <c r="B441">
        <v>2019</v>
      </c>
      <c r="C441">
        <v>792814.375</v>
      </c>
      <c r="D441" s="8">
        <v>0.89721870422363303</v>
      </c>
      <c r="E441" s="8">
        <v>0.04</v>
      </c>
      <c r="F441">
        <v>2.2191324919554498</v>
      </c>
      <c r="G441">
        <f t="shared" si="34"/>
        <v>2.4733462215053508</v>
      </c>
      <c r="H441">
        <f t="shared" si="36"/>
        <v>-1.7011593530115721E-2</v>
      </c>
      <c r="I441">
        <f t="shared" si="35"/>
        <v>0</v>
      </c>
      <c r="J441" t="str">
        <f t="shared" si="37"/>
        <v/>
      </c>
      <c r="K441">
        <v>2.1722617715597199E-2</v>
      </c>
      <c r="L441">
        <v>3.92142310738569E-3</v>
      </c>
      <c r="M441">
        <v>9.4490909129381004E-3</v>
      </c>
      <c r="N441">
        <v>-9.4000995159148996E-3</v>
      </c>
      <c r="O441">
        <f t="shared" si="38"/>
        <v>1.14490345120429E-2</v>
      </c>
    </row>
    <row r="442" spans="1:15" x14ac:dyDescent="0.35">
      <c r="A442" t="s">
        <v>35</v>
      </c>
      <c r="B442">
        <v>2020</v>
      </c>
      <c r="C442">
        <v>806353.5625</v>
      </c>
      <c r="D442" s="8">
        <v>0.88999783992767301</v>
      </c>
      <c r="E442" s="8">
        <v>7.0000000000000007E-2</v>
      </c>
      <c r="F442">
        <v>2.1844143017745798</v>
      </c>
      <c r="G442">
        <f t="shared" si="34"/>
        <v>2.4544040488369046</v>
      </c>
      <c r="H442">
        <f t="shared" si="36"/>
        <v>-7.6585204706672849E-3</v>
      </c>
      <c r="I442">
        <f t="shared" si="35"/>
        <v>0</v>
      </c>
      <c r="J442" t="str">
        <f t="shared" si="37"/>
        <v/>
      </c>
      <c r="K442">
        <v>9.4490909129381004E-3</v>
      </c>
      <c r="L442">
        <v>-9.4000995159148996E-3</v>
      </c>
      <c r="M442">
        <v>9.0766674160957003E-2</v>
      </c>
      <c r="N442">
        <v>4.7177061438560097E-2</v>
      </c>
      <c r="O442">
        <f t="shared" si="38"/>
        <v>8.769106771796863E-3</v>
      </c>
    </row>
    <row r="443" spans="1:15" x14ac:dyDescent="0.35">
      <c r="A443" t="s">
        <v>35</v>
      </c>
      <c r="B443">
        <v>2021</v>
      </c>
      <c r="C443">
        <v>818831.4375</v>
      </c>
      <c r="D443" s="8">
        <v>0.91229373216628995</v>
      </c>
      <c r="E443" s="8">
        <v>7.4999999999999997E-2</v>
      </c>
      <c r="F443">
        <v>2.1511622797381</v>
      </c>
      <c r="G443">
        <f t="shared" si="34"/>
        <v>2.357971126941814</v>
      </c>
      <c r="H443">
        <f t="shared" si="36"/>
        <v>-3.9289750170021231E-2</v>
      </c>
      <c r="I443">
        <f t="shared" si="35"/>
        <v>0</v>
      </c>
      <c r="J443" t="str">
        <f t="shared" si="37"/>
        <v/>
      </c>
      <c r="K443">
        <v>9.0766674160957003E-2</v>
      </c>
      <c r="L443">
        <v>4.7177061438560097E-2</v>
      </c>
      <c r="M443">
        <v>-3.1321290135384E-3</v>
      </c>
      <c r="N443">
        <v>2.89713777601718E-2</v>
      </c>
      <c r="O443">
        <f t="shared" si="38"/>
        <v>-7.3167142458259978E-3</v>
      </c>
    </row>
    <row r="444" spans="1:15" x14ac:dyDescent="0.35">
      <c r="A444" t="s">
        <v>35</v>
      </c>
      <c r="B444">
        <v>2022</v>
      </c>
      <c r="C444">
        <v>836195.6875</v>
      </c>
      <c r="D444" s="8">
        <v>0.90881091356277499</v>
      </c>
      <c r="E444" s="8">
        <v>4.8000000000000001E-2</v>
      </c>
      <c r="F444">
        <v>1.9917865295096799</v>
      </c>
      <c r="G444">
        <f t="shared" si="34"/>
        <v>2.1916401968604879</v>
      </c>
      <c r="H444">
        <f t="shared" si="36"/>
        <v>-7.0539850204633381E-2</v>
      </c>
      <c r="I444">
        <f t="shared" si="35"/>
        <v>0</v>
      </c>
      <c r="J444" t="str">
        <f t="shared" si="37"/>
        <v/>
      </c>
      <c r="K444">
        <v>-3.1321290135384E-3</v>
      </c>
      <c r="L444">
        <v>2.9450081288814399E-2</v>
      </c>
      <c r="M444">
        <v>-2.9009377382695701E-2</v>
      </c>
      <c r="N444">
        <v>-9.45044960826639E-3</v>
      </c>
      <c r="O444">
        <f t="shared" si="38"/>
        <v>-1.7614672938361737E-2</v>
      </c>
    </row>
    <row r="445" spans="1:15" x14ac:dyDescent="0.35">
      <c r="A445" t="s">
        <v>36</v>
      </c>
      <c r="B445">
        <v>2006</v>
      </c>
      <c r="C445">
        <v>2028353</v>
      </c>
      <c r="D445" s="8">
        <v>0.925442814826965</v>
      </c>
      <c r="E445" s="8">
        <v>0.02</v>
      </c>
      <c r="F445">
        <v>2.2482610128528999</v>
      </c>
      <c r="G445">
        <f t="shared" si="34"/>
        <v>2.4293894520897754</v>
      </c>
      <c r="H445">
        <f t="shared" si="36"/>
        <v>0.10848005779865777</v>
      </c>
      <c r="I445">
        <f t="shared" si="35"/>
        <v>1</v>
      </c>
      <c r="J445" t="str">
        <f t="shared" si="37"/>
        <v/>
      </c>
      <c r="K445">
        <v>-6.8878069221973001E-3</v>
      </c>
      <c r="L445">
        <v>-1.3250846415757999E-2</v>
      </c>
      <c r="M445">
        <v>-9.7447344660760095E-4</v>
      </c>
      <c r="N445">
        <v>-5.27175143361004E-5</v>
      </c>
      <c r="O445" t="str">
        <f t="shared" si="38"/>
        <v/>
      </c>
    </row>
    <row r="446" spans="1:15" x14ac:dyDescent="0.35">
      <c r="A446" t="s">
        <v>36</v>
      </c>
      <c r="B446">
        <v>2007</v>
      </c>
      <c r="C446">
        <v>2102540</v>
      </c>
      <c r="D446" s="8">
        <v>0.91287809610366799</v>
      </c>
      <c r="E446" s="8">
        <v>3.3000000000000002E-2</v>
      </c>
      <c r="F446">
        <v>2.3100838967514501</v>
      </c>
      <c r="G446">
        <f t="shared" si="34"/>
        <v>2.5305502526693475</v>
      </c>
      <c r="H446">
        <f t="shared" si="36"/>
        <v>4.1640421420514828E-2</v>
      </c>
      <c r="I446">
        <f t="shared" si="35"/>
        <v>1</v>
      </c>
      <c r="J446" t="str">
        <f t="shared" si="37"/>
        <v/>
      </c>
      <c r="K446">
        <v>-9.7447344660760095E-4</v>
      </c>
      <c r="L446">
        <v>-5.27175143361004E-5</v>
      </c>
      <c r="M446">
        <v>-5.2310542494058601E-2</v>
      </c>
      <c r="N446">
        <v>-2.27997382171451E-2</v>
      </c>
      <c r="O446" t="str">
        <f t="shared" si="38"/>
        <v/>
      </c>
    </row>
    <row r="447" spans="1:15" x14ac:dyDescent="0.35">
      <c r="A447" t="s">
        <v>36</v>
      </c>
      <c r="B447">
        <v>2008</v>
      </c>
      <c r="C447">
        <v>2162873</v>
      </c>
      <c r="D447" s="8">
        <v>0.90680074691772505</v>
      </c>
      <c r="E447" s="8">
        <v>0.03</v>
      </c>
      <c r="F447">
        <v>2.32697370260736</v>
      </c>
      <c r="G447">
        <f t="shared" si="34"/>
        <v>2.5661356262849315</v>
      </c>
      <c r="H447">
        <f t="shared" si="36"/>
        <v>1.4062306637873334E-2</v>
      </c>
      <c r="I447">
        <f t="shared" si="35"/>
        <v>1</v>
      </c>
      <c r="J447" t="str">
        <f t="shared" si="37"/>
        <v/>
      </c>
      <c r="K447">
        <v>-5.2310542494058601E-2</v>
      </c>
      <c r="L447">
        <v>-2.27997382171451E-2</v>
      </c>
      <c r="M447">
        <v>-5.9818745315074903E-2</v>
      </c>
      <c r="N447">
        <v>-3.3252043649554197E-2</v>
      </c>
      <c r="O447" t="str">
        <f t="shared" si="38"/>
        <v/>
      </c>
    </row>
    <row r="448" spans="1:15" x14ac:dyDescent="0.35">
      <c r="A448" t="s">
        <v>36</v>
      </c>
      <c r="B448">
        <v>2009</v>
      </c>
      <c r="C448">
        <v>2202796</v>
      </c>
      <c r="D448" s="8">
        <v>0.90831071138382002</v>
      </c>
      <c r="E448" s="8">
        <v>4.2999999999999997E-2</v>
      </c>
      <c r="F448">
        <v>2.3272263985610802</v>
      </c>
      <c r="G448">
        <f t="shared" si="34"/>
        <v>2.5621479185415841</v>
      </c>
      <c r="H448">
        <f t="shared" si="36"/>
        <v>-1.5539738829473126E-3</v>
      </c>
      <c r="I448">
        <f t="shared" si="35"/>
        <v>0</v>
      </c>
      <c r="J448" t="str">
        <f t="shared" si="37"/>
        <v/>
      </c>
      <c r="K448">
        <v>-5.9818745315074903E-2</v>
      </c>
      <c r="L448">
        <v>-3.3252043649554197E-2</v>
      </c>
      <c r="M448">
        <v>-3.1978524461388602E-2</v>
      </c>
      <c r="N448">
        <v>-2.25184157025069E-2</v>
      </c>
      <c r="O448" t="str">
        <f t="shared" si="38"/>
        <v/>
      </c>
    </row>
    <row r="449" spans="1:15" x14ac:dyDescent="0.35">
      <c r="A449" t="s">
        <v>36</v>
      </c>
      <c r="B449">
        <v>2010</v>
      </c>
      <c r="C449">
        <v>2230784</v>
      </c>
      <c r="D449" s="8">
        <v>0.92203211784362804</v>
      </c>
      <c r="E449" s="8">
        <v>0.02</v>
      </c>
      <c r="F449">
        <v>2.3751994119302999</v>
      </c>
      <c r="G449">
        <f t="shared" si="34"/>
        <v>2.5760484542395536</v>
      </c>
      <c r="H449">
        <f t="shared" si="36"/>
        <v>5.4253447263428178E-3</v>
      </c>
      <c r="I449">
        <f t="shared" si="35"/>
        <v>1</v>
      </c>
      <c r="J449">
        <f t="shared" si="37"/>
        <v>4</v>
      </c>
      <c r="K449">
        <v>-3.1978524461388602E-2</v>
      </c>
      <c r="L449">
        <v>-2.25184157025069E-2</v>
      </c>
      <c r="M449">
        <v>-1.6140262007713301E-2</v>
      </c>
      <c r="N449">
        <v>5.1435125060379904E-3</v>
      </c>
      <c r="O449">
        <f t="shared" si="38"/>
        <v>8.1243223510682368E-3</v>
      </c>
    </row>
    <row r="450" spans="1:15" x14ac:dyDescent="0.35">
      <c r="A450" t="s">
        <v>36</v>
      </c>
      <c r="B450">
        <v>2011</v>
      </c>
      <c r="C450">
        <v>2262619</v>
      </c>
      <c r="D450" s="8">
        <v>0.92601460218429599</v>
      </c>
      <c r="E450" s="8">
        <v>3.0000000000000001E-3</v>
      </c>
      <c r="F450">
        <v>2.4296356856872099</v>
      </c>
      <c r="G450">
        <f t="shared" si="34"/>
        <v>2.6237552625586593</v>
      </c>
      <c r="H450">
        <f t="shared" si="36"/>
        <v>1.8519375379213665E-2</v>
      </c>
      <c r="I450">
        <f t="shared" si="35"/>
        <v>1</v>
      </c>
      <c r="J450">
        <f t="shared" si="37"/>
        <v>4</v>
      </c>
      <c r="K450">
        <v>-1.6140262007713301E-2</v>
      </c>
      <c r="L450">
        <v>5.1435125060379904E-3</v>
      </c>
      <c r="M450">
        <v>9.1603488624095904E-3</v>
      </c>
      <c r="N450">
        <v>1.4598554931580901E-2</v>
      </c>
      <c r="O450">
        <f t="shared" si="38"/>
        <v>7.1290319785475374E-3</v>
      </c>
    </row>
    <row r="451" spans="1:15" x14ac:dyDescent="0.35">
      <c r="A451" t="s">
        <v>36</v>
      </c>
      <c r="B451">
        <v>2012</v>
      </c>
      <c r="C451">
        <v>2300258</v>
      </c>
      <c r="D451" s="8">
        <v>0.93449234962463401</v>
      </c>
      <c r="E451" s="8">
        <v>1.2E-2</v>
      </c>
      <c r="F451">
        <v>2.3442982456140302</v>
      </c>
      <c r="G451">
        <f t="shared" ref="G451:G514" si="39">F451/D451</f>
        <v>2.5086328920249437</v>
      </c>
      <c r="H451">
        <f t="shared" si="36"/>
        <v>-4.3876946976163289E-2</v>
      </c>
      <c r="I451">
        <f t="shared" ref="I451:I514" si="40">IF(H451&gt;0,1,0)</f>
        <v>0</v>
      </c>
      <c r="J451">
        <f t="shared" si="37"/>
        <v>3</v>
      </c>
      <c r="K451">
        <v>9.1603488624095904E-3</v>
      </c>
      <c r="L451">
        <v>1.45129561424254E-2</v>
      </c>
      <c r="M451">
        <v>1.11192265897989E-2</v>
      </c>
      <c r="N451">
        <v>4.9924552440642998E-3</v>
      </c>
      <c r="O451">
        <f t="shared" si="38"/>
        <v>3.3057350665330804E-3</v>
      </c>
    </row>
    <row r="452" spans="1:15" x14ac:dyDescent="0.35">
      <c r="A452" t="s">
        <v>36</v>
      </c>
      <c r="B452">
        <v>2013</v>
      </c>
      <c r="C452">
        <v>2339734</v>
      </c>
      <c r="D452" s="8">
        <v>0.92956817150116</v>
      </c>
      <c r="E452" s="8">
        <v>3.5000000000000003E-2</v>
      </c>
      <c r="F452">
        <v>2.3732839949796798</v>
      </c>
      <c r="G452">
        <f t="shared" si="39"/>
        <v>2.5531037612304028</v>
      </c>
      <c r="H452">
        <f t="shared" ref="H452:H515" si="41">+G452/G451-1</f>
        <v>1.7727133111757443E-2</v>
      </c>
      <c r="I452">
        <f t="shared" si="40"/>
        <v>1</v>
      </c>
      <c r="J452">
        <f t="shared" si="37"/>
        <v>3</v>
      </c>
      <c r="K452">
        <v>1.11192265897989E-2</v>
      </c>
      <c r="L452">
        <v>4.9924552440642998E-3</v>
      </c>
      <c r="M452">
        <v>6.2755447030066903E-3</v>
      </c>
      <c r="N452">
        <v>4.2675212025641901E-3</v>
      </c>
      <c r="O452">
        <f t="shared" si="38"/>
        <v>4.7473814338445594E-3</v>
      </c>
    </row>
    <row r="453" spans="1:15" x14ac:dyDescent="0.35">
      <c r="A453" t="s">
        <v>36</v>
      </c>
      <c r="B453">
        <v>2014</v>
      </c>
      <c r="C453">
        <v>2382408</v>
      </c>
      <c r="D453" s="8">
        <v>0.92482888698577903</v>
      </c>
      <c r="E453" s="8">
        <v>4.2999999999999997E-2</v>
      </c>
      <c r="F453">
        <v>2.35898261630815</v>
      </c>
      <c r="G453">
        <f t="shared" si="39"/>
        <v>2.5507233278542949</v>
      </c>
      <c r="H453">
        <f t="shared" si="41"/>
        <v>-9.3236844199418023E-4</v>
      </c>
      <c r="I453">
        <f t="shared" si="40"/>
        <v>0</v>
      </c>
      <c r="J453">
        <f t="shared" si="37"/>
        <v>3</v>
      </c>
      <c r="K453">
        <v>6.2755447030066903E-3</v>
      </c>
      <c r="L453">
        <v>4.2675212025641901E-3</v>
      </c>
      <c r="M453">
        <v>4.1883019894361502E-2</v>
      </c>
      <c r="N453">
        <v>1.16195678710938E-2</v>
      </c>
      <c r="O453">
        <f t="shared" si="38"/>
        <v>6.1483044177293618E-3</v>
      </c>
    </row>
    <row r="454" spans="1:15" x14ac:dyDescent="0.35">
      <c r="A454" t="s">
        <v>36</v>
      </c>
      <c r="B454">
        <v>2015</v>
      </c>
      <c r="C454">
        <v>2430319</v>
      </c>
      <c r="D454" s="8">
        <v>0.91992849111556996</v>
      </c>
      <c r="E454" s="8">
        <v>5.8999999999999997E-2</v>
      </c>
      <c r="F454">
        <v>2.3640159185381302</v>
      </c>
      <c r="G454">
        <f t="shared" si="39"/>
        <v>2.5697822617401038</v>
      </c>
      <c r="H454">
        <f t="shared" si="41"/>
        <v>7.4719722353586704E-3</v>
      </c>
      <c r="I454">
        <f t="shared" si="40"/>
        <v>1</v>
      </c>
      <c r="J454">
        <f t="shared" si="37"/>
        <v>3</v>
      </c>
      <c r="K454">
        <v>4.1883019894361502E-2</v>
      </c>
      <c r="L454">
        <v>1.16195678710938E-2</v>
      </c>
      <c r="M454">
        <v>1.33206176459789E-2</v>
      </c>
      <c r="N454">
        <v>1.6706064343450001E-4</v>
      </c>
      <c r="O454">
        <f t="shared" si="38"/>
        <v>2.0579263567924223E-3</v>
      </c>
    </row>
    <row r="455" spans="1:15" x14ac:dyDescent="0.35">
      <c r="A455" t="s">
        <v>36</v>
      </c>
      <c r="B455">
        <v>2016</v>
      </c>
      <c r="C455">
        <v>2481625</v>
      </c>
      <c r="D455" s="8">
        <v>0.92775267362594604</v>
      </c>
      <c r="E455" s="8">
        <v>4.1000000000000002E-2</v>
      </c>
      <c r="F455">
        <v>2.3542441807532302</v>
      </c>
      <c r="G455">
        <f t="shared" si="39"/>
        <v>2.5375773605179832</v>
      </c>
      <c r="H455">
        <f t="shared" si="41"/>
        <v>-1.2532151731918906E-2</v>
      </c>
      <c r="I455">
        <f t="shared" si="40"/>
        <v>0</v>
      </c>
      <c r="J455">
        <f t="shared" ref="J455:J518" si="42">IF(AND(B455&gt;=2010,B455&lt;=2018),SUM(I451:I455),"")</f>
        <v>2</v>
      </c>
      <c r="K455">
        <v>1.33206176459789E-2</v>
      </c>
      <c r="L455">
        <v>1.6706064343450001E-4</v>
      </c>
      <c r="M455">
        <v>-1.7283561676741E-3</v>
      </c>
      <c r="N455">
        <v>-4.5179296284913904E-3</v>
      </c>
      <c r="O455">
        <f t="shared" ref="O455:O518" si="43">IF(B455&gt;=2010,AVERAGE(N455:N459),"")</f>
        <v>1.2659949809312742E-2</v>
      </c>
    </row>
    <row r="456" spans="1:15" x14ac:dyDescent="0.35">
      <c r="A456" t="s">
        <v>36</v>
      </c>
      <c r="B456">
        <v>2017</v>
      </c>
      <c r="C456">
        <v>2529668</v>
      </c>
      <c r="D456" s="8">
        <v>0.909132540225983</v>
      </c>
      <c r="E456" s="8">
        <v>0.06</v>
      </c>
      <c r="F456">
        <v>2.3043123825686398</v>
      </c>
      <c r="G456">
        <f t="shared" si="39"/>
        <v>2.5346275494614425</v>
      </c>
      <c r="H456">
        <f t="shared" si="41"/>
        <v>-1.162451676325893E-3</v>
      </c>
      <c r="I456">
        <f t="shared" si="40"/>
        <v>0</v>
      </c>
      <c r="J456">
        <f t="shared" si="42"/>
        <v>2</v>
      </c>
      <c r="K456">
        <v>-1.7283561676741E-3</v>
      </c>
      <c r="L456">
        <v>-4.5179296284913904E-3</v>
      </c>
      <c r="M456">
        <v>2.1335710048675498E-2</v>
      </c>
      <c r="N456">
        <v>1.22006870806217E-2</v>
      </c>
      <c r="O456">
        <f t="shared" si="43"/>
        <v>1.3654241338372158E-2</v>
      </c>
    </row>
    <row r="457" spans="1:15" x14ac:dyDescent="0.35">
      <c r="A457" t="s">
        <v>36</v>
      </c>
      <c r="B457">
        <v>2018</v>
      </c>
      <c r="C457">
        <v>2572494</v>
      </c>
      <c r="D457" s="8">
        <v>0.91126435995101895</v>
      </c>
      <c r="E457" s="8">
        <v>5.1999999999999998E-2</v>
      </c>
      <c r="F457">
        <v>2.2887326019418599</v>
      </c>
      <c r="G457">
        <f t="shared" si="39"/>
        <v>2.5116011363210569</v>
      </c>
      <c r="H457">
        <f t="shared" si="41"/>
        <v>-9.0847324472892454E-3</v>
      </c>
      <c r="I457">
        <f t="shared" si="40"/>
        <v>0</v>
      </c>
      <c r="J457">
        <f t="shared" si="42"/>
        <v>1</v>
      </c>
      <c r="K457">
        <v>2.1335710048675498E-2</v>
      </c>
      <c r="L457">
        <v>1.22006870806217E-2</v>
      </c>
      <c r="M457">
        <v>2.9073330730199801E-2</v>
      </c>
      <c r="N457">
        <v>1.1272136121988199E-2</v>
      </c>
      <c r="O457">
        <f t="shared" si="43"/>
        <v>3.8981748744844587E-3</v>
      </c>
    </row>
    <row r="458" spans="1:15" x14ac:dyDescent="0.35">
      <c r="A458" t="s">
        <v>36</v>
      </c>
      <c r="B458">
        <v>2019</v>
      </c>
      <c r="C458">
        <v>2616341</v>
      </c>
      <c r="D458" s="8">
        <v>0.923475861549377</v>
      </c>
      <c r="E458" s="8">
        <v>3.6999999999999998E-2</v>
      </c>
      <c r="F458">
        <v>2.2497337839714802</v>
      </c>
      <c r="G458">
        <f t="shared" si="39"/>
        <v>2.4361587320722728</v>
      </c>
      <c r="H458">
        <f t="shared" si="41"/>
        <v>-3.0037573704593257E-2</v>
      </c>
      <c r="I458">
        <f t="shared" si="40"/>
        <v>0</v>
      </c>
      <c r="J458" t="str">
        <f t="shared" si="42"/>
        <v/>
      </c>
      <c r="K458">
        <v>2.9073330730199801E-2</v>
      </c>
      <c r="L458">
        <v>1.1272136121988199E-2</v>
      </c>
      <c r="M458">
        <v>1.0016867995262101E-2</v>
      </c>
      <c r="N458">
        <v>-8.8323224335908994E-3</v>
      </c>
      <c r="O458">
        <f t="shared" si="43"/>
        <v>1.1945404112338387E-3</v>
      </c>
    </row>
    <row r="459" spans="1:15" x14ac:dyDescent="0.35">
      <c r="A459" t="s">
        <v>36</v>
      </c>
      <c r="B459">
        <v>2020</v>
      </c>
      <c r="C459">
        <v>2655812</v>
      </c>
      <c r="D459" s="8">
        <v>0.91380137205123901</v>
      </c>
      <c r="E459" s="8">
        <v>5.8999999999999997E-2</v>
      </c>
      <c r="F459">
        <v>2.1030950122941401</v>
      </c>
      <c r="G459">
        <f t="shared" si="39"/>
        <v>2.3014793768291852</v>
      </c>
      <c r="H459">
        <f t="shared" si="41"/>
        <v>-5.5283489318664003E-2</v>
      </c>
      <c r="I459">
        <f t="shared" si="40"/>
        <v>0</v>
      </c>
      <c r="J459" t="str">
        <f t="shared" si="42"/>
        <v/>
      </c>
      <c r="K459">
        <v>1.0016867995262101E-2</v>
      </c>
      <c r="L459">
        <v>-8.8323224335908994E-3</v>
      </c>
      <c r="M459">
        <v>9.6766790628433005E-2</v>
      </c>
      <c r="N459">
        <v>5.3177177906036099E-2</v>
      </c>
      <c r="O459">
        <f t="shared" si="43"/>
        <v>-1.7997545190156007E-3</v>
      </c>
    </row>
    <row r="460" spans="1:15" x14ac:dyDescent="0.35">
      <c r="A460" t="s">
        <v>36</v>
      </c>
      <c r="B460">
        <v>2021</v>
      </c>
      <c r="C460">
        <v>2697575</v>
      </c>
      <c r="D460" s="8">
        <v>0.92784321308135997</v>
      </c>
      <c r="E460" s="8">
        <v>5.7000000000000002E-2</v>
      </c>
      <c r="F460">
        <v>2.1368619558945601</v>
      </c>
      <c r="G460">
        <f t="shared" si="39"/>
        <v>2.3030420719445241</v>
      </c>
      <c r="H460">
        <f t="shared" si="41"/>
        <v>6.7899592369657924E-4</v>
      </c>
      <c r="I460">
        <f t="shared" si="40"/>
        <v>1</v>
      </c>
      <c r="J460" t="str">
        <f t="shared" si="42"/>
        <v/>
      </c>
      <c r="K460">
        <v>9.6766790628433005E-2</v>
      </c>
      <c r="L460">
        <v>5.3177177906036099E-2</v>
      </c>
      <c r="M460">
        <v>-3.1649978756904597E-2</v>
      </c>
      <c r="N460">
        <v>4.53528016805697E-4</v>
      </c>
      <c r="O460">
        <f t="shared" si="43"/>
        <v>-1.246875831857323E-2</v>
      </c>
    </row>
    <row r="461" spans="1:15" x14ac:dyDescent="0.35">
      <c r="A461" t="s">
        <v>36</v>
      </c>
      <c r="B461">
        <v>2022</v>
      </c>
      <c r="C461">
        <v>2753644</v>
      </c>
      <c r="D461" s="8">
        <v>0.90995633602142301</v>
      </c>
      <c r="E461" s="8">
        <v>4.2999999999999997E-2</v>
      </c>
      <c r="F461">
        <v>2.1152645052338102</v>
      </c>
      <c r="G461">
        <f t="shared" si="39"/>
        <v>2.3245780280868451</v>
      </c>
      <c r="H461">
        <f t="shared" si="41"/>
        <v>9.3510910654521773E-3</v>
      </c>
      <c r="I461">
        <f t="shared" si="40"/>
        <v>1</v>
      </c>
      <c r="J461" t="str">
        <f t="shared" si="42"/>
        <v/>
      </c>
      <c r="K461">
        <v>-3.1649978756904597E-2</v>
      </c>
      <c r="L461">
        <v>9.3223154544829596E-4</v>
      </c>
      <c r="M461">
        <v>-5.6138573013246103E-2</v>
      </c>
      <c r="N461">
        <v>-3.6579645238816801E-2</v>
      </c>
      <c r="O461">
        <f t="shared" si="43"/>
        <v>-1.2638996681198483E-2</v>
      </c>
    </row>
    <row r="462" spans="1:15" x14ac:dyDescent="0.35">
      <c r="A462" t="s">
        <v>37</v>
      </c>
      <c r="B462">
        <v>2006</v>
      </c>
      <c r="C462">
        <v>508101.09375</v>
      </c>
      <c r="D462" s="8">
        <v>0.92487722635269198</v>
      </c>
      <c r="E462" s="8">
        <v>6.0000000000000001E-3</v>
      </c>
      <c r="F462">
        <v>2.1462440687028002</v>
      </c>
      <c r="G462">
        <f t="shared" si="39"/>
        <v>2.3205718635398132</v>
      </c>
      <c r="H462">
        <f t="shared" si="41"/>
        <v>-1.7233943101188087E-3</v>
      </c>
      <c r="I462">
        <f t="shared" si="40"/>
        <v>0</v>
      </c>
      <c r="J462" t="str">
        <f t="shared" si="42"/>
        <v/>
      </c>
      <c r="K462">
        <v>3.3271973609924302E-2</v>
      </c>
      <c r="L462">
        <v>2.6908934116363501E-2</v>
      </c>
      <c r="M462">
        <v>-3.1677921265363999E-3</v>
      </c>
      <c r="N462">
        <v>-2.2460361942649E-3</v>
      </c>
      <c r="O462" t="str">
        <f t="shared" si="43"/>
        <v/>
      </c>
    </row>
    <row r="463" spans="1:15" x14ac:dyDescent="0.35">
      <c r="A463" t="s">
        <v>37</v>
      </c>
      <c r="B463">
        <v>2007</v>
      </c>
      <c r="C463">
        <v>514516.125</v>
      </c>
      <c r="D463" s="8">
        <v>0.89906805753707897</v>
      </c>
      <c r="E463" s="8">
        <v>5.0000000000000001E-3</v>
      </c>
      <c r="F463">
        <v>2.21821462295966</v>
      </c>
      <c r="G463">
        <f t="shared" si="39"/>
        <v>2.4672377183950585</v>
      </c>
      <c r="H463">
        <f t="shared" si="41"/>
        <v>6.3202461927432063E-2</v>
      </c>
      <c r="I463">
        <f t="shared" si="40"/>
        <v>1</v>
      </c>
      <c r="J463" t="str">
        <f t="shared" si="42"/>
        <v/>
      </c>
      <c r="K463">
        <v>-3.1677921265363999E-3</v>
      </c>
      <c r="L463">
        <v>-2.2460361942649E-3</v>
      </c>
      <c r="M463">
        <v>-5.3314601361751597E-2</v>
      </c>
      <c r="N463">
        <v>-2.38037970848381E-2</v>
      </c>
      <c r="O463" t="str">
        <f t="shared" si="43"/>
        <v/>
      </c>
    </row>
    <row r="464" spans="1:15" x14ac:dyDescent="0.35">
      <c r="A464" t="s">
        <v>37</v>
      </c>
      <c r="B464">
        <v>2008</v>
      </c>
      <c r="C464">
        <v>520126.09375</v>
      </c>
      <c r="D464" s="8">
        <v>0.89007723331451405</v>
      </c>
      <c r="E464" s="8">
        <v>2.1000000000000001E-2</v>
      </c>
      <c r="F464">
        <v>2.0952440283364702</v>
      </c>
      <c r="G464">
        <f t="shared" si="39"/>
        <v>2.3540024954172751</v>
      </c>
      <c r="H464">
        <f t="shared" si="41"/>
        <v>-4.5895546316243485E-2</v>
      </c>
      <c r="I464">
        <f t="shared" si="40"/>
        <v>0</v>
      </c>
      <c r="J464" t="str">
        <f t="shared" si="42"/>
        <v/>
      </c>
      <c r="K464">
        <v>-5.3314601361751597E-2</v>
      </c>
      <c r="L464">
        <v>-2.38037970848381E-2</v>
      </c>
      <c r="M464">
        <v>-2.6734542757272699E-2</v>
      </c>
      <c r="N464">
        <v>-1.67841091752048E-4</v>
      </c>
      <c r="O464" t="str">
        <f t="shared" si="43"/>
        <v/>
      </c>
    </row>
    <row r="465" spans="1:15" x14ac:dyDescent="0.35">
      <c r="A465" t="s">
        <v>37</v>
      </c>
      <c r="B465">
        <v>2009</v>
      </c>
      <c r="C465">
        <v>525348.0625</v>
      </c>
      <c r="D465" s="8">
        <v>0.90487080812454201</v>
      </c>
      <c r="E465" s="8">
        <v>1.4999999999999999E-2</v>
      </c>
      <c r="F465">
        <v>2.2717310675028601</v>
      </c>
      <c r="G465">
        <f t="shared" si="39"/>
        <v>2.5105584654800688</v>
      </c>
      <c r="H465">
        <f t="shared" si="41"/>
        <v>6.6506288913275924E-2</v>
      </c>
      <c r="I465">
        <f t="shared" si="40"/>
        <v>1</v>
      </c>
      <c r="J465" t="str">
        <f t="shared" si="42"/>
        <v/>
      </c>
      <c r="K465">
        <v>-2.6734542757272699E-2</v>
      </c>
      <c r="L465">
        <v>-1.67841091752048E-4</v>
      </c>
      <c r="M465">
        <v>-9.8577725552022495E-3</v>
      </c>
      <c r="N465">
        <v>-3.9766379632056399E-4</v>
      </c>
      <c r="O465" t="str">
        <f t="shared" si="43"/>
        <v/>
      </c>
    </row>
    <row r="466" spans="1:15" x14ac:dyDescent="0.35">
      <c r="A466" t="s">
        <v>37</v>
      </c>
      <c r="B466">
        <v>2010</v>
      </c>
      <c r="C466">
        <v>530022.5625</v>
      </c>
      <c r="D466" s="8">
        <v>0.91781246662139904</v>
      </c>
      <c r="E466" s="8">
        <v>3.5000000000000003E-2</v>
      </c>
      <c r="F466">
        <v>2.3157835053216398</v>
      </c>
      <c r="G466">
        <f t="shared" si="39"/>
        <v>2.5231554261257476</v>
      </c>
      <c r="H466">
        <f t="shared" si="41"/>
        <v>5.017593025171907E-3</v>
      </c>
      <c r="I466">
        <f t="shared" si="40"/>
        <v>1</v>
      </c>
      <c r="J466">
        <f t="shared" si="42"/>
        <v>3</v>
      </c>
      <c r="K466">
        <v>-9.8577725552022495E-3</v>
      </c>
      <c r="L466">
        <v>-3.9766379632056399E-4</v>
      </c>
      <c r="M466">
        <v>-2.0246714696288099E-2</v>
      </c>
      <c r="N466">
        <v>1.0370598174631899E-3</v>
      </c>
      <c r="O466">
        <f t="shared" si="43"/>
        <v>2.0397258922457591E-4</v>
      </c>
    </row>
    <row r="467" spans="1:15" x14ac:dyDescent="0.35">
      <c r="A467" t="s">
        <v>37</v>
      </c>
      <c r="B467">
        <v>2011</v>
      </c>
      <c r="C467">
        <v>533911.625</v>
      </c>
      <c r="D467" s="8">
        <v>0.91712969541549705</v>
      </c>
      <c r="E467" s="8">
        <v>1.6E-2</v>
      </c>
      <c r="F467">
        <v>2.2179121131567698</v>
      </c>
      <c r="G467">
        <f t="shared" si="39"/>
        <v>2.4183189403238825</v>
      </c>
      <c r="H467">
        <f t="shared" si="41"/>
        <v>-4.1549753422380098E-2</v>
      </c>
      <c r="I467">
        <f t="shared" si="40"/>
        <v>0</v>
      </c>
      <c r="J467">
        <f t="shared" si="42"/>
        <v>3</v>
      </c>
      <c r="K467">
        <v>-2.0246714696288099E-2</v>
      </c>
      <c r="L467">
        <v>1.0370598174631899E-3</v>
      </c>
      <c r="M467">
        <v>2.7628028392789802E-4</v>
      </c>
      <c r="N467">
        <v>5.7144863530992898E-3</v>
      </c>
      <c r="O467">
        <f t="shared" si="43"/>
        <v>-4.1230935603380186E-4</v>
      </c>
    </row>
    <row r="468" spans="1:15" x14ac:dyDescent="0.35">
      <c r="A468" t="s">
        <v>37</v>
      </c>
      <c r="B468">
        <v>2012</v>
      </c>
      <c r="C468">
        <v>537801.25</v>
      </c>
      <c r="D468" s="8">
        <v>0.92138451337814298</v>
      </c>
      <c r="E468" s="8">
        <v>2E-3</v>
      </c>
      <c r="F468">
        <v>2.3712296983758701</v>
      </c>
      <c r="G468">
        <f t="shared" si="39"/>
        <v>2.5735506337978791</v>
      </c>
      <c r="H468">
        <f t="shared" si="41"/>
        <v>6.4189917585149692E-2</v>
      </c>
      <c r="I468">
        <f t="shared" si="40"/>
        <v>1</v>
      </c>
      <c r="J468">
        <f t="shared" si="42"/>
        <v>3</v>
      </c>
      <c r="K468">
        <v>2.7628028392789802E-4</v>
      </c>
      <c r="L468">
        <v>5.6288875639437996E-3</v>
      </c>
      <c r="M468">
        <v>3.0870108306407999E-3</v>
      </c>
      <c r="N468">
        <v>-3.0397605150937999E-3</v>
      </c>
      <c r="O468">
        <f t="shared" si="43"/>
        <v>-1.8566306680440781E-3</v>
      </c>
    </row>
    <row r="469" spans="1:15" x14ac:dyDescent="0.35">
      <c r="A469" t="s">
        <v>37</v>
      </c>
      <c r="B469">
        <v>2013</v>
      </c>
      <c r="C469">
        <v>540725</v>
      </c>
      <c r="D469" s="8">
        <v>0.91452807188034102</v>
      </c>
      <c r="E469" s="8">
        <v>2.1999999999999999E-2</v>
      </c>
      <c r="F469">
        <v>2.3551040890497399</v>
      </c>
      <c r="G469">
        <f t="shared" si="39"/>
        <v>2.5752124636343443</v>
      </c>
      <c r="H469">
        <f t="shared" si="41"/>
        <v>6.4573426869518613E-4</v>
      </c>
      <c r="I469">
        <f t="shared" si="40"/>
        <v>1</v>
      </c>
      <c r="J469">
        <f t="shared" si="42"/>
        <v>4</v>
      </c>
      <c r="K469">
        <v>3.0870108306407999E-3</v>
      </c>
      <c r="L469">
        <v>-3.0397605150937999E-3</v>
      </c>
      <c r="M469">
        <v>4.6903386861085897E-3</v>
      </c>
      <c r="N469">
        <v>2.6823151856660899E-3</v>
      </c>
      <c r="O469">
        <f t="shared" si="43"/>
        <v>-4.724688827991378E-4</v>
      </c>
    </row>
    <row r="470" spans="1:15" x14ac:dyDescent="0.35">
      <c r="A470" t="s">
        <v>37</v>
      </c>
      <c r="B470">
        <v>2014</v>
      </c>
      <c r="C470">
        <v>542477.75</v>
      </c>
      <c r="D470" s="8">
        <v>0.89102804660797097</v>
      </c>
      <c r="E470" s="8">
        <v>4.2000000000000003E-2</v>
      </c>
      <c r="F470">
        <v>2.2617860085874102</v>
      </c>
      <c r="G470">
        <f t="shared" si="39"/>
        <v>2.5384004658413821</v>
      </c>
      <c r="H470">
        <f t="shared" si="41"/>
        <v>-1.4294742011698003E-2</v>
      </c>
      <c r="I470">
        <f t="shared" si="40"/>
        <v>0</v>
      </c>
      <c r="J470">
        <f t="shared" si="42"/>
        <v>3</v>
      </c>
      <c r="K470">
        <v>4.6903386861085897E-3</v>
      </c>
      <c r="L470">
        <v>2.6823151856660899E-3</v>
      </c>
      <c r="M470">
        <v>2.4889214128255701E-2</v>
      </c>
      <c r="N470">
        <v>-5.3742378950118897E-3</v>
      </c>
      <c r="O470">
        <f t="shared" si="43"/>
        <v>-1.9128400832414561E-3</v>
      </c>
    </row>
    <row r="471" spans="1:15" x14ac:dyDescent="0.35">
      <c r="A471" t="s">
        <v>37</v>
      </c>
      <c r="B471">
        <v>2015</v>
      </c>
      <c r="C471">
        <v>545311.6875</v>
      </c>
      <c r="D471" s="8">
        <v>0.91564047336578402</v>
      </c>
      <c r="E471" s="8">
        <v>6.3E-2</v>
      </c>
      <c r="F471">
        <v>2.2572569906790898</v>
      </c>
      <c r="G471">
        <f t="shared" si="39"/>
        <v>2.4652219471925321</v>
      </c>
      <c r="H471">
        <f t="shared" si="41"/>
        <v>-2.882859487050804E-2</v>
      </c>
      <c r="I471">
        <f t="shared" si="40"/>
        <v>0</v>
      </c>
      <c r="J471">
        <f t="shared" si="42"/>
        <v>2</v>
      </c>
      <c r="K471">
        <v>2.4889214128255701E-2</v>
      </c>
      <c r="L471">
        <v>-5.3742378950118897E-3</v>
      </c>
      <c r="M471">
        <v>1.11092070937157E-2</v>
      </c>
      <c r="N471">
        <v>-2.0443499088286998E-3</v>
      </c>
      <c r="O471">
        <f t="shared" si="43"/>
        <v>1.331903785467162E-3</v>
      </c>
    </row>
    <row r="472" spans="1:15" x14ac:dyDescent="0.35">
      <c r="A472" t="s">
        <v>37</v>
      </c>
      <c r="B472">
        <v>2016</v>
      </c>
      <c r="C472">
        <v>549283.375</v>
      </c>
      <c r="D472" s="8">
        <v>0.92936587333679199</v>
      </c>
      <c r="E472" s="8">
        <v>7.0000000000000001E-3</v>
      </c>
      <c r="F472">
        <v>2.0290146813985102</v>
      </c>
      <c r="G472">
        <f t="shared" si="39"/>
        <v>2.1832248628987667</v>
      </c>
      <c r="H472">
        <f t="shared" si="41"/>
        <v>-0.1143901402528531</v>
      </c>
      <c r="I472">
        <f t="shared" si="40"/>
        <v>0</v>
      </c>
      <c r="J472">
        <f t="shared" si="42"/>
        <v>2</v>
      </c>
      <c r="K472">
        <v>1.11092070937157E-2</v>
      </c>
      <c r="L472">
        <v>-2.0443499088286998E-3</v>
      </c>
      <c r="M472">
        <v>1.28245325386519E-3</v>
      </c>
      <c r="N472">
        <v>-1.50712020695209E-3</v>
      </c>
      <c r="O472">
        <f t="shared" si="43"/>
        <v>5.6661956012249021E-3</v>
      </c>
    </row>
    <row r="473" spans="1:15" x14ac:dyDescent="0.35">
      <c r="A473" t="s">
        <v>37</v>
      </c>
      <c r="B473">
        <v>2017</v>
      </c>
      <c r="C473">
        <v>552888.5</v>
      </c>
      <c r="D473" s="8">
        <v>0.90625381469726596</v>
      </c>
      <c r="E473" s="8">
        <v>5.1999999999999998E-2</v>
      </c>
      <c r="F473">
        <v>1.99430080803612</v>
      </c>
      <c r="G473">
        <f t="shared" si="39"/>
        <v>2.2005985251519369</v>
      </c>
      <c r="H473">
        <f t="shared" si="41"/>
        <v>7.9577979109775043E-3</v>
      </c>
      <c r="I473">
        <f t="shared" si="40"/>
        <v>1</v>
      </c>
      <c r="J473">
        <f t="shared" si="42"/>
        <v>2</v>
      </c>
      <c r="K473">
        <v>1.28245325386519E-3</v>
      </c>
      <c r="L473">
        <v>-1.50712020695209E-3</v>
      </c>
      <c r="M473">
        <v>1.30160713791847E-2</v>
      </c>
      <c r="N473">
        <v>3.8810484111308999E-3</v>
      </c>
      <c r="O473">
        <f t="shared" si="43"/>
        <v>8.85021053254606E-3</v>
      </c>
    </row>
    <row r="474" spans="1:15" x14ac:dyDescent="0.35">
      <c r="A474" t="s">
        <v>37</v>
      </c>
      <c r="B474">
        <v>2018</v>
      </c>
      <c r="C474">
        <v>556810.625</v>
      </c>
      <c r="D474" s="8">
        <v>0.92080658674240101</v>
      </c>
      <c r="E474" s="8">
        <v>2.3E-2</v>
      </c>
      <c r="F474">
        <v>2.2132314334052801</v>
      </c>
      <c r="G474">
        <f t="shared" si="39"/>
        <v>2.403579063476486</v>
      </c>
      <c r="H474">
        <f t="shared" si="41"/>
        <v>9.2238786859377031E-2</v>
      </c>
      <c r="I474">
        <f t="shared" si="40"/>
        <v>1</v>
      </c>
      <c r="J474">
        <f t="shared" si="42"/>
        <v>2</v>
      </c>
      <c r="K474">
        <v>1.30160713791847E-2</v>
      </c>
      <c r="L474">
        <v>3.8810484111308999E-3</v>
      </c>
      <c r="M474">
        <v>1.3281653791665999E-2</v>
      </c>
      <c r="N474">
        <v>-4.5195408165455003E-3</v>
      </c>
      <c r="O474">
        <f t="shared" si="43"/>
        <v>2.6245137676596799E-3</v>
      </c>
    </row>
    <row r="475" spans="1:15" x14ac:dyDescent="0.35">
      <c r="A475" t="s">
        <v>37</v>
      </c>
      <c r="B475">
        <v>2019</v>
      </c>
      <c r="C475">
        <v>560406.9375</v>
      </c>
      <c r="D475" s="8">
        <v>0.92071861028671298</v>
      </c>
      <c r="E475" s="8">
        <v>3.3000000000000002E-2</v>
      </c>
      <c r="F475">
        <v>2.2483579196726602</v>
      </c>
      <c r="G475">
        <f t="shared" si="39"/>
        <v>2.441959893666664</v>
      </c>
      <c r="H475">
        <f t="shared" si="41"/>
        <v>1.5968199579282638E-2</v>
      </c>
      <c r="I475">
        <f t="shared" si="40"/>
        <v>1</v>
      </c>
      <c r="J475" t="str">
        <f t="shared" si="42"/>
        <v/>
      </c>
      <c r="K475">
        <v>1.3281653791665999E-2</v>
      </c>
      <c r="L475">
        <v>-4.5195408165455003E-3</v>
      </c>
      <c r="M475">
        <v>2.9698671877384199E-2</v>
      </c>
      <c r="N475">
        <v>1.0849481448531199E-2</v>
      </c>
      <c r="O475">
        <f t="shared" si="43"/>
        <v>8.7772872298956198E-3</v>
      </c>
    </row>
    <row r="476" spans="1:15" x14ac:dyDescent="0.35">
      <c r="A476" t="s">
        <v>37</v>
      </c>
      <c r="B476">
        <v>2020</v>
      </c>
      <c r="C476">
        <v>565500.5</v>
      </c>
      <c r="D476" s="8">
        <v>0.91921889781951904</v>
      </c>
      <c r="E476" s="8">
        <v>5.1999999999999998E-2</v>
      </c>
      <c r="F476">
        <v>2.1688020361502902</v>
      </c>
      <c r="G476">
        <f t="shared" si="39"/>
        <v>2.3593967022380737</v>
      </c>
      <c r="H476">
        <f t="shared" si="41"/>
        <v>-3.3810215983776648E-2</v>
      </c>
      <c r="I476">
        <f t="shared" si="40"/>
        <v>0</v>
      </c>
      <c r="J476" t="str">
        <f t="shared" si="42"/>
        <v/>
      </c>
      <c r="K476">
        <v>2.9698671877384199E-2</v>
      </c>
      <c r="L476">
        <v>1.0849481448531199E-2</v>
      </c>
      <c r="M476">
        <v>6.3216721892356997E-2</v>
      </c>
      <c r="N476">
        <v>1.9627109169960001E-2</v>
      </c>
      <c r="O476">
        <f t="shared" si="43"/>
        <v>9.1101567260921217E-3</v>
      </c>
    </row>
    <row r="477" spans="1:15" x14ac:dyDescent="0.35">
      <c r="A477" t="s">
        <v>37</v>
      </c>
      <c r="B477">
        <v>2021</v>
      </c>
      <c r="C477">
        <v>569942.6875</v>
      </c>
      <c r="D477" s="8">
        <v>0.94871532917022705</v>
      </c>
      <c r="E477" s="8">
        <v>1.4E-2</v>
      </c>
      <c r="F477">
        <v>2.2317014875010499</v>
      </c>
      <c r="G477">
        <f t="shared" si="39"/>
        <v>2.3523404954918967</v>
      </c>
      <c r="H477">
        <f t="shared" si="41"/>
        <v>-2.9906826348802262E-3</v>
      </c>
      <c r="I477">
        <f t="shared" si="40"/>
        <v>0</v>
      </c>
      <c r="J477" t="str">
        <f t="shared" si="42"/>
        <v/>
      </c>
      <c r="K477">
        <v>6.3216721892356997E-2</v>
      </c>
      <c r="L477">
        <v>1.9627109169960001E-2</v>
      </c>
      <c r="M477">
        <v>-1.7690552324056599E-2</v>
      </c>
      <c r="N477">
        <v>1.44129544496537E-2</v>
      </c>
      <c r="O477">
        <f t="shared" si="43"/>
        <v>6.7367347888648687E-3</v>
      </c>
    </row>
    <row r="478" spans="1:15" x14ac:dyDescent="0.35">
      <c r="A478" t="s">
        <v>37</v>
      </c>
      <c r="B478">
        <v>2022</v>
      </c>
      <c r="C478">
        <v>577318.125</v>
      </c>
      <c r="D478" s="8">
        <v>0.91675847768783603</v>
      </c>
      <c r="E478" s="8">
        <v>4.2999999999999997E-2</v>
      </c>
      <c r="F478">
        <v>2.2317815641263201</v>
      </c>
      <c r="G478">
        <f t="shared" si="39"/>
        <v>2.4344269711637838</v>
      </c>
      <c r="H478">
        <f t="shared" si="41"/>
        <v>3.4895660653379235E-2</v>
      </c>
      <c r="I478">
        <f t="shared" si="40"/>
        <v>1</v>
      </c>
      <c r="J478" t="str">
        <f t="shared" si="42"/>
        <v/>
      </c>
      <c r="K478">
        <v>-1.7690552324056599E-2</v>
      </c>
      <c r="L478">
        <v>1.4891657978296301E-2</v>
      </c>
      <c r="M478">
        <v>-4.68063631877303E-2</v>
      </c>
      <c r="N478">
        <v>-2.7247435413301001E-2</v>
      </c>
      <c r="O478">
        <f t="shared" si="43"/>
        <v>5.7948460336774655E-3</v>
      </c>
    </row>
    <row r="479" spans="1:15" x14ac:dyDescent="0.35">
      <c r="A479" t="s">
        <v>38</v>
      </c>
      <c r="B479">
        <v>2006</v>
      </c>
      <c r="C479">
        <v>9307072</v>
      </c>
      <c r="D479" s="8">
        <v>0.91994160413742099</v>
      </c>
      <c r="E479" s="8">
        <v>5.0000000000000001E-3</v>
      </c>
      <c r="F479">
        <v>2.31000409196308</v>
      </c>
      <c r="G479">
        <f t="shared" si="39"/>
        <v>2.5110333977438106</v>
      </c>
      <c r="H479">
        <f t="shared" si="41"/>
        <v>3.1467950153133861E-2</v>
      </c>
      <c r="I479">
        <f t="shared" si="40"/>
        <v>1</v>
      </c>
      <c r="J479" t="str">
        <f t="shared" si="42"/>
        <v/>
      </c>
      <c r="K479">
        <v>1.4261936426162599E-2</v>
      </c>
      <c r="L479">
        <v>7.8988969326018992E-3</v>
      </c>
      <c r="M479">
        <v>2.53225705623626E-2</v>
      </c>
      <c r="N479">
        <v>2.62443264946342E-2</v>
      </c>
      <c r="O479" t="str">
        <f t="shared" si="43"/>
        <v/>
      </c>
    </row>
    <row r="480" spans="1:15" x14ac:dyDescent="0.35">
      <c r="A480" t="s">
        <v>38</v>
      </c>
      <c r="B480">
        <v>2007</v>
      </c>
      <c r="C480">
        <v>9348932</v>
      </c>
      <c r="D480" s="8">
        <v>0.922593653202057</v>
      </c>
      <c r="E480" s="8">
        <v>7.0000000000000001E-3</v>
      </c>
      <c r="F480">
        <v>2.3117407487757702</v>
      </c>
      <c r="G480">
        <f t="shared" si="39"/>
        <v>2.5056976500460233</v>
      </c>
      <c r="H480">
        <f t="shared" si="41"/>
        <v>-2.1249210395136719E-3</v>
      </c>
      <c r="I480">
        <f t="shared" si="40"/>
        <v>0</v>
      </c>
      <c r="J480" t="str">
        <f t="shared" si="42"/>
        <v/>
      </c>
      <c r="K480">
        <v>2.53225705623626E-2</v>
      </c>
      <c r="L480">
        <v>2.62443264946342E-2</v>
      </c>
      <c r="M480">
        <v>-1.69969753473997E-2</v>
      </c>
      <c r="N480">
        <v>1.25138289295137E-2</v>
      </c>
      <c r="O480" t="str">
        <f t="shared" si="43"/>
        <v/>
      </c>
    </row>
    <row r="481" spans="1:15" x14ac:dyDescent="0.35">
      <c r="A481" t="s">
        <v>38</v>
      </c>
      <c r="B481">
        <v>2008</v>
      </c>
      <c r="C481">
        <v>9396189</v>
      </c>
      <c r="D481" s="8">
        <v>0.92417067289352395</v>
      </c>
      <c r="E481" s="8">
        <v>4.0000000000000001E-3</v>
      </c>
      <c r="F481">
        <v>2.3163448233491399</v>
      </c>
      <c r="G481">
        <f t="shared" si="39"/>
        <v>2.506403731787767</v>
      </c>
      <c r="H481">
        <f t="shared" si="41"/>
        <v>2.8179047928267309E-4</v>
      </c>
      <c r="I481">
        <f t="shared" si="40"/>
        <v>1</v>
      </c>
      <c r="J481" t="str">
        <f t="shared" si="42"/>
        <v/>
      </c>
      <c r="K481">
        <v>-1.69969753473997E-2</v>
      </c>
      <c r="L481">
        <v>1.25138289295137E-2</v>
      </c>
      <c r="M481">
        <v>-1.8806702181696899E-2</v>
      </c>
      <c r="N481">
        <v>7.7599994838237502E-3</v>
      </c>
      <c r="O481" t="str">
        <f t="shared" si="43"/>
        <v/>
      </c>
    </row>
    <row r="482" spans="1:15" x14ac:dyDescent="0.35">
      <c r="A482" t="s">
        <v>38</v>
      </c>
      <c r="B482">
        <v>2009</v>
      </c>
      <c r="C482">
        <v>9441626</v>
      </c>
      <c r="D482" s="8">
        <v>0.916972696781158</v>
      </c>
      <c r="E482" s="8">
        <v>5.0000000000000001E-3</v>
      </c>
      <c r="F482">
        <v>2.3109700015254799</v>
      </c>
      <c r="G482">
        <f t="shared" si="39"/>
        <v>2.520216806495613</v>
      </c>
      <c r="H482">
        <f t="shared" si="41"/>
        <v>5.5111132068070834E-3</v>
      </c>
      <c r="I482">
        <f t="shared" si="40"/>
        <v>1</v>
      </c>
      <c r="J482" t="str">
        <f t="shared" si="42"/>
        <v/>
      </c>
      <c r="K482">
        <v>-1.8806702181696899E-2</v>
      </c>
      <c r="L482">
        <v>7.7599994838237502E-3</v>
      </c>
      <c r="M482">
        <v>2.4340191483499999E-4</v>
      </c>
      <c r="N482">
        <v>9.7035106737166799E-3</v>
      </c>
      <c r="O482" t="str">
        <f t="shared" si="43"/>
        <v/>
      </c>
    </row>
    <row r="483" spans="1:15" x14ac:dyDescent="0.35">
      <c r="A483" t="s">
        <v>38</v>
      </c>
      <c r="B483">
        <v>2010</v>
      </c>
      <c r="C483">
        <v>9488415</v>
      </c>
      <c r="D483" s="8">
        <v>0.92464703321456898</v>
      </c>
      <c r="E483" s="8">
        <v>6.0000000000000001E-3</v>
      </c>
      <c r="F483">
        <v>2.3947602193194402</v>
      </c>
      <c r="G483">
        <f t="shared" si="39"/>
        <v>2.5899182426335909</v>
      </c>
      <c r="H483">
        <f t="shared" si="41"/>
        <v>2.7656920610294122E-2</v>
      </c>
      <c r="I483">
        <f t="shared" si="40"/>
        <v>1</v>
      </c>
      <c r="J483">
        <f t="shared" si="42"/>
        <v>4</v>
      </c>
      <c r="K483">
        <v>2.4340191483499999E-4</v>
      </c>
      <c r="L483">
        <v>9.7035106737166799E-3</v>
      </c>
      <c r="M483">
        <v>-1.72069225162268E-2</v>
      </c>
      <c r="N483">
        <v>4.0768519975244999E-3</v>
      </c>
      <c r="O483">
        <f t="shared" si="43"/>
        <v>2.6171806268393979E-3</v>
      </c>
    </row>
    <row r="484" spans="1:15" x14ac:dyDescent="0.35">
      <c r="A484" t="s">
        <v>38</v>
      </c>
      <c r="B484">
        <v>2011</v>
      </c>
      <c r="C484">
        <v>9536325</v>
      </c>
      <c r="D484" s="8">
        <v>0.92960947751998901</v>
      </c>
      <c r="E484" s="8">
        <v>1E-3</v>
      </c>
      <c r="F484">
        <v>2.35478669847907</v>
      </c>
      <c r="G484">
        <f t="shared" si="39"/>
        <v>2.5330923957027278</v>
      </c>
      <c r="H484">
        <f t="shared" si="41"/>
        <v>-2.1941174047671486E-2</v>
      </c>
      <c r="I484">
        <f t="shared" si="40"/>
        <v>0</v>
      </c>
      <c r="J484">
        <f t="shared" si="42"/>
        <v>3</v>
      </c>
      <c r="K484">
        <v>-1.72069225162268E-2</v>
      </c>
      <c r="L484">
        <v>4.0768519975244999E-3</v>
      </c>
      <c r="M484">
        <v>-3.4176281690597998E-3</v>
      </c>
      <c r="N484">
        <v>2.0205779001115998E-3</v>
      </c>
      <c r="O484">
        <f t="shared" si="43"/>
        <v>-2.7523096650838191E-4</v>
      </c>
    </row>
    <row r="485" spans="1:15" x14ac:dyDescent="0.35">
      <c r="A485" t="s">
        <v>38</v>
      </c>
      <c r="B485">
        <v>2012</v>
      </c>
      <c r="C485">
        <v>9582919</v>
      </c>
      <c r="D485" s="8">
        <v>0.93547958135604903</v>
      </c>
      <c r="E485" s="8">
        <v>1E-3</v>
      </c>
      <c r="F485">
        <v>2.3716519325029202</v>
      </c>
      <c r="G485">
        <f t="shared" si="39"/>
        <v>2.5352257598878105</v>
      </c>
      <c r="H485">
        <f t="shared" si="41"/>
        <v>8.4219754032743843E-4</v>
      </c>
      <c r="I485">
        <f t="shared" si="40"/>
        <v>1</v>
      </c>
      <c r="J485">
        <f t="shared" si="42"/>
        <v>4</v>
      </c>
      <c r="K485">
        <v>-3.4176281690597998E-3</v>
      </c>
      <c r="L485">
        <v>1.9349791109561001E-3</v>
      </c>
      <c r="M485">
        <v>1.4878107607365001E-3</v>
      </c>
      <c r="N485">
        <v>-4.6389605849980996E-3</v>
      </c>
      <c r="O485">
        <f t="shared" si="43"/>
        <v>-2.6551514863967598E-3</v>
      </c>
    </row>
    <row r="486" spans="1:15" x14ac:dyDescent="0.35">
      <c r="A486" t="s">
        <v>38</v>
      </c>
      <c r="B486">
        <v>2013</v>
      </c>
      <c r="C486">
        <v>9620105</v>
      </c>
      <c r="D486" s="8">
        <v>0.93248760700225797</v>
      </c>
      <c r="E486" s="8">
        <v>1.2E-2</v>
      </c>
      <c r="F486">
        <v>2.3604001468309499</v>
      </c>
      <c r="G486">
        <f t="shared" si="39"/>
        <v>2.531293852171522</v>
      </c>
      <c r="H486">
        <f t="shared" si="41"/>
        <v>-1.550910289134344E-3</v>
      </c>
      <c r="I486">
        <f t="shared" si="40"/>
        <v>0</v>
      </c>
      <c r="J486">
        <f t="shared" si="42"/>
        <v>3</v>
      </c>
      <c r="K486">
        <v>1.4878107607365001E-3</v>
      </c>
      <c r="L486">
        <v>-4.6389605849980996E-3</v>
      </c>
      <c r="M486">
        <v>4.6510368734597896E-3</v>
      </c>
      <c r="N486">
        <v>2.6430133730172898E-3</v>
      </c>
      <c r="O486">
        <f t="shared" si="43"/>
        <v>-2.7404159307479578E-3</v>
      </c>
    </row>
    <row r="487" spans="1:15" x14ac:dyDescent="0.35">
      <c r="A487" t="s">
        <v>38</v>
      </c>
      <c r="B487">
        <v>2014</v>
      </c>
      <c r="C487">
        <v>9646115</v>
      </c>
      <c r="D487" s="8">
        <v>0.93465870618820202</v>
      </c>
      <c r="E487" s="8">
        <v>0.01</v>
      </c>
      <c r="F487">
        <v>2.37056706739016</v>
      </c>
      <c r="G487">
        <f t="shared" si="39"/>
        <v>2.5362916449556132</v>
      </c>
      <c r="H487">
        <f t="shared" si="41"/>
        <v>1.9744024502741375E-3</v>
      </c>
      <c r="I487">
        <f t="shared" si="40"/>
        <v>1</v>
      </c>
      <c r="J487">
        <f t="shared" si="42"/>
        <v>3</v>
      </c>
      <c r="K487">
        <v>4.6510368734597896E-3</v>
      </c>
      <c r="L487">
        <v>2.6430133730172898E-3</v>
      </c>
      <c r="M487">
        <v>3.92478724718094E-2</v>
      </c>
      <c r="N487">
        <v>8.9844204485417002E-3</v>
      </c>
      <c r="O487">
        <f t="shared" si="43"/>
        <v>-4.9126159399747555E-3</v>
      </c>
    </row>
    <row r="488" spans="1:15" x14ac:dyDescent="0.35">
      <c r="A488" t="s">
        <v>38</v>
      </c>
      <c r="B488">
        <v>2015</v>
      </c>
      <c r="C488">
        <v>9654273</v>
      </c>
      <c r="D488" s="8">
        <v>0.93692159652710005</v>
      </c>
      <c r="E488" s="8">
        <v>0.01</v>
      </c>
      <c r="F488">
        <v>2.3611501872240201</v>
      </c>
      <c r="G488">
        <f t="shared" si="39"/>
        <v>2.5201150192034505</v>
      </c>
      <c r="H488">
        <f t="shared" si="41"/>
        <v>-6.3780621539861748E-3</v>
      </c>
      <c r="I488">
        <f t="shared" si="40"/>
        <v>0</v>
      </c>
      <c r="J488">
        <f t="shared" si="42"/>
        <v>2</v>
      </c>
      <c r="K488">
        <v>3.92478724718094E-2</v>
      </c>
      <c r="L488">
        <v>8.9844204485417002E-3</v>
      </c>
      <c r="M488">
        <v>2.7683510333299899E-3</v>
      </c>
      <c r="N488">
        <v>-1.0385205969214399E-2</v>
      </c>
      <c r="O488">
        <f t="shared" si="43"/>
        <v>-1.5206622891128013E-2</v>
      </c>
    </row>
    <row r="489" spans="1:15" x14ac:dyDescent="0.35">
      <c r="A489" t="s">
        <v>38</v>
      </c>
      <c r="B489">
        <v>2016</v>
      </c>
      <c r="C489">
        <v>9655397</v>
      </c>
      <c r="D489" s="8">
        <v>0.93007081747055098</v>
      </c>
      <c r="E489" s="8">
        <v>1.7999999999999999E-2</v>
      </c>
      <c r="F489">
        <v>2.2986550583143499</v>
      </c>
      <c r="G489">
        <f t="shared" si="39"/>
        <v>2.4714839076080706</v>
      </c>
      <c r="H489">
        <f t="shared" si="41"/>
        <v>-1.9297179384594521E-2</v>
      </c>
      <c r="I489">
        <f t="shared" si="40"/>
        <v>0</v>
      </c>
      <c r="J489">
        <f t="shared" si="42"/>
        <v>2</v>
      </c>
      <c r="K489">
        <v>2.7683510333299899E-3</v>
      </c>
      <c r="L489">
        <v>-1.0385205969214399E-2</v>
      </c>
      <c r="M489">
        <v>-7.0894512385130002E-3</v>
      </c>
      <c r="N489">
        <v>-9.87902469933029E-3</v>
      </c>
      <c r="O489">
        <f t="shared" si="43"/>
        <v>-1.5415750630199876E-2</v>
      </c>
    </row>
    <row r="490" spans="1:15" x14ac:dyDescent="0.35">
      <c r="A490" t="s">
        <v>38</v>
      </c>
      <c r="B490">
        <v>2017</v>
      </c>
      <c r="C490">
        <v>9652473</v>
      </c>
      <c r="D490" s="8">
        <v>0.92894625663757302</v>
      </c>
      <c r="E490" s="8">
        <v>1.9E-2</v>
      </c>
      <c r="F490">
        <v>2.2932544536221799</v>
      </c>
      <c r="G490">
        <f t="shared" si="39"/>
        <v>2.4686621397484028</v>
      </c>
      <c r="H490">
        <f t="shared" si="41"/>
        <v>-1.1417302176159883E-3</v>
      </c>
      <c r="I490">
        <f t="shared" si="40"/>
        <v>0</v>
      </c>
      <c r="J490">
        <f t="shared" si="42"/>
        <v>1</v>
      </c>
      <c r="K490">
        <v>-7.0894512385130002E-3</v>
      </c>
      <c r="L490">
        <v>-9.87902469933029E-3</v>
      </c>
      <c r="M490">
        <v>4.0697401612996903E-3</v>
      </c>
      <c r="N490">
        <v>-5.0652828067540897E-3</v>
      </c>
      <c r="O490">
        <f t="shared" si="43"/>
        <v>-1.3379929028451398E-2</v>
      </c>
    </row>
    <row r="491" spans="1:15" x14ac:dyDescent="0.35">
      <c r="A491" t="s">
        <v>38</v>
      </c>
      <c r="B491">
        <v>2018</v>
      </c>
      <c r="C491">
        <v>9642400</v>
      </c>
      <c r="D491" s="8">
        <v>0.930727779865265</v>
      </c>
      <c r="E491" s="8">
        <v>1.9E-2</v>
      </c>
      <c r="F491">
        <v>2.2619196379264599</v>
      </c>
      <c r="G491">
        <f t="shared" si="39"/>
        <v>2.4302698241734038</v>
      </c>
      <c r="H491">
        <f t="shared" si="41"/>
        <v>-1.5551871176228249E-2</v>
      </c>
      <c r="I491">
        <f t="shared" si="40"/>
        <v>0</v>
      </c>
      <c r="J491">
        <f t="shared" si="42"/>
        <v>1</v>
      </c>
      <c r="K491">
        <v>4.0697401612996903E-3</v>
      </c>
      <c r="L491">
        <v>-5.0652828067540897E-3</v>
      </c>
      <c r="M491">
        <v>9.5832079350948E-3</v>
      </c>
      <c r="N491">
        <v>-8.2179866731166996E-3</v>
      </c>
      <c r="O491">
        <f t="shared" si="43"/>
        <v>-1.0662080161273438E-2</v>
      </c>
    </row>
    <row r="492" spans="1:15" x14ac:dyDescent="0.35">
      <c r="A492" t="s">
        <v>38</v>
      </c>
      <c r="B492">
        <v>2019</v>
      </c>
      <c r="C492">
        <v>9630651</v>
      </c>
      <c r="D492" s="8">
        <v>0.93392485380172696</v>
      </c>
      <c r="E492" s="8">
        <v>1.7999999999999999E-2</v>
      </c>
      <c r="F492">
        <v>2.1534359220966501</v>
      </c>
      <c r="G492">
        <f t="shared" si="39"/>
        <v>2.3057914277906413</v>
      </c>
      <c r="H492">
        <f t="shared" si="41"/>
        <v>-5.1219990119862779E-2</v>
      </c>
      <c r="I492">
        <f t="shared" si="40"/>
        <v>0</v>
      </c>
      <c r="J492" t="str">
        <f t="shared" si="42"/>
        <v/>
      </c>
      <c r="K492">
        <v>9.5832079350948E-3</v>
      </c>
      <c r="L492">
        <v>-8.2179866731166996E-3</v>
      </c>
      <c r="M492">
        <v>-2.3636423878371698E-2</v>
      </c>
      <c r="N492">
        <v>-4.2485614307224598E-2</v>
      </c>
      <c r="O492">
        <f t="shared" si="43"/>
        <v>-5.5629491806029781E-3</v>
      </c>
    </row>
    <row r="493" spans="1:15" x14ac:dyDescent="0.35">
      <c r="A493" t="s">
        <v>38</v>
      </c>
      <c r="B493">
        <v>2020</v>
      </c>
      <c r="C493">
        <v>9588870</v>
      </c>
      <c r="D493" s="8">
        <v>0.92155790328979503</v>
      </c>
      <c r="E493" s="8">
        <v>0.02</v>
      </c>
      <c r="F493">
        <v>2.1441088004241902</v>
      </c>
      <c r="G493">
        <f t="shared" si="39"/>
        <v>2.3266132196035754</v>
      </c>
      <c r="H493">
        <f t="shared" si="41"/>
        <v>9.0302147722376436E-3</v>
      </c>
      <c r="I493">
        <f t="shared" si="40"/>
        <v>1</v>
      </c>
      <c r="J493" t="str">
        <f t="shared" si="42"/>
        <v/>
      </c>
      <c r="K493">
        <v>-2.3636423878371698E-2</v>
      </c>
      <c r="L493">
        <v>-4.2485614307224598E-2</v>
      </c>
      <c r="M493">
        <v>3.2158768057823098E-2</v>
      </c>
      <c r="N493">
        <v>-1.1430844664573701E-2</v>
      </c>
      <c r="O493">
        <f t="shared" si="43"/>
        <v>2.5943587534129802E-3</v>
      </c>
    </row>
    <row r="494" spans="1:15" x14ac:dyDescent="0.35">
      <c r="A494" t="s">
        <v>38</v>
      </c>
      <c r="B494">
        <v>2021</v>
      </c>
      <c r="C494">
        <v>9515238</v>
      </c>
      <c r="D494" s="8">
        <v>0.94278889894485496</v>
      </c>
      <c r="E494" s="8">
        <v>1.7999999999999999E-2</v>
      </c>
      <c r="F494">
        <v>2.1673539998460098</v>
      </c>
      <c r="G494">
        <f t="shared" si="39"/>
        <v>2.2988751800871401</v>
      </c>
      <c r="H494">
        <f t="shared" si="41"/>
        <v>-1.1922067356413213E-2</v>
      </c>
      <c r="I494">
        <f t="shared" si="40"/>
        <v>0</v>
      </c>
      <c r="J494" t="str">
        <f t="shared" si="42"/>
        <v/>
      </c>
      <c r="K494">
        <v>3.2158768057823098E-2</v>
      </c>
      <c r="L494">
        <v>-1.1430844664573701E-2</v>
      </c>
      <c r="M494">
        <v>-3.1803423464298201E-2</v>
      </c>
      <c r="N494">
        <v>3.00083309412099E-4</v>
      </c>
      <c r="O494">
        <f t="shared" si="43"/>
        <v>1.1759540066125992E-4</v>
      </c>
    </row>
    <row r="495" spans="1:15" x14ac:dyDescent="0.35">
      <c r="A495" t="s">
        <v>38</v>
      </c>
      <c r="B495">
        <v>2022</v>
      </c>
      <c r="C495">
        <v>9483157</v>
      </c>
      <c r="D495" s="8">
        <v>0.94601380825042702</v>
      </c>
      <c r="E495" s="8">
        <v>1.0999999999999999E-2</v>
      </c>
      <c r="F495">
        <v>2.1032550359826798</v>
      </c>
      <c r="G495">
        <f t="shared" si="39"/>
        <v>2.2232815394866945</v>
      </c>
      <c r="H495">
        <f t="shared" si="41"/>
        <v>-3.2882881704599631E-2</v>
      </c>
      <c r="I495">
        <f t="shared" si="40"/>
        <v>0</v>
      </c>
      <c r="J495" t="str">
        <f t="shared" si="42"/>
        <v/>
      </c>
      <c r="K495">
        <v>-3.1803423464298201E-2</v>
      </c>
      <c r="L495">
        <v>7.7878683805469797E-4</v>
      </c>
      <c r="M495">
        <v>-1.10349662452936E-2</v>
      </c>
      <c r="N495">
        <v>8.5239615291357006E-3</v>
      </c>
      <c r="O495">
        <f t="shared" si="43"/>
        <v>-3.6720712669192598E-4</v>
      </c>
    </row>
    <row r="496" spans="1:15" x14ac:dyDescent="0.35">
      <c r="A496" t="s">
        <v>39</v>
      </c>
      <c r="B496">
        <v>2006</v>
      </c>
      <c r="C496">
        <v>216973</v>
      </c>
      <c r="D496" s="8">
        <v>0.95863568782806396</v>
      </c>
      <c r="E496" s="8">
        <v>2E-3</v>
      </c>
      <c r="F496">
        <v>2.2912316123449599</v>
      </c>
      <c r="G496">
        <f t="shared" si="39"/>
        <v>2.390096301897644</v>
      </c>
      <c r="H496">
        <f t="shared" si="41"/>
        <v>7.5030876408690661E-2</v>
      </c>
      <c r="I496">
        <f t="shared" si="40"/>
        <v>1</v>
      </c>
      <c r="J496" t="str">
        <f t="shared" si="42"/>
        <v/>
      </c>
      <c r="K496">
        <v>2.49253861904144E-2</v>
      </c>
      <c r="L496">
        <v>1.85623466968536E-2</v>
      </c>
      <c r="M496">
        <v>1.6355912297964102E-2</v>
      </c>
      <c r="N496">
        <v>1.7277668230235601E-2</v>
      </c>
      <c r="O496" t="str">
        <f t="shared" si="43"/>
        <v/>
      </c>
    </row>
    <row r="497" spans="1:15" x14ac:dyDescent="0.35">
      <c r="A497" t="s">
        <v>39</v>
      </c>
      <c r="B497">
        <v>2007</v>
      </c>
      <c r="C497">
        <v>217858.796875</v>
      </c>
      <c r="D497" s="8">
        <v>0.95843350887298595</v>
      </c>
      <c r="E497" s="8">
        <v>2E-3</v>
      </c>
      <c r="F497">
        <v>2.6140064212819598</v>
      </c>
      <c r="G497">
        <f t="shared" si="39"/>
        <v>2.7273737792783854</v>
      </c>
      <c r="H497">
        <f t="shared" si="41"/>
        <v>0.14111459739632926</v>
      </c>
      <c r="I497">
        <f t="shared" si="40"/>
        <v>1</v>
      </c>
      <c r="J497" t="str">
        <f t="shared" si="42"/>
        <v/>
      </c>
      <c r="K497">
        <v>1.6355912297964102E-2</v>
      </c>
      <c r="L497">
        <v>1.7277668230235601E-2</v>
      </c>
      <c r="M497">
        <v>-3.1209878914058201E-2</v>
      </c>
      <c r="N497">
        <v>-1.6990746371448001E-3</v>
      </c>
      <c r="O497" t="str">
        <f t="shared" si="43"/>
        <v/>
      </c>
    </row>
    <row r="498" spans="1:15" x14ac:dyDescent="0.35">
      <c r="A498" t="s">
        <v>39</v>
      </c>
      <c r="B498">
        <v>2008</v>
      </c>
      <c r="C498">
        <v>219229.09375</v>
      </c>
      <c r="D498" s="8">
        <v>0.95074307918548595</v>
      </c>
      <c r="E498" s="8">
        <v>0</v>
      </c>
      <c r="F498">
        <v>2.4042191314843699</v>
      </c>
      <c r="G498">
        <f t="shared" si="39"/>
        <v>2.5287789983642015</v>
      </c>
      <c r="H498">
        <f t="shared" si="41"/>
        <v>-7.2815388350154442E-2</v>
      </c>
      <c r="I498">
        <f t="shared" si="40"/>
        <v>0</v>
      </c>
      <c r="J498" t="str">
        <f t="shared" si="42"/>
        <v/>
      </c>
      <c r="K498">
        <v>-3.1209878914058201E-2</v>
      </c>
      <c r="L498">
        <v>-1.6990746371448001E-3</v>
      </c>
      <c r="M498">
        <v>-5.0381363093852903E-2</v>
      </c>
      <c r="N498">
        <v>-2.3814661428332301E-2</v>
      </c>
      <c r="O498" t="str">
        <f t="shared" si="43"/>
        <v/>
      </c>
    </row>
    <row r="499" spans="1:15" x14ac:dyDescent="0.35">
      <c r="A499" t="s">
        <v>39</v>
      </c>
      <c r="B499">
        <v>2009</v>
      </c>
      <c r="C499">
        <v>219818.203125</v>
      </c>
      <c r="D499" s="8">
        <v>0.94093918800354004</v>
      </c>
      <c r="E499" s="8">
        <v>3.0000000000000001E-3</v>
      </c>
      <c r="F499">
        <v>2.40927744171201</v>
      </c>
      <c r="G499">
        <f t="shared" si="39"/>
        <v>2.5605028172160109</v>
      </c>
      <c r="H499">
        <f t="shared" si="41"/>
        <v>1.2545113223548121E-2</v>
      </c>
      <c r="I499">
        <f t="shared" si="40"/>
        <v>1</v>
      </c>
      <c r="J499" t="str">
        <f t="shared" si="42"/>
        <v/>
      </c>
      <c r="K499">
        <v>-5.0381363093852903E-2</v>
      </c>
      <c r="L499">
        <v>-2.3814661428332301E-2</v>
      </c>
      <c r="M499">
        <v>-1.1584038086235499E-2</v>
      </c>
      <c r="N499">
        <v>-2.1239293273538299E-3</v>
      </c>
      <c r="O499" t="str">
        <f t="shared" si="43"/>
        <v/>
      </c>
    </row>
    <row r="500" spans="1:15" x14ac:dyDescent="0.35">
      <c r="A500" t="s">
        <v>39</v>
      </c>
      <c r="B500">
        <v>2010</v>
      </c>
      <c r="C500">
        <v>219834.109375</v>
      </c>
      <c r="D500" s="8">
        <v>0.94749891757965099</v>
      </c>
      <c r="E500" s="8">
        <v>2E-3</v>
      </c>
      <c r="F500">
        <v>2.3686002886002799</v>
      </c>
      <c r="G500">
        <f t="shared" si="39"/>
        <v>2.499844849058801</v>
      </c>
      <c r="H500">
        <f t="shared" si="41"/>
        <v>-2.3689865814388034E-2</v>
      </c>
      <c r="I500">
        <f t="shared" si="40"/>
        <v>0</v>
      </c>
      <c r="J500">
        <f t="shared" si="42"/>
        <v>3</v>
      </c>
      <c r="K500">
        <v>-1.1584038086235499E-2</v>
      </c>
      <c r="L500">
        <v>-2.1239293273538299E-3</v>
      </c>
      <c r="M500">
        <v>-2.1834290929138699E-2</v>
      </c>
      <c r="N500">
        <v>-5.5051641538740202E-4</v>
      </c>
      <c r="O500">
        <f t="shared" si="43"/>
        <v>8.8259959593415952E-4</v>
      </c>
    </row>
    <row r="501" spans="1:15" x14ac:dyDescent="0.35">
      <c r="A501" t="s">
        <v>39</v>
      </c>
      <c r="B501">
        <v>2011</v>
      </c>
      <c r="C501">
        <v>219783.296875</v>
      </c>
      <c r="D501" s="8">
        <v>0.94734901189804099</v>
      </c>
      <c r="E501" s="8">
        <v>3.0000000000000001E-3</v>
      </c>
      <c r="F501">
        <v>2.3072443714145598</v>
      </c>
      <c r="G501">
        <f t="shared" si="39"/>
        <v>2.4354745109111682</v>
      </c>
      <c r="H501">
        <f t="shared" si="41"/>
        <v>-2.5749733297195765E-2</v>
      </c>
      <c r="I501">
        <f t="shared" si="40"/>
        <v>0</v>
      </c>
      <c r="J501">
        <f t="shared" si="42"/>
        <v>2</v>
      </c>
      <c r="K501">
        <v>-2.1834290929138699E-2</v>
      </c>
      <c r="L501">
        <v>-5.5051641538740202E-4</v>
      </c>
      <c r="M501">
        <v>-2.5995804965495998E-3</v>
      </c>
      <c r="N501">
        <v>2.8386255726217998E-3</v>
      </c>
      <c r="O501">
        <f t="shared" si="43"/>
        <v>3.3460678532719799E-3</v>
      </c>
    </row>
    <row r="502" spans="1:15" x14ac:dyDescent="0.35">
      <c r="A502" t="s">
        <v>39</v>
      </c>
      <c r="B502">
        <v>2012</v>
      </c>
      <c r="C502">
        <v>220400.296875</v>
      </c>
      <c r="D502" s="8">
        <v>0.94963866472244296</v>
      </c>
      <c r="E502" s="8">
        <v>2.7E-2</v>
      </c>
      <c r="F502">
        <v>2.4280826882375099</v>
      </c>
      <c r="G502">
        <f t="shared" si="39"/>
        <v>2.5568490189341451</v>
      </c>
      <c r="H502">
        <f t="shared" si="41"/>
        <v>4.9836082241553781E-2</v>
      </c>
      <c r="I502">
        <f t="shared" si="40"/>
        <v>1</v>
      </c>
      <c r="J502">
        <f t="shared" si="42"/>
        <v>2</v>
      </c>
      <c r="K502">
        <v>-2.5995804965495998E-3</v>
      </c>
      <c r="L502">
        <v>2.7530267834663001E-3</v>
      </c>
      <c r="M502">
        <v>7.3856940865516998E-3</v>
      </c>
      <c r="N502">
        <v>1.2589227408170999E-3</v>
      </c>
      <c r="O502">
        <f t="shared" si="43"/>
        <v>4.2203176766634192E-3</v>
      </c>
    </row>
    <row r="503" spans="1:15" x14ac:dyDescent="0.35">
      <c r="A503" t="s">
        <v>39</v>
      </c>
      <c r="B503">
        <v>2013</v>
      </c>
      <c r="C503">
        <v>221144.8125</v>
      </c>
      <c r="D503" s="8">
        <v>0.95589751005172696</v>
      </c>
      <c r="E503" s="8">
        <v>7.0000000000000001E-3</v>
      </c>
      <c r="F503">
        <v>2.3296383690939999</v>
      </c>
      <c r="G503">
        <f t="shared" si="39"/>
        <v>2.4371214953451807</v>
      </c>
      <c r="H503">
        <f t="shared" si="41"/>
        <v>-4.6826200022899389E-2</v>
      </c>
      <c r="I503">
        <f t="shared" si="40"/>
        <v>0</v>
      </c>
      <c r="J503">
        <f t="shared" si="42"/>
        <v>2</v>
      </c>
      <c r="K503">
        <v>7.3856940865516998E-3</v>
      </c>
      <c r="L503">
        <v>1.2589227408170999E-3</v>
      </c>
      <c r="M503">
        <v>5.4358940720557903E-3</v>
      </c>
      <c r="N503">
        <v>3.4278705716132901E-3</v>
      </c>
      <c r="O503">
        <f t="shared" si="43"/>
        <v>6.2097132205963402E-3</v>
      </c>
    </row>
    <row r="504" spans="1:15" x14ac:dyDescent="0.35">
      <c r="A504" t="s">
        <v>39</v>
      </c>
      <c r="B504">
        <v>2014</v>
      </c>
      <c r="C504">
        <v>222580.59375</v>
      </c>
      <c r="D504" s="8">
        <v>0.95853823423385598</v>
      </c>
      <c r="E504" s="8">
        <v>3.0000000000000001E-3</v>
      </c>
      <c r="F504">
        <v>2.41788521680331</v>
      </c>
      <c r="G504">
        <f t="shared" si="39"/>
        <v>2.5224713323364574</v>
      </c>
      <c r="H504">
        <f t="shared" si="41"/>
        <v>3.5020755901702838E-2</v>
      </c>
      <c r="I504">
        <f t="shared" si="40"/>
        <v>1</v>
      </c>
      <c r="J504">
        <f t="shared" si="42"/>
        <v>2</v>
      </c>
      <c r="K504">
        <v>5.4358940720557903E-3</v>
      </c>
      <c r="L504">
        <v>3.4278705716132901E-3</v>
      </c>
      <c r="M504">
        <v>2.7701547533273699E-2</v>
      </c>
      <c r="N504">
        <v>-2.5619044899939901E-3</v>
      </c>
      <c r="O504">
        <f t="shared" si="43"/>
        <v>6.0611516237259215E-3</v>
      </c>
    </row>
    <row r="505" spans="1:15" x14ac:dyDescent="0.35">
      <c r="A505" t="s">
        <v>39</v>
      </c>
      <c r="B505">
        <v>2015</v>
      </c>
      <c r="C505">
        <v>223524.703125</v>
      </c>
      <c r="D505" s="8">
        <v>0.95777672529220603</v>
      </c>
      <c r="E505" s="8">
        <v>3.1E-2</v>
      </c>
      <c r="F505">
        <v>2.3416427150121599</v>
      </c>
      <c r="G505">
        <f t="shared" si="39"/>
        <v>2.444873270748726</v>
      </c>
      <c r="H505">
        <f t="shared" si="41"/>
        <v>-3.0762712976347584E-2</v>
      </c>
      <c r="I505">
        <f t="shared" si="40"/>
        <v>0</v>
      </c>
      <c r="J505">
        <f t="shared" si="42"/>
        <v>2</v>
      </c>
      <c r="K505">
        <v>2.7701547533273699E-2</v>
      </c>
      <c r="L505">
        <v>-2.5619044899939901E-3</v>
      </c>
      <c r="M505">
        <v>2.4920381873846102E-2</v>
      </c>
      <c r="N505">
        <v>1.17668248713017E-2</v>
      </c>
      <c r="O505">
        <f t="shared" si="43"/>
        <v>5.3478583693504604E-3</v>
      </c>
    </row>
    <row r="506" spans="1:15" x14ac:dyDescent="0.35">
      <c r="A506" t="s">
        <v>39</v>
      </c>
      <c r="B506">
        <v>2016</v>
      </c>
      <c r="C506">
        <v>225067.90625</v>
      </c>
      <c r="D506" s="8">
        <v>0.95204883813857999</v>
      </c>
      <c r="E506" s="8">
        <v>1.4999999999999999E-2</v>
      </c>
      <c r="F506">
        <v>2.3443729354140501</v>
      </c>
      <c r="G506">
        <f t="shared" si="39"/>
        <v>2.4624502877370285</v>
      </c>
      <c r="H506">
        <f t="shared" si="41"/>
        <v>7.1893366411255322E-3</v>
      </c>
      <c r="I506">
        <f t="shared" si="40"/>
        <v>1</v>
      </c>
      <c r="J506">
        <f t="shared" si="42"/>
        <v>3</v>
      </c>
      <c r="K506">
        <v>2.4920381873846102E-2</v>
      </c>
      <c r="L506">
        <v>1.17668248713017E-2</v>
      </c>
      <c r="M506">
        <v>9.9994481503962902E-3</v>
      </c>
      <c r="N506">
        <v>7.2098746895789996E-3</v>
      </c>
      <c r="O506">
        <f t="shared" si="43"/>
        <v>-9.1472923755645599E-3</v>
      </c>
    </row>
    <row r="507" spans="1:15" x14ac:dyDescent="0.35">
      <c r="A507" t="s">
        <v>39</v>
      </c>
      <c r="B507">
        <v>2017</v>
      </c>
      <c r="C507">
        <v>227051</v>
      </c>
      <c r="D507" s="8">
        <v>0.95540434122085605</v>
      </c>
      <c r="E507" s="8">
        <v>0.01</v>
      </c>
      <c r="F507">
        <v>2.4397037987542398</v>
      </c>
      <c r="G507">
        <f t="shared" si="39"/>
        <v>2.5535824922426911</v>
      </c>
      <c r="H507">
        <f t="shared" si="41"/>
        <v>3.7008748952009229E-2</v>
      </c>
      <c r="I507">
        <f t="shared" si="40"/>
        <v>1</v>
      </c>
      <c r="J507">
        <f t="shared" si="42"/>
        <v>3</v>
      </c>
      <c r="K507">
        <v>9.9994481503962902E-3</v>
      </c>
      <c r="L507">
        <v>7.2098746895789996E-3</v>
      </c>
      <c r="M507">
        <v>2.0340923428535499E-2</v>
      </c>
      <c r="N507">
        <v>1.1205900460481699E-2</v>
      </c>
      <c r="O507">
        <f t="shared" si="43"/>
        <v>-9.8585903644561428E-3</v>
      </c>
    </row>
    <row r="508" spans="1:15" x14ac:dyDescent="0.35">
      <c r="A508" t="s">
        <v>39</v>
      </c>
      <c r="B508">
        <v>2018</v>
      </c>
      <c r="C508">
        <v>225092</v>
      </c>
      <c r="D508" s="8">
        <v>0.97272431850433305</v>
      </c>
      <c r="E508" s="8">
        <v>2E-3</v>
      </c>
      <c r="F508">
        <v>2.4087790383576402</v>
      </c>
      <c r="G508">
        <f t="shared" si="39"/>
        <v>2.4763224199651899</v>
      </c>
      <c r="H508">
        <f t="shared" si="41"/>
        <v>-3.0255561554092369E-2</v>
      </c>
      <c r="I508">
        <f t="shared" si="40"/>
        <v>0</v>
      </c>
      <c r="J508">
        <f t="shared" si="42"/>
        <v>3</v>
      </c>
      <c r="K508">
        <v>2.0340923428535499E-2</v>
      </c>
      <c r="L508">
        <v>1.1205900460481699E-2</v>
      </c>
      <c r="M508">
        <v>2.0486257195472701E-2</v>
      </c>
      <c r="N508">
        <v>2.6850625872612E-3</v>
      </c>
      <c r="O508">
        <f t="shared" si="43"/>
        <v>-9.6682995557784805E-3</v>
      </c>
    </row>
    <row r="509" spans="1:15" x14ac:dyDescent="0.35">
      <c r="A509" t="s">
        <v>39</v>
      </c>
      <c r="B509">
        <v>2019</v>
      </c>
      <c r="C509">
        <v>214693.609375</v>
      </c>
      <c r="D509" s="8">
        <v>0.97495198249816895</v>
      </c>
      <c r="E509" s="8">
        <v>5.0000000000000001E-3</v>
      </c>
      <c r="F509">
        <v>2.2893160339580301</v>
      </c>
      <c r="G509">
        <f t="shared" si="39"/>
        <v>2.3481320875844567</v>
      </c>
      <c r="H509">
        <f t="shared" si="41"/>
        <v>-5.1766414319559861E-2</v>
      </c>
      <c r="I509">
        <f t="shared" si="40"/>
        <v>0</v>
      </c>
      <c r="J509" t="str">
        <f t="shared" si="42"/>
        <v/>
      </c>
      <c r="K509">
        <v>2.0486257195472701E-2</v>
      </c>
      <c r="L509">
        <v>2.6850625872612E-3</v>
      </c>
      <c r="M509">
        <v>1.27208196669817E-2</v>
      </c>
      <c r="N509">
        <v>-6.1283707618712997E-3</v>
      </c>
      <c r="O509">
        <f t="shared" si="43"/>
        <v>-1.2386923097073985E-2</v>
      </c>
    </row>
    <row r="510" spans="1:15" x14ac:dyDescent="0.35">
      <c r="A510" t="s">
        <v>39</v>
      </c>
      <c r="B510">
        <v>2020</v>
      </c>
      <c r="C510">
        <v>209247.703125</v>
      </c>
      <c r="D510" s="8">
        <v>0.97239089012145996</v>
      </c>
      <c r="E510" s="8">
        <v>1.7999999999999999E-2</v>
      </c>
      <c r="F510">
        <v>2.3912075516504299</v>
      </c>
      <c r="G510">
        <f t="shared" si="39"/>
        <v>2.4591011453755471</v>
      </c>
      <c r="H510">
        <f t="shared" si="41"/>
        <v>4.7258439326232748E-2</v>
      </c>
      <c r="I510">
        <f t="shared" si="40"/>
        <v>1</v>
      </c>
      <c r="J510" t="str">
        <f t="shared" si="42"/>
        <v/>
      </c>
      <c r="K510">
        <v>1.27208196669817E-2</v>
      </c>
      <c r="L510">
        <v>-6.1283707618712997E-3</v>
      </c>
      <c r="M510">
        <v>-1.71193161308765E-2</v>
      </c>
      <c r="N510">
        <v>-6.0708928853273399E-2</v>
      </c>
      <c r="O510">
        <f t="shared" si="43"/>
        <v>-9.9946356378495214E-3</v>
      </c>
    </row>
    <row r="511" spans="1:15" x14ac:dyDescent="0.35">
      <c r="A511" t="s">
        <v>39</v>
      </c>
      <c r="B511">
        <v>2021</v>
      </c>
      <c r="C511">
        <v>206563.40625</v>
      </c>
      <c r="D511" s="8">
        <v>0.95639884471893299</v>
      </c>
      <c r="E511" s="8">
        <v>4.7E-2</v>
      </c>
      <c r="F511">
        <v>2.25751997845021</v>
      </c>
      <c r="G511">
        <f t="shared" si="39"/>
        <v>2.360437793202951</v>
      </c>
      <c r="H511">
        <f t="shared" si="41"/>
        <v>-4.01217137237877E-2</v>
      </c>
      <c r="I511">
        <f t="shared" si="40"/>
        <v>0</v>
      </c>
      <c r="J511" t="str">
        <f t="shared" si="42"/>
        <v/>
      </c>
      <c r="K511">
        <v>-1.71193161308765E-2</v>
      </c>
      <c r="L511">
        <v>-6.0708928853273399E-2</v>
      </c>
      <c r="M511">
        <v>-2.8450122028589198E-2</v>
      </c>
      <c r="N511">
        <v>3.6533847451210898E-3</v>
      </c>
      <c r="O511">
        <f t="shared" si="43"/>
        <v>4.7694300301373378E-3</v>
      </c>
    </row>
    <row r="512" spans="1:15" x14ac:dyDescent="0.35">
      <c r="A512" t="s">
        <v>39</v>
      </c>
      <c r="B512">
        <v>2022</v>
      </c>
      <c r="C512">
        <v>207339</v>
      </c>
      <c r="D512" s="8">
        <v>0.95828461647033703</v>
      </c>
      <c r="E512" s="8">
        <v>1.2999999999999999E-2</v>
      </c>
      <c r="F512">
        <v>2.24721721027064</v>
      </c>
      <c r="G512">
        <f t="shared" si="39"/>
        <v>2.345041516525483</v>
      </c>
      <c r="H512">
        <f t="shared" si="41"/>
        <v>-6.5226360642939296E-3</v>
      </c>
      <c r="I512">
        <f t="shared" si="40"/>
        <v>0</v>
      </c>
      <c r="J512" t="str">
        <f t="shared" si="42"/>
        <v/>
      </c>
      <c r="K512">
        <v>-2.8450122028589198E-2</v>
      </c>
      <c r="L512">
        <v>4.1320882737636896E-3</v>
      </c>
      <c r="M512">
        <v>-7.4015732705592901E-3</v>
      </c>
      <c r="N512">
        <v>1.215735450387E-2</v>
      </c>
      <c r="O512">
        <f t="shared" si="43"/>
        <v>4.0306601207703557E-3</v>
      </c>
    </row>
    <row r="513" spans="1:15" x14ac:dyDescent="0.35">
      <c r="A513" t="s">
        <v>40</v>
      </c>
      <c r="B513">
        <v>2006</v>
      </c>
      <c r="C513">
        <v>2073364</v>
      </c>
      <c r="D513" s="8">
        <v>0.91673713922500599</v>
      </c>
      <c r="E513" s="8">
        <v>0.01</v>
      </c>
      <c r="F513">
        <v>2.1010699808380302</v>
      </c>
      <c r="G513">
        <f t="shared" si="39"/>
        <v>2.2919001433870556</v>
      </c>
      <c r="H513">
        <f t="shared" si="41"/>
        <v>-2.2661165170825615E-2</v>
      </c>
      <c r="I513">
        <f t="shared" si="40"/>
        <v>0</v>
      </c>
      <c r="J513" t="str">
        <f t="shared" si="42"/>
        <v/>
      </c>
      <c r="K513">
        <v>-1.90221158489585E-2</v>
      </c>
      <c r="L513">
        <v>-2.53851553425192E-2</v>
      </c>
      <c r="M513">
        <v>-1.18298110514879E-2</v>
      </c>
      <c r="N513">
        <v>-1.09080551192163E-2</v>
      </c>
      <c r="O513" t="str">
        <f t="shared" si="43"/>
        <v/>
      </c>
    </row>
    <row r="514" spans="1:15" x14ac:dyDescent="0.35">
      <c r="A514" t="s">
        <v>40</v>
      </c>
      <c r="B514">
        <v>2007</v>
      </c>
      <c r="C514">
        <v>2086778.125</v>
      </c>
      <c r="D514" s="8">
        <v>0.92023861408233598</v>
      </c>
      <c r="E514" s="8">
        <v>-1E-3</v>
      </c>
      <c r="F514">
        <v>2.0746726509099802</v>
      </c>
      <c r="G514">
        <f t="shared" si="39"/>
        <v>2.2544942356921727</v>
      </c>
      <c r="H514">
        <f t="shared" si="41"/>
        <v>-1.6320915116137313E-2</v>
      </c>
      <c r="I514">
        <f t="shared" si="40"/>
        <v>0</v>
      </c>
      <c r="J514" t="str">
        <f t="shared" si="42"/>
        <v/>
      </c>
      <c r="K514">
        <v>-1.18298110514879E-2</v>
      </c>
      <c r="L514">
        <v>-1.09080551192163E-2</v>
      </c>
      <c r="M514">
        <v>-2.3677737742662401E-2</v>
      </c>
      <c r="N514">
        <v>5.8330665342509998E-3</v>
      </c>
      <c r="O514" t="str">
        <f t="shared" si="43"/>
        <v/>
      </c>
    </row>
    <row r="515" spans="1:15" x14ac:dyDescent="0.35">
      <c r="A515" t="s">
        <v>40</v>
      </c>
      <c r="B515">
        <v>2008</v>
      </c>
      <c r="C515">
        <v>2098281</v>
      </c>
      <c r="D515" s="8">
        <v>0.916464984416962</v>
      </c>
      <c r="E515" s="8">
        <v>0</v>
      </c>
      <c r="F515">
        <v>2.1565434984813101</v>
      </c>
      <c r="G515">
        <f t="shared" ref="G515:G578" si="44">F515/D515</f>
        <v>2.3531106317752695</v>
      </c>
      <c r="H515">
        <f t="shared" si="41"/>
        <v>4.3742137159565431E-2</v>
      </c>
      <c r="I515">
        <f t="shared" ref="I515:I578" si="45">IF(H515&gt;0,1,0)</f>
        <v>1</v>
      </c>
      <c r="J515" t="str">
        <f t="shared" si="42"/>
        <v/>
      </c>
      <c r="K515">
        <v>-2.3677737742662401E-2</v>
      </c>
      <c r="L515">
        <v>5.8330665342509998E-3</v>
      </c>
      <c r="M515">
        <v>-1.34553021788597E-2</v>
      </c>
      <c r="N515">
        <v>1.31113994866609E-2</v>
      </c>
      <c r="O515" t="str">
        <f t="shared" si="43"/>
        <v/>
      </c>
    </row>
    <row r="516" spans="1:15" x14ac:dyDescent="0.35">
      <c r="A516" t="s">
        <v>40</v>
      </c>
      <c r="B516">
        <v>2009</v>
      </c>
      <c r="C516">
        <v>2110508</v>
      </c>
      <c r="D516" s="8">
        <v>0.91140753030777</v>
      </c>
      <c r="E516" s="8">
        <v>1E-3</v>
      </c>
      <c r="F516">
        <v>2.2162611401895602</v>
      </c>
      <c r="G516">
        <f t="shared" si="44"/>
        <v>2.4316906175233806</v>
      </c>
      <c r="H516">
        <f t="shared" ref="H516:H579" si="46">+G516/G515-1</f>
        <v>3.3394088950602141E-2</v>
      </c>
      <c r="I516">
        <f t="shared" si="45"/>
        <v>1</v>
      </c>
      <c r="J516" t="str">
        <f t="shared" si="42"/>
        <v/>
      </c>
      <c r="K516">
        <v>-1.34553021788597E-2</v>
      </c>
      <c r="L516">
        <v>1.31113994866609E-2</v>
      </c>
      <c r="M516">
        <v>-9.5005735605955093E-3</v>
      </c>
      <c r="N516">
        <v>-4.0464801713824198E-5</v>
      </c>
      <c r="O516" t="str">
        <f t="shared" si="43"/>
        <v/>
      </c>
    </row>
    <row r="517" spans="1:15" x14ac:dyDescent="0.35">
      <c r="A517" t="s">
        <v>40</v>
      </c>
      <c r="B517">
        <v>2010</v>
      </c>
      <c r="C517">
        <v>2120738</v>
      </c>
      <c r="D517" s="8">
        <v>0.91586643457412698</v>
      </c>
      <c r="E517" s="8">
        <v>1E-3</v>
      </c>
      <c r="F517">
        <v>2.30277874374256</v>
      </c>
      <c r="G517">
        <f t="shared" si="44"/>
        <v>2.5143172157120706</v>
      </c>
      <c r="H517">
        <f t="shared" si="46"/>
        <v>3.39790751312119E-2</v>
      </c>
      <c r="I517">
        <f t="shared" si="45"/>
        <v>1</v>
      </c>
      <c r="J517">
        <f t="shared" si="42"/>
        <v>3</v>
      </c>
      <c r="K517">
        <v>-9.5005735605955093E-3</v>
      </c>
      <c r="L517">
        <v>-4.0464801713824198E-5</v>
      </c>
      <c r="M517">
        <v>-2.20350114330649E-2</v>
      </c>
      <c r="N517">
        <v>-7.5123691931363798E-4</v>
      </c>
      <c r="O517">
        <f t="shared" si="43"/>
        <v>3.9458153769373055E-4</v>
      </c>
    </row>
    <row r="518" spans="1:15" x14ac:dyDescent="0.35">
      <c r="A518" t="s">
        <v>40</v>
      </c>
      <c r="B518">
        <v>2011</v>
      </c>
      <c r="C518">
        <v>2129093</v>
      </c>
      <c r="D518" s="8">
        <v>0.91883838176727295</v>
      </c>
      <c r="E518" s="8">
        <v>5.0000000000000001E-3</v>
      </c>
      <c r="F518">
        <v>2.22316429693478</v>
      </c>
      <c r="G518">
        <f t="shared" si="44"/>
        <v>2.4195379090050593</v>
      </c>
      <c r="H518">
        <f t="shared" si="46"/>
        <v>-3.7695842877235819E-2</v>
      </c>
      <c r="I518">
        <f t="shared" si="45"/>
        <v>0</v>
      </c>
      <c r="J518">
        <f t="shared" si="42"/>
        <v>3</v>
      </c>
      <c r="K518">
        <v>-2.20350114330649E-2</v>
      </c>
      <c r="L518">
        <v>-7.5123691931363798E-4</v>
      </c>
      <c r="M518">
        <v>-3.4078939855099002E-3</v>
      </c>
      <c r="N518">
        <v>2.0303120836614899E-3</v>
      </c>
      <c r="O518">
        <f t="shared" si="43"/>
        <v>1.9187517464159813E-4</v>
      </c>
    </row>
    <row r="519" spans="1:15" x14ac:dyDescent="0.35">
      <c r="A519" t="s">
        <v>40</v>
      </c>
      <c r="B519">
        <v>2012</v>
      </c>
      <c r="C519">
        <v>2139233</v>
      </c>
      <c r="D519" s="8">
        <v>0.92302513122558605</v>
      </c>
      <c r="E519" s="8">
        <v>4.0000000000000001E-3</v>
      </c>
      <c r="F519">
        <v>2.1956002053237502</v>
      </c>
      <c r="G519">
        <f t="shared" si="44"/>
        <v>2.3787003528370332</v>
      </c>
      <c r="H519">
        <f t="shared" si="46"/>
        <v>-1.6878246055181179E-2</v>
      </c>
      <c r="I519">
        <f t="shared" si="45"/>
        <v>0</v>
      </c>
      <c r="J519">
        <f t="shared" ref="J519:J582" si="47">IF(AND(B519&gt;=2010,B519&lt;=2018),SUM(I515:I519),"")</f>
        <v>3</v>
      </c>
      <c r="K519">
        <v>-3.4078939855099002E-3</v>
      </c>
      <c r="L519">
        <v>1.9447132945059999E-3</v>
      </c>
      <c r="M519">
        <v>9.2796521633863004E-3</v>
      </c>
      <c r="N519">
        <v>3.1528808176517001E-3</v>
      </c>
      <c r="O519">
        <f t="shared" ref="O519:O582" si="48">IF(B519&gt;=2010,AVERAGE(N519:N523),"")</f>
        <v>-3.4108515828845936E-4</v>
      </c>
    </row>
    <row r="520" spans="1:15" x14ac:dyDescent="0.35">
      <c r="A520" t="s">
        <v>40</v>
      </c>
      <c r="B520">
        <v>2013</v>
      </c>
      <c r="C520">
        <v>2151333</v>
      </c>
      <c r="D520" s="8">
        <v>0.92236423492431596</v>
      </c>
      <c r="E520" s="8">
        <v>6.0000000000000001E-3</v>
      </c>
      <c r="F520">
        <v>2.2104667075645299</v>
      </c>
      <c r="G520">
        <f t="shared" si="44"/>
        <v>2.3965225708756024</v>
      </c>
      <c r="H520">
        <f t="shared" si="46"/>
        <v>7.4924182935915962E-3</v>
      </c>
      <c r="I520">
        <f t="shared" si="45"/>
        <v>1</v>
      </c>
      <c r="J520">
        <f t="shared" si="47"/>
        <v>3</v>
      </c>
      <c r="K520">
        <v>9.2796521633863004E-3</v>
      </c>
      <c r="L520">
        <v>3.1528808176517001E-3</v>
      </c>
      <c r="M520">
        <v>-4.5102479308839998E-4</v>
      </c>
      <c r="N520">
        <v>-2.4590482935308998E-3</v>
      </c>
      <c r="O520">
        <f t="shared" si="48"/>
        <v>-4.5643355697389947E-4</v>
      </c>
    </row>
    <row r="521" spans="1:15" x14ac:dyDescent="0.35">
      <c r="A521" t="s">
        <v>40</v>
      </c>
      <c r="B521">
        <v>2014</v>
      </c>
      <c r="C521">
        <v>2164203</v>
      </c>
      <c r="D521" s="8">
        <v>0.92289406061172496</v>
      </c>
      <c r="E521" s="8">
        <v>7.0000000000000001E-3</v>
      </c>
      <c r="F521">
        <v>2.1821473430121099</v>
      </c>
      <c r="G521">
        <f t="shared" si="44"/>
        <v>2.3644613570984623</v>
      </c>
      <c r="H521">
        <f t="shared" si="46"/>
        <v>-1.3378223166671921E-2</v>
      </c>
      <c r="I521">
        <f t="shared" si="45"/>
        <v>0</v>
      </c>
      <c r="J521">
        <f t="shared" si="47"/>
        <v>2</v>
      </c>
      <c r="K521">
        <v>-4.5102479308839998E-4</v>
      </c>
      <c r="L521">
        <v>-2.4590482935308998E-3</v>
      </c>
      <c r="M521">
        <v>3.0263452023267599E-2</v>
      </c>
      <c r="N521">
        <v>0</v>
      </c>
      <c r="O521">
        <f t="shared" si="48"/>
        <v>2.1489784121516016E-4</v>
      </c>
    </row>
    <row r="522" spans="1:15" x14ac:dyDescent="0.35">
      <c r="A522" t="s">
        <v>40</v>
      </c>
      <c r="B522">
        <v>2015</v>
      </c>
      <c r="C522">
        <v>2176396</v>
      </c>
      <c r="D522" s="8">
        <v>0.92960858345031705</v>
      </c>
      <c r="E522" s="8">
        <v>1.0999999999999999E-2</v>
      </c>
      <c r="F522">
        <v>2.1504419151777099</v>
      </c>
      <c r="G522">
        <f t="shared" si="44"/>
        <v>2.3132767419123561</v>
      </c>
      <c r="H522">
        <f t="shared" si="46"/>
        <v>-2.1647473760754155E-2</v>
      </c>
      <c r="I522">
        <f t="shared" si="45"/>
        <v>0</v>
      </c>
      <c r="J522">
        <f t="shared" si="47"/>
        <v>1</v>
      </c>
      <c r="K522">
        <v>3.0263452023267599E-2</v>
      </c>
      <c r="L522">
        <v>0</v>
      </c>
      <c r="M522">
        <v>1.13887882679701E-2</v>
      </c>
      <c r="N522">
        <v>-1.7647687345742999E-3</v>
      </c>
      <c r="O522">
        <f t="shared" si="48"/>
        <v>-7.3407590389247979E-4</v>
      </c>
    </row>
    <row r="523" spans="1:15" x14ac:dyDescent="0.35">
      <c r="A523" t="s">
        <v>40</v>
      </c>
      <c r="B523">
        <v>2016</v>
      </c>
      <c r="C523">
        <v>2189974</v>
      </c>
      <c r="D523" s="8">
        <v>0.92516702413559004</v>
      </c>
      <c r="E523" s="8">
        <v>2.5000000000000001E-2</v>
      </c>
      <c r="F523">
        <v>2.17379914211776</v>
      </c>
      <c r="G523">
        <f t="shared" si="44"/>
        <v>2.3496288620412109</v>
      </c>
      <c r="H523">
        <f t="shared" si="46"/>
        <v>1.5714557393942785E-2</v>
      </c>
      <c r="I523">
        <f t="shared" si="45"/>
        <v>1</v>
      </c>
      <c r="J523">
        <f t="shared" si="47"/>
        <v>2</v>
      </c>
      <c r="K523">
        <v>1.13887882679701E-2</v>
      </c>
      <c r="L523">
        <v>-1.7647687345742999E-3</v>
      </c>
      <c r="M523">
        <v>2.1550838798284999E-3</v>
      </c>
      <c r="N523">
        <v>-6.3448958098879702E-4</v>
      </c>
      <c r="O523">
        <f t="shared" si="48"/>
        <v>-3.0187632888555196E-3</v>
      </c>
    </row>
    <row r="524" spans="1:15" x14ac:dyDescent="0.35">
      <c r="A524" t="s">
        <v>40</v>
      </c>
      <c r="B524">
        <v>2017</v>
      </c>
      <c r="C524">
        <v>2203303</v>
      </c>
      <c r="D524" s="8">
        <v>0.92432695627212502</v>
      </c>
      <c r="E524" s="8">
        <v>1.4E-2</v>
      </c>
      <c r="F524">
        <v>2.2064315713957301</v>
      </c>
      <c r="G524">
        <f t="shared" si="44"/>
        <v>2.3870682948536115</v>
      </c>
      <c r="H524">
        <f t="shared" si="46"/>
        <v>1.5934190040496565E-2</v>
      </c>
      <c r="I524">
        <f t="shared" si="45"/>
        <v>1</v>
      </c>
      <c r="J524">
        <f t="shared" si="47"/>
        <v>3</v>
      </c>
      <c r="K524">
        <v>2.1550838798284999E-3</v>
      </c>
      <c r="L524">
        <v>-6.3448958098879702E-4</v>
      </c>
      <c r="M524">
        <v>1.1711161792278201E-2</v>
      </c>
      <c r="N524">
        <v>2.5761388242244998E-3</v>
      </c>
      <c r="O524">
        <f t="shared" si="48"/>
        <v>8.7880715727808E-4</v>
      </c>
    </row>
    <row r="525" spans="1:15" x14ac:dyDescent="0.35">
      <c r="A525" t="s">
        <v>40</v>
      </c>
      <c r="B525">
        <v>2018</v>
      </c>
      <c r="C525">
        <v>2215341</v>
      </c>
      <c r="D525" s="8">
        <v>0.93518686294555697</v>
      </c>
      <c r="E525" s="8">
        <v>8.9999999999999993E-3</v>
      </c>
      <c r="F525">
        <v>2.19264196269553</v>
      </c>
      <c r="G525">
        <f t="shared" si="44"/>
        <v>2.3446030409252843</v>
      </c>
      <c r="H525">
        <f t="shared" si="46"/>
        <v>-1.7789710508023582E-2</v>
      </c>
      <c r="I525">
        <f t="shared" si="45"/>
        <v>0</v>
      </c>
      <c r="J525">
        <f t="shared" si="47"/>
        <v>2</v>
      </c>
      <c r="K525">
        <v>1.1711161792278201E-2</v>
      </c>
      <c r="L525">
        <v>2.5761388242244998E-3</v>
      </c>
      <c r="M525">
        <v>1.86988033056259E-2</v>
      </c>
      <c r="N525">
        <v>8.9760869741439798E-4</v>
      </c>
      <c r="O525">
        <f t="shared" si="48"/>
        <v>3.1317360699176797E-3</v>
      </c>
    </row>
    <row r="526" spans="1:15" x14ac:dyDescent="0.35">
      <c r="A526" t="s">
        <v>40</v>
      </c>
      <c r="B526">
        <v>2019</v>
      </c>
      <c r="C526">
        <v>2228235</v>
      </c>
      <c r="D526" s="8">
        <v>0.93662416934966997</v>
      </c>
      <c r="E526" s="8">
        <v>7.0000000000000001E-3</v>
      </c>
      <c r="F526">
        <v>2.1452193116475402</v>
      </c>
      <c r="G526">
        <f t="shared" si="44"/>
        <v>2.2903736438245437</v>
      </c>
      <c r="H526">
        <f t="shared" si="46"/>
        <v>-2.3129457803372611E-2</v>
      </c>
      <c r="I526">
        <f t="shared" si="45"/>
        <v>0</v>
      </c>
      <c r="J526" t="str">
        <f t="shared" si="47"/>
        <v/>
      </c>
      <c r="K526">
        <v>1.86988033056259E-2</v>
      </c>
      <c r="L526">
        <v>8.9760869741439798E-4</v>
      </c>
      <c r="M526">
        <v>1.4104321703314699E-2</v>
      </c>
      <c r="N526">
        <v>-4.7448687255382E-3</v>
      </c>
      <c r="O526">
        <f t="shared" si="48"/>
        <v>2.216384746134282E-3</v>
      </c>
    </row>
    <row r="527" spans="1:15" x14ac:dyDescent="0.35">
      <c r="A527" t="s">
        <v>40</v>
      </c>
      <c r="B527">
        <v>2020</v>
      </c>
      <c r="C527">
        <v>2236436</v>
      </c>
      <c r="D527" s="8">
        <v>0.93731743097305298</v>
      </c>
      <c r="E527" s="8">
        <v>1.7999999999999999E-2</v>
      </c>
      <c r="F527">
        <v>2.0537811866349198</v>
      </c>
      <c r="G527">
        <f t="shared" si="44"/>
        <v>2.1911266330583841</v>
      </c>
      <c r="H527">
        <f t="shared" si="46"/>
        <v>-4.3332235783342998E-2</v>
      </c>
      <c r="I527">
        <f t="shared" si="45"/>
        <v>0</v>
      </c>
      <c r="J527" t="str">
        <f t="shared" si="47"/>
        <v/>
      </c>
      <c r="K527">
        <v>1.4104321703314699E-2</v>
      </c>
      <c r="L527">
        <v>-4.7448687255382E-3</v>
      </c>
      <c r="M527">
        <v>3.0401407063007299E-2</v>
      </c>
      <c r="N527">
        <v>-1.3188205659389499E-2</v>
      </c>
      <c r="O527">
        <f t="shared" si="48"/>
        <v>-1.5437205322086978E-3</v>
      </c>
    </row>
    <row r="528" spans="1:15" x14ac:dyDescent="0.35">
      <c r="A528" t="s">
        <v>40</v>
      </c>
      <c r="B528">
        <v>2021</v>
      </c>
      <c r="C528">
        <v>2238966</v>
      </c>
      <c r="D528" s="8">
        <v>0.95439994335174605</v>
      </c>
      <c r="E528" s="8">
        <v>7.0000000000000001E-3</v>
      </c>
      <c r="F528">
        <v>2.0775408494080398</v>
      </c>
      <c r="G528">
        <f t="shared" si="44"/>
        <v>2.1768031985751679</v>
      </c>
      <c r="H528">
        <f t="shared" si="46"/>
        <v>-6.5370181107348158E-3</v>
      </c>
      <c r="I528">
        <f t="shared" si="45"/>
        <v>0</v>
      </c>
      <c r="J528" t="str">
        <f t="shared" si="47"/>
        <v/>
      </c>
      <c r="K528">
        <v>3.0401407063007299E-2</v>
      </c>
      <c r="L528">
        <v>-1.3188205659389499E-2</v>
      </c>
      <c r="M528">
        <v>-1.3250144124030999E-2</v>
      </c>
      <c r="N528">
        <v>1.8853362649679201E-2</v>
      </c>
      <c r="O528">
        <f t="shared" si="48"/>
        <v>5.0327833741894806E-5</v>
      </c>
    </row>
    <row r="529" spans="1:15" x14ac:dyDescent="0.35">
      <c r="A529" t="s">
        <v>40</v>
      </c>
      <c r="B529">
        <v>2022</v>
      </c>
      <c r="C529">
        <v>2251509</v>
      </c>
      <c r="D529" s="8">
        <v>0.94219160079956099</v>
      </c>
      <c r="E529" s="8">
        <v>1.7000000000000001E-2</v>
      </c>
      <c r="F529">
        <v>2.00794759317052</v>
      </c>
      <c r="G529">
        <f t="shared" si="44"/>
        <v>2.1311457154431634</v>
      </c>
      <c r="H529">
        <f t="shared" si="46"/>
        <v>-2.0974557168002006E-2</v>
      </c>
      <c r="I529">
        <f t="shared" si="45"/>
        <v>0</v>
      </c>
      <c r="J529" t="str">
        <f t="shared" si="47"/>
        <v/>
      </c>
      <c r="K529">
        <v>-1.3250144124030999E-2</v>
      </c>
      <c r="L529">
        <v>1.93320661783218E-2</v>
      </c>
      <c r="M529">
        <v>-5.7181443870068004E-3</v>
      </c>
      <c r="N529">
        <v>1.3840783387422499E-2</v>
      </c>
      <c r="O529">
        <f t="shared" si="48"/>
        <v>-2.6714681182056902E-3</v>
      </c>
    </row>
    <row r="530" spans="1:15" x14ac:dyDescent="0.35">
      <c r="A530" t="s">
        <v>41</v>
      </c>
      <c r="B530">
        <v>2006</v>
      </c>
      <c r="C530">
        <v>240018.203125</v>
      </c>
      <c r="D530" s="8">
        <v>0.91225409507751498</v>
      </c>
      <c r="E530" s="8">
        <v>8.0000000000000002E-3</v>
      </c>
      <c r="F530">
        <v>2.49525732142363</v>
      </c>
      <c r="G530">
        <f t="shared" si="44"/>
        <v>2.7352656840763272</v>
      </c>
      <c r="H530">
        <f t="shared" si="46"/>
        <v>0.28347192041138269</v>
      </c>
      <c r="I530">
        <f t="shared" si="45"/>
        <v>1</v>
      </c>
      <c r="J530" t="str">
        <f t="shared" si="47"/>
        <v/>
      </c>
      <c r="K530">
        <v>3.1713140785693997E-2</v>
      </c>
      <c r="L530">
        <v>2.5350101292133199E-2</v>
      </c>
      <c r="M530">
        <v>-4.6009038537741E-3</v>
      </c>
      <c r="N530">
        <v>-3.6791479215025902E-3</v>
      </c>
      <c r="O530" t="str">
        <f t="shared" si="48"/>
        <v/>
      </c>
    </row>
    <row r="531" spans="1:15" x14ac:dyDescent="0.35">
      <c r="A531" t="s">
        <v>41</v>
      </c>
      <c r="B531">
        <v>2007</v>
      </c>
      <c r="C531">
        <v>247967.796875</v>
      </c>
      <c r="D531" s="8">
        <v>0.87425714731216397</v>
      </c>
      <c r="E531" s="8">
        <v>5.0999999999999997E-2</v>
      </c>
      <c r="F531">
        <v>2.52756165700381</v>
      </c>
      <c r="G531">
        <f t="shared" si="44"/>
        <v>2.8910963608071181</v>
      </c>
      <c r="H531">
        <f t="shared" si="46"/>
        <v>5.6970947150756679E-2</v>
      </c>
      <c r="I531">
        <f t="shared" si="45"/>
        <v>1</v>
      </c>
      <c r="J531" t="str">
        <f t="shared" si="47"/>
        <v/>
      </c>
      <c r="K531">
        <v>-4.6009038537741E-3</v>
      </c>
      <c r="L531">
        <v>-3.6791479215025902E-3</v>
      </c>
      <c r="M531">
        <v>-5.3056199394166503E-2</v>
      </c>
      <c r="N531">
        <v>-2.35453951172531E-2</v>
      </c>
      <c r="O531" t="str">
        <f t="shared" si="48"/>
        <v/>
      </c>
    </row>
    <row r="532" spans="1:15" x14ac:dyDescent="0.35">
      <c r="A532" t="s">
        <v>41</v>
      </c>
      <c r="B532">
        <v>2008</v>
      </c>
      <c r="C532">
        <v>250395.09375</v>
      </c>
      <c r="D532" s="8">
        <v>0.87899351119995095</v>
      </c>
      <c r="E532" s="8">
        <v>5.3999999999999999E-2</v>
      </c>
      <c r="F532">
        <v>2.7638253765014298</v>
      </c>
      <c r="G532">
        <f t="shared" si="44"/>
        <v>3.1443069161323112</v>
      </c>
      <c r="H532">
        <f t="shared" si="46"/>
        <v>8.7582883351042362E-2</v>
      </c>
      <c r="I532">
        <f t="shared" si="45"/>
        <v>1</v>
      </c>
      <c r="J532" t="str">
        <f t="shared" si="47"/>
        <v/>
      </c>
      <c r="K532">
        <v>-5.3056199394166503E-2</v>
      </c>
      <c r="L532">
        <v>-2.35453951172531E-2</v>
      </c>
      <c r="M532">
        <v>-3.1784665495157197E-2</v>
      </c>
      <c r="N532">
        <v>-5.21796382963654E-3</v>
      </c>
      <c r="O532" t="str">
        <f t="shared" si="48"/>
        <v/>
      </c>
    </row>
    <row r="533" spans="1:15" x14ac:dyDescent="0.35">
      <c r="A533" t="s">
        <v>41</v>
      </c>
      <c r="B533">
        <v>2009</v>
      </c>
      <c r="C533">
        <v>257883.703125</v>
      </c>
      <c r="D533" s="8">
        <v>0.88510501384735096</v>
      </c>
      <c r="E533" s="8">
        <v>5.8999999999999997E-2</v>
      </c>
      <c r="F533">
        <v>2.5186530478479301</v>
      </c>
      <c r="G533">
        <f t="shared" si="44"/>
        <v>2.8455979894407286</v>
      </c>
      <c r="H533">
        <f t="shared" si="46"/>
        <v>-9.4999926743478569E-2</v>
      </c>
      <c r="I533">
        <f t="shared" si="45"/>
        <v>0</v>
      </c>
      <c r="J533" t="str">
        <f t="shared" si="47"/>
        <v/>
      </c>
      <c r="K533">
        <v>-3.1784665495157197E-2</v>
      </c>
      <c r="L533">
        <v>-5.21796382963654E-3</v>
      </c>
      <c r="M533">
        <v>-4.2157258689403997E-3</v>
      </c>
      <c r="N533">
        <v>5.2443828899412801E-3</v>
      </c>
      <c r="O533" t="str">
        <f t="shared" si="48"/>
        <v/>
      </c>
    </row>
    <row r="534" spans="1:15" x14ac:dyDescent="0.35">
      <c r="A534" t="s">
        <v>41</v>
      </c>
      <c r="B534">
        <v>2010</v>
      </c>
      <c r="C534">
        <v>262701.1875</v>
      </c>
      <c r="D534" s="8">
        <v>0.89155423641204801</v>
      </c>
      <c r="E534" s="8">
        <v>1.9E-2</v>
      </c>
      <c r="F534">
        <v>2.62612994350282</v>
      </c>
      <c r="G534">
        <f t="shared" si="44"/>
        <v>2.9455638661663048</v>
      </c>
      <c r="H534">
        <f t="shared" si="46"/>
        <v>3.5130006802269076E-2</v>
      </c>
      <c r="I534">
        <f t="shared" si="45"/>
        <v>1</v>
      </c>
      <c r="J534">
        <f t="shared" si="47"/>
        <v>4</v>
      </c>
      <c r="K534">
        <v>-4.2157258689403997E-3</v>
      </c>
      <c r="L534">
        <v>5.2443828899412801E-3</v>
      </c>
      <c r="M534">
        <v>-2.3778314113616899E-2</v>
      </c>
      <c r="N534">
        <v>-2.4945395998656398E-3</v>
      </c>
      <c r="O534">
        <f t="shared" si="48"/>
        <v>-1.1697905510663966E-2</v>
      </c>
    </row>
    <row r="535" spans="1:15" x14ac:dyDescent="0.35">
      <c r="A535" t="s">
        <v>41</v>
      </c>
      <c r="B535">
        <v>2011</v>
      </c>
      <c r="C535">
        <v>267925.125</v>
      </c>
      <c r="D535" s="8">
        <v>0.88988929986953702</v>
      </c>
      <c r="E535" s="8">
        <v>6.3E-2</v>
      </c>
      <c r="F535">
        <v>2.6943962340410299</v>
      </c>
      <c r="G535">
        <f t="shared" si="44"/>
        <v>3.0277881017740569</v>
      </c>
      <c r="H535">
        <f t="shared" si="46"/>
        <v>2.7914599493905401E-2</v>
      </c>
      <c r="I535">
        <f t="shared" si="45"/>
        <v>1</v>
      </c>
      <c r="J535">
        <f t="shared" si="47"/>
        <v>4</v>
      </c>
      <c r="K535">
        <v>-2.3778314113616899E-2</v>
      </c>
      <c r="L535">
        <v>-2.4945395998656398E-3</v>
      </c>
      <c r="M535">
        <v>-1.00825487673283E-2</v>
      </c>
      <c r="N535">
        <v>-4.6443426981568996E-3</v>
      </c>
      <c r="O535">
        <f t="shared" si="48"/>
        <v>-1.5436822921037657E-2</v>
      </c>
    </row>
    <row r="536" spans="1:15" x14ac:dyDescent="0.35">
      <c r="A536" t="s">
        <v>41</v>
      </c>
      <c r="B536">
        <v>2012</v>
      </c>
      <c r="C536">
        <v>275740</v>
      </c>
      <c r="D536" s="8">
        <v>0.88701778650283802</v>
      </c>
      <c r="E536" s="8">
        <v>2.1999999999999999E-2</v>
      </c>
      <c r="F536">
        <v>2.6421011095120899</v>
      </c>
      <c r="G536">
        <f t="shared" si="44"/>
        <v>2.9786337429927472</v>
      </c>
      <c r="H536">
        <f t="shared" si="46"/>
        <v>-1.6234411764980861E-2</v>
      </c>
      <c r="I536">
        <f t="shared" si="45"/>
        <v>0</v>
      </c>
      <c r="J536">
        <f t="shared" si="47"/>
        <v>3</v>
      </c>
      <c r="K536">
        <v>-1.00825487673283E-2</v>
      </c>
      <c r="L536">
        <v>-4.7299414873124002E-3</v>
      </c>
      <c r="M536">
        <v>-1.00783407688098E-4</v>
      </c>
      <c r="N536">
        <v>-6.2275547534226903E-3</v>
      </c>
      <c r="O536">
        <f t="shared" si="48"/>
        <v>-1.008787062019106E-2</v>
      </c>
    </row>
    <row r="537" spans="1:15" x14ac:dyDescent="0.35">
      <c r="A537" t="s">
        <v>41</v>
      </c>
      <c r="B537">
        <v>2013</v>
      </c>
      <c r="C537">
        <v>276159.78125</v>
      </c>
      <c r="D537" s="8">
        <v>0.89623934030532804</v>
      </c>
      <c r="E537" s="8">
        <v>3.4000000000000002E-2</v>
      </c>
      <c r="F537">
        <v>2.5527367387481998</v>
      </c>
      <c r="G537">
        <f t="shared" si="44"/>
        <v>2.8482757048787231</v>
      </c>
      <c r="H537">
        <f t="shared" si="46"/>
        <v>-4.3764372984994249E-2</v>
      </c>
      <c r="I537">
        <f t="shared" si="45"/>
        <v>0</v>
      </c>
      <c r="J537">
        <f t="shared" si="47"/>
        <v>2</v>
      </c>
      <c r="K537">
        <v>-1.00783407688098E-4</v>
      </c>
      <c r="L537">
        <v>-6.2275547534226903E-3</v>
      </c>
      <c r="M537">
        <v>-1.7717088744044301E-2</v>
      </c>
      <c r="N537">
        <v>-1.9725112244486798E-2</v>
      </c>
      <c r="O537">
        <f t="shared" si="48"/>
        <v>-7.7609525993465999E-3</v>
      </c>
    </row>
    <row r="538" spans="1:15" x14ac:dyDescent="0.35">
      <c r="A538" t="s">
        <v>41</v>
      </c>
      <c r="B538">
        <v>2014</v>
      </c>
      <c r="C538">
        <v>281025.5</v>
      </c>
      <c r="D538" s="8">
        <v>0.89095920324325595</v>
      </c>
      <c r="E538" s="8">
        <v>4.2000000000000003E-2</v>
      </c>
      <c r="F538">
        <v>2.5925302379158999</v>
      </c>
      <c r="G538">
        <f t="shared" si="44"/>
        <v>2.9098192470301796</v>
      </c>
      <c r="H538">
        <f t="shared" si="46"/>
        <v>2.1607298073722525E-2</v>
      </c>
      <c r="I538">
        <f t="shared" si="45"/>
        <v>1</v>
      </c>
      <c r="J538">
        <f t="shared" si="47"/>
        <v>3</v>
      </c>
      <c r="K538">
        <v>-1.7717088744044301E-2</v>
      </c>
      <c r="L538">
        <v>-1.9725112244486798E-2</v>
      </c>
      <c r="M538">
        <v>4.8654737658798703E-3</v>
      </c>
      <c r="N538">
        <v>-2.53979782573878E-2</v>
      </c>
      <c r="O538">
        <f t="shared" si="48"/>
        <v>-1.8274305388331024E-3</v>
      </c>
    </row>
    <row r="539" spans="1:15" x14ac:dyDescent="0.35">
      <c r="A539" t="s">
        <v>41</v>
      </c>
      <c r="B539">
        <v>2015</v>
      </c>
      <c r="C539">
        <v>284481.125</v>
      </c>
      <c r="D539" s="8">
        <v>0.88630127906799305</v>
      </c>
      <c r="E539" s="8">
        <v>0.02</v>
      </c>
      <c r="F539">
        <v>2.51425203149341</v>
      </c>
      <c r="G539">
        <f t="shared" si="44"/>
        <v>2.8367916089857386</v>
      </c>
      <c r="H539">
        <f t="shared" si="46"/>
        <v>-2.5096967146318261E-2</v>
      </c>
      <c r="I539">
        <f t="shared" si="45"/>
        <v>0</v>
      </c>
      <c r="J539">
        <f t="shared" si="47"/>
        <v>2</v>
      </c>
      <c r="K539">
        <v>4.8654737658798703E-3</v>
      </c>
      <c r="L539">
        <v>-2.53979782573878E-2</v>
      </c>
      <c r="M539">
        <v>-8.0355696491896996E-3</v>
      </c>
      <c r="N539">
        <v>-2.11891266517341E-2</v>
      </c>
      <c r="O539">
        <f t="shared" si="48"/>
        <v>4.9836968071758957E-3</v>
      </c>
    </row>
    <row r="540" spans="1:15" x14ac:dyDescent="0.35">
      <c r="A540" t="s">
        <v>41</v>
      </c>
      <c r="B540">
        <v>2016</v>
      </c>
      <c r="C540">
        <v>287111.6875</v>
      </c>
      <c r="D540" s="8">
        <v>0.88376867771148704</v>
      </c>
      <c r="E540" s="8">
        <v>3.4000000000000002E-2</v>
      </c>
      <c r="F540">
        <v>2.5600052178450299</v>
      </c>
      <c r="G540">
        <f t="shared" si="44"/>
        <v>2.8966915013034247</v>
      </c>
      <c r="H540">
        <f t="shared" si="46"/>
        <v>2.1115365727940372E-2</v>
      </c>
      <c r="I540">
        <f t="shared" si="45"/>
        <v>1</v>
      </c>
      <c r="J540">
        <f t="shared" si="47"/>
        <v>2</v>
      </c>
      <c r="K540">
        <v>-8.0355696491896996E-3</v>
      </c>
      <c r="L540">
        <v>-2.11891266517341E-2</v>
      </c>
      <c r="M540">
        <v>2.4889992266893399E-2</v>
      </c>
      <c r="N540">
        <v>2.2100418806076098E-2</v>
      </c>
      <c r="O540">
        <f t="shared" si="48"/>
        <v>9.1135855764150741E-3</v>
      </c>
    </row>
    <row r="541" spans="1:15" x14ac:dyDescent="0.35">
      <c r="A541" t="s">
        <v>41</v>
      </c>
      <c r="B541">
        <v>2017</v>
      </c>
      <c r="C541">
        <v>292874.90625</v>
      </c>
      <c r="D541" s="8">
        <v>0.91940665245056197</v>
      </c>
      <c r="E541" s="8">
        <v>1.7000000000000001E-2</v>
      </c>
      <c r="F541">
        <v>2.5342204535090902</v>
      </c>
      <c r="G541">
        <f t="shared" si="44"/>
        <v>2.756365147842303</v>
      </c>
      <c r="H541">
        <f t="shared" si="46"/>
        <v>-4.8443665263621982E-2</v>
      </c>
      <c r="I541">
        <f t="shared" si="45"/>
        <v>0</v>
      </c>
      <c r="J541">
        <f t="shared" si="47"/>
        <v>2</v>
      </c>
      <c r="K541">
        <v>2.4889992266893399E-2</v>
      </c>
      <c r="L541">
        <v>2.2100418806076098E-2</v>
      </c>
      <c r="M541">
        <v>1.45420583188533E-2</v>
      </c>
      <c r="N541">
        <v>5.4070353507995996E-3</v>
      </c>
      <c r="O541">
        <f t="shared" si="48"/>
        <v>5.8928504586221457E-4</v>
      </c>
    </row>
    <row r="542" spans="1:15" x14ac:dyDescent="0.35">
      <c r="A542" t="s">
        <v>41</v>
      </c>
      <c r="B542">
        <v>2018</v>
      </c>
      <c r="C542">
        <v>298929.28125</v>
      </c>
      <c r="D542" s="8">
        <v>0.92218333482742298</v>
      </c>
      <c r="E542" s="8">
        <v>2E-3</v>
      </c>
      <c r="F542">
        <v>2.5233490615941201</v>
      </c>
      <c r="G542">
        <f t="shared" si="44"/>
        <v>2.7362770137961108</v>
      </c>
      <c r="H542">
        <f t="shared" si="46"/>
        <v>-7.2879074319733839E-3</v>
      </c>
      <c r="I542">
        <f t="shared" si="45"/>
        <v>0</v>
      </c>
      <c r="J542">
        <f t="shared" si="47"/>
        <v>2</v>
      </c>
      <c r="K542">
        <v>1.45420583188533E-2</v>
      </c>
      <c r="L542">
        <v>5.4070353507995996E-3</v>
      </c>
      <c r="M542">
        <v>2.7743692666292199E-2</v>
      </c>
      <c r="N542">
        <v>9.9424980580806906E-3</v>
      </c>
      <c r="O542">
        <f t="shared" si="48"/>
        <v>-1.5825744718313251E-3</v>
      </c>
    </row>
    <row r="543" spans="1:15" x14ac:dyDescent="0.35">
      <c r="A543" t="s">
        <v>41</v>
      </c>
      <c r="B543">
        <v>2019</v>
      </c>
      <c r="C543">
        <v>304203</v>
      </c>
      <c r="D543" s="8">
        <v>0.90253043174743697</v>
      </c>
      <c r="E543" s="8">
        <v>1.9E-2</v>
      </c>
      <c r="F543">
        <v>2.3288896968228001</v>
      </c>
      <c r="G543">
        <f t="shared" si="44"/>
        <v>2.5804001891811152</v>
      </c>
      <c r="H543">
        <f t="shared" si="46"/>
        <v>-5.6966755861733276E-2</v>
      </c>
      <c r="I543">
        <f t="shared" si="45"/>
        <v>0</v>
      </c>
      <c r="J543" t="str">
        <f t="shared" si="47"/>
        <v/>
      </c>
      <c r="K543">
        <v>2.7743692666292199E-2</v>
      </c>
      <c r="L543">
        <v>9.9424980580806906E-3</v>
      </c>
      <c r="M543">
        <v>2.75068489015101E-2</v>
      </c>
      <c r="N543">
        <v>8.6576584726571898E-3</v>
      </c>
      <c r="O543">
        <f t="shared" si="48"/>
        <v>-6.6151082515716634E-3</v>
      </c>
    </row>
    <row r="544" spans="1:15" x14ac:dyDescent="0.35">
      <c r="A544" t="s">
        <v>41</v>
      </c>
      <c r="B544">
        <v>2020</v>
      </c>
      <c r="C544">
        <v>309881</v>
      </c>
      <c r="D544" s="8">
        <v>0.93174082040786699</v>
      </c>
      <c r="E544" s="8">
        <v>8.1000000000000003E-2</v>
      </c>
      <c r="F544">
        <v>2.3584033339845001</v>
      </c>
      <c r="G544">
        <f t="shared" si="44"/>
        <v>2.5311795751871378</v>
      </c>
      <c r="H544">
        <f t="shared" si="46"/>
        <v>-1.9074798630206891E-2</v>
      </c>
      <c r="I544">
        <f t="shared" si="45"/>
        <v>0</v>
      </c>
      <c r="J544" t="str">
        <f t="shared" si="47"/>
        <v/>
      </c>
      <c r="K544">
        <v>2.75068489015101E-2</v>
      </c>
      <c r="L544">
        <v>8.6576584726571898E-3</v>
      </c>
      <c r="M544">
        <v>4.3049929916858701E-2</v>
      </c>
      <c r="N544">
        <v>-5.3968280553820503E-4</v>
      </c>
      <c r="O544">
        <f t="shared" si="48"/>
        <v>-8.1932392902672353E-3</v>
      </c>
    </row>
    <row r="545" spans="1:15" x14ac:dyDescent="0.35">
      <c r="A545" t="s">
        <v>41</v>
      </c>
      <c r="B545">
        <v>2021</v>
      </c>
      <c r="C545">
        <v>316742.1875</v>
      </c>
      <c r="D545" s="8">
        <v>0.94900846481323198</v>
      </c>
      <c r="E545" s="8">
        <v>4.9000000000000002E-2</v>
      </c>
      <c r="F545">
        <v>2.7440498715369701</v>
      </c>
      <c r="G545">
        <f t="shared" si="44"/>
        <v>2.89149146006512</v>
      </c>
      <c r="H545">
        <f t="shared" si="46"/>
        <v>0.1423493964671958</v>
      </c>
      <c r="I545">
        <f t="shared" si="45"/>
        <v>1</v>
      </c>
      <c r="J545" t="str">
        <f t="shared" si="47"/>
        <v/>
      </c>
      <c r="K545">
        <v>4.3049929916858701E-2</v>
      </c>
      <c r="L545">
        <v>-5.3968280553820503E-4</v>
      </c>
      <c r="M545">
        <v>-5.2624590620398502E-2</v>
      </c>
      <c r="N545">
        <v>-2.0521083846688201E-2</v>
      </c>
      <c r="O545">
        <f t="shared" si="48"/>
        <v>-5.7637562043964929E-3</v>
      </c>
    </row>
    <row r="546" spans="1:15" x14ac:dyDescent="0.35">
      <c r="A546" t="s">
        <v>41</v>
      </c>
      <c r="B546">
        <v>2022</v>
      </c>
      <c r="C546">
        <v>322794.59375</v>
      </c>
      <c r="D546" s="8">
        <v>0.89984619617462203</v>
      </c>
      <c r="E546" s="8">
        <v>6.3E-2</v>
      </c>
      <c r="F546">
        <v>2.4888037904848401</v>
      </c>
      <c r="G546">
        <f t="shared" si="44"/>
        <v>2.765810202971474</v>
      </c>
      <c r="H546">
        <f t="shared" si="46"/>
        <v>-4.3465892543502638E-2</v>
      </c>
      <c r="I546">
        <f t="shared" si="45"/>
        <v>0</v>
      </c>
      <c r="J546" t="str">
        <f t="shared" si="47"/>
        <v/>
      </c>
      <c r="K546">
        <v>-5.2624590620398502E-2</v>
      </c>
      <c r="L546">
        <v>-2.0042380318045599E-2</v>
      </c>
      <c r="M546">
        <v>-2.5011190012097399E-2</v>
      </c>
      <c r="N546">
        <v>-5.4522622376680999E-3</v>
      </c>
      <c r="O546">
        <f t="shared" si="48"/>
        <v>-3.1607994111255014E-3</v>
      </c>
    </row>
    <row r="547" spans="1:15" x14ac:dyDescent="0.35">
      <c r="A547" t="s">
        <v>42</v>
      </c>
      <c r="B547">
        <v>2006</v>
      </c>
      <c r="C547">
        <v>2097342</v>
      </c>
      <c r="D547" s="8">
        <v>0.92194926738739003</v>
      </c>
      <c r="E547" s="8">
        <v>2E-3</v>
      </c>
      <c r="F547">
        <v>2.03881031998041</v>
      </c>
      <c r="G547">
        <f t="shared" si="44"/>
        <v>2.2114127014363478</v>
      </c>
      <c r="H547">
        <f t="shared" si="46"/>
        <v>-0.20044669042709584</v>
      </c>
      <c r="I547">
        <f t="shared" si="45"/>
        <v>0</v>
      </c>
      <c r="J547" t="str">
        <f t="shared" si="47"/>
        <v/>
      </c>
      <c r="K547">
        <v>-1.24387670010328E-2</v>
      </c>
      <c r="L547">
        <v>-1.8801806494593599E-2</v>
      </c>
      <c r="M547">
        <v>-1.6141926772892501E-2</v>
      </c>
      <c r="N547">
        <v>-1.5220170840621E-2</v>
      </c>
      <c r="O547" t="str">
        <f t="shared" si="48"/>
        <v/>
      </c>
    </row>
    <row r="548" spans="1:15" x14ac:dyDescent="0.35">
      <c r="A548" t="s">
        <v>42</v>
      </c>
      <c r="B548">
        <v>2007</v>
      </c>
      <c r="C548">
        <v>2089961</v>
      </c>
      <c r="D548" s="8">
        <v>0.924335718154907</v>
      </c>
      <c r="E548" s="8">
        <v>8.0000000000000002E-3</v>
      </c>
      <c r="F548">
        <v>2.0510865609171698</v>
      </c>
      <c r="G548">
        <f t="shared" si="44"/>
        <v>2.2189844237669432</v>
      </c>
      <c r="H548">
        <f t="shared" si="46"/>
        <v>3.4239300179823573E-3</v>
      </c>
      <c r="I548">
        <f t="shared" si="45"/>
        <v>1</v>
      </c>
      <c r="J548" t="str">
        <f t="shared" si="47"/>
        <v/>
      </c>
      <c r="K548">
        <v>-1.6141926772892501E-2</v>
      </c>
      <c r="L548">
        <v>-1.5220170840621E-2</v>
      </c>
      <c r="M548">
        <v>-2.8743800997733999E-2</v>
      </c>
      <c r="N548">
        <v>7.6700327917933399E-4</v>
      </c>
      <c r="O548" t="str">
        <f t="shared" si="48"/>
        <v/>
      </c>
    </row>
    <row r="549" spans="1:15" x14ac:dyDescent="0.35">
      <c r="A549" t="s">
        <v>42</v>
      </c>
      <c r="B549">
        <v>2008</v>
      </c>
      <c r="C549">
        <v>2084187</v>
      </c>
      <c r="D549" s="8">
        <v>0.92240816354751598</v>
      </c>
      <c r="E549" s="8">
        <v>0</v>
      </c>
      <c r="F549">
        <v>2.0136950450332498</v>
      </c>
      <c r="G549">
        <f t="shared" si="44"/>
        <v>2.1830845872923788</v>
      </c>
      <c r="H549">
        <f t="shared" si="46"/>
        <v>-1.6178498636606475E-2</v>
      </c>
      <c r="I549">
        <f t="shared" si="45"/>
        <v>0</v>
      </c>
      <c r="J549" t="str">
        <f t="shared" si="47"/>
        <v/>
      </c>
      <c r="K549">
        <v>-2.8743800997733999E-2</v>
      </c>
      <c r="L549">
        <v>7.6700327917933399E-4</v>
      </c>
      <c r="M549">
        <v>-1.49589690417051E-2</v>
      </c>
      <c r="N549">
        <v>1.16077326238155E-2</v>
      </c>
      <c r="O549" t="str">
        <f t="shared" si="48"/>
        <v/>
      </c>
    </row>
    <row r="550" spans="1:15" x14ac:dyDescent="0.35">
      <c r="A550" t="s">
        <v>42</v>
      </c>
      <c r="B550">
        <v>2009</v>
      </c>
      <c r="C550">
        <v>2080065.875</v>
      </c>
      <c r="D550" s="8">
        <v>0.91386216878891002</v>
      </c>
      <c r="E550" s="8">
        <v>6.0000000000000001E-3</v>
      </c>
      <c r="F550">
        <v>2.0848076080476301</v>
      </c>
      <c r="G550">
        <f t="shared" si="44"/>
        <v>2.281315147130456</v>
      </c>
      <c r="H550">
        <f t="shared" si="46"/>
        <v>4.4996222505473416E-2</v>
      </c>
      <c r="I550">
        <f t="shared" si="45"/>
        <v>1</v>
      </c>
      <c r="J550" t="str">
        <f t="shared" si="47"/>
        <v/>
      </c>
      <c r="K550">
        <v>-1.49589690417051E-2</v>
      </c>
      <c r="L550">
        <v>1.16077326238155E-2</v>
      </c>
      <c r="M550">
        <v>-1.6966408639214899E-2</v>
      </c>
      <c r="N550">
        <v>-7.5062998803332396E-3</v>
      </c>
      <c r="O550" t="str">
        <f t="shared" si="48"/>
        <v/>
      </c>
    </row>
    <row r="551" spans="1:15" x14ac:dyDescent="0.35">
      <c r="A551" t="s">
        <v>42</v>
      </c>
      <c r="B551">
        <v>2010</v>
      </c>
      <c r="C551">
        <v>2076093</v>
      </c>
      <c r="D551" s="8">
        <v>0.92050975561142001</v>
      </c>
      <c r="E551" s="8">
        <v>3.0000000000000001E-3</v>
      </c>
      <c r="F551">
        <v>2.18805326792946</v>
      </c>
      <c r="G551">
        <f t="shared" si="44"/>
        <v>2.377001715181295</v>
      </c>
      <c r="H551">
        <f t="shared" si="46"/>
        <v>4.1943599143326571E-2</v>
      </c>
      <c r="I551">
        <f t="shared" si="45"/>
        <v>1</v>
      </c>
      <c r="J551">
        <f t="shared" si="47"/>
        <v>3</v>
      </c>
      <c r="K551">
        <v>-1.6966408639214899E-2</v>
      </c>
      <c r="L551">
        <v>-7.5062998803332396E-3</v>
      </c>
      <c r="M551">
        <v>-2.19243591353297E-2</v>
      </c>
      <c r="N551">
        <v>-6.4058462157840195E-4</v>
      </c>
      <c r="O551">
        <f t="shared" si="48"/>
        <v>-2.8773679398000178E-3</v>
      </c>
    </row>
    <row r="552" spans="1:15" x14ac:dyDescent="0.35">
      <c r="A552" t="s">
        <v>42</v>
      </c>
      <c r="B552">
        <v>2011</v>
      </c>
      <c r="C552">
        <v>2074283</v>
      </c>
      <c r="D552" s="8">
        <v>0.92760640382766701</v>
      </c>
      <c r="E552" s="8">
        <v>0</v>
      </c>
      <c r="F552">
        <v>2.0724842939836998</v>
      </c>
      <c r="G552">
        <f t="shared" si="44"/>
        <v>2.2342281008753484</v>
      </c>
      <c r="H552">
        <f t="shared" si="46"/>
        <v>-6.0064581945435069E-2</v>
      </c>
      <c r="I552">
        <f t="shared" si="45"/>
        <v>0</v>
      </c>
      <c r="J552">
        <f t="shared" si="47"/>
        <v>3</v>
      </c>
      <c r="K552">
        <v>-2.19243591353297E-2</v>
      </c>
      <c r="L552">
        <v>-6.4058462157840195E-4</v>
      </c>
      <c r="M552">
        <v>-8.2717009857296991E-3</v>
      </c>
      <c r="N552">
        <v>-2.8334949165582999E-3</v>
      </c>
      <c r="O552">
        <f t="shared" si="48"/>
        <v>-4.4867517426609976E-3</v>
      </c>
    </row>
    <row r="553" spans="1:15" x14ac:dyDescent="0.35">
      <c r="A553" t="s">
        <v>42</v>
      </c>
      <c r="B553">
        <v>2012</v>
      </c>
      <c r="C553">
        <v>2076295.875</v>
      </c>
      <c r="D553" s="8">
        <v>0.93149578571319602</v>
      </c>
      <c r="E553" s="8">
        <v>4.0000000000000001E-3</v>
      </c>
      <c r="F553">
        <v>2.0537169191615199</v>
      </c>
      <c r="G553">
        <f t="shared" si="44"/>
        <v>2.2047517022195646</v>
      </c>
      <c r="H553">
        <f t="shared" si="46"/>
        <v>-1.3193101744730207E-2</v>
      </c>
      <c r="I553">
        <f t="shared" si="45"/>
        <v>0</v>
      </c>
      <c r="J553">
        <f t="shared" si="47"/>
        <v>2</v>
      </c>
      <c r="K553">
        <v>-8.2717009857296991E-3</v>
      </c>
      <c r="L553">
        <v>-2.9190937057137901E-3</v>
      </c>
      <c r="M553">
        <v>2.2632727771997002E-3</v>
      </c>
      <c r="N553">
        <v>-3.8634985685348901E-3</v>
      </c>
      <c r="O553">
        <f t="shared" si="48"/>
        <v>-6.1335539445280573E-3</v>
      </c>
    </row>
    <row r="554" spans="1:15" x14ac:dyDescent="0.35">
      <c r="A554" t="s">
        <v>42</v>
      </c>
      <c r="B554">
        <v>2013</v>
      </c>
      <c r="C554">
        <v>2082131.125</v>
      </c>
      <c r="D554" s="8">
        <v>0.93259900808334395</v>
      </c>
      <c r="E554" s="8">
        <v>2E-3</v>
      </c>
      <c r="F554">
        <v>2.0732435062857602</v>
      </c>
      <c r="G554">
        <f t="shared" si="44"/>
        <v>2.2230813975951387</v>
      </c>
      <c r="H554">
        <f t="shared" si="46"/>
        <v>8.3137231993613003E-3</v>
      </c>
      <c r="I554">
        <f t="shared" si="45"/>
        <v>1</v>
      </c>
      <c r="J554">
        <f t="shared" si="47"/>
        <v>3</v>
      </c>
      <c r="K554">
        <v>2.2632727771997002E-3</v>
      </c>
      <c r="L554">
        <v>-3.8634985685348901E-3</v>
      </c>
      <c r="M554">
        <v>-4.35736420005559E-3</v>
      </c>
      <c r="N554">
        <v>-6.3653877004980998E-3</v>
      </c>
      <c r="O554">
        <f t="shared" si="48"/>
        <v>-5.7479532435535776E-3</v>
      </c>
    </row>
    <row r="555" spans="1:15" x14ac:dyDescent="0.35">
      <c r="A555" t="s">
        <v>42</v>
      </c>
      <c r="B555">
        <v>2014</v>
      </c>
      <c r="C555">
        <v>2086001</v>
      </c>
      <c r="D555" s="8">
        <v>0.93596422672271695</v>
      </c>
      <c r="E555" s="8">
        <v>6.0000000000000001E-3</v>
      </c>
      <c r="F555">
        <v>2.0571557111052998</v>
      </c>
      <c r="G555">
        <f t="shared" si="44"/>
        <v>2.197899932894273</v>
      </c>
      <c r="H555">
        <f t="shared" si="46"/>
        <v>-1.1327279661512257E-2</v>
      </c>
      <c r="I555">
        <f t="shared" si="45"/>
        <v>0</v>
      </c>
      <c r="J555">
        <f t="shared" si="47"/>
        <v>2</v>
      </c>
      <c r="K555">
        <v>-4.35736420005559E-3</v>
      </c>
      <c r="L555">
        <v>-6.3653877004980998E-3</v>
      </c>
      <c r="M555">
        <v>2.9579578131437301E-2</v>
      </c>
      <c r="N555">
        <v>-6.83873891830395E-4</v>
      </c>
      <c r="O555">
        <f t="shared" si="48"/>
        <v>-5.0240892916917175E-3</v>
      </c>
    </row>
    <row r="556" spans="1:15" x14ac:dyDescent="0.35">
      <c r="A556" t="s">
        <v>42</v>
      </c>
      <c r="B556">
        <v>2015</v>
      </c>
      <c r="C556">
        <v>2086842</v>
      </c>
      <c r="D556" s="8">
        <v>0.93790924549102805</v>
      </c>
      <c r="E556" s="8">
        <v>2.1999999999999999E-2</v>
      </c>
      <c r="F556">
        <v>2.1073660877726601</v>
      </c>
      <c r="G556">
        <f t="shared" si="44"/>
        <v>2.2468763346813803</v>
      </c>
      <c r="H556">
        <f t="shared" si="46"/>
        <v>2.2283271887912237E-2</v>
      </c>
      <c r="I556">
        <f t="shared" si="45"/>
        <v>1</v>
      </c>
      <c r="J556">
        <f t="shared" si="47"/>
        <v>2</v>
      </c>
      <c r="K556">
        <v>2.9579578131437301E-2</v>
      </c>
      <c r="L556">
        <v>-6.83873891830395E-4</v>
      </c>
      <c r="M556">
        <v>4.4660533666611001E-3</v>
      </c>
      <c r="N556">
        <v>-8.6875036358833001E-3</v>
      </c>
      <c r="O556">
        <f t="shared" si="48"/>
        <v>-7.4077967554330186E-3</v>
      </c>
    </row>
    <row r="557" spans="1:15" x14ac:dyDescent="0.35">
      <c r="A557" t="s">
        <v>42</v>
      </c>
      <c r="B557">
        <v>2016</v>
      </c>
      <c r="C557">
        <v>2087846</v>
      </c>
      <c r="D557" s="8">
        <v>0.93238794803619396</v>
      </c>
      <c r="E557" s="8">
        <v>7.0000000000000001E-3</v>
      </c>
      <c r="F557">
        <v>2.0673028393803099</v>
      </c>
      <c r="G557">
        <f t="shared" si="44"/>
        <v>2.2172131715499823</v>
      </c>
      <c r="H557">
        <f t="shared" si="46"/>
        <v>-1.3201956277493321E-2</v>
      </c>
      <c r="I557">
        <f t="shared" si="45"/>
        <v>0</v>
      </c>
      <c r="J557">
        <f t="shared" si="47"/>
        <v>2</v>
      </c>
      <c r="K557">
        <v>4.4660533666611001E-3</v>
      </c>
      <c r="L557">
        <v>-8.6875036358833001E-3</v>
      </c>
      <c r="M557">
        <v>-8.2779324650763993E-3</v>
      </c>
      <c r="N557">
        <v>-1.10675059258936E-2</v>
      </c>
      <c r="O557">
        <f t="shared" si="48"/>
        <v>-1.0550563409924458E-2</v>
      </c>
    </row>
    <row r="558" spans="1:15" x14ac:dyDescent="0.35">
      <c r="A558" t="s">
        <v>42</v>
      </c>
      <c r="B558">
        <v>2017</v>
      </c>
      <c r="C558">
        <v>2088238</v>
      </c>
      <c r="D558" s="8">
        <v>0.924416303634644</v>
      </c>
      <c r="E558" s="8">
        <v>1.4E-2</v>
      </c>
      <c r="F558">
        <v>2.0384936093703101</v>
      </c>
      <c r="G558">
        <f t="shared" si="44"/>
        <v>2.2051683871815198</v>
      </c>
      <c r="H558">
        <f t="shared" si="46"/>
        <v>-5.4323979863616367E-3</v>
      </c>
      <c r="I558">
        <f t="shared" si="45"/>
        <v>0</v>
      </c>
      <c r="J558">
        <f t="shared" si="47"/>
        <v>2</v>
      </c>
      <c r="K558">
        <v>-8.2779324650763993E-3</v>
      </c>
      <c r="L558">
        <v>-1.10675059258936E-2</v>
      </c>
      <c r="M558">
        <v>7.19952790439129E-3</v>
      </c>
      <c r="N558">
        <v>-1.93549506366249E-3</v>
      </c>
      <c r="O558">
        <f t="shared" si="48"/>
        <v>-8.2818370312452184E-3</v>
      </c>
    </row>
    <row r="559" spans="1:15" x14ac:dyDescent="0.35">
      <c r="A559" t="s">
        <v>42</v>
      </c>
      <c r="B559">
        <v>2018</v>
      </c>
      <c r="C559">
        <v>2088316.875</v>
      </c>
      <c r="D559" s="8">
        <v>0.92630100250244096</v>
      </c>
      <c r="E559" s="8">
        <v>1.2E-2</v>
      </c>
      <c r="F559">
        <v>2.01715318465935</v>
      </c>
      <c r="G559">
        <f t="shared" si="44"/>
        <v>2.177643313793169</v>
      </c>
      <c r="H559">
        <f t="shared" si="46"/>
        <v>-1.2482073273112348E-2</v>
      </c>
      <c r="I559">
        <f t="shared" si="45"/>
        <v>0</v>
      </c>
      <c r="J559">
        <f t="shared" si="47"/>
        <v>1</v>
      </c>
      <c r="K559">
        <v>7.19952790439129E-3</v>
      </c>
      <c r="L559">
        <v>-1.93549506366249E-3</v>
      </c>
      <c r="M559">
        <v>1.5055126667022699E-2</v>
      </c>
      <c r="N559">
        <v>-2.7460679411888001E-3</v>
      </c>
      <c r="O559">
        <f t="shared" si="48"/>
        <v>-7.0768505334854181E-3</v>
      </c>
    </row>
    <row r="560" spans="1:15" x14ac:dyDescent="0.35">
      <c r="A560" t="s">
        <v>42</v>
      </c>
      <c r="B560">
        <v>2019</v>
      </c>
      <c r="C560">
        <v>2087927</v>
      </c>
      <c r="D560" s="8">
        <v>0.928300380706787</v>
      </c>
      <c r="E560" s="8">
        <v>8.0000000000000002E-3</v>
      </c>
      <c r="F560">
        <v>2.0022085779762202</v>
      </c>
      <c r="G560">
        <f t="shared" si="44"/>
        <v>2.1568542032179105</v>
      </c>
      <c r="H560">
        <f t="shared" si="46"/>
        <v>-9.5466096047871485E-3</v>
      </c>
      <c r="I560">
        <f t="shared" si="45"/>
        <v>0</v>
      </c>
      <c r="J560" t="str">
        <f t="shared" si="47"/>
        <v/>
      </c>
      <c r="K560">
        <v>1.5055126667022699E-2</v>
      </c>
      <c r="L560">
        <v>-2.7460679411888001E-3</v>
      </c>
      <c r="M560">
        <v>6.2467792183160901E-3</v>
      </c>
      <c r="N560">
        <v>-1.26024112105369E-2</v>
      </c>
      <c r="O560">
        <f t="shared" si="48"/>
        <v>-4.7717595472931999E-3</v>
      </c>
    </row>
    <row r="561" spans="1:15" x14ac:dyDescent="0.35">
      <c r="A561" t="s">
        <v>42</v>
      </c>
      <c r="B561">
        <v>2020</v>
      </c>
      <c r="C561">
        <v>2083327.875</v>
      </c>
      <c r="D561" s="8">
        <v>0.92995953559875499</v>
      </c>
      <c r="E561" s="8">
        <v>1.2999999999999999E-2</v>
      </c>
      <c r="F561">
        <v>1.87472637273785</v>
      </c>
      <c r="G561">
        <f t="shared" si="44"/>
        <v>2.0159225224039519</v>
      </c>
      <c r="H561">
        <f t="shared" si="46"/>
        <v>-6.5341310786652285E-2</v>
      </c>
      <c r="I561">
        <f t="shared" si="45"/>
        <v>0</v>
      </c>
      <c r="J561" t="str">
        <f t="shared" si="47"/>
        <v/>
      </c>
      <c r="K561">
        <v>6.2467792183160901E-3</v>
      </c>
      <c r="L561">
        <v>-1.26024112105369E-2</v>
      </c>
      <c r="M561">
        <v>1.9188275814056299E-2</v>
      </c>
      <c r="N561">
        <v>-2.4401336908340499E-2</v>
      </c>
      <c r="O561">
        <f t="shared" si="48"/>
        <v>-1.3607609085739016E-3</v>
      </c>
    </row>
    <row r="562" spans="1:15" x14ac:dyDescent="0.35">
      <c r="A562" t="s">
        <v>42</v>
      </c>
      <c r="B562">
        <v>2021</v>
      </c>
      <c r="C562">
        <v>2071446</v>
      </c>
      <c r="D562" s="8">
        <v>0.94806504249572798</v>
      </c>
      <c r="E562" s="8">
        <v>4.0000000000000001E-3</v>
      </c>
      <c r="F562">
        <v>1.9600308410054601</v>
      </c>
      <c r="G562">
        <f t="shared" si="44"/>
        <v>2.0674012363601015</v>
      </c>
      <c r="H562">
        <f t="shared" si="46"/>
        <v>2.5536057752240549E-2</v>
      </c>
      <c r="I562">
        <f t="shared" si="45"/>
        <v>1</v>
      </c>
      <c r="J562" t="str">
        <f t="shared" si="47"/>
        <v/>
      </c>
      <c r="K562">
        <v>1.9188275814056299E-2</v>
      </c>
      <c r="L562">
        <v>-2.4401336908340499E-2</v>
      </c>
      <c r="M562">
        <v>-3.18273808062077E-2</v>
      </c>
      <c r="N562">
        <v>2.7612596750260001E-4</v>
      </c>
      <c r="O562">
        <f t="shared" si="48"/>
        <v>2.6752174831926479E-3</v>
      </c>
    </row>
    <row r="563" spans="1:15" x14ac:dyDescent="0.35">
      <c r="A563" t="s">
        <v>42</v>
      </c>
      <c r="B563">
        <v>2022</v>
      </c>
      <c r="C563">
        <v>2067485.125</v>
      </c>
      <c r="D563" s="8">
        <v>0.92997986078262296</v>
      </c>
      <c r="E563" s="8">
        <v>1.4E-2</v>
      </c>
      <c r="F563">
        <v>1.87908203801413</v>
      </c>
      <c r="G563">
        <f t="shared" si="44"/>
        <v>2.0205620758634404</v>
      </c>
      <c r="H563">
        <f t="shared" si="46"/>
        <v>-2.2656057117933615E-2</v>
      </c>
      <c r="I563">
        <f t="shared" si="45"/>
        <v>0</v>
      </c>
      <c r="J563" t="str">
        <f t="shared" si="47"/>
        <v/>
      </c>
      <c r="K563">
        <v>-3.18273808062077E-2</v>
      </c>
      <c r="L563">
        <v>7.5482949614519897E-4</v>
      </c>
      <c r="M563">
        <v>-1.54694903492928E-2</v>
      </c>
      <c r="N563">
        <v>4.0894374251365002E-3</v>
      </c>
      <c r="O563">
        <f t="shared" si="48"/>
        <v>1.7411363311111584E-3</v>
      </c>
    </row>
    <row r="564" spans="1:15" x14ac:dyDescent="0.35">
      <c r="A564" t="s">
        <v>43</v>
      </c>
      <c r="B564">
        <v>2006</v>
      </c>
      <c r="C564">
        <v>209998.703125</v>
      </c>
      <c r="D564" s="8">
        <v>0.92382931709289595</v>
      </c>
      <c r="E564" s="8">
        <v>5.0000000000000001E-3</v>
      </c>
      <c r="F564">
        <v>2.2097680259070702</v>
      </c>
      <c r="G564">
        <f t="shared" si="44"/>
        <v>2.3919656856753186</v>
      </c>
      <c r="H564">
        <f t="shared" si="46"/>
        <v>0.1838120264892964</v>
      </c>
      <c r="I564">
        <f t="shared" si="45"/>
        <v>1</v>
      </c>
      <c r="J564" t="str">
        <f t="shared" si="47"/>
        <v/>
      </c>
      <c r="K564">
        <v>8.5591465532779895E-3</v>
      </c>
      <c r="L564">
        <v>2.1961070597171901E-3</v>
      </c>
      <c r="M564">
        <v>7.8576310575007892E-3</v>
      </c>
      <c r="N564">
        <v>8.7793869897722903E-3</v>
      </c>
      <c r="O564" t="str">
        <f t="shared" si="48"/>
        <v/>
      </c>
    </row>
    <row r="565" spans="1:15" x14ac:dyDescent="0.35">
      <c r="A565" t="s">
        <v>43</v>
      </c>
      <c r="B565">
        <v>2007</v>
      </c>
      <c r="C565">
        <v>214413.09375</v>
      </c>
      <c r="D565" s="8">
        <v>0.91201514005661</v>
      </c>
      <c r="E565" s="8">
        <v>4.4999999999999998E-2</v>
      </c>
      <c r="F565">
        <v>2.1992501828822202</v>
      </c>
      <c r="G565">
        <f t="shared" si="44"/>
        <v>2.4114185020499876</v>
      </c>
      <c r="H565">
        <f t="shared" si="46"/>
        <v>8.1325649825016999E-3</v>
      </c>
      <c r="I565">
        <f t="shared" si="45"/>
        <v>1</v>
      </c>
      <c r="J565" t="str">
        <f t="shared" si="47"/>
        <v/>
      </c>
      <c r="K565">
        <v>7.8576310575007892E-3</v>
      </c>
      <c r="L565">
        <v>8.7793869897722903E-3</v>
      </c>
      <c r="M565">
        <v>-2.50582222938538E-2</v>
      </c>
      <c r="N565">
        <v>4.4525819830595996E-3</v>
      </c>
      <c r="O565" t="str">
        <f t="shared" si="48"/>
        <v/>
      </c>
    </row>
    <row r="566" spans="1:15" x14ac:dyDescent="0.35">
      <c r="A566" t="s">
        <v>43</v>
      </c>
      <c r="B566">
        <v>2008</v>
      </c>
      <c r="C566">
        <v>220281.40625</v>
      </c>
      <c r="D566" s="8">
        <v>0.91222262382507302</v>
      </c>
      <c r="E566" s="8">
        <v>4.0000000000000001E-3</v>
      </c>
      <c r="F566">
        <v>2.1181245709851599</v>
      </c>
      <c r="G566">
        <f t="shared" si="44"/>
        <v>2.3219382151514472</v>
      </c>
      <c r="H566">
        <f t="shared" si="46"/>
        <v>-3.7106908992558418E-2</v>
      </c>
      <c r="I566">
        <f t="shared" si="45"/>
        <v>0</v>
      </c>
      <c r="J566" t="str">
        <f t="shared" si="47"/>
        <v/>
      </c>
      <c r="K566">
        <v>-2.50582222938538E-2</v>
      </c>
      <c r="L566">
        <v>4.4525819830595996E-3</v>
      </c>
      <c r="M566">
        <v>-3.0788146615028399E-2</v>
      </c>
      <c r="N566">
        <v>-4.2214449495077497E-3</v>
      </c>
      <c r="O566" t="str">
        <f t="shared" si="48"/>
        <v/>
      </c>
    </row>
    <row r="567" spans="1:15" x14ac:dyDescent="0.35">
      <c r="A567" t="s">
        <v>43</v>
      </c>
      <c r="B567">
        <v>2009</v>
      </c>
      <c r="C567">
        <v>226219.609375</v>
      </c>
      <c r="D567" s="8">
        <v>0.90274399518966697</v>
      </c>
      <c r="E567" s="8">
        <v>1E-3</v>
      </c>
      <c r="F567">
        <v>2.3816069151197299</v>
      </c>
      <c r="G567">
        <f t="shared" si="44"/>
        <v>2.6381863826403555</v>
      </c>
      <c r="H567">
        <f t="shared" si="46"/>
        <v>0.13620007863485784</v>
      </c>
      <c r="I567">
        <f t="shared" si="45"/>
        <v>1</v>
      </c>
      <c r="J567" t="str">
        <f t="shared" si="47"/>
        <v/>
      </c>
      <c r="K567">
        <v>-3.0788146615028399E-2</v>
      </c>
      <c r="L567">
        <v>-4.2214449495077497E-3</v>
      </c>
      <c r="M567">
        <v>-1.3854388551786501E-2</v>
      </c>
      <c r="N567">
        <v>-4.3942797929048504E-3</v>
      </c>
      <c r="O567" t="str">
        <f t="shared" si="48"/>
        <v/>
      </c>
    </row>
    <row r="568" spans="1:15" x14ac:dyDescent="0.35">
      <c r="A568" t="s">
        <v>43</v>
      </c>
      <c r="B568">
        <v>2010</v>
      </c>
      <c r="C568">
        <v>230005.09375</v>
      </c>
      <c r="D568" s="8">
        <v>0.90697652101516701</v>
      </c>
      <c r="E568" s="8">
        <v>8.9999999999999993E-3</v>
      </c>
      <c r="F568">
        <v>2.2979536455016198</v>
      </c>
      <c r="G568">
        <f t="shared" si="44"/>
        <v>2.5336418223148161</v>
      </c>
      <c r="H568">
        <f t="shared" si="46"/>
        <v>-3.9627435352353246E-2</v>
      </c>
      <c r="I568">
        <f t="shared" si="45"/>
        <v>0</v>
      </c>
      <c r="J568">
        <f t="shared" si="47"/>
        <v>3</v>
      </c>
      <c r="K568">
        <v>-1.3854388551786501E-2</v>
      </c>
      <c r="L568">
        <v>-4.3942797929048504E-3</v>
      </c>
      <c r="M568">
        <v>-2.4280337028205298E-2</v>
      </c>
      <c r="N568">
        <v>-2.9965625144540899E-3</v>
      </c>
      <c r="O568">
        <f t="shared" si="48"/>
        <v>3.0191971920430641E-3</v>
      </c>
    </row>
    <row r="569" spans="1:15" x14ac:dyDescent="0.35">
      <c r="A569" t="s">
        <v>43</v>
      </c>
      <c r="B569">
        <v>2011</v>
      </c>
      <c r="C569">
        <v>232228.5</v>
      </c>
      <c r="D569" s="8">
        <v>0.89714258909225497</v>
      </c>
      <c r="E569" s="8">
        <v>1.9E-2</v>
      </c>
      <c r="F569">
        <v>2.26318918918918</v>
      </c>
      <c r="G569">
        <f t="shared" si="44"/>
        <v>2.5226638626966928</v>
      </c>
      <c r="H569">
        <f t="shared" si="46"/>
        <v>-4.3328774894051403E-3</v>
      </c>
      <c r="I569">
        <f t="shared" si="45"/>
        <v>0</v>
      </c>
      <c r="J569">
        <f t="shared" si="47"/>
        <v>2</v>
      </c>
      <c r="K569">
        <v>-2.4280337028205298E-2</v>
      </c>
      <c r="L569">
        <v>-2.9965625144540899E-3</v>
      </c>
      <c r="M569">
        <v>-6.9791444614529996E-3</v>
      </c>
      <c r="N569">
        <v>-1.5409383922815999E-3</v>
      </c>
      <c r="O569">
        <f t="shared" si="48"/>
        <v>1.9898068159818613E-3</v>
      </c>
    </row>
    <row r="570" spans="1:15" x14ac:dyDescent="0.35">
      <c r="A570" t="s">
        <v>43</v>
      </c>
      <c r="B570">
        <v>2012</v>
      </c>
      <c r="C570">
        <v>235284.296875</v>
      </c>
      <c r="D570" s="8">
        <v>0.91051518917083696</v>
      </c>
      <c r="E570" s="8">
        <v>6.0000000000000001E-3</v>
      </c>
      <c r="F570">
        <v>2.3155818018113399</v>
      </c>
      <c r="G570">
        <f t="shared" si="44"/>
        <v>2.5431555995458246</v>
      </c>
      <c r="H570">
        <f t="shared" si="46"/>
        <v>8.1230548200053043E-3</v>
      </c>
      <c r="I570">
        <f t="shared" si="45"/>
        <v>1</v>
      </c>
      <c r="J570">
        <f t="shared" si="47"/>
        <v>2</v>
      </c>
      <c r="K570">
        <v>-6.9791444614529996E-3</v>
      </c>
      <c r="L570">
        <v>-1.6265371814371001E-3</v>
      </c>
      <c r="M570">
        <v>4.0746393054723997E-3</v>
      </c>
      <c r="N570">
        <v>-2.0521320402621902E-3</v>
      </c>
      <c r="O570">
        <f t="shared" si="48"/>
        <v>-5.339673906564698E-3</v>
      </c>
    </row>
    <row r="571" spans="1:15" x14ac:dyDescent="0.35">
      <c r="A571" t="s">
        <v>43</v>
      </c>
      <c r="B571">
        <v>2013</v>
      </c>
      <c r="C571">
        <v>239325.703125</v>
      </c>
      <c r="D571" s="8">
        <v>0.92608487606048595</v>
      </c>
      <c r="E571" s="8">
        <v>7.9000000000000001E-2</v>
      </c>
      <c r="F571">
        <v>2.3228522464793899</v>
      </c>
      <c r="G571">
        <f t="shared" si="44"/>
        <v>2.5082498446154045</v>
      </c>
      <c r="H571">
        <f t="shared" si="46"/>
        <v>-1.372537132083218E-2</v>
      </c>
      <c r="I571">
        <f t="shared" si="45"/>
        <v>0</v>
      </c>
      <c r="J571">
        <f t="shared" si="47"/>
        <v>2</v>
      </c>
      <c r="K571">
        <v>4.0746393054723997E-3</v>
      </c>
      <c r="L571">
        <v>-2.0521320402621902E-3</v>
      </c>
      <c r="M571">
        <v>1.5046375632286099E-2</v>
      </c>
      <c r="N571">
        <v>1.3038352131843499E-2</v>
      </c>
      <c r="O571">
        <f t="shared" si="48"/>
        <v>-7.6644465327262599E-3</v>
      </c>
    </row>
    <row r="572" spans="1:15" x14ac:dyDescent="0.35">
      <c r="A572" t="s">
        <v>43</v>
      </c>
      <c r="B572">
        <v>2014</v>
      </c>
      <c r="C572">
        <v>245125.90625</v>
      </c>
      <c r="D572" s="8">
        <v>0.92321115732193004</v>
      </c>
      <c r="E572" s="8">
        <v>0.02</v>
      </c>
      <c r="F572">
        <v>2.4225495060670301</v>
      </c>
      <c r="G572">
        <f t="shared" si="44"/>
        <v>2.6240470415180117</v>
      </c>
      <c r="H572">
        <f t="shared" si="46"/>
        <v>4.6166532074623845E-2</v>
      </c>
      <c r="I572">
        <f t="shared" si="45"/>
        <v>1</v>
      </c>
      <c r="J572">
        <f t="shared" si="47"/>
        <v>2</v>
      </c>
      <c r="K572">
        <v>1.5046375632286099E-2</v>
      </c>
      <c r="L572">
        <v>1.3038352131843499E-2</v>
      </c>
      <c r="M572">
        <v>3.8910718798637299E-2</v>
      </c>
      <c r="N572">
        <v>8.6472667753696997E-3</v>
      </c>
      <c r="O572">
        <f t="shared" si="48"/>
        <v>-1.4092123135924301E-2</v>
      </c>
    </row>
    <row r="573" spans="1:15" x14ac:dyDescent="0.35">
      <c r="A573" t="s">
        <v>43</v>
      </c>
      <c r="B573">
        <v>2015</v>
      </c>
      <c r="C573">
        <v>251971.296875</v>
      </c>
      <c r="D573" s="8">
        <v>0.92278450727462802</v>
      </c>
      <c r="E573" s="8">
        <v>0.02</v>
      </c>
      <c r="F573">
        <v>2.153539241457</v>
      </c>
      <c r="G573">
        <f t="shared" si="44"/>
        <v>2.3337401359471346</v>
      </c>
      <c r="H573">
        <f t="shared" si="46"/>
        <v>-0.11063327027968772</v>
      </c>
      <c r="I573">
        <f t="shared" si="45"/>
        <v>0</v>
      </c>
      <c r="J573">
        <f t="shared" si="47"/>
        <v>2</v>
      </c>
      <c r="K573">
        <v>3.8910718798637299E-2</v>
      </c>
      <c r="L573">
        <v>8.6472667753696997E-3</v>
      </c>
      <c r="M573">
        <v>5.0100426077842996E-3</v>
      </c>
      <c r="N573">
        <v>-8.1435143947601006E-3</v>
      </c>
      <c r="O573">
        <f t="shared" si="48"/>
        <v>-1.9994264096021598E-2</v>
      </c>
    </row>
    <row r="574" spans="1:15" x14ac:dyDescent="0.35">
      <c r="A574" t="s">
        <v>43</v>
      </c>
      <c r="B574">
        <v>2016</v>
      </c>
      <c r="C574">
        <v>256153.59375</v>
      </c>
      <c r="D574" s="8">
        <v>0.923223435878754</v>
      </c>
      <c r="E574" s="8">
        <v>1.9E-2</v>
      </c>
      <c r="F574">
        <v>2.3836562485268402</v>
      </c>
      <c r="G574">
        <f t="shared" si="44"/>
        <v>2.5818844668495649</v>
      </c>
      <c r="H574">
        <f t="shared" si="46"/>
        <v>0.10632903256031212</v>
      </c>
      <c r="I574">
        <f t="shared" si="45"/>
        <v>1</v>
      </c>
      <c r="J574">
        <f t="shared" si="47"/>
        <v>3</v>
      </c>
      <c r="K574">
        <v>5.0100426077842996E-3</v>
      </c>
      <c r="L574">
        <v>-8.1435143947601006E-3</v>
      </c>
      <c r="M574">
        <v>-3.5398768544197101E-2</v>
      </c>
      <c r="N574">
        <v>-3.8188342005014399E-2</v>
      </c>
      <c r="O574">
        <f t="shared" si="48"/>
        <v>-2.4943061172962157E-2</v>
      </c>
    </row>
    <row r="575" spans="1:15" x14ac:dyDescent="0.35">
      <c r="A575" t="s">
        <v>43</v>
      </c>
      <c r="B575">
        <v>2017</v>
      </c>
      <c r="C575">
        <v>260276.390625</v>
      </c>
      <c r="D575" s="8">
        <v>0.86992180347442605</v>
      </c>
      <c r="E575" s="8">
        <v>3.6999999999999998E-2</v>
      </c>
      <c r="F575">
        <v>2.4080251809259399</v>
      </c>
      <c r="G575">
        <f t="shared" si="44"/>
        <v>2.7680938347658404</v>
      </c>
      <c r="H575">
        <f t="shared" si="46"/>
        <v>7.2121495096753696E-2</v>
      </c>
      <c r="I575">
        <f t="shared" si="45"/>
        <v>1</v>
      </c>
      <c r="J575">
        <f t="shared" si="47"/>
        <v>3</v>
      </c>
      <c r="K575">
        <v>-3.5398768544197101E-2</v>
      </c>
      <c r="L575">
        <v>-3.8188342005014399E-2</v>
      </c>
      <c r="M575">
        <v>-4.5409722030162903E-3</v>
      </c>
      <c r="N575">
        <v>-1.367599517107E-2</v>
      </c>
      <c r="O575">
        <f t="shared" si="48"/>
        <v>-1.6526889055967303E-2</v>
      </c>
    </row>
    <row r="576" spans="1:15" x14ac:dyDescent="0.35">
      <c r="A576" t="s">
        <v>43</v>
      </c>
      <c r="B576">
        <v>2018</v>
      </c>
      <c r="C576">
        <v>262964.59375</v>
      </c>
      <c r="D576" s="8">
        <v>0.85078758001327504</v>
      </c>
      <c r="E576" s="8">
        <v>3.3000000000000002E-2</v>
      </c>
      <c r="F576">
        <v>2.1300933738328198</v>
      </c>
      <c r="G576">
        <f t="shared" si="44"/>
        <v>2.5036723899984334</v>
      </c>
      <c r="H576">
        <f t="shared" si="46"/>
        <v>-9.5524740327227686E-2</v>
      </c>
      <c r="I576">
        <f t="shared" si="45"/>
        <v>0</v>
      </c>
      <c r="J576">
        <f t="shared" si="47"/>
        <v>3</v>
      </c>
      <c r="K576">
        <v>-4.5409722030162903E-3</v>
      </c>
      <c r="L576">
        <v>-1.367599517107E-2</v>
      </c>
      <c r="M576">
        <v>-1.2988362759351901E-3</v>
      </c>
      <c r="N576">
        <v>-1.9100030884146701E-2</v>
      </c>
      <c r="O576">
        <f t="shared" si="48"/>
        <v>-6.7515030503272995E-3</v>
      </c>
    </row>
    <row r="577" spans="1:15" x14ac:dyDescent="0.35">
      <c r="A577" t="s">
        <v>43</v>
      </c>
      <c r="B577">
        <v>2019</v>
      </c>
      <c r="C577">
        <v>266449.8125</v>
      </c>
      <c r="D577" s="8">
        <v>0.85629296302795399</v>
      </c>
      <c r="E577" s="8">
        <v>4.3999999999999997E-2</v>
      </c>
      <c r="F577">
        <v>2.24991494532199</v>
      </c>
      <c r="G577">
        <f t="shared" si="44"/>
        <v>2.6275060551309712</v>
      </c>
      <c r="H577">
        <f t="shared" si="46"/>
        <v>4.946081029899263E-2</v>
      </c>
      <c r="I577">
        <f t="shared" si="45"/>
        <v>1</v>
      </c>
      <c r="J577" t="str">
        <f t="shared" si="47"/>
        <v/>
      </c>
      <c r="K577">
        <v>-1.2988362759351901E-3</v>
      </c>
      <c r="L577">
        <v>-1.9100030884146701E-2</v>
      </c>
      <c r="M577">
        <v>-2.0142475962638901E-3</v>
      </c>
      <c r="N577">
        <v>-2.0863438025116799E-2</v>
      </c>
      <c r="O577">
        <f t="shared" si="48"/>
        <v>-1.8794907256960819E-3</v>
      </c>
    </row>
    <row r="578" spans="1:15" x14ac:dyDescent="0.35">
      <c r="A578" t="s">
        <v>43</v>
      </c>
      <c r="B578">
        <v>2020</v>
      </c>
      <c r="C578">
        <v>269889.5</v>
      </c>
      <c r="D578" s="8">
        <v>0.88300615549087502</v>
      </c>
      <c r="E578" s="8">
        <v>1.2999999999999999E-2</v>
      </c>
      <c r="F578">
        <v>2.2068773997247102</v>
      </c>
      <c r="G578">
        <f t="shared" si="44"/>
        <v>2.4992774806851457</v>
      </c>
      <c r="H578">
        <f t="shared" si="46"/>
        <v>-4.8802389701603888E-2</v>
      </c>
      <c r="I578">
        <f t="shared" si="45"/>
        <v>0</v>
      </c>
      <c r="J578" t="str">
        <f t="shared" si="47"/>
        <v/>
      </c>
      <c r="K578">
        <v>-2.0142475962638901E-3</v>
      </c>
      <c r="L578">
        <v>-2.0863438025116799E-2</v>
      </c>
      <c r="M578">
        <v>1.0702112942934E-2</v>
      </c>
      <c r="N578">
        <v>-3.2887499779462898E-2</v>
      </c>
      <c r="O578">
        <f t="shared" si="48"/>
        <v>1.3219991698860932E-3</v>
      </c>
    </row>
    <row r="579" spans="1:15" x14ac:dyDescent="0.35">
      <c r="A579" t="s">
        <v>43</v>
      </c>
      <c r="B579">
        <v>2021</v>
      </c>
      <c r="C579">
        <v>274059.125</v>
      </c>
      <c r="D579" s="8">
        <v>0.94010376930236805</v>
      </c>
      <c r="E579" s="8">
        <v>0.02</v>
      </c>
      <c r="F579">
        <v>2.18676692406402</v>
      </c>
      <c r="G579">
        <f t="shared" ref="G579:G642" si="49">F579/D579</f>
        <v>2.3260910076839445</v>
      </c>
      <c r="H579">
        <f t="shared" si="46"/>
        <v>-6.9294615879835875E-2</v>
      </c>
      <c r="I579">
        <f t="shared" ref="I579:I642" si="50">IF(H579&gt;0,1,0)</f>
        <v>0</v>
      </c>
      <c r="J579" t="str">
        <f t="shared" si="47"/>
        <v/>
      </c>
      <c r="K579">
        <v>1.0702112942934E-2</v>
      </c>
      <c r="L579">
        <v>-3.2887499779462898E-2</v>
      </c>
      <c r="M579">
        <v>-2.82109881937504E-2</v>
      </c>
      <c r="N579">
        <v>3.8925185799598902E-3</v>
      </c>
      <c r="O579">
        <f t="shared" si="48"/>
        <v>7.3288870975375033E-3</v>
      </c>
    </row>
    <row r="580" spans="1:15" x14ac:dyDescent="0.35">
      <c r="A580" t="s">
        <v>43</v>
      </c>
      <c r="B580">
        <v>2022</v>
      </c>
      <c r="C580">
        <v>279781.09375</v>
      </c>
      <c r="D580" s="8">
        <v>0.94345229864120495</v>
      </c>
      <c r="E580" s="8">
        <v>0</v>
      </c>
      <c r="F580">
        <v>2.2593041438623902</v>
      </c>
      <c r="G580">
        <f t="shared" si="49"/>
        <v>2.394720058572462</v>
      </c>
      <c r="H580">
        <f t="shared" ref="H580:H643" si="51">+G580/G579-1</f>
        <v>2.9504026567236608E-2</v>
      </c>
      <c r="I580">
        <f t="shared" si="50"/>
        <v>1</v>
      </c>
      <c r="J580" t="str">
        <f t="shared" si="47"/>
        <v/>
      </c>
      <c r="K580">
        <v>-2.82109881937504E-2</v>
      </c>
      <c r="L580">
        <v>4.37122210860249E-3</v>
      </c>
      <c r="M580">
        <v>1.56420070827007E-2</v>
      </c>
      <c r="N580">
        <v>3.5200934857130002E-2</v>
      </c>
      <c r="O580">
        <f t="shared" si="48"/>
        <v>7.7610087115317413E-3</v>
      </c>
    </row>
    <row r="581" spans="1:15" x14ac:dyDescent="0.35">
      <c r="A581" t="s">
        <v>44</v>
      </c>
      <c r="B581">
        <v>2006</v>
      </c>
      <c r="C581">
        <v>604237.5</v>
      </c>
      <c r="D581" s="8">
        <v>0.90161669254303001</v>
      </c>
      <c r="E581" s="8">
        <v>8.0000000000000002E-3</v>
      </c>
      <c r="F581">
        <v>2.1924368520951898</v>
      </c>
      <c r="G581">
        <f t="shared" si="49"/>
        <v>2.4316728718845839</v>
      </c>
      <c r="H581">
        <f t="shared" si="51"/>
        <v>1.5430953267310255E-2</v>
      </c>
      <c r="I581">
        <f t="shared" si="50"/>
        <v>1</v>
      </c>
      <c r="J581" t="str">
        <f t="shared" si="47"/>
        <v/>
      </c>
      <c r="K581">
        <v>-8.5539411455393E-3</v>
      </c>
      <c r="L581">
        <v>-1.49169806391E-2</v>
      </c>
      <c r="M581">
        <v>4.3382748067378896E-3</v>
      </c>
      <c r="N581">
        <v>5.2600307390093899E-3</v>
      </c>
      <c r="O581" t="str">
        <f t="shared" si="48"/>
        <v/>
      </c>
    </row>
    <row r="582" spans="1:15" x14ac:dyDescent="0.35">
      <c r="A582" t="s">
        <v>44</v>
      </c>
      <c r="B582">
        <v>2007</v>
      </c>
      <c r="C582">
        <v>612274.4375</v>
      </c>
      <c r="D582" s="8">
        <v>0.90665328502654996</v>
      </c>
      <c r="E582" s="8">
        <v>-7.0000000000000001E-3</v>
      </c>
      <c r="F582">
        <v>2.3081898139281298</v>
      </c>
      <c r="G582">
        <f t="shared" si="49"/>
        <v>2.5458351632846488</v>
      </c>
      <c r="H582">
        <f t="shared" si="51"/>
        <v>4.6948046639014862E-2</v>
      </c>
      <c r="I582">
        <f t="shared" si="50"/>
        <v>1</v>
      </c>
      <c r="J582" t="str">
        <f t="shared" si="47"/>
        <v/>
      </c>
      <c r="K582">
        <v>4.3382748067378896E-3</v>
      </c>
      <c r="L582">
        <v>5.2600307390093899E-3</v>
      </c>
      <c r="M582">
        <v>-3.4366792824119301E-2</v>
      </c>
      <c r="N582">
        <v>-4.8559885472059198E-3</v>
      </c>
      <c r="O582" t="str">
        <f t="shared" si="48"/>
        <v/>
      </c>
    </row>
    <row r="583" spans="1:15" x14ac:dyDescent="0.35">
      <c r="A583" t="s">
        <v>44</v>
      </c>
      <c r="B583">
        <v>2008</v>
      </c>
      <c r="C583">
        <v>623259</v>
      </c>
      <c r="D583" s="8">
        <v>0.89904755353927601</v>
      </c>
      <c r="E583" s="8">
        <v>1.2999999999999999E-2</v>
      </c>
      <c r="F583">
        <v>2.3049320549079102</v>
      </c>
      <c r="G583">
        <f t="shared" si="49"/>
        <v>2.5637487648279511</v>
      </c>
      <c r="H583">
        <f t="shared" si="51"/>
        <v>7.0364341736053326E-3</v>
      </c>
      <c r="I583">
        <f t="shared" si="50"/>
        <v>1</v>
      </c>
      <c r="J583" t="str">
        <f t="shared" ref="J583:J646" si="52">IF(AND(B583&gt;=2010,B583&lt;=2018),SUM(I579:I583),"")</f>
        <v/>
      </c>
      <c r="K583">
        <v>-3.4366792824119301E-2</v>
      </c>
      <c r="L583">
        <v>-4.8559885472059198E-3</v>
      </c>
      <c r="M583">
        <v>-2.94197618067264E-2</v>
      </c>
      <c r="N583">
        <v>-2.8530601412058401E-3</v>
      </c>
      <c r="O583" t="str">
        <f t="shared" ref="O583:O646" si="53">IF(B583&gt;=2010,AVERAGE(N583:N587),"")</f>
        <v/>
      </c>
    </row>
    <row r="584" spans="1:15" x14ac:dyDescent="0.35">
      <c r="A584" t="s">
        <v>44</v>
      </c>
      <c r="B584">
        <v>2009</v>
      </c>
      <c r="C584">
        <v>635947.375</v>
      </c>
      <c r="D584" s="8">
        <v>0.91598641872405995</v>
      </c>
      <c r="E584" s="8">
        <v>0</v>
      </c>
      <c r="F584">
        <v>2.25787536155666</v>
      </c>
      <c r="G584">
        <f t="shared" si="49"/>
        <v>2.4649659813753666</v>
      </c>
      <c r="H584">
        <f t="shared" si="51"/>
        <v>-3.8530602065141806E-2</v>
      </c>
      <c r="I584">
        <f t="shared" si="50"/>
        <v>0</v>
      </c>
      <c r="J584" t="str">
        <f t="shared" si="52"/>
        <v/>
      </c>
      <c r="K584">
        <v>-2.94197618067264E-2</v>
      </c>
      <c r="L584">
        <v>-2.8530601412058401E-3</v>
      </c>
      <c r="M584">
        <v>-3.4069821089505901E-3</v>
      </c>
      <c r="N584">
        <v>6.0531266499310801E-3</v>
      </c>
      <c r="O584" t="str">
        <f t="shared" si="53"/>
        <v/>
      </c>
    </row>
    <row r="585" spans="1:15" x14ac:dyDescent="0.35">
      <c r="A585" t="s">
        <v>44</v>
      </c>
      <c r="B585">
        <v>2010</v>
      </c>
      <c r="C585">
        <v>653274.4375</v>
      </c>
      <c r="D585" s="8">
        <v>0.92857944965362504</v>
      </c>
      <c r="E585" s="8">
        <v>1E-3</v>
      </c>
      <c r="F585">
        <v>2.3823794476322999</v>
      </c>
      <c r="G585">
        <f t="shared" si="49"/>
        <v>2.5656172431136244</v>
      </c>
      <c r="H585">
        <f t="shared" si="51"/>
        <v>4.0832718381816235E-2</v>
      </c>
      <c r="I585">
        <f t="shared" si="50"/>
        <v>1</v>
      </c>
      <c r="J585">
        <f t="shared" si="52"/>
        <v>4</v>
      </c>
      <c r="K585">
        <v>-3.4069821089505901E-3</v>
      </c>
      <c r="L585">
        <v>6.0531266499310801E-3</v>
      </c>
      <c r="M585">
        <v>-9.3221015930175996E-3</v>
      </c>
      <c r="N585">
        <v>1.1961672920733701E-2</v>
      </c>
      <c r="O585">
        <f t="shared" si="53"/>
        <v>1.5195783507078819E-2</v>
      </c>
    </row>
    <row r="586" spans="1:15" x14ac:dyDescent="0.35">
      <c r="A586" t="s">
        <v>44</v>
      </c>
      <c r="B586">
        <v>2011</v>
      </c>
      <c r="C586">
        <v>663261.125</v>
      </c>
      <c r="D586" s="8">
        <v>0.92160820960998502</v>
      </c>
      <c r="E586" s="8">
        <v>0</v>
      </c>
      <c r="F586">
        <v>2.4256329650696</v>
      </c>
      <c r="G586">
        <f t="shared" si="49"/>
        <v>2.6319567683713481</v>
      </c>
      <c r="H586">
        <f t="shared" si="51"/>
        <v>2.5857140396053024E-2</v>
      </c>
      <c r="I586">
        <f t="shared" si="50"/>
        <v>1</v>
      </c>
      <c r="J586">
        <f t="shared" si="52"/>
        <v>4</v>
      </c>
      <c r="K586">
        <v>-9.3221015930175996E-3</v>
      </c>
      <c r="L586">
        <v>1.1961672920733701E-2</v>
      </c>
      <c r="M586">
        <v>5.8982909619807898E-3</v>
      </c>
      <c r="N586">
        <v>1.1336497031152099E-2</v>
      </c>
      <c r="O586">
        <f t="shared" si="53"/>
        <v>1.9821928627788959E-2</v>
      </c>
    </row>
    <row r="587" spans="1:15" x14ac:dyDescent="0.35">
      <c r="A587" t="s">
        <v>44</v>
      </c>
      <c r="B587">
        <v>2012</v>
      </c>
      <c r="C587">
        <v>672359.3125</v>
      </c>
      <c r="D587" s="8">
        <v>0.93283289670944203</v>
      </c>
      <c r="E587" s="8">
        <v>6.0000000000000001E-3</v>
      </c>
      <c r="F587">
        <v>2.5598636131411099</v>
      </c>
      <c r="G587">
        <f t="shared" si="49"/>
        <v>2.7441823955512303</v>
      </c>
      <c r="H587">
        <f t="shared" si="51"/>
        <v>4.2639616474144271E-2</v>
      </c>
      <c r="I587">
        <f t="shared" si="50"/>
        <v>1</v>
      </c>
      <c r="J587">
        <f t="shared" si="52"/>
        <v>4</v>
      </c>
      <c r="K587">
        <v>5.8982909619807898E-3</v>
      </c>
      <c r="L587">
        <v>1.1250898241996699E-2</v>
      </c>
      <c r="M587">
        <v>1.8579446375369998E-2</v>
      </c>
      <c r="N587">
        <v>1.2452675029635299E-2</v>
      </c>
      <c r="O587">
        <f t="shared" si="53"/>
        <v>2.1053931489586796E-2</v>
      </c>
    </row>
    <row r="588" spans="1:15" x14ac:dyDescent="0.35">
      <c r="A588" t="s">
        <v>44</v>
      </c>
      <c r="B588">
        <v>2013</v>
      </c>
      <c r="C588">
        <v>681393.3125</v>
      </c>
      <c r="D588" s="8">
        <v>0.93496859073638905</v>
      </c>
      <c r="E588" s="8">
        <v>3.1E-2</v>
      </c>
      <c r="F588">
        <v>2.5198272176115202</v>
      </c>
      <c r="G588">
        <f t="shared" si="49"/>
        <v>2.6950929074813983</v>
      </c>
      <c r="H588">
        <f t="shared" si="51"/>
        <v>-1.7888566062304823E-2</v>
      </c>
      <c r="I588">
        <f t="shared" si="50"/>
        <v>0</v>
      </c>
      <c r="J588">
        <f t="shared" si="52"/>
        <v>3</v>
      </c>
      <c r="K588">
        <v>1.8579446375369998E-2</v>
      </c>
      <c r="L588">
        <v>1.2452675029635299E-2</v>
      </c>
      <c r="M588">
        <v>1.8669119864702099E-2</v>
      </c>
      <c r="N588">
        <v>1.6661096364259598E-2</v>
      </c>
      <c r="O588">
        <f t="shared" si="53"/>
        <v>2.0891317725181581E-2</v>
      </c>
    </row>
    <row r="589" spans="1:15" x14ac:dyDescent="0.35">
      <c r="A589" t="s">
        <v>44</v>
      </c>
      <c r="B589">
        <v>2014</v>
      </c>
      <c r="C589">
        <v>690409.125</v>
      </c>
      <c r="D589" s="8">
        <v>0.94267362356185902</v>
      </c>
      <c r="E589" s="8">
        <v>0</v>
      </c>
      <c r="F589">
        <v>2.4573199655023701</v>
      </c>
      <c r="G589">
        <f t="shared" si="49"/>
        <v>2.6067558315861996</v>
      </c>
      <c r="H589">
        <f t="shared" si="51"/>
        <v>-3.2777005813039217E-2</v>
      </c>
      <c r="I589">
        <f t="shared" si="50"/>
        <v>0</v>
      </c>
      <c r="J589">
        <f t="shared" si="52"/>
        <v>3</v>
      </c>
      <c r="K589">
        <v>1.8669119864702099E-2</v>
      </c>
      <c r="L589">
        <v>1.6661096364259598E-2</v>
      </c>
      <c r="M589">
        <v>5.3830428212881101E-2</v>
      </c>
      <c r="N589">
        <v>2.3566976189613401E-2</v>
      </c>
      <c r="O589">
        <f t="shared" si="53"/>
        <v>2.22807988524437E-2</v>
      </c>
    </row>
    <row r="590" spans="1:15" x14ac:dyDescent="0.35">
      <c r="A590" t="s">
        <v>44</v>
      </c>
      <c r="B590">
        <v>2015</v>
      </c>
      <c r="C590">
        <v>702754.1875</v>
      </c>
      <c r="D590" s="8">
        <v>0.95088702440261796</v>
      </c>
      <c r="E590" s="8">
        <v>1.4E-2</v>
      </c>
      <c r="F590">
        <v>2.4607361840259601</v>
      </c>
      <c r="G590">
        <f t="shared" si="49"/>
        <v>2.5878323301044985</v>
      </c>
      <c r="H590">
        <f t="shared" si="51"/>
        <v>-7.2594069810466566E-3</v>
      </c>
      <c r="I590">
        <f t="shared" si="50"/>
        <v>0</v>
      </c>
      <c r="J590">
        <f t="shared" si="52"/>
        <v>2</v>
      </c>
      <c r="K590">
        <v>5.3830428212881101E-2</v>
      </c>
      <c r="L590">
        <v>2.3566976189613401E-2</v>
      </c>
      <c r="M590">
        <v>4.8245955526828803E-2</v>
      </c>
      <c r="N590">
        <v>3.5092398524284397E-2</v>
      </c>
      <c r="O590">
        <f t="shared" si="53"/>
        <v>1.9249767437577239E-2</v>
      </c>
    </row>
    <row r="591" spans="1:15" x14ac:dyDescent="0.35">
      <c r="A591" t="s">
        <v>44</v>
      </c>
      <c r="B591">
        <v>2016</v>
      </c>
      <c r="C591">
        <v>717695.625</v>
      </c>
      <c r="D591" s="8">
        <v>0.94888198375701904</v>
      </c>
      <c r="E591" s="8">
        <v>1.2E-2</v>
      </c>
      <c r="F591">
        <v>2.4670445917902502</v>
      </c>
      <c r="G591">
        <f t="shared" si="49"/>
        <v>2.599948817683515</v>
      </c>
      <c r="H591">
        <f t="shared" si="51"/>
        <v>4.6820991600051709E-3</v>
      </c>
      <c r="I591">
        <f t="shared" si="50"/>
        <v>1</v>
      </c>
      <c r="J591">
        <f t="shared" si="52"/>
        <v>2</v>
      </c>
      <c r="K591">
        <v>4.8245955526828803E-2</v>
      </c>
      <c r="L591">
        <v>3.5092398524284397E-2</v>
      </c>
      <c r="M591">
        <v>2.02860848009585E-2</v>
      </c>
      <c r="N591">
        <v>1.74965113401413E-2</v>
      </c>
      <c r="O591">
        <f t="shared" si="53"/>
        <v>1.3180409744381876E-2</v>
      </c>
    </row>
    <row r="592" spans="1:15" x14ac:dyDescent="0.35">
      <c r="A592" t="s">
        <v>44</v>
      </c>
      <c r="B592">
        <v>2017</v>
      </c>
      <c r="C592">
        <v>730606.5</v>
      </c>
      <c r="D592" s="8">
        <v>0.92739731073379505</v>
      </c>
      <c r="E592" s="8">
        <v>2.7E-2</v>
      </c>
      <c r="F592">
        <v>2.40003355106577</v>
      </c>
      <c r="G592">
        <f t="shared" si="49"/>
        <v>2.5879237768834638</v>
      </c>
      <c r="H592">
        <f t="shared" si="51"/>
        <v>-4.6251067398954682E-3</v>
      </c>
      <c r="I592">
        <f t="shared" si="50"/>
        <v>0</v>
      </c>
      <c r="J592">
        <f t="shared" si="52"/>
        <v>1</v>
      </c>
      <c r="K592">
        <v>2.02860848009585E-2</v>
      </c>
      <c r="L592">
        <v>1.74965113401413E-2</v>
      </c>
      <c r="M592">
        <v>2.0774629175663001E-2</v>
      </c>
      <c r="N592">
        <v>1.1639606207609199E-2</v>
      </c>
      <c r="O592">
        <f t="shared" si="53"/>
        <v>8.937134221196158E-3</v>
      </c>
    </row>
    <row r="593" spans="1:15" x14ac:dyDescent="0.35">
      <c r="A593" t="s">
        <v>44</v>
      </c>
      <c r="B593">
        <v>2018</v>
      </c>
      <c r="C593">
        <v>742469.9375</v>
      </c>
      <c r="D593" s="8">
        <v>0.93159371614456199</v>
      </c>
      <c r="E593" s="8">
        <v>5.0000000000000001E-3</v>
      </c>
      <c r="F593">
        <v>2.3584664466927401</v>
      </c>
      <c r="G593">
        <f t="shared" si="49"/>
        <v>2.5316470107305449</v>
      </c>
      <c r="H593">
        <f t="shared" si="51"/>
        <v>-2.1745913328518052E-2</v>
      </c>
      <c r="I593">
        <f t="shared" si="50"/>
        <v>0</v>
      </c>
      <c r="J593">
        <f t="shared" si="52"/>
        <v>1</v>
      </c>
      <c r="K593">
        <v>2.0774629175663001E-2</v>
      </c>
      <c r="L593">
        <v>1.1639606207609199E-2</v>
      </c>
      <c r="M593">
        <v>4.1409696608781799E-2</v>
      </c>
      <c r="N593">
        <v>2.36085020005702E-2</v>
      </c>
      <c r="O593">
        <f t="shared" si="53"/>
        <v>-7.3248334228994132E-4</v>
      </c>
    </row>
    <row r="594" spans="1:15" x14ac:dyDescent="0.35">
      <c r="A594" t="s">
        <v>44</v>
      </c>
      <c r="B594">
        <v>2019</v>
      </c>
      <c r="C594">
        <v>751587.375</v>
      </c>
      <c r="D594" s="8">
        <v>0.92135101556777999</v>
      </c>
      <c r="E594" s="8">
        <v>2.4E-2</v>
      </c>
      <c r="F594">
        <v>2.43126656939106</v>
      </c>
      <c r="G594">
        <f t="shared" si="49"/>
        <v>2.6388059798173651</v>
      </c>
      <c r="H594">
        <f t="shared" si="51"/>
        <v>4.2327768694695678E-2</v>
      </c>
      <c r="I594">
        <f t="shared" si="50"/>
        <v>1</v>
      </c>
      <c r="J594" t="str">
        <f t="shared" si="52"/>
        <v/>
      </c>
      <c r="K594">
        <v>4.1409696608781799E-2</v>
      </c>
      <c r="L594">
        <v>2.36085020005702E-2</v>
      </c>
      <c r="M594">
        <v>2.7261009544134001E-2</v>
      </c>
      <c r="N594">
        <v>8.4118191152810894E-3</v>
      </c>
      <c r="O594">
        <f t="shared" si="53"/>
        <v>-7.4423210695385824E-3</v>
      </c>
    </row>
    <row r="595" spans="1:15" x14ac:dyDescent="0.35">
      <c r="A595" t="s">
        <v>44</v>
      </c>
      <c r="B595">
        <v>2020</v>
      </c>
      <c r="C595">
        <v>759828.4375</v>
      </c>
      <c r="D595" s="8">
        <v>0.92585641145706199</v>
      </c>
      <c r="E595" s="8">
        <v>4.5999999999999999E-2</v>
      </c>
      <c r="F595">
        <v>2.3061096387222699</v>
      </c>
      <c r="G595">
        <f t="shared" si="49"/>
        <v>2.4907854070946498</v>
      </c>
      <c r="H595">
        <f t="shared" si="51"/>
        <v>-5.6093768869267091E-2</v>
      </c>
      <c r="I595">
        <f t="shared" si="50"/>
        <v>0</v>
      </c>
      <c r="J595" t="str">
        <f t="shared" si="52"/>
        <v/>
      </c>
      <c r="K595">
        <v>2.7261009544134001E-2</v>
      </c>
      <c r="L595">
        <v>8.4118191152810894E-3</v>
      </c>
      <c r="M595">
        <v>4.8335222780704498E-2</v>
      </c>
      <c r="N595">
        <v>4.7456100583075896E-3</v>
      </c>
      <c r="O595">
        <f t="shared" si="53"/>
        <v>-7.6407945714890794E-3</v>
      </c>
    </row>
    <row r="596" spans="1:15" x14ac:dyDescent="0.35">
      <c r="A596" t="s">
        <v>44</v>
      </c>
      <c r="B596">
        <v>2021</v>
      </c>
      <c r="C596">
        <v>764535.1875</v>
      </c>
      <c r="D596" s="8">
        <v>0.93619930744171098</v>
      </c>
      <c r="E596" s="8">
        <v>4.0000000000000001E-3</v>
      </c>
      <c r="F596">
        <v>2.3813195331978401</v>
      </c>
      <c r="G596">
        <f t="shared" si="49"/>
        <v>2.5436031775168817</v>
      </c>
      <c r="H596">
        <f t="shared" si="51"/>
        <v>2.1205267331255495E-2</v>
      </c>
      <c r="I596">
        <f t="shared" si="50"/>
        <v>1</v>
      </c>
      <c r="J596" t="str">
        <f t="shared" si="52"/>
        <v/>
      </c>
      <c r="K596">
        <v>4.8335222780704498E-2</v>
      </c>
      <c r="L596">
        <v>4.7456100583075896E-3</v>
      </c>
      <c r="M596">
        <v>-3.5823373049497599E-2</v>
      </c>
      <c r="N596">
        <v>-3.7198662757872902E-3</v>
      </c>
      <c r="O596">
        <f t="shared" si="53"/>
        <v>-6.5284031443297776E-3</v>
      </c>
    </row>
    <row r="597" spans="1:15" x14ac:dyDescent="0.35">
      <c r="A597" t="s">
        <v>44</v>
      </c>
      <c r="B597">
        <v>2022</v>
      </c>
      <c r="C597">
        <v>768422.75</v>
      </c>
      <c r="D597" s="8">
        <v>0.90295773744583097</v>
      </c>
      <c r="E597" s="8">
        <v>2.9000000000000001E-2</v>
      </c>
      <c r="F597">
        <v>2.2763324545684802</v>
      </c>
      <c r="G597">
        <f t="shared" si="49"/>
        <v>2.5209734189857795</v>
      </c>
      <c r="H597">
        <f t="shared" si="51"/>
        <v>-8.8967330797227184E-3</v>
      </c>
      <c r="I597">
        <f t="shared" si="50"/>
        <v>0</v>
      </c>
      <c r="J597" t="str">
        <f t="shared" si="52"/>
        <v/>
      </c>
      <c r="K597">
        <v>-3.5823373049497599E-2</v>
      </c>
      <c r="L597">
        <v>-3.24116274714469E-3</v>
      </c>
      <c r="M597">
        <v>-5.6267409384250601E-2</v>
      </c>
      <c r="N597">
        <v>-3.6708481609821299E-2</v>
      </c>
      <c r="O597">
        <f t="shared" si="53"/>
        <v>-6.3253289554268165E-3</v>
      </c>
    </row>
    <row r="598" spans="1:15" x14ac:dyDescent="0.35">
      <c r="A598" t="s">
        <v>45</v>
      </c>
      <c r="B598">
        <v>2006</v>
      </c>
      <c r="C598">
        <v>153495.796875</v>
      </c>
      <c r="D598" s="8">
        <v>0.94231861829757702</v>
      </c>
      <c r="E598" s="8">
        <v>2.8000000000000001E-2</v>
      </c>
      <c r="F598">
        <v>2.1066387467038901</v>
      </c>
      <c r="G598">
        <f t="shared" si="49"/>
        <v>2.2355907076417645</v>
      </c>
      <c r="H598">
        <f t="shared" si="51"/>
        <v>-0.11320337977178208</v>
      </c>
      <c r="I598">
        <f t="shared" si="50"/>
        <v>0</v>
      </c>
      <c r="J598" t="str">
        <f t="shared" si="52"/>
        <v/>
      </c>
      <c r="K598">
        <v>-9.7340795844792997E-3</v>
      </c>
      <c r="L598">
        <v>-1.6097119078040099E-2</v>
      </c>
      <c r="M598">
        <v>-1.08624425679445E-2</v>
      </c>
      <c r="N598">
        <v>-9.9406866356729993E-3</v>
      </c>
      <c r="O598" t="str">
        <f t="shared" si="53"/>
        <v/>
      </c>
    </row>
    <row r="599" spans="1:15" x14ac:dyDescent="0.35">
      <c r="A599" t="s">
        <v>45</v>
      </c>
      <c r="B599">
        <v>2007</v>
      </c>
      <c r="C599">
        <v>156270.703125</v>
      </c>
      <c r="D599" s="8">
        <v>0.92709290981292702</v>
      </c>
      <c r="E599" s="8">
        <v>0.06</v>
      </c>
      <c r="F599">
        <v>2.24618652249469</v>
      </c>
      <c r="G599">
        <f t="shared" si="49"/>
        <v>2.4228278511459393</v>
      </c>
      <c r="H599">
        <f t="shared" si="51"/>
        <v>8.3752872502178111E-2</v>
      </c>
      <c r="I599">
        <f t="shared" si="50"/>
        <v>1</v>
      </c>
      <c r="J599" t="str">
        <f t="shared" si="52"/>
        <v/>
      </c>
      <c r="K599">
        <v>-1.08624425679445E-2</v>
      </c>
      <c r="L599">
        <v>-9.9406866356729993E-3</v>
      </c>
      <c r="M599">
        <v>-2.20913526713848E-2</v>
      </c>
      <c r="N599">
        <v>7.4194516055286E-3</v>
      </c>
      <c r="O599" t="str">
        <f t="shared" si="53"/>
        <v/>
      </c>
    </row>
    <row r="600" spans="1:15" x14ac:dyDescent="0.35">
      <c r="A600" t="s">
        <v>45</v>
      </c>
      <c r="B600">
        <v>2008</v>
      </c>
      <c r="C600">
        <v>158714.703125</v>
      </c>
      <c r="D600" s="8">
        <v>0.94608217477798495</v>
      </c>
      <c r="E600" s="8">
        <v>4.9000000000000002E-2</v>
      </c>
      <c r="F600">
        <v>2.2853315718007998</v>
      </c>
      <c r="G600">
        <f t="shared" si="49"/>
        <v>2.4155740724499895</v>
      </c>
      <c r="H600">
        <f t="shared" si="51"/>
        <v>-2.9939307047832653E-3</v>
      </c>
      <c r="I600">
        <f t="shared" si="50"/>
        <v>0</v>
      </c>
      <c r="J600" t="str">
        <f t="shared" si="52"/>
        <v/>
      </c>
      <c r="K600">
        <v>-2.20913526713848E-2</v>
      </c>
      <c r="L600">
        <v>7.4194516055286E-3</v>
      </c>
      <c r="M600">
        <v>-1.6259134471416501E-2</v>
      </c>
      <c r="N600">
        <v>1.0307567194104099E-2</v>
      </c>
      <c r="O600" t="str">
        <f t="shared" si="53"/>
        <v/>
      </c>
    </row>
    <row r="601" spans="1:15" x14ac:dyDescent="0.35">
      <c r="A601" t="s">
        <v>45</v>
      </c>
      <c r="B601">
        <v>2009</v>
      </c>
      <c r="C601">
        <v>161242.5</v>
      </c>
      <c r="D601" s="8">
        <v>0.94542849063873302</v>
      </c>
      <c r="E601" s="8">
        <v>0.02</v>
      </c>
      <c r="F601">
        <v>2.19893574946967</v>
      </c>
      <c r="G601">
        <f t="shared" si="49"/>
        <v>2.3258615233649933</v>
      </c>
      <c r="H601">
        <f t="shared" si="51"/>
        <v>-3.7139225043099411E-2</v>
      </c>
      <c r="I601">
        <f t="shared" si="50"/>
        <v>0</v>
      </c>
      <c r="J601" t="str">
        <f t="shared" si="52"/>
        <v/>
      </c>
      <c r="K601">
        <v>-1.6259134471416501E-2</v>
      </c>
      <c r="L601">
        <v>1.0307567194104099E-2</v>
      </c>
      <c r="M601">
        <v>-1.21646040901541E-2</v>
      </c>
      <c r="N601">
        <v>-2.7044953312724798E-3</v>
      </c>
      <c r="O601" t="str">
        <f t="shared" si="53"/>
        <v/>
      </c>
    </row>
    <row r="602" spans="1:15" x14ac:dyDescent="0.35">
      <c r="A602" t="s">
        <v>45</v>
      </c>
      <c r="B602">
        <v>2010</v>
      </c>
      <c r="C602">
        <v>164034.8125</v>
      </c>
      <c r="D602" s="8">
        <v>0.94773656129837003</v>
      </c>
      <c r="E602" s="8">
        <v>0</v>
      </c>
      <c r="F602">
        <v>2.1487163907033202</v>
      </c>
      <c r="G602">
        <f t="shared" si="49"/>
        <v>2.2672085033415241</v>
      </c>
      <c r="H602">
        <f t="shared" si="51"/>
        <v>-2.5217761003506145E-2</v>
      </c>
      <c r="I602">
        <f t="shared" si="50"/>
        <v>0</v>
      </c>
      <c r="J602">
        <f t="shared" si="52"/>
        <v>1</v>
      </c>
      <c r="K602">
        <v>-1.21646040901541E-2</v>
      </c>
      <c r="L602">
        <v>-2.7044953312724798E-3</v>
      </c>
      <c r="M602">
        <v>-2.2812870673835198E-2</v>
      </c>
      <c r="N602">
        <v>-1.5290961600839699E-3</v>
      </c>
      <c r="O602">
        <f t="shared" si="53"/>
        <v>-4.8342944122850727E-3</v>
      </c>
    </row>
    <row r="603" spans="1:15" x14ac:dyDescent="0.35">
      <c r="A603" t="s">
        <v>45</v>
      </c>
      <c r="B603">
        <v>2011</v>
      </c>
      <c r="C603">
        <v>167068.296875</v>
      </c>
      <c r="D603" s="8">
        <v>0.95490664243698098</v>
      </c>
      <c r="E603" s="8">
        <v>0</v>
      </c>
      <c r="F603">
        <v>2.1869803644082699</v>
      </c>
      <c r="G603">
        <f t="shared" si="49"/>
        <v>2.2902556828246166</v>
      </c>
      <c r="H603">
        <f t="shared" si="51"/>
        <v>1.0165443296954901E-2</v>
      </c>
      <c r="I603">
        <f t="shared" si="50"/>
        <v>1</v>
      </c>
      <c r="J603">
        <f t="shared" si="52"/>
        <v>2</v>
      </c>
      <c r="K603">
        <v>-2.2812870673835198E-2</v>
      </c>
      <c r="L603">
        <v>-1.5290961600839699E-3</v>
      </c>
      <c r="M603">
        <v>-5.1113388538360999E-3</v>
      </c>
      <c r="N603">
        <v>3.2686721533529799E-4</v>
      </c>
      <c r="O603">
        <f t="shared" si="53"/>
        <v>-9.2403829563408972E-3</v>
      </c>
    </row>
    <row r="604" spans="1:15" x14ac:dyDescent="0.35">
      <c r="A604" t="s">
        <v>45</v>
      </c>
      <c r="B604">
        <v>2012</v>
      </c>
      <c r="C604">
        <v>169669.5</v>
      </c>
      <c r="D604" s="8">
        <v>0.95770782232284501</v>
      </c>
      <c r="E604" s="8">
        <v>0.02</v>
      </c>
      <c r="F604">
        <v>2.2994083649669901</v>
      </c>
      <c r="G604">
        <f t="shared" si="49"/>
        <v>2.4009497587583195</v>
      </c>
      <c r="H604">
        <f t="shared" si="51"/>
        <v>4.8332627996006794E-2</v>
      </c>
      <c r="I604">
        <f t="shared" si="50"/>
        <v>1</v>
      </c>
      <c r="J604">
        <f t="shared" si="52"/>
        <v>2</v>
      </c>
      <c r="K604">
        <v>-5.1113388538360999E-3</v>
      </c>
      <c r="L604">
        <v>2.4126842617979899E-4</v>
      </c>
      <c r="M604">
        <v>2.040928825736E-3</v>
      </c>
      <c r="N604">
        <v>-4.0858425199985903E-3</v>
      </c>
      <c r="O604">
        <f t="shared" si="53"/>
        <v>-1.1141572566702935E-2</v>
      </c>
    </row>
    <row r="605" spans="1:15" x14ac:dyDescent="0.35">
      <c r="A605" t="s">
        <v>45</v>
      </c>
      <c r="B605">
        <v>2013</v>
      </c>
      <c r="C605">
        <v>171852.09375</v>
      </c>
      <c r="D605" s="8">
        <v>0.945667564868927</v>
      </c>
      <c r="E605" s="8">
        <v>2.1999999999999999E-2</v>
      </c>
      <c r="F605">
        <v>2.1892386299123099</v>
      </c>
      <c r="G605">
        <f t="shared" si="49"/>
        <v>2.3150192638950733</v>
      </c>
      <c r="H605">
        <f t="shared" si="51"/>
        <v>-3.5790209499296788E-2</v>
      </c>
      <c r="I605">
        <f t="shared" si="50"/>
        <v>0</v>
      </c>
      <c r="J605">
        <f t="shared" si="52"/>
        <v>2</v>
      </c>
      <c r="K605">
        <v>2.040928825736E-3</v>
      </c>
      <c r="L605">
        <v>-4.0858425199985903E-3</v>
      </c>
      <c r="M605">
        <v>-2.8553569540381001E-3</v>
      </c>
      <c r="N605">
        <v>-4.8633804544806003E-3</v>
      </c>
      <c r="O605">
        <f t="shared" si="53"/>
        <v>-1.6408001724630538E-2</v>
      </c>
    </row>
    <row r="606" spans="1:15" x14ac:dyDescent="0.35">
      <c r="A606" t="s">
        <v>45</v>
      </c>
      <c r="B606">
        <v>2014</v>
      </c>
      <c r="C606">
        <v>173773.296875</v>
      </c>
      <c r="D606" s="8">
        <v>0.95304328203201305</v>
      </c>
      <c r="E606" s="8">
        <v>6.0000000000000001E-3</v>
      </c>
      <c r="F606">
        <v>2.0962414010833799</v>
      </c>
      <c r="G606">
        <f t="shared" si="49"/>
        <v>2.1995238208005818</v>
      </c>
      <c r="H606">
        <f t="shared" si="51"/>
        <v>-4.9889625065221987E-2</v>
      </c>
      <c r="I606">
        <f t="shared" si="50"/>
        <v>0</v>
      </c>
      <c r="J606">
        <f t="shared" si="52"/>
        <v>2</v>
      </c>
      <c r="K606">
        <v>-2.8553569540381001E-3</v>
      </c>
      <c r="L606">
        <v>-4.8633804544806003E-3</v>
      </c>
      <c r="M606">
        <v>1.6243431881070001E-2</v>
      </c>
      <c r="N606">
        <v>-1.40200201421975E-2</v>
      </c>
      <c r="O606">
        <f t="shared" si="53"/>
        <v>-1.4682579319924061E-2</v>
      </c>
    </row>
    <row r="607" spans="1:15" x14ac:dyDescent="0.35">
      <c r="A607" t="s">
        <v>45</v>
      </c>
      <c r="B607">
        <v>2015</v>
      </c>
      <c r="C607">
        <v>175594.5</v>
      </c>
      <c r="D607" s="8">
        <v>0.95263290405273404</v>
      </c>
      <c r="E607" s="8">
        <v>5.0000000000000001E-3</v>
      </c>
      <c r="F607">
        <v>1.85029488859764</v>
      </c>
      <c r="G607">
        <f t="shared" si="49"/>
        <v>1.9422958001198907</v>
      </c>
      <c r="H607">
        <f t="shared" si="51"/>
        <v>-0.1169471402164971</v>
      </c>
      <c r="I607">
        <f t="shared" si="50"/>
        <v>0</v>
      </c>
      <c r="J607">
        <f t="shared" si="52"/>
        <v>2</v>
      </c>
      <c r="K607">
        <v>1.6243431881070001E-2</v>
      </c>
      <c r="L607">
        <v>-1.40200201421975E-2</v>
      </c>
      <c r="M607">
        <v>-1.04059818778187E-2</v>
      </c>
      <c r="N607">
        <v>-2.35595388803631E-2</v>
      </c>
      <c r="O607">
        <f t="shared" si="53"/>
        <v>-1.4799645449966158E-2</v>
      </c>
    </row>
    <row r="608" spans="1:15" x14ac:dyDescent="0.35">
      <c r="A608" t="s">
        <v>45</v>
      </c>
      <c r="B608">
        <v>2016</v>
      </c>
      <c r="C608">
        <v>177643.40625</v>
      </c>
      <c r="D608" s="8">
        <v>0.92370843887329102</v>
      </c>
      <c r="E608" s="8">
        <v>0.10100000000000001</v>
      </c>
      <c r="F608">
        <v>2.2848735437918699</v>
      </c>
      <c r="G608">
        <f t="shared" si="49"/>
        <v>2.4735873871401273</v>
      </c>
      <c r="H608">
        <f t="shared" si="51"/>
        <v>0.27353793741789589</v>
      </c>
      <c r="I608">
        <f t="shared" si="50"/>
        <v>1</v>
      </c>
      <c r="J608">
        <f t="shared" si="52"/>
        <v>2</v>
      </c>
      <c r="K608">
        <v>-1.04059818778187E-2</v>
      </c>
      <c r="L608">
        <v>-2.35595388803631E-2</v>
      </c>
      <c r="M608">
        <v>-6.3895073756575996E-3</v>
      </c>
      <c r="N608">
        <v>-9.1790808364748903E-3</v>
      </c>
      <c r="O608">
        <f t="shared" si="53"/>
        <v>-1.2565194303169821E-2</v>
      </c>
    </row>
    <row r="609" spans="1:15" x14ac:dyDescent="0.35">
      <c r="A609" t="s">
        <v>45</v>
      </c>
      <c r="B609">
        <v>2017</v>
      </c>
      <c r="C609">
        <v>179339.5</v>
      </c>
      <c r="D609" s="8">
        <v>0.93454355001449596</v>
      </c>
      <c r="E609" s="8">
        <v>0</v>
      </c>
      <c r="F609">
        <v>2.1796487772853999</v>
      </c>
      <c r="G609">
        <f t="shared" si="49"/>
        <v>2.3323137560059033</v>
      </c>
      <c r="H609">
        <f t="shared" si="51"/>
        <v>-5.7112852316715368E-2</v>
      </c>
      <c r="I609">
        <f t="shared" si="50"/>
        <v>0</v>
      </c>
      <c r="J609">
        <f t="shared" si="52"/>
        <v>1</v>
      </c>
      <c r="K609">
        <v>-6.3895073756575996E-3</v>
      </c>
      <c r="L609">
        <v>-9.1790808364748903E-3</v>
      </c>
      <c r="M609">
        <v>-2.1282965341582801E-2</v>
      </c>
      <c r="N609">
        <v>-3.0417988309636601E-2</v>
      </c>
      <c r="O609">
        <f t="shared" si="53"/>
        <v>-1.091853105463084E-2</v>
      </c>
    </row>
    <row r="610" spans="1:15" x14ac:dyDescent="0.35">
      <c r="A610" t="s">
        <v>45</v>
      </c>
      <c r="B610">
        <v>2018</v>
      </c>
      <c r="C610">
        <v>180763.703125</v>
      </c>
      <c r="D610" s="8">
        <v>0.94075465202331499</v>
      </c>
      <c r="E610" s="8">
        <v>0</v>
      </c>
      <c r="F610">
        <v>2.3917927212820098</v>
      </c>
      <c r="G610">
        <f t="shared" si="49"/>
        <v>2.5424192334716547</v>
      </c>
      <c r="H610">
        <f t="shared" si="51"/>
        <v>9.0084568135274212E-2</v>
      </c>
      <c r="I610">
        <f t="shared" si="50"/>
        <v>1</v>
      </c>
      <c r="J610">
        <f t="shared" si="52"/>
        <v>2</v>
      </c>
      <c r="K610">
        <v>-2.1282965341582801E-2</v>
      </c>
      <c r="L610">
        <v>-3.0417988309636601E-2</v>
      </c>
      <c r="M610">
        <v>2.1564926177263299E-2</v>
      </c>
      <c r="N610">
        <v>3.7637315690517898E-3</v>
      </c>
      <c r="O610">
        <f t="shared" si="53"/>
        <v>-2.5389212183654221E-3</v>
      </c>
    </row>
    <row r="611" spans="1:15" x14ac:dyDescent="0.35">
      <c r="A611" t="s">
        <v>45</v>
      </c>
      <c r="B611">
        <v>2019</v>
      </c>
      <c r="C611">
        <v>182512.609375</v>
      </c>
      <c r="D611" s="8">
        <v>0.92826771736144997</v>
      </c>
      <c r="E611" s="8">
        <v>3.5000000000000003E-2</v>
      </c>
      <c r="F611">
        <v>2.0088980824796399</v>
      </c>
      <c r="G611">
        <f t="shared" si="49"/>
        <v>2.1641365361598726</v>
      </c>
      <c r="H611">
        <f t="shared" si="51"/>
        <v>-0.14878848158934033</v>
      </c>
      <c r="I611">
        <f t="shared" si="50"/>
        <v>0</v>
      </c>
      <c r="J611" t="str">
        <f t="shared" si="52"/>
        <v/>
      </c>
      <c r="K611">
        <v>2.1564926177263299E-2</v>
      </c>
      <c r="L611">
        <v>3.7637315690517898E-3</v>
      </c>
      <c r="M611">
        <v>4.2438396364450001E-3</v>
      </c>
      <c r="N611">
        <v>-1.4605350792408E-2</v>
      </c>
      <c r="O611">
        <f t="shared" si="53"/>
        <v>2.254246827214939E-3</v>
      </c>
    </row>
    <row r="612" spans="1:15" x14ac:dyDescent="0.35">
      <c r="A612" t="s">
        <v>45</v>
      </c>
      <c r="B612">
        <v>2020</v>
      </c>
      <c r="C612">
        <v>184564.703125</v>
      </c>
      <c r="D612" s="8">
        <v>0.96275359392166104</v>
      </c>
      <c r="E612" s="8">
        <v>0</v>
      </c>
      <c r="F612">
        <v>1.8708058742849401</v>
      </c>
      <c r="G612">
        <f t="shared" si="49"/>
        <v>1.9431824363952122</v>
      </c>
      <c r="H612">
        <f t="shared" si="51"/>
        <v>-0.10209804052230909</v>
      </c>
      <c r="I612">
        <f t="shared" si="50"/>
        <v>0</v>
      </c>
      <c r="J612" t="str">
        <f t="shared" si="52"/>
        <v/>
      </c>
      <c r="K612">
        <v>4.2438396364450001E-3</v>
      </c>
      <c r="L612">
        <v>-1.4605350792408E-2</v>
      </c>
      <c r="M612">
        <v>3.12023295760155E-2</v>
      </c>
      <c r="N612">
        <v>-1.2387283146381401E-2</v>
      </c>
      <c r="O612">
        <f t="shared" si="53"/>
        <v>5.7860254775732589E-3</v>
      </c>
    </row>
    <row r="613" spans="1:15" x14ac:dyDescent="0.35">
      <c r="A613" t="s">
        <v>46</v>
      </c>
      <c r="B613">
        <v>2006</v>
      </c>
      <c r="C613">
        <v>1823026</v>
      </c>
      <c r="D613" s="8">
        <v>0.93255180120468095</v>
      </c>
      <c r="E613" s="8">
        <v>5.0000000000000001E-3</v>
      </c>
      <c r="F613">
        <v>2.2441387559808601</v>
      </c>
      <c r="G613">
        <f t="shared" si="49"/>
        <v>2.4064494359260862</v>
      </c>
      <c r="H613">
        <f t="shared" si="51"/>
        <v>0.23840633326754346</v>
      </c>
      <c r="I613">
        <f t="shared" si="50"/>
        <v>1</v>
      </c>
      <c r="J613" t="str">
        <f t="shared" si="52"/>
        <v/>
      </c>
      <c r="K613">
        <v>-1.21098257303237E-2</v>
      </c>
      <c r="L613">
        <v>-1.8472865223884499E-2</v>
      </c>
      <c r="M613">
        <v>-1.8675205260515E-3</v>
      </c>
      <c r="N613">
        <v>-9.4576459377999997E-4</v>
      </c>
      <c r="O613" t="str">
        <f t="shared" si="53"/>
        <v/>
      </c>
    </row>
    <row r="614" spans="1:15" x14ac:dyDescent="0.35">
      <c r="A614" t="s">
        <v>46</v>
      </c>
      <c r="B614">
        <v>2007</v>
      </c>
      <c r="C614">
        <v>1847554</v>
      </c>
      <c r="D614" s="8">
        <v>0.93777042627334595</v>
      </c>
      <c r="E614" s="8">
        <v>5.0000000000000001E-3</v>
      </c>
      <c r="F614">
        <v>2.2110570694305798</v>
      </c>
      <c r="G614">
        <f t="shared" si="49"/>
        <v>2.357780761137044</v>
      </c>
      <c r="H614">
        <f t="shared" si="51"/>
        <v>-2.0224266532453794E-2</v>
      </c>
      <c r="I614">
        <f t="shared" si="50"/>
        <v>0</v>
      </c>
      <c r="J614" t="str">
        <f t="shared" si="52"/>
        <v/>
      </c>
      <c r="K614">
        <v>-1.8675205260515E-3</v>
      </c>
      <c r="L614">
        <v>-9.4576459377999997E-4</v>
      </c>
      <c r="M614">
        <v>-1.8030743405222899E-2</v>
      </c>
      <c r="N614">
        <v>1.14800608716905E-2</v>
      </c>
      <c r="O614" t="str">
        <f t="shared" si="53"/>
        <v/>
      </c>
    </row>
    <row r="615" spans="1:15" x14ac:dyDescent="0.35">
      <c r="A615" t="s">
        <v>46</v>
      </c>
      <c r="B615">
        <v>2008</v>
      </c>
      <c r="C615">
        <v>1871202</v>
      </c>
      <c r="D615" s="8">
        <v>0.93348652124404896</v>
      </c>
      <c r="E615" s="8">
        <v>8.9999999999999993E-3</v>
      </c>
      <c r="F615">
        <v>2.1749997908352299</v>
      </c>
      <c r="G615">
        <f t="shared" si="49"/>
        <v>2.3299745002601937</v>
      </c>
      <c r="H615">
        <f t="shared" si="51"/>
        <v>-1.1793403922526147E-2</v>
      </c>
      <c r="I615">
        <f t="shared" si="50"/>
        <v>0</v>
      </c>
      <c r="J615" t="str">
        <f t="shared" si="52"/>
        <v/>
      </c>
      <c r="K615">
        <v>-1.8030743405222899E-2</v>
      </c>
      <c r="L615">
        <v>1.14800608716905E-2</v>
      </c>
      <c r="M615">
        <v>1.16287013143301E-3</v>
      </c>
      <c r="N615">
        <v>2.7729571796953598E-2</v>
      </c>
      <c r="O615" t="str">
        <f t="shared" si="53"/>
        <v/>
      </c>
    </row>
    <row r="616" spans="1:15" x14ac:dyDescent="0.35">
      <c r="A616" t="s">
        <v>46</v>
      </c>
      <c r="B616">
        <v>2009</v>
      </c>
      <c r="C616">
        <v>1892404</v>
      </c>
      <c r="D616" s="8">
        <v>0.92538058757782005</v>
      </c>
      <c r="E616" s="8">
        <v>8.9999999999999993E-3</v>
      </c>
      <c r="F616">
        <v>2.2269353549890001</v>
      </c>
      <c r="G616">
        <f t="shared" si="49"/>
        <v>2.4065075330983485</v>
      </c>
      <c r="H616">
        <f t="shared" si="51"/>
        <v>3.2847154691868274E-2</v>
      </c>
      <c r="I616">
        <f t="shared" si="50"/>
        <v>1</v>
      </c>
      <c r="J616" t="str">
        <f t="shared" si="52"/>
        <v/>
      </c>
      <c r="K616">
        <v>1.16287013143301E-3</v>
      </c>
      <c r="L616">
        <v>2.7729571796953598E-2</v>
      </c>
      <c r="M616">
        <v>-6.4065662994980798E-3</v>
      </c>
      <c r="N616">
        <v>3.0535424593836E-3</v>
      </c>
      <c r="O616" t="str">
        <f t="shared" si="53"/>
        <v/>
      </c>
    </row>
    <row r="617" spans="1:15" x14ac:dyDescent="0.35">
      <c r="A617" t="s">
        <v>46</v>
      </c>
      <c r="B617">
        <v>2010</v>
      </c>
      <c r="C617">
        <v>1911667</v>
      </c>
      <c r="D617" s="8">
        <v>0.93421882390975997</v>
      </c>
      <c r="E617" s="8">
        <v>7.0000000000000001E-3</v>
      </c>
      <c r="F617">
        <v>2.3186477071731399</v>
      </c>
      <c r="G617">
        <f t="shared" si="49"/>
        <v>2.4819107128129412</v>
      </c>
      <c r="H617">
        <f t="shared" si="51"/>
        <v>3.1333032902461699E-2</v>
      </c>
      <c r="I617">
        <f t="shared" si="50"/>
        <v>1</v>
      </c>
      <c r="J617">
        <f t="shared" si="52"/>
        <v>3</v>
      </c>
      <c r="K617">
        <v>-6.4065662994980798E-3</v>
      </c>
      <c r="L617">
        <v>3.0535424593836E-3</v>
      </c>
      <c r="M617">
        <v>-1.93905656859279E-2</v>
      </c>
      <c r="N617">
        <v>1.8932088278233901E-3</v>
      </c>
      <c r="O617">
        <f t="shared" si="53"/>
        <v>-1.7228452488778399E-4</v>
      </c>
    </row>
    <row r="618" spans="1:15" x14ac:dyDescent="0.35">
      <c r="A618" t="s">
        <v>46</v>
      </c>
      <c r="B618">
        <v>2011</v>
      </c>
      <c r="C618">
        <v>1932081</v>
      </c>
      <c r="D618" s="8">
        <v>0.94052165746688798</v>
      </c>
      <c r="E618" s="8">
        <v>8.9999999999999993E-3</v>
      </c>
      <c r="F618">
        <v>2.23312060960507</v>
      </c>
      <c r="G618">
        <f t="shared" si="49"/>
        <v>2.3743425702918373</v>
      </c>
      <c r="H618">
        <f t="shared" si="51"/>
        <v>-4.3340859107372398E-2</v>
      </c>
      <c r="I618">
        <f t="shared" si="50"/>
        <v>0</v>
      </c>
      <c r="J618">
        <f t="shared" si="52"/>
        <v>2</v>
      </c>
      <c r="K618">
        <v>-1.93905656859279E-2</v>
      </c>
      <c r="L618">
        <v>1.8932088278233901E-3</v>
      </c>
      <c r="M618">
        <v>-2.3799206167458998E-3</v>
      </c>
      <c r="N618">
        <v>3.0582854524254899E-3</v>
      </c>
      <c r="O618">
        <f t="shared" si="53"/>
        <v>8.6561013013125782E-4</v>
      </c>
    </row>
    <row r="619" spans="1:15" x14ac:dyDescent="0.35">
      <c r="A619" t="s">
        <v>46</v>
      </c>
      <c r="B619">
        <v>2012</v>
      </c>
      <c r="C619">
        <v>1955121</v>
      </c>
      <c r="D619" s="8">
        <v>0.94204539060592696</v>
      </c>
      <c r="E619" s="8">
        <v>0.01</v>
      </c>
      <c r="F619">
        <v>2.2315801197871501</v>
      </c>
      <c r="G619">
        <f t="shared" si="49"/>
        <v>2.3688668741872299</v>
      </c>
      <c r="H619">
        <f t="shared" si="51"/>
        <v>-2.3061946380948939E-3</v>
      </c>
      <c r="I619">
        <f t="shared" si="50"/>
        <v>0</v>
      </c>
      <c r="J619">
        <f t="shared" si="52"/>
        <v>2</v>
      </c>
      <c r="K619">
        <v>-2.3799206167458998E-3</v>
      </c>
      <c r="L619">
        <v>2.9726866632700001E-3</v>
      </c>
      <c r="M619">
        <v>7.5962267816069898E-4</v>
      </c>
      <c r="N619">
        <v>-5.3671486675739002E-3</v>
      </c>
      <c r="O619">
        <f t="shared" si="53"/>
        <v>1.8533103168010801E-3</v>
      </c>
    </row>
    <row r="620" spans="1:15" x14ac:dyDescent="0.35">
      <c r="A620" t="s">
        <v>46</v>
      </c>
      <c r="B620">
        <v>2013</v>
      </c>
      <c r="C620">
        <v>1982324</v>
      </c>
      <c r="D620" s="8">
        <v>0.93737018108367898</v>
      </c>
      <c r="E620" s="8">
        <v>2.3E-2</v>
      </c>
      <c r="F620">
        <v>2.2591407992077999</v>
      </c>
      <c r="G620">
        <f t="shared" si="49"/>
        <v>2.4100839186030458</v>
      </c>
      <c r="H620">
        <f t="shared" si="51"/>
        <v>1.7399476882784981E-2</v>
      </c>
      <c r="I620">
        <f t="shared" si="50"/>
        <v>1</v>
      </c>
      <c r="J620">
        <f t="shared" si="52"/>
        <v>3</v>
      </c>
      <c r="K620">
        <v>7.5962267816069898E-4</v>
      </c>
      <c r="L620">
        <v>-5.3671486675739002E-3</v>
      </c>
      <c r="M620">
        <v>-1.2765686810017E-3</v>
      </c>
      <c r="N620">
        <v>-3.2845921814442002E-3</v>
      </c>
      <c r="O620">
        <f t="shared" si="53"/>
        <v>1.5522360801696821E-3</v>
      </c>
    </row>
    <row r="621" spans="1:15" x14ac:dyDescent="0.35">
      <c r="A621" t="s">
        <v>46</v>
      </c>
      <c r="B621">
        <v>2014</v>
      </c>
      <c r="C621">
        <v>2010125</v>
      </c>
      <c r="D621" s="8">
        <v>0.93354856967926003</v>
      </c>
      <c r="E621" s="8">
        <v>0.03</v>
      </c>
      <c r="F621">
        <v>2.2510222875875301</v>
      </c>
      <c r="G621">
        <f t="shared" si="49"/>
        <v>2.4112535337726624</v>
      </c>
      <c r="H621">
        <f t="shared" si="51"/>
        <v>4.8530059911544576E-4</v>
      </c>
      <c r="I621">
        <f t="shared" si="50"/>
        <v>1</v>
      </c>
      <c r="J621">
        <f t="shared" si="52"/>
        <v>3</v>
      </c>
      <c r="K621">
        <v>-1.2765686810017E-3</v>
      </c>
      <c r="L621">
        <v>-3.2845921814442002E-3</v>
      </c>
      <c r="M621">
        <v>3.3102275967598002E-2</v>
      </c>
      <c r="N621">
        <v>2.8388239443303E-3</v>
      </c>
      <c r="O621">
        <f t="shared" si="53"/>
        <v>2.2091545164585223E-3</v>
      </c>
    </row>
    <row r="622" spans="1:15" x14ac:dyDescent="0.35">
      <c r="A622" t="s">
        <v>46</v>
      </c>
      <c r="B622">
        <v>2015</v>
      </c>
      <c r="C622">
        <v>2036063</v>
      </c>
      <c r="D622" s="8">
        <v>0.937996506690979</v>
      </c>
      <c r="E622" s="8">
        <v>3.2000000000000001E-2</v>
      </c>
      <c r="F622">
        <v>2.2869873112926702</v>
      </c>
      <c r="G622">
        <f t="shared" si="49"/>
        <v>2.4381618641210072</v>
      </c>
      <c r="H622">
        <f t="shared" si="51"/>
        <v>1.1159477828216469E-2</v>
      </c>
      <c r="I622">
        <f t="shared" si="50"/>
        <v>1</v>
      </c>
      <c r="J622">
        <f t="shared" si="52"/>
        <v>3</v>
      </c>
      <c r="K622">
        <v>3.3102275967598002E-2</v>
      </c>
      <c r="L622">
        <v>2.8388239443303E-3</v>
      </c>
      <c r="M622">
        <v>2.0236239105462999E-2</v>
      </c>
      <c r="N622">
        <v>7.0826821029185997E-3</v>
      </c>
      <c r="O622">
        <f t="shared" si="53"/>
        <v>2.0713519304990801E-3</v>
      </c>
    </row>
    <row r="623" spans="1:15" x14ac:dyDescent="0.35">
      <c r="A623" t="s">
        <v>46</v>
      </c>
      <c r="B623">
        <v>2016</v>
      </c>
      <c r="C623">
        <v>2062829.125</v>
      </c>
      <c r="D623" s="8">
        <v>0.93927299976348899</v>
      </c>
      <c r="E623" s="8">
        <v>1.2999999999999999E-2</v>
      </c>
      <c r="F623">
        <v>2.2587818928393899</v>
      </c>
      <c r="G623">
        <f t="shared" si="49"/>
        <v>2.4048193585977198</v>
      </c>
      <c r="H623">
        <f t="shared" si="51"/>
        <v>-1.367526332600888E-2</v>
      </c>
      <c r="I623">
        <f t="shared" si="50"/>
        <v>0</v>
      </c>
      <c r="J623">
        <f t="shared" si="52"/>
        <v>3</v>
      </c>
      <c r="K623">
        <v>2.0236239105462999E-2</v>
      </c>
      <c r="L623">
        <v>7.0826821029185997E-3</v>
      </c>
      <c r="M623">
        <v>1.07863598465919E-2</v>
      </c>
      <c r="N623">
        <v>7.9967863857746003E-3</v>
      </c>
      <c r="O623">
        <f t="shared" si="53"/>
        <v>-3.0492614954709999E-3</v>
      </c>
    </row>
    <row r="624" spans="1:15" x14ac:dyDescent="0.35">
      <c r="A624" t="s">
        <v>46</v>
      </c>
      <c r="B624">
        <v>2017</v>
      </c>
      <c r="C624">
        <v>2091322</v>
      </c>
      <c r="D624" s="8">
        <v>0.93047803640365601</v>
      </c>
      <c r="E624" s="8">
        <v>3.2000000000000001E-2</v>
      </c>
      <c r="F624">
        <v>2.2466840691818302</v>
      </c>
      <c r="G624">
        <f t="shared" si="49"/>
        <v>2.4145482013367841</v>
      </c>
      <c r="H624">
        <f t="shared" si="51"/>
        <v>4.0455607213414346E-3</v>
      </c>
      <c r="I624">
        <f t="shared" si="50"/>
        <v>1</v>
      </c>
      <c r="J624">
        <f t="shared" si="52"/>
        <v>4</v>
      </c>
      <c r="K624">
        <v>1.07863598465919E-2</v>
      </c>
      <c r="L624">
        <v>7.9967863857746003E-3</v>
      </c>
      <c r="M624">
        <v>2.2625031173229E-3</v>
      </c>
      <c r="N624">
        <v>-6.8725198507308899E-3</v>
      </c>
      <c r="O624">
        <f t="shared" si="53"/>
        <v>-2.9260892421007004E-3</v>
      </c>
    </row>
    <row r="625" spans="1:15" x14ac:dyDescent="0.35">
      <c r="A625" t="s">
        <v>46</v>
      </c>
      <c r="B625">
        <v>2018</v>
      </c>
      <c r="C625">
        <v>2112673</v>
      </c>
      <c r="D625" s="8">
        <v>0.932137191295624</v>
      </c>
      <c r="E625" s="8">
        <v>2.8000000000000001E-2</v>
      </c>
      <c r="F625">
        <v>2.2050221785295601</v>
      </c>
      <c r="G625">
        <f t="shared" si="49"/>
        <v>2.3655554130016951</v>
      </c>
      <c r="H625">
        <f t="shared" si="51"/>
        <v>-2.0290664857286589E-2</v>
      </c>
      <c r="I625">
        <f t="shared" si="50"/>
        <v>0</v>
      </c>
      <c r="J625">
        <f t="shared" si="52"/>
        <v>3</v>
      </c>
      <c r="K625">
        <v>2.2625031173229E-3</v>
      </c>
      <c r="L625">
        <v>-6.8725198507308899E-3</v>
      </c>
      <c r="M625">
        <v>1.7801194608211501E-2</v>
      </c>
      <c r="N625">
        <v>0</v>
      </c>
      <c r="O625">
        <f t="shared" si="53"/>
        <v>-1.2992307543754418E-3</v>
      </c>
    </row>
    <row r="626" spans="1:15" x14ac:dyDescent="0.35">
      <c r="A626" t="s">
        <v>46</v>
      </c>
      <c r="B626">
        <v>2019</v>
      </c>
      <c r="C626">
        <v>2131431</v>
      </c>
      <c r="D626" s="8">
        <v>0.93043911457061801</v>
      </c>
      <c r="E626" s="8">
        <v>0.02</v>
      </c>
      <c r="F626">
        <v>2.2608029253370598</v>
      </c>
      <c r="G626">
        <f t="shared" si="49"/>
        <v>2.4298236068680135</v>
      </c>
      <c r="H626">
        <f t="shared" si="51"/>
        <v>2.7168331594805917E-2</v>
      </c>
      <c r="I626">
        <f t="shared" si="50"/>
        <v>1</v>
      </c>
      <c r="J626" t="str">
        <f t="shared" si="52"/>
        <v/>
      </c>
      <c r="K626">
        <v>1.7801194608211501E-2</v>
      </c>
      <c r="L626">
        <v>0</v>
      </c>
      <c r="M626">
        <v>2.0999001443386098E-2</v>
      </c>
      <c r="N626">
        <v>2.1498110145330902E-3</v>
      </c>
      <c r="O626">
        <f t="shared" si="53"/>
        <v>1.4659328386187581E-3</v>
      </c>
    </row>
    <row r="627" spans="1:15" x14ac:dyDescent="0.35">
      <c r="A627" t="s">
        <v>46</v>
      </c>
      <c r="B627">
        <v>2020</v>
      </c>
      <c r="C627">
        <v>2143346</v>
      </c>
      <c r="D627" s="8">
        <v>0.930295050144196</v>
      </c>
      <c r="E627" s="8">
        <v>3.5000000000000003E-2</v>
      </c>
      <c r="F627">
        <v>2.1945043032217901</v>
      </c>
      <c r="G627">
        <f t="shared" si="49"/>
        <v>2.358933655383463</v>
      </c>
      <c r="H627">
        <f t="shared" si="51"/>
        <v>-2.9174937342849372E-2</v>
      </c>
      <c r="I627">
        <f t="shared" si="50"/>
        <v>0</v>
      </c>
      <c r="J627" t="str">
        <f t="shared" si="52"/>
        <v/>
      </c>
      <c r="K627">
        <v>2.0999001443386098E-2</v>
      </c>
      <c r="L627">
        <v>2.1498110145330902E-3</v>
      </c>
      <c r="M627">
        <v>2.5069227695465102E-2</v>
      </c>
      <c r="N627">
        <v>-1.8520385026931801E-2</v>
      </c>
      <c r="O627">
        <f t="shared" si="53"/>
        <v>1.53911719098686E-3</v>
      </c>
    </row>
    <row r="628" spans="1:15" x14ac:dyDescent="0.35">
      <c r="A628" t="s">
        <v>46</v>
      </c>
      <c r="B628">
        <v>2021</v>
      </c>
      <c r="C628">
        <v>2152443</v>
      </c>
      <c r="D628" s="8">
        <v>0.94475859403610196</v>
      </c>
      <c r="E628" s="8">
        <v>3.2000000000000001E-2</v>
      </c>
      <c r="F628">
        <v>2.2904791048757902</v>
      </c>
      <c r="G628">
        <f t="shared" si="49"/>
        <v>2.4244067419282604</v>
      </c>
      <c r="H628">
        <f t="shared" si="51"/>
        <v>2.7755374296083879E-2</v>
      </c>
      <c r="I628">
        <f t="shared" si="50"/>
        <v>1</v>
      </c>
      <c r="J628" t="str">
        <f t="shared" si="52"/>
        <v/>
      </c>
      <c r="K628">
        <v>2.5069227695465102E-2</v>
      </c>
      <c r="L628">
        <v>-1.8520385026931801E-2</v>
      </c>
      <c r="M628">
        <v>-2.3490859121084201E-2</v>
      </c>
      <c r="N628">
        <v>8.6126476526261E-3</v>
      </c>
      <c r="O628">
        <f t="shared" si="53"/>
        <v>4.6386403031647098E-3</v>
      </c>
    </row>
    <row r="629" spans="1:15" x14ac:dyDescent="0.35">
      <c r="A629" t="s">
        <v>46</v>
      </c>
      <c r="B629">
        <v>2022</v>
      </c>
      <c r="C629">
        <v>2175061</v>
      </c>
      <c r="D629" s="8">
        <v>0.93456530570983898</v>
      </c>
      <c r="E629" s="8">
        <v>2.3E-2</v>
      </c>
      <c r="F629">
        <v>2.1128523468287601</v>
      </c>
      <c r="G629">
        <f t="shared" si="49"/>
        <v>2.2607862007288682</v>
      </c>
      <c r="H629">
        <f t="shared" si="51"/>
        <v>-6.7488898776636885E-2</v>
      </c>
      <c r="I629">
        <f t="shared" si="50"/>
        <v>0</v>
      </c>
      <c r="J629" t="str">
        <f t="shared" si="52"/>
        <v/>
      </c>
      <c r="K629">
        <v>-2.3490859121084201E-2</v>
      </c>
      <c r="L629">
        <v>9.0913511812686903E-3</v>
      </c>
      <c r="M629">
        <v>-1.8297155186533898E-2</v>
      </c>
      <c r="N629">
        <v>1.2617725878954001E-3</v>
      </c>
      <c r="O629">
        <f t="shared" si="53"/>
        <v>1.8106330418959041E-3</v>
      </c>
    </row>
    <row r="630" spans="1:15" x14ac:dyDescent="0.35">
      <c r="A630" t="s">
        <v>47</v>
      </c>
      <c r="B630">
        <v>2006</v>
      </c>
      <c r="C630">
        <v>419725.59375</v>
      </c>
      <c r="D630" s="8">
        <v>0.94655197858810403</v>
      </c>
      <c r="E630" s="8">
        <v>3.3000000000000002E-2</v>
      </c>
      <c r="F630">
        <v>2.46893016093594</v>
      </c>
      <c r="G630">
        <f t="shared" si="49"/>
        <v>2.6083408167596311</v>
      </c>
      <c r="H630">
        <f t="shared" si="51"/>
        <v>0.15373174868048678</v>
      </c>
      <c r="I630">
        <f t="shared" si="50"/>
        <v>1</v>
      </c>
      <c r="J630" t="str">
        <f t="shared" si="52"/>
        <v/>
      </c>
      <c r="K630">
        <v>7.3419004976748997E-3</v>
      </c>
      <c r="L630">
        <v>9.78861004114102E-4</v>
      </c>
      <c r="M630">
        <v>1.29040620326995E-2</v>
      </c>
      <c r="N630">
        <v>1.3825817964971E-2</v>
      </c>
      <c r="O630" t="str">
        <f t="shared" si="53"/>
        <v/>
      </c>
    </row>
    <row r="631" spans="1:15" x14ac:dyDescent="0.35">
      <c r="A631" t="s">
        <v>47</v>
      </c>
      <c r="B631">
        <v>2007</v>
      </c>
      <c r="C631">
        <v>421094.5</v>
      </c>
      <c r="D631" s="8">
        <v>0.95404928922653198</v>
      </c>
      <c r="E631" s="8">
        <v>1.7000000000000001E-2</v>
      </c>
      <c r="F631">
        <v>2.4257339441034098</v>
      </c>
      <c r="G631">
        <f t="shared" si="49"/>
        <v>2.5425666907314652</v>
      </c>
      <c r="H631">
        <f t="shared" si="51"/>
        <v>-2.5216844978823705E-2</v>
      </c>
      <c r="I631">
        <f t="shared" si="50"/>
        <v>0</v>
      </c>
      <c r="J631" t="str">
        <f t="shared" si="52"/>
        <v/>
      </c>
      <c r="K631">
        <v>1.29040620326995E-2</v>
      </c>
      <c r="L631">
        <v>1.3825817964971E-2</v>
      </c>
      <c r="M631">
        <v>-2.69950715005398E-2</v>
      </c>
      <c r="N631">
        <v>2.5157327763736001E-3</v>
      </c>
      <c r="O631" t="str">
        <f t="shared" si="53"/>
        <v/>
      </c>
    </row>
    <row r="632" spans="1:15" x14ac:dyDescent="0.35">
      <c r="A632" t="s">
        <v>47</v>
      </c>
      <c r="B632">
        <v>2008</v>
      </c>
      <c r="C632">
        <v>424209.5</v>
      </c>
      <c r="D632" s="8">
        <v>0.94696635007858299</v>
      </c>
      <c r="E632" s="8">
        <v>1.4E-2</v>
      </c>
      <c r="F632">
        <v>2.5146455436516901</v>
      </c>
      <c r="G632">
        <f t="shared" si="49"/>
        <v>2.6554750793869446</v>
      </c>
      <c r="H632">
        <f t="shared" si="51"/>
        <v>4.4407247631721658E-2</v>
      </c>
      <c r="I632">
        <f t="shared" si="50"/>
        <v>1</v>
      </c>
      <c r="J632" t="str">
        <f t="shared" si="52"/>
        <v/>
      </c>
      <c r="K632">
        <v>-2.69950715005398E-2</v>
      </c>
      <c r="L632">
        <v>2.5157327763736001E-3</v>
      </c>
      <c r="M632">
        <v>-2.95894711315632E-2</v>
      </c>
      <c r="N632">
        <v>-3.0227694660425498E-3</v>
      </c>
      <c r="O632" t="str">
        <f t="shared" si="53"/>
        <v/>
      </c>
    </row>
    <row r="633" spans="1:15" x14ac:dyDescent="0.35">
      <c r="A633" t="s">
        <v>47</v>
      </c>
      <c r="B633">
        <v>2009</v>
      </c>
      <c r="C633">
        <v>427390.5</v>
      </c>
      <c r="D633" s="8">
        <v>0.93359786272048995</v>
      </c>
      <c r="E633" s="8">
        <v>1.4999999999999999E-2</v>
      </c>
      <c r="F633">
        <v>2.4866616285660301</v>
      </c>
      <c r="G633">
        <f t="shared" si="49"/>
        <v>2.6635254083807949</v>
      </c>
      <c r="H633">
        <f t="shared" si="51"/>
        <v>3.0315965140628176E-3</v>
      </c>
      <c r="I633">
        <f t="shared" si="50"/>
        <v>1</v>
      </c>
      <c r="J633" t="str">
        <f t="shared" si="52"/>
        <v/>
      </c>
      <c r="K633">
        <v>-2.95894711315632E-2</v>
      </c>
      <c r="L633">
        <v>-3.0227694660425498E-3</v>
      </c>
      <c r="M633">
        <v>-1.4987497412599599E-2</v>
      </c>
      <c r="N633">
        <v>-5.5273886537179299E-3</v>
      </c>
      <c r="O633" t="str">
        <f t="shared" si="53"/>
        <v/>
      </c>
    </row>
    <row r="634" spans="1:15" x14ac:dyDescent="0.35">
      <c r="A634" t="s">
        <v>47</v>
      </c>
      <c r="B634">
        <v>2010</v>
      </c>
      <c r="C634">
        <v>428254</v>
      </c>
      <c r="D634" s="8">
        <v>0.94062787294387795</v>
      </c>
      <c r="E634" s="8">
        <v>1E-3</v>
      </c>
      <c r="F634">
        <v>2.61235210030484</v>
      </c>
      <c r="G634">
        <f t="shared" si="49"/>
        <v>2.7772429198052317</v>
      </c>
      <c r="H634">
        <f t="shared" si="51"/>
        <v>4.2694359538161031E-2</v>
      </c>
      <c r="I634">
        <f t="shared" si="50"/>
        <v>1</v>
      </c>
      <c r="J634">
        <f t="shared" si="52"/>
        <v>4</v>
      </c>
      <c r="K634">
        <v>-1.4987497412599599E-2</v>
      </c>
      <c r="L634">
        <v>-5.5273886537179299E-3</v>
      </c>
      <c r="M634">
        <v>-1.9867749296128698E-2</v>
      </c>
      <c r="N634">
        <v>1.4160252176225901E-3</v>
      </c>
      <c r="O634">
        <f t="shared" si="53"/>
        <v>1.0959676001220959E-2</v>
      </c>
    </row>
    <row r="635" spans="1:15" x14ac:dyDescent="0.35">
      <c r="A635" t="s">
        <v>47</v>
      </c>
      <c r="B635">
        <v>2011</v>
      </c>
      <c r="C635">
        <v>431146.09375</v>
      </c>
      <c r="D635" s="8">
        <v>0.94185358285903897</v>
      </c>
      <c r="E635" s="8">
        <v>1E-3</v>
      </c>
      <c r="F635">
        <v>2.5255809428057101</v>
      </c>
      <c r="G635">
        <f t="shared" si="49"/>
        <v>2.6815005949642359</v>
      </c>
      <c r="H635">
        <f t="shared" si="51"/>
        <v>-3.4473874848409136E-2</v>
      </c>
      <c r="I635">
        <f t="shared" si="50"/>
        <v>0</v>
      </c>
      <c r="J635">
        <f t="shared" si="52"/>
        <v>3</v>
      </c>
      <c r="K635">
        <v>-1.9867749296128698E-2</v>
      </c>
      <c r="L635">
        <v>1.4160252176225901E-3</v>
      </c>
      <c r="M635">
        <v>1.3890767186879999E-2</v>
      </c>
      <c r="N635">
        <v>1.9328973256051499E-2</v>
      </c>
      <c r="O635">
        <f t="shared" si="53"/>
        <v>3.3824751153588408E-3</v>
      </c>
    </row>
    <row r="636" spans="1:15" x14ac:dyDescent="0.35">
      <c r="A636" t="s">
        <v>47</v>
      </c>
      <c r="B636">
        <v>2012</v>
      </c>
      <c r="C636">
        <v>436269.40625</v>
      </c>
      <c r="D636" s="8">
        <v>0.94299453496932995</v>
      </c>
      <c r="E636" s="8">
        <v>0</v>
      </c>
      <c r="F636">
        <v>2.5030939548881399</v>
      </c>
      <c r="G636">
        <f t="shared" si="49"/>
        <v>2.6544098211232483</v>
      </c>
      <c r="H636">
        <f t="shared" si="51"/>
        <v>-1.0102840883892794E-2</v>
      </c>
      <c r="I636">
        <f t="shared" si="50"/>
        <v>0</v>
      </c>
      <c r="J636">
        <f t="shared" si="52"/>
        <v>3</v>
      </c>
      <c r="K636">
        <v>1.3890767186879999E-2</v>
      </c>
      <c r="L636">
        <v>1.9243374466895901E-2</v>
      </c>
      <c r="M636">
        <v>3.34835207462311E-2</v>
      </c>
      <c r="N636">
        <v>2.73567494004965E-2</v>
      </c>
      <c r="O636">
        <f t="shared" si="53"/>
        <v>-3.1354904174804173E-3</v>
      </c>
    </row>
    <row r="637" spans="1:15" x14ac:dyDescent="0.35">
      <c r="A637" t="s">
        <v>47</v>
      </c>
      <c r="B637">
        <v>2013</v>
      </c>
      <c r="C637">
        <v>441369.375</v>
      </c>
      <c r="D637" s="8">
        <v>0.932911276817322</v>
      </c>
      <c r="E637" s="8">
        <v>8.9999999999999993E-3</v>
      </c>
      <c r="F637">
        <v>2.58642020659153</v>
      </c>
      <c r="G637">
        <f t="shared" si="49"/>
        <v>2.7724182040281948</v>
      </c>
      <c r="H637">
        <f t="shared" si="51"/>
        <v>4.4457484283647597E-2</v>
      </c>
      <c r="I637">
        <f t="shared" si="50"/>
        <v>1</v>
      </c>
      <c r="J637">
        <f t="shared" si="52"/>
        <v>3</v>
      </c>
      <c r="K637">
        <v>3.34835207462311E-2</v>
      </c>
      <c r="L637">
        <v>2.73567494004965E-2</v>
      </c>
      <c r="M637">
        <v>1.37107789665461E-2</v>
      </c>
      <c r="N637">
        <v>1.17027554661035E-2</v>
      </c>
      <c r="O637">
        <f t="shared" si="53"/>
        <v>-1.1505820974707539E-2</v>
      </c>
    </row>
    <row r="638" spans="1:15" x14ac:dyDescent="0.35">
      <c r="A638" t="s">
        <v>47</v>
      </c>
      <c r="B638">
        <v>2014</v>
      </c>
      <c r="C638">
        <v>445445.71875</v>
      </c>
      <c r="D638" s="8">
        <v>0.92731595039367698</v>
      </c>
      <c r="E638" s="8">
        <v>2.4E-2</v>
      </c>
      <c r="F638">
        <v>2.5308702425995899</v>
      </c>
      <c r="G638">
        <f t="shared" si="49"/>
        <v>2.729242650819443</v>
      </c>
      <c r="H638">
        <f t="shared" si="51"/>
        <v>-1.5573246902656934E-2</v>
      </c>
      <c r="I638">
        <f t="shared" si="50"/>
        <v>0</v>
      </c>
      <c r="J638">
        <f t="shared" si="52"/>
        <v>2</v>
      </c>
      <c r="K638">
        <v>1.37107789665461E-2</v>
      </c>
      <c r="L638">
        <v>1.17027554661035E-2</v>
      </c>
      <c r="M638">
        <v>2.5257328689098399E-2</v>
      </c>
      <c r="N638">
        <v>-5.0061233341692898E-3</v>
      </c>
      <c r="O638">
        <f t="shared" si="53"/>
        <v>-1.2542732805013579E-2</v>
      </c>
    </row>
    <row r="639" spans="1:15" x14ac:dyDescent="0.35">
      <c r="A639" t="s">
        <v>47</v>
      </c>
      <c r="B639">
        <v>2015</v>
      </c>
      <c r="C639">
        <v>448477.125</v>
      </c>
      <c r="D639" s="8">
        <v>0.92689043283462502</v>
      </c>
      <c r="E639" s="8">
        <v>1.2999999999999999E-2</v>
      </c>
      <c r="F639">
        <v>2.46939142710827</v>
      </c>
      <c r="G639">
        <f t="shared" si="49"/>
        <v>2.6641675646131699</v>
      </c>
      <c r="H639">
        <f t="shared" si="51"/>
        <v>-2.3843642552901834E-2</v>
      </c>
      <c r="I639">
        <f t="shared" si="50"/>
        <v>0</v>
      </c>
      <c r="J639">
        <f t="shared" si="52"/>
        <v>1</v>
      </c>
      <c r="K639">
        <v>2.5257328689098399E-2</v>
      </c>
      <c r="L639">
        <v>-5.0061233341692898E-3</v>
      </c>
      <c r="M639">
        <v>-2.3316422209143602E-2</v>
      </c>
      <c r="N639">
        <v>-3.6469979211688E-2</v>
      </c>
      <c r="O639">
        <f t="shared" si="53"/>
        <v>-1.2489226832985824E-2</v>
      </c>
    </row>
    <row r="640" spans="1:15" x14ac:dyDescent="0.35">
      <c r="A640" t="s">
        <v>47</v>
      </c>
      <c r="B640">
        <v>2016</v>
      </c>
      <c r="C640">
        <v>448940.78125</v>
      </c>
      <c r="D640" s="8">
        <v>0.87910294532775901</v>
      </c>
      <c r="E640" s="8">
        <v>5.2999999999999999E-2</v>
      </c>
      <c r="F640">
        <v>2.5240050260066602</v>
      </c>
      <c r="G640">
        <f t="shared" si="49"/>
        <v>2.8711142869230484</v>
      </c>
      <c r="H640">
        <f t="shared" si="51"/>
        <v>7.7677817663817539E-2</v>
      </c>
      <c r="I640">
        <f t="shared" si="50"/>
        <v>1</v>
      </c>
      <c r="J640">
        <f t="shared" si="52"/>
        <v>2</v>
      </c>
      <c r="K640">
        <v>-2.3316422209143602E-2</v>
      </c>
      <c r="L640">
        <v>-3.6469979211688E-2</v>
      </c>
      <c r="M640">
        <v>-1.04712809473276E-2</v>
      </c>
      <c r="N640">
        <v>-1.32608544081448E-2</v>
      </c>
      <c r="O640">
        <f t="shared" si="53"/>
        <v>-9.425903111696202E-3</v>
      </c>
    </row>
    <row r="641" spans="1:15" x14ac:dyDescent="0.35">
      <c r="A641" t="s">
        <v>47</v>
      </c>
      <c r="B641">
        <v>2017</v>
      </c>
      <c r="C641">
        <v>447383.5</v>
      </c>
      <c r="D641" s="8">
        <v>0.88354599475860596</v>
      </c>
      <c r="E641" s="8">
        <v>4.8000000000000001E-2</v>
      </c>
      <c r="F641">
        <v>2.5505075201896701</v>
      </c>
      <c r="G641">
        <f t="shared" si="49"/>
        <v>2.8866720412065199</v>
      </c>
      <c r="H641">
        <f t="shared" si="51"/>
        <v>5.4187164733676685E-3</v>
      </c>
      <c r="I641">
        <f t="shared" si="50"/>
        <v>1</v>
      </c>
      <c r="J641">
        <f t="shared" si="52"/>
        <v>3</v>
      </c>
      <c r="K641">
        <v>-1.04712809473276E-2</v>
      </c>
      <c r="L641">
        <v>-1.32608544081448E-2</v>
      </c>
      <c r="M641">
        <v>-5.3598804175854003E-3</v>
      </c>
      <c r="N641">
        <v>-1.44949033856391E-2</v>
      </c>
      <c r="O641">
        <f t="shared" si="53"/>
        <v>-1.1241660267114602E-2</v>
      </c>
    </row>
    <row r="642" spans="1:15" x14ac:dyDescent="0.35">
      <c r="A642" t="s">
        <v>47</v>
      </c>
      <c r="B642">
        <v>2018</v>
      </c>
      <c r="C642">
        <v>445187.90625</v>
      </c>
      <c r="D642" s="8">
        <v>0.88965350389480602</v>
      </c>
      <c r="E642" s="8">
        <v>1.4999999999999999E-2</v>
      </c>
      <c r="F642">
        <v>2.5253548127763499</v>
      </c>
      <c r="G642">
        <f t="shared" si="49"/>
        <v>2.8385824388041208</v>
      </c>
      <c r="H642">
        <f t="shared" si="51"/>
        <v>-1.6659184595940291E-2</v>
      </c>
      <c r="I642">
        <f t="shared" si="50"/>
        <v>0</v>
      </c>
      <c r="J642">
        <f t="shared" si="52"/>
        <v>2</v>
      </c>
      <c r="K642">
        <v>-5.3598804175854003E-3</v>
      </c>
      <c r="L642">
        <v>-1.44949033856391E-2</v>
      </c>
      <c r="M642">
        <v>2.43193909227848E-2</v>
      </c>
      <c r="N642">
        <v>6.5181963145732897E-3</v>
      </c>
      <c r="O642">
        <f t="shared" si="53"/>
        <v>-1.1693268828093982E-2</v>
      </c>
    </row>
    <row r="643" spans="1:15" x14ac:dyDescent="0.35">
      <c r="A643" t="s">
        <v>47</v>
      </c>
      <c r="B643">
        <v>2019</v>
      </c>
      <c r="C643">
        <v>445149</v>
      </c>
      <c r="D643" s="8">
        <v>0.87947803735732999</v>
      </c>
      <c r="E643" s="8">
        <v>2.1000000000000001E-2</v>
      </c>
      <c r="F643">
        <v>2.41515388268455</v>
      </c>
      <c r="G643">
        <f t="shared" ref="G643:G706" si="54">F643/D643</f>
        <v>2.7461218814987625</v>
      </c>
      <c r="H643">
        <f t="shared" si="51"/>
        <v>-3.2572792687434293E-2</v>
      </c>
      <c r="I643">
        <f t="shared" ref="I643:I706" si="55">IF(H643&gt;0,1,0)</f>
        <v>0</v>
      </c>
      <c r="J643" t="str">
        <f t="shared" si="52"/>
        <v/>
      </c>
      <c r="K643">
        <v>2.43193909227848E-2</v>
      </c>
      <c r="L643">
        <v>6.5181963145732897E-3</v>
      </c>
      <c r="M643">
        <v>1.41105969548224E-2</v>
      </c>
      <c r="N643">
        <v>-4.7385934740304999E-3</v>
      </c>
      <c r="O643">
        <f t="shared" si="53"/>
        <v>-1.3877102732658362E-2</v>
      </c>
    </row>
    <row r="644" spans="1:15" x14ac:dyDescent="0.35">
      <c r="A644" t="s">
        <v>47</v>
      </c>
      <c r="B644">
        <v>2020</v>
      </c>
      <c r="C644">
        <v>446738.71875</v>
      </c>
      <c r="D644" s="8">
        <v>0.88450086116790805</v>
      </c>
      <c r="E644" s="8">
        <v>3.1E-2</v>
      </c>
      <c r="F644">
        <v>2.22099767981438</v>
      </c>
      <c r="G644">
        <f t="shared" si="54"/>
        <v>2.5110181089951022</v>
      </c>
      <c r="H644">
        <f t="shared" ref="H644:H707" si="56">+G644/G643-1</f>
        <v>-8.5613014516073394E-2</v>
      </c>
      <c r="I644">
        <f t="shared" si="55"/>
        <v>0</v>
      </c>
      <c r="J644" t="str">
        <f t="shared" si="52"/>
        <v/>
      </c>
      <c r="K644">
        <v>1.41105969548224E-2</v>
      </c>
      <c r="L644">
        <v>-4.7385934740304999E-3</v>
      </c>
      <c r="M644">
        <v>2.2436252117156899E-2</v>
      </c>
      <c r="N644">
        <v>-2.1153360605239899E-2</v>
      </c>
      <c r="O644">
        <f t="shared" si="53"/>
        <v>-1.0920578334480499E-2</v>
      </c>
    </row>
    <row r="645" spans="1:15" x14ac:dyDescent="0.35">
      <c r="A645" t="s">
        <v>47</v>
      </c>
      <c r="B645">
        <v>2021</v>
      </c>
      <c r="C645">
        <v>447505.40625</v>
      </c>
      <c r="D645" s="8">
        <v>0.88639670610427901</v>
      </c>
      <c r="E645" s="8">
        <v>1.0999999999999999E-2</v>
      </c>
      <c r="F645">
        <v>2.4018787334310501</v>
      </c>
      <c r="G645">
        <f t="shared" si="54"/>
        <v>2.7097108065612376</v>
      </c>
      <c r="H645">
        <f t="shared" si="56"/>
        <v>7.91283411514907E-2</v>
      </c>
      <c r="I645">
        <f t="shared" si="55"/>
        <v>1</v>
      </c>
      <c r="J645" t="str">
        <f t="shared" si="52"/>
        <v/>
      </c>
      <c r="K645">
        <v>2.2436252117156899E-2</v>
      </c>
      <c r="L645">
        <v>-2.1153360605239899E-2</v>
      </c>
      <c r="M645">
        <v>-5.4443146958947197E-2</v>
      </c>
      <c r="N645">
        <v>-2.2339640185236799E-2</v>
      </c>
      <c r="O645">
        <f t="shared" si="53"/>
        <v>-5.0287225283682097E-3</v>
      </c>
    </row>
    <row r="646" spans="1:15" x14ac:dyDescent="0.35">
      <c r="A646" t="s">
        <v>47</v>
      </c>
      <c r="B646">
        <v>2022</v>
      </c>
      <c r="C646">
        <v>447262.3125</v>
      </c>
      <c r="D646" s="8">
        <v>0.86041247844696001</v>
      </c>
      <c r="E646" s="8">
        <v>0.02</v>
      </c>
      <c r="F646">
        <v>2.3524694619712099</v>
      </c>
      <c r="G646">
        <f t="shared" si="54"/>
        <v>2.7341182524658461</v>
      </c>
      <c r="H646">
        <f t="shared" si="56"/>
        <v>9.0073988137437944E-3</v>
      </c>
      <c r="I646">
        <f t="shared" si="55"/>
        <v>1</v>
      </c>
      <c r="J646" t="str">
        <f t="shared" si="52"/>
        <v/>
      </c>
      <c r="K646">
        <v>-5.4443146958947197E-2</v>
      </c>
      <c r="L646">
        <v>-2.18609366565942E-2</v>
      </c>
      <c r="M646">
        <v>-3.6311873964965297E-2</v>
      </c>
      <c r="N646">
        <v>-1.6752946190536001E-2</v>
      </c>
      <c r="O646">
        <f t="shared" si="53"/>
        <v>-1.2127730064094085E-3</v>
      </c>
    </row>
    <row r="647" spans="1:15" x14ac:dyDescent="0.35">
      <c r="A647" t="s">
        <v>48</v>
      </c>
      <c r="B647">
        <v>2006</v>
      </c>
      <c r="C647">
        <v>5977207</v>
      </c>
      <c r="D647" s="8">
        <v>0.91037452220916704</v>
      </c>
      <c r="E647" s="8">
        <v>1.4999999999999999E-2</v>
      </c>
      <c r="F647">
        <v>2.3710766517584001</v>
      </c>
      <c r="G647">
        <f t="shared" si="54"/>
        <v>2.6045068199015602</v>
      </c>
      <c r="H647">
        <f t="shared" si="56"/>
        <v>-4.7405203651082695E-2</v>
      </c>
      <c r="I647">
        <f t="shared" si="55"/>
        <v>0</v>
      </c>
      <c r="J647" t="str">
        <f t="shared" ref="J647:J710" si="57">IF(AND(B647&gt;=2010,B647&lt;=2018),SUM(I643:I647),"")</f>
        <v/>
      </c>
      <c r="K647">
        <v>-1.04568790346384E-2</v>
      </c>
      <c r="L647">
        <v>-1.6819918528199199E-2</v>
      </c>
      <c r="M647">
        <v>-5.3227291405200999E-3</v>
      </c>
      <c r="N647">
        <v>-4.4009732082485997E-3</v>
      </c>
      <c r="O647" t="str">
        <f t="shared" ref="O647:O710" si="58">IF(B647&gt;=2010,AVERAGE(N647:N651),"")</f>
        <v/>
      </c>
    </row>
    <row r="648" spans="1:15" x14ac:dyDescent="0.35">
      <c r="A648" t="s">
        <v>48</v>
      </c>
      <c r="B648">
        <v>2007</v>
      </c>
      <c r="C648">
        <v>6114168</v>
      </c>
      <c r="D648" s="8">
        <v>0.91610741615295399</v>
      </c>
      <c r="E648" s="8">
        <v>1.0999999999999999E-2</v>
      </c>
      <c r="F648">
        <v>2.40405404882353</v>
      </c>
      <c r="G648">
        <f t="shared" si="54"/>
        <v>2.6242054222407334</v>
      </c>
      <c r="H648">
        <f t="shared" si="56"/>
        <v>7.563275391967661E-3</v>
      </c>
      <c r="I648">
        <f t="shared" si="55"/>
        <v>1</v>
      </c>
      <c r="J648" t="str">
        <f t="shared" si="57"/>
        <v/>
      </c>
      <c r="K648">
        <v>-5.3227291405200999E-3</v>
      </c>
      <c r="L648">
        <v>-4.4009732082485997E-3</v>
      </c>
      <c r="M648">
        <v>-1.9466775760054501E-2</v>
      </c>
      <c r="N648">
        <v>1.0044028516858801E-2</v>
      </c>
      <c r="O648" t="str">
        <f t="shared" si="58"/>
        <v/>
      </c>
    </row>
    <row r="649" spans="1:15" x14ac:dyDescent="0.35">
      <c r="A649" t="s">
        <v>48</v>
      </c>
      <c r="B649">
        <v>2008</v>
      </c>
      <c r="C649">
        <v>6244037</v>
      </c>
      <c r="D649" s="8">
        <v>0.90790957212448098</v>
      </c>
      <c r="E649" s="8">
        <v>2.7E-2</v>
      </c>
      <c r="F649">
        <v>2.4052034519470098</v>
      </c>
      <c r="G649">
        <f t="shared" si="54"/>
        <v>2.6491663110445089</v>
      </c>
      <c r="H649">
        <f t="shared" si="56"/>
        <v>9.5117892037819285E-3</v>
      </c>
      <c r="I649">
        <f t="shared" si="55"/>
        <v>1</v>
      </c>
      <c r="J649" t="str">
        <f t="shared" si="57"/>
        <v/>
      </c>
      <c r="K649">
        <v>-1.9466775760054501E-2</v>
      </c>
      <c r="L649">
        <v>1.0044028516858801E-2</v>
      </c>
      <c r="M649">
        <v>-1.8260783240199099E-2</v>
      </c>
      <c r="N649">
        <v>8.3059184253215495E-3</v>
      </c>
      <c r="O649" t="str">
        <f t="shared" si="58"/>
        <v/>
      </c>
    </row>
    <row r="650" spans="1:15" x14ac:dyDescent="0.35">
      <c r="A650" t="s">
        <v>48</v>
      </c>
      <c r="B650">
        <v>2009</v>
      </c>
      <c r="C650">
        <v>6369491</v>
      </c>
      <c r="D650" s="8">
        <v>0.89640682935714699</v>
      </c>
      <c r="E650" s="8">
        <v>2.1000000000000001E-2</v>
      </c>
      <c r="F650">
        <v>2.43298589600938</v>
      </c>
      <c r="G650">
        <f t="shared" si="54"/>
        <v>2.7141536814865432</v>
      </c>
      <c r="H650">
        <f t="shared" si="56"/>
        <v>2.453125353855623E-2</v>
      </c>
      <c r="I650">
        <f t="shared" si="55"/>
        <v>1</v>
      </c>
      <c r="J650" t="str">
        <f t="shared" si="57"/>
        <v/>
      </c>
      <c r="K650">
        <v>-1.8260783240199099E-2</v>
      </c>
      <c r="L650">
        <v>8.3059184253215495E-3</v>
      </c>
      <c r="M650">
        <v>-1.27200013343244E-2</v>
      </c>
      <c r="N650">
        <v>-3.2598925754427901E-3</v>
      </c>
      <c r="O650" t="str">
        <f t="shared" si="58"/>
        <v/>
      </c>
    </row>
    <row r="651" spans="1:15" x14ac:dyDescent="0.35">
      <c r="A651" t="s">
        <v>48</v>
      </c>
      <c r="B651">
        <v>2010</v>
      </c>
      <c r="C651">
        <v>6480242</v>
      </c>
      <c r="D651" s="8">
        <v>0.90726590156555198</v>
      </c>
      <c r="E651" s="8">
        <v>2E-3</v>
      </c>
      <c r="F651">
        <v>2.4270594830672398</v>
      </c>
      <c r="G651">
        <f t="shared" si="54"/>
        <v>2.6751357886140941</v>
      </c>
      <c r="H651">
        <f t="shared" si="56"/>
        <v>-1.4375712450843681E-2</v>
      </c>
      <c r="I651">
        <f t="shared" si="55"/>
        <v>0</v>
      </c>
      <c r="J651">
        <f t="shared" si="57"/>
        <v>3</v>
      </c>
      <c r="K651">
        <v>-1.27200013343244E-2</v>
      </c>
      <c r="L651">
        <v>-3.2598925754427901E-3</v>
      </c>
      <c r="M651">
        <v>-1.3337757781147999E-2</v>
      </c>
      <c r="N651">
        <v>7.9460167326032994E-3</v>
      </c>
      <c r="O651">
        <f t="shared" si="58"/>
        <v>1.2874978315085139E-2</v>
      </c>
    </row>
    <row r="652" spans="1:15" x14ac:dyDescent="0.35">
      <c r="A652" t="s">
        <v>48</v>
      </c>
      <c r="B652">
        <v>2011</v>
      </c>
      <c r="C652">
        <v>6598944</v>
      </c>
      <c r="D652" s="8">
        <v>0.91524916887283303</v>
      </c>
      <c r="E652" s="8">
        <v>4.0000000000000001E-3</v>
      </c>
      <c r="F652">
        <v>2.4288683236561202</v>
      </c>
      <c r="G652">
        <f t="shared" si="54"/>
        <v>2.6537782346717358</v>
      </c>
      <c r="H652">
        <f t="shared" si="56"/>
        <v>-7.9837270441598385E-3</v>
      </c>
      <c r="I652">
        <f t="shared" si="55"/>
        <v>0</v>
      </c>
      <c r="J652">
        <f t="shared" si="57"/>
        <v>3</v>
      </c>
      <c r="K652">
        <v>-1.3337757781147999E-2</v>
      </c>
      <c r="L652">
        <v>7.9460167326032994E-3</v>
      </c>
      <c r="M652">
        <v>5.0403100401162897E-3</v>
      </c>
      <c r="N652">
        <v>1.04785161092876E-2</v>
      </c>
      <c r="O652">
        <f t="shared" si="58"/>
        <v>1.2317372672259779E-2</v>
      </c>
    </row>
    <row r="653" spans="1:15" x14ac:dyDescent="0.35">
      <c r="A653" t="s">
        <v>48</v>
      </c>
      <c r="B653">
        <v>2012</v>
      </c>
      <c r="C653">
        <v>6725017</v>
      </c>
      <c r="D653" s="8">
        <v>0.92665570974349998</v>
      </c>
      <c r="E653" s="8">
        <v>1.2E-2</v>
      </c>
      <c r="F653">
        <v>2.446130639972</v>
      </c>
      <c r="G653">
        <f t="shared" si="54"/>
        <v>2.6397405360498922</v>
      </c>
      <c r="H653">
        <f t="shared" si="56"/>
        <v>-5.2897029745893054E-3</v>
      </c>
      <c r="I653">
        <f t="shared" si="55"/>
        <v>0</v>
      </c>
      <c r="J653">
        <f t="shared" si="57"/>
        <v>2</v>
      </c>
      <c r="K653">
        <v>5.0403100401162897E-3</v>
      </c>
      <c r="L653">
        <v>1.03929173201322E-2</v>
      </c>
      <c r="M653">
        <v>1.50708692520857E-2</v>
      </c>
      <c r="N653">
        <v>8.9440979063510999E-3</v>
      </c>
      <c r="O653">
        <f t="shared" si="58"/>
        <v>9.7707461565732998E-3</v>
      </c>
    </row>
    <row r="654" spans="1:15" x14ac:dyDescent="0.35">
      <c r="A654" t="s">
        <v>48</v>
      </c>
      <c r="B654">
        <v>2013</v>
      </c>
      <c r="C654">
        <v>6837534</v>
      </c>
      <c r="D654" s="8">
        <v>0.92609715461731001</v>
      </c>
      <c r="E654" s="8">
        <v>1.9E-2</v>
      </c>
      <c r="F654">
        <v>2.44471338946793</v>
      </c>
      <c r="G654">
        <f t="shared" si="54"/>
        <v>2.6398022899424154</v>
      </c>
      <c r="H654">
        <f t="shared" si="56"/>
        <v>2.3393925152825901E-5</v>
      </c>
      <c r="I654">
        <f t="shared" si="55"/>
        <v>1</v>
      </c>
      <c r="J654">
        <f t="shared" si="57"/>
        <v>2</v>
      </c>
      <c r="K654">
        <v>1.50708692520857E-2</v>
      </c>
      <c r="L654">
        <v>8.9440979063510999E-3</v>
      </c>
      <c r="M654">
        <v>1.31088912636041E-2</v>
      </c>
      <c r="N654">
        <v>1.11008677631616E-2</v>
      </c>
      <c r="O654">
        <f t="shared" si="58"/>
        <v>6.870800629258161E-3</v>
      </c>
    </row>
    <row r="655" spans="1:15" x14ac:dyDescent="0.35">
      <c r="A655" t="s">
        <v>48</v>
      </c>
      <c r="B655">
        <v>2014</v>
      </c>
      <c r="C655">
        <v>6976119</v>
      </c>
      <c r="D655" s="8">
        <v>0.92555284500122104</v>
      </c>
      <c r="E655" s="8">
        <v>2.1000000000000001E-2</v>
      </c>
      <c r="F655">
        <v>2.4469496869067</v>
      </c>
      <c r="G655">
        <f t="shared" si="54"/>
        <v>2.6437709095945481</v>
      </c>
      <c r="H655">
        <f t="shared" si="56"/>
        <v>1.503377607956935E-3</v>
      </c>
      <c r="I655">
        <f t="shared" si="55"/>
        <v>1</v>
      </c>
      <c r="J655">
        <f t="shared" si="57"/>
        <v>2</v>
      </c>
      <c r="K655">
        <v>1.31088912636041E-2</v>
      </c>
      <c r="L655">
        <v>1.11008677631616E-2</v>
      </c>
      <c r="M655">
        <v>5.6168845087289802E-2</v>
      </c>
      <c r="N655">
        <v>2.5905393064022099E-2</v>
      </c>
      <c r="O655">
        <f t="shared" si="58"/>
        <v>5.1894582808018003E-3</v>
      </c>
    </row>
    <row r="656" spans="1:15" x14ac:dyDescent="0.35">
      <c r="A656" t="s">
        <v>48</v>
      </c>
      <c r="B656">
        <v>2015</v>
      </c>
      <c r="C656">
        <v>7126653</v>
      </c>
      <c r="D656" s="8">
        <v>0.93227434158325195</v>
      </c>
      <c r="E656" s="8">
        <v>2.4E-2</v>
      </c>
      <c r="F656">
        <v>2.45450907551866</v>
      </c>
      <c r="G656">
        <f t="shared" si="54"/>
        <v>2.6328184377039112</v>
      </c>
      <c r="H656">
        <f t="shared" si="56"/>
        <v>-4.142746200470393E-3</v>
      </c>
      <c r="I656">
        <f t="shared" si="55"/>
        <v>0</v>
      </c>
      <c r="J656">
        <f t="shared" si="57"/>
        <v>2</v>
      </c>
      <c r="K656">
        <v>5.6168845087289802E-2</v>
      </c>
      <c r="L656">
        <v>2.5905393064022099E-2</v>
      </c>
      <c r="M656">
        <v>1.8311545521020899E-2</v>
      </c>
      <c r="N656">
        <v>5.1579885184765001E-3</v>
      </c>
      <c r="O656">
        <f t="shared" si="58"/>
        <v>-2.9694907367229201E-3</v>
      </c>
    </row>
    <row r="657" spans="1:15" x14ac:dyDescent="0.35">
      <c r="A657" t="s">
        <v>48</v>
      </c>
      <c r="B657">
        <v>2016</v>
      </c>
      <c r="C657">
        <v>7275681</v>
      </c>
      <c r="D657" s="8">
        <v>0.92544698715210005</v>
      </c>
      <c r="E657" s="8">
        <v>3.3000000000000002E-2</v>
      </c>
      <c r="F657">
        <v>2.4393163378001299</v>
      </c>
      <c r="G657">
        <f t="shared" si="54"/>
        <v>2.6358250355395243</v>
      </c>
      <c r="H657">
        <f t="shared" si="56"/>
        <v>1.1419693027656663E-3</v>
      </c>
      <c r="I657">
        <f t="shared" si="55"/>
        <v>1</v>
      </c>
      <c r="J657">
        <f t="shared" si="57"/>
        <v>3</v>
      </c>
      <c r="K657">
        <v>1.8311545521020899E-2</v>
      </c>
      <c r="L657">
        <v>5.1579885184765001E-3</v>
      </c>
      <c r="M657">
        <v>5.34956991672497E-4</v>
      </c>
      <c r="N657">
        <v>-2.2546164691447999E-3</v>
      </c>
      <c r="O657">
        <f t="shared" si="58"/>
        <v>5.1520273089409995E-3</v>
      </c>
    </row>
    <row r="658" spans="1:15" x14ac:dyDescent="0.35">
      <c r="A658" t="s">
        <v>48</v>
      </c>
      <c r="B658">
        <v>2017</v>
      </c>
      <c r="C658">
        <v>7410584</v>
      </c>
      <c r="D658" s="8">
        <v>0.91056931018829301</v>
      </c>
      <c r="E658" s="8">
        <v>0.04</v>
      </c>
      <c r="F658">
        <v>2.4053140623296501</v>
      </c>
      <c r="G658">
        <f t="shared" si="54"/>
        <v>2.6415496716359401</v>
      </c>
      <c r="H658">
        <f t="shared" si="56"/>
        <v>2.1718573953994902E-3</v>
      </c>
      <c r="I658">
        <f t="shared" si="55"/>
        <v>1</v>
      </c>
      <c r="J658">
        <f t="shared" si="57"/>
        <v>4</v>
      </c>
      <c r="K658">
        <v>5.34956991672497E-4</v>
      </c>
      <c r="L658">
        <v>-2.2546164691447999E-3</v>
      </c>
      <c r="M658">
        <v>3.5793932378292001E-3</v>
      </c>
      <c r="N658">
        <v>-5.5556297302245903E-3</v>
      </c>
      <c r="O658">
        <f t="shared" si="58"/>
        <v>4.9439951777459391E-3</v>
      </c>
    </row>
    <row r="659" spans="1:15" x14ac:dyDescent="0.35">
      <c r="A659" t="s">
        <v>48</v>
      </c>
      <c r="B659">
        <v>2018</v>
      </c>
      <c r="C659">
        <v>7528420</v>
      </c>
      <c r="D659" s="8">
        <v>0.911313116550446</v>
      </c>
      <c r="E659" s="8">
        <v>3.4000000000000002E-2</v>
      </c>
      <c r="F659">
        <v>2.3846052104511299</v>
      </c>
      <c r="G659">
        <f t="shared" si="54"/>
        <v>2.616669470837282</v>
      </c>
      <c r="H659">
        <f t="shared" si="56"/>
        <v>-9.418789684635942E-3</v>
      </c>
      <c r="I659">
        <f t="shared" si="55"/>
        <v>0</v>
      </c>
      <c r="J659">
        <f t="shared" si="57"/>
        <v>3</v>
      </c>
      <c r="K659">
        <v>3.5793932378292001E-3</v>
      </c>
      <c r="L659">
        <v>-5.5556297302245903E-3</v>
      </c>
      <c r="M659">
        <v>2.0495350629091299E-2</v>
      </c>
      <c r="N659">
        <v>2.6941560208797902E-3</v>
      </c>
      <c r="O659">
        <f t="shared" si="58"/>
        <v>3.7269853055597879E-5</v>
      </c>
    </row>
    <row r="660" spans="1:15" x14ac:dyDescent="0.35">
      <c r="A660" t="s">
        <v>48</v>
      </c>
      <c r="B660">
        <v>2019</v>
      </c>
      <c r="C660">
        <v>7646131</v>
      </c>
      <c r="D660" s="8">
        <v>0.91251081228256203</v>
      </c>
      <c r="E660" s="8">
        <v>3.5999999999999997E-2</v>
      </c>
      <c r="F660">
        <v>2.3666148747902298</v>
      </c>
      <c r="G660">
        <f t="shared" si="54"/>
        <v>2.5935198168998785</v>
      </c>
      <c r="H660">
        <f t="shared" si="56"/>
        <v>-8.8469920237942423E-3</v>
      </c>
      <c r="I660">
        <f t="shared" si="55"/>
        <v>0</v>
      </c>
      <c r="J660" t="str">
        <f t="shared" si="57"/>
        <v/>
      </c>
      <c r="K660">
        <v>2.0495350629091299E-2</v>
      </c>
      <c r="L660">
        <v>2.6941560208797902E-3</v>
      </c>
      <c r="M660">
        <v>3.9598384052514897E-3</v>
      </c>
      <c r="N660">
        <v>-1.4889352023601501E-2</v>
      </c>
      <c r="O660">
        <f t="shared" si="58"/>
        <v>-1.2903921306132201E-3</v>
      </c>
    </row>
    <row r="661" spans="1:15" x14ac:dyDescent="0.35">
      <c r="A661" t="s">
        <v>48</v>
      </c>
      <c r="B661">
        <v>2020</v>
      </c>
      <c r="C661">
        <v>7766493</v>
      </c>
      <c r="D661" s="8">
        <v>0.91099065542221103</v>
      </c>
      <c r="E661" s="8">
        <v>3.4000000000000002E-2</v>
      </c>
      <c r="F661">
        <v>2.2233878395784301</v>
      </c>
      <c r="G661">
        <f t="shared" si="54"/>
        <v>2.4406263953914773</v>
      </c>
      <c r="H661">
        <f t="shared" si="56"/>
        <v>-5.8952093025130603E-2</v>
      </c>
      <c r="I661">
        <f t="shared" si="55"/>
        <v>0</v>
      </c>
      <c r="J661" t="str">
        <f t="shared" si="57"/>
        <v/>
      </c>
      <c r="K661">
        <v>3.9598384052514897E-3</v>
      </c>
      <c r="L661">
        <v>-1.4889352023601501E-2</v>
      </c>
      <c r="M661">
        <v>8.9355191469193004E-2</v>
      </c>
      <c r="N661">
        <v>4.5765578746796098E-2</v>
      </c>
      <c r="O661">
        <f t="shared" si="58"/>
        <v>2.9986442066729999E-3</v>
      </c>
    </row>
    <row r="662" spans="1:15" x14ac:dyDescent="0.35">
      <c r="A662" t="s">
        <v>48</v>
      </c>
      <c r="B662">
        <v>2021</v>
      </c>
      <c r="C662">
        <v>7898458</v>
      </c>
      <c r="D662" s="8">
        <v>0.93935108184814498</v>
      </c>
      <c r="E662" s="8">
        <v>3.5999999999999997E-2</v>
      </c>
      <c r="F662">
        <v>2.2811788268955602</v>
      </c>
      <c r="G662">
        <f t="shared" si="54"/>
        <v>2.4284624470835863</v>
      </c>
      <c r="H662">
        <f t="shared" si="56"/>
        <v>-4.9839452408035889E-3</v>
      </c>
      <c r="I662">
        <f t="shared" si="55"/>
        <v>0</v>
      </c>
      <c r="J662" t="str">
        <f t="shared" si="57"/>
        <v/>
      </c>
      <c r="K662">
        <v>8.9355191469193004E-2</v>
      </c>
      <c r="L662">
        <v>4.5765578746796098E-2</v>
      </c>
      <c r="M662">
        <v>-3.5398283898830402E-2</v>
      </c>
      <c r="N662">
        <v>-3.2947771251201001E-3</v>
      </c>
      <c r="O662">
        <f t="shared" si="58"/>
        <v>-4.3733610771596503E-3</v>
      </c>
    </row>
    <row r="663" spans="1:15" x14ac:dyDescent="0.35">
      <c r="A663" t="s">
        <v>48</v>
      </c>
      <c r="B663">
        <v>2022</v>
      </c>
      <c r="C663">
        <v>8096734</v>
      </c>
      <c r="D663" s="8">
        <v>0.91536229848861705</v>
      </c>
      <c r="E663" s="8">
        <v>0.03</v>
      </c>
      <c r="F663">
        <v>2.2368612631396001</v>
      </c>
      <c r="G663">
        <f t="shared" si="54"/>
        <v>2.4436895279966748</v>
      </c>
      <c r="H663">
        <f t="shared" si="56"/>
        <v>6.2702558696656752E-3</v>
      </c>
      <c r="I663">
        <f t="shared" si="55"/>
        <v>1</v>
      </c>
      <c r="J663" t="str">
        <f t="shared" si="57"/>
        <v/>
      </c>
      <c r="K663">
        <v>-3.5398283898830402E-2</v>
      </c>
      <c r="L663">
        <v>-2.8160735964774999E-3</v>
      </c>
      <c r="M663">
        <v>-4.96481841281056E-2</v>
      </c>
      <c r="N663">
        <v>-3.0089256353676298E-2</v>
      </c>
      <c r="O663">
        <f t="shared" si="58"/>
        <v>-4.8072554869577466E-3</v>
      </c>
    </row>
    <row r="664" spans="1:15" x14ac:dyDescent="0.35">
      <c r="A664" t="s">
        <v>49</v>
      </c>
      <c r="B664">
        <v>2006</v>
      </c>
      <c r="C664">
        <v>374080.6875</v>
      </c>
      <c r="D664" s="8">
        <v>0.91934454441070601</v>
      </c>
      <c r="E664" s="8">
        <v>0</v>
      </c>
      <c r="F664">
        <v>2.1781933662667599</v>
      </c>
      <c r="G664">
        <f t="shared" si="54"/>
        <v>2.3692894894622647</v>
      </c>
      <c r="H664">
        <f t="shared" si="56"/>
        <v>-3.0445781954716256E-2</v>
      </c>
      <c r="I664">
        <f t="shared" si="55"/>
        <v>0</v>
      </c>
      <c r="J664" t="str">
        <f t="shared" si="57"/>
        <v/>
      </c>
      <c r="K664">
        <v>-8.5541199594736002E-3</v>
      </c>
      <c r="L664">
        <v>-1.49171594530343E-2</v>
      </c>
      <c r="M664">
        <v>-4.8659098297357999E-3</v>
      </c>
      <c r="N664">
        <v>-3.9441538974642996E-3</v>
      </c>
      <c r="O664" t="str">
        <f t="shared" si="58"/>
        <v/>
      </c>
    </row>
    <row r="665" spans="1:15" x14ac:dyDescent="0.35">
      <c r="A665" t="s">
        <v>49</v>
      </c>
      <c r="B665">
        <v>2007</v>
      </c>
      <c r="C665">
        <v>375455</v>
      </c>
      <c r="D665" s="8">
        <v>0.92682111263275102</v>
      </c>
      <c r="E665" s="8">
        <v>2E-3</v>
      </c>
      <c r="F665">
        <v>2.0709338829111599</v>
      </c>
      <c r="G665">
        <f t="shared" si="54"/>
        <v>2.2344483252311913</v>
      </c>
      <c r="H665">
        <f t="shared" si="56"/>
        <v>-5.691206787131653E-2</v>
      </c>
      <c r="I665">
        <f t="shared" si="55"/>
        <v>0</v>
      </c>
      <c r="J665" t="str">
        <f t="shared" si="57"/>
        <v/>
      </c>
      <c r="K665">
        <v>-4.8659098297357999E-3</v>
      </c>
      <c r="L665">
        <v>-3.9441538974642996E-3</v>
      </c>
      <c r="M665">
        <v>-2.2954974614083801E-2</v>
      </c>
      <c r="N665">
        <v>6.5558296628296002E-3</v>
      </c>
      <c r="O665" t="str">
        <f t="shared" si="58"/>
        <v/>
      </c>
    </row>
    <row r="666" spans="1:15" x14ac:dyDescent="0.35">
      <c r="A666" t="s">
        <v>49</v>
      </c>
      <c r="B666">
        <v>2008</v>
      </c>
      <c r="C666">
        <v>376893.1875</v>
      </c>
      <c r="D666" s="8">
        <v>0.93578809499740601</v>
      </c>
      <c r="E666" s="8">
        <v>0</v>
      </c>
      <c r="F666">
        <v>2.10242162310489</v>
      </c>
      <c r="G666">
        <f t="shared" si="54"/>
        <v>2.2466855844225266</v>
      </c>
      <c r="H666">
        <f t="shared" si="56"/>
        <v>5.476635576286748E-3</v>
      </c>
      <c r="I666">
        <f t="shared" si="55"/>
        <v>1</v>
      </c>
      <c r="J666" t="str">
        <f t="shared" si="57"/>
        <v/>
      </c>
      <c r="K666">
        <v>-2.2954974614083801E-2</v>
      </c>
      <c r="L666">
        <v>6.5558296628296002E-3</v>
      </c>
      <c r="M666">
        <v>-1.7661149337887799E-2</v>
      </c>
      <c r="N666">
        <v>8.9055523276328503E-3</v>
      </c>
      <c r="O666" t="str">
        <f t="shared" si="58"/>
        <v/>
      </c>
    </row>
    <row r="667" spans="1:15" x14ac:dyDescent="0.35">
      <c r="A667" t="s">
        <v>49</v>
      </c>
      <c r="B667">
        <v>2009</v>
      </c>
      <c r="C667">
        <v>378586.5</v>
      </c>
      <c r="D667" s="8">
        <v>0.93298989534378096</v>
      </c>
      <c r="E667" s="8">
        <v>3.0000000000000001E-3</v>
      </c>
      <c r="F667">
        <v>1.97285764560971</v>
      </c>
      <c r="G667">
        <f t="shared" si="54"/>
        <v>2.11455413982031</v>
      </c>
      <c r="H667">
        <f t="shared" si="56"/>
        <v>-5.881172048209804E-2</v>
      </c>
      <c r="I667">
        <f t="shared" si="55"/>
        <v>0</v>
      </c>
      <c r="J667" t="str">
        <f t="shared" si="57"/>
        <v/>
      </c>
      <c r="K667">
        <v>-1.7661149337887799E-2</v>
      </c>
      <c r="L667">
        <v>8.9055523276328503E-3</v>
      </c>
      <c r="M667">
        <v>-1.49243579329922E-2</v>
      </c>
      <c r="N667">
        <v>-5.4642491741105897E-3</v>
      </c>
      <c r="O667" t="str">
        <f t="shared" si="58"/>
        <v/>
      </c>
    </row>
    <row r="668" spans="1:15" x14ac:dyDescent="0.35">
      <c r="A668" t="s">
        <v>49</v>
      </c>
      <c r="B668">
        <v>2010</v>
      </c>
      <c r="C668">
        <v>380340.90625</v>
      </c>
      <c r="D668" s="8">
        <v>0.92787063121795699</v>
      </c>
      <c r="E668" s="8">
        <v>1.2E-2</v>
      </c>
      <c r="F668">
        <v>2.1681021114159602</v>
      </c>
      <c r="G668">
        <f t="shared" si="54"/>
        <v>2.3366426724488845</v>
      </c>
      <c r="H668">
        <f t="shared" si="56"/>
        <v>0.10502853932481804</v>
      </c>
      <c r="I668">
        <f t="shared" si="55"/>
        <v>1</v>
      </c>
      <c r="J668">
        <f t="shared" si="57"/>
        <v>2</v>
      </c>
      <c r="K668">
        <v>-1.49243579329922E-2</v>
      </c>
      <c r="L668">
        <v>-5.4642491741105897E-3</v>
      </c>
      <c r="M668">
        <v>-2.62713198252022E-2</v>
      </c>
      <c r="N668">
        <v>-4.9875453114509296E-3</v>
      </c>
      <c r="O668">
        <f t="shared" si="58"/>
        <v>-6.7811347398673782E-4</v>
      </c>
    </row>
    <row r="669" spans="1:15" x14ac:dyDescent="0.35">
      <c r="A669" t="s">
        <v>50</v>
      </c>
      <c r="B669">
        <v>2006</v>
      </c>
      <c r="C669">
        <v>803041.3125</v>
      </c>
      <c r="D669" s="8">
        <v>0.91141879558563199</v>
      </c>
      <c r="E669" s="8">
        <v>6.0000000000000001E-3</v>
      </c>
      <c r="F669">
        <v>2.2235517264157099</v>
      </c>
      <c r="G669">
        <f t="shared" si="54"/>
        <v>2.4396597230441874</v>
      </c>
      <c r="H669">
        <f t="shared" si="56"/>
        <v>4.4087635567888306E-2</v>
      </c>
      <c r="I669">
        <f t="shared" si="55"/>
        <v>1</v>
      </c>
      <c r="J669" t="str">
        <f t="shared" si="57"/>
        <v/>
      </c>
      <c r="K669">
        <v>-1.2742614716291401E-2</v>
      </c>
      <c r="L669">
        <v>-1.9105654209852101E-2</v>
      </c>
      <c r="M669">
        <v>-7.7045214325190004E-3</v>
      </c>
      <c r="N669">
        <v>-6.7827655002475002E-3</v>
      </c>
      <c r="O669" t="str">
        <f t="shared" si="58"/>
        <v/>
      </c>
    </row>
    <row r="670" spans="1:15" x14ac:dyDescent="0.35">
      <c r="A670" t="s">
        <v>50</v>
      </c>
      <c r="B670">
        <v>2007</v>
      </c>
      <c r="C670">
        <v>801435.9375</v>
      </c>
      <c r="D670" s="8">
        <v>0.91582196950912498</v>
      </c>
      <c r="E670" s="8">
        <v>1.2E-2</v>
      </c>
      <c r="F670">
        <v>2.1871869840713498</v>
      </c>
      <c r="G670">
        <f t="shared" si="54"/>
        <v>2.3882228827112204</v>
      </c>
      <c r="H670">
        <f t="shared" si="56"/>
        <v>-2.1083612541172192E-2</v>
      </c>
      <c r="I670">
        <f t="shared" si="55"/>
        <v>0</v>
      </c>
      <c r="J670" t="str">
        <f t="shared" si="57"/>
        <v/>
      </c>
      <c r="K670">
        <v>-7.7045214325190004E-3</v>
      </c>
      <c r="L670">
        <v>-6.7827655002475002E-3</v>
      </c>
      <c r="M670">
        <v>-2.4692775040864898E-2</v>
      </c>
      <c r="N670">
        <v>4.8180292360484999E-3</v>
      </c>
      <c r="O670" t="str">
        <f t="shared" si="58"/>
        <v/>
      </c>
    </row>
    <row r="671" spans="1:15" x14ac:dyDescent="0.35">
      <c r="A671" t="s">
        <v>50</v>
      </c>
      <c r="B671">
        <v>2008</v>
      </c>
      <c r="C671">
        <v>799914.5</v>
      </c>
      <c r="D671" s="8">
        <v>0.90791487693786599</v>
      </c>
      <c r="E671" s="8">
        <v>0</v>
      </c>
      <c r="F671">
        <v>2.1818781753421601</v>
      </c>
      <c r="G671">
        <f t="shared" si="54"/>
        <v>2.4031748248260931</v>
      </c>
      <c r="H671">
        <f t="shared" si="56"/>
        <v>6.2606979537431773E-3</v>
      </c>
      <c r="I671">
        <f t="shared" si="55"/>
        <v>1</v>
      </c>
      <c r="J671" t="str">
        <f t="shared" si="57"/>
        <v/>
      </c>
      <c r="K671">
        <v>-2.4692775040864898E-2</v>
      </c>
      <c r="L671">
        <v>4.8180292360484999E-3</v>
      </c>
      <c r="M671">
        <v>-1.6515603944659198E-2</v>
      </c>
      <c r="N671">
        <v>1.00510977208614E-2</v>
      </c>
      <c r="O671" t="str">
        <f t="shared" si="58"/>
        <v/>
      </c>
    </row>
    <row r="672" spans="1:15" x14ac:dyDescent="0.35">
      <c r="A672" t="s">
        <v>50</v>
      </c>
      <c r="B672">
        <v>2009</v>
      </c>
      <c r="C672">
        <v>799179.625</v>
      </c>
      <c r="D672" s="8">
        <v>0.902765512466431</v>
      </c>
      <c r="E672" s="8">
        <v>4.0000000000000001E-3</v>
      </c>
      <c r="F672">
        <v>2.12599154348813</v>
      </c>
      <c r="G672">
        <f t="shared" si="54"/>
        <v>2.3549764741009467</v>
      </c>
      <c r="H672">
        <f t="shared" si="56"/>
        <v>-2.0056115030513633E-2</v>
      </c>
      <c r="I672">
        <f t="shared" si="55"/>
        <v>0</v>
      </c>
      <c r="J672" t="str">
        <f t="shared" si="57"/>
        <v/>
      </c>
      <c r="K672">
        <v>-1.6515603944659198E-2</v>
      </c>
      <c r="L672">
        <v>1.00510977208614E-2</v>
      </c>
      <c r="M672">
        <v>-1.59494922740268E-2</v>
      </c>
      <c r="N672">
        <v>-6.4893835151451596E-3</v>
      </c>
      <c r="O672" t="str">
        <f t="shared" si="58"/>
        <v/>
      </c>
    </row>
    <row r="673" spans="1:15" x14ac:dyDescent="0.35">
      <c r="A673" t="s">
        <v>50</v>
      </c>
      <c r="B673">
        <v>2010</v>
      </c>
      <c r="C673">
        <v>800297.1875</v>
      </c>
      <c r="D673" s="8">
        <v>0.90879267454147294</v>
      </c>
      <c r="E673" s="8">
        <v>5.0000000000000001E-3</v>
      </c>
      <c r="F673">
        <v>2.2016726424770501</v>
      </c>
      <c r="G673">
        <f t="shared" si="54"/>
        <v>2.4226346714204023</v>
      </c>
      <c r="H673">
        <f t="shared" si="56"/>
        <v>2.8729882469541668E-2</v>
      </c>
      <c r="I673">
        <f t="shared" si="55"/>
        <v>1</v>
      </c>
      <c r="J673">
        <f t="shared" si="57"/>
        <v>3</v>
      </c>
      <c r="K673">
        <v>-1.59494922740268E-2</v>
      </c>
      <c r="L673">
        <v>-6.4893835151451596E-3</v>
      </c>
      <c r="M673">
        <v>-2.26307663768529E-2</v>
      </c>
      <c r="N673">
        <v>-1.34699186310168E-3</v>
      </c>
      <c r="O673">
        <f t="shared" si="58"/>
        <v>-3.2257384620606741E-3</v>
      </c>
    </row>
    <row r="674" spans="1:15" x14ac:dyDescent="0.35">
      <c r="A674" t="s">
        <v>50</v>
      </c>
      <c r="B674">
        <v>2011</v>
      </c>
      <c r="C674">
        <v>801838.9375</v>
      </c>
      <c r="D674" s="8">
        <v>0.91427195072174094</v>
      </c>
      <c r="E674" s="8">
        <v>0</v>
      </c>
      <c r="F674">
        <v>2.1518035073734501</v>
      </c>
      <c r="G674">
        <f t="shared" si="54"/>
        <v>2.3535705166004295</v>
      </c>
      <c r="H674">
        <f t="shared" si="56"/>
        <v>-2.8507870226871734E-2</v>
      </c>
      <c r="I674">
        <f t="shared" si="55"/>
        <v>0</v>
      </c>
      <c r="J674">
        <f t="shared" si="57"/>
        <v>2</v>
      </c>
      <c r="K674">
        <v>-2.26307663768529E-2</v>
      </c>
      <c r="L674">
        <v>-1.34699186310168E-3</v>
      </c>
      <c r="M674">
        <v>-8.0121804997325009E-3</v>
      </c>
      <c r="N674">
        <v>-2.5739744305610999E-3</v>
      </c>
      <c r="O674">
        <f t="shared" si="58"/>
        <v>-2.69539430737494E-3</v>
      </c>
    </row>
    <row r="675" spans="1:15" x14ac:dyDescent="0.35">
      <c r="A675" t="s">
        <v>50</v>
      </c>
      <c r="B675">
        <v>2012</v>
      </c>
      <c r="C675">
        <v>802994.375</v>
      </c>
      <c r="D675" s="8">
        <v>0.91878390312194802</v>
      </c>
      <c r="E675" s="8">
        <v>-1E-3</v>
      </c>
      <c r="F675">
        <v>2.2154373219961201</v>
      </c>
      <c r="G675">
        <f t="shared" si="54"/>
        <v>2.4112713712857357</v>
      </c>
      <c r="H675">
        <f t="shared" si="56"/>
        <v>2.451630587582776E-2</v>
      </c>
      <c r="I675">
        <f t="shared" si="55"/>
        <v>1</v>
      </c>
      <c r="J675">
        <f t="shared" si="57"/>
        <v>3</v>
      </c>
      <c r="K675">
        <v>-8.0121804997325009E-3</v>
      </c>
      <c r="L675">
        <v>-2.6595732197165901E-3</v>
      </c>
      <c r="M675">
        <v>4.8014488071199899E-4</v>
      </c>
      <c r="N675">
        <v>-5.6466264650226004E-3</v>
      </c>
      <c r="O675">
        <f t="shared" si="58"/>
        <v>-2.6150695979594799E-3</v>
      </c>
    </row>
    <row r="676" spans="1:15" x14ac:dyDescent="0.35">
      <c r="A676" t="s">
        <v>50</v>
      </c>
      <c r="B676">
        <v>2013</v>
      </c>
      <c r="C676">
        <v>803171.375</v>
      </c>
      <c r="D676" s="8">
        <v>0.91868221759796098</v>
      </c>
      <c r="E676" s="8">
        <v>-1E-3</v>
      </c>
      <c r="F676">
        <v>2.2595008556276501</v>
      </c>
      <c r="G676">
        <f t="shared" si="54"/>
        <v>2.4595021132938331</v>
      </c>
      <c r="H676">
        <f t="shared" si="56"/>
        <v>2.0002204058176876E-2</v>
      </c>
      <c r="I676">
        <f t="shared" si="55"/>
        <v>1</v>
      </c>
      <c r="J676">
        <f t="shared" si="57"/>
        <v>3</v>
      </c>
      <c r="K676">
        <v>4.8014488071199899E-4</v>
      </c>
      <c r="L676">
        <v>-5.6466264650226004E-3</v>
      </c>
      <c r="M676">
        <v>-1.6144832447171E-3</v>
      </c>
      <c r="N676">
        <v>-3.6225067451596E-3</v>
      </c>
      <c r="O676">
        <f t="shared" si="58"/>
        <v>-1.6459995880722597E-3</v>
      </c>
    </row>
    <row r="677" spans="1:15" x14ac:dyDescent="0.35">
      <c r="A677" t="s">
        <v>50</v>
      </c>
      <c r="B677">
        <v>2014</v>
      </c>
      <c r="C677">
        <v>803295.3125</v>
      </c>
      <c r="D677" s="8">
        <v>0.92496776580810502</v>
      </c>
      <c r="E677" s="8">
        <v>-1E-3</v>
      </c>
      <c r="F677">
        <v>2.1618882440940999</v>
      </c>
      <c r="G677">
        <f t="shared" si="54"/>
        <v>2.337257928340184</v>
      </c>
      <c r="H677">
        <f t="shared" si="56"/>
        <v>-4.9702817612112704E-2</v>
      </c>
      <c r="I677">
        <f t="shared" si="55"/>
        <v>0</v>
      </c>
      <c r="J677">
        <f t="shared" si="57"/>
        <v>3</v>
      </c>
      <c r="K677">
        <v>-1.6144832447171E-3</v>
      </c>
      <c r="L677">
        <v>-3.6225067451596E-3</v>
      </c>
      <c r="M677">
        <v>2.73248592168093E-2</v>
      </c>
      <c r="N677">
        <v>-2.9385928064583899E-3</v>
      </c>
      <c r="O677">
        <f t="shared" si="58"/>
        <v>1.4398008584976601E-3</v>
      </c>
    </row>
    <row r="678" spans="1:15" x14ac:dyDescent="0.35">
      <c r="A678" t="s">
        <v>50</v>
      </c>
      <c r="B678">
        <v>2015</v>
      </c>
      <c r="C678">
        <v>803538.3125</v>
      </c>
      <c r="D678" s="8">
        <v>0.91978824138641402</v>
      </c>
      <c r="E678" s="8">
        <v>1.4E-2</v>
      </c>
      <c r="F678">
        <v>2.1574525413349601</v>
      </c>
      <c r="G678">
        <f t="shared" si="54"/>
        <v>2.3455970018522869</v>
      </c>
      <c r="H678">
        <f t="shared" si="56"/>
        <v>3.5678875707247926E-3</v>
      </c>
      <c r="I678">
        <f t="shared" si="55"/>
        <v>1</v>
      </c>
      <c r="J678">
        <f t="shared" si="57"/>
        <v>3</v>
      </c>
      <c r="K678">
        <v>2.73248592168093E-2</v>
      </c>
      <c r="L678">
        <v>-2.9385928064583899E-3</v>
      </c>
      <c r="M678">
        <v>1.44582859128714E-2</v>
      </c>
      <c r="N678">
        <v>1.30472891032699E-3</v>
      </c>
      <c r="O678">
        <f t="shared" si="58"/>
        <v>2.0854040980339376E-3</v>
      </c>
    </row>
    <row r="679" spans="1:15" x14ac:dyDescent="0.35">
      <c r="A679" t="s">
        <v>50</v>
      </c>
      <c r="B679">
        <v>2016</v>
      </c>
      <c r="C679">
        <v>805749.3125</v>
      </c>
      <c r="D679" s="8">
        <v>0.91686707735061601</v>
      </c>
      <c r="E679" s="8">
        <v>1.6E-2</v>
      </c>
      <c r="F679">
        <v>2.1779378934048998</v>
      </c>
      <c r="G679">
        <f t="shared" si="54"/>
        <v>2.3754129112131288</v>
      </c>
      <c r="H679">
        <f t="shared" si="56"/>
        <v>1.2711437359996802E-2</v>
      </c>
      <c r="I679">
        <f t="shared" si="55"/>
        <v>1</v>
      </c>
      <c r="J679">
        <f t="shared" si="57"/>
        <v>4</v>
      </c>
      <c r="K679">
        <v>1.44582859128714E-2</v>
      </c>
      <c r="L679">
        <v>1.30472891032699E-3</v>
      </c>
      <c r="M679">
        <v>6.1722257733349704E-4</v>
      </c>
      <c r="N679">
        <v>-2.1723508834838E-3</v>
      </c>
      <c r="O679">
        <f t="shared" si="58"/>
        <v>1.4203377068043761E-4</v>
      </c>
    </row>
    <row r="680" spans="1:15" x14ac:dyDescent="0.35">
      <c r="A680" t="s">
        <v>50</v>
      </c>
      <c r="B680">
        <v>2017</v>
      </c>
      <c r="C680">
        <v>807812.0625</v>
      </c>
      <c r="D680" s="8">
        <v>0.91844785213470503</v>
      </c>
      <c r="E680" s="8">
        <v>7.0000000000000001E-3</v>
      </c>
      <c r="F680">
        <v>2.1351162116919902</v>
      </c>
      <c r="G680">
        <f t="shared" si="54"/>
        <v>2.3247005333285284</v>
      </c>
      <c r="H680">
        <f t="shared" si="56"/>
        <v>-2.1348868504171503E-2</v>
      </c>
      <c r="I680">
        <f t="shared" si="55"/>
        <v>0</v>
      </c>
      <c r="J680">
        <f t="shared" si="57"/>
        <v>3</v>
      </c>
      <c r="K680">
        <v>6.1722257733349704E-4</v>
      </c>
      <c r="L680">
        <v>-2.1723508834838E-3</v>
      </c>
      <c r="M680">
        <v>8.3337465524672902E-3</v>
      </c>
      <c r="N680">
        <v>-8.0127641558649899E-4</v>
      </c>
      <c r="O680">
        <f t="shared" si="58"/>
        <v>3.1786996871232777E-3</v>
      </c>
    </row>
    <row r="681" spans="1:15" x14ac:dyDescent="0.35">
      <c r="A681" t="s">
        <v>50</v>
      </c>
      <c r="B681">
        <v>2018</v>
      </c>
      <c r="C681">
        <v>810291.375</v>
      </c>
      <c r="D681" s="8">
        <v>0.92587167024612405</v>
      </c>
      <c r="E681" s="8">
        <v>8.9999999999999993E-3</v>
      </c>
      <c r="F681">
        <v>2.1234341269716199</v>
      </c>
      <c r="G681">
        <f t="shared" si="54"/>
        <v>2.2934432440374253</v>
      </c>
      <c r="H681">
        <f t="shared" si="56"/>
        <v>-1.3445727242273553E-2</v>
      </c>
      <c r="I681">
        <f t="shared" si="55"/>
        <v>0</v>
      </c>
      <c r="J681">
        <f t="shared" si="57"/>
        <v>2</v>
      </c>
      <c r="K681">
        <v>8.3337465524672902E-3</v>
      </c>
      <c r="L681">
        <v>-8.0127641558649899E-4</v>
      </c>
      <c r="M681">
        <v>2.9607690095901501E-2</v>
      </c>
      <c r="N681">
        <v>1.180649548769E-2</v>
      </c>
      <c r="O681">
        <f t="shared" si="58"/>
        <v>7.1214247494935769E-3</v>
      </c>
    </row>
    <row r="682" spans="1:15" x14ac:dyDescent="0.35">
      <c r="A682" t="s">
        <v>50</v>
      </c>
      <c r="B682">
        <v>2019</v>
      </c>
      <c r="C682">
        <v>813162.5</v>
      </c>
      <c r="D682" s="8">
        <v>0.92639100551605202</v>
      </c>
      <c r="E682" s="8">
        <v>1.7999999999999999E-2</v>
      </c>
      <c r="F682">
        <v>2.1375657805964101</v>
      </c>
      <c r="G682">
        <f t="shared" si="54"/>
        <v>2.3074120623674075</v>
      </c>
      <c r="H682">
        <f t="shared" si="56"/>
        <v>6.0907625973736224E-3</v>
      </c>
      <c r="I682">
        <f t="shared" si="55"/>
        <v>1</v>
      </c>
      <c r="J682" t="str">
        <f t="shared" si="57"/>
        <v/>
      </c>
      <c r="K682">
        <v>2.9607690095901501E-2</v>
      </c>
      <c r="L682">
        <v>1.180649548769E-2</v>
      </c>
      <c r="M682">
        <v>1.9138613820075999E-2</v>
      </c>
      <c r="N682">
        <v>2.8942339122299798E-4</v>
      </c>
      <c r="O682">
        <f t="shared" si="58"/>
        <v>4.9272557720541768E-3</v>
      </c>
    </row>
    <row r="683" spans="1:15" x14ac:dyDescent="0.35">
      <c r="A683" t="s">
        <v>50</v>
      </c>
      <c r="B683">
        <v>2020</v>
      </c>
      <c r="C683">
        <v>814123.875</v>
      </c>
      <c r="D683" s="8">
        <v>0.93653523921966597</v>
      </c>
      <c r="E683" s="8">
        <v>8.9999999999999993E-3</v>
      </c>
      <c r="F683">
        <v>2.03785988606269</v>
      </c>
      <c r="G683">
        <f t="shared" si="54"/>
        <v>2.1759564410631924</v>
      </c>
      <c r="H683">
        <f t="shared" si="56"/>
        <v>-5.6971021105498343E-2</v>
      </c>
      <c r="I683">
        <f t="shared" si="55"/>
        <v>0</v>
      </c>
      <c r="J683" t="str">
        <f t="shared" si="57"/>
        <v/>
      </c>
      <c r="K683">
        <v>1.9138613820075999E-2</v>
      </c>
      <c r="L683">
        <v>2.8942339122299798E-4</v>
      </c>
      <c r="M683">
        <v>3.5177489995956303E-2</v>
      </c>
      <c r="N683">
        <v>-8.4121227264405095E-3</v>
      </c>
      <c r="O683">
        <f t="shared" si="58"/>
        <v>-2.9097404330982733E-5</v>
      </c>
    </row>
    <row r="684" spans="1:15" x14ac:dyDescent="0.35">
      <c r="A684" t="s">
        <v>50</v>
      </c>
      <c r="B684">
        <v>2021</v>
      </c>
      <c r="C684">
        <v>813743</v>
      </c>
      <c r="D684" s="8">
        <v>0.95058321952819802</v>
      </c>
      <c r="E684" s="8">
        <v>1E-3</v>
      </c>
      <c r="F684">
        <v>2.1570822541368</v>
      </c>
      <c r="G684">
        <f t="shared" si="54"/>
        <v>2.2692197903592515</v>
      </c>
      <c r="H684">
        <f t="shared" si="56"/>
        <v>4.2860853064912385E-2</v>
      </c>
      <c r="I684">
        <f t="shared" si="55"/>
        <v>1</v>
      </c>
      <c r="J684" t="str">
        <f t="shared" si="57"/>
        <v/>
      </c>
      <c r="K684">
        <v>3.5177489995956303E-2</v>
      </c>
      <c r="L684">
        <v>-8.4121227264405095E-3</v>
      </c>
      <c r="M684">
        <v>-1.9092528074979801E-2</v>
      </c>
      <c r="N684">
        <v>1.3010978698730399E-2</v>
      </c>
      <c r="O684">
        <f t="shared" si="58"/>
        <v>7.8663695603610467E-5</v>
      </c>
    </row>
    <row r="685" spans="1:15" x14ac:dyDescent="0.35">
      <c r="A685" t="s">
        <v>50</v>
      </c>
      <c r="B685">
        <v>2022</v>
      </c>
      <c r="C685">
        <v>814474.125</v>
      </c>
      <c r="D685" s="8">
        <v>0.93923181295394897</v>
      </c>
      <c r="E685" s="8">
        <v>4.0000000000000001E-3</v>
      </c>
      <c r="F685">
        <v>1.98094056520508</v>
      </c>
      <c r="G685">
        <f t="shared" si="54"/>
        <v>2.1091071851313097</v>
      </c>
      <c r="H685">
        <f t="shared" si="56"/>
        <v>-7.0558438591174832E-2</v>
      </c>
      <c r="I685">
        <f t="shared" si="55"/>
        <v>0</v>
      </c>
      <c r="J685" t="str">
        <f t="shared" si="57"/>
        <v/>
      </c>
      <c r="K685">
        <v>-1.9092528074979801E-2</v>
      </c>
      <c r="L685">
        <v>1.3489682227373E-2</v>
      </c>
      <c r="M685">
        <v>-6.4657887816430004E-4</v>
      </c>
      <c r="N685">
        <v>1.8912348896264999E-2</v>
      </c>
      <c r="O685">
        <f t="shared" si="58"/>
        <v>-2.1645106840878607E-3</v>
      </c>
    </row>
    <row r="686" spans="1:15" x14ac:dyDescent="0.35">
      <c r="A686" t="s">
        <v>51</v>
      </c>
      <c r="B686">
        <v>2006</v>
      </c>
      <c r="C686">
        <v>581645.3125</v>
      </c>
      <c r="D686" s="8">
        <v>0.90461975336074796</v>
      </c>
      <c r="E686" s="8">
        <v>5.2999999999999999E-2</v>
      </c>
      <c r="F686">
        <v>2.2119122842513099</v>
      </c>
      <c r="G686">
        <f t="shared" si="54"/>
        <v>2.4451293220536545</v>
      </c>
      <c r="H686">
        <f t="shared" si="56"/>
        <v>0.15931961129866656</v>
      </c>
      <c r="I686">
        <f t="shared" si="55"/>
        <v>1</v>
      </c>
      <c r="J686" t="str">
        <f t="shared" si="57"/>
        <v/>
      </c>
      <c r="K686">
        <v>2.8034066438674898E-2</v>
      </c>
      <c r="L686">
        <v>2.1671026945114101E-2</v>
      </c>
      <c r="M686">
        <v>-8.6105331778499995E-5</v>
      </c>
      <c r="N686">
        <v>8.3565060049300098E-4</v>
      </c>
      <c r="O686" t="str">
        <f t="shared" si="58"/>
        <v/>
      </c>
    </row>
    <row r="687" spans="1:15" x14ac:dyDescent="0.35">
      <c r="A687" t="s">
        <v>51</v>
      </c>
      <c r="B687">
        <v>2007</v>
      </c>
      <c r="C687">
        <v>589812.3125</v>
      </c>
      <c r="D687" s="8">
        <v>0.89459466934204102</v>
      </c>
      <c r="E687" s="8">
        <v>2.1000000000000001E-2</v>
      </c>
      <c r="F687">
        <v>2.20976468704978</v>
      </c>
      <c r="G687">
        <f t="shared" si="54"/>
        <v>2.4701295042088995</v>
      </c>
      <c r="H687">
        <f t="shared" si="56"/>
        <v>1.0224482578388816E-2</v>
      </c>
      <c r="I687">
        <f t="shared" si="55"/>
        <v>1</v>
      </c>
      <c r="J687" t="str">
        <f t="shared" si="57"/>
        <v/>
      </c>
      <c r="K687">
        <v>-8.6105331778499995E-5</v>
      </c>
      <c r="L687">
        <v>8.3565060049300098E-4</v>
      </c>
      <c r="M687">
        <v>-5.4003146767616299E-2</v>
      </c>
      <c r="N687">
        <v>-2.4492342490702802E-2</v>
      </c>
      <c r="O687" t="str">
        <f t="shared" si="58"/>
        <v/>
      </c>
    </row>
    <row r="688" spans="1:15" x14ac:dyDescent="0.35">
      <c r="A688" t="s">
        <v>51</v>
      </c>
      <c r="B688">
        <v>2008</v>
      </c>
      <c r="C688">
        <v>590556.0625</v>
      </c>
      <c r="D688" s="8">
        <v>0.89178234338760398</v>
      </c>
      <c r="E688" s="8">
        <v>2.5000000000000001E-2</v>
      </c>
      <c r="F688">
        <v>2.2644061152489199</v>
      </c>
      <c r="G688">
        <f t="shared" si="54"/>
        <v>2.5391914653155667</v>
      </c>
      <c r="H688">
        <f t="shared" si="56"/>
        <v>2.7958842234381276E-2</v>
      </c>
      <c r="I688">
        <f t="shared" si="55"/>
        <v>1</v>
      </c>
      <c r="J688" t="str">
        <f t="shared" si="57"/>
        <v/>
      </c>
      <c r="K688">
        <v>-5.4003146767616299E-2</v>
      </c>
      <c r="L688">
        <v>-2.4492342490702802E-2</v>
      </c>
      <c r="M688">
        <v>-3.4440018892288198E-2</v>
      </c>
      <c r="N688">
        <v>-7.8733172267675504E-3</v>
      </c>
      <c r="O688" t="str">
        <f t="shared" si="58"/>
        <v/>
      </c>
    </row>
    <row r="689" spans="1:15" x14ac:dyDescent="0.35">
      <c r="A689" t="s">
        <v>51</v>
      </c>
      <c r="B689">
        <v>2009</v>
      </c>
      <c r="C689">
        <v>589657.125</v>
      </c>
      <c r="D689" s="8">
        <v>0.89450395107269298</v>
      </c>
      <c r="E689" s="8">
        <v>3.2000000000000001E-2</v>
      </c>
      <c r="F689">
        <v>2.3248479422025898</v>
      </c>
      <c r="G689">
        <f t="shared" si="54"/>
        <v>2.5990359678284509</v>
      </c>
      <c r="H689">
        <f t="shared" si="56"/>
        <v>2.3568330049284825E-2</v>
      </c>
      <c r="I689">
        <f t="shared" si="55"/>
        <v>1</v>
      </c>
      <c r="J689" t="str">
        <f t="shared" si="57"/>
        <v/>
      </c>
      <c r="K689">
        <v>-3.4440018892288198E-2</v>
      </c>
      <c r="L689">
        <v>-7.8733172267675504E-3</v>
      </c>
      <c r="M689">
        <v>-7.6650019586086303E-3</v>
      </c>
      <c r="N689">
        <v>1.79510680027305E-3</v>
      </c>
      <c r="O689" t="str">
        <f t="shared" si="58"/>
        <v/>
      </c>
    </row>
    <row r="690" spans="1:15" x14ac:dyDescent="0.35">
      <c r="A690" t="s">
        <v>51</v>
      </c>
      <c r="B690">
        <v>2010</v>
      </c>
      <c r="C690">
        <v>590493.6875</v>
      </c>
      <c r="D690" s="8">
        <v>0.90740430355071999</v>
      </c>
      <c r="E690" s="8">
        <v>1.2E-2</v>
      </c>
      <c r="F690">
        <v>2.33299553104181</v>
      </c>
      <c r="G690">
        <f t="shared" si="54"/>
        <v>2.5710650940409669</v>
      </c>
      <c r="H690">
        <f t="shared" si="56"/>
        <v>-1.0762018738376344E-2</v>
      </c>
      <c r="I690">
        <f t="shared" si="55"/>
        <v>0</v>
      </c>
      <c r="J690">
        <f t="shared" si="57"/>
        <v>4</v>
      </c>
      <c r="K690">
        <v>-7.6650019586086303E-3</v>
      </c>
      <c r="L690">
        <v>1.79510680027305E-3</v>
      </c>
      <c r="M690">
        <v>-1.8737215891480401E-2</v>
      </c>
      <c r="N690">
        <v>2.5465586222708902E-3</v>
      </c>
      <c r="O690">
        <f t="shared" si="58"/>
        <v>4.9716490320861357E-3</v>
      </c>
    </row>
    <row r="691" spans="1:15" x14ac:dyDescent="0.35">
      <c r="A691" t="s">
        <v>51</v>
      </c>
      <c r="B691">
        <v>2011</v>
      </c>
      <c r="C691">
        <v>591459.875</v>
      </c>
      <c r="D691" s="8">
        <v>0.91426020860671997</v>
      </c>
      <c r="E691" s="8">
        <v>0</v>
      </c>
      <c r="F691">
        <v>2.1601946774360501</v>
      </c>
      <c r="G691">
        <f t="shared" si="54"/>
        <v>2.3627788425004983</v>
      </c>
      <c r="H691">
        <f t="shared" si="56"/>
        <v>-8.1011660118298745E-2</v>
      </c>
      <c r="I691">
        <f t="shared" si="55"/>
        <v>0</v>
      </c>
      <c r="J691">
        <f t="shared" si="57"/>
        <v>3</v>
      </c>
      <c r="K691">
        <v>-1.8737215891480401E-2</v>
      </c>
      <c r="L691">
        <v>2.5465586222708902E-3</v>
      </c>
      <c r="M691">
        <v>-7.3195649683480103E-4</v>
      </c>
      <c r="N691">
        <v>4.7062495723365896E-3</v>
      </c>
      <c r="O691">
        <f t="shared" si="58"/>
        <v>6.6102301701903175E-3</v>
      </c>
    </row>
    <row r="692" spans="1:15" x14ac:dyDescent="0.35">
      <c r="A692" t="s">
        <v>51</v>
      </c>
      <c r="B692">
        <v>2012</v>
      </c>
      <c r="C692">
        <v>594350.25</v>
      </c>
      <c r="D692" s="8">
        <v>0.92965090274810802</v>
      </c>
      <c r="E692" s="8">
        <v>0.02</v>
      </c>
      <c r="F692">
        <v>2.2727259141922</v>
      </c>
      <c r="G692">
        <f t="shared" si="54"/>
        <v>2.4447089842798793</v>
      </c>
      <c r="H692">
        <f t="shared" si="56"/>
        <v>3.4675332411845838E-2</v>
      </c>
      <c r="I692">
        <f t="shared" si="55"/>
        <v>1</v>
      </c>
      <c r="J692">
        <f t="shared" si="57"/>
        <v>3</v>
      </c>
      <c r="K692">
        <v>-7.3195649683480103E-4</v>
      </c>
      <c r="L692">
        <v>4.6206507831811003E-3</v>
      </c>
      <c r="M692">
        <v>1.21268747746944E-2</v>
      </c>
      <c r="N692">
        <v>6.0001034289597997E-3</v>
      </c>
      <c r="O692">
        <f t="shared" si="58"/>
        <v>6.5189301967621006E-3</v>
      </c>
    </row>
    <row r="693" spans="1:15" x14ac:dyDescent="0.35">
      <c r="A693" t="s">
        <v>51</v>
      </c>
      <c r="B693">
        <v>2013</v>
      </c>
      <c r="C693">
        <v>599533.625</v>
      </c>
      <c r="D693" s="8">
        <v>0.94178026914596602</v>
      </c>
      <c r="E693" s="8">
        <v>0</v>
      </c>
      <c r="F693">
        <v>2.32890287293792</v>
      </c>
      <c r="G693">
        <f t="shared" si="54"/>
        <v>2.4728728656099768</v>
      </c>
      <c r="H693">
        <f t="shared" si="56"/>
        <v>1.1520341075849316E-2</v>
      </c>
      <c r="I693">
        <f t="shared" si="55"/>
        <v>1</v>
      </c>
      <c r="J693">
        <f t="shared" si="57"/>
        <v>3</v>
      </c>
      <c r="K693">
        <v>1.21268747746944E-2</v>
      </c>
      <c r="L693">
        <v>6.0001034289597997E-3</v>
      </c>
      <c r="M693">
        <v>9.9230509400367994E-3</v>
      </c>
      <c r="N693">
        <v>7.9150274395943E-3</v>
      </c>
      <c r="O693">
        <f t="shared" si="58"/>
        <v>8.8558983057737597E-3</v>
      </c>
    </row>
    <row r="694" spans="1:15" x14ac:dyDescent="0.35">
      <c r="A694" t="s">
        <v>51</v>
      </c>
      <c r="B694">
        <v>2014</v>
      </c>
      <c r="C694">
        <v>608230</v>
      </c>
      <c r="D694" s="8">
        <v>0.94363921880722001</v>
      </c>
      <c r="E694" s="8">
        <v>1.7000000000000001E-2</v>
      </c>
      <c r="F694">
        <v>2.3143547935309798</v>
      </c>
      <c r="G694">
        <f t="shared" si="54"/>
        <v>2.4525843642407885</v>
      </c>
      <c r="H694">
        <f t="shared" si="56"/>
        <v>-8.2044255696840374E-3</v>
      </c>
      <c r="I694">
        <f t="shared" si="55"/>
        <v>0</v>
      </c>
      <c r="J694">
        <f t="shared" si="57"/>
        <v>2</v>
      </c>
      <c r="K694">
        <v>9.9230509400367994E-3</v>
      </c>
      <c r="L694">
        <v>7.9150274395943E-3</v>
      </c>
      <c r="M694">
        <v>3.3953758120536699E-2</v>
      </c>
      <c r="N694">
        <v>3.6903060972690999E-3</v>
      </c>
      <c r="O694">
        <f t="shared" si="58"/>
        <v>6.48141987621786E-3</v>
      </c>
    </row>
    <row r="695" spans="1:15" x14ac:dyDescent="0.35">
      <c r="A695" t="s">
        <v>51</v>
      </c>
      <c r="B695">
        <v>2015</v>
      </c>
      <c r="C695">
        <v>620563.75</v>
      </c>
      <c r="D695" s="8">
        <v>0.95519065856933605</v>
      </c>
      <c r="E695" s="8">
        <v>1E-3</v>
      </c>
      <c r="F695">
        <v>2.2857709673005799</v>
      </c>
      <c r="G695">
        <f t="shared" si="54"/>
        <v>2.3929997082720202</v>
      </c>
      <c r="H695">
        <f t="shared" si="56"/>
        <v>-2.4294640721650773E-2</v>
      </c>
      <c r="I695">
        <f t="shared" si="55"/>
        <v>0</v>
      </c>
      <c r="J695">
        <f t="shared" si="57"/>
        <v>2</v>
      </c>
      <c r="K695">
        <v>3.3953758120536699E-2</v>
      </c>
      <c r="L695">
        <v>3.6903060972690999E-3</v>
      </c>
      <c r="M695">
        <v>2.3893021315336199E-2</v>
      </c>
      <c r="N695">
        <v>1.07394643127918E-2</v>
      </c>
      <c r="O695">
        <f t="shared" si="58"/>
        <v>3.7321489304304204E-3</v>
      </c>
    </row>
    <row r="696" spans="1:15" x14ac:dyDescent="0.35">
      <c r="A696" t="s">
        <v>51</v>
      </c>
      <c r="B696">
        <v>2016</v>
      </c>
      <c r="C696">
        <v>634081.8125</v>
      </c>
      <c r="D696" s="8">
        <v>0.95521342754364003</v>
      </c>
      <c r="E696" s="8">
        <v>0</v>
      </c>
      <c r="F696">
        <v>2.1662079693669898</v>
      </c>
      <c r="G696">
        <f t="shared" si="54"/>
        <v>2.267773784270871</v>
      </c>
      <c r="H696">
        <f t="shared" si="56"/>
        <v>-5.2330104165192126E-2</v>
      </c>
      <c r="I696">
        <f t="shared" si="55"/>
        <v>0</v>
      </c>
      <c r="J696">
        <f t="shared" si="57"/>
        <v>2</v>
      </c>
      <c r="K696">
        <v>2.3893021315336199E-2</v>
      </c>
      <c r="L696">
        <v>1.07394643127918E-2</v>
      </c>
      <c r="M696">
        <v>7.0393231660127904E-3</v>
      </c>
      <c r="N696">
        <v>4.2497497051954998E-3</v>
      </c>
      <c r="O696">
        <f t="shared" si="58"/>
        <v>1.062521375715726E-2</v>
      </c>
    </row>
    <row r="697" spans="1:15" x14ac:dyDescent="0.35">
      <c r="A697" t="s">
        <v>51</v>
      </c>
      <c r="B697">
        <v>2017</v>
      </c>
      <c r="C697">
        <v>645063.1875</v>
      </c>
      <c r="D697" s="8">
        <v>0.94787758588790905</v>
      </c>
      <c r="E697" s="8">
        <v>1.4E-2</v>
      </c>
      <c r="F697">
        <v>2.3390163849019201</v>
      </c>
      <c r="G697">
        <f t="shared" si="54"/>
        <v>2.4676355045476512</v>
      </c>
      <c r="H697">
        <f t="shared" si="56"/>
        <v>8.8131242041427527E-2</v>
      </c>
      <c r="I697">
        <f t="shared" si="55"/>
        <v>1</v>
      </c>
      <c r="J697">
        <f t="shared" si="57"/>
        <v>2</v>
      </c>
      <c r="K697">
        <v>7.0393231660127904E-3</v>
      </c>
      <c r="L697">
        <v>4.2497497051954998E-3</v>
      </c>
      <c r="M697">
        <v>2.68199669420719E-2</v>
      </c>
      <c r="N697">
        <v>1.76849439740181E-2</v>
      </c>
      <c r="O697">
        <f t="shared" si="58"/>
        <v>1.4101251959800642E-2</v>
      </c>
    </row>
    <row r="698" spans="1:15" x14ac:dyDescent="0.35">
      <c r="A698" t="s">
        <v>51</v>
      </c>
      <c r="B698">
        <v>2018</v>
      </c>
      <c r="C698">
        <v>654510.375</v>
      </c>
      <c r="D698" s="8">
        <v>0.962488353252411</v>
      </c>
      <c r="E698" s="8">
        <v>1.7999999999999999E-2</v>
      </c>
      <c r="F698">
        <v>2.2364940374305</v>
      </c>
      <c r="G698">
        <f t="shared" si="54"/>
        <v>2.3236582862254989</v>
      </c>
      <c r="H698">
        <f t="shared" si="56"/>
        <v>-5.8346225792591411E-2</v>
      </c>
      <c r="I698">
        <f t="shared" si="55"/>
        <v>0</v>
      </c>
      <c r="J698">
        <f t="shared" si="57"/>
        <v>1</v>
      </c>
      <c r="K698">
        <v>2.68199669420719E-2</v>
      </c>
      <c r="L698">
        <v>1.76849439740181E-2</v>
      </c>
      <c r="M698">
        <v>1.38438299000263E-2</v>
      </c>
      <c r="N698">
        <v>-3.9573647081852003E-3</v>
      </c>
      <c r="O698">
        <f t="shared" si="58"/>
        <v>4.1267387568942051E-4</v>
      </c>
    </row>
    <row r="699" spans="1:15" x14ac:dyDescent="0.35">
      <c r="A699" t="s">
        <v>51</v>
      </c>
      <c r="B699">
        <v>2019</v>
      </c>
      <c r="C699">
        <v>663863.25</v>
      </c>
      <c r="D699" s="8">
        <v>0.92997163534164395</v>
      </c>
      <c r="E699" s="8">
        <v>3.5999999999999997E-2</v>
      </c>
      <c r="F699">
        <v>2.31569076891018</v>
      </c>
      <c r="G699">
        <f t="shared" si="54"/>
        <v>2.4900660201958353</v>
      </c>
      <c r="H699">
        <f t="shared" si="56"/>
        <v>7.1614546319823003E-2</v>
      </c>
      <c r="I699">
        <f t="shared" si="55"/>
        <v>1</v>
      </c>
      <c r="J699" t="str">
        <f t="shared" si="57"/>
        <v/>
      </c>
      <c r="K699">
        <v>1.38438299000263E-2</v>
      </c>
      <c r="L699">
        <v>-3.9573647081852003E-3</v>
      </c>
      <c r="M699">
        <v>8.7931417971848901E-3</v>
      </c>
      <c r="N699">
        <v>-1.0056048631668099E-2</v>
      </c>
      <c r="O699">
        <f t="shared" si="58"/>
        <v>2.8239527717231808E-3</v>
      </c>
    </row>
    <row r="700" spans="1:15" x14ac:dyDescent="0.35">
      <c r="A700" t="s">
        <v>51</v>
      </c>
      <c r="B700">
        <v>2020</v>
      </c>
      <c r="C700">
        <v>675686</v>
      </c>
      <c r="D700" s="8">
        <v>0.90079659223556496</v>
      </c>
      <c r="E700" s="8">
        <v>0.123</v>
      </c>
      <c r="F700">
        <v>2.0916262397973102</v>
      </c>
      <c r="G700">
        <f t="shared" si="54"/>
        <v>2.3219739704014493</v>
      </c>
      <c r="H700">
        <f t="shared" si="56"/>
        <v>-6.7505057468783991E-2</v>
      </c>
      <c r="I700">
        <f t="shared" si="55"/>
        <v>0</v>
      </c>
      <c r="J700" t="str">
        <f t="shared" si="57"/>
        <v/>
      </c>
      <c r="K700">
        <v>8.7931417971848901E-3</v>
      </c>
      <c r="L700">
        <v>-1.0056048631668099E-2</v>
      </c>
      <c r="M700">
        <v>8.8794401168822895E-2</v>
      </c>
      <c r="N700">
        <v>4.5204788446426003E-2</v>
      </c>
      <c r="O700">
        <f t="shared" si="58"/>
        <v>6.4268787391482812E-3</v>
      </c>
    </row>
    <row r="701" spans="1:15" x14ac:dyDescent="0.35">
      <c r="A701" t="s">
        <v>51</v>
      </c>
      <c r="B701">
        <v>2021</v>
      </c>
      <c r="C701">
        <v>692317.6875</v>
      </c>
      <c r="D701" s="8">
        <v>0.96208178997039795</v>
      </c>
      <c r="E701" s="8">
        <v>3.5999999999999997E-2</v>
      </c>
      <c r="F701">
        <v>2.3203301548806698</v>
      </c>
      <c r="G701">
        <f t="shared" si="54"/>
        <v>2.4117805565700019</v>
      </c>
      <c r="H701">
        <f t="shared" si="56"/>
        <v>3.8676827265650138E-2</v>
      </c>
      <c r="I701">
        <f t="shared" si="55"/>
        <v>1</v>
      </c>
      <c r="J701" t="str">
        <f t="shared" si="57"/>
        <v/>
      </c>
      <c r="K701">
        <v>8.8794401168822895E-2</v>
      </c>
      <c r="L701">
        <v>4.5204788446426003E-2</v>
      </c>
      <c r="M701">
        <v>-1.0473566055297799E-2</v>
      </c>
      <c r="N701">
        <v>2.1629940718412399E-2</v>
      </c>
      <c r="O701">
        <f t="shared" si="58"/>
        <v>-5.0190060399472793E-3</v>
      </c>
    </row>
    <row r="702" spans="1:15" x14ac:dyDescent="0.35">
      <c r="A702" t="s">
        <v>51</v>
      </c>
      <c r="B702">
        <v>2022</v>
      </c>
      <c r="C702">
        <v>711591</v>
      </c>
      <c r="D702" s="8">
        <v>0.922721207141876</v>
      </c>
      <c r="E702" s="8">
        <v>5.3999999999999999E-2</v>
      </c>
      <c r="F702">
        <v>2.1954650800319802</v>
      </c>
      <c r="G702">
        <f t="shared" si="54"/>
        <v>2.3793374022825611</v>
      </c>
      <c r="H702">
        <f t="shared" si="56"/>
        <v>-1.3451951173195087E-2</v>
      </c>
      <c r="I702">
        <f t="shared" si="55"/>
        <v>0</v>
      </c>
      <c r="J702" t="str">
        <f t="shared" si="57"/>
        <v/>
      </c>
      <c r="K702">
        <v>-1.0473566055297799E-2</v>
      </c>
      <c r="L702">
        <v>2.2108644247055002E-2</v>
      </c>
      <c r="M702">
        <v>-7.0316874220967301E-2</v>
      </c>
      <c r="N702">
        <v>-5.0757946446537999E-2</v>
      </c>
      <c r="O702">
        <f t="shared" si="58"/>
        <v>-1.931918086484101E-3</v>
      </c>
    </row>
    <row r="703" spans="1:15" x14ac:dyDescent="0.35">
      <c r="A703" t="s">
        <v>52</v>
      </c>
      <c r="B703">
        <v>2006</v>
      </c>
      <c r="C703">
        <v>2385183</v>
      </c>
      <c r="D703" s="8">
        <v>0.92941576242446899</v>
      </c>
      <c r="E703" s="8">
        <v>6.0000000000000001E-3</v>
      </c>
      <c r="F703">
        <v>2.1630939189971299</v>
      </c>
      <c r="G703">
        <f t="shared" si="54"/>
        <v>2.3273695222840796</v>
      </c>
      <c r="H703">
        <f t="shared" si="56"/>
        <v>-2.1841324374015758E-2</v>
      </c>
      <c r="I703">
        <f t="shared" si="55"/>
        <v>0</v>
      </c>
      <c r="J703" t="str">
        <f t="shared" si="57"/>
        <v/>
      </c>
      <c r="K703">
        <v>-1.05689860582352E-2</v>
      </c>
      <c r="L703">
        <v>-1.69320255517959E-2</v>
      </c>
      <c r="M703">
        <v>7.1772738397120998E-3</v>
      </c>
      <c r="N703">
        <v>8.0990297719835992E-3</v>
      </c>
      <c r="O703" t="str">
        <f t="shared" si="58"/>
        <v/>
      </c>
    </row>
    <row r="704" spans="1:15" x14ac:dyDescent="0.35">
      <c r="A704" t="s">
        <v>52</v>
      </c>
      <c r="B704">
        <v>2007</v>
      </c>
      <c r="C704">
        <v>2429991</v>
      </c>
      <c r="D704" s="8">
        <v>0.92811191082000699</v>
      </c>
      <c r="E704" s="8">
        <v>1.2E-2</v>
      </c>
      <c r="F704">
        <v>2.2002610915184202</v>
      </c>
      <c r="G704">
        <f t="shared" si="54"/>
        <v>2.3706851144431944</v>
      </c>
      <c r="H704">
        <f t="shared" si="56"/>
        <v>1.8611394428077244E-2</v>
      </c>
      <c r="I704">
        <f t="shared" si="55"/>
        <v>1</v>
      </c>
      <c r="J704" t="str">
        <f t="shared" si="57"/>
        <v/>
      </c>
      <c r="K704">
        <v>7.1772738397120998E-3</v>
      </c>
      <c r="L704">
        <v>8.0990297719835992E-3</v>
      </c>
      <c r="M704">
        <v>-2.1552223071456E-2</v>
      </c>
      <c r="N704">
        <v>7.9585812054574004E-3</v>
      </c>
      <c r="O704" t="str">
        <f t="shared" si="58"/>
        <v/>
      </c>
    </row>
    <row r="705" spans="1:15" x14ac:dyDescent="0.35">
      <c r="A705" t="s">
        <v>52</v>
      </c>
      <c r="B705">
        <v>2008</v>
      </c>
      <c r="C705">
        <v>2475438</v>
      </c>
      <c r="D705" s="8">
        <v>0.91626143455505404</v>
      </c>
      <c r="E705" s="8">
        <v>1.4999999999999999E-2</v>
      </c>
      <c r="F705">
        <v>2.1579009839137901</v>
      </c>
      <c r="G705">
        <f t="shared" si="54"/>
        <v>2.3551149295743183</v>
      </c>
      <c r="H705">
        <f t="shared" si="56"/>
        <v>-6.5677996516770865E-3</v>
      </c>
      <c r="I705">
        <f t="shared" si="55"/>
        <v>0</v>
      </c>
      <c r="J705" t="str">
        <f t="shared" si="57"/>
        <v/>
      </c>
      <c r="K705">
        <v>-2.1552223071456E-2</v>
      </c>
      <c r="L705">
        <v>7.9585812054574004E-3</v>
      </c>
      <c r="M705">
        <v>-3.8591337114572397E-2</v>
      </c>
      <c r="N705">
        <v>-1.20246354490518E-2</v>
      </c>
      <c r="O705" t="str">
        <f t="shared" si="58"/>
        <v/>
      </c>
    </row>
    <row r="706" spans="1:15" x14ac:dyDescent="0.35">
      <c r="A706" t="s">
        <v>52</v>
      </c>
      <c r="B706">
        <v>2009</v>
      </c>
      <c r="C706">
        <v>2520739</v>
      </c>
      <c r="D706" s="8">
        <v>0.91566562652587902</v>
      </c>
      <c r="E706" s="8">
        <v>0.02</v>
      </c>
      <c r="F706">
        <v>2.2349336087516498</v>
      </c>
      <c r="G706">
        <f t="shared" si="54"/>
        <v>2.4407748243550396</v>
      </c>
      <c r="H706">
        <f t="shared" si="56"/>
        <v>3.6371853324459247E-2</v>
      </c>
      <c r="I706">
        <f t="shared" si="55"/>
        <v>1</v>
      </c>
      <c r="J706" t="str">
        <f t="shared" si="57"/>
        <v/>
      </c>
      <c r="K706">
        <v>-3.8591337114572397E-2</v>
      </c>
      <c r="L706">
        <v>-1.20246354490518E-2</v>
      </c>
      <c r="M706">
        <v>2.7605271726846702E-2</v>
      </c>
      <c r="N706">
        <v>3.70653804857283E-2</v>
      </c>
      <c r="O706" t="str">
        <f t="shared" si="58"/>
        <v/>
      </c>
    </row>
    <row r="707" spans="1:15" x14ac:dyDescent="0.35">
      <c r="A707" t="s">
        <v>52</v>
      </c>
      <c r="B707">
        <v>2010</v>
      </c>
      <c r="C707">
        <v>2565782</v>
      </c>
      <c r="D707" s="8">
        <v>0.93138557672500599</v>
      </c>
      <c r="E707" s="8">
        <v>5.0000000000000001E-3</v>
      </c>
      <c r="F707">
        <v>2.2721566124055701</v>
      </c>
      <c r="G707">
        <f t="shared" ref="G707:G770" si="59">F707/D707</f>
        <v>2.4395445551079544</v>
      </c>
      <c r="H707">
        <f t="shared" si="56"/>
        <v>-5.0404864668751603E-4</v>
      </c>
      <c r="I707">
        <f t="shared" ref="I707:I770" si="60">IF(H707&gt;0,1,0)</f>
        <v>0</v>
      </c>
      <c r="J707">
        <f t="shared" si="57"/>
        <v>2</v>
      </c>
      <c r="K707">
        <v>2.7605271726846702E-2</v>
      </c>
      <c r="L707">
        <v>3.70653804857283E-2</v>
      </c>
      <c r="M707">
        <v>-5.3195863664150002E-3</v>
      </c>
      <c r="N707">
        <v>1.59641881473363E-2</v>
      </c>
      <c r="O707">
        <f t="shared" si="58"/>
        <v>2.1198608260601763E-2</v>
      </c>
    </row>
    <row r="708" spans="1:15" x14ac:dyDescent="0.35">
      <c r="A708" t="s">
        <v>52</v>
      </c>
      <c r="B708">
        <v>2011</v>
      </c>
      <c r="C708">
        <v>2611694</v>
      </c>
      <c r="D708" s="8">
        <v>0.93465977907180797</v>
      </c>
      <c r="E708" s="8">
        <v>0</v>
      </c>
      <c r="F708">
        <v>2.24167453437473</v>
      </c>
      <c r="G708">
        <f t="shared" si="59"/>
        <v>2.3983855779061045</v>
      </c>
      <c r="H708">
        <f t="shared" ref="H708:H771" si="61">+G708/G707-1</f>
        <v>-1.6871582490949222E-2</v>
      </c>
      <c r="I708">
        <f t="shared" si="60"/>
        <v>0</v>
      </c>
      <c r="J708">
        <f t="shared" si="57"/>
        <v>2</v>
      </c>
      <c r="K708">
        <v>-5.3195863664150002E-3</v>
      </c>
      <c r="L708">
        <v>1.59641881473363E-2</v>
      </c>
      <c r="M708">
        <v>1.8165083318948599E-2</v>
      </c>
      <c r="N708">
        <v>2.3603289388120001E-2</v>
      </c>
      <c r="O708">
        <f t="shared" si="58"/>
        <v>1.6439254395663721E-2</v>
      </c>
    </row>
    <row r="709" spans="1:15" x14ac:dyDescent="0.35">
      <c r="A709" t="s">
        <v>52</v>
      </c>
      <c r="B709">
        <v>2012</v>
      </c>
      <c r="C709">
        <v>2658167</v>
      </c>
      <c r="D709" s="8">
        <v>0.94649666547775302</v>
      </c>
      <c r="E709" s="8">
        <v>1.0999999999999999E-2</v>
      </c>
      <c r="F709">
        <v>2.3119904747485802</v>
      </c>
      <c r="G709">
        <f t="shared" si="59"/>
        <v>2.4426821129703415</v>
      </c>
      <c r="H709">
        <f t="shared" si="61"/>
        <v>1.8469313471652038E-2</v>
      </c>
      <c r="I709">
        <f t="shared" si="60"/>
        <v>1</v>
      </c>
      <c r="J709">
        <f t="shared" si="57"/>
        <v>2</v>
      </c>
      <c r="K709">
        <v>1.8165083318948599E-2</v>
      </c>
      <c r="L709">
        <v>2.35176905989645E-2</v>
      </c>
      <c r="M709">
        <v>2.7364813387394001E-2</v>
      </c>
      <c r="N709">
        <v>2.12380420416594E-2</v>
      </c>
      <c r="O709">
        <f t="shared" si="58"/>
        <v>1.2126406654715561E-2</v>
      </c>
    </row>
    <row r="710" spans="1:15" x14ac:dyDescent="0.35">
      <c r="A710" t="s">
        <v>52</v>
      </c>
      <c r="B710">
        <v>2013</v>
      </c>
      <c r="C710">
        <v>2706927</v>
      </c>
      <c r="D710" s="8">
        <v>0.94569063186645497</v>
      </c>
      <c r="E710" s="8">
        <v>1.7999999999999999E-2</v>
      </c>
      <c r="F710">
        <v>2.2863843777087598</v>
      </c>
      <c r="G710">
        <f t="shared" si="59"/>
        <v>2.4176874557763726</v>
      </c>
      <c r="H710">
        <f t="shared" si="61"/>
        <v>-1.0232464167666544E-2</v>
      </c>
      <c r="I710">
        <f t="shared" si="60"/>
        <v>0</v>
      </c>
      <c r="J710">
        <f t="shared" si="57"/>
        <v>2</v>
      </c>
      <c r="K710">
        <v>2.7364813387394001E-2</v>
      </c>
      <c r="L710">
        <v>2.12380420416594E-2</v>
      </c>
      <c r="M710">
        <v>2.56496619582176E-2</v>
      </c>
      <c r="N710">
        <v>2.3641638457775099E-2</v>
      </c>
      <c r="O710">
        <f t="shared" si="58"/>
        <v>8.5741512477397995E-3</v>
      </c>
    </row>
    <row r="711" spans="1:15" x14ac:dyDescent="0.35">
      <c r="A711" t="s">
        <v>52</v>
      </c>
      <c r="B711">
        <v>2014</v>
      </c>
      <c r="C711">
        <v>2760078</v>
      </c>
      <c r="D711" s="8">
        <v>0.93965232372283902</v>
      </c>
      <c r="E711" s="8">
        <v>4.3999999999999997E-2</v>
      </c>
      <c r="F711">
        <v>2.3204646017699102</v>
      </c>
      <c r="G711">
        <f t="shared" si="59"/>
        <v>2.4694927508680937</v>
      </c>
      <c r="H711">
        <f t="shared" si="61"/>
        <v>2.1427622899704124E-2</v>
      </c>
      <c r="I711">
        <f t="shared" si="60"/>
        <v>1</v>
      </c>
      <c r="J711">
        <f t="shared" ref="J711:J774" si="62">IF(AND(B711&gt;=2010,B711&lt;=2018),SUM(I707:I711),"")</f>
        <v>2</v>
      </c>
      <c r="K711">
        <v>2.56496619582176E-2</v>
      </c>
      <c r="L711">
        <v>2.3641638457775099E-2</v>
      </c>
      <c r="M711">
        <v>5.1809335291385698E-2</v>
      </c>
      <c r="N711">
        <v>2.1545883268117998E-2</v>
      </c>
      <c r="O711">
        <f t="shared" ref="O711:O774" si="63">IF(B711&gt;=2010,AVERAGE(N711:N715),"")</f>
        <v>2.3910049349069795E-3</v>
      </c>
    </row>
    <row r="712" spans="1:15" x14ac:dyDescent="0.35">
      <c r="A712" t="s">
        <v>52</v>
      </c>
      <c r="B712">
        <v>2015</v>
      </c>
      <c r="C712">
        <v>2813115</v>
      </c>
      <c r="D712" s="8">
        <v>0.93718242645263705</v>
      </c>
      <c r="E712" s="8">
        <v>4.2999999999999997E-2</v>
      </c>
      <c r="F712">
        <v>2.3172144476199801</v>
      </c>
      <c r="G712">
        <f t="shared" si="59"/>
        <v>2.4725329692650684</v>
      </c>
      <c r="H712">
        <f t="shared" si="61"/>
        <v>1.2311104763946812E-3</v>
      </c>
      <c r="I712">
        <f t="shared" si="60"/>
        <v>1</v>
      </c>
      <c r="J712">
        <f t="shared" si="62"/>
        <v>3</v>
      </c>
      <c r="K712">
        <v>5.1809335291385698E-2</v>
      </c>
      <c r="L712">
        <v>2.1545883268117998E-2</v>
      </c>
      <c r="M712">
        <v>5.3209758251904996E-3</v>
      </c>
      <c r="N712">
        <v>-7.8325811773539006E-3</v>
      </c>
      <c r="O712">
        <f t="shared" si="63"/>
        <v>-7.5034731999039398E-3</v>
      </c>
    </row>
    <row r="713" spans="1:15" x14ac:dyDescent="0.35">
      <c r="A713" t="s">
        <v>52</v>
      </c>
      <c r="B713">
        <v>2016</v>
      </c>
      <c r="C713">
        <v>2852935</v>
      </c>
      <c r="D713" s="8">
        <v>0.92610472440719604</v>
      </c>
      <c r="E713" s="8">
        <v>2.8000000000000001E-2</v>
      </c>
      <c r="F713">
        <v>2.3200313281801401</v>
      </c>
      <c r="G713">
        <f t="shared" si="59"/>
        <v>2.5051500840417407</v>
      </c>
      <c r="H713">
        <f t="shared" si="61"/>
        <v>1.3191781538252734E-2</v>
      </c>
      <c r="I713">
        <f t="shared" si="60"/>
        <v>1</v>
      </c>
      <c r="J713">
        <f t="shared" si="62"/>
        <v>4</v>
      </c>
      <c r="K713">
        <v>5.3209758251904996E-3</v>
      </c>
      <c r="L713">
        <v>-7.8325811773539006E-3</v>
      </c>
      <c r="M713">
        <v>4.8286241441964899E-3</v>
      </c>
      <c r="N713">
        <v>2.0390506833792002E-3</v>
      </c>
      <c r="O713">
        <f t="shared" si="63"/>
        <v>-8.7318476289515996E-4</v>
      </c>
    </row>
    <row r="714" spans="1:15" x14ac:dyDescent="0.35">
      <c r="A714" t="s">
        <v>52</v>
      </c>
      <c r="B714">
        <v>2017</v>
      </c>
      <c r="C714">
        <v>2887072</v>
      </c>
      <c r="D714" s="8">
        <v>0.92054426670074496</v>
      </c>
      <c r="E714" s="8">
        <v>4.2000000000000003E-2</v>
      </c>
      <c r="F714">
        <v>2.2415199336785001</v>
      </c>
      <c r="G714">
        <f t="shared" si="59"/>
        <v>2.434994181987757</v>
      </c>
      <c r="H714">
        <f t="shared" si="61"/>
        <v>-2.8004670259434539E-2</v>
      </c>
      <c r="I714">
        <f t="shared" si="60"/>
        <v>0</v>
      </c>
      <c r="J714">
        <f t="shared" si="62"/>
        <v>3</v>
      </c>
      <c r="K714">
        <v>4.8286241441964899E-3</v>
      </c>
      <c r="L714">
        <v>2.0390506833792002E-3</v>
      </c>
      <c r="M714">
        <v>1.26117879748344E-2</v>
      </c>
      <c r="N714">
        <v>3.4767650067806001E-3</v>
      </c>
      <c r="O714">
        <f t="shared" si="63"/>
        <v>-3.6728138104081404E-3</v>
      </c>
    </row>
    <row r="715" spans="1:15" x14ac:dyDescent="0.35">
      <c r="A715" t="s">
        <v>52</v>
      </c>
      <c r="B715">
        <v>2018</v>
      </c>
      <c r="C715">
        <v>2922716</v>
      </c>
      <c r="D715" s="8">
        <v>0.92490065097808805</v>
      </c>
      <c r="E715" s="8">
        <v>4.5999999999999999E-2</v>
      </c>
      <c r="F715">
        <v>2.2063169287787598</v>
      </c>
      <c r="G715">
        <f t="shared" si="59"/>
        <v>2.3854636997450118</v>
      </c>
      <c r="H715">
        <f t="shared" si="61"/>
        <v>-2.0341109070869279E-2</v>
      </c>
      <c r="I715">
        <f t="shared" si="60"/>
        <v>0</v>
      </c>
      <c r="J715">
        <f t="shared" si="62"/>
        <v>3</v>
      </c>
      <c r="K715">
        <v>1.26117879748344E-2</v>
      </c>
      <c r="L715">
        <v>3.4767650067806001E-3</v>
      </c>
      <c r="M715">
        <v>1.0527101501822501E-2</v>
      </c>
      <c r="N715">
        <v>-7.2740931063889997E-3</v>
      </c>
      <c r="O715">
        <f t="shared" si="63"/>
        <v>-6.6599836573004792E-3</v>
      </c>
    </row>
    <row r="716" spans="1:15" x14ac:dyDescent="0.35">
      <c r="A716" t="s">
        <v>52</v>
      </c>
      <c r="B716">
        <v>2019</v>
      </c>
      <c r="C716">
        <v>2950935</v>
      </c>
      <c r="D716" s="8">
        <v>0.92134112119674705</v>
      </c>
      <c r="E716" s="8">
        <v>3.9E-2</v>
      </c>
      <c r="F716">
        <v>2.1872864238923801</v>
      </c>
      <c r="G716">
        <f t="shared" si="59"/>
        <v>2.3740245318164823</v>
      </c>
      <c r="H716">
        <f t="shared" si="61"/>
        <v>-4.7953644944386253E-3</v>
      </c>
      <c r="I716">
        <f t="shared" si="60"/>
        <v>0</v>
      </c>
      <c r="J716" t="str">
        <f t="shared" si="62"/>
        <v/>
      </c>
      <c r="K716">
        <v>1.0527101501822501E-2</v>
      </c>
      <c r="L716">
        <v>-7.2740931063889997E-3</v>
      </c>
      <c r="M716">
        <v>-9.0773169770836798E-3</v>
      </c>
      <c r="N716">
        <v>-2.79265074059366E-2</v>
      </c>
      <c r="O716">
        <f t="shared" si="63"/>
        <v>-1.2118557747453459E-2</v>
      </c>
    </row>
    <row r="717" spans="1:15" x14ac:dyDescent="0.35">
      <c r="A717" t="s">
        <v>52</v>
      </c>
      <c r="B717">
        <v>2020</v>
      </c>
      <c r="C717">
        <v>2972191</v>
      </c>
      <c r="D717" s="8">
        <v>0.92346256971359297</v>
      </c>
      <c r="E717" s="8">
        <v>0.03</v>
      </c>
      <c r="F717">
        <v>2.0774456489877799</v>
      </c>
      <c r="G717">
        <f t="shared" si="59"/>
        <v>2.2496262622014975</v>
      </c>
      <c r="H717">
        <f t="shared" si="61"/>
        <v>-5.2399740587264154E-2</v>
      </c>
      <c r="I717">
        <f t="shared" si="60"/>
        <v>0</v>
      </c>
      <c r="J717" t="str">
        <f t="shared" si="62"/>
        <v/>
      </c>
      <c r="K717">
        <v>-9.0773169770836798E-3</v>
      </c>
      <c r="L717">
        <v>-2.79265074059366E-2</v>
      </c>
      <c r="M717">
        <v>6.8908473730087003E-2</v>
      </c>
      <c r="N717">
        <v>2.5318861007689999E-2</v>
      </c>
      <c r="O717">
        <f t="shared" si="63"/>
        <v>-8.344230998773159E-3</v>
      </c>
    </row>
    <row r="718" spans="1:15" x14ac:dyDescent="0.35">
      <c r="A718" t="s">
        <v>52</v>
      </c>
      <c r="B718">
        <v>2021</v>
      </c>
      <c r="C718">
        <v>2981072</v>
      </c>
      <c r="D718" s="8">
        <v>0.93273788690567005</v>
      </c>
      <c r="E718" s="8">
        <v>3.6999999999999998E-2</v>
      </c>
      <c r="F718">
        <v>2.09756253371568</v>
      </c>
      <c r="G718">
        <f t="shared" si="59"/>
        <v>2.248823129372691</v>
      </c>
      <c r="H718">
        <f t="shared" si="61"/>
        <v>-3.5700722484477421E-4</v>
      </c>
      <c r="I718">
        <f t="shared" si="60"/>
        <v>0</v>
      </c>
      <c r="J718" t="str">
        <f t="shared" si="62"/>
        <v/>
      </c>
      <c r="K718">
        <v>6.8908473730087003E-2</v>
      </c>
      <c r="L718">
        <v>2.5318861007689999E-2</v>
      </c>
      <c r="M718">
        <v>-4.4062601327896099E-2</v>
      </c>
      <c r="N718">
        <v>-1.1959094554185701E-2</v>
      </c>
      <c r="O718">
        <f t="shared" si="63"/>
        <v>-1.1946096841711508E-2</v>
      </c>
    </row>
    <row r="719" spans="1:15" x14ac:dyDescent="0.35">
      <c r="A719" t="s">
        <v>52</v>
      </c>
      <c r="B719">
        <v>2022</v>
      </c>
      <c r="C719">
        <v>2998424</v>
      </c>
      <c r="D719" s="8">
        <v>0.92496645450591997</v>
      </c>
      <c r="E719" s="8">
        <v>3.4000000000000002E-2</v>
      </c>
      <c r="F719">
        <v>2.0732066995235798</v>
      </c>
      <c r="G719">
        <f t="shared" si="59"/>
        <v>2.2413858247767524</v>
      </c>
      <c r="H719">
        <f t="shared" si="61"/>
        <v>-3.3071985514544489E-3</v>
      </c>
      <c r="I719">
        <f t="shared" si="60"/>
        <v>0</v>
      </c>
      <c r="J719" t="str">
        <f t="shared" si="62"/>
        <v/>
      </c>
      <c r="K719">
        <v>-4.4062601327896099E-2</v>
      </c>
      <c r="L719">
        <v>-1.14803910255431E-2</v>
      </c>
      <c r="M719">
        <v>-3.10180120021104E-2</v>
      </c>
      <c r="N719">
        <v>-1.1459084227681099E-2</v>
      </c>
      <c r="O719">
        <f t="shared" si="63"/>
        <v>-1.286986802006139E-2</v>
      </c>
    </row>
    <row r="720" spans="1:15" x14ac:dyDescent="0.35">
      <c r="A720" t="s">
        <v>53</v>
      </c>
      <c r="B720">
        <v>2006</v>
      </c>
      <c r="C720">
        <v>4401304</v>
      </c>
      <c r="D720" s="8">
        <v>0.92175990343093905</v>
      </c>
      <c r="E720" s="8">
        <v>0</v>
      </c>
      <c r="F720">
        <v>2.1586323130930301</v>
      </c>
      <c r="G720">
        <f t="shared" si="59"/>
        <v>2.3418596372637301</v>
      </c>
      <c r="H720">
        <f t="shared" si="61"/>
        <v>4.4826647592894897E-2</v>
      </c>
      <c r="I720">
        <f t="shared" si="60"/>
        <v>1</v>
      </c>
      <c r="J720" t="str">
        <f t="shared" si="62"/>
        <v/>
      </c>
      <c r="K720">
        <v>-3.00485445121303E-2</v>
      </c>
      <c r="L720">
        <v>-3.6411584005691097E-2</v>
      </c>
      <c r="M720">
        <v>-3.5488719489425398E-2</v>
      </c>
      <c r="N720">
        <v>-3.4566963557153899E-2</v>
      </c>
      <c r="O720" t="str">
        <f t="shared" si="63"/>
        <v/>
      </c>
    </row>
    <row r="721" spans="1:15" x14ac:dyDescent="0.35">
      <c r="A721" t="s">
        <v>53</v>
      </c>
      <c r="B721">
        <v>2007</v>
      </c>
      <c r="C721">
        <v>4367684</v>
      </c>
      <c r="D721" s="8">
        <v>0.91950678825378396</v>
      </c>
      <c r="E721" s="8">
        <v>3.0000000000000001E-3</v>
      </c>
      <c r="F721">
        <v>2.2124280916243402</v>
      </c>
      <c r="G721">
        <f t="shared" si="59"/>
        <v>2.4061030542535917</v>
      </c>
      <c r="H721">
        <f t="shared" si="61"/>
        <v>2.7432650517400292E-2</v>
      </c>
      <c r="I721">
        <f t="shared" si="60"/>
        <v>1</v>
      </c>
      <c r="J721" t="str">
        <f t="shared" si="62"/>
        <v/>
      </c>
      <c r="K721">
        <v>-3.5488719489425398E-2</v>
      </c>
      <c r="L721">
        <v>-3.4566963557153899E-2</v>
      </c>
      <c r="M721">
        <v>-3.8565677939448498E-2</v>
      </c>
      <c r="N721">
        <v>-9.0548736625350994E-3</v>
      </c>
      <c r="O721" t="str">
        <f t="shared" si="63"/>
        <v/>
      </c>
    </row>
    <row r="722" spans="1:15" x14ac:dyDescent="0.35">
      <c r="A722" t="s">
        <v>53</v>
      </c>
      <c r="B722">
        <v>2008</v>
      </c>
      <c r="C722">
        <v>4332744</v>
      </c>
      <c r="D722" s="8">
        <v>0.91991215944290206</v>
      </c>
      <c r="E722" s="8">
        <v>2E-3</v>
      </c>
      <c r="F722">
        <v>2.2295994840461</v>
      </c>
      <c r="G722">
        <f t="shared" si="59"/>
        <v>2.4237091130487323</v>
      </c>
      <c r="H722">
        <f t="shared" si="61"/>
        <v>7.3172505076273264E-3</v>
      </c>
      <c r="I722">
        <f t="shared" si="60"/>
        <v>1</v>
      </c>
      <c r="J722" t="str">
        <f t="shared" si="62"/>
        <v/>
      </c>
      <c r="K722">
        <v>-3.8565677939448498E-2</v>
      </c>
      <c r="L722">
        <v>-9.0548736625350994E-3</v>
      </c>
      <c r="M722">
        <v>-1.9257169872522399E-2</v>
      </c>
      <c r="N722">
        <v>7.3095317929982497E-3</v>
      </c>
      <c r="O722" t="str">
        <f t="shared" si="63"/>
        <v/>
      </c>
    </row>
    <row r="723" spans="1:15" x14ac:dyDescent="0.35">
      <c r="A723" t="s">
        <v>53</v>
      </c>
      <c r="B723">
        <v>2009</v>
      </c>
      <c r="C723">
        <v>4307412</v>
      </c>
      <c r="D723" s="8">
        <v>0.91438645124435403</v>
      </c>
      <c r="E723" s="8">
        <v>3.0000000000000001E-3</v>
      </c>
      <c r="F723">
        <v>2.2805779328789</v>
      </c>
      <c r="G723">
        <f t="shared" si="59"/>
        <v>2.4941073107276988</v>
      </c>
      <c r="H723">
        <f t="shared" si="61"/>
        <v>2.9045646319501683E-2</v>
      </c>
      <c r="I723">
        <f t="shared" si="60"/>
        <v>1</v>
      </c>
      <c r="J723" t="str">
        <f t="shared" si="62"/>
        <v/>
      </c>
      <c r="K723">
        <v>-1.9257169872522399E-2</v>
      </c>
      <c r="L723">
        <v>7.3095317929982497E-3</v>
      </c>
      <c r="M723">
        <v>-2.6038059204816701E-2</v>
      </c>
      <c r="N723">
        <v>-1.6577950445935099E-2</v>
      </c>
      <c r="O723" t="str">
        <f t="shared" si="63"/>
        <v/>
      </c>
    </row>
    <row r="724" spans="1:15" x14ac:dyDescent="0.35">
      <c r="A724" t="s">
        <v>53</v>
      </c>
      <c r="B724">
        <v>2010</v>
      </c>
      <c r="C724">
        <v>4295672</v>
      </c>
      <c r="D724" s="8">
        <v>0.925686836242676</v>
      </c>
      <c r="E724" s="8">
        <v>1E-3</v>
      </c>
      <c r="F724">
        <v>2.25248941787854</v>
      </c>
      <c r="G724">
        <f t="shared" si="59"/>
        <v>2.4333168947516852</v>
      </c>
      <c r="H724">
        <f t="shared" si="61"/>
        <v>-2.4373616850622559E-2</v>
      </c>
      <c r="I724">
        <f t="shared" si="60"/>
        <v>0</v>
      </c>
      <c r="J724">
        <f t="shared" si="62"/>
        <v>4</v>
      </c>
      <c r="K724">
        <v>-2.6038059204816701E-2</v>
      </c>
      <c r="L724">
        <v>-1.6577950445935099E-2</v>
      </c>
      <c r="M724">
        <v>-2.4167827673256401E-2</v>
      </c>
      <c r="N724">
        <v>-2.8840531595050998E-3</v>
      </c>
      <c r="O724">
        <f t="shared" si="63"/>
        <v>9.1540766879917785E-4</v>
      </c>
    </row>
    <row r="725" spans="1:15" x14ac:dyDescent="0.35">
      <c r="A725" t="s">
        <v>53</v>
      </c>
      <c r="B725">
        <v>2011</v>
      </c>
      <c r="C725">
        <v>4305976</v>
      </c>
      <c r="D725" s="8">
        <v>0.93014091253280595</v>
      </c>
      <c r="E725" s="8">
        <v>-1E-3</v>
      </c>
      <c r="F725">
        <v>2.2657444759172098</v>
      </c>
      <c r="G725">
        <f t="shared" si="59"/>
        <v>2.4359152956163483</v>
      </c>
      <c r="H725">
        <f t="shared" si="61"/>
        <v>1.0678431856809834E-3</v>
      </c>
      <c r="I725">
        <f t="shared" si="60"/>
        <v>1</v>
      </c>
      <c r="J725">
        <f t="shared" si="62"/>
        <v>4</v>
      </c>
      <c r="K725">
        <v>-2.4167827673256401E-2</v>
      </c>
      <c r="L725">
        <v>-2.8840531595050998E-3</v>
      </c>
      <c r="M725">
        <v>-2.4606513828039E-3</v>
      </c>
      <c r="N725">
        <v>2.9775546863674901E-3</v>
      </c>
      <c r="O725">
        <f t="shared" si="63"/>
        <v>3.6823201924562577E-3</v>
      </c>
    </row>
    <row r="726" spans="1:15" x14ac:dyDescent="0.35">
      <c r="A726" t="s">
        <v>53</v>
      </c>
      <c r="B726">
        <v>2012</v>
      </c>
      <c r="C726">
        <v>4322914</v>
      </c>
      <c r="D726" s="8">
        <v>0.93629276752471902</v>
      </c>
      <c r="E726" s="8">
        <v>2E-3</v>
      </c>
      <c r="F726">
        <v>2.2332834771239201</v>
      </c>
      <c r="G726">
        <f t="shared" si="59"/>
        <v>2.3852405514442458</v>
      </c>
      <c r="H726">
        <f t="shared" si="61"/>
        <v>-2.0803163502153055E-2</v>
      </c>
      <c r="I726">
        <f t="shared" si="60"/>
        <v>0</v>
      </c>
      <c r="J726">
        <f t="shared" si="62"/>
        <v>3</v>
      </c>
      <c r="K726">
        <v>-2.4606513828039E-3</v>
      </c>
      <c r="L726">
        <v>2.8919558972119999E-3</v>
      </c>
      <c r="M726">
        <v>4.99718882143499E-3</v>
      </c>
      <c r="N726">
        <v>-1.1295825242995999E-3</v>
      </c>
      <c r="O726">
        <f t="shared" si="63"/>
        <v>3.8591044023633197E-3</v>
      </c>
    </row>
    <row r="727" spans="1:15" x14ac:dyDescent="0.35">
      <c r="A727" t="s">
        <v>53</v>
      </c>
      <c r="B727">
        <v>2013</v>
      </c>
      <c r="C727">
        <v>4335569</v>
      </c>
      <c r="D727" s="8">
        <v>0.93920499086380005</v>
      </c>
      <c r="E727" s="8">
        <v>0</v>
      </c>
      <c r="F727">
        <v>2.24517699980442</v>
      </c>
      <c r="G727">
        <f t="shared" si="59"/>
        <v>2.3905079526243775</v>
      </c>
      <c r="H727">
        <f t="shared" si="61"/>
        <v>2.2083312213279083E-3</v>
      </c>
      <c r="I727">
        <f t="shared" si="60"/>
        <v>1</v>
      </c>
      <c r="J727">
        <f t="shared" si="62"/>
        <v>3</v>
      </c>
      <c r="K727">
        <v>4.99718882143499E-3</v>
      </c>
      <c r="L727">
        <v>-1.1295825242995999E-3</v>
      </c>
      <c r="M727">
        <v>-1.48040445894E-3</v>
      </c>
      <c r="N727">
        <v>-3.4884279593825002E-3</v>
      </c>
      <c r="O727">
        <f t="shared" si="63"/>
        <v>4.0290178731084009E-3</v>
      </c>
    </row>
    <row r="728" spans="1:15" x14ac:dyDescent="0.35">
      <c r="A728" t="s">
        <v>53</v>
      </c>
      <c r="B728">
        <v>2014</v>
      </c>
      <c r="C728">
        <v>4348159</v>
      </c>
      <c r="D728" s="8">
        <v>0.93956470489501998</v>
      </c>
      <c r="E728" s="8">
        <v>4.0000000000000001E-3</v>
      </c>
      <c r="F728">
        <v>2.1800573351614099</v>
      </c>
      <c r="G728">
        <f t="shared" si="59"/>
        <v>2.3202844080919296</v>
      </c>
      <c r="H728">
        <f t="shared" si="61"/>
        <v>-2.937599285346626E-2</v>
      </c>
      <c r="I728">
        <f t="shared" si="60"/>
        <v>0</v>
      </c>
      <c r="J728">
        <f t="shared" si="62"/>
        <v>2</v>
      </c>
      <c r="K728">
        <v>-1.48040445894E-3</v>
      </c>
      <c r="L728">
        <v>-3.4884279593825002E-3</v>
      </c>
      <c r="M728">
        <v>3.93649993240833E-2</v>
      </c>
      <c r="N728">
        <v>9.1015473008155996E-3</v>
      </c>
      <c r="O728">
        <f t="shared" si="63"/>
        <v>4.5068301260471405E-3</v>
      </c>
    </row>
    <row r="729" spans="1:15" x14ac:dyDescent="0.35">
      <c r="A729" t="s">
        <v>53</v>
      </c>
      <c r="B729">
        <v>2015</v>
      </c>
      <c r="C729">
        <v>4356755</v>
      </c>
      <c r="D729" s="8">
        <v>0.94465166330337502</v>
      </c>
      <c r="E729" s="8">
        <v>0</v>
      </c>
      <c r="F729">
        <v>2.21969622157062</v>
      </c>
      <c r="G729">
        <f t="shared" si="59"/>
        <v>2.3497510328923905</v>
      </c>
      <c r="H729">
        <f t="shared" si="61"/>
        <v>1.2699574542541781E-2</v>
      </c>
      <c r="I729">
        <f t="shared" si="60"/>
        <v>1</v>
      </c>
      <c r="J729">
        <f t="shared" si="62"/>
        <v>3</v>
      </c>
      <c r="K729">
        <v>3.93649993240833E-2</v>
      </c>
      <c r="L729">
        <v>9.1015473008155996E-3</v>
      </c>
      <c r="M729">
        <v>2.4104066461324701E-2</v>
      </c>
      <c r="N729">
        <v>1.0950509458780301E-2</v>
      </c>
      <c r="O729">
        <f t="shared" si="63"/>
        <v>4.9972344189882206E-3</v>
      </c>
    </row>
    <row r="730" spans="1:15" x14ac:dyDescent="0.35">
      <c r="A730" t="s">
        <v>53</v>
      </c>
      <c r="B730">
        <v>2016</v>
      </c>
      <c r="C730">
        <v>4371736</v>
      </c>
      <c r="D730" s="8">
        <v>0.942607402801514</v>
      </c>
      <c r="E730" s="8">
        <v>1.2999999999999999E-2</v>
      </c>
      <c r="F730">
        <v>2.1752029597284599</v>
      </c>
      <c r="G730">
        <f t="shared" si="59"/>
        <v>2.3076446814056002</v>
      </c>
      <c r="H730">
        <f t="shared" si="61"/>
        <v>-1.7919494830463067E-2</v>
      </c>
      <c r="I730">
        <f t="shared" si="60"/>
        <v>0</v>
      </c>
      <c r="J730">
        <f t="shared" si="62"/>
        <v>2</v>
      </c>
      <c r="K730">
        <v>2.4104066461324701E-2</v>
      </c>
      <c r="L730">
        <v>1.0950509458780301E-2</v>
      </c>
      <c r="M730">
        <v>6.6510491967200899E-3</v>
      </c>
      <c r="N730">
        <v>3.8614757359028001E-3</v>
      </c>
      <c r="O730">
        <f t="shared" si="63"/>
        <v>6.5683983266352081E-4</v>
      </c>
    </row>
    <row r="731" spans="1:15" x14ac:dyDescent="0.35">
      <c r="A731" t="s">
        <v>53</v>
      </c>
      <c r="B731">
        <v>2017</v>
      </c>
      <c r="C731">
        <v>4384199</v>
      </c>
      <c r="D731" s="8">
        <v>0.94257485866546598</v>
      </c>
      <c r="E731" s="8">
        <v>0.01</v>
      </c>
      <c r="F731">
        <v>2.2088961066190902</v>
      </c>
      <c r="G731">
        <f t="shared" si="59"/>
        <v>2.3434702149243942</v>
      </c>
      <c r="H731">
        <f t="shared" si="61"/>
        <v>1.5524718258173253E-2</v>
      </c>
      <c r="I731">
        <f t="shared" si="60"/>
        <v>1</v>
      </c>
      <c r="J731">
        <f t="shared" si="62"/>
        <v>3</v>
      </c>
      <c r="K731">
        <v>6.6510491967200899E-3</v>
      </c>
      <c r="L731">
        <v>3.8614757359028001E-3</v>
      </c>
      <c r="M731">
        <v>8.8550077974795995E-3</v>
      </c>
      <c r="N731">
        <v>-2.8001517057419501E-4</v>
      </c>
      <c r="O731">
        <f t="shared" si="63"/>
        <v>-2.9138352721929592E-3</v>
      </c>
    </row>
    <row r="732" spans="1:15" x14ac:dyDescent="0.35">
      <c r="A732" t="s">
        <v>53</v>
      </c>
      <c r="B732">
        <v>2018</v>
      </c>
      <c r="C732">
        <v>4392160</v>
      </c>
      <c r="D732" s="8">
        <v>0.94112628698348999</v>
      </c>
      <c r="E732" s="8">
        <v>2E-3</v>
      </c>
      <c r="F732">
        <v>2.1538504577332298</v>
      </c>
      <c r="G732">
        <f t="shared" si="59"/>
        <v>2.2885881390443132</v>
      </c>
      <c r="H732">
        <f t="shared" si="61"/>
        <v>-2.3419148035492166E-2</v>
      </c>
      <c r="I732">
        <f t="shared" si="60"/>
        <v>0</v>
      </c>
      <c r="J732">
        <f t="shared" si="62"/>
        <v>2</v>
      </c>
      <c r="K732">
        <v>8.8550077974795995E-3</v>
      </c>
      <c r="L732">
        <v>-2.8001517057419501E-4</v>
      </c>
      <c r="M732">
        <v>1.6701827913522701E-2</v>
      </c>
      <c r="N732">
        <v>-1.0993666946888E-3</v>
      </c>
      <c r="O732">
        <f t="shared" si="63"/>
        <v>-3.8138892501592804E-3</v>
      </c>
    </row>
    <row r="733" spans="1:15" x14ac:dyDescent="0.35">
      <c r="A733" t="s">
        <v>53</v>
      </c>
      <c r="B733">
        <v>2019</v>
      </c>
      <c r="C733">
        <v>4394259</v>
      </c>
      <c r="D733" s="8">
        <v>0.93546324968338002</v>
      </c>
      <c r="E733" s="8">
        <v>1.0999999999999999E-2</v>
      </c>
      <c r="F733">
        <v>2.0777921295431798</v>
      </c>
      <c r="G733">
        <f t="shared" si="59"/>
        <v>2.2211370999838169</v>
      </c>
      <c r="H733">
        <f t="shared" si="61"/>
        <v>-2.9472773152037335E-2</v>
      </c>
      <c r="I733">
        <f t="shared" si="60"/>
        <v>0</v>
      </c>
      <c r="J733" t="str">
        <f t="shared" si="62"/>
        <v/>
      </c>
      <c r="K733">
        <v>1.6701827913522701E-2</v>
      </c>
      <c r="L733">
        <v>-1.0993666946888E-3</v>
      </c>
      <c r="M733">
        <v>3.0402759194374001E-2</v>
      </c>
      <c r="N733">
        <v>1.1553568765520999E-2</v>
      </c>
      <c r="O733">
        <f t="shared" si="63"/>
        <v>-3.7320001050829997E-3</v>
      </c>
    </row>
    <row r="734" spans="1:15" x14ac:dyDescent="0.35">
      <c r="A734" t="s">
        <v>53</v>
      </c>
      <c r="B734">
        <v>2020</v>
      </c>
      <c r="C734">
        <v>4381450</v>
      </c>
      <c r="D734" s="8">
        <v>0.94734442234039296</v>
      </c>
      <c r="E734" s="8">
        <v>1.0999999999999999E-2</v>
      </c>
      <c r="F734">
        <v>2.0163274080946798</v>
      </c>
      <c r="G734">
        <f t="shared" si="59"/>
        <v>2.1283995139944865</v>
      </c>
      <c r="H734">
        <f t="shared" si="61"/>
        <v>-4.1752301553112603E-2</v>
      </c>
      <c r="I734">
        <f t="shared" si="60"/>
        <v>0</v>
      </c>
      <c r="J734" t="str">
        <f t="shared" si="62"/>
        <v/>
      </c>
      <c r="K734">
        <v>3.0402759194374001E-2</v>
      </c>
      <c r="L734">
        <v>1.1553568765520999E-2</v>
      </c>
      <c r="M734">
        <v>3.2838149249553597E-2</v>
      </c>
      <c r="N734">
        <v>-1.07514634728432E-2</v>
      </c>
      <c r="O734">
        <f t="shared" si="63"/>
        <v>-1.0330096166580899E-2</v>
      </c>
    </row>
    <row r="735" spans="1:15" x14ac:dyDescent="0.35">
      <c r="A735" t="s">
        <v>53</v>
      </c>
      <c r="B735">
        <v>2021</v>
      </c>
      <c r="C735">
        <v>4366169</v>
      </c>
      <c r="D735" s="8">
        <v>0.95201152563095104</v>
      </c>
      <c r="E735" s="8">
        <v>1.4999999999999999E-2</v>
      </c>
      <c r="F735">
        <v>2.1327483241435798</v>
      </c>
      <c r="G735">
        <f t="shared" si="59"/>
        <v>2.2402547308763818</v>
      </c>
      <c r="H735">
        <f t="shared" si="61"/>
        <v>5.2553675259947141E-2</v>
      </c>
      <c r="I735">
        <f t="shared" si="60"/>
        <v>1</v>
      </c>
      <c r="J735" t="str">
        <f t="shared" si="62"/>
        <v/>
      </c>
      <c r="K735">
        <v>3.2838149249553597E-2</v>
      </c>
      <c r="L735">
        <v>-1.07514634728432E-2</v>
      </c>
      <c r="M735">
        <v>-4.6095406562089901E-2</v>
      </c>
      <c r="N735">
        <v>-1.39918997883796E-2</v>
      </c>
      <c r="O735">
        <f t="shared" si="63"/>
        <v>-8.5608831606805089E-3</v>
      </c>
    </row>
    <row r="736" spans="1:15" x14ac:dyDescent="0.35">
      <c r="A736" t="s">
        <v>53</v>
      </c>
      <c r="B736">
        <v>2022</v>
      </c>
      <c r="C736">
        <v>4360491</v>
      </c>
      <c r="D736" s="8">
        <v>0.929157495498657</v>
      </c>
      <c r="E736" s="8">
        <v>8.9999999999999993E-3</v>
      </c>
      <c r="F736">
        <v>2.0244807121661701</v>
      </c>
      <c r="G736">
        <f t="shared" si="59"/>
        <v>2.1788348282975201</v>
      </c>
      <c r="H736">
        <f t="shared" si="61"/>
        <v>-2.7416481586821306E-2</v>
      </c>
      <c r="I736">
        <f t="shared" si="60"/>
        <v>0</v>
      </c>
      <c r="J736" t="str">
        <f t="shared" si="62"/>
        <v/>
      </c>
      <c r="K736">
        <v>-4.6095406562089901E-2</v>
      </c>
      <c r="L736">
        <v>-1.3513196259736999E-2</v>
      </c>
      <c r="M736">
        <v>-2.4339212834835099E-2</v>
      </c>
      <c r="N736">
        <v>-4.7802850604057997E-3</v>
      </c>
      <c r="O736">
        <f t="shared" si="63"/>
        <v>-5.3889895323663882E-3</v>
      </c>
    </row>
    <row r="737" spans="1:15" x14ac:dyDescent="0.35">
      <c r="A737" t="s">
        <v>54</v>
      </c>
      <c r="B737">
        <v>2006</v>
      </c>
      <c r="C737">
        <v>470826.6875</v>
      </c>
      <c r="D737" s="8">
        <v>0.91336131095886197</v>
      </c>
      <c r="E737" s="8">
        <v>3.2000000000000001E-2</v>
      </c>
      <c r="F737">
        <v>2.0953063470002302</v>
      </c>
      <c r="G737">
        <f t="shared" si="59"/>
        <v>2.2940607641903976</v>
      </c>
      <c r="H737">
        <f t="shared" si="61"/>
        <v>5.2884199571434198E-2</v>
      </c>
      <c r="I737">
        <f t="shared" si="60"/>
        <v>1</v>
      </c>
      <c r="J737" t="str">
        <f t="shared" si="62"/>
        <v/>
      </c>
      <c r="K737">
        <v>2.70704604983329E-2</v>
      </c>
      <c r="L737">
        <v>2.07074210047722E-2</v>
      </c>
      <c r="M737">
        <v>-1.6116769015788999E-3</v>
      </c>
      <c r="N737">
        <v>-6.8992096930739998E-4</v>
      </c>
      <c r="O737" t="str">
        <f t="shared" si="63"/>
        <v/>
      </c>
    </row>
    <row r="738" spans="1:15" x14ac:dyDescent="0.35">
      <c r="A738" t="s">
        <v>54</v>
      </c>
      <c r="B738">
        <v>2007</v>
      </c>
      <c r="C738">
        <v>481500.78125</v>
      </c>
      <c r="D738" s="8">
        <v>0.902277171611786</v>
      </c>
      <c r="E738" s="8">
        <v>1.7000000000000001E-2</v>
      </c>
      <c r="F738">
        <v>2.10372621373272</v>
      </c>
      <c r="G738">
        <f t="shared" si="59"/>
        <v>2.3315742433943232</v>
      </c>
      <c r="H738">
        <f t="shared" si="61"/>
        <v>1.6352434856783171E-2</v>
      </c>
      <c r="I738">
        <f t="shared" si="60"/>
        <v>1</v>
      </c>
      <c r="J738" t="str">
        <f t="shared" si="62"/>
        <v/>
      </c>
      <c r="K738">
        <v>-1.6116769015788999E-3</v>
      </c>
      <c r="L738">
        <v>-6.8992096930739998E-4</v>
      </c>
      <c r="M738">
        <v>-5.0947715818882001E-2</v>
      </c>
      <c r="N738">
        <v>-2.1436911541968501E-2</v>
      </c>
      <c r="O738" t="str">
        <f t="shared" si="63"/>
        <v/>
      </c>
    </row>
    <row r="739" spans="1:15" x14ac:dyDescent="0.35">
      <c r="A739" t="s">
        <v>54</v>
      </c>
      <c r="B739">
        <v>2008</v>
      </c>
      <c r="C739">
        <v>492398.40625</v>
      </c>
      <c r="D739" s="8">
        <v>0.89950758218765303</v>
      </c>
      <c r="E739" s="8">
        <v>1.6E-2</v>
      </c>
      <c r="F739">
        <v>2.11575803875269</v>
      </c>
      <c r="G739">
        <f t="shared" si="59"/>
        <v>2.352129187846363</v>
      </c>
      <c r="H739">
        <f t="shared" si="61"/>
        <v>8.8159081831835628E-3</v>
      </c>
      <c r="I739">
        <f t="shared" si="60"/>
        <v>1</v>
      </c>
      <c r="J739" t="str">
        <f t="shared" si="62"/>
        <v/>
      </c>
      <c r="K739">
        <v>-5.0947715818882001E-2</v>
      </c>
      <c r="L739">
        <v>-2.1436911541968501E-2</v>
      </c>
      <c r="M739">
        <v>-2.8472100108861899E-2</v>
      </c>
      <c r="N739">
        <v>-1.90539844334125E-3</v>
      </c>
      <c r="O739" t="str">
        <f t="shared" si="63"/>
        <v/>
      </c>
    </row>
    <row r="740" spans="1:15" x14ac:dyDescent="0.35">
      <c r="A740" t="s">
        <v>54</v>
      </c>
      <c r="B740">
        <v>2009</v>
      </c>
      <c r="C740">
        <v>501989.5</v>
      </c>
      <c r="D740" s="8">
        <v>0.90338301658630404</v>
      </c>
      <c r="E740" s="8">
        <v>3.0000000000000001E-3</v>
      </c>
      <c r="F740">
        <v>2.2261557859344299</v>
      </c>
      <c r="G740">
        <f t="shared" si="59"/>
        <v>2.4642435656435167</v>
      </c>
      <c r="H740">
        <f t="shared" si="61"/>
        <v>4.7665059545392907E-2</v>
      </c>
      <c r="I740">
        <f t="shared" si="60"/>
        <v>1</v>
      </c>
      <c r="J740" t="str">
        <f t="shared" si="62"/>
        <v/>
      </c>
      <c r="K740">
        <v>-2.8472100108861899E-2</v>
      </c>
      <c r="L740">
        <v>-1.90539844334125E-3</v>
      </c>
      <c r="M740">
        <v>-7.5925404056906703E-3</v>
      </c>
      <c r="N740">
        <v>1.8675683531910101E-3</v>
      </c>
      <c r="O740" t="str">
        <f t="shared" si="63"/>
        <v/>
      </c>
    </row>
    <row r="741" spans="1:15" x14ac:dyDescent="0.35">
      <c r="A741" t="s">
        <v>54</v>
      </c>
      <c r="B741">
        <v>2010</v>
      </c>
      <c r="C741">
        <v>510172.78125</v>
      </c>
      <c r="D741" s="8">
        <v>0.91384768486022905</v>
      </c>
      <c r="E741" s="8">
        <v>1.2E-2</v>
      </c>
      <c r="F741">
        <v>2.2301456481206201</v>
      </c>
      <c r="G741">
        <f t="shared" si="59"/>
        <v>2.4403909809781004</v>
      </c>
      <c r="H741">
        <f t="shared" si="61"/>
        <v>-9.6794752750779534E-3</v>
      </c>
      <c r="I741">
        <f t="shared" si="60"/>
        <v>0</v>
      </c>
      <c r="J741">
        <f t="shared" si="62"/>
        <v>4</v>
      </c>
      <c r="K741">
        <v>-7.5925404056906703E-3</v>
      </c>
      <c r="L741">
        <v>1.8675683531910101E-3</v>
      </c>
      <c r="M741">
        <v>-1.30790307819843E-2</v>
      </c>
      <c r="N741">
        <v>8.2047437317669895E-3</v>
      </c>
      <c r="O741">
        <f t="shared" si="63"/>
        <v>3.6593700293451408E-3</v>
      </c>
    </row>
    <row r="742" spans="1:15" x14ac:dyDescent="0.35">
      <c r="A742" t="s">
        <v>55</v>
      </c>
      <c r="B742">
        <v>2006</v>
      </c>
      <c r="C742">
        <v>750908.1875</v>
      </c>
      <c r="D742" s="8">
        <v>0.92648053169250499</v>
      </c>
      <c r="E742" s="8">
        <v>1.7999999999999999E-2</v>
      </c>
      <c r="F742">
        <v>2.8630524028012498</v>
      </c>
      <c r="G742">
        <f t="shared" si="59"/>
        <v>3.0902456175425441</v>
      </c>
      <c r="H742">
        <f t="shared" si="61"/>
        <v>0.26629119744737961</v>
      </c>
      <c r="I742">
        <f t="shared" si="60"/>
        <v>1</v>
      </c>
      <c r="J742" t="str">
        <f t="shared" si="62"/>
        <v/>
      </c>
      <c r="K742">
        <v>3.7264839112758899E-3</v>
      </c>
      <c r="L742">
        <v>-2.6365555822848901E-3</v>
      </c>
      <c r="M742">
        <v>9.6177338659762905E-3</v>
      </c>
      <c r="N742">
        <v>1.05394897982477E-2</v>
      </c>
      <c r="O742" t="str">
        <f t="shared" si="63"/>
        <v/>
      </c>
    </row>
    <row r="743" spans="1:15" x14ac:dyDescent="0.35">
      <c r="A743" t="s">
        <v>55</v>
      </c>
      <c r="B743">
        <v>2007</v>
      </c>
      <c r="C743">
        <v>762601</v>
      </c>
      <c r="D743" s="8">
        <v>0.92128288745880105</v>
      </c>
      <c r="E743" s="8">
        <v>1.9E-2</v>
      </c>
      <c r="F743">
        <v>2.72620838991448</v>
      </c>
      <c r="G743">
        <f t="shared" si="59"/>
        <v>2.9591436322390106</v>
      </c>
      <c r="H743">
        <f t="shared" si="61"/>
        <v>-4.2424454729197203E-2</v>
      </c>
      <c r="I743">
        <f t="shared" si="60"/>
        <v>0</v>
      </c>
      <c r="J743" t="str">
        <f t="shared" si="62"/>
        <v/>
      </c>
      <c r="K743">
        <v>9.6177338659762905E-3</v>
      </c>
      <c r="L743">
        <v>1.05394897982477E-2</v>
      </c>
      <c r="M743">
        <v>-2.38062984421849E-2</v>
      </c>
      <c r="N743">
        <v>5.7045058347285002E-3</v>
      </c>
      <c r="O743" t="str">
        <f t="shared" si="63"/>
        <v/>
      </c>
    </row>
    <row r="744" spans="1:15" x14ac:dyDescent="0.35">
      <c r="A744" t="s">
        <v>55</v>
      </c>
      <c r="B744">
        <v>2008</v>
      </c>
      <c r="C744">
        <v>777556.5</v>
      </c>
      <c r="D744" s="8">
        <v>0.91636079549789395</v>
      </c>
      <c r="E744" s="8">
        <v>8.0000000000000002E-3</v>
      </c>
      <c r="F744">
        <v>2.7408811576965002</v>
      </c>
      <c r="G744">
        <f t="shared" si="59"/>
        <v>2.991050218606607</v>
      </c>
      <c r="H744">
        <f t="shared" si="61"/>
        <v>1.0782371636166355E-2</v>
      </c>
      <c r="I744">
        <f t="shared" si="60"/>
        <v>1</v>
      </c>
      <c r="J744" t="str">
        <f t="shared" si="62"/>
        <v/>
      </c>
      <c r="K744">
        <v>-2.38062984421849E-2</v>
      </c>
      <c r="L744">
        <v>5.7045058347285002E-3</v>
      </c>
      <c r="M744">
        <v>-3.0167863428592699E-2</v>
      </c>
      <c r="N744">
        <v>-3.6011617630720499E-3</v>
      </c>
      <c r="O744" t="str">
        <f t="shared" si="63"/>
        <v/>
      </c>
    </row>
    <row r="745" spans="1:15" x14ac:dyDescent="0.35">
      <c r="A745" t="s">
        <v>55</v>
      </c>
      <c r="B745">
        <v>2009</v>
      </c>
      <c r="C745">
        <v>794587.25</v>
      </c>
      <c r="D745" s="8">
        <v>0.90855622291564897</v>
      </c>
      <c r="E745" s="8">
        <v>2.5999999999999999E-2</v>
      </c>
      <c r="F745">
        <v>2.7265484920387801</v>
      </c>
      <c r="G745">
        <f t="shared" si="59"/>
        <v>3.0009683751755172</v>
      </c>
      <c r="H745">
        <f t="shared" si="61"/>
        <v>3.315944515813074E-3</v>
      </c>
      <c r="I745">
        <f t="shared" si="60"/>
        <v>1</v>
      </c>
      <c r="J745" t="str">
        <f t="shared" si="62"/>
        <v/>
      </c>
      <c r="K745">
        <v>-3.0167863428592699E-2</v>
      </c>
      <c r="L745">
        <v>-3.6011617630720499E-3</v>
      </c>
      <c r="M745">
        <v>-1.2010836213827101E-2</v>
      </c>
      <c r="N745">
        <v>-2.5507274549454399E-3</v>
      </c>
      <c r="O745" t="str">
        <f t="shared" si="63"/>
        <v/>
      </c>
    </row>
    <row r="746" spans="1:15" x14ac:dyDescent="0.35">
      <c r="A746" t="s">
        <v>55</v>
      </c>
      <c r="B746">
        <v>2010</v>
      </c>
      <c r="C746">
        <v>812254.5625</v>
      </c>
      <c r="D746" s="8">
        <v>0.91409564018249501</v>
      </c>
      <c r="E746" s="8">
        <v>1.0999999999999999E-2</v>
      </c>
      <c r="F746">
        <v>2.8003613076307299</v>
      </c>
      <c r="G746">
        <f t="shared" si="59"/>
        <v>3.0635320687796415</v>
      </c>
      <c r="H746">
        <f t="shared" si="61"/>
        <v>2.0847835026073902E-2</v>
      </c>
      <c r="I746">
        <f t="shared" si="60"/>
        <v>1</v>
      </c>
      <c r="J746">
        <f t="shared" si="62"/>
        <v>4</v>
      </c>
      <c r="K746">
        <v>-1.2010836213827101E-2</v>
      </c>
      <c r="L746">
        <v>-2.5507274549454399E-3</v>
      </c>
      <c r="M746">
        <v>-2.31554725840687E-2</v>
      </c>
      <c r="N746">
        <v>-1.8716980703174799E-3</v>
      </c>
      <c r="O746">
        <f t="shared" si="63"/>
        <v>-1.3474090676754669E-2</v>
      </c>
    </row>
    <row r="747" spans="1:15" x14ac:dyDescent="0.35">
      <c r="A747" t="s">
        <v>55</v>
      </c>
      <c r="B747">
        <v>2011</v>
      </c>
      <c r="C747">
        <v>829669.375</v>
      </c>
      <c r="D747" s="8">
        <v>0.90561711788177501</v>
      </c>
      <c r="E747" s="8">
        <v>4.3999999999999997E-2</v>
      </c>
      <c r="F747">
        <v>2.8101589298526601</v>
      </c>
      <c r="G747">
        <f t="shared" si="59"/>
        <v>3.1030320367900952</v>
      </c>
      <c r="H747">
        <f t="shared" si="61"/>
        <v>1.2893603567266876E-2</v>
      </c>
      <c r="I747">
        <f t="shared" si="60"/>
        <v>1</v>
      </c>
      <c r="J747">
        <f t="shared" si="62"/>
        <v>4</v>
      </c>
      <c r="K747">
        <v>-2.31554725840687E-2</v>
      </c>
      <c r="L747">
        <v>-1.8716980703174799E-3</v>
      </c>
      <c r="M747">
        <v>-1.1328684449195801E-2</v>
      </c>
      <c r="N747">
        <v>-5.89047838002446E-3</v>
      </c>
      <c r="O747">
        <f t="shared" si="63"/>
        <v>-1.6744181513786271E-2</v>
      </c>
    </row>
    <row r="748" spans="1:15" x14ac:dyDescent="0.35">
      <c r="A748" t="s">
        <v>55</v>
      </c>
      <c r="B748">
        <v>2012</v>
      </c>
      <c r="C748">
        <v>840886.75</v>
      </c>
      <c r="D748" s="8">
        <v>0.90602505207061801</v>
      </c>
      <c r="E748" s="8">
        <v>2.9000000000000001E-2</v>
      </c>
      <c r="F748">
        <v>2.8517244106945099</v>
      </c>
      <c r="G748">
        <f t="shared" si="59"/>
        <v>3.1475116545367214</v>
      </c>
      <c r="H748">
        <f t="shared" si="61"/>
        <v>1.4334243803888702E-2</v>
      </c>
      <c r="I748">
        <f t="shared" si="60"/>
        <v>1</v>
      </c>
      <c r="J748">
        <f t="shared" si="62"/>
        <v>5</v>
      </c>
      <c r="K748">
        <v>-1.1328684449195801E-2</v>
      </c>
      <c r="L748">
        <v>-5.9760771691799597E-3</v>
      </c>
      <c r="M748">
        <v>-4.81455713510509E-3</v>
      </c>
      <c r="N748">
        <v>-1.09413284808397E-2</v>
      </c>
      <c r="O748">
        <f t="shared" si="63"/>
        <v>-1.6803614981472436E-2</v>
      </c>
    </row>
    <row r="749" spans="1:15" x14ac:dyDescent="0.35">
      <c r="A749" t="s">
        <v>55</v>
      </c>
      <c r="B749">
        <v>2013</v>
      </c>
      <c r="C749">
        <v>842592.25</v>
      </c>
      <c r="D749" s="8">
        <v>0.90834963321685802</v>
      </c>
      <c r="E749" s="8">
        <v>2.5999999999999999E-2</v>
      </c>
      <c r="F749">
        <v>2.7197148941204299</v>
      </c>
      <c r="G749">
        <f t="shared" si="59"/>
        <v>2.9941278057092906</v>
      </c>
      <c r="H749">
        <f t="shared" si="61"/>
        <v>-4.8731781058331647E-2</v>
      </c>
      <c r="I749">
        <f t="shared" si="60"/>
        <v>0</v>
      </c>
      <c r="J749">
        <f t="shared" si="62"/>
        <v>4</v>
      </c>
      <c r="K749">
        <v>-4.81455713510509E-3</v>
      </c>
      <c r="L749">
        <v>-1.09413284808397E-2</v>
      </c>
      <c r="M749">
        <v>-9.9536205492913692E-3</v>
      </c>
      <c r="N749">
        <v>-1.1961644049733801E-2</v>
      </c>
      <c r="O749">
        <f t="shared" si="63"/>
        <v>-1.5772678516805114E-2</v>
      </c>
    </row>
    <row r="750" spans="1:15" x14ac:dyDescent="0.35">
      <c r="A750" t="s">
        <v>55</v>
      </c>
      <c r="B750">
        <v>2014</v>
      </c>
      <c r="C750">
        <v>846604.1875</v>
      </c>
      <c r="D750" s="8">
        <v>0.90750926733017001</v>
      </c>
      <c r="E750" s="8">
        <v>1.2E-2</v>
      </c>
      <c r="F750">
        <v>2.5964033736112202</v>
      </c>
      <c r="G750">
        <f t="shared" si="59"/>
        <v>2.8610213328726228</v>
      </c>
      <c r="H750">
        <f t="shared" si="61"/>
        <v>-4.4455842059532791E-2</v>
      </c>
      <c r="I750">
        <f t="shared" si="60"/>
        <v>0</v>
      </c>
      <c r="J750">
        <f t="shared" si="62"/>
        <v>3</v>
      </c>
      <c r="K750">
        <v>-9.9536205492913692E-3</v>
      </c>
      <c r="L750">
        <v>-1.1961644049733801E-2</v>
      </c>
      <c r="M750">
        <v>-6.4418523795902703E-3</v>
      </c>
      <c r="N750">
        <v>-3.6705304402857901E-2</v>
      </c>
      <c r="O750">
        <f t="shared" si="63"/>
        <v>-1.2389600556343756E-2</v>
      </c>
    </row>
    <row r="751" spans="1:15" x14ac:dyDescent="0.35">
      <c r="A751" t="s">
        <v>55</v>
      </c>
      <c r="B751">
        <v>2015</v>
      </c>
      <c r="C751">
        <v>848389.875</v>
      </c>
      <c r="D751" s="8">
        <v>0.914423227310181</v>
      </c>
      <c r="E751" s="8">
        <v>0.01</v>
      </c>
      <c r="F751">
        <v>2.57729941291585</v>
      </c>
      <c r="G751">
        <f t="shared" si="59"/>
        <v>2.8184973171526906</v>
      </c>
      <c r="H751">
        <f t="shared" si="61"/>
        <v>-1.4863229166220737E-2</v>
      </c>
      <c r="I751">
        <f t="shared" si="60"/>
        <v>0</v>
      </c>
      <c r="J751">
        <f t="shared" si="62"/>
        <v>2</v>
      </c>
      <c r="K751">
        <v>-6.4418523795902703E-3</v>
      </c>
      <c r="L751">
        <v>-3.6705304402857901E-2</v>
      </c>
      <c r="M751">
        <v>-5.0685952529311096E-3</v>
      </c>
      <c r="N751">
        <v>-1.82221522554755E-2</v>
      </c>
      <c r="O751">
        <f t="shared" si="63"/>
        <v>-5.0761071965098187E-3</v>
      </c>
    </row>
    <row r="752" spans="1:15" x14ac:dyDescent="0.35">
      <c r="A752" t="s">
        <v>55</v>
      </c>
      <c r="B752">
        <v>2016</v>
      </c>
      <c r="C752">
        <v>853916.0625</v>
      </c>
      <c r="D752" s="8">
        <v>0.89955168962478604</v>
      </c>
      <c r="E752" s="8">
        <v>1.7999999999999999E-2</v>
      </c>
      <c r="F752">
        <v>2.69877373967689</v>
      </c>
      <c r="G752">
        <f t="shared" si="59"/>
        <v>3.0001319221606724</v>
      </c>
      <c r="H752">
        <f t="shared" si="61"/>
        <v>6.4443774312857194E-2</v>
      </c>
      <c r="I752">
        <f t="shared" si="60"/>
        <v>1</v>
      </c>
      <c r="J752">
        <f t="shared" si="62"/>
        <v>2</v>
      </c>
      <c r="K752">
        <v>-5.0685952529311096E-3</v>
      </c>
      <c r="L752">
        <v>-1.82221522554755E-2</v>
      </c>
      <c r="M752">
        <v>-3.3980722576379902E-3</v>
      </c>
      <c r="N752">
        <v>-6.1876457184552904E-3</v>
      </c>
      <c r="O752">
        <f t="shared" si="63"/>
        <v>2.0397007465362818E-3</v>
      </c>
    </row>
    <row r="753" spans="1:15" x14ac:dyDescent="0.35">
      <c r="A753" t="s">
        <v>55</v>
      </c>
      <c r="B753">
        <v>2017</v>
      </c>
      <c r="C753">
        <v>857845.5625</v>
      </c>
      <c r="D753" s="8">
        <v>0.90439355373382602</v>
      </c>
      <c r="E753" s="8">
        <v>1.6E-2</v>
      </c>
      <c r="F753">
        <v>2.6389848832943898</v>
      </c>
      <c r="G753">
        <f t="shared" si="59"/>
        <v>2.9179607399889487</v>
      </c>
      <c r="H753">
        <f t="shared" si="61"/>
        <v>-2.7389189643548972E-2</v>
      </c>
      <c r="I753">
        <f t="shared" si="60"/>
        <v>0</v>
      </c>
      <c r="J753">
        <f t="shared" si="62"/>
        <v>1</v>
      </c>
      <c r="K753">
        <v>-3.3980722576379902E-3</v>
      </c>
      <c r="L753">
        <v>-6.1876457184552904E-3</v>
      </c>
      <c r="M753">
        <v>3.3483768105506901E-3</v>
      </c>
      <c r="N753">
        <v>-5.7866461575030899E-3</v>
      </c>
      <c r="O753">
        <f t="shared" si="63"/>
        <v>8.1123102456331607E-3</v>
      </c>
    </row>
    <row r="754" spans="1:15" x14ac:dyDescent="0.35">
      <c r="A754" t="s">
        <v>55</v>
      </c>
      <c r="B754">
        <v>2018</v>
      </c>
      <c r="C754">
        <v>860369.1875</v>
      </c>
      <c r="D754" s="8">
        <v>0.92202144861221302</v>
      </c>
      <c r="E754" s="8">
        <v>5.0000000000000001E-3</v>
      </c>
      <c r="F754">
        <v>2.5021807090392501</v>
      </c>
      <c r="G754">
        <f t="shared" si="59"/>
        <v>2.7137988089164571</v>
      </c>
      <c r="H754">
        <f t="shared" si="61"/>
        <v>-6.9967333101700668E-2</v>
      </c>
      <c r="I754">
        <f t="shared" si="60"/>
        <v>0</v>
      </c>
      <c r="J754">
        <f t="shared" si="62"/>
        <v>1</v>
      </c>
      <c r="K754">
        <v>3.3483768105506901E-3</v>
      </c>
      <c r="L754">
        <v>-5.7866461575030899E-3</v>
      </c>
      <c r="M754">
        <v>2.2754940360784501E-2</v>
      </c>
      <c r="N754">
        <v>4.9537457525729899E-3</v>
      </c>
      <c r="O754">
        <f t="shared" si="63"/>
        <v>9.910291805863395E-3</v>
      </c>
    </row>
    <row r="755" spans="1:15" x14ac:dyDescent="0.35">
      <c r="A755" t="s">
        <v>55</v>
      </c>
      <c r="B755">
        <v>2019</v>
      </c>
      <c r="C755">
        <v>865373</v>
      </c>
      <c r="D755" s="8">
        <v>0.93830841779708896</v>
      </c>
      <c r="E755" s="8">
        <v>0.01</v>
      </c>
      <c r="F755">
        <v>2.6600305262459298</v>
      </c>
      <c r="G755">
        <f t="shared" si="59"/>
        <v>2.8349213071017836</v>
      </c>
      <c r="H755">
        <f t="shared" si="61"/>
        <v>4.463208465836388E-2</v>
      </c>
      <c r="I755">
        <f t="shared" si="60"/>
        <v>1</v>
      </c>
      <c r="J755" t="str">
        <f t="shared" si="62"/>
        <v/>
      </c>
      <c r="K755">
        <v>2.2754940360784501E-2</v>
      </c>
      <c r="L755">
        <v>4.9537457525729899E-3</v>
      </c>
      <c r="M755">
        <v>1.8711352825164701E-2</v>
      </c>
      <c r="N755">
        <v>-1.3783760368820099E-4</v>
      </c>
      <c r="O755">
        <f t="shared" si="63"/>
        <v>7.7350510284304773E-3</v>
      </c>
    </row>
    <row r="756" spans="1:15" x14ac:dyDescent="0.35">
      <c r="A756" t="s">
        <v>55</v>
      </c>
      <c r="B756">
        <v>2020</v>
      </c>
      <c r="C756">
        <v>870124.875</v>
      </c>
      <c r="D756" s="8">
        <v>0.95665186643600497</v>
      </c>
      <c r="E756" s="8">
        <v>5.0000000000000001E-3</v>
      </c>
      <c r="F756">
        <v>2.35999924601566</v>
      </c>
      <c r="G756">
        <f t="shared" si="59"/>
        <v>2.4669363316122603</v>
      </c>
      <c r="H756">
        <f t="shared" si="61"/>
        <v>-0.12980429988221587</v>
      </c>
      <c r="I756">
        <f t="shared" si="60"/>
        <v>0</v>
      </c>
      <c r="J756" t="str">
        <f t="shared" si="62"/>
        <v/>
      </c>
      <c r="K756">
        <v>1.8711352825164701E-2</v>
      </c>
      <c r="L756">
        <v>-1.3783760368820099E-4</v>
      </c>
      <c r="M756">
        <v>6.0946500182152002E-2</v>
      </c>
      <c r="N756">
        <v>1.7356887459754999E-2</v>
      </c>
      <c r="O756">
        <f t="shared" si="63"/>
        <v>8.9066526852548174E-3</v>
      </c>
    </row>
    <row r="757" spans="1:15" x14ac:dyDescent="0.35">
      <c r="A757" t="s">
        <v>55</v>
      </c>
      <c r="B757">
        <v>2021</v>
      </c>
      <c r="C757">
        <v>871126</v>
      </c>
      <c r="D757" s="8">
        <v>0.967229604721069</v>
      </c>
      <c r="E757" s="8">
        <v>0.01</v>
      </c>
      <c r="F757">
        <v>2.5421487761102801</v>
      </c>
      <c r="G757">
        <f t="shared" si="59"/>
        <v>2.6282785015078076</v>
      </c>
      <c r="H757">
        <f t="shared" si="61"/>
        <v>6.5401837829394793E-2</v>
      </c>
      <c r="I757">
        <f t="shared" si="60"/>
        <v>1</v>
      </c>
      <c r="J757" t="str">
        <f t="shared" si="62"/>
        <v/>
      </c>
      <c r="K757">
        <v>6.0946500182152002E-2</v>
      </c>
      <c r="L757">
        <v>1.7356887459754999E-2</v>
      </c>
      <c r="M757">
        <v>-7.9281049966811994E-3</v>
      </c>
      <c r="N757">
        <v>2.41754017770291E-2</v>
      </c>
      <c r="O757">
        <f t="shared" si="63"/>
        <v>7.0358912460505877E-3</v>
      </c>
    </row>
    <row r="758" spans="1:15" x14ac:dyDescent="0.35">
      <c r="A758" t="s">
        <v>55</v>
      </c>
      <c r="B758">
        <v>2022</v>
      </c>
      <c r="C758">
        <v>873679.625</v>
      </c>
      <c r="D758" s="8">
        <v>0.95553249120712302</v>
      </c>
      <c r="E758" s="8">
        <v>0.01</v>
      </c>
      <c r="F758">
        <v>2.5454512820052502</v>
      </c>
      <c r="G758">
        <f t="shared" si="59"/>
        <v>2.6639086639425362</v>
      </c>
      <c r="H758">
        <f t="shared" si="61"/>
        <v>1.3556463827668175E-2</v>
      </c>
      <c r="I758">
        <f t="shared" si="60"/>
        <v>1</v>
      </c>
      <c r="J758" t="str">
        <f t="shared" si="62"/>
        <v/>
      </c>
      <c r="K758">
        <v>-7.9281049966811994E-3</v>
      </c>
      <c r="L758">
        <v>2.4654105305671699E-2</v>
      </c>
      <c r="M758">
        <v>-1.63556661307812E-2</v>
      </c>
      <c r="N758">
        <v>3.2032616436480899E-3</v>
      </c>
      <c r="O758">
        <f t="shared" si="63"/>
        <v>1.0269474238157059E-3</v>
      </c>
    </row>
    <row r="759" spans="1:15" x14ac:dyDescent="0.35">
      <c r="A759" t="s">
        <v>56</v>
      </c>
      <c r="B759">
        <v>2006</v>
      </c>
      <c r="C759">
        <v>195350.296875</v>
      </c>
      <c r="D759" s="8">
        <v>0.889426529407501</v>
      </c>
      <c r="E759" s="8">
        <v>4.0000000000000001E-3</v>
      </c>
      <c r="F759">
        <v>2.3589668329908999</v>
      </c>
      <c r="G759">
        <f t="shared" si="59"/>
        <v>2.6522334953988222</v>
      </c>
      <c r="H759">
        <f t="shared" si="61"/>
        <v>-4.3827210376030656E-3</v>
      </c>
      <c r="I759">
        <f t="shared" si="60"/>
        <v>0</v>
      </c>
      <c r="J759" t="str">
        <f t="shared" si="62"/>
        <v/>
      </c>
      <c r="K759">
        <v>-1.21206924021244E-2</v>
      </c>
      <c r="L759">
        <v>-1.8483731895685199E-2</v>
      </c>
      <c r="M759">
        <v>-6.8442140668630996E-3</v>
      </c>
      <c r="N759">
        <v>-5.9224581345916003E-3</v>
      </c>
      <c r="O759" t="str">
        <f t="shared" si="63"/>
        <v/>
      </c>
    </row>
    <row r="760" spans="1:15" x14ac:dyDescent="0.35">
      <c r="A760" t="s">
        <v>56</v>
      </c>
      <c r="B760">
        <v>2007</v>
      </c>
      <c r="C760">
        <v>196667.203125</v>
      </c>
      <c r="D760" s="8">
        <v>0.89555299282073997</v>
      </c>
      <c r="E760" s="8">
        <v>0</v>
      </c>
      <c r="F760">
        <v>2.4922992046342598</v>
      </c>
      <c r="G760">
        <f t="shared" si="59"/>
        <v>2.782972336214542</v>
      </c>
      <c r="H760">
        <f t="shared" si="61"/>
        <v>4.9293865356323074E-2</v>
      </c>
      <c r="I760">
        <f t="shared" si="60"/>
        <v>1</v>
      </c>
      <c r="J760" t="str">
        <f t="shared" si="62"/>
        <v/>
      </c>
      <c r="K760">
        <v>-6.8442140668630996E-3</v>
      </c>
      <c r="L760">
        <v>-5.9224581345916003E-3</v>
      </c>
      <c r="M760">
        <v>-2.3790633596479899E-2</v>
      </c>
      <c r="N760">
        <v>5.7201706804334996E-3</v>
      </c>
      <c r="O760" t="str">
        <f t="shared" si="63"/>
        <v/>
      </c>
    </row>
    <row r="761" spans="1:15" x14ac:dyDescent="0.35">
      <c r="A761" t="s">
        <v>56</v>
      </c>
      <c r="B761">
        <v>2008</v>
      </c>
      <c r="C761">
        <v>197708.40625</v>
      </c>
      <c r="D761" s="8">
        <v>0.90446871519088701</v>
      </c>
      <c r="E761" s="8">
        <v>0</v>
      </c>
      <c r="F761">
        <v>2.3757984386089399</v>
      </c>
      <c r="G761">
        <f t="shared" si="59"/>
        <v>2.6267336821125213</v>
      </c>
      <c r="H761">
        <f t="shared" si="61"/>
        <v>-5.6140929634442505E-2</v>
      </c>
      <c r="I761">
        <f t="shared" si="60"/>
        <v>0</v>
      </c>
      <c r="J761" t="str">
        <f t="shared" si="62"/>
        <v/>
      </c>
      <c r="K761">
        <v>-2.3790633596479899E-2</v>
      </c>
      <c r="L761">
        <v>5.7201706804334996E-3</v>
      </c>
      <c r="M761">
        <v>-1.8563621401786801E-2</v>
      </c>
      <c r="N761">
        <v>8.00308026373385E-3</v>
      </c>
      <c r="O761" t="str">
        <f t="shared" si="63"/>
        <v/>
      </c>
    </row>
    <row r="762" spans="1:15" x14ac:dyDescent="0.35">
      <c r="A762" t="s">
        <v>56</v>
      </c>
      <c r="B762">
        <v>2009</v>
      </c>
      <c r="C762">
        <v>197516.90625</v>
      </c>
      <c r="D762" s="8">
        <v>0.90330797433853105</v>
      </c>
      <c r="E762" s="8">
        <v>4.1000000000000002E-2</v>
      </c>
      <c r="F762">
        <v>2.6132413947751898</v>
      </c>
      <c r="G762">
        <f t="shared" si="59"/>
        <v>2.8929683662859267</v>
      </c>
      <c r="H762">
        <f t="shared" si="61"/>
        <v>0.10135579635895531</v>
      </c>
      <c r="I762">
        <f t="shared" si="60"/>
        <v>1</v>
      </c>
      <c r="J762" t="str">
        <f t="shared" si="62"/>
        <v/>
      </c>
      <c r="K762">
        <v>-1.8563621401786801E-2</v>
      </c>
      <c r="L762">
        <v>8.00308026373385E-3</v>
      </c>
      <c r="M762">
        <v>-1.5329426093026901E-2</v>
      </c>
      <c r="N762">
        <v>-5.8693173341453101E-3</v>
      </c>
      <c r="O762" t="str">
        <f t="shared" si="63"/>
        <v/>
      </c>
    </row>
    <row r="763" spans="1:15" x14ac:dyDescent="0.35">
      <c r="A763" t="s">
        <v>56</v>
      </c>
      <c r="B763">
        <v>2010</v>
      </c>
      <c r="C763">
        <v>197712.40625</v>
      </c>
      <c r="D763" s="8">
        <v>0.90319663286209095</v>
      </c>
      <c r="E763" s="8">
        <v>0</v>
      </c>
      <c r="F763">
        <v>2.5077150708095499</v>
      </c>
      <c r="G763">
        <f t="shared" si="59"/>
        <v>2.7764885071183087</v>
      </c>
      <c r="H763">
        <f t="shared" si="61"/>
        <v>-4.0263094655666132E-2</v>
      </c>
      <c r="I763">
        <f t="shared" si="60"/>
        <v>0</v>
      </c>
      <c r="J763">
        <f t="shared" si="62"/>
        <v>2</v>
      </c>
      <c r="K763">
        <v>-1.5329426093026901E-2</v>
      </c>
      <c r="L763">
        <v>-5.8693173341453101E-3</v>
      </c>
      <c r="M763">
        <v>-2.5946095928549701E-2</v>
      </c>
      <c r="N763">
        <v>-4.6623214147984704E-3</v>
      </c>
      <c r="O763">
        <f t="shared" si="63"/>
        <v>-2.7080376632511614E-3</v>
      </c>
    </row>
    <row r="764" spans="1:15" x14ac:dyDescent="0.35">
      <c r="A764" t="s">
        <v>56</v>
      </c>
      <c r="B764">
        <v>2011</v>
      </c>
      <c r="C764">
        <v>198571.109375</v>
      </c>
      <c r="D764" s="8">
        <v>0.91148763895034801</v>
      </c>
      <c r="E764" s="8">
        <v>0</v>
      </c>
      <c r="F764">
        <v>2.50406169665809</v>
      </c>
      <c r="G764">
        <f t="shared" si="59"/>
        <v>2.7472250743210518</v>
      </c>
      <c r="H764">
        <f t="shared" si="61"/>
        <v>-1.0539727689213185E-2</v>
      </c>
      <c r="I764">
        <f t="shared" si="60"/>
        <v>0</v>
      </c>
      <c r="J764">
        <f t="shared" si="62"/>
        <v>2</v>
      </c>
      <c r="K764">
        <v>-2.5946095928549701E-2</v>
      </c>
      <c r="L764">
        <v>-4.6623214147984704E-3</v>
      </c>
      <c r="M764">
        <v>-1.13409024700522E-2</v>
      </c>
      <c r="N764">
        <v>-5.9026964008808396E-3</v>
      </c>
      <c r="O764">
        <f t="shared" si="63"/>
        <v>-9.0247895568608752E-4</v>
      </c>
    </row>
    <row r="765" spans="1:15" x14ac:dyDescent="0.35">
      <c r="A765" t="s">
        <v>56</v>
      </c>
      <c r="B765">
        <v>2012</v>
      </c>
      <c r="C765">
        <v>199505.5</v>
      </c>
      <c r="D765" s="8">
        <v>0.91786938905715898</v>
      </c>
      <c r="E765" s="8">
        <v>0</v>
      </c>
      <c r="F765">
        <v>2.4884187177408998</v>
      </c>
      <c r="G765">
        <f t="shared" si="59"/>
        <v>2.7110814974416115</v>
      </c>
      <c r="H765">
        <f t="shared" si="61"/>
        <v>-1.3156394507782609E-2</v>
      </c>
      <c r="I765">
        <f t="shared" si="60"/>
        <v>0</v>
      </c>
      <c r="J765">
        <f t="shared" si="62"/>
        <v>1</v>
      </c>
      <c r="K765">
        <v>-1.13409024700522E-2</v>
      </c>
      <c r="L765">
        <v>-5.9882951900363402E-3</v>
      </c>
      <c r="M765">
        <v>-6.3322003558278E-3</v>
      </c>
      <c r="N765">
        <v>-1.2458971701562399E-2</v>
      </c>
      <c r="O765">
        <f t="shared" si="63"/>
        <v>4.4392915442586205E-3</v>
      </c>
    </row>
    <row r="766" spans="1:15" x14ac:dyDescent="0.35">
      <c r="A766" t="s">
        <v>56</v>
      </c>
      <c r="B766">
        <v>2013</v>
      </c>
      <c r="C766">
        <v>200788.703125</v>
      </c>
      <c r="D766" s="8">
        <v>0.92593008279800404</v>
      </c>
      <c r="E766" s="8">
        <v>0</v>
      </c>
      <c r="F766">
        <v>2.3301470253539001</v>
      </c>
      <c r="G766">
        <f t="shared" si="59"/>
        <v>2.5165474895389401</v>
      </c>
      <c r="H766">
        <f t="shared" si="61"/>
        <v>-7.1755130963878755E-2</v>
      </c>
      <c r="I766">
        <f t="shared" si="60"/>
        <v>0</v>
      </c>
      <c r="J766">
        <f t="shared" si="62"/>
        <v>1</v>
      </c>
      <c r="K766">
        <v>-6.3322003558278E-3</v>
      </c>
      <c r="L766">
        <v>-1.2458971701562399E-2</v>
      </c>
      <c r="M766" s="1">
        <v>5.10440766809949E-6</v>
      </c>
      <c r="N766">
        <v>-2.0029190927743998E-3</v>
      </c>
      <c r="O766">
        <f t="shared" si="63"/>
        <v>5.8766547590494425E-3</v>
      </c>
    </row>
    <row r="767" spans="1:15" x14ac:dyDescent="0.35">
      <c r="A767" t="s">
        <v>56</v>
      </c>
      <c r="B767">
        <v>2014</v>
      </c>
      <c r="C767">
        <v>202196.703125</v>
      </c>
      <c r="D767" s="8">
        <v>0.93734788894653298</v>
      </c>
      <c r="E767" s="8">
        <v>0</v>
      </c>
      <c r="F767">
        <v>2.7297472456254002</v>
      </c>
      <c r="G767">
        <f t="shared" si="59"/>
        <v>2.9122029054690781</v>
      </c>
      <c r="H767">
        <f t="shared" si="61"/>
        <v>0.15722151780359472</v>
      </c>
      <c r="I767">
        <f t="shared" si="60"/>
        <v>1</v>
      </c>
      <c r="J767">
        <f t="shared" si="62"/>
        <v>1</v>
      </c>
      <c r="K767" s="1">
        <v>5.10440766809949E-6</v>
      </c>
      <c r="L767">
        <v>-2.0029190927743998E-3</v>
      </c>
      <c r="M767">
        <v>4.1750172317027899E-2</v>
      </c>
      <c r="N767">
        <v>1.14867202937603E-2</v>
      </c>
      <c r="O767">
        <f t="shared" si="63"/>
        <v>4.2347513139248212E-3</v>
      </c>
    </row>
    <row r="768" spans="1:15" x14ac:dyDescent="0.35">
      <c r="A768" t="s">
        <v>56</v>
      </c>
      <c r="B768">
        <v>2015</v>
      </c>
      <c r="C768">
        <v>203593.90625</v>
      </c>
      <c r="D768" s="8">
        <v>0.953679859638214</v>
      </c>
      <c r="E768" s="8">
        <v>0</v>
      </c>
      <c r="F768">
        <v>2.5000945447669398</v>
      </c>
      <c r="G768">
        <f t="shared" si="59"/>
        <v>2.6215238997658714</v>
      </c>
      <c r="H768">
        <f t="shared" si="61"/>
        <v>-9.9814132166860858E-2</v>
      </c>
      <c r="I768">
        <f t="shared" si="60"/>
        <v>0</v>
      </c>
      <c r="J768">
        <f t="shared" si="62"/>
        <v>1</v>
      </c>
      <c r="K768">
        <v>4.1750172317027899E-2</v>
      </c>
      <c r="L768">
        <v>1.14867202937603E-2</v>
      </c>
      <c r="M768">
        <v>1.7519029125571298E-2</v>
      </c>
      <c r="N768">
        <v>4.3654721230268999E-3</v>
      </c>
      <c r="O768">
        <f t="shared" si="63"/>
        <v>4.609944298863443E-3</v>
      </c>
    </row>
    <row r="769" spans="1:15" x14ac:dyDescent="0.35">
      <c r="A769" t="s">
        <v>56</v>
      </c>
      <c r="B769">
        <v>2016</v>
      </c>
      <c r="C769">
        <v>204300</v>
      </c>
      <c r="D769" s="8">
        <v>0.93758583068847701</v>
      </c>
      <c r="E769" s="8">
        <v>0</v>
      </c>
      <c r="F769">
        <v>2.4233220847394001</v>
      </c>
      <c r="G769">
        <f t="shared" si="59"/>
        <v>2.5846402595055586</v>
      </c>
      <c r="H769">
        <f t="shared" si="61"/>
        <v>-1.4069541865937896E-2</v>
      </c>
      <c r="I769">
        <f t="shared" si="60"/>
        <v>0</v>
      </c>
      <c r="J769">
        <f t="shared" si="62"/>
        <v>1</v>
      </c>
      <c r="K769">
        <v>1.7519029125571298E-2</v>
      </c>
      <c r="L769">
        <v>4.3654721230268999E-3</v>
      </c>
      <c r="M769">
        <v>2.3595729559659901E-2</v>
      </c>
      <c r="N769">
        <v>2.0806156098842701E-2</v>
      </c>
      <c r="O769">
        <f t="shared" si="63"/>
        <v>1.4917775243520661E-2</v>
      </c>
    </row>
    <row r="770" spans="1:15" x14ac:dyDescent="0.35">
      <c r="A770" t="s">
        <v>56</v>
      </c>
      <c r="B770">
        <v>2017</v>
      </c>
      <c r="C770">
        <v>205185.890625</v>
      </c>
      <c r="D770" s="8">
        <v>0.94263613224029497</v>
      </c>
      <c r="E770" s="8">
        <v>0</v>
      </c>
      <c r="F770">
        <v>2.5407776936439301</v>
      </c>
      <c r="G770">
        <f t="shared" si="59"/>
        <v>2.6953960353773496</v>
      </c>
      <c r="H770">
        <f t="shared" si="61"/>
        <v>4.2851524681031927E-2</v>
      </c>
      <c r="I770">
        <f t="shared" si="60"/>
        <v>1</v>
      </c>
      <c r="J770">
        <f t="shared" si="62"/>
        <v>2</v>
      </c>
      <c r="K770">
        <v>2.3595729559659901E-2</v>
      </c>
      <c r="L770">
        <v>2.0806156098842701E-2</v>
      </c>
      <c r="M770">
        <v>3.8628673404455002E-3</v>
      </c>
      <c r="N770">
        <v>-5.2721556276082897E-3</v>
      </c>
      <c r="O770">
        <f t="shared" si="63"/>
        <v>8.7989844381808398E-3</v>
      </c>
    </row>
    <row r="771" spans="1:15" x14ac:dyDescent="0.35">
      <c r="A771" t="s">
        <v>56</v>
      </c>
      <c r="B771">
        <v>2018</v>
      </c>
      <c r="C771">
        <v>206409.296875</v>
      </c>
      <c r="D771" s="8">
        <v>0.94066661596298196</v>
      </c>
      <c r="E771" s="8">
        <v>2.5999999999999999E-2</v>
      </c>
      <c r="F771">
        <v>2.39726722983889</v>
      </c>
      <c r="G771">
        <f t="shared" ref="G771:G834" si="64">F771/D771</f>
        <v>2.5484769940355037</v>
      </c>
      <c r="H771">
        <f t="shared" si="61"/>
        <v>-5.4507404260271342E-2</v>
      </c>
      <c r="I771">
        <f t="shared" ref="I771:I834" si="65">IF(H771&gt;0,1,0)</f>
        <v>0</v>
      </c>
      <c r="J771">
        <f t="shared" si="62"/>
        <v>2</v>
      </c>
      <c r="K771">
        <v>3.8628673404455002E-3</v>
      </c>
      <c r="L771">
        <v>-5.2721556276082897E-3</v>
      </c>
      <c r="M771">
        <v>7.5887582898140002E-3</v>
      </c>
      <c r="N771">
        <v>-1.0212436318397499E-2</v>
      </c>
      <c r="O771">
        <f t="shared" si="63"/>
        <v>6.95032346993678E-3</v>
      </c>
    </row>
    <row r="772" spans="1:15" x14ac:dyDescent="0.35">
      <c r="A772" t="s">
        <v>56</v>
      </c>
      <c r="B772">
        <v>2019</v>
      </c>
      <c r="C772">
        <v>207007.703125</v>
      </c>
      <c r="D772" s="8">
        <v>0.88523697853088401</v>
      </c>
      <c r="E772" s="8">
        <v>2.7E-2</v>
      </c>
      <c r="F772">
        <v>1.95074809648048</v>
      </c>
      <c r="G772">
        <f t="shared" si="64"/>
        <v>2.2036450620464252</v>
      </c>
      <c r="H772">
        <f t="shared" ref="H772:H835" si="66">+G772/G771-1</f>
        <v>-0.13530902291687497</v>
      </c>
      <c r="I772">
        <f t="shared" si="65"/>
        <v>0</v>
      </c>
      <c r="J772" t="str">
        <f t="shared" si="62"/>
        <v/>
      </c>
      <c r="K772">
        <v>7.5887582898140002E-3</v>
      </c>
      <c r="L772">
        <v>-1.0212436318397499E-2</v>
      </c>
      <c r="M772">
        <v>3.2211875647306397E-2</v>
      </c>
      <c r="N772">
        <v>1.33626852184534E-2</v>
      </c>
      <c r="O772">
        <f t="shared" si="63"/>
        <v>1.2969274073839118E-2</v>
      </c>
    </row>
    <row r="773" spans="1:15" x14ac:dyDescent="0.35">
      <c r="A773" t="s">
        <v>56</v>
      </c>
      <c r="B773">
        <v>2020</v>
      </c>
      <c r="C773">
        <v>207023.5</v>
      </c>
      <c r="D773" s="8">
        <v>0.943165123462677</v>
      </c>
      <c r="E773" s="8">
        <v>1E-3</v>
      </c>
      <c r="F773">
        <v>2.3943596617859302</v>
      </c>
      <c r="G773">
        <f t="shared" si="64"/>
        <v>2.5386431306910811</v>
      </c>
      <c r="H773">
        <f t="shared" si="66"/>
        <v>0.15201997563689251</v>
      </c>
      <c r="I773">
        <f t="shared" si="65"/>
        <v>1</v>
      </c>
      <c r="J773" t="str">
        <f t="shared" si="62"/>
        <v/>
      </c>
      <c r="K773">
        <v>3.2211875647306397E-2</v>
      </c>
      <c r="L773">
        <v>1.33626852184534E-2</v>
      </c>
      <c r="M773">
        <v>9.9494239568709994E-2</v>
      </c>
      <c r="N773">
        <v>5.5904626846312998E-2</v>
      </c>
      <c r="O773">
        <f t="shared" si="63"/>
        <v>1.0627723764628099E-2</v>
      </c>
    </row>
    <row r="774" spans="1:15" x14ac:dyDescent="0.35">
      <c r="A774" t="s">
        <v>56</v>
      </c>
      <c r="B774">
        <v>2021</v>
      </c>
      <c r="C774">
        <v>207064</v>
      </c>
      <c r="D774" s="8">
        <v>0.96608799695968595</v>
      </c>
      <c r="E774" s="8">
        <v>0</v>
      </c>
      <c r="F774">
        <v>2.3310829817158898</v>
      </c>
      <c r="G774">
        <f t="shared" si="64"/>
        <v>2.4129095786842325</v>
      </c>
      <c r="H774">
        <f t="shared" si="66"/>
        <v>-4.9527856234216294E-2</v>
      </c>
      <c r="I774">
        <f t="shared" si="65"/>
        <v>0</v>
      </c>
      <c r="J774" t="str">
        <f t="shared" si="62"/>
        <v/>
      </c>
      <c r="K774">
        <v>9.9494239568709994E-2</v>
      </c>
      <c r="L774">
        <v>5.5904626846312998E-2</v>
      </c>
      <c r="M774">
        <v>-4.1891304701566698E-2</v>
      </c>
      <c r="N774">
        <v>-9.7877979278564002E-3</v>
      </c>
      <c r="O774">
        <f t="shared" si="63"/>
        <v>-6.6270680166780598E-3</v>
      </c>
    </row>
    <row r="775" spans="1:15" x14ac:dyDescent="0.35">
      <c r="A775" t="s">
        <v>56</v>
      </c>
      <c r="B775">
        <v>2022</v>
      </c>
      <c r="C775">
        <v>207074</v>
      </c>
      <c r="D775" s="8">
        <v>0.96054446697235096</v>
      </c>
      <c r="E775" s="8">
        <v>0</v>
      </c>
      <c r="F775">
        <v>2.2241522279928398</v>
      </c>
      <c r="G775">
        <f t="shared" si="64"/>
        <v>2.3155119876994319</v>
      </c>
      <c r="H775">
        <f t="shared" si="66"/>
        <v>-4.0365205495148215E-2</v>
      </c>
      <c r="I775">
        <f t="shared" si="65"/>
        <v>0</v>
      </c>
      <c r="J775" t="str">
        <f t="shared" ref="J775:J838" si="67">IF(AND(B775&gt;=2010,B775&lt;=2018),SUM(I771:I775),"")</f>
        <v/>
      </c>
      <c r="K775">
        <v>-4.1891304701566698E-2</v>
      </c>
      <c r="L775">
        <v>-9.3090943992137996E-3</v>
      </c>
      <c r="M775">
        <v>-3.4074388243258001E-2</v>
      </c>
      <c r="N775">
        <v>-1.45154604688286E-2</v>
      </c>
      <c r="O775">
        <f t="shared" ref="O775:O838" si="68">IF(B775&gt;=2010,AVERAGE(N775:N779),"")</f>
        <v>-4.2478252667933463E-3</v>
      </c>
    </row>
    <row r="776" spans="1:15" x14ac:dyDescent="0.35">
      <c r="A776" t="s">
        <v>57</v>
      </c>
      <c r="B776">
        <v>2006</v>
      </c>
      <c r="C776">
        <v>341136.28125</v>
      </c>
      <c r="D776" s="8">
        <v>0.96931278705596902</v>
      </c>
      <c r="E776" s="8">
        <v>1.7999999999999999E-2</v>
      </c>
      <c r="F776">
        <v>2.1151344237638598</v>
      </c>
      <c r="G776">
        <f t="shared" si="64"/>
        <v>2.1820968958719926</v>
      </c>
      <c r="H776">
        <f t="shared" si="66"/>
        <v>-5.7617966366044771E-2</v>
      </c>
      <c r="I776">
        <f t="shared" si="65"/>
        <v>0</v>
      </c>
      <c r="J776" t="str">
        <f t="shared" si="67"/>
        <v/>
      </c>
      <c r="K776">
        <v>3.0668211758136599E-2</v>
      </c>
      <c r="L776">
        <v>2.4305172264575799E-2</v>
      </c>
      <c r="M776">
        <v>1.8960560768842599E-2</v>
      </c>
      <c r="N776">
        <v>1.9882316701114199E-2</v>
      </c>
      <c r="O776" t="str">
        <f t="shared" si="68"/>
        <v/>
      </c>
    </row>
    <row r="777" spans="1:15" x14ac:dyDescent="0.35">
      <c r="A777" t="s">
        <v>57</v>
      </c>
      <c r="B777">
        <v>2007</v>
      </c>
      <c r="C777">
        <v>345674.71875</v>
      </c>
      <c r="D777" s="8">
        <v>0.96721047163009599</v>
      </c>
      <c r="E777" s="8">
        <v>2E-3</v>
      </c>
      <c r="F777">
        <v>2.10250397456279</v>
      </c>
      <c r="G777">
        <f t="shared" si="64"/>
        <v>2.1737812360729696</v>
      </c>
      <c r="H777">
        <f t="shared" si="66"/>
        <v>-3.8108572606259106E-3</v>
      </c>
      <c r="I777">
        <f t="shared" si="65"/>
        <v>0</v>
      </c>
      <c r="J777" t="str">
        <f t="shared" si="67"/>
        <v/>
      </c>
      <c r="K777">
        <v>1.8960560768842599E-2</v>
      </c>
      <c r="L777">
        <v>1.9882316701114199E-2</v>
      </c>
      <c r="M777">
        <v>-2.7855870604515099E-2</v>
      </c>
      <c r="N777">
        <v>1.6549336723982999E-3</v>
      </c>
      <c r="O777" t="str">
        <f t="shared" si="68"/>
        <v/>
      </c>
    </row>
    <row r="778" spans="1:15" x14ac:dyDescent="0.35">
      <c r="A778" t="s">
        <v>57</v>
      </c>
      <c r="B778">
        <v>2008</v>
      </c>
      <c r="C778">
        <v>348859.3125</v>
      </c>
      <c r="D778" s="8">
        <v>0.96188563108444203</v>
      </c>
      <c r="E778" s="8">
        <v>8.9999999999999993E-3</v>
      </c>
      <c r="F778">
        <v>2.0725623582766399</v>
      </c>
      <c r="G778">
        <f t="shared" si="64"/>
        <v>2.1546868892718636</v>
      </c>
      <c r="H778">
        <f t="shared" si="66"/>
        <v>-8.7839321106666368E-3</v>
      </c>
      <c r="I778">
        <f t="shared" si="65"/>
        <v>0</v>
      </c>
      <c r="J778" t="str">
        <f t="shared" si="67"/>
        <v/>
      </c>
      <c r="K778">
        <v>-2.7855870604515099E-2</v>
      </c>
      <c r="L778">
        <v>1.6549336723982999E-3</v>
      </c>
      <c r="M778">
        <v>-5.6936033725738397E-2</v>
      </c>
      <c r="N778">
        <v>-3.0369332060217798E-2</v>
      </c>
      <c r="O778" t="str">
        <f t="shared" si="68"/>
        <v/>
      </c>
    </row>
    <row r="779" spans="1:15" x14ac:dyDescent="0.35">
      <c r="A779" t="s">
        <v>57</v>
      </c>
      <c r="B779">
        <v>2009</v>
      </c>
      <c r="C779">
        <v>351147.875</v>
      </c>
      <c r="D779" s="8">
        <v>0.95661735534668002</v>
      </c>
      <c r="E779" s="8">
        <v>4.0000000000000001E-3</v>
      </c>
      <c r="F779">
        <v>2.2042356888236498</v>
      </c>
      <c r="G779">
        <f t="shared" si="64"/>
        <v>2.3041978869647735</v>
      </c>
      <c r="H779">
        <f t="shared" si="66"/>
        <v>6.9388735058129258E-2</v>
      </c>
      <c r="I779">
        <f t="shared" si="65"/>
        <v>1</v>
      </c>
      <c r="J779" t="str">
        <f t="shared" si="67"/>
        <v/>
      </c>
      <c r="K779">
        <v>-5.6936033725738397E-2</v>
      </c>
      <c r="L779">
        <v>-3.0369332060217798E-2</v>
      </c>
      <c r="M779">
        <v>-7.3516929373145098E-3</v>
      </c>
      <c r="N779">
        <v>2.10841582156717E-3</v>
      </c>
      <c r="O779" t="str">
        <f t="shared" si="68"/>
        <v/>
      </c>
    </row>
    <row r="780" spans="1:15" x14ac:dyDescent="0.35">
      <c r="A780" t="s">
        <v>57</v>
      </c>
      <c r="B780">
        <v>2010</v>
      </c>
      <c r="C780">
        <v>352510.40625</v>
      </c>
      <c r="D780" s="8">
        <v>0.95792126655578602</v>
      </c>
      <c r="E780" s="8">
        <v>2E-3</v>
      </c>
      <c r="F780">
        <v>2.2395935981514801</v>
      </c>
      <c r="G780">
        <f t="shared" si="64"/>
        <v>2.3379725206477122</v>
      </c>
      <c r="H780">
        <f t="shared" si="66"/>
        <v>1.4657870261060246E-2</v>
      </c>
      <c r="I780">
        <f t="shared" si="65"/>
        <v>1</v>
      </c>
      <c r="J780">
        <f t="shared" si="67"/>
        <v>2</v>
      </c>
      <c r="K780">
        <v>-7.3516929373145098E-3</v>
      </c>
      <c r="L780">
        <v>2.10841582156717E-3</v>
      </c>
      <c r="M780">
        <v>-2.2214281715452599E-2</v>
      </c>
      <c r="N780">
        <v>-9.3050720170137101E-4</v>
      </c>
      <c r="O780">
        <f t="shared" si="68"/>
        <v>5.7217576541006643E-3</v>
      </c>
    </row>
    <row r="781" spans="1:15" x14ac:dyDescent="0.35">
      <c r="A781" t="s">
        <v>57</v>
      </c>
      <c r="B781">
        <v>2011</v>
      </c>
      <c r="C781">
        <v>354378.59375</v>
      </c>
      <c r="D781" s="8">
        <v>0.95828992128372203</v>
      </c>
      <c r="E781" s="8">
        <v>0</v>
      </c>
      <c r="F781">
        <v>2.32074671192193</v>
      </c>
      <c r="G781">
        <f t="shared" si="64"/>
        <v>2.4217584473945686</v>
      </c>
      <c r="H781">
        <f t="shared" si="66"/>
        <v>3.5837002362903769E-2</v>
      </c>
      <c r="I781">
        <f t="shared" si="65"/>
        <v>1</v>
      </c>
      <c r="J781">
        <f t="shared" si="67"/>
        <v>3</v>
      </c>
      <c r="K781">
        <v>-2.2214281715452599E-2</v>
      </c>
      <c r="L781">
        <v>-9.3050720170137101E-4</v>
      </c>
      <c r="M781">
        <v>-4.2746665924788003E-3</v>
      </c>
      <c r="N781">
        <v>1.16353947669259E-3</v>
      </c>
      <c r="O781">
        <f t="shared" si="68"/>
        <v>1.3260145671665679E-2</v>
      </c>
    </row>
    <row r="782" spans="1:15" x14ac:dyDescent="0.35">
      <c r="A782" t="s">
        <v>57</v>
      </c>
      <c r="B782">
        <v>2012</v>
      </c>
      <c r="C782">
        <v>355359.8125</v>
      </c>
      <c r="D782" s="8">
        <v>0.95513898134231601</v>
      </c>
      <c r="E782" s="8">
        <v>1.4E-2</v>
      </c>
      <c r="F782">
        <v>2.30940866491011</v>
      </c>
      <c r="G782">
        <f t="shared" si="64"/>
        <v>2.4178770943518133</v>
      </c>
      <c r="H782">
        <f t="shared" si="66"/>
        <v>-1.6027003217149449E-3</v>
      </c>
      <c r="I782">
        <f t="shared" si="65"/>
        <v>0</v>
      </c>
      <c r="J782">
        <f t="shared" si="67"/>
        <v>3</v>
      </c>
      <c r="K782">
        <v>-4.2746665924788003E-3</v>
      </c>
      <c r="L782">
        <v>1.0779406875370901E-3</v>
      </c>
      <c r="M782">
        <v>6.7504743486642999E-3</v>
      </c>
      <c r="N782">
        <v>6.2370300292970105E-4</v>
      </c>
      <c r="O782">
        <f t="shared" si="68"/>
        <v>1.7124474793672601E-2</v>
      </c>
    </row>
    <row r="783" spans="1:15" x14ac:dyDescent="0.35">
      <c r="A783" t="s">
        <v>57</v>
      </c>
      <c r="B783">
        <v>2013</v>
      </c>
      <c r="C783">
        <v>356296.59375</v>
      </c>
      <c r="D783" s="8">
        <v>0.95690792798996005</v>
      </c>
      <c r="E783" s="8">
        <v>0.01</v>
      </c>
      <c r="F783">
        <v>2.16053842813721</v>
      </c>
      <c r="G783">
        <f t="shared" si="64"/>
        <v>2.2578331362303006</v>
      </c>
      <c r="H783">
        <f t="shared" si="66"/>
        <v>-6.6191932789047558E-2</v>
      </c>
      <c r="I783">
        <f t="shared" si="65"/>
        <v>0</v>
      </c>
      <c r="J783">
        <f t="shared" si="67"/>
        <v>3</v>
      </c>
      <c r="K783">
        <v>6.7504743486642999E-3</v>
      </c>
      <c r="L783">
        <v>6.2370300292970105E-4</v>
      </c>
      <c r="M783">
        <v>1.9664753377438E-3</v>
      </c>
      <c r="N783">
        <v>-4.1548162698700598E-5</v>
      </c>
      <c r="O783">
        <f t="shared" si="68"/>
        <v>1.903752982616428E-2</v>
      </c>
    </row>
    <row r="784" spans="1:15" x14ac:dyDescent="0.35">
      <c r="A784" t="s">
        <v>57</v>
      </c>
      <c r="B784">
        <v>2014</v>
      </c>
      <c r="C784">
        <v>359298</v>
      </c>
      <c r="D784" s="8">
        <v>0.954770088195801</v>
      </c>
      <c r="E784" s="8">
        <v>1.7000000000000001E-2</v>
      </c>
      <c r="F784">
        <v>2.3163169965174499</v>
      </c>
      <c r="G784">
        <f t="shared" si="64"/>
        <v>2.4260468830716317</v>
      </c>
      <c r="H784">
        <f t="shared" si="66"/>
        <v>7.4502293434395517E-2</v>
      </c>
      <c r="I784">
        <f t="shared" si="65"/>
        <v>1</v>
      </c>
      <c r="J784">
        <f t="shared" si="67"/>
        <v>3</v>
      </c>
      <c r="K784">
        <v>1.9664753377438E-3</v>
      </c>
      <c r="L784">
        <v>-4.1548162698700598E-5</v>
      </c>
      <c r="M784">
        <v>5.8057053178548798E-2</v>
      </c>
      <c r="N784">
        <v>2.7793601155281102E-2</v>
      </c>
      <c r="O784">
        <f t="shared" si="68"/>
        <v>1.9226559996604942E-2</v>
      </c>
    </row>
    <row r="785" spans="1:15" x14ac:dyDescent="0.35">
      <c r="A785" t="s">
        <v>57</v>
      </c>
      <c r="B785">
        <v>2015</v>
      </c>
      <c r="C785">
        <v>363999.375</v>
      </c>
      <c r="D785" s="8">
        <v>0.96176910400390603</v>
      </c>
      <c r="E785" s="8">
        <v>2.5999999999999999E-2</v>
      </c>
      <c r="F785">
        <v>2.19703156393803</v>
      </c>
      <c r="G785">
        <f t="shared" si="64"/>
        <v>2.2843648800857168</v>
      </c>
      <c r="H785">
        <f t="shared" si="66"/>
        <v>-5.8400356553097832E-2</v>
      </c>
      <c r="I785">
        <f t="shared" si="65"/>
        <v>0</v>
      </c>
      <c r="J785">
        <f t="shared" si="67"/>
        <v>2</v>
      </c>
      <c r="K785">
        <v>5.8057053178548798E-2</v>
      </c>
      <c r="L785">
        <v>2.7793601155281102E-2</v>
      </c>
      <c r="M785">
        <v>4.9914989888668097E-2</v>
      </c>
      <c r="N785">
        <v>3.6761432886123699E-2</v>
      </c>
      <c r="O785">
        <f t="shared" si="68"/>
        <v>1.3806353136897095E-2</v>
      </c>
    </row>
    <row r="786" spans="1:15" x14ac:dyDescent="0.35">
      <c r="A786" t="s">
        <v>57</v>
      </c>
      <c r="B786">
        <v>2016</v>
      </c>
      <c r="C786">
        <v>370854.71875</v>
      </c>
      <c r="D786" s="8">
        <v>0.96302014589309703</v>
      </c>
      <c r="E786" s="8">
        <v>1.4999999999999999E-2</v>
      </c>
      <c r="F786">
        <v>2.4166915645852001</v>
      </c>
      <c r="G786">
        <f t="shared" si="64"/>
        <v>2.5094922207925152</v>
      </c>
      <c r="H786">
        <f t="shared" si="66"/>
        <v>9.8551392848567509E-2</v>
      </c>
      <c r="I786">
        <f t="shared" si="65"/>
        <v>1</v>
      </c>
      <c r="J786">
        <f t="shared" si="67"/>
        <v>2</v>
      </c>
      <c r="K786">
        <v>4.9914989888668097E-2</v>
      </c>
      <c r="L786">
        <v>3.6761432886123699E-2</v>
      </c>
      <c r="M786">
        <v>2.3274758547544499E-2</v>
      </c>
      <c r="N786">
        <v>2.0485185086727201E-2</v>
      </c>
      <c r="O786">
        <f t="shared" si="68"/>
        <v>5.1922287791967368E-3</v>
      </c>
    </row>
    <row r="787" spans="1:15" x14ac:dyDescent="0.35">
      <c r="A787" t="s">
        <v>57</v>
      </c>
      <c r="B787">
        <v>2017</v>
      </c>
      <c r="C787">
        <v>376489.6875</v>
      </c>
      <c r="D787" s="8">
        <v>0.96346753835678101</v>
      </c>
      <c r="E787" s="8">
        <v>8.0000000000000002E-3</v>
      </c>
      <c r="F787">
        <v>2.1416304208775698</v>
      </c>
      <c r="G787">
        <f t="shared" si="64"/>
        <v>2.2228360952670769</v>
      </c>
      <c r="H787">
        <f t="shared" si="66"/>
        <v>-0.11422873645526199</v>
      </c>
      <c r="I787">
        <f t="shared" si="65"/>
        <v>0</v>
      </c>
      <c r="J787">
        <f t="shared" si="67"/>
        <v>2</v>
      </c>
      <c r="K787">
        <v>2.3274758547544499E-2</v>
      </c>
      <c r="L787">
        <v>2.0485185086727201E-2</v>
      </c>
      <c r="M787">
        <v>1.93240011334418E-2</v>
      </c>
      <c r="N787">
        <v>1.01889781653881E-2</v>
      </c>
      <c r="O787">
        <f t="shared" si="68"/>
        <v>5.7349566370248767E-3</v>
      </c>
    </row>
    <row r="788" spans="1:15" x14ac:dyDescent="0.35">
      <c r="A788" t="s">
        <v>57</v>
      </c>
      <c r="B788">
        <v>2018</v>
      </c>
      <c r="C788">
        <v>379634.71875</v>
      </c>
      <c r="D788" s="8">
        <v>0.96342253684997603</v>
      </c>
      <c r="E788" s="8">
        <v>7.0000000000000001E-3</v>
      </c>
      <c r="F788">
        <v>2.2378970839941501</v>
      </c>
      <c r="G788">
        <f t="shared" si="64"/>
        <v>2.3228614635808911</v>
      </c>
      <c r="H788">
        <f t="shared" si="66"/>
        <v>4.4998985092419064E-2</v>
      </c>
      <c r="I788">
        <f t="shared" si="65"/>
        <v>1</v>
      </c>
      <c r="J788">
        <f t="shared" si="67"/>
        <v>3</v>
      </c>
      <c r="K788">
        <v>1.93240011334418E-2</v>
      </c>
      <c r="L788">
        <v>1.01889781653881E-2</v>
      </c>
      <c r="M788">
        <v>1.87047972977161E-2</v>
      </c>
      <c r="N788">
        <v>9.0360268950459501E-4</v>
      </c>
      <c r="O788">
        <f t="shared" si="68"/>
        <v>2.6535298675298565E-3</v>
      </c>
    </row>
    <row r="789" spans="1:15" x14ac:dyDescent="0.35">
      <c r="A789" t="s">
        <v>57</v>
      </c>
      <c r="B789">
        <v>2019</v>
      </c>
      <c r="C789">
        <v>382371.78125</v>
      </c>
      <c r="D789" s="8">
        <v>0.93342769145965598</v>
      </c>
      <c r="E789" s="8">
        <v>3.9E-2</v>
      </c>
      <c r="F789">
        <v>2.1503456484914998</v>
      </c>
      <c r="G789">
        <f t="shared" si="64"/>
        <v>2.3037088658992722</v>
      </c>
      <c r="H789">
        <f t="shared" si="66"/>
        <v>-8.2452604177666311E-3</v>
      </c>
      <c r="I789">
        <f t="shared" si="65"/>
        <v>0</v>
      </c>
      <c r="J789" t="str">
        <f t="shared" si="67"/>
        <v/>
      </c>
      <c r="K789">
        <v>1.87047972977161E-2</v>
      </c>
      <c r="L789">
        <v>9.0360268950459501E-4</v>
      </c>
      <c r="M789">
        <v>1.9541757285594898E-2</v>
      </c>
      <c r="N789">
        <v>6.9256685674189795E-4</v>
      </c>
      <c r="O789">
        <f t="shared" si="68"/>
        <v>1.3015082105994175E-3</v>
      </c>
    </row>
    <row r="790" spans="1:15" x14ac:dyDescent="0.35">
      <c r="A790" t="s">
        <v>57</v>
      </c>
      <c r="B790">
        <v>2020</v>
      </c>
      <c r="C790">
        <v>384674.1875</v>
      </c>
      <c r="D790" s="8">
        <v>0.97037404775619496</v>
      </c>
      <c r="E790" s="8">
        <v>1.6E-2</v>
      </c>
      <c r="F790">
        <v>2.1662918189485501</v>
      </c>
      <c r="G790">
        <f t="shared" si="64"/>
        <v>2.2324296738537961</v>
      </c>
      <c r="H790">
        <f t="shared" si="66"/>
        <v>-3.0941059046387664E-2</v>
      </c>
      <c r="I790">
        <f t="shared" si="65"/>
        <v>0</v>
      </c>
      <c r="J790" t="str">
        <f t="shared" si="67"/>
        <v/>
      </c>
      <c r="K790">
        <v>1.9541757285594898E-2</v>
      </c>
      <c r="L790">
        <v>6.9256685674189795E-4</v>
      </c>
      <c r="M790">
        <v>3.7280423820018699E-2</v>
      </c>
      <c r="N790">
        <v>-6.30918890237811E-3</v>
      </c>
      <c r="O790">
        <f t="shared" si="68"/>
        <v>2.1364920772611977E-3</v>
      </c>
    </row>
    <row r="791" spans="1:15" x14ac:dyDescent="0.35">
      <c r="A791" t="s">
        <v>57</v>
      </c>
      <c r="B791">
        <v>2021</v>
      </c>
      <c r="C791">
        <v>386022.5</v>
      </c>
      <c r="D791" s="8">
        <v>0.98109120130538896</v>
      </c>
      <c r="E791" s="8">
        <v>0</v>
      </c>
      <c r="F791">
        <v>2.2424272066255799</v>
      </c>
      <c r="G791">
        <f t="shared" si="64"/>
        <v>2.2856460272418331</v>
      </c>
      <c r="H791">
        <f t="shared" si="66"/>
        <v>2.3837863298139528E-2</v>
      </c>
      <c r="I791">
        <f t="shared" si="65"/>
        <v>1</v>
      </c>
      <c r="J791" t="str">
        <f t="shared" si="67"/>
        <v/>
      </c>
      <c r="K791">
        <v>3.7280423820018699E-2</v>
      </c>
      <c r="L791">
        <v>-6.30918890237811E-3</v>
      </c>
      <c r="M791">
        <v>-8.9046823978423898E-3</v>
      </c>
      <c r="N791">
        <v>2.3198824375867899E-2</v>
      </c>
      <c r="O791">
        <f t="shared" si="68"/>
        <v>5.4192588664591203E-3</v>
      </c>
    </row>
    <row r="792" spans="1:15" x14ac:dyDescent="0.35">
      <c r="A792" t="s">
        <v>57</v>
      </c>
      <c r="B792">
        <v>2022</v>
      </c>
      <c r="C792">
        <v>385108.3125</v>
      </c>
      <c r="D792" s="8">
        <v>0.94619911909103405</v>
      </c>
      <c r="E792" s="8">
        <v>0.04</v>
      </c>
      <c r="F792">
        <v>2.0069625761531702</v>
      </c>
      <c r="G792">
        <f t="shared" si="64"/>
        <v>2.1210784661067517</v>
      </c>
      <c r="H792">
        <f t="shared" si="66"/>
        <v>-7.2000458152162161E-2</v>
      </c>
      <c r="I792">
        <f t="shared" si="65"/>
        <v>0</v>
      </c>
      <c r="J792" t="str">
        <f t="shared" si="67"/>
        <v/>
      </c>
      <c r="K792">
        <v>-8.9046823978423898E-3</v>
      </c>
      <c r="L792">
        <v>2.3677527904510502E-2</v>
      </c>
      <c r="M792">
        <v>-2.4777083456516299E-2</v>
      </c>
      <c r="N792">
        <v>-5.2181556820870001E-3</v>
      </c>
      <c r="O792">
        <f t="shared" si="68"/>
        <v>-2.5303997099401787E-4</v>
      </c>
    </row>
    <row r="793" spans="1:15" x14ac:dyDescent="0.35">
      <c r="A793" t="s">
        <v>58</v>
      </c>
      <c r="B793">
        <v>2006</v>
      </c>
      <c r="C793">
        <v>306011.5</v>
      </c>
      <c r="D793" s="8">
        <v>0.90996348857879605</v>
      </c>
      <c r="E793" s="8">
        <v>1E-3</v>
      </c>
      <c r="F793">
        <v>1.9904933381346701</v>
      </c>
      <c r="G793">
        <f t="shared" si="64"/>
        <v>2.1874430821872566</v>
      </c>
      <c r="H793">
        <f t="shared" si="66"/>
        <v>3.128814758197862E-2</v>
      </c>
      <c r="I793">
        <f t="shared" si="65"/>
        <v>1</v>
      </c>
      <c r="J793" t="str">
        <f t="shared" si="67"/>
        <v/>
      </c>
      <c r="K793">
        <v>-1.12863335460424E-2</v>
      </c>
      <c r="L793">
        <v>-1.7649373039603199E-2</v>
      </c>
      <c r="M793">
        <v>-6.7782615274191004E-3</v>
      </c>
      <c r="N793">
        <v>-5.8565055951476002E-3</v>
      </c>
      <c r="O793" t="str">
        <f t="shared" si="68"/>
        <v/>
      </c>
    </row>
    <row r="794" spans="1:15" x14ac:dyDescent="0.35">
      <c r="A794" t="s">
        <v>58</v>
      </c>
      <c r="B794">
        <v>2007</v>
      </c>
      <c r="C794">
        <v>307752.5</v>
      </c>
      <c r="D794" s="8">
        <v>0.91654348373413097</v>
      </c>
      <c r="E794" s="8">
        <v>1E-3</v>
      </c>
      <c r="F794">
        <v>2.06469611424775</v>
      </c>
      <c r="G794">
        <f t="shared" si="64"/>
        <v>2.2526984817303801</v>
      </c>
      <c r="H794">
        <f t="shared" si="66"/>
        <v>2.9831816002212852E-2</v>
      </c>
      <c r="I794">
        <f t="shared" si="65"/>
        <v>1</v>
      </c>
      <c r="J794" t="str">
        <f t="shared" si="67"/>
        <v/>
      </c>
      <c r="K794">
        <v>-6.7782615274191004E-3</v>
      </c>
      <c r="L794">
        <v>-5.8565055951476002E-3</v>
      </c>
      <c r="M794">
        <v>-2.4643318086862501E-2</v>
      </c>
      <c r="N794">
        <v>4.8674861900507996E-3</v>
      </c>
      <c r="O794" t="str">
        <f t="shared" si="68"/>
        <v/>
      </c>
    </row>
    <row r="795" spans="1:15" x14ac:dyDescent="0.35">
      <c r="A795" t="s">
        <v>58</v>
      </c>
      <c r="B795">
        <v>2008</v>
      </c>
      <c r="C795">
        <v>309016.125</v>
      </c>
      <c r="D795" s="8">
        <v>0.92680335044860795</v>
      </c>
      <c r="E795" s="8">
        <v>2.5000000000000001E-2</v>
      </c>
      <c r="F795">
        <v>1.96818209819503</v>
      </c>
      <c r="G795">
        <f t="shared" si="64"/>
        <v>2.1236242804283725</v>
      </c>
      <c r="H795">
        <f t="shared" si="66"/>
        <v>-5.7297593241533606E-2</v>
      </c>
      <c r="I795">
        <f t="shared" si="65"/>
        <v>0</v>
      </c>
      <c r="J795" t="str">
        <f t="shared" si="67"/>
        <v/>
      </c>
      <c r="K795">
        <v>-2.4643318086862501E-2</v>
      </c>
      <c r="L795">
        <v>4.8674861900507996E-3</v>
      </c>
      <c r="M795">
        <v>-1.64620566219091E-2</v>
      </c>
      <c r="N795">
        <v>1.01046450436115E-2</v>
      </c>
      <c r="O795" t="str">
        <f t="shared" si="68"/>
        <v/>
      </c>
    </row>
    <row r="796" spans="1:15" x14ac:dyDescent="0.35">
      <c r="A796" t="s">
        <v>58</v>
      </c>
      <c r="B796">
        <v>2009</v>
      </c>
      <c r="C796">
        <v>310590.5</v>
      </c>
      <c r="D796" s="8">
        <v>0.92148351669311501</v>
      </c>
      <c r="E796" s="8">
        <v>3.0000000000000001E-3</v>
      </c>
      <c r="F796">
        <v>2.1104404618194201</v>
      </c>
      <c r="G796">
        <f t="shared" si="64"/>
        <v>2.2902639315709732</v>
      </c>
      <c r="H796">
        <f t="shared" si="66"/>
        <v>7.8469460289362747E-2</v>
      </c>
      <c r="I796">
        <f t="shared" si="65"/>
        <v>1</v>
      </c>
      <c r="J796" t="str">
        <f t="shared" si="67"/>
        <v/>
      </c>
      <c r="K796">
        <v>-1.64620566219091E-2</v>
      </c>
      <c r="L796">
        <v>1.01046450436115E-2</v>
      </c>
      <c r="M796">
        <v>-1.46227785702794E-2</v>
      </c>
      <c r="N796">
        <v>-5.16266981139779E-3</v>
      </c>
      <c r="O796" t="str">
        <f t="shared" si="68"/>
        <v/>
      </c>
    </row>
    <row r="797" spans="1:15" x14ac:dyDescent="0.35">
      <c r="A797" t="s">
        <v>58</v>
      </c>
      <c r="B797">
        <v>2010</v>
      </c>
      <c r="C797">
        <v>311979.1875</v>
      </c>
      <c r="D797" s="8">
        <v>0.92210435867309604</v>
      </c>
      <c r="E797" s="8">
        <v>0</v>
      </c>
      <c r="F797">
        <v>2.25296764936081</v>
      </c>
      <c r="G797">
        <f t="shared" si="64"/>
        <v>2.4432892309530128</v>
      </c>
      <c r="H797">
        <f t="shared" si="66"/>
        <v>6.6815574079741147E-2</v>
      </c>
      <c r="I797">
        <f t="shared" si="65"/>
        <v>1</v>
      </c>
      <c r="J797">
        <f t="shared" si="67"/>
        <v>4</v>
      </c>
      <c r="K797">
        <v>-1.46227785702794E-2</v>
      </c>
      <c r="L797">
        <v>-5.16266981139779E-3</v>
      </c>
      <c r="M797">
        <v>-2.35333995595574E-2</v>
      </c>
      <c r="N797">
        <v>-2.24962504580613E-3</v>
      </c>
      <c r="O797">
        <f t="shared" si="68"/>
        <v>-5.4509912151843127E-3</v>
      </c>
    </row>
    <row r="798" spans="1:15" x14ac:dyDescent="0.35">
      <c r="A798" t="s">
        <v>59</v>
      </c>
      <c r="B798">
        <v>2006</v>
      </c>
      <c r="C798">
        <v>349219.09375</v>
      </c>
      <c r="D798" s="8">
        <v>0.85793304443359397</v>
      </c>
      <c r="E798" s="8">
        <v>6.5000000000000002E-2</v>
      </c>
      <c r="F798">
        <v>2.5801287445304601</v>
      </c>
      <c r="G798">
        <f t="shared" si="64"/>
        <v>3.0073777450009014</v>
      </c>
      <c r="H798">
        <f t="shared" si="66"/>
        <v>0.23087259048240649</v>
      </c>
      <c r="I798">
        <f t="shared" si="65"/>
        <v>1</v>
      </c>
      <c r="J798" t="str">
        <f t="shared" si="67"/>
        <v/>
      </c>
      <c r="K798">
        <v>3.1543282449245397E-2</v>
      </c>
      <c r="L798">
        <v>2.5180242955684599E-2</v>
      </c>
      <c r="M798">
        <v>-2.9495720714331E-3</v>
      </c>
      <c r="N798">
        <v>-2.0278161391615898E-3</v>
      </c>
      <c r="O798" t="str">
        <f t="shared" si="68"/>
        <v/>
      </c>
    </row>
    <row r="799" spans="1:15" x14ac:dyDescent="0.35">
      <c r="A799" t="s">
        <v>59</v>
      </c>
      <c r="B799">
        <v>2007</v>
      </c>
      <c r="C799">
        <v>352010.71875</v>
      </c>
      <c r="D799" s="8">
        <v>0.83105015754699696</v>
      </c>
      <c r="E799" s="8">
        <v>9.6000000000000002E-2</v>
      </c>
      <c r="F799">
        <v>2.5484983194188402</v>
      </c>
      <c r="G799">
        <f t="shared" si="64"/>
        <v>3.0665998872333038</v>
      </c>
      <c r="H799">
        <f t="shared" si="66"/>
        <v>1.9692285856290015E-2</v>
      </c>
      <c r="I799">
        <f t="shared" si="65"/>
        <v>1</v>
      </c>
      <c r="J799" t="str">
        <f t="shared" si="67"/>
        <v/>
      </c>
      <c r="K799">
        <v>-2.9495720714331E-3</v>
      </c>
      <c r="L799">
        <v>-2.0278161391615898E-3</v>
      </c>
      <c r="M799">
        <v>-5.0822563759982599E-2</v>
      </c>
      <c r="N799">
        <v>-2.1311759483069102E-2</v>
      </c>
      <c r="O799" t="str">
        <f t="shared" si="68"/>
        <v/>
      </c>
    </row>
    <row r="800" spans="1:15" x14ac:dyDescent="0.35">
      <c r="A800" t="s">
        <v>59</v>
      </c>
      <c r="B800">
        <v>2008</v>
      </c>
      <c r="C800">
        <v>357463.71875</v>
      </c>
      <c r="D800" s="8">
        <v>0.83711302280426003</v>
      </c>
      <c r="E800" s="8">
        <v>1.9E-2</v>
      </c>
      <c r="F800">
        <v>2.5313927301046002</v>
      </c>
      <c r="G800">
        <f t="shared" si="64"/>
        <v>3.0239557397215515</v>
      </c>
      <c r="H800">
        <f t="shared" si="66"/>
        <v>-1.3906003091334496E-2</v>
      </c>
      <c r="I800">
        <f t="shared" si="65"/>
        <v>0</v>
      </c>
      <c r="J800" t="str">
        <f t="shared" si="67"/>
        <v/>
      </c>
      <c r="K800">
        <v>-5.0822563759982599E-2</v>
      </c>
      <c r="L800">
        <v>-2.1311759483069102E-2</v>
      </c>
      <c r="M800">
        <v>-2.8014887779951099E-2</v>
      </c>
      <c r="N800">
        <v>-1.4481861144304501E-3</v>
      </c>
      <c r="O800" t="str">
        <f t="shared" si="68"/>
        <v/>
      </c>
    </row>
    <row r="801" spans="1:15" x14ac:dyDescent="0.35">
      <c r="A801" t="s">
        <v>59</v>
      </c>
      <c r="B801">
        <v>2009</v>
      </c>
      <c r="C801">
        <v>365670.1875</v>
      </c>
      <c r="D801" s="8">
        <v>0.85168319940567005</v>
      </c>
      <c r="E801" s="8">
        <v>4.8000000000000001E-2</v>
      </c>
      <c r="F801">
        <v>2.47681918203202</v>
      </c>
      <c r="G801">
        <f t="shared" si="64"/>
        <v>2.908146108506565</v>
      </c>
      <c r="H801">
        <f t="shared" si="66"/>
        <v>-3.8297396252780613E-2</v>
      </c>
      <c r="I801">
        <f t="shared" si="65"/>
        <v>0</v>
      </c>
      <c r="J801" t="str">
        <f t="shared" si="67"/>
        <v/>
      </c>
      <c r="K801">
        <v>-2.8014887779951099E-2</v>
      </c>
      <c r="L801">
        <v>-1.4481861144304501E-3</v>
      </c>
      <c r="M801">
        <v>-9.6776780523359796E-3</v>
      </c>
      <c r="N801">
        <v>-2.17569293454296E-4</v>
      </c>
      <c r="O801" t="str">
        <f t="shared" si="68"/>
        <v/>
      </c>
    </row>
    <row r="802" spans="1:15" x14ac:dyDescent="0.35">
      <c r="A802" t="s">
        <v>59</v>
      </c>
      <c r="B802">
        <v>2010</v>
      </c>
      <c r="C802">
        <v>375830.40625</v>
      </c>
      <c r="D802" s="8">
        <v>0.85187983512878396</v>
      </c>
      <c r="E802" s="8">
        <v>5.8999999999999997E-2</v>
      </c>
      <c r="F802">
        <v>2.4369168681197899</v>
      </c>
      <c r="G802">
        <f t="shared" si="64"/>
        <v>2.8606345257032477</v>
      </c>
      <c r="H802">
        <f t="shared" si="66"/>
        <v>-1.6337412575091026E-2</v>
      </c>
      <c r="I802">
        <f t="shared" si="65"/>
        <v>0</v>
      </c>
      <c r="J802">
        <f t="shared" si="67"/>
        <v>2</v>
      </c>
      <c r="K802">
        <v>-9.6776780523359796E-3</v>
      </c>
      <c r="L802">
        <v>-2.17569293454296E-4</v>
      </c>
      <c r="M802">
        <v>-3.1088979675434499E-2</v>
      </c>
      <c r="N802">
        <v>-9.8052051616832302E-3</v>
      </c>
      <c r="O802">
        <f t="shared" si="68"/>
        <v>-1.6573613020591384E-2</v>
      </c>
    </row>
    <row r="803" spans="1:15" x14ac:dyDescent="0.35">
      <c r="A803" t="s">
        <v>59</v>
      </c>
      <c r="B803">
        <v>2011</v>
      </c>
      <c r="C803">
        <v>379397.1875</v>
      </c>
      <c r="D803" s="8">
        <v>0.84673327207565297</v>
      </c>
      <c r="E803" s="8">
        <v>6.5000000000000002E-2</v>
      </c>
      <c r="F803">
        <v>2.4235615830900499</v>
      </c>
      <c r="G803">
        <f t="shared" si="64"/>
        <v>2.8622491438762219</v>
      </c>
      <c r="H803">
        <f t="shared" si="66"/>
        <v>5.6442658384581179E-4</v>
      </c>
      <c r="I803">
        <f t="shared" si="65"/>
        <v>1</v>
      </c>
      <c r="J803">
        <f t="shared" si="67"/>
        <v>2</v>
      </c>
      <c r="K803">
        <v>-3.1088979675434499E-2</v>
      </c>
      <c r="L803">
        <v>-9.8052051616832302E-3</v>
      </c>
      <c r="M803">
        <v>-5.4382060691713996E-3</v>
      </c>
      <c r="N803">
        <v>0</v>
      </c>
      <c r="O803">
        <f t="shared" si="68"/>
        <v>-1.3099329266697121E-2</v>
      </c>
    </row>
    <row r="804" spans="1:15" x14ac:dyDescent="0.35">
      <c r="A804" t="s">
        <v>59</v>
      </c>
      <c r="B804">
        <v>2012</v>
      </c>
      <c r="C804">
        <v>380263.875</v>
      </c>
      <c r="D804" s="8">
        <v>0.867606520652771</v>
      </c>
      <c r="E804" s="8">
        <v>5.0999999999999997E-2</v>
      </c>
      <c r="F804">
        <v>2.4724096513229901</v>
      </c>
      <c r="G804">
        <f t="shared" si="64"/>
        <v>2.8496900293727565</v>
      </c>
      <c r="H804">
        <f t="shared" si="66"/>
        <v>-4.387848112501147E-3</v>
      </c>
      <c r="I804">
        <f t="shared" si="65"/>
        <v>0</v>
      </c>
      <c r="J804">
        <f t="shared" si="67"/>
        <v>1</v>
      </c>
      <c r="K804">
        <v>-5.4382060691713996E-3</v>
      </c>
      <c r="L804">
        <v>-8.5598789155498804E-5</v>
      </c>
      <c r="M804">
        <v>-1.12557691615074E-2</v>
      </c>
      <c r="N804">
        <v>-1.7382540507242E-2</v>
      </c>
      <c r="O804">
        <f t="shared" si="68"/>
        <v>-1.523365722969168E-2</v>
      </c>
    </row>
    <row r="805" spans="1:15" x14ac:dyDescent="0.35">
      <c r="A805" t="s">
        <v>59</v>
      </c>
      <c r="B805">
        <v>2013</v>
      </c>
      <c r="C805">
        <v>382469.59375</v>
      </c>
      <c r="D805" s="8">
        <v>0.88045561313629195</v>
      </c>
      <c r="E805" s="8">
        <v>3.5999999999999997E-2</v>
      </c>
      <c r="F805">
        <v>2.28626945093928</v>
      </c>
      <c r="G805">
        <f t="shared" si="64"/>
        <v>2.5966890514733674</v>
      </c>
      <c r="H805">
        <f t="shared" si="66"/>
        <v>-8.8781929013899474E-2</v>
      </c>
      <c r="I805">
        <f t="shared" si="65"/>
        <v>0</v>
      </c>
      <c r="J805">
        <f t="shared" si="67"/>
        <v>1</v>
      </c>
      <c r="K805">
        <v>-1.12557691615074E-2</v>
      </c>
      <c r="L805">
        <v>-1.7382540507242E-2</v>
      </c>
      <c r="M805">
        <v>-2.0035664256662099E-2</v>
      </c>
      <c r="N805">
        <v>-2.2043687757104601E-2</v>
      </c>
      <c r="O805">
        <f t="shared" si="68"/>
        <v>-6.3291888218372601E-3</v>
      </c>
    </row>
    <row r="806" spans="1:15" x14ac:dyDescent="0.35">
      <c r="A806" t="s">
        <v>59</v>
      </c>
      <c r="B806">
        <v>2014</v>
      </c>
      <c r="C806">
        <v>381888.6875</v>
      </c>
      <c r="D806" s="8">
        <v>0.87080097198486295</v>
      </c>
      <c r="E806" s="8">
        <v>3.9E-2</v>
      </c>
      <c r="F806">
        <v>2.3578220833263699</v>
      </c>
      <c r="G806">
        <f t="shared" si="64"/>
        <v>2.7076475098001564</v>
      </c>
      <c r="H806">
        <f t="shared" si="66"/>
        <v>4.2730745240301626E-2</v>
      </c>
      <c r="I806">
        <f t="shared" si="65"/>
        <v>1</v>
      </c>
      <c r="J806">
        <f t="shared" si="67"/>
        <v>2</v>
      </c>
      <c r="K806">
        <v>-2.0035664256662099E-2</v>
      </c>
      <c r="L806">
        <v>-2.2043687757104601E-2</v>
      </c>
      <c r="M806">
        <v>-3.3731796536594599E-3</v>
      </c>
      <c r="N806">
        <v>-3.3636631676927098E-2</v>
      </c>
      <c r="O806">
        <f t="shared" si="68"/>
        <v>8.7281684391202002E-4</v>
      </c>
    </row>
    <row r="807" spans="1:15" x14ac:dyDescent="0.35">
      <c r="A807" t="s">
        <v>59</v>
      </c>
      <c r="B807">
        <v>2015</v>
      </c>
      <c r="C807">
        <v>381984.1875</v>
      </c>
      <c r="D807" s="8">
        <v>0.88691383600234996</v>
      </c>
      <c r="E807" s="8">
        <v>0</v>
      </c>
      <c r="F807">
        <v>2.27049636538429</v>
      </c>
      <c r="G807">
        <f t="shared" si="64"/>
        <v>2.5599965557175883</v>
      </c>
      <c r="H807">
        <f t="shared" si="66"/>
        <v>-5.4531084104616601E-2</v>
      </c>
      <c r="I807">
        <f t="shared" si="65"/>
        <v>0</v>
      </c>
      <c r="J807">
        <f t="shared" si="67"/>
        <v>2</v>
      </c>
      <c r="K807">
        <v>-3.3731796536594599E-3</v>
      </c>
      <c r="L807">
        <v>-3.3636631676927098E-2</v>
      </c>
      <c r="M807">
        <v>2.0719770610332498E-2</v>
      </c>
      <c r="N807">
        <v>7.5662136077880998E-3</v>
      </c>
      <c r="O807">
        <f t="shared" si="68"/>
        <v>1.8005756288766859E-2</v>
      </c>
    </row>
    <row r="808" spans="1:15" x14ac:dyDescent="0.35">
      <c r="A808" t="s">
        <v>59</v>
      </c>
      <c r="B808">
        <v>2016</v>
      </c>
      <c r="C808">
        <v>383039.09375</v>
      </c>
      <c r="D808" s="8">
        <v>0.898176789283752</v>
      </c>
      <c r="E808" s="8">
        <v>0</v>
      </c>
      <c r="F808">
        <v>2.2757018033091598</v>
      </c>
      <c r="G808">
        <f t="shared" si="64"/>
        <v>2.5336902828717167</v>
      </c>
      <c r="H808">
        <f t="shared" si="66"/>
        <v>-1.0275901655851127E-2</v>
      </c>
      <c r="I808">
        <f t="shared" si="65"/>
        <v>0</v>
      </c>
      <c r="J808">
        <f t="shared" si="67"/>
        <v>1</v>
      </c>
      <c r="K808">
        <v>2.0719770610332498E-2</v>
      </c>
      <c r="L808">
        <v>7.5662136077880998E-3</v>
      </c>
      <c r="M808">
        <v>-7.8820663541555001E-3</v>
      </c>
      <c r="N808">
        <v>-1.0671639814972799E-2</v>
      </c>
      <c r="O808">
        <f t="shared" si="68"/>
        <v>2.5039670616388239E-2</v>
      </c>
    </row>
    <row r="809" spans="1:15" x14ac:dyDescent="0.35">
      <c r="A809" t="s">
        <v>59</v>
      </c>
      <c r="B809">
        <v>2017</v>
      </c>
      <c r="C809">
        <v>382614.40625</v>
      </c>
      <c r="D809" s="8">
        <v>0.915999054908752</v>
      </c>
      <c r="E809" s="8">
        <v>0</v>
      </c>
      <c r="F809">
        <v>2.19722980580877</v>
      </c>
      <c r="G809">
        <f t="shared" si="64"/>
        <v>2.3987249703305085</v>
      </c>
      <c r="H809">
        <f t="shared" si="66"/>
        <v>-5.3268275705836032E-2</v>
      </c>
      <c r="I809">
        <f t="shared" si="65"/>
        <v>0</v>
      </c>
      <c r="J809">
        <f t="shared" si="67"/>
        <v>1</v>
      </c>
      <c r="K809">
        <v>-7.8820663541555001E-3</v>
      </c>
      <c r="L809">
        <v>-1.0671639814972799E-2</v>
      </c>
      <c r="M809">
        <v>3.6274824500083902E-2</v>
      </c>
      <c r="N809">
        <v>2.7139801532030099E-2</v>
      </c>
      <c r="O809">
        <f t="shared" si="68"/>
        <v>3.5704094544052996E-2</v>
      </c>
    </row>
    <row r="810" spans="1:15" x14ac:dyDescent="0.35">
      <c r="A810" t="s">
        <v>59</v>
      </c>
      <c r="B810">
        <v>2018</v>
      </c>
      <c r="C810">
        <v>385124.21875</v>
      </c>
      <c r="D810" s="8">
        <v>0.93708890676498402</v>
      </c>
      <c r="E810" s="8">
        <v>0</v>
      </c>
      <c r="F810">
        <v>2.2573958770203499</v>
      </c>
      <c r="G810">
        <f t="shared" si="64"/>
        <v>2.4089452566601457</v>
      </c>
      <c r="H810">
        <f t="shared" si="66"/>
        <v>4.2607161954999473E-3</v>
      </c>
      <c r="I810">
        <f t="shared" si="65"/>
        <v>1</v>
      </c>
      <c r="J810">
        <f t="shared" si="67"/>
        <v>2</v>
      </c>
      <c r="K810">
        <v>3.6274824500083902E-2</v>
      </c>
      <c r="L810">
        <v>2.7139801532030099E-2</v>
      </c>
      <c r="M810">
        <v>3.1767535179853298E-2</v>
      </c>
      <c r="N810">
        <v>1.3966340571641801E-2</v>
      </c>
      <c r="O810">
        <f t="shared" si="68"/>
        <v>2.5455196108668976E-2</v>
      </c>
    </row>
    <row r="811" spans="1:15" x14ac:dyDescent="0.35">
      <c r="A811" t="s">
        <v>59</v>
      </c>
      <c r="B811">
        <v>2019</v>
      </c>
      <c r="C811">
        <v>386696</v>
      </c>
      <c r="D811" s="8">
        <v>0.93352919816970803</v>
      </c>
      <c r="E811" s="8">
        <v>0</v>
      </c>
      <c r="F811">
        <v>2.2350917251841498</v>
      </c>
      <c r="G811">
        <f t="shared" si="64"/>
        <v>2.394238690730087</v>
      </c>
      <c r="H811">
        <f t="shared" si="66"/>
        <v>-6.1049813769734618E-3</v>
      </c>
      <c r="I811">
        <f t="shared" si="65"/>
        <v>0</v>
      </c>
      <c r="J811" t="str">
        <f t="shared" si="67"/>
        <v/>
      </c>
      <c r="K811">
        <v>3.1767535179853298E-2</v>
      </c>
      <c r="L811">
        <v>1.3966340571641801E-2</v>
      </c>
      <c r="M811">
        <v>7.0877255976200093E-2</v>
      </c>
      <c r="N811">
        <v>5.2028065547347097E-2</v>
      </c>
      <c r="O811">
        <f t="shared" si="68"/>
        <v>2.0652085635811078E-2</v>
      </c>
    </row>
    <row r="812" spans="1:15" x14ac:dyDescent="0.35">
      <c r="A812" t="s">
        <v>59</v>
      </c>
      <c r="B812">
        <v>2020</v>
      </c>
      <c r="C812">
        <v>390275.6875</v>
      </c>
      <c r="D812" s="8">
        <v>0.96600443124771096</v>
      </c>
      <c r="E812" s="8">
        <v>4.0000000000000001E-3</v>
      </c>
      <c r="F812">
        <v>2.08587901473074</v>
      </c>
      <c r="G812">
        <f t="shared" si="64"/>
        <v>2.1592851412043488</v>
      </c>
      <c r="H812">
        <f t="shared" si="66"/>
        <v>-9.8132884760162575E-2</v>
      </c>
      <c r="I812">
        <f t="shared" si="65"/>
        <v>0</v>
      </c>
      <c r="J812" t="str">
        <f t="shared" si="67"/>
        <v/>
      </c>
      <c r="K812">
        <v>7.0877255976200093E-2</v>
      </c>
      <c r="L812">
        <v>5.2028065547347097E-2</v>
      </c>
      <c r="M812">
        <v>8.6325397968291903E-2</v>
      </c>
      <c r="N812">
        <v>4.2735785245894997E-2</v>
      </c>
      <c r="O812">
        <f t="shared" si="68"/>
        <v>1.1042030528187738E-2</v>
      </c>
    </row>
    <row r="813" spans="1:15" x14ac:dyDescent="0.35">
      <c r="A813" t="s">
        <v>59</v>
      </c>
      <c r="B813">
        <v>2021</v>
      </c>
      <c r="C813">
        <v>392734.5</v>
      </c>
      <c r="D813" s="8">
        <v>0.96350038051605202</v>
      </c>
      <c r="E813" s="8">
        <v>-3.0000000000000001E-3</v>
      </c>
      <c r="F813">
        <v>2.2112274484536001</v>
      </c>
      <c r="G813">
        <f t="shared" si="64"/>
        <v>2.2949938507229897</v>
      </c>
      <c r="H813">
        <f t="shared" si="66"/>
        <v>6.2848906301901764E-2</v>
      </c>
      <c r="I813">
        <f t="shared" si="65"/>
        <v>1</v>
      </c>
      <c r="J813" t="str">
        <f t="shared" si="67"/>
        <v/>
      </c>
      <c r="K813">
        <v>8.6325397968291903E-2</v>
      </c>
      <c r="L813">
        <v>4.2735785245894997E-2</v>
      </c>
      <c r="M813">
        <v>1.05469730496406E-2</v>
      </c>
      <c r="N813">
        <v>4.2650479823350997E-2</v>
      </c>
      <c r="O813">
        <f t="shared" si="68"/>
        <v>4.921873658895539E-3</v>
      </c>
    </row>
    <row r="814" spans="1:15" x14ac:dyDescent="0.35">
      <c r="A814" t="s">
        <v>59</v>
      </c>
      <c r="B814">
        <v>2022</v>
      </c>
      <c r="C814">
        <v>392798.71875</v>
      </c>
      <c r="D814" s="8">
        <v>0.942202389240265</v>
      </c>
      <c r="E814" s="8">
        <v>1E-3</v>
      </c>
      <c r="F814">
        <v>2.3018784755187802</v>
      </c>
      <c r="G814">
        <f t="shared" si="64"/>
        <v>2.4430828257343689</v>
      </c>
      <c r="H814">
        <f t="shared" si="66"/>
        <v>6.4526959392386507E-2</v>
      </c>
      <c r="I814">
        <f t="shared" si="65"/>
        <v>1</v>
      </c>
      <c r="J814" t="str">
        <f t="shared" si="67"/>
        <v/>
      </c>
      <c r="K814">
        <v>1.05469730496406E-2</v>
      </c>
      <c r="L814">
        <v>4.3129183351993498E-2</v>
      </c>
      <c r="M814">
        <v>-4.3663618419319303E-2</v>
      </c>
      <c r="N814">
        <v>-2.4104690644890001E-2</v>
      </c>
      <c r="O814">
        <f t="shared" si="68"/>
        <v>-4.6533879823982428E-3</v>
      </c>
    </row>
    <row r="815" spans="1:15" x14ac:dyDescent="0.35">
      <c r="A815" t="s">
        <v>60</v>
      </c>
      <c r="B815">
        <v>2006</v>
      </c>
      <c r="C815">
        <v>440375.5</v>
      </c>
      <c r="D815" s="8">
        <v>0.91302865743637096</v>
      </c>
      <c r="E815" s="8">
        <v>0</v>
      </c>
      <c r="F815">
        <v>2.3118513154718801</v>
      </c>
      <c r="G815">
        <f t="shared" si="64"/>
        <v>2.5320687326103926</v>
      </c>
      <c r="H815">
        <f t="shared" si="66"/>
        <v>3.6423614434469842E-2</v>
      </c>
      <c r="I815">
        <f t="shared" si="65"/>
        <v>1</v>
      </c>
      <c r="J815" t="str">
        <f t="shared" si="67"/>
        <v/>
      </c>
      <c r="K815">
        <v>-1.19713362008333E-2</v>
      </c>
      <c r="L815">
        <v>-1.8334375694394001E-2</v>
      </c>
      <c r="M815">
        <v>-1.09709677249193E-2</v>
      </c>
      <c r="N815">
        <v>-1.00492117926477E-2</v>
      </c>
      <c r="O815" t="str">
        <f t="shared" si="68"/>
        <v/>
      </c>
    </row>
    <row r="816" spans="1:15" x14ac:dyDescent="0.35">
      <c r="A816" t="s">
        <v>60</v>
      </c>
      <c r="B816">
        <v>2007</v>
      </c>
      <c r="C816">
        <v>436849.40625</v>
      </c>
      <c r="D816" s="8">
        <v>0.904213666915894</v>
      </c>
      <c r="E816" s="8">
        <v>0.01</v>
      </c>
      <c r="F816">
        <v>2.2183839164894601</v>
      </c>
      <c r="G816">
        <f t="shared" si="64"/>
        <v>2.4533846342490691</v>
      </c>
      <c r="H816">
        <f t="shared" si="66"/>
        <v>-3.1075024681579411E-2</v>
      </c>
      <c r="I816">
        <f t="shared" si="65"/>
        <v>0</v>
      </c>
      <c r="J816" t="str">
        <f t="shared" si="67"/>
        <v/>
      </c>
      <c r="K816">
        <v>-1.09709677249193E-2</v>
      </c>
      <c r="L816">
        <v>-1.00492117926477E-2</v>
      </c>
      <c r="M816">
        <v>-2.5533014267683E-2</v>
      </c>
      <c r="N816">
        <v>3.9777900092303996E-3</v>
      </c>
      <c r="O816" t="str">
        <f t="shared" si="68"/>
        <v/>
      </c>
    </row>
    <row r="817" spans="1:15" x14ac:dyDescent="0.35">
      <c r="A817" t="s">
        <v>60</v>
      </c>
      <c r="B817">
        <v>2008</v>
      </c>
      <c r="C817">
        <v>431827.09375</v>
      </c>
      <c r="D817" s="8">
        <v>0.91650480031967196</v>
      </c>
      <c r="E817" s="8">
        <v>0</v>
      </c>
      <c r="F817">
        <v>2.2372487860206198</v>
      </c>
      <c r="G817">
        <f t="shared" si="64"/>
        <v>2.4410660863317677</v>
      </c>
      <c r="H817">
        <f t="shared" si="66"/>
        <v>-5.021042255395014E-3</v>
      </c>
      <c r="I817">
        <f t="shared" si="65"/>
        <v>0</v>
      </c>
      <c r="J817" t="str">
        <f t="shared" si="67"/>
        <v/>
      </c>
      <c r="K817">
        <v>-2.5533014267683E-2</v>
      </c>
      <c r="L817">
        <v>3.9777900092303996E-3</v>
      </c>
      <c r="M817">
        <v>-1.44317007660865E-2</v>
      </c>
      <c r="N817">
        <v>1.2135000899433999E-2</v>
      </c>
      <c r="O817" t="str">
        <f t="shared" si="68"/>
        <v/>
      </c>
    </row>
    <row r="818" spans="1:15" x14ac:dyDescent="0.35">
      <c r="A818" t="s">
        <v>60</v>
      </c>
      <c r="B818">
        <v>2009</v>
      </c>
      <c r="C818">
        <v>427266</v>
      </c>
      <c r="D818" s="8">
        <v>0.91817796230316195</v>
      </c>
      <c r="E818" s="8">
        <v>0</v>
      </c>
      <c r="F818">
        <v>2.19542027661107</v>
      </c>
      <c r="G818">
        <f t="shared" si="64"/>
        <v>2.3910618276048221</v>
      </c>
      <c r="H818">
        <f t="shared" si="66"/>
        <v>-2.0484598514941443E-2</v>
      </c>
      <c r="I818">
        <f t="shared" si="65"/>
        <v>0</v>
      </c>
      <c r="J818" t="str">
        <f t="shared" si="67"/>
        <v/>
      </c>
      <c r="K818">
        <v>-1.44317007660865E-2</v>
      </c>
      <c r="L818">
        <v>1.2135000899433999E-2</v>
      </c>
      <c r="M818">
        <v>-1.4685937141999599E-2</v>
      </c>
      <c r="N818">
        <v>-5.2258283831179099E-3</v>
      </c>
      <c r="O818" t="str">
        <f t="shared" si="68"/>
        <v/>
      </c>
    </row>
    <row r="819" spans="1:15" x14ac:dyDescent="0.35">
      <c r="A819" t="s">
        <v>60</v>
      </c>
      <c r="B819">
        <v>2010</v>
      </c>
      <c r="C819">
        <v>424306.3125</v>
      </c>
      <c r="D819" s="8">
        <v>0.922183036804199</v>
      </c>
      <c r="E819" s="8">
        <v>0</v>
      </c>
      <c r="F819">
        <v>2.0808184143222501</v>
      </c>
      <c r="G819">
        <f t="shared" si="64"/>
        <v>2.2564049990913642</v>
      </c>
      <c r="H819">
        <f t="shared" si="66"/>
        <v>-5.6316748884886247E-2</v>
      </c>
      <c r="I819">
        <f t="shared" si="65"/>
        <v>0</v>
      </c>
      <c r="J819">
        <f t="shared" si="67"/>
        <v>1</v>
      </c>
      <c r="K819">
        <v>-1.4685937141999599E-2</v>
      </c>
      <c r="L819">
        <v>-5.2258283831179099E-3</v>
      </c>
      <c r="M819">
        <v>-2.3258096881210801E-2</v>
      </c>
      <c r="N819">
        <v>-1.9743223674595E-3</v>
      </c>
      <c r="O819">
        <f t="shared" si="68"/>
        <v>2.6977343950420761E-3</v>
      </c>
    </row>
    <row r="820" spans="1:15" x14ac:dyDescent="0.35">
      <c r="A820" t="s">
        <v>61</v>
      </c>
      <c r="B820">
        <v>2006</v>
      </c>
      <c r="C820">
        <v>282046.90625</v>
      </c>
      <c r="D820" s="8">
        <v>0.966533184051514</v>
      </c>
      <c r="E820" s="8">
        <v>0</v>
      </c>
      <c r="F820">
        <v>2.23385418112181</v>
      </c>
      <c r="G820">
        <f t="shared" si="64"/>
        <v>2.3112027791512957</v>
      </c>
      <c r="H820">
        <f t="shared" si="66"/>
        <v>2.4285436383095327E-2</v>
      </c>
      <c r="I820">
        <f t="shared" si="65"/>
        <v>1</v>
      </c>
      <c r="J820" t="str">
        <f t="shared" si="67"/>
        <v/>
      </c>
      <c r="K820">
        <v>3.85753217339519E-3</v>
      </c>
      <c r="L820">
        <v>-2.5055073201655899E-3</v>
      </c>
      <c r="M820">
        <v>1.29108569622039E-2</v>
      </c>
      <c r="N820">
        <v>1.38326128944755E-2</v>
      </c>
      <c r="O820" t="str">
        <f t="shared" si="68"/>
        <v/>
      </c>
    </row>
    <row r="821" spans="1:15" x14ac:dyDescent="0.35">
      <c r="A821" t="s">
        <v>61</v>
      </c>
      <c r="B821">
        <v>2007</v>
      </c>
      <c r="C821">
        <v>287494.59375</v>
      </c>
      <c r="D821" s="8">
        <v>0.96426570415496804</v>
      </c>
      <c r="E821" s="8">
        <v>2.7E-2</v>
      </c>
      <c r="F821">
        <v>2.09029885057471</v>
      </c>
      <c r="G821">
        <f t="shared" si="64"/>
        <v>2.1677623102924088</v>
      </c>
      <c r="H821">
        <f t="shared" si="66"/>
        <v>-6.2063125811730013E-2</v>
      </c>
      <c r="I821">
        <f t="shared" si="65"/>
        <v>0</v>
      </c>
      <c r="J821" t="str">
        <f t="shared" si="67"/>
        <v/>
      </c>
      <c r="K821">
        <v>1.29108569622039E-2</v>
      </c>
      <c r="L821">
        <v>1.38326128944755E-2</v>
      </c>
      <c r="M821">
        <v>-2.54402480199932E-2</v>
      </c>
      <c r="N821">
        <v>4.0705562569201001E-3</v>
      </c>
      <c r="O821" t="str">
        <f t="shared" si="68"/>
        <v/>
      </c>
    </row>
    <row r="822" spans="1:15" x14ac:dyDescent="0.35">
      <c r="A822" t="s">
        <v>61</v>
      </c>
      <c r="B822">
        <v>2008</v>
      </c>
      <c r="C822">
        <v>292924</v>
      </c>
      <c r="D822" s="8">
        <v>0.93608045578002896</v>
      </c>
      <c r="E822" s="8">
        <v>1.4999999999999999E-2</v>
      </c>
      <c r="F822">
        <v>2.2367545638945199</v>
      </c>
      <c r="G822">
        <f t="shared" si="64"/>
        <v>2.3894896534621575</v>
      </c>
      <c r="H822">
        <f t="shared" si="66"/>
        <v>0.10228397371658327</v>
      </c>
      <c r="I822">
        <f t="shared" si="65"/>
        <v>1</v>
      </c>
      <c r="J822" t="str">
        <f t="shared" si="67"/>
        <v/>
      </c>
      <c r="K822">
        <v>-2.54402480199932E-2</v>
      </c>
      <c r="L822">
        <v>4.0705562569201001E-3</v>
      </c>
      <c r="M822">
        <v>-3.1621490329503898E-2</v>
      </c>
      <c r="N822">
        <v>-5.0547886639833398E-3</v>
      </c>
      <c r="O822" t="str">
        <f t="shared" si="68"/>
        <v/>
      </c>
    </row>
    <row r="823" spans="1:15" x14ac:dyDescent="0.35">
      <c r="A823" t="s">
        <v>61</v>
      </c>
      <c r="B823">
        <v>2009</v>
      </c>
      <c r="C823">
        <v>297650.59375</v>
      </c>
      <c r="D823" s="8">
        <v>0.93938195705413796</v>
      </c>
      <c r="E823" s="8">
        <v>1.4999999999999999E-2</v>
      </c>
      <c r="F823">
        <v>2.13789633910373</v>
      </c>
      <c r="G823">
        <f t="shared" si="64"/>
        <v>2.2758541645914536</v>
      </c>
      <c r="H823">
        <f t="shared" si="66"/>
        <v>-4.7556384563564036E-2</v>
      </c>
      <c r="I823">
        <f t="shared" si="65"/>
        <v>0</v>
      </c>
      <c r="J823" t="str">
        <f t="shared" si="67"/>
        <v/>
      </c>
      <c r="K823">
        <v>-3.1621490329503898E-2</v>
      </c>
      <c r="L823">
        <v>-5.0547886639833398E-3</v>
      </c>
      <c r="M823">
        <v>-6.8454949036240598E-3</v>
      </c>
      <c r="N823">
        <v>2.6146138552576199E-3</v>
      </c>
      <c r="O823" t="str">
        <f t="shared" si="68"/>
        <v/>
      </c>
    </row>
    <row r="824" spans="1:15" x14ac:dyDescent="0.35">
      <c r="A824" t="s">
        <v>61</v>
      </c>
      <c r="B824">
        <v>2010</v>
      </c>
      <c r="C824">
        <v>301650.09375</v>
      </c>
      <c r="D824" s="8">
        <v>0.946644306182861</v>
      </c>
      <c r="E824" s="8">
        <v>3.4000000000000002E-2</v>
      </c>
      <c r="F824">
        <v>2.1678365148022398</v>
      </c>
      <c r="G824">
        <f t="shared" si="64"/>
        <v>2.2900222402895687</v>
      </c>
      <c r="H824">
        <f t="shared" si="66"/>
        <v>6.2253882162341956E-3</v>
      </c>
      <c r="I824">
        <f t="shared" si="65"/>
        <v>1</v>
      </c>
      <c r="J824">
        <f t="shared" si="67"/>
        <v>3</v>
      </c>
      <c r="K824">
        <v>-6.8454949036240598E-3</v>
      </c>
      <c r="L824">
        <v>2.6146138552576199E-3</v>
      </c>
      <c r="M824">
        <v>-5.8247618079184998E-3</v>
      </c>
      <c r="N824">
        <v>1.54590127058328E-2</v>
      </c>
      <c r="O824">
        <f t="shared" si="68"/>
        <v>9.1355736367404426E-3</v>
      </c>
    </row>
    <row r="825" spans="1:15" x14ac:dyDescent="0.35">
      <c r="A825" t="s">
        <v>61</v>
      </c>
      <c r="B825">
        <v>2011</v>
      </c>
      <c r="C825">
        <v>306612.625</v>
      </c>
      <c r="D825" s="8">
        <v>0.94982159137725797</v>
      </c>
      <c r="E825" s="8">
        <v>1E-3</v>
      </c>
      <c r="F825">
        <v>2.2531812198332601</v>
      </c>
      <c r="G825">
        <f t="shared" si="64"/>
        <v>2.3722152036637825</v>
      </c>
      <c r="H825">
        <f t="shared" si="66"/>
        <v>3.5891775166262407E-2</v>
      </c>
      <c r="I825">
        <f t="shared" si="65"/>
        <v>1</v>
      </c>
      <c r="J825">
        <f t="shared" si="67"/>
        <v>3</v>
      </c>
      <c r="K825">
        <v>-5.8247618079184998E-3</v>
      </c>
      <c r="L825">
        <v>1.54590127058328E-2</v>
      </c>
      <c r="M825">
        <v>8.3240770697593901E-3</v>
      </c>
      <c r="N825">
        <v>1.3762283138930799E-2</v>
      </c>
      <c r="O825">
        <f t="shared" si="68"/>
        <v>1.1298766126856014E-3</v>
      </c>
    </row>
    <row r="826" spans="1:15" x14ac:dyDescent="0.35">
      <c r="A826" t="s">
        <v>61</v>
      </c>
      <c r="B826">
        <v>2012</v>
      </c>
      <c r="C826">
        <v>312189.09375</v>
      </c>
      <c r="D826" s="8">
        <v>0.93942838907241799</v>
      </c>
      <c r="E826" s="8">
        <v>5.3999999999999999E-2</v>
      </c>
      <c r="F826">
        <v>2.2051174496644199</v>
      </c>
      <c r="G826">
        <f t="shared" si="64"/>
        <v>2.3472970109427185</v>
      </c>
      <c r="H826">
        <f t="shared" si="66"/>
        <v>-1.0504187260320652E-2</v>
      </c>
      <c r="I826">
        <f t="shared" si="65"/>
        <v>0</v>
      </c>
      <c r="J826">
        <f t="shared" si="67"/>
        <v>3</v>
      </c>
      <c r="K826">
        <v>8.3240770697593901E-3</v>
      </c>
      <c r="L826">
        <v>1.36766843497753E-2</v>
      </c>
      <c r="M826">
        <v>1.0058981031179399E-2</v>
      </c>
      <c r="N826">
        <v>3.9322096854447998E-3</v>
      </c>
      <c r="O826">
        <f t="shared" si="68"/>
        <v>2.0241454010829227E-3</v>
      </c>
    </row>
    <row r="827" spans="1:15" x14ac:dyDescent="0.35">
      <c r="A827" t="s">
        <v>61</v>
      </c>
      <c r="B827">
        <v>2013</v>
      </c>
      <c r="C827">
        <v>318118.59375</v>
      </c>
      <c r="D827" s="8">
        <v>0.94575560092926003</v>
      </c>
      <c r="E827" s="8">
        <v>3.3000000000000002E-2</v>
      </c>
      <c r="F827">
        <v>2.3041391858084999</v>
      </c>
      <c r="G827">
        <f t="shared" si="64"/>
        <v>2.436294517890826</v>
      </c>
      <c r="H827">
        <f t="shared" si="66"/>
        <v>3.7914889565834775E-2</v>
      </c>
      <c r="I827">
        <f t="shared" si="65"/>
        <v>1</v>
      </c>
      <c r="J827">
        <f t="shared" si="67"/>
        <v>3</v>
      </c>
      <c r="K827">
        <v>1.0058981031179399E-2</v>
      </c>
      <c r="L827">
        <v>3.9322096854447998E-3</v>
      </c>
      <c r="M827">
        <v>2.3821848273277199E-2</v>
      </c>
      <c r="N827">
        <v>2.1813824772834702E-2</v>
      </c>
      <c r="O827">
        <f t="shared" si="68"/>
        <v>-5.610533291473957E-4</v>
      </c>
    </row>
    <row r="828" spans="1:15" x14ac:dyDescent="0.35">
      <c r="A828" t="s">
        <v>61</v>
      </c>
      <c r="B828">
        <v>2014</v>
      </c>
      <c r="C828">
        <v>326308</v>
      </c>
      <c r="D828" s="8">
        <v>0.95473992824554399</v>
      </c>
      <c r="E828" s="8">
        <v>1.4999999999999999E-2</v>
      </c>
      <c r="F828">
        <v>2.15736840968487</v>
      </c>
      <c r="G828">
        <f t="shared" si="64"/>
        <v>2.2596398724512432</v>
      </c>
      <c r="H828">
        <f t="shared" si="66"/>
        <v>-7.2509560786812477E-2</v>
      </c>
      <c r="I828">
        <f t="shared" si="65"/>
        <v>0</v>
      </c>
      <c r="J828">
        <f t="shared" si="67"/>
        <v>3</v>
      </c>
      <c r="K828">
        <v>2.3821848273277199E-2</v>
      </c>
      <c r="L828">
        <v>2.1813824772834702E-2</v>
      </c>
      <c r="M828">
        <v>2.09739899039268E-2</v>
      </c>
      <c r="N828">
        <v>-9.2894621193408897E-3</v>
      </c>
      <c r="O828">
        <f t="shared" si="68"/>
        <v>-8.1338472897186757E-3</v>
      </c>
    </row>
    <row r="829" spans="1:15" x14ac:dyDescent="0.35">
      <c r="A829" t="s">
        <v>61</v>
      </c>
      <c r="B829">
        <v>2015</v>
      </c>
      <c r="C829">
        <v>334678</v>
      </c>
      <c r="D829" s="8">
        <v>0.92404347658157304</v>
      </c>
      <c r="E829" s="8">
        <v>6.9000000000000006E-2</v>
      </c>
      <c r="F829">
        <v>2.2031128740191401</v>
      </c>
      <c r="G829">
        <f t="shared" si="64"/>
        <v>2.3842091090447224</v>
      </c>
      <c r="H829">
        <f t="shared" si="66"/>
        <v>5.5127915785247339E-2</v>
      </c>
      <c r="I829">
        <f t="shared" si="65"/>
        <v>1</v>
      </c>
      <c r="J829">
        <f t="shared" si="67"/>
        <v>3</v>
      </c>
      <c r="K829">
        <v>2.09739899039268E-2</v>
      </c>
      <c r="L829">
        <v>-9.2894621193408897E-3</v>
      </c>
      <c r="M829">
        <v>-1.1415915411897E-2</v>
      </c>
      <c r="N829">
        <v>-2.45694724144414E-2</v>
      </c>
      <c r="O829">
        <f t="shared" si="68"/>
        <v>-1.0814450145699057E-2</v>
      </c>
    </row>
    <row r="830" spans="1:15" x14ac:dyDescent="0.35">
      <c r="A830" t="s">
        <v>61</v>
      </c>
      <c r="B830">
        <v>2016</v>
      </c>
      <c r="C830">
        <v>340223.78125</v>
      </c>
      <c r="D830" s="8">
        <v>0.93352079391479503</v>
      </c>
      <c r="E830" s="8">
        <v>3.1E-2</v>
      </c>
      <c r="F830">
        <v>2.1185787489941901</v>
      </c>
      <c r="G830">
        <f t="shared" si="64"/>
        <v>2.2694499820510248</v>
      </c>
      <c r="H830">
        <f t="shared" si="66"/>
        <v>-4.813299578394703E-2</v>
      </c>
      <c r="I830">
        <f t="shared" si="65"/>
        <v>0</v>
      </c>
      <c r="J830">
        <f t="shared" si="67"/>
        <v>2</v>
      </c>
      <c r="K830">
        <v>-1.1415915411897E-2</v>
      </c>
      <c r="L830">
        <v>-2.45694724144414E-2</v>
      </c>
      <c r="M830">
        <v>2.1023200541734701E-2</v>
      </c>
      <c r="N830">
        <v>1.82336270809174E-2</v>
      </c>
      <c r="O830">
        <f t="shared" si="68"/>
        <v>1.9540060311562177E-4</v>
      </c>
    </row>
    <row r="831" spans="1:15" x14ac:dyDescent="0.35">
      <c r="A831" t="s">
        <v>61</v>
      </c>
      <c r="B831">
        <v>2017</v>
      </c>
      <c r="C831">
        <v>345610.28125</v>
      </c>
      <c r="D831" s="8">
        <v>0.88987374305725098</v>
      </c>
      <c r="E831" s="8">
        <v>0.115</v>
      </c>
      <c r="F831">
        <v>2.1306743695144901</v>
      </c>
      <c r="G831">
        <f t="shared" si="64"/>
        <v>2.3943558129879676</v>
      </c>
      <c r="H831">
        <f t="shared" si="66"/>
        <v>5.5037930743051078E-2</v>
      </c>
      <c r="I831">
        <f t="shared" si="65"/>
        <v>1</v>
      </c>
      <c r="J831">
        <f t="shared" si="67"/>
        <v>3</v>
      </c>
      <c r="K831">
        <v>2.1023200541734701E-2</v>
      </c>
      <c r="L831">
        <v>1.82336270809174E-2</v>
      </c>
      <c r="M831">
        <v>1.4123900234699801E-4</v>
      </c>
      <c r="N831">
        <v>-8.9937839657067906E-3</v>
      </c>
      <c r="O831">
        <f t="shared" si="68"/>
        <v>-3.9447894319891352E-3</v>
      </c>
    </row>
    <row r="832" spans="1:15" x14ac:dyDescent="0.35">
      <c r="A832" t="s">
        <v>61</v>
      </c>
      <c r="B832">
        <v>2018</v>
      </c>
      <c r="C832">
        <v>351979.875</v>
      </c>
      <c r="D832" s="8">
        <v>0.90460169315338101</v>
      </c>
      <c r="E832" s="8">
        <v>3.7999999999999999E-2</v>
      </c>
      <c r="F832">
        <v>2.3089773584176001</v>
      </c>
      <c r="G832">
        <f t="shared" si="64"/>
        <v>2.5524795895181884</v>
      </c>
      <c r="H832">
        <f t="shared" si="66"/>
        <v>6.6040216609617008E-2</v>
      </c>
      <c r="I832">
        <f t="shared" si="65"/>
        <v>1</v>
      </c>
      <c r="J832">
        <f t="shared" si="67"/>
        <v>3</v>
      </c>
      <c r="K832">
        <v>1.4123900234699801E-4</v>
      </c>
      <c r="L832">
        <v>-8.9937839657067906E-3</v>
      </c>
      <c r="M832">
        <v>1.7510495781898E-3</v>
      </c>
      <c r="N832">
        <v>-1.6050145030021699E-2</v>
      </c>
      <c r="O832">
        <f t="shared" si="68"/>
        <v>-1.9323056563734585E-3</v>
      </c>
    </row>
    <row r="833" spans="1:15" x14ac:dyDescent="0.35">
      <c r="A833" t="s">
        <v>61</v>
      </c>
      <c r="B833">
        <v>2019</v>
      </c>
      <c r="C833">
        <v>357434.21875</v>
      </c>
      <c r="D833" s="8">
        <v>0.88340264558792103</v>
      </c>
      <c r="E833" s="8">
        <v>0.17</v>
      </c>
      <c r="F833">
        <v>2.16828557552209</v>
      </c>
      <c r="G833">
        <f t="shared" si="64"/>
        <v>2.4544703214908932</v>
      </c>
      <c r="H833">
        <f t="shared" si="66"/>
        <v>-3.8397669634567255E-2</v>
      </c>
      <c r="I833">
        <f t="shared" si="65"/>
        <v>0</v>
      </c>
      <c r="J833" t="str">
        <f t="shared" si="67"/>
        <v/>
      </c>
      <c r="K833">
        <v>1.7510495781898E-3</v>
      </c>
      <c r="L833">
        <v>-1.6050145030021699E-2</v>
      </c>
      <c r="M833">
        <v>-3.8432859703898298E-3</v>
      </c>
      <c r="N833">
        <v>-2.2692476399242802E-2</v>
      </c>
      <c r="O833">
        <f t="shared" si="68"/>
        <v>5.7527944445616159E-4</v>
      </c>
    </row>
    <row r="834" spans="1:15" x14ac:dyDescent="0.35">
      <c r="A834" t="s">
        <v>61</v>
      </c>
      <c r="B834">
        <v>2020</v>
      </c>
      <c r="C834">
        <v>360633.90625</v>
      </c>
      <c r="D834" s="8">
        <v>0.90889769792556796</v>
      </c>
      <c r="E834" s="8">
        <v>0.02</v>
      </c>
      <c r="F834">
        <v>1.96872802481902</v>
      </c>
      <c r="G834">
        <f t="shared" si="64"/>
        <v>2.1660611852272997</v>
      </c>
      <c r="H834">
        <f t="shared" si="66"/>
        <v>-0.11750361523557074</v>
      </c>
      <c r="I834">
        <f t="shared" si="65"/>
        <v>0</v>
      </c>
      <c r="J834" t="str">
        <f t="shared" si="67"/>
        <v/>
      </c>
      <c r="K834">
        <v>-3.8432859703898298E-3</v>
      </c>
      <c r="L834">
        <v>-2.2692476399242802E-2</v>
      </c>
      <c r="M834">
        <v>7.4069394052029003E-2</v>
      </c>
      <c r="N834">
        <v>3.0479781329632E-2</v>
      </c>
      <c r="O834">
        <f t="shared" si="68"/>
        <v>1.1190967634326227E-4</v>
      </c>
    </row>
    <row r="835" spans="1:15" x14ac:dyDescent="0.35">
      <c r="A835" t="s">
        <v>61</v>
      </c>
      <c r="B835">
        <v>2021</v>
      </c>
      <c r="C835">
        <v>364012.21875</v>
      </c>
      <c r="D835" s="8">
        <v>0.95371836423873901</v>
      </c>
      <c r="E835" s="8">
        <v>2.4E-2</v>
      </c>
      <c r="F835">
        <v>2.1747682192590401</v>
      </c>
      <c r="G835">
        <f t="shared" ref="G835:G898" si="69">F835/D835</f>
        <v>2.2803044387165041</v>
      </c>
      <c r="H835">
        <f t="shared" si="66"/>
        <v>5.2742394475443266E-2</v>
      </c>
      <c r="I835">
        <f t="shared" ref="I835:I898" si="70">IF(H835&gt;0,1,0)</f>
        <v>1</v>
      </c>
      <c r="J835" t="str">
        <f t="shared" si="67"/>
        <v/>
      </c>
      <c r="K835">
        <v>7.4069394052029003E-2</v>
      </c>
      <c r="L835">
        <v>3.0479781329632E-2</v>
      </c>
      <c r="M835">
        <v>-3.4570829868316701E-2</v>
      </c>
      <c r="N835">
        <v>-2.46732309460639E-3</v>
      </c>
      <c r="O835">
        <f t="shared" si="68"/>
        <v>-7.9405217431485452E-3</v>
      </c>
    </row>
    <row r="836" spans="1:15" x14ac:dyDescent="0.35">
      <c r="A836" t="s">
        <v>61</v>
      </c>
      <c r="B836">
        <v>2022</v>
      </c>
      <c r="C836">
        <v>368828.5</v>
      </c>
      <c r="D836" s="8">
        <v>0.931329846382141</v>
      </c>
      <c r="E836" s="8">
        <v>5.8999999999999997E-2</v>
      </c>
      <c r="F836">
        <v>2.2126425603394901</v>
      </c>
      <c r="G836">
        <f t="shared" si="69"/>
        <v>2.375788308443842</v>
      </c>
      <c r="H836">
        <f t="shared" ref="H836:H899" si="71">+G836/G835-1</f>
        <v>4.1873299067506142E-2</v>
      </c>
      <c r="I836">
        <f t="shared" si="70"/>
        <v>1</v>
      </c>
      <c r="J836" t="str">
        <f t="shared" si="67"/>
        <v/>
      </c>
      <c r="K836">
        <v>-3.4570829868316701E-2</v>
      </c>
      <c r="L836">
        <v>-1.9886195659638002E-3</v>
      </c>
      <c r="M836">
        <v>-1.8490292862057701E-2</v>
      </c>
      <c r="N836">
        <v>1.0686349123716001E-3</v>
      </c>
      <c r="O836">
        <f t="shared" si="68"/>
        <v>-7.7665767166763362E-3</v>
      </c>
    </row>
    <row r="837" spans="1:15" x14ac:dyDescent="0.35">
      <c r="A837" t="s">
        <v>62</v>
      </c>
      <c r="B837">
        <v>2006</v>
      </c>
      <c r="C837">
        <v>588154.4375</v>
      </c>
      <c r="D837" s="8">
        <v>0.90436279773712203</v>
      </c>
      <c r="E837" s="8">
        <v>3.2000000000000001E-2</v>
      </c>
      <c r="F837">
        <v>2.4978795867240802</v>
      </c>
      <c r="G837">
        <f t="shared" si="69"/>
        <v>2.762032663190285</v>
      </c>
      <c r="H837">
        <f t="shared" si="71"/>
        <v>0.16257524013132119</v>
      </c>
      <c r="I837">
        <f t="shared" si="70"/>
        <v>1</v>
      </c>
      <c r="J837" t="str">
        <f t="shared" si="67"/>
        <v/>
      </c>
      <c r="K837">
        <v>2.4186497211456201E-2</v>
      </c>
      <c r="L837">
        <v>1.7823457717895501E-2</v>
      </c>
      <c r="M837">
        <v>-4.4339754581450997E-3</v>
      </c>
      <c r="N837">
        <v>-3.5122195258735999E-3</v>
      </c>
      <c r="O837" t="str">
        <f t="shared" si="68"/>
        <v/>
      </c>
    </row>
    <row r="838" spans="1:15" x14ac:dyDescent="0.35">
      <c r="A838" t="s">
        <v>62</v>
      </c>
      <c r="B838">
        <v>2007</v>
      </c>
      <c r="C838">
        <v>606279</v>
      </c>
      <c r="D838" s="8">
        <v>0.86029404401779197</v>
      </c>
      <c r="E838" s="8">
        <v>2.8000000000000001E-2</v>
      </c>
      <c r="F838">
        <v>2.35341547099189</v>
      </c>
      <c r="G838">
        <f t="shared" si="69"/>
        <v>2.7355942858802571</v>
      </c>
      <c r="H838">
        <f t="shared" si="71"/>
        <v>-9.5720726486594465E-3</v>
      </c>
      <c r="I838">
        <f t="shared" si="70"/>
        <v>0</v>
      </c>
      <c r="J838" t="str">
        <f t="shared" si="67"/>
        <v/>
      </c>
      <c r="K838">
        <v>-4.4339754581450997E-3</v>
      </c>
      <c r="L838">
        <v>-3.5122195258735999E-3</v>
      </c>
      <c r="M838">
        <v>-5.4520129516720799E-2</v>
      </c>
      <c r="N838">
        <v>-2.5009325239807301E-2</v>
      </c>
      <c r="O838" t="str">
        <f t="shared" si="68"/>
        <v/>
      </c>
    </row>
    <row r="839" spans="1:15" x14ac:dyDescent="0.35">
      <c r="A839" t="s">
        <v>62</v>
      </c>
      <c r="B839">
        <v>2008</v>
      </c>
      <c r="C839">
        <v>611338.1875</v>
      </c>
      <c r="D839" s="8">
        <v>0.86680686473846402</v>
      </c>
      <c r="E839" s="8">
        <v>2.3E-2</v>
      </c>
      <c r="F839">
        <v>2.2781429946332099</v>
      </c>
      <c r="G839">
        <f t="shared" si="69"/>
        <v>2.6282013760015377</v>
      </c>
      <c r="H839">
        <f t="shared" si="71"/>
        <v>-3.9257615953150249E-2</v>
      </c>
      <c r="I839">
        <f t="shared" si="70"/>
        <v>0</v>
      </c>
      <c r="J839" t="str">
        <f t="shared" ref="J839:J902" si="72">IF(AND(B839&gt;=2010,B839&lt;=2018),SUM(I835:I839),"")</f>
        <v/>
      </c>
      <c r="K839">
        <v>-5.4520129516720799E-2</v>
      </c>
      <c r="L839">
        <v>-2.5009325239807301E-2</v>
      </c>
      <c r="M839">
        <v>-3.6349077433347698E-2</v>
      </c>
      <c r="N839">
        <v>-9.7823757678270392E-3</v>
      </c>
      <c r="O839" t="str">
        <f t="shared" ref="O839:O902" si="73">IF(B839&gt;=2010,AVERAGE(N839:N843),"")</f>
        <v/>
      </c>
    </row>
    <row r="840" spans="1:15" x14ac:dyDescent="0.35">
      <c r="A840" t="s">
        <v>62</v>
      </c>
      <c r="B840">
        <v>2009</v>
      </c>
      <c r="C840">
        <v>614222.25</v>
      </c>
      <c r="D840" s="8">
        <v>0.88379150629043601</v>
      </c>
      <c r="E840" s="8">
        <v>1.7999999999999999E-2</v>
      </c>
      <c r="F840">
        <v>2.49136306288064</v>
      </c>
      <c r="G840">
        <f t="shared" si="69"/>
        <v>2.8189488642380272</v>
      </c>
      <c r="H840">
        <f t="shared" si="71"/>
        <v>7.2577196701223423E-2</v>
      </c>
      <c r="I840">
        <f t="shared" si="70"/>
        <v>1</v>
      </c>
      <c r="J840" t="str">
        <f t="shared" si="72"/>
        <v/>
      </c>
      <c r="K840">
        <v>-3.6349077433347698E-2</v>
      </c>
      <c r="L840">
        <v>-9.7823757678270392E-3</v>
      </c>
      <c r="M840">
        <v>-1.1057706721127001E-2</v>
      </c>
      <c r="N840">
        <v>-1.5975979622453399E-3</v>
      </c>
      <c r="O840" t="str">
        <f t="shared" si="73"/>
        <v/>
      </c>
    </row>
    <row r="841" spans="1:15" x14ac:dyDescent="0.35">
      <c r="A841" t="s">
        <v>62</v>
      </c>
      <c r="B841">
        <v>2010</v>
      </c>
      <c r="C841">
        <v>621899.4375</v>
      </c>
      <c r="D841" s="8">
        <v>0.90116167068481401</v>
      </c>
      <c r="E841" s="8">
        <v>4.0000000000000001E-3</v>
      </c>
      <c r="F841">
        <v>2.4265553038043999</v>
      </c>
      <c r="G841">
        <f t="shared" si="69"/>
        <v>2.6926969740739231</v>
      </c>
      <c r="H841">
        <f t="shared" si="71"/>
        <v>-4.4786867816500986E-2</v>
      </c>
      <c r="I841">
        <f t="shared" si="70"/>
        <v>0</v>
      </c>
      <c r="J841">
        <f t="shared" si="72"/>
        <v>2</v>
      </c>
      <c r="K841">
        <v>-1.1057706721127001E-2</v>
      </c>
      <c r="L841">
        <v>-1.5975979622453399E-3</v>
      </c>
      <c r="M841">
        <v>-1.38801674991846E-2</v>
      </c>
      <c r="N841">
        <v>7.4036070145666903E-3</v>
      </c>
      <c r="O841">
        <f t="shared" si="73"/>
        <v>1.8690167274326059E-2</v>
      </c>
    </row>
    <row r="842" spans="1:15" x14ac:dyDescent="0.35">
      <c r="A842" t="s">
        <v>62</v>
      </c>
      <c r="B842">
        <v>2011</v>
      </c>
      <c r="C842">
        <v>630593.3125</v>
      </c>
      <c r="D842" s="8">
        <v>0.91195219755172696</v>
      </c>
      <c r="E842" s="8">
        <v>0</v>
      </c>
      <c r="F842">
        <v>2.4696612984762001</v>
      </c>
      <c r="G842">
        <f t="shared" si="69"/>
        <v>2.7081038952550123</v>
      </c>
      <c r="H842">
        <f t="shared" si="71"/>
        <v>5.7217434154053226E-3</v>
      </c>
      <c r="I842">
        <f t="shared" si="70"/>
        <v>1</v>
      </c>
      <c r="J842">
        <f t="shared" si="72"/>
        <v>2</v>
      </c>
      <c r="K842">
        <v>-1.38801674991846E-2</v>
      </c>
      <c r="L842">
        <v>7.4036070145666903E-3</v>
      </c>
      <c r="M842">
        <v>1.2786334097385299E-2</v>
      </c>
      <c r="N842">
        <v>1.82245401665568E-2</v>
      </c>
      <c r="O842">
        <f t="shared" si="73"/>
        <v>1.9954122044146021E-2</v>
      </c>
    </row>
    <row r="843" spans="1:15" x14ac:dyDescent="0.35">
      <c r="A843" t="s">
        <v>62</v>
      </c>
      <c r="B843">
        <v>2012</v>
      </c>
      <c r="C843">
        <v>641955.875</v>
      </c>
      <c r="D843" s="8">
        <v>0.92890703678131104</v>
      </c>
      <c r="E843" s="8">
        <v>1E-3</v>
      </c>
      <c r="F843">
        <v>2.4597148541113998</v>
      </c>
      <c r="G843">
        <f t="shared" si="69"/>
        <v>2.6479666497461154</v>
      </c>
      <c r="H843">
        <f t="shared" si="71"/>
        <v>-2.220640264735263E-2</v>
      </c>
      <c r="I843">
        <f t="shared" si="70"/>
        <v>0</v>
      </c>
      <c r="J843">
        <f t="shared" si="72"/>
        <v>2</v>
      </c>
      <c r="K843">
        <v>1.2786334097385299E-2</v>
      </c>
      <c r="L843">
        <v>1.81389413774013E-2</v>
      </c>
      <c r="M843">
        <v>1.55584743618965E-2</v>
      </c>
      <c r="N843">
        <v>9.4317030161618996E-3</v>
      </c>
      <c r="O843">
        <f t="shared" si="73"/>
        <v>1.8667290732264502E-2</v>
      </c>
    </row>
    <row r="844" spans="1:15" x14ac:dyDescent="0.35">
      <c r="A844" t="s">
        <v>62</v>
      </c>
      <c r="B844">
        <v>2013</v>
      </c>
      <c r="C844">
        <v>655466</v>
      </c>
      <c r="D844" s="8">
        <v>0.94047921895980802</v>
      </c>
      <c r="E844" s="8">
        <v>0</v>
      </c>
      <c r="F844">
        <v>2.5416783347335001</v>
      </c>
      <c r="G844">
        <f t="shared" si="69"/>
        <v>2.7025353495260167</v>
      </c>
      <c r="H844">
        <f t="shared" si="71"/>
        <v>2.060777456737739E-2</v>
      </c>
      <c r="I844">
        <f t="shared" si="70"/>
        <v>1</v>
      </c>
      <c r="J844">
        <f t="shared" si="72"/>
        <v>3</v>
      </c>
      <c r="K844">
        <v>1.55584743618965E-2</v>
      </c>
      <c r="L844">
        <v>9.4317030161618996E-3</v>
      </c>
      <c r="M844">
        <v>4.0393958628177601E-2</v>
      </c>
      <c r="N844">
        <v>3.8385935127734999E-2</v>
      </c>
      <c r="O844">
        <f t="shared" si="73"/>
        <v>1.4173171669244778E-2</v>
      </c>
    </row>
    <row r="845" spans="1:15" x14ac:dyDescent="0.35">
      <c r="A845" t="s">
        <v>62</v>
      </c>
      <c r="B845">
        <v>2014</v>
      </c>
      <c r="C845">
        <v>671716.8125</v>
      </c>
      <c r="D845" s="8">
        <v>0.94869017601013195</v>
      </c>
      <c r="E845" s="8">
        <v>-8.9999999999999993E-3</v>
      </c>
      <c r="F845">
        <v>2.46735799871947</v>
      </c>
      <c r="G845">
        <f t="shared" si="69"/>
        <v>2.600804837145398</v>
      </c>
      <c r="H845">
        <f t="shared" si="71"/>
        <v>-3.764262043730926E-2</v>
      </c>
      <c r="I845">
        <f t="shared" si="70"/>
        <v>0</v>
      </c>
      <c r="J845">
        <f t="shared" si="72"/>
        <v>2</v>
      </c>
      <c r="K845">
        <v>4.0393958628177601E-2</v>
      </c>
      <c r="L845">
        <v>3.8385935127734999E-2</v>
      </c>
      <c r="M845">
        <v>5.0268503069877499E-2</v>
      </c>
      <c r="N845">
        <v>2.0005051046609899E-2</v>
      </c>
      <c r="O845">
        <f t="shared" si="73"/>
        <v>7.0170089602470788E-3</v>
      </c>
    </row>
    <row r="846" spans="1:15" x14ac:dyDescent="0.35">
      <c r="A846" t="s">
        <v>62</v>
      </c>
      <c r="B846">
        <v>2015</v>
      </c>
      <c r="C846">
        <v>691785.375</v>
      </c>
      <c r="D846" s="8">
        <v>0.93234944343566895</v>
      </c>
      <c r="E846" s="8">
        <v>6.8000000000000005E-2</v>
      </c>
      <c r="F846">
        <v>2.4712835334222598</v>
      </c>
      <c r="G846">
        <f t="shared" si="69"/>
        <v>2.6505979606913077</v>
      </c>
      <c r="H846">
        <f t="shared" si="71"/>
        <v>1.9145274891353203E-2</v>
      </c>
      <c r="I846">
        <f t="shared" si="70"/>
        <v>1</v>
      </c>
      <c r="J846">
        <f t="shared" si="72"/>
        <v>3</v>
      </c>
      <c r="K846">
        <v>5.0268503069877499E-2</v>
      </c>
      <c r="L846">
        <v>2.0005051046609899E-2</v>
      </c>
      <c r="M846">
        <v>2.6876937866210902E-2</v>
      </c>
      <c r="N846">
        <v>1.37233808636665E-2</v>
      </c>
      <c r="O846">
        <f t="shared" si="73"/>
        <v>-3.6475680768489416E-3</v>
      </c>
    </row>
    <row r="847" spans="1:15" x14ac:dyDescent="0.35">
      <c r="A847" t="s">
        <v>62</v>
      </c>
      <c r="B847">
        <v>2016</v>
      </c>
      <c r="C847">
        <v>711083.125</v>
      </c>
      <c r="D847" s="8">
        <v>0.93165302276611295</v>
      </c>
      <c r="E847" s="8">
        <v>4.3999999999999997E-2</v>
      </c>
      <c r="F847">
        <v>2.3874362409191598</v>
      </c>
      <c r="G847">
        <f t="shared" si="69"/>
        <v>2.5625808993038754</v>
      </c>
      <c r="H847">
        <f t="shared" si="71"/>
        <v>-3.3206492532151688E-2</v>
      </c>
      <c r="I847">
        <f t="shared" si="70"/>
        <v>0</v>
      </c>
      <c r="J847">
        <f t="shared" si="72"/>
        <v>2</v>
      </c>
      <c r="K847">
        <v>2.6876937866210902E-2</v>
      </c>
      <c r="L847">
        <v>1.37233808636665E-2</v>
      </c>
      <c r="M847">
        <v>1.45799570679665E-2</v>
      </c>
      <c r="N847">
        <v>1.17903836071492E-2</v>
      </c>
      <c r="O847">
        <f t="shared" si="73"/>
        <v>2.1283926814794556E-2</v>
      </c>
    </row>
    <row r="848" spans="1:15" x14ac:dyDescent="0.35">
      <c r="A848" t="s">
        <v>62</v>
      </c>
      <c r="B848">
        <v>2017</v>
      </c>
      <c r="C848">
        <v>725251.75</v>
      </c>
      <c r="D848" s="8">
        <v>0.92945277690887496</v>
      </c>
      <c r="E848" s="8">
        <v>5.1999999999999998E-2</v>
      </c>
      <c r="F848">
        <v>2.47241553336166</v>
      </c>
      <c r="G848">
        <f t="shared" si="69"/>
        <v>2.66007654695948</v>
      </c>
      <c r="H848">
        <f t="shared" si="71"/>
        <v>3.804588088598071E-2</v>
      </c>
      <c r="I848">
        <f t="shared" si="70"/>
        <v>1</v>
      </c>
      <c r="J848">
        <f t="shared" si="72"/>
        <v>3</v>
      </c>
      <c r="K848">
        <v>1.45799570679665E-2</v>
      </c>
      <c r="L848">
        <v>1.17903836071492E-2</v>
      </c>
      <c r="M848">
        <v>-3.9038693308829902E-3</v>
      </c>
      <c r="N848">
        <v>-1.30388922989367E-2</v>
      </c>
      <c r="O848">
        <f t="shared" si="73"/>
        <v>2.5763929635286335E-2</v>
      </c>
    </row>
    <row r="849" spans="1:15" x14ac:dyDescent="0.35">
      <c r="A849" t="s">
        <v>62</v>
      </c>
      <c r="B849">
        <v>2018</v>
      </c>
      <c r="C849">
        <v>737396.125</v>
      </c>
      <c r="D849" s="8">
        <v>0.90687346458435103</v>
      </c>
      <c r="E849" s="8">
        <v>9.5000000000000001E-2</v>
      </c>
      <c r="F849">
        <v>2.2827879684939401</v>
      </c>
      <c r="G849">
        <f t="shared" si="69"/>
        <v>2.5172067081488754</v>
      </c>
      <c r="H849">
        <f t="shared" si="71"/>
        <v>-5.3708920133861415E-2</v>
      </c>
      <c r="I849">
        <f t="shared" si="70"/>
        <v>0</v>
      </c>
      <c r="J849">
        <f t="shared" si="72"/>
        <v>2</v>
      </c>
      <c r="K849">
        <v>-3.9038693308829902E-3</v>
      </c>
      <c r="L849">
        <v>-1.30388922989367E-2</v>
      </c>
      <c r="M849">
        <v>2.0406316190958E-2</v>
      </c>
      <c r="N849">
        <v>2.6051215827464901E-3</v>
      </c>
      <c r="O849">
        <f t="shared" si="73"/>
        <v>1.310023143887518E-2</v>
      </c>
    </row>
    <row r="850" spans="1:15" x14ac:dyDescent="0.35">
      <c r="A850" t="s">
        <v>62</v>
      </c>
      <c r="B850">
        <v>2019</v>
      </c>
      <c r="C850">
        <v>752447.3125</v>
      </c>
      <c r="D850" s="8">
        <v>0.89868414402008101</v>
      </c>
      <c r="E850" s="8">
        <v>5.6000000000000001E-2</v>
      </c>
      <c r="F850">
        <v>2.4562615298811599</v>
      </c>
      <c r="G850">
        <f t="shared" si="69"/>
        <v>2.73317555030355</v>
      </c>
      <c r="H850">
        <f t="shared" si="71"/>
        <v>8.5797023127073935E-2</v>
      </c>
      <c r="I850">
        <f t="shared" si="70"/>
        <v>1</v>
      </c>
      <c r="J850" t="str">
        <f t="shared" si="72"/>
        <v/>
      </c>
      <c r="K850">
        <v>2.0406316190958E-2</v>
      </c>
      <c r="L850">
        <v>2.6051215827464901E-3</v>
      </c>
      <c r="M850">
        <v>-1.4468643710017199E-2</v>
      </c>
      <c r="N850">
        <v>-3.3317834138870198E-2</v>
      </c>
      <c r="O850">
        <f t="shared" si="73"/>
        <v>1.1680763401091077E-2</v>
      </c>
    </row>
    <row r="851" spans="1:15" x14ac:dyDescent="0.35">
      <c r="A851" t="s">
        <v>62</v>
      </c>
      <c r="B851">
        <v>2020</v>
      </c>
      <c r="C851">
        <v>771903.375</v>
      </c>
      <c r="D851" s="8">
        <v>0.83374935388565097</v>
      </c>
      <c r="E851" s="8">
        <v>0.20499999999999999</v>
      </c>
      <c r="F851">
        <v>2.4508103372755099</v>
      </c>
      <c r="G851">
        <f t="shared" si="69"/>
        <v>2.9395049313725039</v>
      </c>
      <c r="H851">
        <f t="shared" si="71"/>
        <v>7.5490716666932967E-2</v>
      </c>
      <c r="I851">
        <f t="shared" si="70"/>
        <v>1</v>
      </c>
      <c r="J851" t="str">
        <f t="shared" si="72"/>
        <v/>
      </c>
      <c r="K851">
        <v>-1.4468643710017199E-2</v>
      </c>
      <c r="L851">
        <v>-3.3317834138870198E-2</v>
      </c>
      <c r="M851">
        <v>0.18197046804428099</v>
      </c>
      <c r="N851">
        <v>0.13838085532188399</v>
      </c>
      <c r="O851">
        <f t="shared" si="73"/>
        <v>1.968080243095752E-2</v>
      </c>
    </row>
    <row r="852" spans="1:15" x14ac:dyDescent="0.35">
      <c r="A852" t="s">
        <v>62</v>
      </c>
      <c r="B852">
        <v>2021</v>
      </c>
      <c r="C852">
        <v>799723.875</v>
      </c>
      <c r="D852" s="8">
        <v>0.93478286266326904</v>
      </c>
      <c r="E852" s="8">
        <v>0.106</v>
      </c>
      <c r="F852">
        <v>2.3280389515233102</v>
      </c>
      <c r="G852">
        <f t="shared" si="69"/>
        <v>2.4904595970988881</v>
      </c>
      <c r="H852">
        <f t="shared" si="71"/>
        <v>-0.15276223199392591</v>
      </c>
      <c r="I852">
        <f t="shared" si="70"/>
        <v>0</v>
      </c>
      <c r="J852" t="str">
        <f t="shared" si="72"/>
        <v/>
      </c>
      <c r="K852">
        <v>0.18197046804428099</v>
      </c>
      <c r="L852">
        <v>0.13838085532188399</v>
      </c>
      <c r="M852">
        <v>2.0868909358977899E-3</v>
      </c>
      <c r="N852">
        <v>3.4190397709608099E-2</v>
      </c>
      <c r="O852">
        <f t="shared" si="73"/>
        <v>-4.9221274442970992E-3</v>
      </c>
    </row>
    <row r="853" spans="1:15" x14ac:dyDescent="0.35">
      <c r="A853" t="s">
        <v>62</v>
      </c>
      <c r="B853">
        <v>2022</v>
      </c>
      <c r="C853">
        <v>830831.4375</v>
      </c>
      <c r="D853" s="8">
        <v>0.93239635229110696</v>
      </c>
      <c r="E853" s="8">
        <v>5.7000000000000002E-2</v>
      </c>
      <c r="F853">
        <v>2.3725799138517298</v>
      </c>
      <c r="G853">
        <f t="shared" si="69"/>
        <v>2.5446044571300273</v>
      </c>
      <c r="H853">
        <f t="shared" si="71"/>
        <v>2.1740910831965277E-2</v>
      </c>
      <c r="I853">
        <f t="shared" si="70"/>
        <v>1</v>
      </c>
      <c r="J853" t="str">
        <f t="shared" si="72"/>
        <v/>
      </c>
      <c r="K853">
        <v>2.0868909358977899E-3</v>
      </c>
      <c r="L853">
        <v>3.4669101238250698E-2</v>
      </c>
      <c r="M853">
        <v>-9.5916311055421796E-2</v>
      </c>
      <c r="N853">
        <v>-7.6357383280992494E-2</v>
      </c>
      <c r="O853">
        <f t="shared" si="73"/>
        <v>-1.2994350295048234E-2</v>
      </c>
    </row>
    <row r="854" spans="1:15" x14ac:dyDescent="0.35">
      <c r="A854" t="s">
        <v>63</v>
      </c>
      <c r="B854">
        <v>2006</v>
      </c>
      <c r="C854">
        <v>407620.09375</v>
      </c>
      <c r="D854" s="8">
        <v>0.89029031991958596</v>
      </c>
      <c r="E854" s="8">
        <v>4.0000000000000001E-3</v>
      </c>
      <c r="F854">
        <v>2.0562756561761399</v>
      </c>
      <c r="G854">
        <f t="shared" si="69"/>
        <v>2.3096686666905124</v>
      </c>
      <c r="H854">
        <f t="shared" si="71"/>
        <v>-9.232703722624569E-2</v>
      </c>
      <c r="I854">
        <f t="shared" si="70"/>
        <v>0</v>
      </c>
      <c r="J854" t="str">
        <f t="shared" si="72"/>
        <v/>
      </c>
      <c r="K854">
        <v>-1.20740666687489E-2</v>
      </c>
      <c r="L854">
        <v>-1.8437106162309699E-2</v>
      </c>
      <c r="M854">
        <v>-5.4139745384455002E-3</v>
      </c>
      <c r="N854">
        <v>-4.492218606174E-3</v>
      </c>
      <c r="O854" t="str">
        <f t="shared" si="73"/>
        <v/>
      </c>
    </row>
    <row r="855" spans="1:15" x14ac:dyDescent="0.35">
      <c r="A855" t="s">
        <v>63</v>
      </c>
      <c r="B855">
        <v>2007</v>
      </c>
      <c r="C855">
        <v>410680</v>
      </c>
      <c r="D855" s="8">
        <v>0.89654767513275102</v>
      </c>
      <c r="E855" s="8">
        <v>0</v>
      </c>
      <c r="F855">
        <v>2.06580527277473</v>
      </c>
      <c r="G855">
        <f t="shared" si="69"/>
        <v>2.3041778257568377</v>
      </c>
      <c r="H855">
        <f t="shared" si="71"/>
        <v>-2.3773284076898937E-3</v>
      </c>
      <c r="I855">
        <f t="shared" si="70"/>
        <v>0</v>
      </c>
      <c r="J855" t="str">
        <f t="shared" si="72"/>
        <v/>
      </c>
      <c r="K855">
        <v>-5.4139745384455002E-3</v>
      </c>
      <c r="L855">
        <v>-4.492218606174E-3</v>
      </c>
      <c r="M855">
        <v>-2.2828443266451399E-2</v>
      </c>
      <c r="N855">
        <v>6.6823610104619997E-3</v>
      </c>
      <c r="O855" t="str">
        <f t="shared" si="73"/>
        <v/>
      </c>
    </row>
    <row r="856" spans="1:15" x14ac:dyDescent="0.35">
      <c r="A856" t="s">
        <v>63</v>
      </c>
      <c r="B856">
        <v>2008</v>
      </c>
      <c r="C856">
        <v>412673.5</v>
      </c>
      <c r="D856" s="8">
        <v>0.90498197078704801</v>
      </c>
      <c r="E856" s="8">
        <v>5.0000000000000001E-3</v>
      </c>
      <c r="F856">
        <v>2.21661643297077</v>
      </c>
      <c r="G856">
        <f t="shared" si="69"/>
        <v>2.4493487213264755</v>
      </c>
      <c r="H856">
        <f t="shared" si="71"/>
        <v>6.3003338521389729E-2</v>
      </c>
      <c r="I856">
        <f t="shared" si="70"/>
        <v>1</v>
      </c>
      <c r="J856" t="str">
        <f t="shared" si="72"/>
        <v/>
      </c>
      <c r="K856">
        <v>-2.2828443266451399E-2</v>
      </c>
      <c r="L856">
        <v>6.6823610104619997E-3</v>
      </c>
      <c r="M856">
        <v>-1.12004957199096E-2</v>
      </c>
      <c r="N856">
        <v>1.5366205945610899E-2</v>
      </c>
      <c r="O856" t="str">
        <f t="shared" si="73"/>
        <v/>
      </c>
    </row>
    <row r="857" spans="1:15" x14ac:dyDescent="0.35">
      <c r="A857" t="s">
        <v>63</v>
      </c>
      <c r="B857">
        <v>2009</v>
      </c>
      <c r="C857">
        <v>415127</v>
      </c>
      <c r="D857" s="8">
        <v>0.90266197919845603</v>
      </c>
      <c r="E857" s="8">
        <v>0</v>
      </c>
      <c r="F857">
        <v>2.10991080277502</v>
      </c>
      <c r="G857">
        <f t="shared" si="69"/>
        <v>2.3374317866457321</v>
      </c>
      <c r="H857">
        <f t="shared" si="71"/>
        <v>-4.5692527857010612E-2</v>
      </c>
      <c r="I857">
        <f t="shared" si="70"/>
        <v>0</v>
      </c>
      <c r="J857" t="str">
        <f t="shared" si="72"/>
        <v/>
      </c>
      <c r="K857">
        <v>-1.12004957199096E-2</v>
      </c>
      <c r="L857">
        <v>1.5366205945610899E-2</v>
      </c>
      <c r="M857">
        <v>-1.56308253030292E-2</v>
      </c>
      <c r="N857">
        <v>-6.17071654414758E-3</v>
      </c>
      <c r="O857" t="str">
        <f t="shared" si="73"/>
        <v/>
      </c>
    </row>
    <row r="858" spans="1:15" x14ac:dyDescent="0.35">
      <c r="A858" t="s">
        <v>63</v>
      </c>
      <c r="B858">
        <v>2010</v>
      </c>
      <c r="C858">
        <v>417982</v>
      </c>
      <c r="D858" s="8">
        <v>0.90245532989501998</v>
      </c>
      <c r="E858" s="8">
        <v>4.0000000000000001E-3</v>
      </c>
      <c r="F858">
        <v>2.2571596129410598</v>
      </c>
      <c r="G858">
        <f t="shared" si="69"/>
        <v>2.5011316772915828</v>
      </c>
      <c r="H858">
        <f t="shared" si="71"/>
        <v>7.0034082526431174E-2</v>
      </c>
      <c r="I858">
        <f t="shared" si="70"/>
        <v>1</v>
      </c>
      <c r="J858">
        <f t="shared" si="72"/>
        <v>2</v>
      </c>
      <c r="K858">
        <v>-1.56308253030292E-2</v>
      </c>
      <c r="L858">
        <v>-6.17071654414758E-3</v>
      </c>
      <c r="M858">
        <v>-2.62827671766281E-2</v>
      </c>
      <c r="N858">
        <v>-4.9989926628768097E-3</v>
      </c>
      <c r="O858">
        <f t="shared" si="73"/>
        <v>-1.1796371079981157E-3</v>
      </c>
    </row>
    <row r="859" spans="1:15" x14ac:dyDescent="0.35">
      <c r="A859" t="s">
        <v>63</v>
      </c>
      <c r="B859">
        <v>2011</v>
      </c>
      <c r="C859">
        <v>421133.78125</v>
      </c>
      <c r="D859" s="8">
        <v>0.91096132993698098</v>
      </c>
      <c r="E859" s="8">
        <v>0</v>
      </c>
      <c r="F859">
        <v>2.1931914072859602</v>
      </c>
      <c r="G859">
        <f t="shared" si="69"/>
        <v>2.4075570885513682</v>
      </c>
      <c r="H859">
        <f t="shared" si="71"/>
        <v>-3.7412899764455609E-2</v>
      </c>
      <c r="I859">
        <f t="shared" si="70"/>
        <v>0</v>
      </c>
      <c r="J859">
        <f t="shared" si="72"/>
        <v>2</v>
      </c>
      <c r="K859">
        <v>-2.62827671766281E-2</v>
      </c>
      <c r="L859">
        <v>-4.9989926628768097E-3</v>
      </c>
      <c r="M859">
        <v>-3.7975258231162999E-3</v>
      </c>
      <c r="N859">
        <v>1.6406802460551E-3</v>
      </c>
      <c r="O859">
        <f t="shared" si="73"/>
        <v>6.1429608613254431E-4</v>
      </c>
    </row>
    <row r="860" spans="1:15" x14ac:dyDescent="0.35">
      <c r="A860" t="s">
        <v>63</v>
      </c>
      <c r="B860">
        <v>2012</v>
      </c>
      <c r="C860">
        <v>423595.625</v>
      </c>
      <c r="D860" s="8">
        <v>0.90947026014328003</v>
      </c>
      <c r="E860" s="8">
        <v>1.2999999999999999E-2</v>
      </c>
      <c r="F860">
        <v>2.2043693725134301</v>
      </c>
      <c r="G860">
        <f t="shared" si="69"/>
        <v>2.4237948937067482</v>
      </c>
      <c r="H860">
        <f t="shared" si="71"/>
        <v>6.7445151072826892E-3</v>
      </c>
      <c r="I860">
        <f t="shared" si="70"/>
        <v>1</v>
      </c>
      <c r="J860">
        <f t="shared" si="72"/>
        <v>3</v>
      </c>
      <c r="K860">
        <v>-3.7975258231162999E-3</v>
      </c>
      <c r="L860">
        <v>1.5550814568996E-3</v>
      </c>
      <c r="M860">
        <v>-1.3257128745317E-3</v>
      </c>
      <c r="N860">
        <v>-7.4524842202662997E-3</v>
      </c>
      <c r="O860">
        <f t="shared" si="73"/>
        <v>2.7310736477378412E-4</v>
      </c>
    </row>
    <row r="861" spans="1:15" x14ac:dyDescent="0.35">
      <c r="A861" t="s">
        <v>63</v>
      </c>
      <c r="B861">
        <v>2013</v>
      </c>
      <c r="C861">
        <v>426279.59375</v>
      </c>
      <c r="D861" s="8">
        <v>0.91079175472259499</v>
      </c>
      <c r="E861" s="8">
        <v>1.2999999999999999E-2</v>
      </c>
      <c r="F861">
        <v>2.3143835007556199</v>
      </c>
      <c r="G861">
        <f t="shared" si="69"/>
        <v>2.5410676905617406</v>
      </c>
      <c r="H861">
        <f t="shared" si="71"/>
        <v>4.838396068887052E-2</v>
      </c>
      <c r="I861">
        <f t="shared" si="70"/>
        <v>1</v>
      </c>
      <c r="J861">
        <f t="shared" si="72"/>
        <v>3</v>
      </c>
      <c r="K861">
        <v>-1.3257128745317E-3</v>
      </c>
      <c r="L861">
        <v>-7.4524842202662997E-3</v>
      </c>
      <c r="M861">
        <v>-6.6050302088260697E-3</v>
      </c>
      <c r="N861">
        <v>-8.6130537092685699E-3</v>
      </c>
      <c r="O861">
        <f t="shared" si="73"/>
        <v>2.3160841315985046E-3</v>
      </c>
    </row>
    <row r="862" spans="1:15" x14ac:dyDescent="0.35">
      <c r="A862" t="s">
        <v>63</v>
      </c>
      <c r="B862">
        <v>2014</v>
      </c>
      <c r="C862">
        <v>428848.59375</v>
      </c>
      <c r="D862" s="8">
        <v>0.91894865036010698</v>
      </c>
      <c r="E862" s="8">
        <v>8.0000000000000002E-3</v>
      </c>
      <c r="F862">
        <v>2.0588452400175301</v>
      </c>
      <c r="G862">
        <f t="shared" si="69"/>
        <v>2.2404355664603606</v>
      </c>
      <c r="H862">
        <f t="shared" si="71"/>
        <v>-0.11830937255942242</v>
      </c>
      <c r="I862">
        <f t="shared" si="70"/>
        <v>0</v>
      </c>
      <c r="J862">
        <f t="shared" si="72"/>
        <v>3</v>
      </c>
      <c r="K862">
        <v>-6.6050302088260697E-3</v>
      </c>
      <c r="L862">
        <v>-8.6130537092685699E-3</v>
      </c>
      <c r="M862">
        <v>4.3789116829633698E-2</v>
      </c>
      <c r="N862">
        <v>1.3525664806366E-2</v>
      </c>
      <c r="O862">
        <f t="shared" si="73"/>
        <v>4.3305862694978962E-3</v>
      </c>
    </row>
    <row r="863" spans="1:15" x14ac:dyDescent="0.35">
      <c r="A863" t="s">
        <v>63</v>
      </c>
      <c r="B863">
        <v>2015</v>
      </c>
      <c r="C863">
        <v>431438.125</v>
      </c>
      <c r="D863" s="8">
        <v>0.92536038160324097</v>
      </c>
      <c r="E863" s="8">
        <v>2.1000000000000001E-2</v>
      </c>
      <c r="F863">
        <v>2.2324162318340499</v>
      </c>
      <c r="G863">
        <f t="shared" si="69"/>
        <v>2.4124830457580844</v>
      </c>
      <c r="H863">
        <f t="shared" si="71"/>
        <v>7.6791978253380355E-2</v>
      </c>
      <c r="I863">
        <f t="shared" si="70"/>
        <v>1</v>
      </c>
      <c r="J863">
        <f t="shared" si="72"/>
        <v>3</v>
      </c>
      <c r="K863">
        <v>4.3789116829633698E-2</v>
      </c>
      <c r="L863">
        <v>1.3525664806366E-2</v>
      </c>
      <c r="M863">
        <v>1.7124230310320801E-2</v>
      </c>
      <c r="N863">
        <v>3.9706733077764901E-3</v>
      </c>
      <c r="O863">
        <f t="shared" si="73"/>
        <v>1.5625424683094358E-3</v>
      </c>
    </row>
    <row r="864" spans="1:15" x14ac:dyDescent="0.35">
      <c r="A864" t="s">
        <v>63</v>
      </c>
      <c r="B864">
        <v>2016</v>
      </c>
      <c r="C864">
        <v>434042.3125</v>
      </c>
      <c r="D864" s="8">
        <v>0.91614413261413596</v>
      </c>
      <c r="E864" s="8">
        <v>0.01</v>
      </c>
      <c r="F864">
        <v>2.2177232210631299</v>
      </c>
      <c r="G864">
        <f t="shared" si="69"/>
        <v>2.4207143200656143</v>
      </c>
      <c r="H864">
        <f t="shared" si="71"/>
        <v>3.4119511521555346E-3</v>
      </c>
      <c r="I864">
        <f t="shared" si="70"/>
        <v>1</v>
      </c>
      <c r="J864">
        <f t="shared" si="72"/>
        <v>4</v>
      </c>
      <c r="K864">
        <v>1.7124230310320801E-2</v>
      </c>
      <c r="L864">
        <v>3.9706733077764901E-3</v>
      </c>
      <c r="M864">
        <v>2.7243101000785901E-3</v>
      </c>
      <c r="N864">
        <v>-6.5263360738698694E-5</v>
      </c>
      <c r="O864">
        <f t="shared" si="73"/>
        <v>8.4757413715123384E-3</v>
      </c>
    </row>
    <row r="865" spans="1:15" x14ac:dyDescent="0.35">
      <c r="A865" t="s">
        <v>63</v>
      </c>
      <c r="B865">
        <v>2017</v>
      </c>
      <c r="C865">
        <v>437269.59375</v>
      </c>
      <c r="D865" s="8">
        <v>0.92177009582519498</v>
      </c>
      <c r="E865" s="8">
        <v>1.7000000000000001E-2</v>
      </c>
      <c r="F865">
        <v>2.2588728830488498</v>
      </c>
      <c r="G865">
        <f t="shared" si="69"/>
        <v>2.4505816507603688</v>
      </c>
      <c r="H865">
        <f t="shared" si="71"/>
        <v>1.2338230268305717E-2</v>
      </c>
      <c r="I865">
        <f t="shared" si="70"/>
        <v>1</v>
      </c>
      <c r="J865">
        <f t="shared" si="72"/>
        <v>4</v>
      </c>
      <c r="K865">
        <v>2.7243101000785901E-3</v>
      </c>
      <c r="L865">
        <v>-6.5263360738698694E-5</v>
      </c>
      <c r="M865">
        <v>1.18974225819111E-2</v>
      </c>
      <c r="N865">
        <v>2.7623996138573001E-3</v>
      </c>
      <c r="O865">
        <f t="shared" si="73"/>
        <v>1.0775078460574078E-2</v>
      </c>
    </row>
    <row r="866" spans="1:15" x14ac:dyDescent="0.35">
      <c r="A866" t="s">
        <v>63</v>
      </c>
      <c r="B866">
        <v>2018</v>
      </c>
      <c r="C866">
        <v>441337.875</v>
      </c>
      <c r="D866" s="8">
        <v>0.92204183340072599</v>
      </c>
      <c r="E866" s="8">
        <v>1.9E-2</v>
      </c>
      <c r="F866">
        <v>2.1488070276116198</v>
      </c>
      <c r="G866">
        <f t="shared" si="69"/>
        <v>2.3304875655004396</v>
      </c>
      <c r="H866">
        <f t="shared" si="71"/>
        <v>-4.9006359458647841E-2</v>
      </c>
      <c r="I866">
        <f t="shared" si="70"/>
        <v>0</v>
      </c>
      <c r="J866">
        <f t="shared" si="72"/>
        <v>3</v>
      </c>
      <c r="K866">
        <v>1.18974225819111E-2</v>
      </c>
      <c r="L866">
        <v>2.7623996138573001E-3</v>
      </c>
      <c r="M866">
        <v>1.9260651588439901E-2</v>
      </c>
      <c r="N866">
        <v>1.45945698022839E-3</v>
      </c>
      <c r="O866">
        <f t="shared" si="73"/>
        <v>7.8195102512835773E-3</v>
      </c>
    </row>
    <row r="867" spans="1:15" x14ac:dyDescent="0.35">
      <c r="A867" t="s">
        <v>63</v>
      </c>
      <c r="B867">
        <v>2019</v>
      </c>
      <c r="C867">
        <v>445638.875</v>
      </c>
      <c r="D867" s="8">
        <v>0.93992632627487205</v>
      </c>
      <c r="E867" s="8">
        <v>0</v>
      </c>
      <c r="F867">
        <v>2.0954451345755598</v>
      </c>
      <c r="G867">
        <f t="shared" si="69"/>
        <v>2.2293716815872737</v>
      </c>
      <c r="H867">
        <f t="shared" si="71"/>
        <v>-4.3388295827037626E-2</v>
      </c>
      <c r="I867">
        <f t="shared" si="70"/>
        <v>0</v>
      </c>
      <c r="J867" t="str">
        <f t="shared" si="72"/>
        <v/>
      </c>
      <c r="K867">
        <v>1.9260651588439901E-2</v>
      </c>
      <c r="L867">
        <v>1.45945698022839E-3</v>
      </c>
      <c r="M867">
        <v>1.8534636229276698E-2</v>
      </c>
      <c r="N867">
        <v>-3.14554199576301E-4</v>
      </c>
      <c r="O867">
        <f t="shared" si="73"/>
        <v>1.006814446300262E-2</v>
      </c>
    </row>
    <row r="868" spans="1:15" x14ac:dyDescent="0.35">
      <c r="A868" t="s">
        <v>63</v>
      </c>
      <c r="B868">
        <v>2020</v>
      </c>
      <c r="C868">
        <v>449419.59375</v>
      </c>
      <c r="D868" s="8">
        <v>0.95081615447998002</v>
      </c>
      <c r="E868" s="8">
        <v>1.0999999999999999E-2</v>
      </c>
      <c r="F868">
        <v>2.1058680367766298</v>
      </c>
      <c r="G868">
        <f t="shared" si="69"/>
        <v>2.2148004394481182</v>
      </c>
      <c r="H868">
        <f t="shared" si="71"/>
        <v>-6.5360308734078165E-3</v>
      </c>
      <c r="I868">
        <f t="shared" si="70"/>
        <v>0</v>
      </c>
      <c r="J868" t="str">
        <f t="shared" si="72"/>
        <v/>
      </c>
      <c r="K868">
        <v>1.8534636229276698E-2</v>
      </c>
      <c r="L868">
        <v>-3.14554199576301E-4</v>
      </c>
      <c r="M868">
        <v>8.2126280546187994E-2</v>
      </c>
      <c r="N868">
        <v>3.8536667823790997E-2</v>
      </c>
      <c r="O868">
        <f t="shared" si="73"/>
        <v>1.0405043233185928E-2</v>
      </c>
    </row>
    <row r="869" spans="1:15" x14ac:dyDescent="0.35">
      <c r="A869" t="s">
        <v>63</v>
      </c>
      <c r="B869">
        <v>2021</v>
      </c>
      <c r="C869">
        <v>452563.5</v>
      </c>
      <c r="D869" s="8">
        <v>0.95882838964462302</v>
      </c>
      <c r="E869" s="8">
        <v>8.0000000000000002E-3</v>
      </c>
      <c r="F869">
        <v>2.1644831050033102</v>
      </c>
      <c r="G869">
        <f t="shared" si="69"/>
        <v>2.2574249243971041</v>
      </c>
      <c r="H869">
        <f t="shared" si="71"/>
        <v>1.9245293702220501E-2</v>
      </c>
      <c r="I869">
        <f t="shared" si="70"/>
        <v>1</v>
      </c>
      <c r="J869" t="str">
        <f t="shared" si="72"/>
        <v/>
      </c>
      <c r="K869">
        <v>8.2126280546187994E-2</v>
      </c>
      <c r="L869">
        <v>3.8536667823790997E-2</v>
      </c>
      <c r="M869">
        <v>-2.0672084689140301E-2</v>
      </c>
      <c r="N869">
        <v>1.143142208457E-2</v>
      </c>
      <c r="O869">
        <f t="shared" si="73"/>
        <v>-1.3865112327038922E-3</v>
      </c>
    </row>
    <row r="870" spans="1:15" x14ac:dyDescent="0.35">
      <c r="A870" t="s">
        <v>63</v>
      </c>
      <c r="B870">
        <v>2022</v>
      </c>
      <c r="C870">
        <v>455849.21875</v>
      </c>
      <c r="D870" s="8">
        <v>0.93635594844818104</v>
      </c>
      <c r="E870" s="8">
        <v>3.1E-2</v>
      </c>
      <c r="F870">
        <v>2.0734545917069398</v>
      </c>
      <c r="G870">
        <f t="shared" si="69"/>
        <v>2.2143871624282068</v>
      </c>
      <c r="H870">
        <f t="shared" si="71"/>
        <v>-1.9064980413641686E-2</v>
      </c>
      <c r="I870">
        <f t="shared" si="70"/>
        <v>0</v>
      </c>
      <c r="J870" t="str">
        <f t="shared" si="72"/>
        <v/>
      </c>
      <c r="K870">
        <v>-2.0672084689140301E-2</v>
      </c>
      <c r="L870">
        <v>1.1910125613212599E-2</v>
      </c>
      <c r="M870">
        <v>-3.15743692070245E-2</v>
      </c>
      <c r="N870">
        <v>-1.2015441432595199E-2</v>
      </c>
      <c r="O870">
        <f t="shared" si="73"/>
        <v>-3.6719754803925574E-3</v>
      </c>
    </row>
    <row r="871" spans="1:15" x14ac:dyDescent="0.35">
      <c r="A871" t="s">
        <v>64</v>
      </c>
      <c r="B871">
        <v>2006</v>
      </c>
      <c r="C871">
        <v>886829.75</v>
      </c>
      <c r="D871" s="8">
        <v>0.94924426078796398</v>
      </c>
      <c r="E871" s="8">
        <v>1.4999999999999999E-2</v>
      </c>
      <c r="F871">
        <v>2.86588407806759</v>
      </c>
      <c r="G871">
        <f t="shared" si="69"/>
        <v>3.0191218387653254</v>
      </c>
      <c r="H871">
        <f t="shared" si="71"/>
        <v>0.36341191368481351</v>
      </c>
      <c r="I871">
        <f t="shared" si="70"/>
        <v>1</v>
      </c>
      <c r="J871" t="str">
        <f t="shared" si="72"/>
        <v/>
      </c>
      <c r="K871">
        <v>1.93183213770389E-2</v>
      </c>
      <c r="L871">
        <v>1.2955281883478199E-2</v>
      </c>
      <c r="M871">
        <v>1.17808721065521E-2</v>
      </c>
      <c r="N871">
        <v>1.2702628038823599E-2</v>
      </c>
      <c r="O871" t="str">
        <f t="shared" si="73"/>
        <v/>
      </c>
    </row>
    <row r="872" spans="1:15" x14ac:dyDescent="0.35">
      <c r="A872" t="s">
        <v>64</v>
      </c>
      <c r="B872">
        <v>2007</v>
      </c>
      <c r="C872">
        <v>899351.3125</v>
      </c>
      <c r="D872" s="8">
        <v>0.94801878929138195</v>
      </c>
      <c r="E872" s="8">
        <v>1.0999999999999999E-2</v>
      </c>
      <c r="F872">
        <v>2.94505841490369</v>
      </c>
      <c r="G872">
        <f t="shared" si="69"/>
        <v>3.1065401320843447</v>
      </c>
      <c r="H872">
        <f t="shared" si="71"/>
        <v>2.8954874293767974E-2</v>
      </c>
      <c r="I872">
        <f t="shared" si="70"/>
        <v>1</v>
      </c>
      <c r="J872" t="str">
        <f t="shared" si="72"/>
        <v/>
      </c>
      <c r="K872">
        <v>1.17808721065521E-2</v>
      </c>
      <c r="L872">
        <v>1.2702628038823599E-2</v>
      </c>
      <c r="M872">
        <v>-2.8140864625573098E-2</v>
      </c>
      <c r="N872">
        <v>1.3699396513402399E-3</v>
      </c>
      <c r="O872" t="str">
        <f t="shared" si="73"/>
        <v/>
      </c>
    </row>
    <row r="873" spans="1:15" x14ac:dyDescent="0.35">
      <c r="A873" t="s">
        <v>64</v>
      </c>
      <c r="B873">
        <v>2008</v>
      </c>
      <c r="C873">
        <v>912630.6875</v>
      </c>
      <c r="D873" s="8">
        <v>0.94012570381164595</v>
      </c>
      <c r="E873" s="8">
        <v>4.0000000000000001E-3</v>
      </c>
      <c r="F873">
        <v>3.00931298302846</v>
      </c>
      <c r="G873">
        <f t="shared" si="69"/>
        <v>3.2009687330401673</v>
      </c>
      <c r="H873">
        <f t="shared" si="71"/>
        <v>3.0396710469169141E-2</v>
      </c>
      <c r="I873">
        <f t="shared" si="70"/>
        <v>1</v>
      </c>
      <c r="J873" t="str">
        <f t="shared" si="72"/>
        <v/>
      </c>
      <c r="K873">
        <v>-2.8140864625573098E-2</v>
      </c>
      <c r="L873">
        <v>1.3699396513402399E-3</v>
      </c>
      <c r="M873">
        <v>-4.69878061711788E-2</v>
      </c>
      <c r="N873">
        <v>-2.0421104505658101E-2</v>
      </c>
      <c r="O873" t="str">
        <f t="shared" si="73"/>
        <v/>
      </c>
    </row>
    <row r="874" spans="1:15" x14ac:dyDescent="0.35">
      <c r="A874" t="s">
        <v>64</v>
      </c>
      <c r="B874">
        <v>2009</v>
      </c>
      <c r="C874">
        <v>924220.6875</v>
      </c>
      <c r="D874" s="8">
        <v>0.927881360054016</v>
      </c>
      <c r="E874" s="8">
        <v>1.2E-2</v>
      </c>
      <c r="F874">
        <v>3.1249560811074502</v>
      </c>
      <c r="G874">
        <f t="shared" si="69"/>
        <v>3.367840130903732</v>
      </c>
      <c r="H874">
        <f t="shared" si="71"/>
        <v>5.2131530102474954E-2</v>
      </c>
      <c r="I874">
        <f t="shared" si="70"/>
        <v>1</v>
      </c>
      <c r="J874" t="str">
        <f t="shared" si="72"/>
        <v/>
      </c>
      <c r="K874">
        <v>-4.69878061711788E-2</v>
      </c>
      <c r="L874">
        <v>-2.0421104505658101E-2</v>
      </c>
      <c r="M874">
        <v>-9.4560079127550094E-3</v>
      </c>
      <c r="N874" s="1">
        <v>4.1008461266755998E-6</v>
      </c>
      <c r="O874" t="str">
        <f t="shared" si="73"/>
        <v/>
      </c>
    </row>
    <row r="875" spans="1:15" x14ac:dyDescent="0.35">
      <c r="A875" t="s">
        <v>64</v>
      </c>
      <c r="B875">
        <v>2010</v>
      </c>
      <c r="C875">
        <v>934254.25</v>
      </c>
      <c r="D875" s="8">
        <v>0.93907469511032104</v>
      </c>
      <c r="E875" s="8">
        <v>3.0000000000000001E-3</v>
      </c>
      <c r="F875">
        <v>3.1623180865227098</v>
      </c>
      <c r="G875">
        <f t="shared" si="69"/>
        <v>3.3674830159822435</v>
      </c>
      <c r="H875">
        <f t="shared" si="71"/>
        <v>-1.0603677954057478E-4</v>
      </c>
      <c r="I875">
        <f t="shared" si="70"/>
        <v>0</v>
      </c>
      <c r="J875">
        <f t="shared" si="72"/>
        <v>4</v>
      </c>
      <c r="K875">
        <v>-9.4560079127550094E-3</v>
      </c>
      <c r="L875" s="1">
        <v>4.1008461266755998E-6</v>
      </c>
      <c r="M875">
        <v>-2.5917763233184801E-2</v>
      </c>
      <c r="N875">
        <v>-4.6339887194335096E-3</v>
      </c>
      <c r="O875">
        <f t="shared" si="73"/>
        <v>-2.2188941948115782E-3</v>
      </c>
    </row>
    <row r="876" spans="1:15" x14ac:dyDescent="0.35">
      <c r="A876" t="s">
        <v>64</v>
      </c>
      <c r="B876">
        <v>2011</v>
      </c>
      <c r="C876">
        <v>941736.1875</v>
      </c>
      <c r="D876" s="8">
        <v>0.93792682886123702</v>
      </c>
      <c r="E876" s="8">
        <v>5.0000000000000001E-3</v>
      </c>
      <c r="F876">
        <v>3.0325786221525401</v>
      </c>
      <c r="G876">
        <f t="shared" si="69"/>
        <v>3.2332784699574892</v>
      </c>
      <c r="H876">
        <f t="shared" si="71"/>
        <v>-3.9853072870096984E-2</v>
      </c>
      <c r="I876">
        <f t="shared" si="70"/>
        <v>0</v>
      </c>
      <c r="J876">
        <f t="shared" si="72"/>
        <v>3</v>
      </c>
      <c r="K876">
        <v>-2.5917763233184801E-2</v>
      </c>
      <c r="L876">
        <v>-4.6339887194335096E-3</v>
      </c>
      <c r="M876">
        <v>-1.3787062190472999E-2</v>
      </c>
      <c r="N876">
        <v>-8.3488561213016805E-3</v>
      </c>
      <c r="O876">
        <f t="shared" si="73"/>
        <v>4.5005697757005639E-3</v>
      </c>
    </row>
    <row r="877" spans="1:15" x14ac:dyDescent="0.35">
      <c r="A877" t="s">
        <v>64</v>
      </c>
      <c r="B877">
        <v>2012</v>
      </c>
      <c r="C877">
        <v>948364.0625</v>
      </c>
      <c r="D877" s="8">
        <v>0.93802696466445901</v>
      </c>
      <c r="E877" s="8">
        <v>4.0000000000000001E-3</v>
      </c>
      <c r="F877">
        <v>3.1536400051317801</v>
      </c>
      <c r="G877">
        <f t="shared" si="69"/>
        <v>3.3619929105767943</v>
      </c>
      <c r="H877">
        <f t="shared" si="71"/>
        <v>3.9809265368039082E-2</v>
      </c>
      <c r="I877">
        <f t="shared" si="70"/>
        <v>1</v>
      </c>
      <c r="J877">
        <f t="shared" si="72"/>
        <v>3</v>
      </c>
      <c r="K877">
        <v>-1.3787062190472999E-2</v>
      </c>
      <c r="L877">
        <v>-8.4344549104571793E-3</v>
      </c>
      <c r="M877">
        <v>2.5068061798810999E-3</v>
      </c>
      <c r="N877">
        <v>-3.6199651658534999E-3</v>
      </c>
      <c r="O877">
        <f t="shared" si="73"/>
        <v>1.050115786492826E-2</v>
      </c>
    </row>
    <row r="878" spans="1:15" x14ac:dyDescent="0.35">
      <c r="A878" t="s">
        <v>64</v>
      </c>
      <c r="B878">
        <v>2013</v>
      </c>
      <c r="C878">
        <v>956009.1875</v>
      </c>
      <c r="D878" s="8">
        <v>0.94481688737869296</v>
      </c>
      <c r="E878" s="8">
        <v>3.0000000000000001E-3</v>
      </c>
      <c r="F878">
        <v>3.14040425683879</v>
      </c>
      <c r="G878">
        <f t="shared" si="69"/>
        <v>3.323823164879653</v>
      </c>
      <c r="H878">
        <f t="shared" si="71"/>
        <v>-1.1353309394871003E-2</v>
      </c>
      <c r="I878">
        <f t="shared" si="70"/>
        <v>0</v>
      </c>
      <c r="J878">
        <f t="shared" si="72"/>
        <v>2</v>
      </c>
      <c r="K878">
        <v>2.5068061798810999E-3</v>
      </c>
      <c r="L878">
        <v>-3.6199651658534999E-3</v>
      </c>
      <c r="M878">
        <v>-1.8565237373114E-3</v>
      </c>
      <c r="N878">
        <v>-3.8645472377539002E-3</v>
      </c>
      <c r="O878">
        <f t="shared" si="73"/>
        <v>1.508125476539136E-2</v>
      </c>
    </row>
    <row r="879" spans="1:15" x14ac:dyDescent="0.35">
      <c r="A879" t="s">
        <v>64</v>
      </c>
      <c r="B879">
        <v>2014</v>
      </c>
      <c r="C879">
        <v>965783.0625</v>
      </c>
      <c r="D879" s="8">
        <v>0.94730979204177901</v>
      </c>
      <c r="E879" s="8">
        <v>4.0000000000000001E-3</v>
      </c>
      <c r="F879">
        <v>3.1188429763550798</v>
      </c>
      <c r="G879">
        <f t="shared" si="69"/>
        <v>3.2923157794377893</v>
      </c>
      <c r="H879">
        <f t="shared" si="71"/>
        <v>-9.479260441644044E-3</v>
      </c>
      <c r="I879">
        <f t="shared" si="70"/>
        <v>0</v>
      </c>
      <c r="J879">
        <f t="shared" si="72"/>
        <v>1</v>
      </c>
      <c r="K879">
        <v>-1.8565237373114E-3</v>
      </c>
      <c r="L879">
        <v>-3.8645472377539002E-3</v>
      </c>
      <c r="M879">
        <v>3.9636338293552398E-2</v>
      </c>
      <c r="N879">
        <v>9.3728862702846995E-3</v>
      </c>
      <c r="O879">
        <f t="shared" si="73"/>
        <v>1.918446794152262E-2</v>
      </c>
    </row>
    <row r="880" spans="1:15" x14ac:dyDescent="0.35">
      <c r="A880" t="s">
        <v>64</v>
      </c>
      <c r="B880">
        <v>2015</v>
      </c>
      <c r="C880">
        <v>974936.25</v>
      </c>
      <c r="D880" s="8">
        <v>0.95606702566146895</v>
      </c>
      <c r="E880" s="8">
        <v>5.0000000000000001E-3</v>
      </c>
      <c r="F880">
        <v>3.0635153969365598</v>
      </c>
      <c r="G880">
        <f t="shared" si="69"/>
        <v>3.204289359124191</v>
      </c>
      <c r="H880">
        <f t="shared" si="71"/>
        <v>-2.6736931148393706E-2</v>
      </c>
      <c r="I880">
        <f t="shared" si="70"/>
        <v>0</v>
      </c>
      <c r="J880">
        <f t="shared" si="72"/>
        <v>1</v>
      </c>
      <c r="K880">
        <v>3.9636338293552398E-2</v>
      </c>
      <c r="L880">
        <v>9.3728862702846995E-3</v>
      </c>
      <c r="M880">
        <v>4.2116888135671597E-2</v>
      </c>
      <c r="N880">
        <v>2.8963331133127199E-2</v>
      </c>
      <c r="O880">
        <f t="shared" si="73"/>
        <v>2.3100100830197361E-2</v>
      </c>
    </row>
    <row r="881" spans="1:15" x14ac:dyDescent="0.35">
      <c r="A881" t="s">
        <v>64</v>
      </c>
      <c r="B881">
        <v>2016</v>
      </c>
      <c r="C881">
        <v>983397.25</v>
      </c>
      <c r="D881" s="8">
        <v>0.95970648527145397</v>
      </c>
      <c r="E881" s="8">
        <v>3.0000000000000001E-3</v>
      </c>
      <c r="F881">
        <v>2.9816581383152099</v>
      </c>
      <c r="G881">
        <f t="shared" si="69"/>
        <v>3.1068437945085314</v>
      </c>
      <c r="H881">
        <f t="shared" si="71"/>
        <v>-3.0410975319124622E-2</v>
      </c>
      <c r="I881">
        <f t="shared" si="70"/>
        <v>0</v>
      </c>
      <c r="J881">
        <f t="shared" si="72"/>
        <v>1</v>
      </c>
      <c r="K881">
        <v>4.2116888135671597E-2</v>
      </c>
      <c r="L881">
        <v>2.8963331133127199E-2</v>
      </c>
      <c r="M881">
        <v>2.4443657785654101E-2</v>
      </c>
      <c r="N881">
        <v>2.16540843248368E-2</v>
      </c>
      <c r="O881">
        <f t="shared" si="73"/>
        <v>2.0814413949847118E-2</v>
      </c>
    </row>
    <row r="882" spans="1:15" x14ac:dyDescent="0.35">
      <c r="A882" t="s">
        <v>64</v>
      </c>
      <c r="B882">
        <v>2017</v>
      </c>
      <c r="C882">
        <v>992144.25</v>
      </c>
      <c r="D882" s="8">
        <v>0.96135425567626998</v>
      </c>
      <c r="E882" s="8">
        <v>8.9999999999999993E-3</v>
      </c>
      <c r="F882">
        <v>2.92434258646511</v>
      </c>
      <c r="G882">
        <f t="shared" si="69"/>
        <v>3.041899038984297</v>
      </c>
      <c r="H882">
        <f t="shared" si="71"/>
        <v>-2.0903772387600217E-2</v>
      </c>
      <c r="I882">
        <f t="shared" si="70"/>
        <v>0</v>
      </c>
      <c r="J882">
        <f t="shared" si="72"/>
        <v>0</v>
      </c>
      <c r="K882">
        <v>2.4443657785654101E-2</v>
      </c>
      <c r="L882">
        <v>2.16540843248368E-2</v>
      </c>
      <c r="M882">
        <v>2.8415542304515699E-2</v>
      </c>
      <c r="N882">
        <v>1.9280519336462E-2</v>
      </c>
      <c r="O882">
        <f t="shared" si="73"/>
        <v>1.6766185685992134E-2</v>
      </c>
    </row>
    <row r="883" spans="1:15" x14ac:dyDescent="0.35">
      <c r="A883" t="s">
        <v>64</v>
      </c>
      <c r="B883">
        <v>2018</v>
      </c>
      <c r="C883">
        <v>999450.5</v>
      </c>
      <c r="D883" s="8">
        <v>0.96746164560318004</v>
      </c>
      <c r="E883" s="8">
        <v>0</v>
      </c>
      <c r="F883">
        <v>2.91732559771674</v>
      </c>
      <c r="G883">
        <f t="shared" si="69"/>
        <v>3.0154431557830748</v>
      </c>
      <c r="H883">
        <f t="shared" si="71"/>
        <v>-8.6971601825601708E-3</v>
      </c>
      <c r="I883">
        <f t="shared" si="70"/>
        <v>0</v>
      </c>
      <c r="J883">
        <f t="shared" si="72"/>
        <v>0</v>
      </c>
      <c r="K883">
        <v>2.8415542304515699E-2</v>
      </c>
      <c r="L883">
        <v>1.9280519336462E-2</v>
      </c>
      <c r="M883">
        <v>3.4452713251113903E-2</v>
      </c>
      <c r="N883">
        <v>1.6651518642902399E-2</v>
      </c>
      <c r="O883">
        <f t="shared" si="73"/>
        <v>1.4364757388830075E-2</v>
      </c>
    </row>
    <row r="884" spans="1:15" x14ac:dyDescent="0.35">
      <c r="A884" t="s">
        <v>64</v>
      </c>
      <c r="B884">
        <v>2019</v>
      </c>
      <c r="C884">
        <v>1006304</v>
      </c>
      <c r="D884" s="8">
        <v>0.97159385681152299</v>
      </c>
      <c r="E884" s="8">
        <v>1.2E-2</v>
      </c>
      <c r="F884">
        <v>2.88438039078232</v>
      </c>
      <c r="G884">
        <f t="shared" si="69"/>
        <v>2.9687099918972146</v>
      </c>
      <c r="H884">
        <f t="shared" si="71"/>
        <v>-1.5497942249793173E-2</v>
      </c>
      <c r="I884">
        <f t="shared" si="70"/>
        <v>0</v>
      </c>
      <c r="J884" t="str">
        <f t="shared" si="72"/>
        <v/>
      </c>
      <c r="K884">
        <v>3.4452713251113903E-2</v>
      </c>
      <c r="L884">
        <v>1.6651518642902399E-2</v>
      </c>
      <c r="M884">
        <v>4.7800241142511399E-2</v>
      </c>
      <c r="N884">
        <v>2.8951050713658399E-2</v>
      </c>
      <c r="O884">
        <f t="shared" si="73"/>
        <v>1.0370825789868716E-2</v>
      </c>
    </row>
    <row r="885" spans="1:15" x14ac:dyDescent="0.35">
      <c r="A885" t="s">
        <v>64</v>
      </c>
      <c r="B885">
        <v>2020</v>
      </c>
      <c r="C885">
        <v>1010398</v>
      </c>
      <c r="D885" s="8">
        <v>0.98050081729888905</v>
      </c>
      <c r="E885" s="8">
        <v>1.2E-2</v>
      </c>
      <c r="F885">
        <v>2.7681944326451999</v>
      </c>
      <c r="G885">
        <f t="shared" si="69"/>
        <v>2.8232454107188802</v>
      </c>
      <c r="H885">
        <f t="shared" si="71"/>
        <v>-4.8999256099573452E-2</v>
      </c>
      <c r="I885">
        <f t="shared" si="70"/>
        <v>0</v>
      </c>
      <c r="J885" t="str">
        <f t="shared" si="72"/>
        <v/>
      </c>
      <c r="K885">
        <v>4.7800241142511399E-2</v>
      </c>
      <c r="L885">
        <v>2.8951050713658399E-2</v>
      </c>
      <c r="M885">
        <v>6.1124509453772999E-2</v>
      </c>
      <c r="N885">
        <v>1.7534896731375999E-2</v>
      </c>
      <c r="O885">
        <f t="shared" si="73"/>
        <v>-6.5164174884663894E-5</v>
      </c>
    </row>
    <row r="886" spans="1:15" x14ac:dyDescent="0.35">
      <c r="A886" t="s">
        <v>64</v>
      </c>
      <c r="B886">
        <v>2021</v>
      </c>
      <c r="C886">
        <v>1013711</v>
      </c>
      <c r="D886" s="8">
        <v>0.97640389204025302</v>
      </c>
      <c r="E886" s="8">
        <v>8.0000000000000002E-3</v>
      </c>
      <c r="F886">
        <v>2.8860871472954899</v>
      </c>
      <c r="G886">
        <f t="shared" si="69"/>
        <v>2.9558333091696736</v>
      </c>
      <c r="H886">
        <f t="shared" si="71"/>
        <v>4.6962937740872013E-2</v>
      </c>
      <c r="I886">
        <f t="shared" si="70"/>
        <v>1</v>
      </c>
      <c r="J886" t="str">
        <f t="shared" si="72"/>
        <v/>
      </c>
      <c r="K886">
        <v>6.1124509453772999E-2</v>
      </c>
      <c r="L886">
        <v>1.7534896731375999E-2</v>
      </c>
      <c r="M886">
        <v>-3.06905637681484E-2</v>
      </c>
      <c r="N886">
        <v>1.41294300556189E-3</v>
      </c>
      <c r="O886">
        <f t="shared" si="73"/>
        <v>-3.7059056572615935E-3</v>
      </c>
    </row>
    <row r="887" spans="1:15" x14ac:dyDescent="0.35">
      <c r="A887" t="s">
        <v>64</v>
      </c>
      <c r="B887">
        <v>2022</v>
      </c>
      <c r="C887">
        <v>1017621</v>
      </c>
      <c r="D887" s="8">
        <v>0.96039801836013805</v>
      </c>
      <c r="E887" s="8">
        <v>2.1999999999999999E-2</v>
      </c>
      <c r="F887">
        <v>2.8589757492781702</v>
      </c>
      <c r="G887">
        <f t="shared" si="69"/>
        <v>2.976865523067008</v>
      </c>
      <c r="H887">
        <f t="shared" si="71"/>
        <v>7.1154939055892985E-3</v>
      </c>
      <c r="I887">
        <f t="shared" si="70"/>
        <v>1</v>
      </c>
      <c r="J887" t="str">
        <f t="shared" si="72"/>
        <v/>
      </c>
      <c r="K887">
        <v>-3.06905637681484E-2</v>
      </c>
      <c r="L887">
        <v>1.89164653420449E-3</v>
      </c>
      <c r="M887">
        <v>-1.2285549923777599E-2</v>
      </c>
      <c r="N887">
        <v>7.2733778506516899E-3</v>
      </c>
      <c r="O887">
        <f t="shared" si="73"/>
        <v>-3.9893144275993065E-3</v>
      </c>
    </row>
    <row r="888" spans="1:15" x14ac:dyDescent="0.35">
      <c r="A888" t="s">
        <v>65</v>
      </c>
      <c r="B888">
        <v>2006</v>
      </c>
      <c r="C888">
        <v>256605.984375</v>
      </c>
      <c r="D888" s="8">
        <v>0.92360740900039695</v>
      </c>
      <c r="E888" s="8">
        <v>1.4E-2</v>
      </c>
      <c r="F888">
        <v>2.0567524115755602</v>
      </c>
      <c r="G888">
        <f t="shared" si="69"/>
        <v>2.2268686798447677</v>
      </c>
      <c r="H888">
        <f t="shared" si="71"/>
        <v>-0.25194179495536395</v>
      </c>
      <c r="I888">
        <f t="shared" si="70"/>
        <v>0</v>
      </c>
      <c r="J888" t="str">
        <f t="shared" si="72"/>
        <v/>
      </c>
      <c r="K888">
        <v>3.0446121126413199E-2</v>
      </c>
      <c r="L888">
        <v>2.4083081632852499E-2</v>
      </c>
      <c r="M888">
        <v>-4.2398952841759003E-3</v>
      </c>
      <c r="N888">
        <v>-3.3181393519044E-3</v>
      </c>
      <c r="O888" t="str">
        <f t="shared" si="73"/>
        <v/>
      </c>
    </row>
    <row r="889" spans="1:15" x14ac:dyDescent="0.35">
      <c r="A889" t="s">
        <v>65</v>
      </c>
      <c r="B889">
        <v>2007</v>
      </c>
      <c r="C889">
        <v>259890.8125</v>
      </c>
      <c r="D889" s="8">
        <v>0.89010328054428101</v>
      </c>
      <c r="E889" s="8">
        <v>0.03</v>
      </c>
      <c r="F889">
        <v>1.9252609504959799</v>
      </c>
      <c r="G889">
        <f t="shared" si="69"/>
        <v>2.1629635488128072</v>
      </c>
      <c r="H889">
        <f t="shared" si="71"/>
        <v>-2.8697305597928269E-2</v>
      </c>
      <c r="I889">
        <f t="shared" si="70"/>
        <v>0</v>
      </c>
      <c r="J889" t="str">
        <f t="shared" si="72"/>
        <v/>
      </c>
      <c r="K889">
        <v>-4.2398952841759003E-3</v>
      </c>
      <c r="L889">
        <v>-3.3181393519044E-3</v>
      </c>
      <c r="M889">
        <v>-5.2739703387021997E-2</v>
      </c>
      <c r="N889">
        <v>-2.3228899110108499E-2</v>
      </c>
      <c r="O889" t="str">
        <f t="shared" si="73"/>
        <v/>
      </c>
    </row>
    <row r="890" spans="1:15" x14ac:dyDescent="0.35">
      <c r="A890" t="s">
        <v>65</v>
      </c>
      <c r="B890">
        <v>2008</v>
      </c>
      <c r="C890">
        <v>262146.40625</v>
      </c>
      <c r="D890" s="8">
        <v>0.89210200309753396</v>
      </c>
      <c r="E890" s="8">
        <v>1.4999999999999999E-2</v>
      </c>
      <c r="F890">
        <v>1.9699951381010801</v>
      </c>
      <c r="G890">
        <f t="shared" si="69"/>
        <v>2.2082622068562934</v>
      </c>
      <c r="H890">
        <f t="shared" si="71"/>
        <v>2.0942867053099112E-2</v>
      </c>
      <c r="I890">
        <f t="shared" si="70"/>
        <v>1</v>
      </c>
      <c r="J890" t="str">
        <f t="shared" si="72"/>
        <v/>
      </c>
      <c r="K890">
        <v>-5.2739703387021997E-2</v>
      </c>
      <c r="L890">
        <v>-2.3228899110108499E-2</v>
      </c>
      <c r="M890">
        <v>-2.7235512346029299E-2</v>
      </c>
      <c r="N890">
        <v>-6.6881068050864796E-4</v>
      </c>
      <c r="O890" t="str">
        <f t="shared" si="73"/>
        <v/>
      </c>
    </row>
    <row r="891" spans="1:15" x14ac:dyDescent="0.35">
      <c r="A891" t="s">
        <v>65</v>
      </c>
      <c r="B891">
        <v>2009</v>
      </c>
      <c r="C891">
        <v>263830.40625</v>
      </c>
      <c r="D891" s="8">
        <v>0.90274965763091997</v>
      </c>
      <c r="E891" s="8">
        <v>8.0000000000000002E-3</v>
      </c>
      <c r="F891">
        <v>2.1082911111629898</v>
      </c>
      <c r="G891">
        <f t="shared" si="69"/>
        <v>2.3354105906788871</v>
      </c>
      <c r="H891">
        <f t="shared" si="71"/>
        <v>5.7578481136804749E-2</v>
      </c>
      <c r="I891">
        <f t="shared" si="70"/>
        <v>1</v>
      </c>
      <c r="J891" t="str">
        <f t="shared" si="72"/>
        <v/>
      </c>
      <c r="K891">
        <v>-2.7235512346029299E-2</v>
      </c>
      <c r="L891">
        <v>-6.6881068050864796E-4</v>
      </c>
      <c r="M891">
        <v>-9.4642096050083606E-3</v>
      </c>
      <c r="N891" s="1">
        <v>-4.1008461266755998E-6</v>
      </c>
      <c r="O891" t="str">
        <f t="shared" si="73"/>
        <v/>
      </c>
    </row>
    <row r="892" spans="1:15" x14ac:dyDescent="0.35">
      <c r="A892" t="s">
        <v>65</v>
      </c>
      <c r="B892">
        <v>2010</v>
      </c>
      <c r="C892">
        <v>265532.8125</v>
      </c>
      <c r="D892" s="8">
        <v>0.91295975446701005</v>
      </c>
      <c r="E892" s="8">
        <v>0</v>
      </c>
      <c r="F892">
        <v>2.14718986014819</v>
      </c>
      <c r="G892">
        <f t="shared" si="69"/>
        <v>2.3518997958477685</v>
      </c>
      <c r="H892">
        <f t="shared" si="71"/>
        <v>7.0605165681330018E-3</v>
      </c>
      <c r="I892">
        <f t="shared" si="70"/>
        <v>1</v>
      </c>
      <c r="J892">
        <f t="shared" si="72"/>
        <v>3</v>
      </c>
      <c r="K892">
        <v>-9.4642096050083606E-3</v>
      </c>
      <c r="L892" s="1">
        <v>-4.1008461266755998E-6</v>
      </c>
      <c r="M892">
        <v>-2.2566203370690301E-2</v>
      </c>
      <c r="N892">
        <v>-1.2824288569390401E-3</v>
      </c>
      <c r="O892">
        <f t="shared" si="73"/>
        <v>2.2596773691475501E-3</v>
      </c>
    </row>
    <row r="893" spans="1:15" x14ac:dyDescent="0.35">
      <c r="A893" t="s">
        <v>65</v>
      </c>
      <c r="B893">
        <v>2011</v>
      </c>
      <c r="C893">
        <v>268250.625</v>
      </c>
      <c r="D893" s="8">
        <v>0.91470247507095304</v>
      </c>
      <c r="E893" s="8">
        <v>0</v>
      </c>
      <c r="F893">
        <v>2.13197442710063</v>
      </c>
      <c r="G893">
        <f t="shared" si="69"/>
        <v>2.3307845831894722</v>
      </c>
      <c r="H893">
        <f t="shared" si="71"/>
        <v>-8.9779388967058393E-3</v>
      </c>
      <c r="I893">
        <f t="shared" si="70"/>
        <v>0</v>
      </c>
      <c r="J893">
        <f t="shared" si="72"/>
        <v>3</v>
      </c>
      <c r="K893">
        <v>-2.2566203370690301E-2</v>
      </c>
      <c r="L893">
        <v>-1.2824288569390401E-3</v>
      </c>
      <c r="M893">
        <v>-2.1922572553158002E-3</v>
      </c>
      <c r="N893">
        <v>3.2459488138555899E-3</v>
      </c>
      <c r="O893">
        <f t="shared" si="73"/>
        <v>6.7033261060714779E-3</v>
      </c>
    </row>
    <row r="894" spans="1:15" x14ac:dyDescent="0.35">
      <c r="A894" t="s">
        <v>65</v>
      </c>
      <c r="B894">
        <v>2012</v>
      </c>
      <c r="C894">
        <v>270418.5</v>
      </c>
      <c r="D894" s="8">
        <v>0.924921214580536</v>
      </c>
      <c r="E894" s="8">
        <v>0</v>
      </c>
      <c r="F894">
        <v>2.1311318438497402</v>
      </c>
      <c r="G894">
        <f t="shared" si="69"/>
        <v>2.3041225676894399</v>
      </c>
      <c r="H894">
        <f t="shared" si="71"/>
        <v>-1.1439073216945594E-2</v>
      </c>
      <c r="I894">
        <f t="shared" si="70"/>
        <v>0</v>
      </c>
      <c r="J894">
        <f t="shared" si="72"/>
        <v>3</v>
      </c>
      <c r="K894">
        <v>-2.1922572553158002E-3</v>
      </c>
      <c r="L894">
        <v>3.1603500247000902E-3</v>
      </c>
      <c r="M894">
        <v>1.06209541112185E-2</v>
      </c>
      <c r="N894">
        <v>4.4941827654838996E-3</v>
      </c>
      <c r="O894">
        <f t="shared" si="73"/>
        <v>9.96662694960836E-3</v>
      </c>
    </row>
    <row r="895" spans="1:15" x14ac:dyDescent="0.35">
      <c r="A895" t="s">
        <v>65</v>
      </c>
      <c r="B895">
        <v>2013</v>
      </c>
      <c r="C895">
        <v>272586.6875</v>
      </c>
      <c r="D895" s="8">
        <v>0.94144147634506203</v>
      </c>
      <c r="E895" s="8">
        <v>0</v>
      </c>
      <c r="F895">
        <v>2.0140630938806501</v>
      </c>
      <c r="G895">
        <f t="shared" si="69"/>
        <v>2.1393396663378419</v>
      </c>
      <c r="H895">
        <f t="shared" si="71"/>
        <v>-7.151655196747686E-2</v>
      </c>
      <c r="I895">
        <f t="shared" si="70"/>
        <v>0</v>
      </c>
      <c r="J895">
        <f t="shared" si="72"/>
        <v>2</v>
      </c>
      <c r="K895">
        <v>1.06209541112185E-2</v>
      </c>
      <c r="L895">
        <v>4.4941827654838996E-3</v>
      </c>
      <c r="M895">
        <v>-4.7434458360075997E-3</v>
      </c>
      <c r="N895">
        <v>-6.7514693364500999E-3</v>
      </c>
      <c r="O895">
        <f t="shared" si="73"/>
        <v>1.0591381974518321E-2</v>
      </c>
    </row>
    <row r="896" spans="1:15" x14ac:dyDescent="0.35">
      <c r="A896" t="s">
        <v>65</v>
      </c>
      <c r="B896">
        <v>2014</v>
      </c>
      <c r="C896">
        <v>276560.90625</v>
      </c>
      <c r="D896" s="8">
        <v>0.93478816747665405</v>
      </c>
      <c r="E896" s="8">
        <v>2E-3</v>
      </c>
      <c r="F896">
        <v>2.1004604527067698</v>
      </c>
      <c r="G896">
        <f t="shared" si="69"/>
        <v>2.2469908432588586</v>
      </c>
      <c r="H896">
        <f t="shared" si="71"/>
        <v>5.0319815321937966E-2</v>
      </c>
      <c r="I896">
        <f t="shared" si="70"/>
        <v>1</v>
      </c>
      <c r="J896">
        <f t="shared" si="72"/>
        <v>2</v>
      </c>
      <c r="K896">
        <v>-4.7434458360075997E-3</v>
      </c>
      <c r="L896">
        <v>-6.7514693364500999E-3</v>
      </c>
      <c r="M896">
        <v>4.18556054830551E-2</v>
      </c>
      <c r="N896">
        <v>1.15921534597874E-2</v>
      </c>
      <c r="O896">
        <f t="shared" si="73"/>
        <v>1.5323808789253259E-2</v>
      </c>
    </row>
    <row r="897" spans="1:15" x14ac:dyDescent="0.35">
      <c r="A897" t="s">
        <v>65</v>
      </c>
      <c r="B897">
        <v>2015</v>
      </c>
      <c r="C897">
        <v>281472.09375</v>
      </c>
      <c r="D897" s="8">
        <v>0.95429813861846902</v>
      </c>
      <c r="E897" s="8">
        <v>-1.4999999999999999E-2</v>
      </c>
      <c r="F897">
        <v>2.1447294598173201</v>
      </c>
      <c r="G897">
        <f t="shared" si="69"/>
        <v>2.2474417302356162</v>
      </c>
      <c r="H897">
        <f t="shared" si="71"/>
        <v>2.006625786261651E-4</v>
      </c>
      <c r="I897">
        <f t="shared" si="70"/>
        <v>1</v>
      </c>
      <c r="J897">
        <f t="shared" si="72"/>
        <v>2</v>
      </c>
      <c r="K897">
        <v>4.18556054830551E-2</v>
      </c>
      <c r="L897">
        <v>1.15921534597874E-2</v>
      </c>
      <c r="M897">
        <v>3.4089371830225E-2</v>
      </c>
      <c r="N897">
        <v>2.0935814827680602E-2</v>
      </c>
      <c r="O897">
        <f t="shared" si="73"/>
        <v>1.07161551713944E-2</v>
      </c>
    </row>
    <row r="898" spans="1:15" x14ac:dyDescent="0.35">
      <c r="A898" t="s">
        <v>65</v>
      </c>
      <c r="B898">
        <v>2016</v>
      </c>
      <c r="C898">
        <v>286653.1875</v>
      </c>
      <c r="D898" s="8">
        <v>0.94940412044525102</v>
      </c>
      <c r="E898" s="8">
        <v>1.2E-2</v>
      </c>
      <c r="F898">
        <v>1.98216010964567</v>
      </c>
      <c r="G898">
        <f t="shared" si="69"/>
        <v>2.087793877191177</v>
      </c>
      <c r="H898">
        <f t="shared" si="71"/>
        <v>-7.1035369191842057E-2</v>
      </c>
      <c r="I898">
        <f t="shared" si="70"/>
        <v>0</v>
      </c>
      <c r="J898">
        <f t="shared" si="72"/>
        <v>2</v>
      </c>
      <c r="K898">
        <v>3.4089371830225E-2</v>
      </c>
      <c r="L898">
        <v>2.0935814827680602E-2</v>
      </c>
      <c r="M898">
        <v>2.2352026492357301E-2</v>
      </c>
      <c r="N898">
        <v>1.956245303154E-2</v>
      </c>
      <c r="O898">
        <f t="shared" si="73"/>
        <v>1.0734773427248082E-2</v>
      </c>
    </row>
    <row r="899" spans="1:15" x14ac:dyDescent="0.35">
      <c r="A899" t="s">
        <v>65</v>
      </c>
      <c r="B899">
        <v>2017</v>
      </c>
      <c r="C899">
        <v>290058.28125</v>
      </c>
      <c r="D899" s="8">
        <v>0.95911252498626698</v>
      </c>
      <c r="E899" s="8">
        <v>-1E-3</v>
      </c>
      <c r="F899">
        <v>1.8483102033288701</v>
      </c>
      <c r="G899">
        <f t="shared" ref="G899:G962" si="74">F899/D899</f>
        <v>1.9271046464077144</v>
      </c>
      <c r="H899">
        <f t="shared" si="71"/>
        <v>-7.696604178169475E-2</v>
      </c>
      <c r="I899">
        <f t="shared" ref="I899:I962" si="75">IF(H899&gt;0,1,0)</f>
        <v>0</v>
      </c>
      <c r="J899">
        <f t="shared" si="72"/>
        <v>2</v>
      </c>
      <c r="K899">
        <v>2.2352026492357301E-2</v>
      </c>
      <c r="L899">
        <v>1.956245303154E-2</v>
      </c>
      <c r="M899">
        <v>1.67529808580874E-2</v>
      </c>
      <c r="N899">
        <v>7.6179578900337002E-3</v>
      </c>
      <c r="O899">
        <f t="shared" si="73"/>
        <v>9.87860113382346E-3</v>
      </c>
    </row>
    <row r="900" spans="1:15" x14ac:dyDescent="0.35">
      <c r="A900" t="s">
        <v>65</v>
      </c>
      <c r="B900">
        <v>2018</v>
      </c>
      <c r="C900">
        <v>293142.6875</v>
      </c>
      <c r="D900" s="8">
        <v>0.95114237070083596</v>
      </c>
      <c r="E900" s="8">
        <v>8.9999999999999993E-3</v>
      </c>
      <c r="F900">
        <v>1.9720237784846399</v>
      </c>
      <c r="G900">
        <f t="shared" si="74"/>
        <v>2.0733213441344032</v>
      </c>
      <c r="H900">
        <f t="shared" ref="H900:H963" si="76">+G900/G899-1</f>
        <v>7.5873771566712378E-2</v>
      </c>
      <c r="I900">
        <f t="shared" si="75"/>
        <v>1</v>
      </c>
      <c r="J900">
        <f t="shared" si="72"/>
        <v>3</v>
      </c>
      <c r="K900">
        <v>1.67529808580874E-2</v>
      </c>
      <c r="L900">
        <v>7.6179578900337002E-3</v>
      </c>
      <c r="M900">
        <v>3.4711859345436101E-2</v>
      </c>
      <c r="N900">
        <v>1.69106647372246E-2</v>
      </c>
      <c r="O900">
        <f t="shared" si="73"/>
        <v>7.4126310646534608E-3</v>
      </c>
    </row>
    <row r="901" spans="1:15" x14ac:dyDescent="0.35">
      <c r="A901" t="s">
        <v>65</v>
      </c>
      <c r="B901">
        <v>2019</v>
      </c>
      <c r="C901">
        <v>294829.8125</v>
      </c>
      <c r="D901" s="8">
        <v>0.95551621913909901</v>
      </c>
      <c r="E901" s="8">
        <v>0.01</v>
      </c>
      <c r="F901">
        <v>1.8503281439160599</v>
      </c>
      <c r="G901">
        <f t="shared" si="74"/>
        <v>1.9364696347940265</v>
      </c>
      <c r="H901">
        <f t="shared" si="76"/>
        <v>-6.6006029276427181E-2</v>
      </c>
      <c r="I901">
        <f t="shared" si="75"/>
        <v>0</v>
      </c>
      <c r="J901" t="str">
        <f t="shared" si="72"/>
        <v/>
      </c>
      <c r="K901">
        <v>3.4711859345436101E-2</v>
      </c>
      <c r="L901">
        <v>1.69106647372246E-2</v>
      </c>
      <c r="M901">
        <v>7.4030757993460003E-3</v>
      </c>
      <c r="N901">
        <v>-1.14461146295069E-2</v>
      </c>
      <c r="O901">
        <f t="shared" si="73"/>
        <v>3.3411858603358815E-3</v>
      </c>
    </row>
    <row r="902" spans="1:15" x14ac:dyDescent="0.35">
      <c r="A902" t="s">
        <v>65</v>
      </c>
      <c r="B902">
        <v>2020</v>
      </c>
      <c r="C902">
        <v>298235.40625</v>
      </c>
      <c r="D902" s="8">
        <v>0.92275005578994795</v>
      </c>
      <c r="E902" s="8">
        <v>2.1000000000000001E-2</v>
      </c>
      <c r="F902">
        <v>1.80817941952506</v>
      </c>
      <c r="G902">
        <f t="shared" si="74"/>
        <v>1.959554928422208</v>
      </c>
      <c r="H902">
        <f t="shared" si="76"/>
        <v>1.1921330039671441E-2</v>
      </c>
      <c r="I902">
        <f t="shared" si="75"/>
        <v>1</v>
      </c>
      <c r="J902" t="str">
        <f t="shared" si="72"/>
        <v/>
      </c>
      <c r="K902">
        <v>7.4030757993460003E-3</v>
      </c>
      <c r="L902">
        <v>-1.14461146295069E-2</v>
      </c>
      <c r="M902">
        <v>6.4618518829345994E-2</v>
      </c>
      <c r="N902">
        <v>2.1028906106949002E-2</v>
      </c>
      <c r="O902">
        <f t="shared" si="73"/>
        <v>6.2368971295655041E-3</v>
      </c>
    </row>
    <row r="903" spans="1:15" x14ac:dyDescent="0.35">
      <c r="A903" t="s">
        <v>65</v>
      </c>
      <c r="B903">
        <v>2021</v>
      </c>
      <c r="C903">
        <v>301021.90625</v>
      </c>
      <c r="D903" s="8">
        <v>0.96002328395843495</v>
      </c>
      <c r="E903" s="8">
        <v>1.9E-2</v>
      </c>
      <c r="F903">
        <v>2.0440094671528102</v>
      </c>
      <c r="G903">
        <f t="shared" si="74"/>
        <v>2.1291248882264688</v>
      </c>
      <c r="H903">
        <f t="shared" si="76"/>
        <v>8.6534935737063057E-2</v>
      </c>
      <c r="I903">
        <f t="shared" si="75"/>
        <v>1</v>
      </c>
      <c r="J903" t="str">
        <f t="shared" ref="J903:J966" si="77">IF(AND(B903&gt;=2010,B903&lt;=2018),SUM(I899:I903),"")</f>
        <v/>
      </c>
      <c r="K903">
        <v>6.4618518829345994E-2</v>
      </c>
      <c r="L903">
        <v>2.1028906106949002E-2</v>
      </c>
      <c r="M903">
        <v>-1.6821915209293301E-2</v>
      </c>
      <c r="N903">
        <v>1.5281591564416899E-2</v>
      </c>
      <c r="O903">
        <f t="shared" ref="O903:O966" si="78">IF(B903&gt;=2010,AVERAGE(N903:N907),"")</f>
        <v>4.223138559609642E-3</v>
      </c>
    </row>
    <row r="904" spans="1:15" x14ac:dyDescent="0.35">
      <c r="A904" t="s">
        <v>65</v>
      </c>
      <c r="B904">
        <v>2022</v>
      </c>
      <c r="C904">
        <v>305320</v>
      </c>
      <c r="D904" s="8">
        <v>0.93703460693359397</v>
      </c>
      <c r="E904" s="8">
        <v>1.7999999999999999E-2</v>
      </c>
      <c r="F904">
        <v>2.1297992853341401</v>
      </c>
      <c r="G904">
        <f t="shared" si="74"/>
        <v>2.2729142227775534</v>
      </c>
      <c r="H904">
        <f t="shared" si="76"/>
        <v>6.753447641620447E-2</v>
      </c>
      <c r="I904">
        <f t="shared" si="75"/>
        <v>1</v>
      </c>
      <c r="J904" t="str">
        <f t="shared" si="77"/>
        <v/>
      </c>
      <c r="K904">
        <v>-1.6821915209293301E-2</v>
      </c>
      <c r="L904">
        <v>1.5760295093059502E-2</v>
      </c>
      <c r="M904">
        <v>-2.4270820230245599E-2</v>
      </c>
      <c r="N904">
        <v>-4.7118924558163001E-3</v>
      </c>
      <c r="O904">
        <f t="shared" si="78"/>
        <v>2.9023555107413561E-4</v>
      </c>
    </row>
    <row r="905" spans="1:15" x14ac:dyDescent="0.35">
      <c r="A905" t="s">
        <v>66</v>
      </c>
      <c r="B905">
        <v>2006</v>
      </c>
      <c r="C905">
        <v>977813.1875</v>
      </c>
      <c r="D905" s="8">
        <v>0.94258314371108998</v>
      </c>
      <c r="E905" s="8">
        <v>2.9000000000000001E-2</v>
      </c>
      <c r="F905">
        <v>2.19964339959057</v>
      </c>
      <c r="G905">
        <f t="shared" si="74"/>
        <v>2.333633286640632</v>
      </c>
      <c r="H905">
        <f t="shared" si="76"/>
        <v>2.671419064326952E-2</v>
      </c>
      <c r="I905">
        <f t="shared" si="75"/>
        <v>1</v>
      </c>
      <c r="J905" t="str">
        <f t="shared" si="77"/>
        <v/>
      </c>
      <c r="K905">
        <v>-1.41744412183762E-2</v>
      </c>
      <c r="L905">
        <v>-2.0537480711936999E-2</v>
      </c>
      <c r="M905">
        <v>-4.3683172166348004E-3</v>
      </c>
      <c r="N905">
        <v>-3.4465612843632902E-3</v>
      </c>
      <c r="O905" t="str">
        <f t="shared" si="78"/>
        <v/>
      </c>
    </row>
    <row r="906" spans="1:15" x14ac:dyDescent="0.35">
      <c r="A906" t="s">
        <v>66</v>
      </c>
      <c r="B906">
        <v>2007</v>
      </c>
      <c r="C906">
        <v>982366.5</v>
      </c>
      <c r="D906" s="8">
        <v>0.95147949457168601</v>
      </c>
      <c r="E906" s="8">
        <v>0</v>
      </c>
      <c r="F906">
        <v>2.2172843115756602</v>
      </c>
      <c r="G906">
        <f t="shared" si="74"/>
        <v>2.3303542790207827</v>
      </c>
      <c r="H906">
        <f t="shared" si="76"/>
        <v>-1.4051083512651719E-3</v>
      </c>
      <c r="I906">
        <f t="shared" si="75"/>
        <v>0</v>
      </c>
      <c r="J906" t="str">
        <f t="shared" si="77"/>
        <v/>
      </c>
      <c r="K906">
        <v>-4.3683172166348004E-3</v>
      </c>
      <c r="L906">
        <v>-3.4465612843632902E-3</v>
      </c>
      <c r="M906">
        <v>-2.6478362560272199E-2</v>
      </c>
      <c r="N906">
        <v>3.0324417166411998E-3</v>
      </c>
      <c r="O906" t="str">
        <f t="shared" si="78"/>
        <v/>
      </c>
    </row>
    <row r="907" spans="1:15" x14ac:dyDescent="0.35">
      <c r="A907" t="s">
        <v>66</v>
      </c>
      <c r="B907">
        <v>2008</v>
      </c>
      <c r="C907">
        <v>985284.4375</v>
      </c>
      <c r="D907" s="8">
        <v>0.94281435012817405</v>
      </c>
      <c r="E907" s="8">
        <v>6.0000000000000001E-3</v>
      </c>
      <c r="F907">
        <v>2.2243842613665099</v>
      </c>
      <c r="G907">
        <f t="shared" si="74"/>
        <v>2.3593025085629091</v>
      </c>
      <c r="H907">
        <f t="shared" si="76"/>
        <v>1.2422244035053209E-2</v>
      </c>
      <c r="I907">
        <f t="shared" si="75"/>
        <v>1</v>
      </c>
      <c r="J907" t="str">
        <f t="shared" si="77"/>
        <v/>
      </c>
      <c r="K907">
        <v>-2.6478362560272199E-2</v>
      </c>
      <c r="L907">
        <v>3.0324417166411998E-3</v>
      </c>
      <c r="M907">
        <v>-1.5606588408350899E-2</v>
      </c>
      <c r="N907">
        <v>1.0960113257169699E-2</v>
      </c>
      <c r="O907" t="str">
        <f t="shared" si="78"/>
        <v/>
      </c>
    </row>
    <row r="908" spans="1:15" x14ac:dyDescent="0.35">
      <c r="A908" t="s">
        <v>66</v>
      </c>
      <c r="B908">
        <v>2009</v>
      </c>
      <c r="C908">
        <v>987937.375</v>
      </c>
      <c r="D908" s="8">
        <v>0.93702340126037598</v>
      </c>
      <c r="E908" s="8">
        <v>0</v>
      </c>
      <c r="F908">
        <v>2.2504638687282998</v>
      </c>
      <c r="G908">
        <f t="shared" si="74"/>
        <v>2.4017157583270974</v>
      </c>
      <c r="H908">
        <f t="shared" si="76"/>
        <v>1.7977029062721916E-2</v>
      </c>
      <c r="I908">
        <f t="shared" si="75"/>
        <v>1</v>
      </c>
      <c r="J908" t="str">
        <f t="shared" si="77"/>
        <v/>
      </c>
      <c r="K908">
        <v>-1.5606588408350899E-2</v>
      </c>
      <c r="L908">
        <v>1.0960113257169699E-2</v>
      </c>
      <c r="M908">
        <v>-1.38430322371423E-2</v>
      </c>
      <c r="N908">
        <v>-4.3829234782606303E-3</v>
      </c>
      <c r="O908" t="str">
        <f t="shared" si="78"/>
        <v/>
      </c>
    </row>
    <row r="909" spans="1:15" x14ac:dyDescent="0.35">
      <c r="A909" t="s">
        <v>66</v>
      </c>
      <c r="B909">
        <v>2010</v>
      </c>
      <c r="C909">
        <v>991859.6875</v>
      </c>
      <c r="D909" s="8">
        <v>0.94368165731430098</v>
      </c>
      <c r="E909" s="8">
        <v>2E-3</v>
      </c>
      <c r="F909">
        <v>2.3916448473035898</v>
      </c>
      <c r="G909">
        <f t="shared" si="74"/>
        <v>2.5343767453424526</v>
      </c>
      <c r="H909">
        <f t="shared" si="76"/>
        <v>5.5235923133451603E-2</v>
      </c>
      <c r="I909">
        <f t="shared" si="75"/>
        <v>1</v>
      </c>
      <c r="J909">
        <f t="shared" si="77"/>
        <v>4</v>
      </c>
      <c r="K909">
        <v>-1.38430322371423E-2</v>
      </c>
      <c r="L909">
        <v>-4.3829234782606303E-3</v>
      </c>
      <c r="M909">
        <v>-1.4771771028637901E-2</v>
      </c>
      <c r="N909">
        <v>6.5120034851133997E-3</v>
      </c>
      <c r="O909">
        <f t="shared" si="78"/>
        <v>9.071355964988476E-3</v>
      </c>
    </row>
    <row r="910" spans="1:15" x14ac:dyDescent="0.35">
      <c r="A910" t="s">
        <v>66</v>
      </c>
      <c r="B910">
        <v>2011</v>
      </c>
      <c r="C910">
        <v>1001180</v>
      </c>
      <c r="D910" s="8">
        <v>0.95148879289627097</v>
      </c>
      <c r="E910" s="8">
        <v>1E-3</v>
      </c>
      <c r="F910">
        <v>2.3149266609145802</v>
      </c>
      <c r="G910">
        <f t="shared" si="74"/>
        <v>2.4329521043207367</v>
      </c>
      <c r="H910">
        <f t="shared" si="76"/>
        <v>-4.0019559526068393E-2</v>
      </c>
      <c r="I910">
        <f t="shared" si="75"/>
        <v>0</v>
      </c>
      <c r="J910">
        <f t="shared" si="77"/>
        <v>3</v>
      </c>
      <c r="K910">
        <v>-1.4771771028637901E-2</v>
      </c>
      <c r="L910">
        <v>6.5120034851133997E-3</v>
      </c>
      <c r="M910">
        <v>-2.4076684415339999E-3</v>
      </c>
      <c r="N910">
        <v>3.0305376276373898E-3</v>
      </c>
      <c r="O910">
        <f t="shared" si="78"/>
        <v>8.9644337072968538E-3</v>
      </c>
    </row>
    <row r="911" spans="1:15" x14ac:dyDescent="0.35">
      <c r="A911" t="s">
        <v>66</v>
      </c>
      <c r="B911">
        <v>2012</v>
      </c>
      <c r="C911">
        <v>1013204</v>
      </c>
      <c r="D911" s="8">
        <v>0.95594286918640103</v>
      </c>
      <c r="E911" s="8">
        <v>2E-3</v>
      </c>
      <c r="F911">
        <v>2.3321165140274198</v>
      </c>
      <c r="G911">
        <f t="shared" si="74"/>
        <v>2.4395982115670516</v>
      </c>
      <c r="H911">
        <f t="shared" si="76"/>
        <v>2.7317049252684189E-3</v>
      </c>
      <c r="I911">
        <f t="shared" si="75"/>
        <v>1</v>
      </c>
      <c r="J911">
        <f t="shared" si="77"/>
        <v>4</v>
      </c>
      <c r="K911">
        <v>-2.4076684415339999E-3</v>
      </c>
      <c r="L911">
        <v>2.9449388384818901E-3</v>
      </c>
      <c r="M911">
        <v>8.4056189656257999E-3</v>
      </c>
      <c r="N911">
        <v>2.2788476198912001E-3</v>
      </c>
      <c r="O911">
        <f t="shared" si="78"/>
        <v>1.0436340048909174E-2</v>
      </c>
    </row>
    <row r="912" spans="1:15" x14ac:dyDescent="0.35">
      <c r="A912" t="s">
        <v>66</v>
      </c>
      <c r="B912">
        <v>2013</v>
      </c>
      <c r="C912">
        <v>1025156</v>
      </c>
      <c r="D912" s="8">
        <v>0.96086901426315297</v>
      </c>
      <c r="E912" s="8">
        <v>2E-3</v>
      </c>
      <c r="F912">
        <v>2.31550849036954</v>
      </c>
      <c r="G912">
        <f t="shared" si="74"/>
        <v>2.4098065979838039</v>
      </c>
      <c r="H912">
        <f t="shared" si="76"/>
        <v>-1.2211688564942591E-2</v>
      </c>
      <c r="I912">
        <f t="shared" si="75"/>
        <v>0</v>
      </c>
      <c r="J912">
        <f t="shared" si="77"/>
        <v>3</v>
      </c>
      <c r="K912">
        <v>8.4056189656257999E-3</v>
      </c>
      <c r="L912">
        <v>2.2788476198912001E-3</v>
      </c>
      <c r="M912">
        <v>1.16786498725414E-2</v>
      </c>
      <c r="N912">
        <v>9.6706263720988898E-3</v>
      </c>
      <c r="O912">
        <f t="shared" si="78"/>
        <v>1.0396256297826752E-2</v>
      </c>
    </row>
    <row r="913" spans="1:15" x14ac:dyDescent="0.35">
      <c r="A913" t="s">
        <v>66</v>
      </c>
      <c r="B913">
        <v>2014</v>
      </c>
      <c r="C913">
        <v>1036115</v>
      </c>
      <c r="D913" s="8">
        <v>0.96154409646987904</v>
      </c>
      <c r="E913" s="8">
        <v>3.0000000000000001E-3</v>
      </c>
      <c r="F913">
        <v>2.31378249145423</v>
      </c>
      <c r="G913">
        <f t="shared" si="74"/>
        <v>2.4063196892881247</v>
      </c>
      <c r="H913">
        <f t="shared" si="76"/>
        <v>-1.4469661999417793E-3</v>
      </c>
      <c r="I913">
        <f t="shared" si="75"/>
        <v>0</v>
      </c>
      <c r="J913">
        <f t="shared" si="77"/>
        <v>2</v>
      </c>
      <c r="K913">
        <v>1.16786498725414E-2</v>
      </c>
      <c r="L913">
        <v>9.6706263720988898E-3</v>
      </c>
      <c r="M913">
        <v>5.4128216743469099E-2</v>
      </c>
      <c r="N913">
        <v>2.3864764720201499E-2</v>
      </c>
      <c r="O913">
        <f t="shared" si="78"/>
        <v>1.0026092082262034E-2</v>
      </c>
    </row>
    <row r="914" spans="1:15" x14ac:dyDescent="0.35">
      <c r="A914" t="s">
        <v>66</v>
      </c>
      <c r="B914">
        <v>2015</v>
      </c>
      <c r="C914">
        <v>1045863.0625</v>
      </c>
      <c r="D914" s="8">
        <v>0.95954269170761097</v>
      </c>
      <c r="E914" s="8">
        <v>1.4999999999999999E-2</v>
      </c>
      <c r="F914">
        <v>2.2940112029440698</v>
      </c>
      <c r="G914">
        <f t="shared" si="74"/>
        <v>2.3907338597531562</v>
      </c>
      <c r="H914">
        <f t="shared" si="76"/>
        <v>-6.477040272059309E-3</v>
      </c>
      <c r="I914">
        <f t="shared" si="75"/>
        <v>0</v>
      </c>
      <c r="J914">
        <f t="shared" si="77"/>
        <v>1</v>
      </c>
      <c r="K914">
        <v>5.4128216743469099E-2</v>
      </c>
      <c r="L914">
        <v>2.3864764720201499E-2</v>
      </c>
      <c r="M914">
        <v>1.91309491991997E-2</v>
      </c>
      <c r="N914">
        <v>5.9773921966552899E-3</v>
      </c>
      <c r="O914">
        <f t="shared" si="78"/>
        <v>8.612966910004613E-3</v>
      </c>
    </row>
    <row r="915" spans="1:15" x14ac:dyDescent="0.35">
      <c r="A915" t="s">
        <v>66</v>
      </c>
      <c r="B915">
        <v>2016</v>
      </c>
      <c r="C915">
        <v>1056563</v>
      </c>
      <c r="D915" s="8">
        <v>0.94877904653549205</v>
      </c>
      <c r="E915" s="8">
        <v>2.1000000000000001E-2</v>
      </c>
      <c r="F915">
        <v>2.4062041134853702</v>
      </c>
      <c r="G915">
        <f t="shared" si="74"/>
        <v>2.5361058744622671</v>
      </c>
      <c r="H915">
        <f t="shared" si="76"/>
        <v>6.080643987872425E-2</v>
      </c>
      <c r="I915">
        <f t="shared" si="75"/>
        <v>1</v>
      </c>
      <c r="J915">
        <f t="shared" si="77"/>
        <v>2</v>
      </c>
      <c r="K915">
        <v>1.91309491991997E-2</v>
      </c>
      <c r="L915">
        <v>5.9773921966552899E-3</v>
      </c>
      <c r="M915">
        <v>1.3179642796516299E-2</v>
      </c>
      <c r="N915">
        <v>1.0390069335699E-2</v>
      </c>
      <c r="O915">
        <f t="shared" si="78"/>
        <v>8.1115785986184928E-3</v>
      </c>
    </row>
    <row r="916" spans="1:15" x14ac:dyDescent="0.35">
      <c r="A916" t="s">
        <v>66</v>
      </c>
      <c r="B916">
        <v>2017</v>
      </c>
      <c r="C916">
        <v>1066299</v>
      </c>
      <c r="D916" s="8">
        <v>0.942049980163574</v>
      </c>
      <c r="E916" s="8">
        <v>2.8000000000000001E-2</v>
      </c>
      <c r="F916">
        <v>2.2978761006746899</v>
      </c>
      <c r="G916">
        <f t="shared" si="74"/>
        <v>2.4392294984982597</v>
      </c>
      <c r="H916">
        <f t="shared" si="76"/>
        <v>-3.8198868958713383E-2</v>
      </c>
      <c r="I916">
        <f t="shared" si="75"/>
        <v>0</v>
      </c>
      <c r="J916">
        <f t="shared" si="77"/>
        <v>1</v>
      </c>
      <c r="K916">
        <v>1.3179642796516299E-2</v>
      </c>
      <c r="L916">
        <v>1.0390069335699E-2</v>
      </c>
      <c r="M916">
        <v>1.1213451832532801E-2</v>
      </c>
      <c r="N916">
        <v>2.0784288644790901E-3</v>
      </c>
      <c r="O916">
        <f t="shared" si="78"/>
        <v>8.4979560226201949E-3</v>
      </c>
    </row>
    <row r="917" spans="1:15" x14ac:dyDescent="0.35">
      <c r="A917" t="s">
        <v>66</v>
      </c>
      <c r="B917">
        <v>2018</v>
      </c>
      <c r="C917">
        <v>1073972</v>
      </c>
      <c r="D917" s="8">
        <v>0.92614066600799605</v>
      </c>
      <c r="E917" s="8">
        <v>4.4999999999999998E-2</v>
      </c>
      <c r="F917">
        <v>2.25827686765588</v>
      </c>
      <c r="G917">
        <f t="shared" si="74"/>
        <v>2.4383735112182006</v>
      </c>
      <c r="H917">
        <f t="shared" si="76"/>
        <v>-3.5092527397939666E-4</v>
      </c>
      <c r="I917">
        <f t="shared" si="75"/>
        <v>0</v>
      </c>
      <c r="J917">
        <f t="shared" si="77"/>
        <v>1</v>
      </c>
      <c r="K917">
        <v>1.1213451832532801E-2</v>
      </c>
      <c r="L917">
        <v>2.0784288644790901E-3</v>
      </c>
      <c r="M917">
        <v>2.5620999902486799E-2</v>
      </c>
      <c r="N917">
        <v>7.8198052942752908E-3</v>
      </c>
      <c r="O917">
        <f t="shared" si="78"/>
        <v>1.1010587587952595E-2</v>
      </c>
    </row>
    <row r="918" spans="1:15" x14ac:dyDescent="0.35">
      <c r="A918" t="s">
        <v>66</v>
      </c>
      <c r="B918">
        <v>2019</v>
      </c>
      <c r="C918">
        <v>1079943</v>
      </c>
      <c r="D918" s="8">
        <v>0.94038897752761796</v>
      </c>
      <c r="E918" s="8">
        <v>2.4E-2</v>
      </c>
      <c r="F918">
        <v>2.2690140564647701</v>
      </c>
      <c r="G918">
        <f t="shared" si="74"/>
        <v>2.4128462909361699</v>
      </c>
      <c r="H918">
        <f t="shared" si="76"/>
        <v>-1.0468954064907554E-2</v>
      </c>
      <c r="I918">
        <f t="shared" si="75"/>
        <v>0</v>
      </c>
      <c r="J918" t="str">
        <f t="shared" si="77"/>
        <v/>
      </c>
      <c r="K918">
        <v>2.5620999902486799E-2</v>
      </c>
      <c r="L918">
        <v>7.8198052942752908E-3</v>
      </c>
      <c r="M918">
        <v>3.56483292877674E-2</v>
      </c>
      <c r="N918">
        <v>1.67991388589144E-2</v>
      </c>
      <c r="O918">
        <f t="shared" si="78"/>
        <v>1.1099596507847299E-2</v>
      </c>
    </row>
    <row r="919" spans="1:15" x14ac:dyDescent="0.35">
      <c r="A919" t="s">
        <v>66</v>
      </c>
      <c r="B919">
        <v>2020</v>
      </c>
      <c r="C919">
        <v>1085451</v>
      </c>
      <c r="D919" s="8">
        <v>0.94891691207885698</v>
      </c>
      <c r="E919" s="8">
        <v>4.3999999999999997E-2</v>
      </c>
      <c r="F919">
        <v>1.96349824738135</v>
      </c>
      <c r="G919">
        <f t="shared" si="74"/>
        <v>2.0691993391494945</v>
      </c>
      <c r="H919">
        <f t="shared" si="76"/>
        <v>-0.14242388878130419</v>
      </c>
      <c r="I919">
        <f t="shared" si="75"/>
        <v>0</v>
      </c>
      <c r="J919" t="str">
        <f t="shared" si="77"/>
        <v/>
      </c>
      <c r="K919">
        <v>3.56483292877674E-2</v>
      </c>
      <c r="L919">
        <v>1.67991388589144E-2</v>
      </c>
      <c r="M919">
        <v>4.7060063362121499E-2</v>
      </c>
      <c r="N919">
        <v>3.4704506397246898E-3</v>
      </c>
      <c r="O919">
        <f t="shared" si="78"/>
        <v>8.7769364006817195E-3</v>
      </c>
    </row>
    <row r="920" spans="1:15" x14ac:dyDescent="0.35">
      <c r="A920" t="s">
        <v>66</v>
      </c>
      <c r="B920">
        <v>2021</v>
      </c>
      <c r="C920">
        <v>1088602</v>
      </c>
      <c r="D920" s="8">
        <v>0.963750600814819</v>
      </c>
      <c r="E920" s="8">
        <v>1.9E-2</v>
      </c>
      <c r="F920">
        <v>2.10221394148199</v>
      </c>
      <c r="G920">
        <f t="shared" si="74"/>
        <v>2.1812841825516252</v>
      </c>
      <c r="H920">
        <f t="shared" si="76"/>
        <v>5.4168219214781432E-2</v>
      </c>
      <c r="I920">
        <f t="shared" si="75"/>
        <v>1</v>
      </c>
      <c r="J920" t="str">
        <f t="shared" si="77"/>
        <v/>
      </c>
      <c r="K920">
        <v>4.7060063362121499E-2</v>
      </c>
      <c r="L920">
        <v>3.4704506397246898E-3</v>
      </c>
      <c r="M920">
        <v>-1.9781550318002699E-2</v>
      </c>
      <c r="N920">
        <v>1.23219564557075E-2</v>
      </c>
      <c r="O920">
        <f t="shared" si="78"/>
        <v>7.2030999697744735E-3</v>
      </c>
    </row>
    <row r="921" spans="1:15" x14ac:dyDescent="0.35">
      <c r="A921" t="s">
        <v>66</v>
      </c>
      <c r="B921">
        <v>2022</v>
      </c>
      <c r="C921">
        <v>1093864</v>
      </c>
      <c r="D921" s="8">
        <v>0.95666748285293601</v>
      </c>
      <c r="E921" s="8">
        <v>2.1000000000000001E-2</v>
      </c>
      <c r="F921">
        <v>2.1159496177537398</v>
      </c>
      <c r="G921">
        <f t="shared" si="74"/>
        <v>2.211792138521985</v>
      </c>
      <c r="H921">
        <f t="shared" si="76"/>
        <v>1.3986236279709408E-2</v>
      </c>
      <c r="I921">
        <f t="shared" si="75"/>
        <v>1</v>
      </c>
      <c r="J921" t="str">
        <f t="shared" si="77"/>
        <v/>
      </c>
      <c r="K921">
        <v>-1.9781550318002699E-2</v>
      </c>
      <c r="L921">
        <v>1.28006599843501E-2</v>
      </c>
      <c r="M921">
        <v>-4.9173410832881997E-3</v>
      </c>
      <c r="N921">
        <v>1.4641586691141101E-2</v>
      </c>
      <c r="O921">
        <f t="shared" si="78"/>
        <v>3.5328522208146725E-3</v>
      </c>
    </row>
    <row r="922" spans="1:15" x14ac:dyDescent="0.35">
      <c r="A922" t="s">
        <v>67</v>
      </c>
      <c r="B922">
        <v>2006</v>
      </c>
      <c r="C922">
        <v>232437.1875</v>
      </c>
      <c r="D922" s="8">
        <v>0.94693052768707298</v>
      </c>
      <c r="E922" s="8">
        <v>5.0000000000000001E-3</v>
      </c>
      <c r="F922">
        <v>2.5130782169890602</v>
      </c>
      <c r="G922">
        <f t="shared" si="74"/>
        <v>2.6539203706183012</v>
      </c>
      <c r="H922">
        <f t="shared" si="76"/>
        <v>0.19989592348934093</v>
      </c>
      <c r="I922">
        <f t="shared" si="75"/>
        <v>1</v>
      </c>
      <c r="J922" t="str">
        <f t="shared" si="77"/>
        <v/>
      </c>
      <c r="K922">
        <v>8.3232276439667002E-3</v>
      </c>
      <c r="L922">
        <v>1.9601881504058998E-3</v>
      </c>
      <c r="M922">
        <v>7.3430939614772903E-3</v>
      </c>
      <c r="N922">
        <v>8.2648498937488001E-3</v>
      </c>
      <c r="O922" t="str">
        <f t="shared" si="78"/>
        <v/>
      </c>
    </row>
    <row r="923" spans="1:15" x14ac:dyDescent="0.35">
      <c r="A923" t="s">
        <v>67</v>
      </c>
      <c r="B923">
        <v>2007</v>
      </c>
      <c r="C923">
        <v>239127.90625</v>
      </c>
      <c r="D923" s="8">
        <v>0.931537926197052</v>
      </c>
      <c r="E923" s="8">
        <v>2.9000000000000001E-2</v>
      </c>
      <c r="F923">
        <v>2.52175798186834</v>
      </c>
      <c r="G923">
        <f t="shared" si="74"/>
        <v>2.7070910490604141</v>
      </c>
      <c r="H923">
        <f t="shared" si="76"/>
        <v>2.0034767821509814E-2</v>
      </c>
      <c r="I923">
        <f t="shared" si="75"/>
        <v>1</v>
      </c>
      <c r="J923" t="str">
        <f t="shared" si="77"/>
        <v/>
      </c>
      <c r="K923">
        <v>7.3430939614772903E-3</v>
      </c>
      <c r="L923">
        <v>8.2648498937488001E-3</v>
      </c>
      <c r="M923">
        <v>-2.43249659538269E-2</v>
      </c>
      <c r="N923">
        <v>5.1858383230865002E-3</v>
      </c>
      <c r="O923" t="str">
        <f t="shared" si="78"/>
        <v/>
      </c>
    </row>
    <row r="924" spans="1:15" x14ac:dyDescent="0.35">
      <c r="A924" t="s">
        <v>67</v>
      </c>
      <c r="B924">
        <v>2008</v>
      </c>
      <c r="C924">
        <v>244640.109375</v>
      </c>
      <c r="D924" s="8">
        <v>0.93236505985259999</v>
      </c>
      <c r="E924" s="8">
        <v>1E-3</v>
      </c>
      <c r="F924">
        <v>2.6143918943904101</v>
      </c>
      <c r="G924">
        <f t="shared" si="74"/>
        <v>2.8040431875511573</v>
      </c>
      <c r="H924">
        <f t="shared" si="76"/>
        <v>3.5814140246370307E-2</v>
      </c>
      <c r="I924">
        <f t="shared" si="75"/>
        <v>1</v>
      </c>
      <c r="J924" t="str">
        <f t="shared" si="77"/>
        <v/>
      </c>
      <c r="K924">
        <v>-2.43249659538269E-2</v>
      </c>
      <c r="L924">
        <v>5.1858383230865002E-3</v>
      </c>
      <c r="M924">
        <v>-3.09654331803321E-2</v>
      </c>
      <c r="N924">
        <v>-4.3987315148115401E-3</v>
      </c>
      <c r="O924" t="str">
        <f t="shared" si="78"/>
        <v/>
      </c>
    </row>
    <row r="925" spans="1:15" x14ac:dyDescent="0.35">
      <c r="A925" t="s">
        <v>67</v>
      </c>
      <c r="B925">
        <v>2009</v>
      </c>
      <c r="C925">
        <v>249700.1875</v>
      </c>
      <c r="D925" s="8">
        <v>0.92444586753845204</v>
      </c>
      <c r="E925" s="8">
        <v>0</v>
      </c>
      <c r="F925">
        <v>2.8382427727574999</v>
      </c>
      <c r="G925">
        <f t="shared" si="74"/>
        <v>3.0702098115436098</v>
      </c>
      <c r="H925">
        <f t="shared" si="76"/>
        <v>9.4922440985975909E-2</v>
      </c>
      <c r="I925">
        <f t="shared" si="75"/>
        <v>1</v>
      </c>
      <c r="J925" t="str">
        <f t="shared" si="77"/>
        <v/>
      </c>
      <c r="K925">
        <v>-3.09654331803321E-2</v>
      </c>
      <c r="L925">
        <v>-4.3987315148115401E-3</v>
      </c>
      <c r="M925">
        <v>-1.5489391047973099E-2</v>
      </c>
      <c r="N925">
        <v>-6.0292822890915003E-3</v>
      </c>
      <c r="O925" t="str">
        <f t="shared" si="78"/>
        <v/>
      </c>
    </row>
    <row r="926" spans="1:15" x14ac:dyDescent="0.35">
      <c r="A926" t="s">
        <v>67</v>
      </c>
      <c r="B926">
        <v>2010</v>
      </c>
      <c r="C926">
        <v>255259.796875</v>
      </c>
      <c r="D926" s="8">
        <v>0.92832183837890603</v>
      </c>
      <c r="E926" s="8">
        <v>0</v>
      </c>
      <c r="F926">
        <v>2.3812625250500998</v>
      </c>
      <c r="G926">
        <f t="shared" si="74"/>
        <v>2.5651260442266555</v>
      </c>
      <c r="H926">
        <f t="shared" si="76"/>
        <v>-0.16451115667010829</v>
      </c>
      <c r="I926">
        <f t="shared" si="75"/>
        <v>0</v>
      </c>
      <c r="J926">
        <f t="shared" si="77"/>
        <v>4</v>
      </c>
      <c r="K926">
        <v>-1.5489391047973099E-2</v>
      </c>
      <c r="L926">
        <v>-6.0292822890915003E-3</v>
      </c>
      <c r="M926">
        <v>-2.1353279583156099E-2</v>
      </c>
      <c r="N926">
        <v>-6.9505069404802305E-5</v>
      </c>
      <c r="O926">
        <f t="shared" si="78"/>
        <v>-1.7569083881750665E-2</v>
      </c>
    </row>
    <row r="927" spans="1:15" x14ac:dyDescent="0.35">
      <c r="A927" t="s">
        <v>67</v>
      </c>
      <c r="B927">
        <v>2011</v>
      </c>
      <c r="C927">
        <v>259725.3125</v>
      </c>
      <c r="D927" s="8">
        <v>0.92863762378692605</v>
      </c>
      <c r="E927" s="8">
        <v>0</v>
      </c>
      <c r="F927">
        <v>2.6099217921526998</v>
      </c>
      <c r="G927">
        <f t="shared" si="74"/>
        <v>2.8104846554779916</v>
      </c>
      <c r="H927">
        <f t="shared" si="76"/>
        <v>9.5651678327295597E-2</v>
      </c>
      <c r="I927">
        <f t="shared" si="75"/>
        <v>1</v>
      </c>
      <c r="J927">
        <f t="shared" si="77"/>
        <v>4</v>
      </c>
      <c r="K927">
        <v>-2.1353279583156099E-2</v>
      </c>
      <c r="L927">
        <v>-6.9505069404802305E-5</v>
      </c>
      <c r="M927">
        <v>-4.34253457188606E-2</v>
      </c>
      <c r="N927">
        <v>-3.7987139649689201E-2</v>
      </c>
      <c r="O927">
        <f t="shared" si="78"/>
        <v>-1.697472750507293E-2</v>
      </c>
    </row>
    <row r="928" spans="1:15" x14ac:dyDescent="0.35">
      <c r="A928" t="s">
        <v>67</v>
      </c>
      <c r="B928">
        <v>2022</v>
      </c>
      <c r="C928">
        <v>352947.59375</v>
      </c>
      <c r="D928" s="8">
        <v>0.90655684471130404</v>
      </c>
      <c r="E928" s="8">
        <v>4.2999999999999997E-2</v>
      </c>
      <c r="F928">
        <v>2.3193912340515199</v>
      </c>
      <c r="G928">
        <f t="shared" si="74"/>
        <v>2.5584619956072778</v>
      </c>
      <c r="H928">
        <f t="shared" si="76"/>
        <v>-8.9672313057995057E-2</v>
      </c>
      <c r="I928">
        <f t="shared" si="75"/>
        <v>0</v>
      </c>
      <c r="J928" t="str">
        <f t="shared" si="77"/>
        <v/>
      </c>
      <c r="K928">
        <v>-4.34253457188606E-2</v>
      </c>
      <c r="L928">
        <v>-1.08431354165077E-2</v>
      </c>
      <c r="M928">
        <v>-4.2110007287934403E-2</v>
      </c>
      <c r="N928">
        <v>-2.2551079513505101E-2</v>
      </c>
      <c r="O928">
        <f t="shared" si="78"/>
        <v>-9.591054823249557E-3</v>
      </c>
    </row>
    <row r="929" spans="1:15" x14ac:dyDescent="0.35">
      <c r="A929" t="s">
        <v>68</v>
      </c>
      <c r="B929">
        <v>2006</v>
      </c>
      <c r="C929">
        <v>692310</v>
      </c>
      <c r="D929" s="8">
        <v>0.90627610683441195</v>
      </c>
      <c r="E929" s="8">
        <v>3.0000000000000001E-3</v>
      </c>
      <c r="F929">
        <v>2.2533106791264799</v>
      </c>
      <c r="G929">
        <f t="shared" si="74"/>
        <v>2.486340158516601</v>
      </c>
      <c r="H929">
        <f t="shared" si="76"/>
        <v>-2.8189528402026598E-2</v>
      </c>
      <c r="I929">
        <f t="shared" si="75"/>
        <v>0</v>
      </c>
      <c r="J929" t="str">
        <f t="shared" si="77"/>
        <v/>
      </c>
      <c r="K929">
        <v>3.09369243979454E-2</v>
      </c>
      <c r="L929">
        <v>2.4573884904384599E-2</v>
      </c>
      <c r="M929">
        <v>-6.0294055342674001E-3</v>
      </c>
      <c r="N929">
        <v>-5.1076496019958999E-3</v>
      </c>
      <c r="O929" t="str">
        <f t="shared" si="78"/>
        <v/>
      </c>
    </row>
    <row r="930" spans="1:15" x14ac:dyDescent="0.35">
      <c r="A930" t="s">
        <v>68</v>
      </c>
      <c r="B930">
        <v>2007</v>
      </c>
      <c r="C930">
        <v>703210.3125</v>
      </c>
      <c r="D930" s="8">
        <v>0.89224231243133501</v>
      </c>
      <c r="E930" s="8">
        <v>2.1999999999999999E-2</v>
      </c>
      <c r="F930">
        <v>2.1685654820031699</v>
      </c>
      <c r="G930">
        <f t="shared" si="74"/>
        <v>2.4304669839002484</v>
      </c>
      <c r="H930">
        <f t="shared" si="76"/>
        <v>-2.2472055734195084E-2</v>
      </c>
      <c r="I930">
        <f t="shared" si="75"/>
        <v>0</v>
      </c>
      <c r="J930" t="str">
        <f t="shared" si="77"/>
        <v/>
      </c>
      <c r="K930">
        <v>-6.0294055342674001E-3</v>
      </c>
      <c r="L930">
        <v>-5.1076496019958999E-3</v>
      </c>
      <c r="M930">
        <v>-5.1640849851071799E-2</v>
      </c>
      <c r="N930">
        <v>-2.2130045574158302E-2</v>
      </c>
      <c r="O930" t="str">
        <f t="shared" si="78"/>
        <v/>
      </c>
    </row>
    <row r="931" spans="1:15" x14ac:dyDescent="0.35">
      <c r="A931" t="s">
        <v>68</v>
      </c>
      <c r="B931">
        <v>2008</v>
      </c>
      <c r="C931">
        <v>713309.5625</v>
      </c>
      <c r="D931" s="8">
        <v>0.88576263189315796</v>
      </c>
      <c r="E931" s="8">
        <v>0.03</v>
      </c>
      <c r="F931">
        <v>2.2201909901105701</v>
      </c>
      <c r="G931">
        <f t="shared" si="74"/>
        <v>2.5065304294507347</v>
      </c>
      <c r="H931">
        <f t="shared" si="76"/>
        <v>3.1295815188744136E-2</v>
      </c>
      <c r="I931">
        <f t="shared" si="75"/>
        <v>1</v>
      </c>
      <c r="J931" t="str">
        <f t="shared" si="77"/>
        <v/>
      </c>
      <c r="K931">
        <v>-5.1640849851071799E-2</v>
      </c>
      <c r="L931">
        <v>-2.2130045574158302E-2</v>
      </c>
      <c r="M931">
        <v>-2.3664424851536799E-2</v>
      </c>
      <c r="N931">
        <v>2.90227681398385E-3</v>
      </c>
      <c r="O931" t="str">
        <f t="shared" si="78"/>
        <v/>
      </c>
    </row>
    <row r="932" spans="1:15" x14ac:dyDescent="0.35">
      <c r="A932" t="s">
        <v>68</v>
      </c>
      <c r="B932">
        <v>2009</v>
      </c>
      <c r="C932">
        <v>720551.875</v>
      </c>
      <c r="D932" s="8">
        <v>0.89057409763336204</v>
      </c>
      <c r="E932" s="8">
        <v>8.9999999999999993E-3</v>
      </c>
      <c r="F932">
        <v>2.2915388585395302</v>
      </c>
      <c r="G932">
        <f t="shared" si="74"/>
        <v>2.57310297327211</v>
      </c>
      <c r="H932">
        <f t="shared" si="76"/>
        <v>2.6559639188566964E-2</v>
      </c>
      <c r="I932">
        <f t="shared" si="75"/>
        <v>1</v>
      </c>
      <c r="J932" t="str">
        <f t="shared" si="77"/>
        <v/>
      </c>
      <c r="K932">
        <v>-2.3664424851536799E-2</v>
      </c>
      <c r="L932">
        <v>2.90227681398385E-3</v>
      </c>
      <c r="M932">
        <v>-1.0528884999453999E-2</v>
      </c>
      <c r="N932">
        <v>-1.0687762405723301E-3</v>
      </c>
      <c r="O932" t="str">
        <f t="shared" si="78"/>
        <v/>
      </c>
    </row>
    <row r="933" spans="1:15" x14ac:dyDescent="0.35">
      <c r="A933" t="s">
        <v>68</v>
      </c>
      <c r="B933">
        <v>2010</v>
      </c>
      <c r="C933">
        <v>726592.25</v>
      </c>
      <c r="D933" s="8">
        <v>0.90571212768554699</v>
      </c>
      <c r="E933" s="8">
        <v>0.02</v>
      </c>
      <c r="F933">
        <v>2.3345236394800701</v>
      </c>
      <c r="G933">
        <f t="shared" si="74"/>
        <v>2.5775559011732594</v>
      </c>
      <c r="H933">
        <f t="shared" si="76"/>
        <v>1.7305673140188826E-3</v>
      </c>
      <c r="I933">
        <f t="shared" si="75"/>
        <v>1</v>
      </c>
      <c r="J933">
        <f t="shared" si="77"/>
        <v>3</v>
      </c>
      <c r="K933">
        <v>-1.0528884999453999E-2</v>
      </c>
      <c r="L933">
        <v>-1.0687762405723301E-3</v>
      </c>
      <c r="M933">
        <v>-2.30772126168012E-2</v>
      </c>
      <c r="N933">
        <v>-1.7934381030499599E-3</v>
      </c>
      <c r="O933">
        <f t="shared" si="78"/>
        <v>-2.0140091888606305E-3</v>
      </c>
    </row>
    <row r="934" spans="1:15" x14ac:dyDescent="0.35">
      <c r="A934" t="s">
        <v>68</v>
      </c>
      <c r="B934">
        <v>2011</v>
      </c>
      <c r="C934">
        <v>731621.375</v>
      </c>
      <c r="D934" s="8">
        <v>0.909112989902496</v>
      </c>
      <c r="E934" s="8">
        <v>0</v>
      </c>
      <c r="F934">
        <v>2.36536192823778</v>
      </c>
      <c r="G934">
        <f t="shared" si="74"/>
        <v>2.6018349253721138</v>
      </c>
      <c r="H934">
        <f t="shared" si="76"/>
        <v>9.4193977278254071E-3</v>
      </c>
      <c r="I934">
        <f t="shared" si="75"/>
        <v>1</v>
      </c>
      <c r="J934">
        <f t="shared" si="77"/>
        <v>4</v>
      </c>
      <c r="K934">
        <v>-2.30772126168012E-2</v>
      </c>
      <c r="L934">
        <v>-1.7934381030499599E-3</v>
      </c>
      <c r="M934">
        <v>-1.09913417175412E-2</v>
      </c>
      <c r="N934">
        <v>-5.5531356483698004E-3</v>
      </c>
      <c r="O934">
        <f t="shared" si="78"/>
        <v>4.2569041252138174E-4</v>
      </c>
    </row>
    <row r="935" spans="1:15" x14ac:dyDescent="0.35">
      <c r="A935" t="s">
        <v>68</v>
      </c>
      <c r="B935">
        <v>2012</v>
      </c>
      <c r="C935">
        <v>737147.25</v>
      </c>
      <c r="D935" s="8">
        <v>0.91128200292587302</v>
      </c>
      <c r="E935" s="8">
        <v>3.3000000000000002E-2</v>
      </c>
      <c r="F935">
        <v>2.25617551314433</v>
      </c>
      <c r="G935">
        <f t="shared" si="74"/>
        <v>2.475825821096409</v>
      </c>
      <c r="H935">
        <f t="shared" si="76"/>
        <v>-4.8430860485002891E-2</v>
      </c>
      <c r="I935">
        <f t="shared" si="75"/>
        <v>0</v>
      </c>
      <c r="J935">
        <f t="shared" si="77"/>
        <v>4</v>
      </c>
      <c r="K935">
        <v>-1.09913417175412E-2</v>
      </c>
      <c r="L935">
        <v>-5.6387344375253001E-3</v>
      </c>
      <c r="M935">
        <v>6.3609766215085902E-3</v>
      </c>
      <c r="N935">
        <v>2.3420527577399801E-4</v>
      </c>
      <c r="O935">
        <f t="shared" si="78"/>
        <v>1.4124006032944021E-3</v>
      </c>
    </row>
    <row r="936" spans="1:15" x14ac:dyDescent="0.35">
      <c r="A936" t="s">
        <v>68</v>
      </c>
      <c r="B936">
        <v>2013</v>
      </c>
      <c r="C936">
        <v>742477.75</v>
      </c>
      <c r="D936" s="8">
        <v>0.92559224367141701</v>
      </c>
      <c r="E936" s="8">
        <v>8.9999999999999993E-3</v>
      </c>
      <c r="F936">
        <v>2.3040323970360101</v>
      </c>
      <c r="G936">
        <f t="shared" si="74"/>
        <v>2.4892520575765933</v>
      </c>
      <c r="H936">
        <f t="shared" si="76"/>
        <v>5.4229325689150176E-3</v>
      </c>
      <c r="I936">
        <f t="shared" si="75"/>
        <v>1</v>
      </c>
      <c r="J936">
        <f t="shared" si="77"/>
        <v>4</v>
      </c>
      <c r="K936">
        <v>6.3609766215085902E-3</v>
      </c>
      <c r="L936">
        <v>2.3420527577399801E-4</v>
      </c>
      <c r="M936">
        <v>1.4907706677914001E-3</v>
      </c>
      <c r="N936">
        <v>-5.1725283265110003E-4</v>
      </c>
      <c r="O936">
        <f t="shared" si="78"/>
        <v>4.544276744127303E-3</v>
      </c>
    </row>
    <row r="937" spans="1:15" x14ac:dyDescent="0.35">
      <c r="A937" t="s">
        <v>68</v>
      </c>
      <c r="B937">
        <v>2014</v>
      </c>
      <c r="C937">
        <v>748285.375</v>
      </c>
      <c r="D937" s="8">
        <v>0.90900135040283203</v>
      </c>
      <c r="E937" s="8">
        <v>3.1E-2</v>
      </c>
      <c r="F937">
        <v>2.3079642136654601</v>
      </c>
      <c r="G937">
        <f t="shared" si="74"/>
        <v>2.5390107645524016</v>
      </c>
      <c r="H937">
        <f t="shared" si="76"/>
        <v>1.998942084806421E-2</v>
      </c>
      <c r="I937">
        <f t="shared" si="75"/>
        <v>1</v>
      </c>
      <c r="J937">
        <f t="shared" si="77"/>
        <v>4</v>
      </c>
      <c r="K937">
        <v>1.4907706677914001E-3</v>
      </c>
      <c r="L937">
        <v>-5.1725283265110003E-4</v>
      </c>
      <c r="M937">
        <v>2.78230273872614E-2</v>
      </c>
      <c r="N937">
        <v>-2.4404246360062898E-3</v>
      </c>
      <c r="O937">
        <f t="shared" si="78"/>
        <v>7.4277371168136822E-3</v>
      </c>
    </row>
    <row r="938" spans="1:15" x14ac:dyDescent="0.35">
      <c r="A938" t="s">
        <v>68</v>
      </c>
      <c r="B938">
        <v>2015</v>
      </c>
      <c r="C938">
        <v>753779.625</v>
      </c>
      <c r="D938" s="8">
        <v>0.91279125213623002</v>
      </c>
      <c r="E938" s="8">
        <v>6.0000000000000001E-3</v>
      </c>
      <c r="F938">
        <v>2.3018062924537799</v>
      </c>
      <c r="G938">
        <f t="shared" si="74"/>
        <v>2.5217225593111245</v>
      </c>
      <c r="H938">
        <f t="shared" si="76"/>
        <v>-6.8090318806997008E-3</v>
      </c>
      <c r="I938">
        <f t="shared" si="75"/>
        <v>0</v>
      </c>
      <c r="J938">
        <f t="shared" si="77"/>
        <v>3</v>
      </c>
      <c r="K938">
        <v>2.78230273872614E-2</v>
      </c>
      <c r="L938">
        <v>-2.4404246360062898E-3</v>
      </c>
      <c r="M938">
        <v>2.3558616906404501E-2</v>
      </c>
      <c r="N938">
        <v>1.0405059903860101E-2</v>
      </c>
      <c r="O938">
        <f t="shared" si="78"/>
        <v>1.3030158728361141E-2</v>
      </c>
    </row>
    <row r="939" spans="1:15" x14ac:dyDescent="0.35">
      <c r="A939" t="s">
        <v>68</v>
      </c>
      <c r="B939">
        <v>2016</v>
      </c>
      <c r="C939">
        <v>760321.6875</v>
      </c>
      <c r="D939" s="8">
        <v>0.92735737562179599</v>
      </c>
      <c r="E939" s="8">
        <v>6.0000000000000001E-3</v>
      </c>
      <c r="F939">
        <v>2.29862443882684</v>
      </c>
      <c r="G939">
        <f t="shared" si="74"/>
        <v>2.4786824359763195</v>
      </c>
      <c r="H939">
        <f t="shared" si="76"/>
        <v>-1.7067747272944467E-2</v>
      </c>
      <c r="I939">
        <f t="shared" si="75"/>
        <v>0</v>
      </c>
      <c r="J939">
        <f t="shared" si="77"/>
        <v>2</v>
      </c>
      <c r="K939">
        <v>2.3558616906404501E-2</v>
      </c>
      <c r="L939">
        <v>1.0405059903860101E-2</v>
      </c>
      <c r="M939">
        <v>2.1699887663125901E-3</v>
      </c>
      <c r="N939">
        <v>-6.1958469450469904E-4</v>
      </c>
      <c r="O939">
        <f t="shared" si="78"/>
        <v>2.0835196971893337E-2</v>
      </c>
    </row>
    <row r="940" spans="1:15" x14ac:dyDescent="0.35">
      <c r="A940" t="s">
        <v>68</v>
      </c>
      <c r="B940">
        <v>2017</v>
      </c>
      <c r="C940">
        <v>764189.875</v>
      </c>
      <c r="D940" s="8">
        <v>0.91078823804855302</v>
      </c>
      <c r="E940" s="8">
        <v>2.4E-2</v>
      </c>
      <c r="F940">
        <v>2.2279705866941399</v>
      </c>
      <c r="G940">
        <f t="shared" si="74"/>
        <v>2.4462004378402717</v>
      </c>
      <c r="H940">
        <f t="shared" si="76"/>
        <v>-1.3104542019822585E-2</v>
      </c>
      <c r="I940">
        <f t="shared" si="75"/>
        <v>0</v>
      </c>
      <c r="J940">
        <f t="shared" si="77"/>
        <v>2</v>
      </c>
      <c r="K940">
        <v>2.1699887663125901E-3</v>
      </c>
      <c r="L940">
        <v>-6.1958469450469904E-4</v>
      </c>
      <c r="M940">
        <v>2.5028608947992199E-2</v>
      </c>
      <c r="N940">
        <v>1.58935859799385E-2</v>
      </c>
      <c r="O940">
        <f t="shared" si="78"/>
        <v>2.33914215117693E-2</v>
      </c>
    </row>
    <row r="941" spans="1:15" x14ac:dyDescent="0.35">
      <c r="A941" t="s">
        <v>68</v>
      </c>
      <c r="B941">
        <v>2018</v>
      </c>
      <c r="C941">
        <v>769063.75</v>
      </c>
      <c r="D941" s="8">
        <v>0.93424594402313199</v>
      </c>
      <c r="E941" s="8">
        <v>1.0999999999999999E-2</v>
      </c>
      <c r="F941">
        <v>2.2560111726203398</v>
      </c>
      <c r="G941">
        <f t="shared" si="74"/>
        <v>2.4147936494166689</v>
      </c>
      <c r="H941">
        <f t="shared" si="76"/>
        <v>-1.2839008585629919E-2</v>
      </c>
      <c r="I941">
        <f t="shared" si="75"/>
        <v>0</v>
      </c>
      <c r="J941">
        <f t="shared" si="77"/>
        <v>1</v>
      </c>
      <c r="K941">
        <v>2.5028608947992199E-2</v>
      </c>
      <c r="L941">
        <v>1.58935859799385E-2</v>
      </c>
      <c r="M941">
        <v>3.1701243638992301E-2</v>
      </c>
      <c r="N941">
        <v>1.3900049030780799E-2</v>
      </c>
      <c r="O941">
        <f t="shared" si="78"/>
        <v>1.9604985415935521E-2</v>
      </c>
    </row>
    <row r="942" spans="1:15" x14ac:dyDescent="0.35">
      <c r="A942" t="s">
        <v>68</v>
      </c>
      <c r="B942">
        <v>2019</v>
      </c>
      <c r="C942">
        <v>774324.8125</v>
      </c>
      <c r="D942" s="8">
        <v>0.93093514442443803</v>
      </c>
      <c r="E942" s="8">
        <v>1.4999999999999999E-2</v>
      </c>
      <c r="F942">
        <v>2.3073353305975801</v>
      </c>
      <c r="G942">
        <f t="shared" si="74"/>
        <v>2.4785135080748488</v>
      </c>
      <c r="H942">
        <f t="shared" si="76"/>
        <v>2.6387289312928441E-2</v>
      </c>
      <c r="I942">
        <f t="shared" si="75"/>
        <v>1</v>
      </c>
      <c r="J942" t="str">
        <f t="shared" si="77"/>
        <v/>
      </c>
      <c r="K942">
        <v>3.1701243638992301E-2</v>
      </c>
      <c r="L942">
        <v>1.3900049030780799E-2</v>
      </c>
      <c r="M942">
        <v>4.4420873850583999E-2</v>
      </c>
      <c r="N942">
        <v>2.5571683421730999E-2</v>
      </c>
      <c r="O942">
        <f t="shared" si="78"/>
        <v>1.6309257782995704E-2</v>
      </c>
    </row>
    <row r="943" spans="1:15" x14ac:dyDescent="0.35">
      <c r="A943" t="s">
        <v>68</v>
      </c>
      <c r="B943">
        <v>2020</v>
      </c>
      <c r="C943">
        <v>775367.125</v>
      </c>
      <c r="D943" s="8">
        <v>0.94514554738998402</v>
      </c>
      <c r="E943" s="8">
        <v>2.1999999999999999E-2</v>
      </c>
      <c r="F943">
        <v>2.03536519731245</v>
      </c>
      <c r="G943">
        <f t="shared" si="74"/>
        <v>2.1534939279279297</v>
      </c>
      <c r="H943">
        <f t="shared" si="76"/>
        <v>-0.13113488350498181</v>
      </c>
      <c r="I943">
        <f t="shared" si="75"/>
        <v>0</v>
      </c>
      <c r="J943" t="str">
        <f t="shared" si="77"/>
        <v/>
      </c>
      <c r="K943">
        <v>4.4420873850583999E-2</v>
      </c>
      <c r="L943">
        <v>2.5571683421730999E-2</v>
      </c>
      <c r="M943">
        <v>9.3019863843917999E-2</v>
      </c>
      <c r="N943">
        <v>4.94302511215211E-2</v>
      </c>
      <c r="O943">
        <f t="shared" si="78"/>
        <v>7.2286856360733618E-3</v>
      </c>
    </row>
    <row r="944" spans="1:15" x14ac:dyDescent="0.35">
      <c r="A944" t="s">
        <v>68</v>
      </c>
      <c r="B944">
        <v>2021</v>
      </c>
      <c r="C944">
        <v>779995.125</v>
      </c>
      <c r="D944" s="8">
        <v>0.95697635412216198</v>
      </c>
      <c r="E944" s="8">
        <v>0.01</v>
      </c>
      <c r="F944">
        <v>2.1095045214770098</v>
      </c>
      <c r="G944">
        <f t="shared" si="74"/>
        <v>2.2043434118203122</v>
      </c>
      <c r="H944">
        <f t="shared" si="76"/>
        <v>2.3612550392147824E-2</v>
      </c>
      <c r="I944">
        <f t="shared" si="75"/>
        <v>1</v>
      </c>
      <c r="J944" t="str">
        <f t="shared" si="77"/>
        <v/>
      </c>
      <c r="K944">
        <v>9.3019863843917999E-2</v>
      </c>
      <c r="L944">
        <v>4.94302511215211E-2</v>
      </c>
      <c r="M944">
        <v>-1.9941968768835101E-2</v>
      </c>
      <c r="N944">
        <v>1.21615380048751E-2</v>
      </c>
      <c r="O944">
        <f t="shared" si="78"/>
        <v>-2.39855526015163E-3</v>
      </c>
    </row>
    <row r="945" spans="1:15" x14ac:dyDescent="0.35">
      <c r="A945" t="s">
        <v>68</v>
      </c>
      <c r="B945">
        <v>2022</v>
      </c>
      <c r="C945">
        <v>787207</v>
      </c>
      <c r="D945" s="8">
        <v>0.91254353523254395</v>
      </c>
      <c r="E945" s="8">
        <v>2.3E-2</v>
      </c>
      <c r="F945">
        <v>2.2234806162180401</v>
      </c>
      <c r="G945">
        <f t="shared" si="74"/>
        <v>2.4365748376612295</v>
      </c>
      <c r="H945">
        <f t="shared" si="76"/>
        <v>0.10535174537489334</v>
      </c>
      <c r="I945">
        <f t="shared" si="75"/>
        <v>1</v>
      </c>
      <c r="J945" t="str">
        <f t="shared" si="77"/>
        <v/>
      </c>
      <c r="K945">
        <v>-1.9941968768835101E-2</v>
      </c>
      <c r="L945">
        <v>1.26402415335177E-2</v>
      </c>
      <c r="M945">
        <v>-2.2597522273659701E-2</v>
      </c>
      <c r="N945">
        <v>-3.03859449923039E-3</v>
      </c>
      <c r="O945">
        <f t="shared" si="78"/>
        <v>-4.6092668082564981E-3</v>
      </c>
    </row>
    <row r="946" spans="1:15" x14ac:dyDescent="0.35">
      <c r="A946" t="s">
        <v>69</v>
      </c>
      <c r="B946">
        <v>2006</v>
      </c>
      <c r="C946">
        <v>154061.59375</v>
      </c>
      <c r="D946" s="8">
        <v>0.91554147005081199</v>
      </c>
      <c r="E946" s="8">
        <v>9.7000000000000003E-2</v>
      </c>
      <c r="F946">
        <v>2.01934841895776</v>
      </c>
      <c r="G946">
        <f t="shared" si="74"/>
        <v>2.2056329341866814</v>
      </c>
      <c r="H946">
        <f t="shared" si="76"/>
        <v>-9.4781370924859387E-2</v>
      </c>
      <c r="I946">
        <f t="shared" si="75"/>
        <v>0</v>
      </c>
      <c r="J946" t="str">
        <f t="shared" si="77"/>
        <v/>
      </c>
      <c r="K946">
        <v>2.71668337583542E-2</v>
      </c>
      <c r="L946">
        <v>2.0803794264793399E-2</v>
      </c>
      <c r="M946">
        <v>-3.5003450661897999E-3</v>
      </c>
      <c r="N946">
        <v>-2.5785891339183001E-3</v>
      </c>
      <c r="O946" t="str">
        <f t="shared" si="78"/>
        <v/>
      </c>
    </row>
    <row r="947" spans="1:15" x14ac:dyDescent="0.35">
      <c r="A947" t="s">
        <v>69</v>
      </c>
      <c r="B947">
        <v>2007</v>
      </c>
      <c r="C947">
        <v>158637.203125</v>
      </c>
      <c r="D947" s="8">
        <v>0.88620626926422097</v>
      </c>
      <c r="E947" s="8">
        <v>1.6E-2</v>
      </c>
      <c r="F947">
        <v>2.0516896586787698</v>
      </c>
      <c r="G947">
        <f t="shared" si="74"/>
        <v>2.3151378294606286</v>
      </c>
      <c r="H947">
        <f t="shared" si="76"/>
        <v>4.9647832863144448E-2</v>
      </c>
      <c r="I947">
        <f t="shared" si="75"/>
        <v>1</v>
      </c>
      <c r="J947" t="str">
        <f t="shared" si="77"/>
        <v/>
      </c>
      <c r="K947">
        <v>-3.5003450661897999E-3</v>
      </c>
      <c r="L947">
        <v>-2.5785891339183001E-3</v>
      </c>
      <c r="M947">
        <v>-4.93419815897942E-2</v>
      </c>
      <c r="N947">
        <v>-1.9831177312880699E-2</v>
      </c>
      <c r="O947" t="str">
        <f t="shared" si="78"/>
        <v/>
      </c>
    </row>
    <row r="948" spans="1:15" x14ac:dyDescent="0.35">
      <c r="A948" t="s">
        <v>69</v>
      </c>
      <c r="B948">
        <v>2008</v>
      </c>
      <c r="C948">
        <v>162989.203125</v>
      </c>
      <c r="D948" s="8">
        <v>0.88530039787292503</v>
      </c>
      <c r="E948" s="8">
        <v>3.5999999999999997E-2</v>
      </c>
      <c r="F948">
        <v>2.1478987946574</v>
      </c>
      <c r="G948">
        <f t="shared" si="74"/>
        <v>2.4261807628439662</v>
      </c>
      <c r="H948">
        <f t="shared" si="76"/>
        <v>4.7963854233770586E-2</v>
      </c>
      <c r="I948">
        <f t="shared" si="75"/>
        <v>1</v>
      </c>
      <c r="J948" t="str">
        <f t="shared" si="77"/>
        <v/>
      </c>
      <c r="K948">
        <v>-4.93419815897942E-2</v>
      </c>
      <c r="L948">
        <v>-1.9831177312880699E-2</v>
      </c>
      <c r="M948">
        <v>-2.5272655025124501E-2</v>
      </c>
      <c r="N948">
        <v>1.2940466403961401E-3</v>
      </c>
      <c r="O948" t="str">
        <f t="shared" si="78"/>
        <v/>
      </c>
    </row>
    <row r="949" spans="1:15" x14ac:dyDescent="0.35">
      <c r="A949" t="s">
        <v>69</v>
      </c>
      <c r="B949">
        <v>2009</v>
      </c>
      <c r="C949">
        <v>166336.296875</v>
      </c>
      <c r="D949" s="8">
        <v>0.89437228441238403</v>
      </c>
      <c r="E949" s="8">
        <v>2.4E-2</v>
      </c>
      <c r="F949">
        <v>2.0838373241174999</v>
      </c>
      <c r="G949">
        <f t="shared" si="74"/>
        <v>2.3299439846647441</v>
      </c>
      <c r="H949">
        <f t="shared" si="76"/>
        <v>-3.9665955502183436E-2</v>
      </c>
      <c r="I949">
        <f t="shared" si="75"/>
        <v>0</v>
      </c>
      <c r="J949" t="str">
        <f t="shared" si="77"/>
        <v/>
      </c>
      <c r="K949">
        <v>-2.5272655025124501E-2</v>
      </c>
      <c r="L949">
        <v>1.2940466403961401E-3</v>
      </c>
      <c r="M949">
        <v>-8.35212849453092E-3</v>
      </c>
      <c r="N949">
        <v>1.10798026435076E-3</v>
      </c>
      <c r="O949" t="str">
        <f t="shared" si="78"/>
        <v/>
      </c>
    </row>
    <row r="950" spans="1:15" x14ac:dyDescent="0.35">
      <c r="A950" t="s">
        <v>69</v>
      </c>
      <c r="B950">
        <v>2010</v>
      </c>
      <c r="C950">
        <v>168746.3125</v>
      </c>
      <c r="D950" s="8">
        <v>0.90394359827041604</v>
      </c>
      <c r="E950" s="8">
        <v>1E-3</v>
      </c>
      <c r="F950">
        <v>2.1176771927256701</v>
      </c>
      <c r="G950">
        <f t="shared" si="74"/>
        <v>2.3427094309618242</v>
      </c>
      <c r="H950">
        <f t="shared" si="76"/>
        <v>5.4788640332557037E-3</v>
      </c>
      <c r="I950">
        <f t="shared" si="75"/>
        <v>1</v>
      </c>
      <c r="J950">
        <f t="shared" si="77"/>
        <v>3</v>
      </c>
      <c r="K950">
        <v>-8.35212849453092E-3</v>
      </c>
      <c r="L950">
        <v>1.10798026435076E-3</v>
      </c>
      <c r="M950">
        <v>-2.3382338106632199E-2</v>
      </c>
      <c r="N950">
        <v>-2.09856359288092E-3</v>
      </c>
      <c r="O950">
        <f t="shared" si="78"/>
        <v>-3.7815981078892823E-3</v>
      </c>
    </row>
    <row r="951" spans="1:15" x14ac:dyDescent="0.35">
      <c r="A951" t="s">
        <v>69</v>
      </c>
      <c r="B951">
        <v>2011</v>
      </c>
      <c r="C951">
        <v>169509.40625</v>
      </c>
      <c r="D951" s="8">
        <v>0.90730106830596902</v>
      </c>
      <c r="E951" s="8">
        <v>0</v>
      </c>
      <c r="F951">
        <v>2.2048903297006399</v>
      </c>
      <c r="G951">
        <f t="shared" si="74"/>
        <v>2.4301639298379896</v>
      </c>
      <c r="H951">
        <f t="shared" si="76"/>
        <v>3.7330493368210815E-2</v>
      </c>
      <c r="I951">
        <f t="shared" si="75"/>
        <v>1</v>
      </c>
      <c r="J951">
        <f t="shared" si="77"/>
        <v>4</v>
      </c>
      <c r="K951">
        <v>-2.3382338106632199E-2</v>
      </c>
      <c r="L951">
        <v>-2.09856359288092E-3</v>
      </c>
      <c r="M951">
        <v>-6.1372558623551997E-3</v>
      </c>
      <c r="N951">
        <v>-6.9904979318379998E-4</v>
      </c>
      <c r="O951">
        <f t="shared" si="78"/>
        <v>-1.9032986368983976E-3</v>
      </c>
    </row>
    <row r="952" spans="1:15" x14ac:dyDescent="0.35">
      <c r="A952" t="s">
        <v>69</v>
      </c>
      <c r="B952">
        <v>2012</v>
      </c>
      <c r="C952">
        <v>170308.8125</v>
      </c>
      <c r="D952" s="8">
        <v>0.89138716459274303</v>
      </c>
      <c r="E952" s="8">
        <v>3.4000000000000002E-2</v>
      </c>
      <c r="F952">
        <v>2.32741353208338</v>
      </c>
      <c r="G952">
        <f t="shared" si="74"/>
        <v>2.6110018458104327</v>
      </c>
      <c r="H952">
        <f t="shared" si="76"/>
        <v>7.4413875439464316E-2</v>
      </c>
      <c r="I952">
        <f t="shared" si="75"/>
        <v>1</v>
      </c>
      <c r="J952">
        <f t="shared" si="77"/>
        <v>4</v>
      </c>
      <c r="K952">
        <v>-6.1372558623551997E-3</v>
      </c>
      <c r="L952">
        <v>-7.8464858233929895E-4</v>
      </c>
      <c r="M952">
        <v>1.08714836090803E-2</v>
      </c>
      <c r="N952">
        <v>4.7447122633457002E-3</v>
      </c>
      <c r="O952">
        <f t="shared" si="78"/>
        <v>-1.7634886782616377E-3</v>
      </c>
    </row>
    <row r="953" spans="1:15" x14ac:dyDescent="0.35">
      <c r="A953" t="s">
        <v>69</v>
      </c>
      <c r="B953">
        <v>2013</v>
      </c>
      <c r="C953">
        <v>170272.59375</v>
      </c>
      <c r="D953" s="8">
        <v>0.92505544424056996</v>
      </c>
      <c r="E953" s="8">
        <v>0</v>
      </c>
      <c r="F953">
        <v>2.2767493929551201</v>
      </c>
      <c r="G953">
        <f t="shared" si="74"/>
        <v>2.4612031712588123</v>
      </c>
      <c r="H953">
        <f t="shared" si="76"/>
        <v>-5.7372105956947084E-2</v>
      </c>
      <c r="I953">
        <f t="shared" si="75"/>
        <v>0</v>
      </c>
      <c r="J953">
        <f t="shared" si="77"/>
        <v>3</v>
      </c>
      <c r="K953">
        <v>1.08714836090803E-2</v>
      </c>
      <c r="L953">
        <v>4.7447122633457002E-3</v>
      </c>
      <c r="M953">
        <v>-1.4280593892559401E-2</v>
      </c>
      <c r="N953">
        <v>-1.62886173930019E-2</v>
      </c>
      <c r="O953">
        <f t="shared" si="78"/>
        <v>-3.4440606366842957E-3</v>
      </c>
    </row>
    <row r="954" spans="1:15" x14ac:dyDescent="0.35">
      <c r="A954" t="s">
        <v>69</v>
      </c>
      <c r="B954">
        <v>2014</v>
      </c>
      <c r="C954">
        <v>169798.796875</v>
      </c>
      <c r="D954" s="8">
        <v>0.91126215457916304</v>
      </c>
      <c r="E954" s="8">
        <v>5.0000000000000001E-3</v>
      </c>
      <c r="F954">
        <v>2.30529905244734</v>
      </c>
      <c r="G954">
        <f t="shared" si="74"/>
        <v>2.529786890482649</v>
      </c>
      <c r="H954">
        <f t="shared" si="76"/>
        <v>2.7865931599933225E-2</v>
      </c>
      <c r="I954">
        <f t="shared" si="75"/>
        <v>1</v>
      </c>
      <c r="J954">
        <f t="shared" si="77"/>
        <v>4</v>
      </c>
      <c r="K954">
        <v>-1.4280593892559401E-2</v>
      </c>
      <c r="L954">
        <v>-1.62886173930019E-2</v>
      </c>
      <c r="M954">
        <v>2.5696979999542201E-2</v>
      </c>
      <c r="N954">
        <v>-4.5664720237254897E-3</v>
      </c>
      <c r="O954">
        <f t="shared" si="78"/>
        <v>8.6259730160236222E-4</v>
      </c>
    </row>
    <row r="955" spans="1:15" x14ac:dyDescent="0.35">
      <c r="A955" t="s">
        <v>69</v>
      </c>
      <c r="B955">
        <v>2015</v>
      </c>
      <c r="C955">
        <v>169678</v>
      </c>
      <c r="D955" s="8">
        <v>0.91301232576370195</v>
      </c>
      <c r="E955" s="8">
        <v>1E-3</v>
      </c>
      <c r="F955">
        <v>2.2954367747787101</v>
      </c>
      <c r="G955">
        <f t="shared" si="74"/>
        <v>2.5141355817498519</v>
      </c>
      <c r="H955">
        <f t="shared" si="76"/>
        <v>-6.1868091702425021E-3</v>
      </c>
      <c r="I955">
        <f t="shared" si="75"/>
        <v>0</v>
      </c>
      <c r="J955">
        <f t="shared" si="77"/>
        <v>3</v>
      </c>
      <c r="K955">
        <v>2.5696979999542201E-2</v>
      </c>
      <c r="L955">
        <v>-4.5664720237254897E-3</v>
      </c>
      <c r="M955">
        <v>2.0446490764617901E-2</v>
      </c>
      <c r="N955">
        <v>7.2929337620735004E-3</v>
      </c>
      <c r="O955">
        <f t="shared" si="78"/>
        <v>3.723959624767298E-3</v>
      </c>
    </row>
    <row r="956" spans="1:15" x14ac:dyDescent="0.35">
      <c r="A956" t="s">
        <v>69</v>
      </c>
      <c r="B956">
        <v>2016</v>
      </c>
      <c r="C956">
        <v>169632.09375</v>
      </c>
      <c r="D956" s="8">
        <v>0.92578727006912198</v>
      </c>
      <c r="E956" s="8">
        <v>2.1999999999999999E-2</v>
      </c>
      <c r="F956">
        <v>2.1037623264870202</v>
      </c>
      <c r="G956">
        <f t="shared" si="74"/>
        <v>2.272403601239783</v>
      </c>
      <c r="H956">
        <f t="shared" si="76"/>
        <v>-9.6149142577991786E-2</v>
      </c>
      <c r="I956">
        <f t="shared" si="75"/>
        <v>0</v>
      </c>
      <c r="J956">
        <f t="shared" si="77"/>
        <v>2</v>
      </c>
      <c r="K956">
        <v>2.0446490764617901E-2</v>
      </c>
      <c r="L956">
        <v>7.2929337620735004E-3</v>
      </c>
      <c r="M956">
        <v>2.7895734608172902E-3</v>
      </c>
      <c r="N956">
        <v>0</v>
      </c>
      <c r="O956">
        <f t="shared" si="78"/>
        <v>7.5219288468359987E-3</v>
      </c>
    </row>
    <row r="957" spans="1:15" x14ac:dyDescent="0.35">
      <c r="A957" t="s">
        <v>69</v>
      </c>
      <c r="B957">
        <v>2017</v>
      </c>
      <c r="C957">
        <v>169675.203125</v>
      </c>
      <c r="D957" s="8">
        <v>0.93099647760391202</v>
      </c>
      <c r="E957" s="8">
        <v>-4.0000000000000001E-3</v>
      </c>
      <c r="F957">
        <v>2.2748086775030001</v>
      </c>
      <c r="G957">
        <f t="shared" si="74"/>
        <v>2.4434127649522712</v>
      </c>
      <c r="H957">
        <f t="shared" si="76"/>
        <v>7.525474947284394E-2</v>
      </c>
      <c r="I957">
        <f t="shared" si="75"/>
        <v>1</v>
      </c>
      <c r="J957">
        <f t="shared" si="77"/>
        <v>2</v>
      </c>
      <c r="K957">
        <v>2.7895734608172902E-3</v>
      </c>
      <c r="L957">
        <v>0</v>
      </c>
      <c r="M957">
        <v>5.4768754392862003E-3</v>
      </c>
      <c r="N957">
        <v>-3.6581475287675901E-3</v>
      </c>
      <c r="O957">
        <f t="shared" si="78"/>
        <v>1.2106043845415037E-2</v>
      </c>
    </row>
    <row r="958" spans="1:15" x14ac:dyDescent="0.35">
      <c r="A958" t="s">
        <v>69</v>
      </c>
      <c r="B958">
        <v>2018</v>
      </c>
      <c r="C958">
        <v>169594.09375</v>
      </c>
      <c r="D958" s="8">
        <v>0.92466980218887296</v>
      </c>
      <c r="E958" s="8">
        <v>7.0000000000000001E-3</v>
      </c>
      <c r="F958">
        <v>2.24708533653846</v>
      </c>
      <c r="G958">
        <f t="shared" si="74"/>
        <v>2.4301489366465443</v>
      </c>
      <c r="H958">
        <f t="shared" si="76"/>
        <v>-5.4284026407572794E-3</v>
      </c>
      <c r="I958">
        <f t="shared" si="75"/>
        <v>0</v>
      </c>
      <c r="J958">
        <f t="shared" si="77"/>
        <v>2</v>
      </c>
      <c r="K958">
        <v>5.4768754392862003E-3</v>
      </c>
      <c r="L958">
        <v>-3.6581475287675901E-3</v>
      </c>
      <c r="M958">
        <v>2.3045866906642901E-2</v>
      </c>
      <c r="N958">
        <v>5.2446722984313904E-3</v>
      </c>
      <c r="O958">
        <f t="shared" si="78"/>
        <v>1.1794370412826456E-2</v>
      </c>
    </row>
    <row r="959" spans="1:15" x14ac:dyDescent="0.35">
      <c r="A959" t="s">
        <v>69</v>
      </c>
      <c r="B959">
        <v>2019</v>
      </c>
      <c r="C959">
        <v>169994.90625</v>
      </c>
      <c r="D959" s="8">
        <v>0.92218184471130404</v>
      </c>
      <c r="E959" s="8">
        <v>2.4E-2</v>
      </c>
      <c r="F959">
        <v>2.3423820834747202</v>
      </c>
      <c r="G959">
        <f t="shared" si="74"/>
        <v>2.540043590001515</v>
      </c>
      <c r="H959">
        <f t="shared" si="76"/>
        <v>4.5221365529397817E-2</v>
      </c>
      <c r="I959">
        <f t="shared" si="75"/>
        <v>1</v>
      </c>
      <c r="J959" t="str">
        <f t="shared" si="77"/>
        <v/>
      </c>
      <c r="K959">
        <v>2.3045866906642901E-2</v>
      </c>
      <c r="L959">
        <v>5.2446722984313904E-3</v>
      </c>
      <c r="M959">
        <v>2.85895300209521E-2</v>
      </c>
      <c r="N959">
        <v>9.7403395920991898E-3</v>
      </c>
      <c r="O959">
        <f t="shared" si="78"/>
        <v>1.0386491753160879E-2</v>
      </c>
    </row>
    <row r="960" spans="1:15" x14ac:dyDescent="0.35">
      <c r="A960" t="s">
        <v>69</v>
      </c>
      <c r="B960">
        <v>2020</v>
      </c>
      <c r="C960">
        <v>174099.5</v>
      </c>
      <c r="D960" s="8">
        <v>0.96710401773452803</v>
      </c>
      <c r="E960" s="8">
        <v>4.0000000000000001E-3</v>
      </c>
      <c r="F960">
        <v>2.18189427165288</v>
      </c>
      <c r="G960">
        <f t="shared" si="74"/>
        <v>2.2561112679110122</v>
      </c>
      <c r="H960">
        <f t="shared" si="76"/>
        <v>-0.11178246043026896</v>
      </c>
      <c r="I960">
        <f t="shared" si="75"/>
        <v>0</v>
      </c>
      <c r="J960" t="str">
        <f t="shared" si="77"/>
        <v/>
      </c>
      <c r="K960">
        <v>2.85895300209521E-2</v>
      </c>
      <c r="L960">
        <v>9.7403395920991898E-3</v>
      </c>
      <c r="M960">
        <v>6.9872392594813995E-2</v>
      </c>
      <c r="N960">
        <v>2.6282779872416999E-2</v>
      </c>
      <c r="O960">
        <f t="shared" si="78"/>
        <v>3.0974590219556607E-3</v>
      </c>
    </row>
    <row r="961" spans="1:15" x14ac:dyDescent="0.35">
      <c r="A961" t="s">
        <v>69</v>
      </c>
      <c r="B961">
        <v>2021</v>
      </c>
      <c r="C961">
        <v>175851.703125</v>
      </c>
      <c r="D961" s="8">
        <v>0.95233291387557995</v>
      </c>
      <c r="E961" s="8">
        <v>2.1000000000000001E-2</v>
      </c>
      <c r="F961">
        <v>1.80955521553316</v>
      </c>
      <c r="G961">
        <f t="shared" si="74"/>
        <v>1.9001288196257535</v>
      </c>
      <c r="H961">
        <f t="shared" si="76"/>
        <v>-0.15778585628663233</v>
      </c>
      <c r="I961">
        <f t="shared" si="75"/>
        <v>0</v>
      </c>
      <c r="J961" t="str">
        <f t="shared" si="77"/>
        <v/>
      </c>
      <c r="K961">
        <v>6.9872392594813995E-2</v>
      </c>
      <c r="L961">
        <v>2.6282779872416999E-2</v>
      </c>
      <c r="M961">
        <v>-9.1829317808150897E-3</v>
      </c>
      <c r="N961">
        <v>2.2920574992895199E-2</v>
      </c>
      <c r="O961">
        <f t="shared" si="78"/>
        <v>-1.76072223111985E-3</v>
      </c>
    </row>
    <row r="962" spans="1:15" x14ac:dyDescent="0.35">
      <c r="A962" t="s">
        <v>69</v>
      </c>
      <c r="B962">
        <v>2022</v>
      </c>
      <c r="C962">
        <v>177524.40625</v>
      </c>
      <c r="D962" s="8">
        <v>0.91577112674713101</v>
      </c>
      <c r="E962" s="8">
        <v>2.3E-2</v>
      </c>
      <c r="F962">
        <v>1.9957263747771199</v>
      </c>
      <c r="G962">
        <f t="shared" si="74"/>
        <v>2.1792851035455212</v>
      </c>
      <c r="H962">
        <f t="shared" si="76"/>
        <v>0.14691439919044536</v>
      </c>
      <c r="I962">
        <f t="shared" si="75"/>
        <v>1</v>
      </c>
      <c r="J962" t="str">
        <f t="shared" si="77"/>
        <v/>
      </c>
      <c r="K962">
        <v>-9.1829317808150897E-3</v>
      </c>
      <c r="L962">
        <v>2.3399278521537802E-2</v>
      </c>
      <c r="M962">
        <v>-2.4775442466139799E-2</v>
      </c>
      <c r="N962">
        <v>-5.2165146917104999E-3</v>
      </c>
      <c r="O962">
        <f t="shared" si="78"/>
        <v>-5.7273665908724016E-3</v>
      </c>
    </row>
    <row r="963" spans="1:15" x14ac:dyDescent="0.35">
      <c r="A963" t="s">
        <v>70</v>
      </c>
      <c r="B963">
        <v>2006</v>
      </c>
      <c r="C963">
        <v>781451.5</v>
      </c>
      <c r="D963" s="8">
        <v>0.91865539550781306</v>
      </c>
      <c r="E963" s="8">
        <v>1E-3</v>
      </c>
      <c r="F963">
        <v>2.2374930276393901</v>
      </c>
      <c r="G963">
        <f t="shared" ref="G963:G1026" si="79">F963/D963</f>
        <v>2.4356173583485585</v>
      </c>
      <c r="H963">
        <f t="shared" si="76"/>
        <v>0.11762217544918996</v>
      </c>
      <c r="I963">
        <f t="shared" ref="I963:I1026" si="80">IF(H963&gt;0,1,0)</f>
        <v>1</v>
      </c>
      <c r="J963" t="str">
        <f t="shared" si="77"/>
        <v/>
      </c>
      <c r="K963">
        <v>3.06883804798125E-2</v>
      </c>
      <c r="L963">
        <v>2.4325340986251699E-2</v>
      </c>
      <c r="M963">
        <v>-2.7164769321680001E-3</v>
      </c>
      <c r="N963">
        <v>-1.7947209998965001E-3</v>
      </c>
      <c r="O963" t="str">
        <f t="shared" si="78"/>
        <v/>
      </c>
    </row>
    <row r="964" spans="1:15" x14ac:dyDescent="0.35">
      <c r="A964" t="s">
        <v>70</v>
      </c>
      <c r="B964">
        <v>2007</v>
      </c>
      <c r="C964">
        <v>797311</v>
      </c>
      <c r="D964" s="8">
        <v>0.90733355283737205</v>
      </c>
      <c r="E964" s="8">
        <v>2.5999999999999999E-2</v>
      </c>
      <c r="F964">
        <v>2.26232787585697</v>
      </c>
      <c r="G964">
        <f t="shared" si="79"/>
        <v>2.4933805972261487</v>
      </c>
      <c r="H964">
        <f t="shared" ref="H964:H1027" si="81">+G964/G963-1</f>
        <v>2.3716056497788962E-2</v>
      </c>
      <c r="I964">
        <f t="shared" si="80"/>
        <v>1</v>
      </c>
      <c r="J964" t="str">
        <f t="shared" si="77"/>
        <v/>
      </c>
      <c r="K964">
        <v>-2.7164769321680001E-3</v>
      </c>
      <c r="L964">
        <v>-1.7947209998965001E-3</v>
      </c>
      <c r="M964">
        <v>-5.6215628340840297E-2</v>
      </c>
      <c r="N964">
        <v>-2.6704824063926901E-2</v>
      </c>
      <c r="O964" t="str">
        <f t="shared" si="78"/>
        <v/>
      </c>
    </row>
    <row r="965" spans="1:15" x14ac:dyDescent="0.35">
      <c r="A965" t="s">
        <v>70</v>
      </c>
      <c r="B965">
        <v>2008</v>
      </c>
      <c r="C965">
        <v>811428</v>
      </c>
      <c r="D965" s="8">
        <v>0.89865237474441495</v>
      </c>
      <c r="E965" s="8">
        <v>4.2999999999999997E-2</v>
      </c>
      <c r="F965">
        <v>2.1630630630630598</v>
      </c>
      <c r="G965">
        <f t="shared" si="79"/>
        <v>2.4070075636068453</v>
      </c>
      <c r="H965">
        <f t="shared" si="81"/>
        <v>-3.4640934366535259E-2</v>
      </c>
      <c r="I965">
        <f t="shared" si="80"/>
        <v>0</v>
      </c>
      <c r="J965" t="str">
        <f t="shared" si="77"/>
        <v/>
      </c>
      <c r="K965">
        <v>-5.6215628340840297E-2</v>
      </c>
      <c r="L965">
        <v>-2.6704824063926901E-2</v>
      </c>
      <c r="M965">
        <v>-2.4574828058481199E-2</v>
      </c>
      <c r="N965">
        <v>1.9918736070394499E-3</v>
      </c>
      <c r="O965" t="str">
        <f t="shared" si="78"/>
        <v/>
      </c>
    </row>
    <row r="966" spans="1:15" x14ac:dyDescent="0.35">
      <c r="A966" t="s">
        <v>70</v>
      </c>
      <c r="B966">
        <v>2009</v>
      </c>
      <c r="C966">
        <v>820912</v>
      </c>
      <c r="D966" s="8">
        <v>0.90880531072616599</v>
      </c>
      <c r="E966" s="8">
        <v>1.7999999999999999E-2</v>
      </c>
      <c r="F966">
        <v>2.3454973354613502</v>
      </c>
      <c r="G966">
        <f t="shared" si="79"/>
        <v>2.5808578666724769</v>
      </c>
      <c r="H966">
        <f t="shared" si="81"/>
        <v>7.2226737337343749E-2</v>
      </c>
      <c r="I966">
        <f t="shared" si="80"/>
        <v>1</v>
      </c>
      <c r="J966" t="str">
        <f t="shared" si="77"/>
        <v/>
      </c>
      <c r="K966">
        <v>-2.4574828058481199E-2</v>
      </c>
      <c r="L966">
        <v>1.9918736070394499E-3</v>
      </c>
      <c r="M966">
        <v>-6.3727555647492299E-3</v>
      </c>
      <c r="N966">
        <v>3.0873531941324399E-3</v>
      </c>
      <c r="O966" t="str">
        <f t="shared" si="78"/>
        <v/>
      </c>
    </row>
    <row r="967" spans="1:15" x14ac:dyDescent="0.35">
      <c r="A967" t="s">
        <v>70</v>
      </c>
      <c r="B967">
        <v>2010</v>
      </c>
      <c r="C967">
        <v>827509.5</v>
      </c>
      <c r="D967" s="8">
        <v>0.92006933689117398</v>
      </c>
      <c r="E967" s="8">
        <v>1.0999999999999999E-2</v>
      </c>
      <c r="F967">
        <v>2.27529407503327</v>
      </c>
      <c r="G967">
        <f t="shared" si="79"/>
        <v>2.472959356216859</v>
      </c>
      <c r="H967">
        <f t="shared" si="81"/>
        <v>-4.180722691045835E-2</v>
      </c>
      <c r="I967">
        <f t="shared" si="80"/>
        <v>0</v>
      </c>
      <c r="J967">
        <f t="shared" ref="J967:J1030" si="82">IF(AND(B967&gt;=2010,B967&lt;=2018),SUM(I963:I967),"")</f>
        <v>3</v>
      </c>
      <c r="K967">
        <v>-6.3727555647492299E-3</v>
      </c>
      <c r="L967">
        <v>3.0873531941324399E-3</v>
      </c>
      <c r="M967">
        <v>-1.7682353377342201E-2</v>
      </c>
      <c r="N967">
        <v>3.6014211364090898E-3</v>
      </c>
      <c r="O967">
        <f t="shared" ref="O967:O1030" si="83">IF(B967&gt;=2010,AVERAGE(N967:N971),"")</f>
        <v>9.5903913490474179E-3</v>
      </c>
    </row>
    <row r="968" spans="1:15" x14ac:dyDescent="0.35">
      <c r="A968" t="s">
        <v>70</v>
      </c>
      <c r="B968">
        <v>2011</v>
      </c>
      <c r="C968">
        <v>834932.625</v>
      </c>
      <c r="D968" s="8">
        <v>0.92460429668426503</v>
      </c>
      <c r="E968" s="8">
        <v>0</v>
      </c>
      <c r="F968">
        <v>2.3518180263998398</v>
      </c>
      <c r="G968">
        <f t="shared" si="79"/>
        <v>2.5435940919090725</v>
      </c>
      <c r="H968">
        <f t="shared" si="81"/>
        <v>2.8562837280217357E-2</v>
      </c>
      <c r="I968">
        <f t="shared" si="80"/>
        <v>1</v>
      </c>
      <c r="J968">
        <f t="shared" si="82"/>
        <v>3</v>
      </c>
      <c r="K968">
        <v>-1.7682353377342201E-2</v>
      </c>
      <c r="L968">
        <v>3.6014211364090898E-3</v>
      </c>
      <c r="M968">
        <v>5.5422314405440898E-3</v>
      </c>
      <c r="N968">
        <v>1.09804375097155E-2</v>
      </c>
      <c r="O968">
        <f t="shared" si="83"/>
        <v>6.4943915233016012E-3</v>
      </c>
    </row>
    <row r="969" spans="1:15" x14ac:dyDescent="0.35">
      <c r="A969" t="s">
        <v>70</v>
      </c>
      <c r="B969">
        <v>2012</v>
      </c>
      <c r="C969">
        <v>842572.8125</v>
      </c>
      <c r="D969" s="8">
        <v>0.93204718828201305</v>
      </c>
      <c r="E969" s="8">
        <v>7.0000000000000001E-3</v>
      </c>
      <c r="F969">
        <v>2.23732877017548</v>
      </c>
      <c r="G969">
        <f t="shared" si="79"/>
        <v>2.4004458125123627</v>
      </c>
      <c r="H969">
        <f t="shared" si="81"/>
        <v>-5.627795718351869E-2</v>
      </c>
      <c r="I969">
        <f t="shared" si="80"/>
        <v>0</v>
      </c>
      <c r="J969">
        <f t="shared" si="82"/>
        <v>2</v>
      </c>
      <c r="K969">
        <v>5.5422314405440898E-3</v>
      </c>
      <c r="L969">
        <v>1.0894838720559999E-2</v>
      </c>
      <c r="M969">
        <v>1.36791175603867E-2</v>
      </c>
      <c r="N969">
        <v>7.5523462146520996E-3</v>
      </c>
      <c r="O969">
        <f t="shared" si="83"/>
        <v>8.7361689656976073E-4</v>
      </c>
    </row>
    <row r="970" spans="1:15" x14ac:dyDescent="0.35">
      <c r="A970" t="s">
        <v>70</v>
      </c>
      <c r="B970">
        <v>2013</v>
      </c>
      <c r="C970">
        <v>850969.1875</v>
      </c>
      <c r="D970" s="8">
        <v>0.93051952123642001</v>
      </c>
      <c r="E970" s="8">
        <v>4.8000000000000001E-2</v>
      </c>
      <c r="F970">
        <v>2.30957415221831</v>
      </c>
      <c r="G970">
        <f t="shared" si="79"/>
        <v>2.4820265448590297</v>
      </c>
      <c r="H970">
        <f t="shared" si="81"/>
        <v>3.3985658797805796E-2</v>
      </c>
      <c r="I970">
        <f t="shared" si="80"/>
        <v>1</v>
      </c>
      <c r="J970">
        <f t="shared" si="82"/>
        <v>3</v>
      </c>
      <c r="K970">
        <v>1.36791175603867E-2</v>
      </c>
      <c r="L970">
        <v>7.5523462146520996E-3</v>
      </c>
      <c r="M970">
        <v>2.4461882948875399E-2</v>
      </c>
      <c r="N970">
        <v>2.2453859448432801E-2</v>
      </c>
      <c r="O970">
        <f t="shared" si="83"/>
        <v>8.9102108031513983E-4</v>
      </c>
    </row>
    <row r="971" spans="1:15" x14ac:dyDescent="0.35">
      <c r="A971" t="s">
        <v>70</v>
      </c>
      <c r="B971">
        <v>2014</v>
      </c>
      <c r="C971">
        <v>862922.8125</v>
      </c>
      <c r="D971" s="8">
        <v>0.93446242809295699</v>
      </c>
      <c r="E971" s="8">
        <v>7.0000000000000001E-3</v>
      </c>
      <c r="F971">
        <v>2.3628434628822799</v>
      </c>
      <c r="G971">
        <f t="shared" si="79"/>
        <v>2.52855908578834</v>
      </c>
      <c r="H971">
        <f t="shared" si="81"/>
        <v>1.8747801479275905E-2</v>
      </c>
      <c r="I971">
        <f t="shared" si="80"/>
        <v>1</v>
      </c>
      <c r="J971">
        <f t="shared" si="82"/>
        <v>3</v>
      </c>
      <c r="K971">
        <v>2.4461882948875399E-2</v>
      </c>
      <c r="L971">
        <v>2.2453859448432801E-2</v>
      </c>
      <c r="M971">
        <v>3.36273444592953E-2</v>
      </c>
      <c r="N971">
        <v>3.3638924360276001E-3</v>
      </c>
      <c r="O971">
        <f t="shared" si="83"/>
        <v>-3.7848612293600419E-3</v>
      </c>
    </row>
    <row r="972" spans="1:15" x14ac:dyDescent="0.35">
      <c r="A972" t="s">
        <v>70</v>
      </c>
      <c r="B972">
        <v>2015</v>
      </c>
      <c r="C972">
        <v>874923</v>
      </c>
      <c r="D972" s="8">
        <v>0.93327111005783103</v>
      </c>
      <c r="E972" s="8">
        <v>4.2000000000000003E-2</v>
      </c>
      <c r="F972">
        <v>2.2700180285941798</v>
      </c>
      <c r="G972">
        <f t="shared" si="79"/>
        <v>2.4323243311940899</v>
      </c>
      <c r="H972">
        <f t="shared" si="81"/>
        <v>-3.8059128273938092E-2</v>
      </c>
      <c r="I972">
        <f t="shared" si="80"/>
        <v>0</v>
      </c>
      <c r="J972">
        <f t="shared" si="82"/>
        <v>3</v>
      </c>
      <c r="K972">
        <v>3.36273444592953E-2</v>
      </c>
      <c r="L972">
        <v>3.3638924360276001E-3</v>
      </c>
      <c r="M972">
        <v>1.2749790102243E-3</v>
      </c>
      <c r="N972">
        <v>-1.187857799232E-2</v>
      </c>
      <c r="O972">
        <f t="shared" si="83"/>
        <v>-4.8070361837744217E-3</v>
      </c>
    </row>
    <row r="973" spans="1:15" x14ac:dyDescent="0.35">
      <c r="A973" t="s">
        <v>70</v>
      </c>
      <c r="B973">
        <v>2016</v>
      </c>
      <c r="C973">
        <v>886519.5625</v>
      </c>
      <c r="D973" s="8">
        <v>0.92149192094802901</v>
      </c>
      <c r="E973" s="8">
        <v>5.1999999999999998E-2</v>
      </c>
      <c r="F973">
        <v>2.3102134514699899</v>
      </c>
      <c r="G973">
        <f t="shared" si="79"/>
        <v>2.5070360346656617</v>
      </c>
      <c r="H973">
        <f t="shared" si="81"/>
        <v>3.0716176503852166E-2</v>
      </c>
      <c r="I973">
        <f t="shared" si="80"/>
        <v>1</v>
      </c>
      <c r="J973">
        <f t="shared" si="82"/>
        <v>3</v>
      </c>
      <c r="K973">
        <v>1.2749790102243E-3</v>
      </c>
      <c r="L973">
        <v>-1.187857799232E-2</v>
      </c>
      <c r="M973">
        <v>-1.4333862163126401E-2</v>
      </c>
      <c r="N973">
        <v>-1.7123435623943702E-2</v>
      </c>
      <c r="O973">
        <f t="shared" si="83"/>
        <v>2.5288125500083987E-3</v>
      </c>
    </row>
    <row r="974" spans="1:15" x14ac:dyDescent="0.35">
      <c r="A974" t="s">
        <v>70</v>
      </c>
      <c r="B974">
        <v>2017</v>
      </c>
      <c r="C974">
        <v>897496.25</v>
      </c>
      <c r="D974" s="8">
        <v>0.90104013681411699</v>
      </c>
      <c r="E974" s="8">
        <v>6.5000000000000002E-2</v>
      </c>
      <c r="F974">
        <v>2.2953654142855902</v>
      </c>
      <c r="G974">
        <f t="shared" si="79"/>
        <v>2.5474618948735244</v>
      </c>
      <c r="H974">
        <f t="shared" si="81"/>
        <v>1.6124961767154611E-2</v>
      </c>
      <c r="I974">
        <f t="shared" si="80"/>
        <v>1</v>
      </c>
      <c r="J974">
        <f t="shared" si="82"/>
        <v>4</v>
      </c>
      <c r="K974">
        <v>-1.4333862163126401E-2</v>
      </c>
      <c r="L974">
        <v>-1.7123435623943702E-2</v>
      </c>
      <c r="M974">
        <v>1.67743901014328E-2</v>
      </c>
      <c r="N974">
        <v>7.6393671333789999E-3</v>
      </c>
      <c r="O974">
        <f t="shared" si="83"/>
        <v>9.7460307180882201E-3</v>
      </c>
    </row>
    <row r="975" spans="1:15" x14ac:dyDescent="0.35">
      <c r="A975" t="s">
        <v>70</v>
      </c>
      <c r="B975">
        <v>2018</v>
      </c>
      <c r="C975">
        <v>909420.5</v>
      </c>
      <c r="D975" s="8">
        <v>0.91878557205200195</v>
      </c>
      <c r="E975" s="8">
        <v>0.03</v>
      </c>
      <c r="F975">
        <v>2.2026469159786299</v>
      </c>
      <c r="G975">
        <f t="shared" si="79"/>
        <v>2.3973459999586968</v>
      </c>
      <c r="H975">
        <f t="shared" si="81"/>
        <v>-5.8927631151978632E-2</v>
      </c>
      <c r="I975">
        <f t="shared" si="80"/>
        <v>0</v>
      </c>
      <c r="J975">
        <f t="shared" si="82"/>
        <v>3</v>
      </c>
      <c r="K975">
        <v>1.67743901014328E-2</v>
      </c>
      <c r="L975">
        <v>7.6393671333789999E-3</v>
      </c>
      <c r="M975">
        <v>1.6875642508268399E-2</v>
      </c>
      <c r="N975">
        <v>-9.2555209994310496E-4</v>
      </c>
      <c r="O975">
        <f t="shared" si="83"/>
        <v>3.3598568756134E-3</v>
      </c>
    </row>
    <row r="976" spans="1:15" x14ac:dyDescent="0.35">
      <c r="A976" t="s">
        <v>70</v>
      </c>
      <c r="B976">
        <v>2019</v>
      </c>
      <c r="C976">
        <v>922441.75</v>
      </c>
      <c r="D976" s="8">
        <v>0.90973860025405895</v>
      </c>
      <c r="E976" s="8">
        <v>4.7E-2</v>
      </c>
      <c r="F976">
        <v>2.1775225609811999</v>
      </c>
      <c r="G976">
        <f t="shared" si="79"/>
        <v>2.3935694938887853</v>
      </c>
      <c r="H976">
        <f t="shared" si="81"/>
        <v>-1.575286199812842E-3</v>
      </c>
      <c r="I976">
        <f t="shared" si="80"/>
        <v>0</v>
      </c>
      <c r="J976" t="str">
        <f t="shared" si="82"/>
        <v/>
      </c>
      <c r="K976">
        <v>1.6875642508268399E-2</v>
      </c>
      <c r="L976">
        <v>-9.2555209994310496E-4</v>
      </c>
      <c r="M976">
        <v>1.7102208092808699E-2</v>
      </c>
      <c r="N976">
        <v>-1.7469823360443E-3</v>
      </c>
      <c r="O976">
        <f t="shared" si="83"/>
        <v>3.3349058125168598E-3</v>
      </c>
    </row>
    <row r="977" spans="1:15" x14ac:dyDescent="0.35">
      <c r="A977" t="s">
        <v>70</v>
      </c>
      <c r="B977">
        <v>2020</v>
      </c>
      <c r="C977">
        <v>933451.875</v>
      </c>
      <c r="D977" s="8">
        <v>0.923705995082855</v>
      </c>
      <c r="E977" s="8">
        <v>3.6999999999999998E-2</v>
      </c>
      <c r="F977">
        <v>1.9823138549703101</v>
      </c>
      <c r="G977">
        <f t="shared" si="79"/>
        <v>2.1460441585555583</v>
      </c>
      <c r="H977">
        <f t="shared" si="81"/>
        <v>-0.10341263788881161</v>
      </c>
      <c r="I977">
        <f t="shared" si="80"/>
        <v>0</v>
      </c>
      <c r="J977" t="str">
        <f t="shared" si="82"/>
        <v/>
      </c>
      <c r="K977">
        <v>1.7102208092808699E-2</v>
      </c>
      <c r="L977">
        <v>-1.7469823360443E-3</v>
      </c>
      <c r="M977">
        <v>6.8390278398991006E-2</v>
      </c>
      <c r="N977">
        <v>2.48006656765941E-2</v>
      </c>
      <c r="O977">
        <f t="shared" si="83"/>
        <v>-2.0318506751208789E-3</v>
      </c>
    </row>
    <row r="978" spans="1:15" x14ac:dyDescent="0.35">
      <c r="A978" t="s">
        <v>70</v>
      </c>
      <c r="B978">
        <v>2021</v>
      </c>
      <c r="C978">
        <v>946247.375</v>
      </c>
      <c r="D978" s="8">
        <v>0.92952287197113004</v>
      </c>
      <c r="E978" s="8">
        <v>5.7000000000000002E-2</v>
      </c>
      <c r="F978">
        <v>2.19670478984261</v>
      </c>
      <c r="G978">
        <f t="shared" si="79"/>
        <v>2.3632606104509466</v>
      </c>
      <c r="H978">
        <f t="shared" si="81"/>
        <v>0.10121713993135661</v>
      </c>
      <c r="I978">
        <f t="shared" si="80"/>
        <v>1</v>
      </c>
      <c r="J978" t="str">
        <f t="shared" si="82"/>
        <v/>
      </c>
      <c r="K978">
        <v>6.8390278398991006E-2</v>
      </c>
      <c r="L978">
        <v>2.48006656765941E-2</v>
      </c>
      <c r="M978">
        <v>-1.31408515572548E-2</v>
      </c>
      <c r="N978">
        <v>1.8962655216455401E-2</v>
      </c>
      <c r="O978">
        <f t="shared" si="83"/>
        <v>-7.0000997278839294E-3</v>
      </c>
    </row>
    <row r="979" spans="1:15" x14ac:dyDescent="0.35">
      <c r="A979" t="s">
        <v>70</v>
      </c>
      <c r="B979">
        <v>2022</v>
      </c>
      <c r="C979">
        <v>965499.8125</v>
      </c>
      <c r="D979" s="8">
        <v>0.91046351194381703</v>
      </c>
      <c r="E979" s="8">
        <v>2.5999999999999999E-2</v>
      </c>
      <c r="F979">
        <v>2.2661539517956402</v>
      </c>
      <c r="G979">
        <f t="shared" si="79"/>
        <v>2.4890112805920772</v>
      </c>
      <c r="H979">
        <f t="shared" si="81"/>
        <v>5.3210665630793574E-2</v>
      </c>
      <c r="I979">
        <f t="shared" si="80"/>
        <v>1</v>
      </c>
      <c r="J979" t="str">
        <f t="shared" si="82"/>
        <v/>
      </c>
      <c r="K979">
        <v>-1.31408515572548E-2</v>
      </c>
      <c r="L979">
        <v>1.9441358745098E-2</v>
      </c>
      <c r="M979">
        <v>-4.3850429853424397E-2</v>
      </c>
      <c r="N979">
        <v>-2.4291502078995102E-2</v>
      </c>
      <c r="O979">
        <f t="shared" si="83"/>
        <v>-1.0515051707625374E-2</v>
      </c>
    </row>
    <row r="980" spans="1:15" x14ac:dyDescent="0.35">
      <c r="A980" t="s">
        <v>71</v>
      </c>
      <c r="B980">
        <v>2006</v>
      </c>
      <c r="C980">
        <v>349617.3125</v>
      </c>
      <c r="D980" s="8">
        <v>0.89985626935958896</v>
      </c>
      <c r="E980" s="8">
        <v>2.9000000000000001E-2</v>
      </c>
      <c r="F980">
        <v>2.4756631552227399</v>
      </c>
      <c r="G980">
        <f t="shared" si="79"/>
        <v>2.7511762039337944</v>
      </c>
      <c r="H980">
        <f t="shared" si="81"/>
        <v>0.10532894140976112</v>
      </c>
      <c r="I980">
        <f t="shared" si="80"/>
        <v>1</v>
      </c>
      <c r="J980" t="str">
        <f t="shared" si="82"/>
        <v/>
      </c>
      <c r="K980">
        <v>3.0460027635097399E-2</v>
      </c>
      <c r="L980">
        <v>2.4096988141536699E-2</v>
      </c>
      <c r="M980">
        <v>-1.9720633476972998E-3</v>
      </c>
      <c r="N980">
        <v>-1.0503074154258E-3</v>
      </c>
      <c r="O980" t="str">
        <f t="shared" si="83"/>
        <v/>
      </c>
    </row>
    <row r="981" spans="1:15" x14ac:dyDescent="0.35">
      <c r="A981" t="s">
        <v>71</v>
      </c>
      <c r="B981">
        <v>2007</v>
      </c>
      <c r="C981">
        <v>358411.90625</v>
      </c>
      <c r="D981" s="8">
        <v>0.88128936290741</v>
      </c>
      <c r="E981" s="8">
        <v>0.03</v>
      </c>
      <c r="F981">
        <v>2.3754162638306999</v>
      </c>
      <c r="G981">
        <f t="shared" si="79"/>
        <v>2.6953874218952372</v>
      </c>
      <c r="H981">
        <f t="shared" si="81"/>
        <v>-2.0278156651248658E-2</v>
      </c>
      <c r="I981">
        <f t="shared" si="80"/>
        <v>0</v>
      </c>
      <c r="J981" t="str">
        <f t="shared" si="82"/>
        <v/>
      </c>
      <c r="K981">
        <v>-1.9720633476972998E-3</v>
      </c>
      <c r="L981">
        <v>-1.0503074154258E-3</v>
      </c>
      <c r="M981">
        <v>-5.8091569051146499E-2</v>
      </c>
      <c r="N981">
        <v>-2.8580764774232999E-2</v>
      </c>
      <c r="O981" t="str">
        <f t="shared" si="83"/>
        <v/>
      </c>
    </row>
    <row r="982" spans="1:15" x14ac:dyDescent="0.35">
      <c r="A982" t="s">
        <v>71</v>
      </c>
      <c r="B982">
        <v>2008</v>
      </c>
      <c r="C982">
        <v>364377.1875</v>
      </c>
      <c r="D982" s="8">
        <v>0.85572224855422996</v>
      </c>
      <c r="E982" s="8">
        <v>0.108</v>
      </c>
      <c r="F982">
        <v>2.3948882466792099</v>
      </c>
      <c r="G982">
        <f t="shared" si="79"/>
        <v>2.7986747460702932</v>
      </c>
      <c r="H982">
        <f t="shared" si="81"/>
        <v>3.8320029000666E-2</v>
      </c>
      <c r="I982">
        <f t="shared" si="80"/>
        <v>1</v>
      </c>
      <c r="J982" t="str">
        <f t="shared" si="82"/>
        <v/>
      </c>
      <c r="K982">
        <v>-5.8091569051146499E-2</v>
      </c>
      <c r="L982">
        <v>-2.8580764774232999E-2</v>
      </c>
      <c r="M982">
        <v>-2.66072812527418E-2</v>
      </c>
      <c r="N982">
        <v>-4.0579587221149099E-5</v>
      </c>
      <c r="O982" t="str">
        <f t="shared" si="83"/>
        <v/>
      </c>
    </row>
    <row r="983" spans="1:15" x14ac:dyDescent="0.35">
      <c r="A983" t="s">
        <v>71</v>
      </c>
      <c r="B983">
        <v>2009</v>
      </c>
      <c r="C983">
        <v>368554.09375</v>
      </c>
      <c r="D983" s="8">
        <v>0.87044298648834195</v>
      </c>
      <c r="E983" s="8">
        <v>3.2000000000000001E-2</v>
      </c>
      <c r="F983">
        <v>2.5412738375830299</v>
      </c>
      <c r="G983">
        <f t="shared" si="79"/>
        <v>2.9195178512901556</v>
      </c>
      <c r="H983">
        <f t="shared" si="81"/>
        <v>4.3178688552337752E-2</v>
      </c>
      <c r="I983">
        <f t="shared" si="80"/>
        <v>1</v>
      </c>
      <c r="J983" t="str">
        <f t="shared" si="82"/>
        <v/>
      </c>
      <c r="K983">
        <v>-2.66072812527418E-2</v>
      </c>
      <c r="L983">
        <v>-4.0579587221149099E-5</v>
      </c>
      <c r="M983">
        <v>-8.0722134411334995E-3</v>
      </c>
      <c r="N983">
        <v>1.3878953177481801E-3</v>
      </c>
      <c r="O983" t="str">
        <f t="shared" si="83"/>
        <v/>
      </c>
    </row>
    <row r="984" spans="1:15" x14ac:dyDescent="0.35">
      <c r="A984" t="s">
        <v>71</v>
      </c>
      <c r="B984">
        <v>2010</v>
      </c>
      <c r="C984">
        <v>372471.1875</v>
      </c>
      <c r="D984" s="8">
        <v>0.89127677679061901</v>
      </c>
      <c r="E984" s="8">
        <v>0.01</v>
      </c>
      <c r="F984">
        <v>2.39972058366966</v>
      </c>
      <c r="G984">
        <f t="shared" si="79"/>
        <v>2.6924527219375856</v>
      </c>
      <c r="H984">
        <f t="shared" si="81"/>
        <v>-7.7774872742164769E-2</v>
      </c>
      <c r="I984">
        <f t="shared" si="80"/>
        <v>0</v>
      </c>
      <c r="J984">
        <f t="shared" si="82"/>
        <v>3</v>
      </c>
      <c r="K984">
        <v>-8.0722134411334995E-3</v>
      </c>
      <c r="L984">
        <v>1.3878953177481801E-3</v>
      </c>
      <c r="M984">
        <v>-3.3188137335702701E-2</v>
      </c>
      <c r="N984">
        <v>-1.1904362821951399E-2</v>
      </c>
      <c r="O984">
        <f t="shared" si="83"/>
        <v>-1.4567522564902857E-2</v>
      </c>
    </row>
    <row r="985" spans="1:15" x14ac:dyDescent="0.35">
      <c r="A985" t="s">
        <v>71</v>
      </c>
      <c r="B985">
        <v>2011</v>
      </c>
      <c r="C985">
        <v>376305.125</v>
      </c>
      <c r="D985" s="8">
        <v>0.89226764440536499</v>
      </c>
      <c r="E985" s="8">
        <v>7.0000000000000001E-3</v>
      </c>
      <c r="F985">
        <v>2.4312443063698499</v>
      </c>
      <c r="G985">
        <f t="shared" si="79"/>
        <v>2.7247926354990795</v>
      </c>
      <c r="H985">
        <f t="shared" si="81"/>
        <v>1.2011320866656128E-2</v>
      </c>
      <c r="I985">
        <f t="shared" si="80"/>
        <v>1</v>
      </c>
      <c r="J985">
        <f t="shared" si="82"/>
        <v>3</v>
      </c>
      <c r="K985">
        <v>-3.3188137335702701E-2</v>
      </c>
      <c r="L985">
        <v>-1.1904362821951399E-2</v>
      </c>
      <c r="M985">
        <v>-1.6643581729382202E-2</v>
      </c>
      <c r="N985">
        <v>-1.1205375660210799E-2</v>
      </c>
      <c r="O985">
        <f t="shared" si="83"/>
        <v>-1.4678098075091819E-2</v>
      </c>
    </row>
    <row r="986" spans="1:15" x14ac:dyDescent="0.35">
      <c r="A986" t="s">
        <v>71</v>
      </c>
      <c r="B986">
        <v>2012</v>
      </c>
      <c r="C986">
        <v>379154.125</v>
      </c>
      <c r="D986" s="8">
        <v>0.90200412273407005</v>
      </c>
      <c r="E986" s="8">
        <v>1E-3</v>
      </c>
      <c r="F986">
        <v>2.4397290902381301</v>
      </c>
      <c r="G986">
        <f t="shared" si="79"/>
        <v>2.7047870721954714</v>
      </c>
      <c r="H986">
        <f t="shared" si="81"/>
        <v>-7.3420498290299729E-3</v>
      </c>
      <c r="I986">
        <f t="shared" si="80"/>
        <v>0</v>
      </c>
      <c r="J986">
        <f t="shared" si="82"/>
        <v>3</v>
      </c>
      <c r="K986">
        <v>-1.6643581729382202E-2</v>
      </c>
      <c r="L986">
        <v>-1.12909744493663E-2</v>
      </c>
      <c r="M986">
        <v>-4.3899971991779902E-4</v>
      </c>
      <c r="N986">
        <v>-6.5657710656523999E-3</v>
      </c>
      <c r="O986">
        <f t="shared" si="83"/>
        <v>-1.4900315459817621E-2</v>
      </c>
    </row>
    <row r="987" spans="1:15" x14ac:dyDescent="0.35">
      <c r="A987" t="s">
        <v>71</v>
      </c>
      <c r="B987">
        <v>2013</v>
      </c>
      <c r="C987">
        <v>382272.875</v>
      </c>
      <c r="D987" s="8">
        <v>0.90686768293380704</v>
      </c>
      <c r="E987" s="8">
        <v>0</v>
      </c>
      <c r="F987">
        <v>2.36145820696348</v>
      </c>
      <c r="G987">
        <f t="shared" si="79"/>
        <v>2.6039721686011879</v>
      </c>
      <c r="H987">
        <f t="shared" si="81"/>
        <v>-3.7272768947557933E-2</v>
      </c>
      <c r="I987">
        <f t="shared" si="80"/>
        <v>0</v>
      </c>
      <c r="J987">
        <f t="shared" si="82"/>
        <v>2</v>
      </c>
      <c r="K987">
        <v>-4.3899971991779902E-4</v>
      </c>
      <c r="L987">
        <v>-6.5657710656523999E-3</v>
      </c>
      <c r="M987">
        <v>-1.8075051423162201E-2</v>
      </c>
      <c r="N987">
        <v>-2.0083074923604699E-2</v>
      </c>
      <c r="O987">
        <f t="shared" si="83"/>
        <v>-1.006791377440092E-2</v>
      </c>
    </row>
    <row r="988" spans="1:15" x14ac:dyDescent="0.35">
      <c r="A988" t="s">
        <v>71</v>
      </c>
      <c r="B988">
        <v>2014</v>
      </c>
      <c r="C988">
        <v>385600</v>
      </c>
      <c r="D988" s="8">
        <v>0.90617132186889604</v>
      </c>
      <c r="E988" s="8">
        <v>0</v>
      </c>
      <c r="F988">
        <v>2.2698368261078201</v>
      </c>
      <c r="G988">
        <f t="shared" si="79"/>
        <v>2.5048649977429078</v>
      </c>
      <c r="H988">
        <f t="shared" si="81"/>
        <v>-3.8059996206303071E-2</v>
      </c>
      <c r="I988">
        <f t="shared" si="80"/>
        <v>0</v>
      </c>
      <c r="J988">
        <f t="shared" si="82"/>
        <v>1</v>
      </c>
      <c r="K988">
        <v>-1.8075051423162201E-2</v>
      </c>
      <c r="L988">
        <v>-2.0083074923604699E-2</v>
      </c>
      <c r="M988">
        <v>7.1844236701726896E-3</v>
      </c>
      <c r="N988">
        <v>-2.3079028353094999E-2</v>
      </c>
      <c r="O988">
        <f t="shared" si="83"/>
        <v>-1.9125020131468406E-3</v>
      </c>
    </row>
    <row r="989" spans="1:15" x14ac:dyDescent="0.35">
      <c r="A989" t="s">
        <v>71</v>
      </c>
      <c r="B989">
        <v>2015</v>
      </c>
      <c r="C989">
        <v>387915.71875</v>
      </c>
      <c r="D989" s="8">
        <v>0.90802413225173995</v>
      </c>
      <c r="E989" s="8">
        <v>1.7999999999999999E-2</v>
      </c>
      <c r="F989">
        <v>2.51953338007322</v>
      </c>
      <c r="G989">
        <f t="shared" si="79"/>
        <v>2.7747427525138799</v>
      </c>
      <c r="H989">
        <f t="shared" si="81"/>
        <v>0.10774143716893114</v>
      </c>
      <c r="I989">
        <f t="shared" si="80"/>
        <v>1</v>
      </c>
      <c r="J989">
        <f t="shared" si="82"/>
        <v>2</v>
      </c>
      <c r="K989">
        <v>7.1844236701726896E-3</v>
      </c>
      <c r="L989">
        <v>-2.3079028353094999E-2</v>
      </c>
      <c r="M989">
        <v>6.963166296482E-4</v>
      </c>
      <c r="N989">
        <v>-1.24572403728962E-2</v>
      </c>
      <c r="O989">
        <f t="shared" si="83"/>
        <v>-2.6689041405915789E-3</v>
      </c>
    </row>
    <row r="990" spans="1:15" x14ac:dyDescent="0.35">
      <c r="A990" t="s">
        <v>71</v>
      </c>
      <c r="B990">
        <v>2016</v>
      </c>
      <c r="C990">
        <v>390359.8125</v>
      </c>
      <c r="D990" s="8">
        <v>0.90537768602371205</v>
      </c>
      <c r="E990" s="8">
        <v>0</v>
      </c>
      <c r="F990">
        <v>2.4524443000182701</v>
      </c>
      <c r="G990">
        <f t="shared" si="79"/>
        <v>2.7087527535486888</v>
      </c>
      <c r="H990">
        <f t="shared" si="81"/>
        <v>-2.3782384477049279E-2</v>
      </c>
      <c r="I990">
        <f t="shared" si="80"/>
        <v>0</v>
      </c>
      <c r="J990">
        <f t="shared" si="82"/>
        <v>1</v>
      </c>
      <c r="K990">
        <v>6.963166296482E-4</v>
      </c>
      <c r="L990">
        <v>-1.24572403728962E-2</v>
      </c>
      <c r="M990">
        <v>-9.5268891230225992E-3</v>
      </c>
      <c r="N990">
        <v>-1.23164625838398E-2</v>
      </c>
      <c r="O990">
        <f t="shared" si="83"/>
        <v>1.6450557857752186E-3</v>
      </c>
    </row>
    <row r="991" spans="1:15" x14ac:dyDescent="0.35">
      <c r="A991" t="s">
        <v>71</v>
      </c>
      <c r="B991">
        <v>2017</v>
      </c>
      <c r="C991">
        <v>393182</v>
      </c>
      <c r="D991" s="8">
        <v>0.90540492534637496</v>
      </c>
      <c r="E991" s="8">
        <v>0</v>
      </c>
      <c r="F991">
        <v>2.42415775187609</v>
      </c>
      <c r="G991">
        <f t="shared" si="79"/>
        <v>2.6774293843704191</v>
      </c>
      <c r="H991">
        <f t="shared" si="81"/>
        <v>-1.1563760899636732E-2</v>
      </c>
      <c r="I991">
        <f t="shared" si="80"/>
        <v>0</v>
      </c>
      <c r="J991">
        <f t="shared" si="82"/>
        <v>1</v>
      </c>
      <c r="K991">
        <v>-9.5268891230225992E-3</v>
      </c>
      <c r="L991">
        <v>-1.23164625838398E-2</v>
      </c>
      <c r="M991">
        <v>2.67312603294848E-2</v>
      </c>
      <c r="N991">
        <v>1.7596237361431101E-2</v>
      </c>
      <c r="O991">
        <f t="shared" si="83"/>
        <v>1.0048467479646238E-2</v>
      </c>
    </row>
    <row r="992" spans="1:15" x14ac:dyDescent="0.35">
      <c r="A992" t="s">
        <v>71</v>
      </c>
      <c r="B992">
        <v>2018</v>
      </c>
      <c r="C992">
        <v>395190.3125</v>
      </c>
      <c r="D992" s="8">
        <v>0.920088350772858</v>
      </c>
      <c r="E992" s="8">
        <v>0</v>
      </c>
      <c r="F992">
        <v>2.2761207923741398</v>
      </c>
      <c r="G992">
        <f t="shared" si="79"/>
        <v>2.4738067713412941</v>
      </c>
      <c r="H992">
        <f t="shared" si="81"/>
        <v>-7.6051534437389323E-2</v>
      </c>
      <c r="I992">
        <f t="shared" si="80"/>
        <v>0</v>
      </c>
      <c r="J992">
        <f t="shared" si="82"/>
        <v>1</v>
      </c>
      <c r="K992">
        <v>2.67312603294848E-2</v>
      </c>
      <c r="L992">
        <v>1.7596237361431101E-2</v>
      </c>
      <c r="M992">
        <v>3.8495178490877198E-2</v>
      </c>
      <c r="N992">
        <v>2.06939838826657E-2</v>
      </c>
      <c r="O992">
        <f t="shared" si="83"/>
        <v>1.0075737349689038E-2</v>
      </c>
    </row>
    <row r="993" spans="1:15" x14ac:dyDescent="0.35">
      <c r="A993" t="s">
        <v>71</v>
      </c>
      <c r="B993">
        <v>2019</v>
      </c>
      <c r="C993">
        <v>397032</v>
      </c>
      <c r="D993" s="8">
        <v>0.92067348957061801</v>
      </c>
      <c r="E993" s="8">
        <v>0</v>
      </c>
      <c r="F993">
        <v>2.4544043213814799</v>
      </c>
      <c r="G993">
        <f t="shared" si="79"/>
        <v>2.6658792168830239</v>
      </c>
      <c r="H993">
        <f t="shared" si="81"/>
        <v>7.7642460909583599E-2</v>
      </c>
      <c r="I993">
        <f t="shared" si="80"/>
        <v>1</v>
      </c>
      <c r="J993" t="str">
        <f t="shared" si="82"/>
        <v/>
      </c>
      <c r="K993">
        <v>3.8495178490877198E-2</v>
      </c>
      <c r="L993">
        <v>2.06939838826657E-2</v>
      </c>
      <c r="M993">
        <v>-8.0118485614657405E-3</v>
      </c>
      <c r="N993">
        <v>-2.6861038990318699E-2</v>
      </c>
      <c r="O993">
        <f t="shared" si="83"/>
        <v>6.6857080906629783E-3</v>
      </c>
    </row>
    <row r="994" spans="1:15" x14ac:dyDescent="0.35">
      <c r="A994" t="s">
        <v>71</v>
      </c>
      <c r="B994">
        <v>2020</v>
      </c>
      <c r="C994">
        <v>398747.71875</v>
      </c>
      <c r="D994" s="8">
        <v>0.93884605169296298</v>
      </c>
      <c r="E994" s="8">
        <v>2E-3</v>
      </c>
      <c r="F994">
        <v>2.0622700254741</v>
      </c>
      <c r="G994">
        <f t="shared" si="79"/>
        <v>2.1966008396747645</v>
      </c>
      <c r="H994">
        <f t="shared" si="81"/>
        <v>-0.17603137240288969</v>
      </c>
      <c r="I994">
        <f t="shared" si="80"/>
        <v>0</v>
      </c>
      <c r="J994" t="str">
        <f t="shared" si="82"/>
        <v/>
      </c>
      <c r="K994">
        <v>-8.0118485614657405E-3</v>
      </c>
      <c r="L994">
        <v>-2.6861038990318699E-2</v>
      </c>
      <c r="M994">
        <v>5.27021719813347E-2</v>
      </c>
      <c r="N994">
        <v>9.1125592589377906E-3</v>
      </c>
      <c r="O994">
        <f t="shared" si="83"/>
        <v>1.145334420725704E-2</v>
      </c>
    </row>
    <row r="995" spans="1:15" x14ac:dyDescent="0.35">
      <c r="A995" t="s">
        <v>71</v>
      </c>
      <c r="B995">
        <v>2021</v>
      </c>
      <c r="C995">
        <v>400479.3125</v>
      </c>
      <c r="D995" s="8">
        <v>0.93254464864730802</v>
      </c>
      <c r="E995" s="8">
        <v>2.3E-2</v>
      </c>
      <c r="F995">
        <v>2.2688426533554198</v>
      </c>
      <c r="G995">
        <f t="shared" si="79"/>
        <v>2.4329587399879067</v>
      </c>
      <c r="H995">
        <f t="shared" si="81"/>
        <v>0.10760166164196594</v>
      </c>
      <c r="I995">
        <f t="shared" si="80"/>
        <v>1</v>
      </c>
      <c r="J995" t="str">
        <f t="shared" si="82"/>
        <v/>
      </c>
      <c r="K995">
        <v>5.27021719813347E-2</v>
      </c>
      <c r="L995">
        <v>9.1125592589377906E-3</v>
      </c>
      <c r="M995">
        <v>-2.4029108881949901E-3</v>
      </c>
      <c r="N995">
        <v>2.97005958855153E-2</v>
      </c>
      <c r="O995">
        <f t="shared" si="83"/>
        <v>1.0582101996988072E-2</v>
      </c>
    </row>
    <row r="996" spans="1:15" x14ac:dyDescent="0.35">
      <c r="A996" t="s">
        <v>71</v>
      </c>
      <c r="B996">
        <v>2022</v>
      </c>
      <c r="C996">
        <v>402534.90625</v>
      </c>
      <c r="D996" s="8">
        <v>0.91730469465255704</v>
      </c>
      <c r="E996" s="8">
        <v>1.2999999999999999E-2</v>
      </c>
      <c r="F996">
        <v>2.3220541639265799</v>
      </c>
      <c r="G996">
        <f t="shared" si="79"/>
        <v>2.531388073628134</v>
      </c>
      <c r="H996">
        <f t="shared" si="81"/>
        <v>4.0456639080002077E-2</v>
      </c>
      <c r="I996">
        <f t="shared" si="80"/>
        <v>1</v>
      </c>
      <c r="J996" t="str">
        <f t="shared" si="82"/>
        <v/>
      </c>
      <c r="K996">
        <v>-2.4029108881949901E-3</v>
      </c>
      <c r="L996">
        <v>3.0179299414157899E-2</v>
      </c>
      <c r="M996">
        <v>-1.8263410627841999E-3</v>
      </c>
      <c r="N996">
        <v>1.7732586711645099E-2</v>
      </c>
      <c r="O996">
        <f t="shared" si="83"/>
        <v>6.438350630924107E-3</v>
      </c>
    </row>
    <row r="997" spans="1:15" x14ac:dyDescent="0.35">
      <c r="A997" t="s">
        <v>72</v>
      </c>
      <c r="B997">
        <v>2006</v>
      </c>
      <c r="C997">
        <v>533488</v>
      </c>
      <c r="D997" s="8">
        <v>0.94032537937164296</v>
      </c>
      <c r="E997" s="8">
        <v>1.7999999999999999E-2</v>
      </c>
      <c r="F997">
        <v>1.9949450213805699</v>
      </c>
      <c r="G997">
        <f t="shared" si="79"/>
        <v>2.1215475676235171</v>
      </c>
      <c r="H997">
        <f t="shared" si="81"/>
        <v>-0.16190346722192195</v>
      </c>
      <c r="I997">
        <f t="shared" si="80"/>
        <v>0</v>
      </c>
      <c r="J997" t="str">
        <f t="shared" si="82"/>
        <v/>
      </c>
      <c r="K997">
        <v>-1.2379664629697999E-3</v>
      </c>
      <c r="L997">
        <v>-7.6010059565305901E-3</v>
      </c>
      <c r="M997">
        <v>2.8220816552638902E-3</v>
      </c>
      <c r="N997">
        <v>3.7438375875354E-3</v>
      </c>
      <c r="O997" t="str">
        <f t="shared" si="83"/>
        <v/>
      </c>
    </row>
    <row r="998" spans="1:15" x14ac:dyDescent="0.35">
      <c r="A998" t="s">
        <v>72</v>
      </c>
      <c r="B998">
        <v>2007</v>
      </c>
      <c r="C998">
        <v>538522.6875</v>
      </c>
      <c r="D998" s="8">
        <v>0.94276237487793002</v>
      </c>
      <c r="E998" s="8">
        <v>5.0000000000000001E-3</v>
      </c>
      <c r="F998">
        <v>2.0675292648165602</v>
      </c>
      <c r="G998">
        <f t="shared" si="79"/>
        <v>2.1930544959266816</v>
      </c>
      <c r="H998">
        <f t="shared" si="81"/>
        <v>3.3705078968964131E-2</v>
      </c>
      <c r="I998">
        <f t="shared" si="80"/>
        <v>1</v>
      </c>
      <c r="J998" t="str">
        <f t="shared" si="82"/>
        <v/>
      </c>
      <c r="K998">
        <v>2.8220816552638902E-3</v>
      </c>
      <c r="L998">
        <v>3.7438375875354E-3</v>
      </c>
      <c r="M998">
        <v>-3.2533662684261798E-2</v>
      </c>
      <c r="N998">
        <v>-3.0228584073483901E-3</v>
      </c>
      <c r="O998" t="str">
        <f t="shared" si="83"/>
        <v/>
      </c>
    </row>
    <row r="999" spans="1:15" x14ac:dyDescent="0.35">
      <c r="A999" t="s">
        <v>72</v>
      </c>
      <c r="B999">
        <v>2008</v>
      </c>
      <c r="C999">
        <v>543467.3125</v>
      </c>
      <c r="D999" s="8">
        <v>0.93168610334396396</v>
      </c>
      <c r="E999" s="8">
        <v>3.2000000000000001E-2</v>
      </c>
      <c r="F999">
        <v>2.0949945369036098</v>
      </c>
      <c r="G999">
        <f t="shared" si="79"/>
        <v>2.2486055436314376</v>
      </c>
      <c r="H999">
        <f t="shared" si="81"/>
        <v>2.5330445644617949E-2</v>
      </c>
      <c r="I999">
        <f t="shared" si="80"/>
        <v>1</v>
      </c>
      <c r="J999" t="str">
        <f t="shared" si="82"/>
        <v/>
      </c>
      <c r="K999">
        <v>-3.2533662684261798E-2</v>
      </c>
      <c r="L999">
        <v>-3.0228584073483901E-3</v>
      </c>
      <c r="M999">
        <v>-2.18103534579277E-2</v>
      </c>
      <c r="N999">
        <v>4.7563482075929503E-3</v>
      </c>
      <c r="O999" t="str">
        <f t="shared" si="83"/>
        <v/>
      </c>
    </row>
    <row r="1000" spans="1:15" x14ac:dyDescent="0.35">
      <c r="A1000" t="s">
        <v>72</v>
      </c>
      <c r="B1000">
        <v>2009</v>
      </c>
      <c r="C1000">
        <v>547785.25</v>
      </c>
      <c r="D1000" s="8">
        <v>0.941342532634735</v>
      </c>
      <c r="E1000" s="8">
        <v>1.2999999999999999E-2</v>
      </c>
      <c r="F1000">
        <v>2.0477712968963702</v>
      </c>
      <c r="G1000">
        <f t="shared" si="79"/>
        <v>2.1753731780979217</v>
      </c>
      <c r="H1000">
        <f t="shared" si="81"/>
        <v>-3.2567902245427827E-2</v>
      </c>
      <c r="I1000">
        <f t="shared" si="80"/>
        <v>0</v>
      </c>
      <c r="J1000" t="str">
        <f t="shared" si="82"/>
        <v/>
      </c>
      <c r="K1000">
        <v>-2.18103534579277E-2</v>
      </c>
      <c r="L1000">
        <v>4.7563482075929503E-3</v>
      </c>
      <c r="M1000">
        <v>-4.7826970368619902E-4</v>
      </c>
      <c r="N1000">
        <v>8.9818390551954803E-3</v>
      </c>
      <c r="O1000" t="str">
        <f t="shared" si="83"/>
        <v/>
      </c>
    </row>
    <row r="1001" spans="1:15" x14ac:dyDescent="0.35">
      <c r="A1001" t="s">
        <v>72</v>
      </c>
      <c r="B1001">
        <v>2010</v>
      </c>
      <c r="C1001">
        <v>551224.5</v>
      </c>
      <c r="D1001" s="8">
        <v>0.93261361122131303</v>
      </c>
      <c r="E1001" s="8">
        <v>1.2E-2</v>
      </c>
      <c r="F1001">
        <v>2.0241996695986</v>
      </c>
      <c r="G1001">
        <f t="shared" si="79"/>
        <v>2.1704590681963025</v>
      </c>
      <c r="H1001">
        <f t="shared" si="81"/>
        <v>-2.2589732883973035E-3</v>
      </c>
      <c r="I1001">
        <f t="shared" si="80"/>
        <v>0</v>
      </c>
      <c r="J1001">
        <f t="shared" si="82"/>
        <v>2</v>
      </c>
      <c r="K1001">
        <v>-4.7826970368619902E-4</v>
      </c>
      <c r="L1001">
        <v>8.9818390551954803E-3</v>
      </c>
      <c r="M1001">
        <v>-1.7626119188964399E-2</v>
      </c>
      <c r="N1001">
        <v>3.6576553247868902E-3</v>
      </c>
      <c r="O1001">
        <f t="shared" si="83"/>
        <v>-2.4138710461556801E-3</v>
      </c>
    </row>
    <row r="1002" spans="1:15" x14ac:dyDescent="0.35">
      <c r="A1002" t="s">
        <v>72</v>
      </c>
      <c r="B1002">
        <v>2011</v>
      </c>
      <c r="C1002">
        <v>554600.5625</v>
      </c>
      <c r="D1002" s="8">
        <v>0.93203473091125499</v>
      </c>
      <c r="E1002" s="8">
        <v>1.7999999999999999E-2</v>
      </c>
      <c r="F1002">
        <v>2.1936463933691699</v>
      </c>
      <c r="G1002">
        <f t="shared" si="79"/>
        <v>2.353610139854371</v>
      </c>
      <c r="H1002">
        <f t="shared" si="81"/>
        <v>8.4383563985047205E-2</v>
      </c>
      <c r="I1002">
        <f t="shared" si="80"/>
        <v>1</v>
      </c>
      <c r="J1002">
        <f t="shared" si="82"/>
        <v>3</v>
      </c>
      <c r="K1002">
        <v>-1.7626119188964399E-2</v>
      </c>
      <c r="L1002">
        <v>3.6576553247868902E-3</v>
      </c>
      <c r="M1002">
        <v>-9.5077457875013E-3</v>
      </c>
      <c r="N1002">
        <v>-4.0695397183299004E-3</v>
      </c>
      <c r="O1002">
        <f t="shared" si="83"/>
        <v>-1.7651708796620202E-3</v>
      </c>
    </row>
    <row r="1003" spans="1:15" x14ac:dyDescent="0.35">
      <c r="A1003" t="s">
        <v>72</v>
      </c>
      <c r="B1003">
        <v>2012</v>
      </c>
      <c r="C1003">
        <v>558620.4375</v>
      </c>
      <c r="D1003" s="8">
        <v>0.93717783689498901</v>
      </c>
      <c r="E1003" s="8">
        <v>1.2999999999999999E-2</v>
      </c>
      <c r="F1003">
        <v>2.1813864588693601</v>
      </c>
      <c r="G1003">
        <f t="shared" si="79"/>
        <v>2.3276120849129565</v>
      </c>
      <c r="H1003">
        <f t="shared" si="81"/>
        <v>-1.1046032858705757E-2</v>
      </c>
      <c r="I1003">
        <f t="shared" si="80"/>
        <v>0</v>
      </c>
      <c r="J1003">
        <f t="shared" si="82"/>
        <v>2</v>
      </c>
      <c r="K1003">
        <v>-9.5077457875013E-3</v>
      </c>
      <c r="L1003">
        <v>-4.1551385074854001E-3</v>
      </c>
      <c r="M1003">
        <v>4.2280691117047896E-3</v>
      </c>
      <c r="N1003">
        <v>-1.8987022340298E-3</v>
      </c>
      <c r="O1003">
        <f t="shared" si="83"/>
        <v>-1.9131574779748597E-3</v>
      </c>
    </row>
    <row r="1004" spans="1:15" x14ac:dyDescent="0.35">
      <c r="A1004" t="s">
        <v>72</v>
      </c>
      <c r="B1004">
        <v>2013</v>
      </c>
      <c r="C1004">
        <v>562700.3125</v>
      </c>
      <c r="D1004" s="8">
        <v>0.93415743112564098</v>
      </c>
      <c r="E1004" s="8">
        <v>0.01</v>
      </c>
      <c r="F1004">
        <v>2.0961494461716499</v>
      </c>
      <c r="G1004">
        <f t="shared" si="79"/>
        <v>2.2438931344214987</v>
      </c>
      <c r="H1004">
        <f t="shared" si="81"/>
        <v>-3.5967741804617925E-2</v>
      </c>
      <c r="I1004">
        <f t="shared" si="80"/>
        <v>0</v>
      </c>
      <c r="J1004">
        <f t="shared" si="82"/>
        <v>1</v>
      </c>
      <c r="K1004">
        <v>4.2280691117047896E-3</v>
      </c>
      <c r="L1004">
        <v>-1.8987022340298E-3</v>
      </c>
      <c r="M1004">
        <v>-6.4857414364810097E-4</v>
      </c>
      <c r="N1004">
        <v>-2.6565976440906E-3</v>
      </c>
      <c r="O1004">
        <f t="shared" si="83"/>
        <v>9.4164162874599978E-6</v>
      </c>
    </row>
    <row r="1005" spans="1:15" x14ac:dyDescent="0.35">
      <c r="A1005" t="s">
        <v>72</v>
      </c>
      <c r="B1005">
        <v>2014</v>
      </c>
      <c r="C1005">
        <v>567000.5</v>
      </c>
      <c r="D1005" s="8">
        <v>0.94227081537246704</v>
      </c>
      <c r="E1005" s="8">
        <v>1.2E-2</v>
      </c>
      <c r="F1005">
        <v>2.0973350844072298</v>
      </c>
      <c r="G1005">
        <f t="shared" si="79"/>
        <v>2.2258304621035951</v>
      </c>
      <c r="H1005">
        <f t="shared" si="81"/>
        <v>-8.0497025641822484E-3</v>
      </c>
      <c r="I1005">
        <f t="shared" si="80"/>
        <v>0</v>
      </c>
      <c r="J1005">
        <f t="shared" si="82"/>
        <v>1</v>
      </c>
      <c r="K1005">
        <v>-6.4857414364810097E-4</v>
      </c>
      <c r="L1005">
        <v>-2.6565976440906E-3</v>
      </c>
      <c r="M1005">
        <v>2.3161281064152699E-2</v>
      </c>
      <c r="N1005">
        <v>-7.1021709591149902E-3</v>
      </c>
      <c r="O1005">
        <f t="shared" si="83"/>
        <v>-4.0745474398133988E-4</v>
      </c>
    </row>
    <row r="1006" spans="1:15" x14ac:dyDescent="0.35">
      <c r="A1006" t="s">
        <v>72</v>
      </c>
      <c r="B1006">
        <v>2015</v>
      </c>
      <c r="C1006">
        <v>571416</v>
      </c>
      <c r="D1006" s="8">
        <v>0.93908160924911499</v>
      </c>
      <c r="E1006" s="8">
        <v>2.9000000000000001E-2</v>
      </c>
      <c r="F1006">
        <v>2.1254553086620298</v>
      </c>
      <c r="G1006">
        <f t="shared" si="79"/>
        <v>2.2633339719660075</v>
      </c>
      <c r="H1006">
        <f t="shared" si="81"/>
        <v>1.6849221223690369E-2</v>
      </c>
      <c r="I1006">
        <f t="shared" si="80"/>
        <v>1</v>
      </c>
      <c r="J1006">
        <f t="shared" si="82"/>
        <v>2</v>
      </c>
      <c r="K1006">
        <v>2.3161281064152699E-2</v>
      </c>
      <c r="L1006">
        <v>-7.1021709591149902E-3</v>
      </c>
      <c r="M1006">
        <v>2.0054713159799599E-2</v>
      </c>
      <c r="N1006">
        <v>6.9011561572551901E-3</v>
      </c>
      <c r="O1006">
        <f t="shared" si="83"/>
        <v>1.8075209110975364E-3</v>
      </c>
    </row>
    <row r="1007" spans="1:15" x14ac:dyDescent="0.35">
      <c r="A1007" t="s">
        <v>72</v>
      </c>
      <c r="B1007">
        <v>2016</v>
      </c>
      <c r="C1007">
        <v>575526.8125</v>
      </c>
      <c r="D1007" s="8">
        <v>0.94656670093536399</v>
      </c>
      <c r="E1007" s="8">
        <v>0</v>
      </c>
      <c r="F1007">
        <v>2.19652950331758</v>
      </c>
      <c r="G1007">
        <f t="shared" si="79"/>
        <v>2.3205226859840375</v>
      </c>
      <c r="H1007">
        <f t="shared" si="81"/>
        <v>2.5267465926981147E-2</v>
      </c>
      <c r="I1007">
        <f t="shared" si="80"/>
        <v>1</v>
      </c>
      <c r="J1007">
        <f t="shared" si="82"/>
        <v>2</v>
      </c>
      <c r="K1007">
        <v>2.0054713159799599E-2</v>
      </c>
      <c r="L1007">
        <v>6.9011561572551901E-3</v>
      </c>
      <c r="M1007">
        <v>-2.0198992490767999E-3</v>
      </c>
      <c r="N1007">
        <v>-4.8094727098940996E-3</v>
      </c>
      <c r="O1007">
        <f t="shared" si="83"/>
        <v>-1.5700574964285022E-3</v>
      </c>
    </row>
    <row r="1008" spans="1:15" x14ac:dyDescent="0.35">
      <c r="A1008" t="s">
        <v>72</v>
      </c>
      <c r="B1008">
        <v>2017</v>
      </c>
      <c r="C1008">
        <v>579876</v>
      </c>
      <c r="D1008" s="8">
        <v>0.94432926177978505</v>
      </c>
      <c r="E1008" s="8">
        <v>1.9E-2</v>
      </c>
      <c r="F1008">
        <v>2.1935973878478099</v>
      </c>
      <c r="G1008">
        <f t="shared" si="79"/>
        <v>2.3229158267461911</v>
      </c>
      <c r="H1008">
        <f t="shared" si="81"/>
        <v>1.0312938445324882E-3</v>
      </c>
      <c r="I1008">
        <f t="shared" si="80"/>
        <v>1</v>
      </c>
      <c r="J1008">
        <f t="shared" si="82"/>
        <v>3</v>
      </c>
      <c r="K1008">
        <v>-2.0198992490767999E-3</v>
      </c>
      <c r="L1008">
        <v>-4.8094727098940996E-3</v>
      </c>
      <c r="M1008">
        <v>1.6849190205335599E-2</v>
      </c>
      <c r="N1008">
        <v>7.7141672372818002E-3</v>
      </c>
      <c r="O1008">
        <f t="shared" si="83"/>
        <v>-4.6508498489856824E-3</v>
      </c>
    </row>
    <row r="1009" spans="1:15" x14ac:dyDescent="0.35">
      <c r="A1009" t="s">
        <v>72</v>
      </c>
      <c r="B1009">
        <v>2018</v>
      </c>
      <c r="C1009">
        <v>584293.1875</v>
      </c>
      <c r="D1009" s="8">
        <v>0.945415079593658</v>
      </c>
      <c r="E1009" s="8">
        <v>1.2E-2</v>
      </c>
      <c r="F1009">
        <v>2.2717389936711201</v>
      </c>
      <c r="G1009">
        <f t="shared" si="79"/>
        <v>2.4029011623630119</v>
      </c>
      <c r="H1009">
        <f t="shared" si="81"/>
        <v>3.4433161415435176E-2</v>
      </c>
      <c r="I1009">
        <f t="shared" si="80"/>
        <v>1</v>
      </c>
      <c r="J1009">
        <f t="shared" si="82"/>
        <v>4</v>
      </c>
      <c r="K1009">
        <v>1.6849190205335599E-2</v>
      </c>
      <c r="L1009">
        <v>7.7141672372818002E-3</v>
      </c>
      <c r="M1009">
        <v>1.30602411627769E-2</v>
      </c>
      <c r="N1009">
        <v>-4.7409534454345998E-3</v>
      </c>
      <c r="O1009">
        <f t="shared" si="83"/>
        <v>-5.208740010857602E-3</v>
      </c>
    </row>
    <row r="1010" spans="1:15" x14ac:dyDescent="0.35">
      <c r="A1010" t="s">
        <v>72</v>
      </c>
      <c r="B1010">
        <v>2019</v>
      </c>
      <c r="C1010">
        <v>588931.25</v>
      </c>
      <c r="D1010" s="8">
        <v>0.94845455884933505</v>
      </c>
      <c r="E1010" s="8">
        <v>2.8000000000000001E-2</v>
      </c>
      <c r="F1010">
        <v>2.0822684361745698</v>
      </c>
      <c r="G1010">
        <f t="shared" si="79"/>
        <v>2.1954329986043586</v>
      </c>
      <c r="H1010">
        <f t="shared" si="81"/>
        <v>-8.6340698072919997E-2</v>
      </c>
      <c r="I1010">
        <f t="shared" si="80"/>
        <v>0</v>
      </c>
      <c r="J1010" t="str">
        <f t="shared" si="82"/>
        <v/>
      </c>
      <c r="K1010">
        <v>1.30602411627769E-2</v>
      </c>
      <c r="L1010">
        <v>-4.7409534454345998E-3</v>
      </c>
      <c r="M1010">
        <v>2.28218977451323E-2</v>
      </c>
      <c r="N1010">
        <v>3.9727073162793896E-3</v>
      </c>
      <c r="O1010">
        <f t="shared" si="83"/>
        <v>-8.5482394322753032E-3</v>
      </c>
    </row>
    <row r="1011" spans="1:15" x14ac:dyDescent="0.35">
      <c r="A1011" t="s">
        <v>72</v>
      </c>
      <c r="B1011">
        <v>2020</v>
      </c>
      <c r="C1011">
        <v>594537.3125</v>
      </c>
      <c r="D1011" s="8">
        <v>0.96443068981170699</v>
      </c>
      <c r="E1011" s="8">
        <v>5.0000000000000001E-3</v>
      </c>
      <c r="F1011">
        <v>2.0727807070619702</v>
      </c>
      <c r="G1011">
        <f t="shared" si="79"/>
        <v>2.1492272373317514</v>
      </c>
      <c r="H1011">
        <f t="shared" si="81"/>
        <v>-2.1046308997806018E-2</v>
      </c>
      <c r="I1011">
        <f t="shared" si="80"/>
        <v>0</v>
      </c>
      <c r="J1011" t="str">
        <f t="shared" si="82"/>
        <v/>
      </c>
      <c r="K1011">
        <v>2.28218977451323E-2</v>
      </c>
      <c r="L1011">
        <v>3.9727073162793896E-3</v>
      </c>
      <c r="M1011">
        <v>3.36028768420219E-2</v>
      </c>
      <c r="N1011">
        <v>-9.9867358803750004E-3</v>
      </c>
      <c r="O1011">
        <f t="shared" si="83"/>
        <v>-9.5335103571414972E-3</v>
      </c>
    </row>
    <row r="1012" spans="1:15" x14ac:dyDescent="0.35">
      <c r="A1012" t="s">
        <v>72</v>
      </c>
      <c r="B1012">
        <v>2021</v>
      </c>
      <c r="C1012">
        <v>600715.0625</v>
      </c>
      <c r="D1012" s="8">
        <v>0.96947884559631303</v>
      </c>
      <c r="E1012" s="8">
        <v>1.0999999999999999E-2</v>
      </c>
      <c r="F1012">
        <v>1.99415285514839</v>
      </c>
      <c r="G1012">
        <f t="shared" si="79"/>
        <v>2.05693281932502</v>
      </c>
      <c r="H1012">
        <f t="shared" si="81"/>
        <v>-4.2943071073914929E-2</v>
      </c>
      <c r="I1012">
        <f t="shared" si="80"/>
        <v>0</v>
      </c>
      <c r="J1012" t="str">
        <f t="shared" si="82"/>
        <v/>
      </c>
      <c r="K1012">
        <v>3.36028768420219E-2</v>
      </c>
      <c r="L1012">
        <v>-9.9867358803750004E-3</v>
      </c>
      <c r="M1012">
        <v>-5.2316941246390303E-2</v>
      </c>
      <c r="N1012">
        <v>-2.0213434472680002E-2</v>
      </c>
      <c r="O1012">
        <f t="shared" si="83"/>
        <v>-8.2531865686178048E-3</v>
      </c>
    </row>
    <row r="1013" spans="1:15" x14ac:dyDescent="0.35">
      <c r="A1013" t="s">
        <v>72</v>
      </c>
      <c r="B1013">
        <v>2022</v>
      </c>
      <c r="C1013">
        <v>605094.1875</v>
      </c>
      <c r="D1013" s="8">
        <v>0.95181411504745495</v>
      </c>
      <c r="E1013" s="8">
        <v>2.5999999999999999E-2</v>
      </c>
      <c r="F1013">
        <v>2.0831409055189498</v>
      </c>
      <c r="G1013">
        <f t="shared" si="79"/>
        <v>2.1886005603258889</v>
      </c>
      <c r="H1013">
        <f t="shared" si="81"/>
        <v>6.4011687578632515E-2</v>
      </c>
      <c r="I1013">
        <f t="shared" si="80"/>
        <v>1</v>
      </c>
      <c r="J1013" t="str">
        <f t="shared" si="82"/>
        <v/>
      </c>
      <c r="K1013">
        <v>-5.2316941246390303E-2</v>
      </c>
      <c r="L1013">
        <v>-1.9734730944037399E-2</v>
      </c>
      <c r="M1013">
        <v>-1.46342113465071E-2</v>
      </c>
      <c r="N1013">
        <v>4.9247164279222003E-3</v>
      </c>
      <c r="O1013">
        <f t="shared" si="83"/>
        <v>-5.711947660893205E-3</v>
      </c>
    </row>
    <row r="1014" spans="1:15" x14ac:dyDescent="0.35">
      <c r="A1014" t="s">
        <v>73</v>
      </c>
      <c r="B1014">
        <v>2006</v>
      </c>
      <c r="C1014">
        <v>1194825</v>
      </c>
      <c r="D1014" s="8">
        <v>0.94074767827987704</v>
      </c>
      <c r="E1014" s="8">
        <v>5.0000000000000001E-3</v>
      </c>
      <c r="F1014">
        <v>2.1557959247073399</v>
      </c>
      <c r="G1014">
        <f t="shared" si="79"/>
        <v>2.2915771938434486</v>
      </c>
      <c r="H1014">
        <f t="shared" si="81"/>
        <v>4.7051360300404133E-2</v>
      </c>
      <c r="I1014">
        <f t="shared" si="80"/>
        <v>1</v>
      </c>
      <c r="J1014" t="str">
        <f t="shared" si="82"/>
        <v/>
      </c>
      <c r="K1014">
        <v>-1.7202915966510801E-2</v>
      </c>
      <c r="L1014">
        <v>-2.3565955460071598E-2</v>
      </c>
      <c r="M1014">
        <v>-2.2360206484794601E-2</v>
      </c>
      <c r="N1014">
        <v>-2.1438450552523101E-2</v>
      </c>
      <c r="O1014" t="str">
        <f t="shared" si="83"/>
        <v/>
      </c>
    </row>
    <row r="1015" spans="1:15" x14ac:dyDescent="0.35">
      <c r="A1015" t="s">
        <v>73</v>
      </c>
      <c r="B1015">
        <v>2007</v>
      </c>
      <c r="C1015">
        <v>1199897</v>
      </c>
      <c r="D1015" s="8">
        <v>0.93727266788482699</v>
      </c>
      <c r="E1015" s="8">
        <v>8.9999999999999993E-3</v>
      </c>
      <c r="F1015">
        <v>2.13601501247485</v>
      </c>
      <c r="G1015">
        <f t="shared" si="79"/>
        <v>2.2789686349173746</v>
      </c>
      <c r="H1015">
        <f t="shared" si="81"/>
        <v>-5.5021314402797783E-3</v>
      </c>
      <c r="I1015">
        <f t="shared" si="80"/>
        <v>0</v>
      </c>
      <c r="J1015" t="str">
        <f t="shared" si="82"/>
        <v/>
      </c>
      <c r="K1015">
        <v>-2.2360206484794601E-2</v>
      </c>
      <c r="L1015">
        <v>-2.1438450552523101E-2</v>
      </c>
      <c r="M1015">
        <v>-3.0464451584964899E-2</v>
      </c>
      <c r="N1015">
        <v>-9.5364730805158604E-4</v>
      </c>
      <c r="O1015" t="str">
        <f t="shared" si="83"/>
        <v/>
      </c>
    </row>
    <row r="1016" spans="1:15" x14ac:dyDescent="0.35">
      <c r="A1016" t="s">
        <v>73</v>
      </c>
      <c r="B1016">
        <v>2008</v>
      </c>
      <c r="C1016">
        <v>1205779</v>
      </c>
      <c r="D1016" s="8">
        <v>0.94287294149398804</v>
      </c>
      <c r="E1016" s="8">
        <v>7.0000000000000001E-3</v>
      </c>
      <c r="F1016">
        <v>2.11487019174738</v>
      </c>
      <c r="G1016">
        <f t="shared" si="79"/>
        <v>2.2430065586529135</v>
      </c>
      <c r="H1016">
        <f t="shared" si="81"/>
        <v>-1.5779978589202881E-2</v>
      </c>
      <c r="I1016">
        <f t="shared" si="80"/>
        <v>0</v>
      </c>
      <c r="J1016" t="str">
        <f t="shared" si="82"/>
        <v/>
      </c>
      <c r="K1016">
        <v>-3.0464451584964899E-2</v>
      </c>
      <c r="L1016">
        <v>-9.5364730805158604E-4</v>
      </c>
      <c r="M1016">
        <v>-3.0151818603277199E-2</v>
      </c>
      <c r="N1016">
        <v>-3.5851169377565401E-3</v>
      </c>
      <c r="O1016" t="str">
        <f t="shared" si="83"/>
        <v/>
      </c>
    </row>
    <row r="1017" spans="1:15" x14ac:dyDescent="0.35">
      <c r="A1017" t="s">
        <v>73</v>
      </c>
      <c r="B1017">
        <v>2009</v>
      </c>
      <c r="C1017">
        <v>1210869</v>
      </c>
      <c r="D1017" s="8">
        <v>0.93615776300430298</v>
      </c>
      <c r="E1017" s="8">
        <v>4.0000000000000001E-3</v>
      </c>
      <c r="F1017">
        <v>2.20175533722283</v>
      </c>
      <c r="G1017">
        <f t="shared" si="79"/>
        <v>2.3519062963885391</v>
      </c>
      <c r="H1017">
        <f t="shared" si="81"/>
        <v>4.8550788813131129E-2</v>
      </c>
      <c r="I1017">
        <f t="shared" si="80"/>
        <v>1</v>
      </c>
      <c r="J1017" t="str">
        <f t="shared" si="82"/>
        <v/>
      </c>
      <c r="K1017">
        <v>-3.0151818603277199E-2</v>
      </c>
      <c r="L1017">
        <v>-3.5851169377565401E-3</v>
      </c>
      <c r="M1017">
        <v>-1.6967348692938599E-2</v>
      </c>
      <c r="N1017">
        <v>-7.5072399340569999E-3</v>
      </c>
      <c r="O1017" t="str">
        <f t="shared" si="83"/>
        <v/>
      </c>
    </row>
    <row r="1018" spans="1:15" x14ac:dyDescent="0.35">
      <c r="A1018" t="s">
        <v>73</v>
      </c>
      <c r="B1018">
        <v>2010</v>
      </c>
      <c r="C1018">
        <v>1215191</v>
      </c>
      <c r="D1018" s="8">
        <v>0.94454222917556796</v>
      </c>
      <c r="E1018" s="8">
        <v>0</v>
      </c>
      <c r="F1018">
        <v>2.14282671210991</v>
      </c>
      <c r="G1018">
        <f t="shared" si="79"/>
        <v>2.2686404545196988</v>
      </c>
      <c r="H1018">
        <f t="shared" si="81"/>
        <v>-3.5403554128282666E-2</v>
      </c>
      <c r="I1018">
        <f t="shared" si="80"/>
        <v>0</v>
      </c>
      <c r="J1018">
        <f t="shared" si="82"/>
        <v>2</v>
      </c>
      <c r="K1018">
        <v>-1.6967348692938599E-2</v>
      </c>
      <c r="L1018">
        <v>-7.5072399340569999E-3</v>
      </c>
      <c r="M1018">
        <v>-2.3439487785100899E-2</v>
      </c>
      <c r="N1018">
        <v>-2.1557132713496399E-3</v>
      </c>
      <c r="O1018">
        <f t="shared" si="83"/>
        <v>-3.5859487019479059E-3</v>
      </c>
    </row>
    <row r="1019" spans="1:15" x14ac:dyDescent="0.35">
      <c r="A1019" t="s">
        <v>73</v>
      </c>
      <c r="B1019">
        <v>2011</v>
      </c>
      <c r="C1019">
        <v>1217505</v>
      </c>
      <c r="D1019" s="8">
        <v>0.94623124599456798</v>
      </c>
      <c r="E1019" s="8">
        <v>-1E-3</v>
      </c>
      <c r="F1019">
        <v>2.23163845508856</v>
      </c>
      <c r="G1019">
        <f t="shared" si="79"/>
        <v>2.3584493373423974</v>
      </c>
      <c r="H1019">
        <f t="shared" si="81"/>
        <v>3.9587093954785546E-2</v>
      </c>
      <c r="I1019">
        <f t="shared" si="80"/>
        <v>1</v>
      </c>
      <c r="J1019">
        <f t="shared" si="82"/>
        <v>2</v>
      </c>
      <c r="K1019">
        <v>-2.3439487785100899E-2</v>
      </c>
      <c r="L1019">
        <v>-2.1557132713496399E-3</v>
      </c>
      <c r="M1019">
        <v>-1.0894821308553199E-2</v>
      </c>
      <c r="N1019">
        <v>-5.4566152393817997E-3</v>
      </c>
      <c r="O1019">
        <f t="shared" si="83"/>
        <v>-4.2376194149255581E-3</v>
      </c>
    </row>
    <row r="1020" spans="1:15" x14ac:dyDescent="0.35">
      <c r="A1020" t="s">
        <v>73</v>
      </c>
      <c r="B1020">
        <v>2012</v>
      </c>
      <c r="C1020">
        <v>1218092</v>
      </c>
      <c r="D1020" s="8">
        <v>0.94299644231796298</v>
      </c>
      <c r="E1020" s="8">
        <v>1.0999999999999999E-2</v>
      </c>
      <c r="F1020">
        <v>2.1367937871268001</v>
      </c>
      <c r="G1020">
        <f t="shared" si="79"/>
        <v>2.2659616635184592</v>
      </c>
      <c r="H1020">
        <f t="shared" si="81"/>
        <v>-3.9215459225491522E-2</v>
      </c>
      <c r="I1020">
        <f t="shared" si="80"/>
        <v>0</v>
      </c>
      <c r="J1020">
        <f t="shared" si="82"/>
        <v>2</v>
      </c>
      <c r="K1020">
        <v>-1.0894821308553199E-2</v>
      </c>
      <c r="L1020">
        <v>-5.5422140285372899E-3</v>
      </c>
      <c r="M1020">
        <v>-1.12641729414459E-3</v>
      </c>
      <c r="N1020">
        <v>-7.2531886398791903E-3</v>
      </c>
      <c r="O1020">
        <f t="shared" si="83"/>
        <v>-4.2923681437968975E-3</v>
      </c>
    </row>
    <row r="1021" spans="1:15" x14ac:dyDescent="0.35">
      <c r="A1021" t="s">
        <v>73</v>
      </c>
      <c r="B1021">
        <v>2013</v>
      </c>
      <c r="C1021">
        <v>1218458</v>
      </c>
      <c r="D1021" s="8">
        <v>0.94437384605407704</v>
      </c>
      <c r="E1021" s="8">
        <v>4.0000000000000001E-3</v>
      </c>
      <c r="F1021">
        <v>2.1851341514142999</v>
      </c>
      <c r="G1021">
        <f t="shared" si="79"/>
        <v>2.3138444171707548</v>
      </c>
      <c r="H1021">
        <f t="shared" si="81"/>
        <v>2.1131316748733475E-2</v>
      </c>
      <c r="I1021">
        <f t="shared" si="80"/>
        <v>1</v>
      </c>
      <c r="J1021">
        <f t="shared" si="82"/>
        <v>3</v>
      </c>
      <c r="K1021">
        <v>-1.12641729414459E-3</v>
      </c>
      <c r="L1021">
        <v>-7.2531886398791903E-3</v>
      </c>
      <c r="M1021">
        <v>6.3675407469272896E-3</v>
      </c>
      <c r="N1021">
        <v>4.3595172464847903E-3</v>
      </c>
      <c r="O1021">
        <f t="shared" si="83"/>
        <v>-3.3819120377301982E-3</v>
      </c>
    </row>
    <row r="1022" spans="1:15" x14ac:dyDescent="0.35">
      <c r="A1022" t="s">
        <v>73</v>
      </c>
      <c r="B1022">
        <v>2014</v>
      </c>
      <c r="C1022">
        <v>1218515</v>
      </c>
      <c r="D1022" s="8">
        <v>0.94464904069900502</v>
      </c>
      <c r="E1022" s="8">
        <v>7.0000000000000001E-3</v>
      </c>
      <c r="F1022">
        <v>2.21846371136006</v>
      </c>
      <c r="G1022">
        <f t="shared" si="79"/>
        <v>2.3484528282784045</v>
      </c>
      <c r="H1022">
        <f t="shared" si="81"/>
        <v>1.495710379264259E-2</v>
      </c>
      <c r="I1022">
        <f t="shared" si="80"/>
        <v>1</v>
      </c>
      <c r="J1022">
        <f t="shared" si="82"/>
        <v>3</v>
      </c>
      <c r="K1022">
        <v>6.3675407469272896E-3</v>
      </c>
      <c r="L1022">
        <v>4.3595172464847903E-3</v>
      </c>
      <c r="M1022">
        <v>2.2839708417653998E-2</v>
      </c>
      <c r="N1022">
        <v>-7.4237436056136903E-3</v>
      </c>
      <c r="O1022">
        <f t="shared" si="83"/>
        <v>-5.6425847113132366E-3</v>
      </c>
    </row>
    <row r="1023" spans="1:15" x14ac:dyDescent="0.35">
      <c r="A1023" t="s">
        <v>73</v>
      </c>
      <c r="B1023">
        <v>2015</v>
      </c>
      <c r="C1023">
        <v>1217123</v>
      </c>
      <c r="D1023" s="8">
        <v>0.94412207603454601</v>
      </c>
      <c r="E1023" s="8">
        <v>1.9E-2</v>
      </c>
      <c r="F1023">
        <v>2.1183568364542298</v>
      </c>
      <c r="G1023">
        <f t="shared" si="79"/>
        <v>2.2437319179651487</v>
      </c>
      <c r="H1023">
        <f t="shared" si="81"/>
        <v>-4.4591447208255919E-2</v>
      </c>
      <c r="I1023">
        <f t="shared" si="80"/>
        <v>0</v>
      </c>
      <c r="J1023">
        <f t="shared" si="82"/>
        <v>3</v>
      </c>
      <c r="K1023">
        <v>2.2839708417653998E-2</v>
      </c>
      <c r="L1023">
        <v>-7.4237436056136903E-3</v>
      </c>
      <c r="M1023">
        <v>7.7394901663064997E-3</v>
      </c>
      <c r="N1023">
        <v>-5.4140668362378996E-3</v>
      </c>
      <c r="O1023">
        <f t="shared" si="83"/>
        <v>-4.5121822506189188E-3</v>
      </c>
    </row>
    <row r="1024" spans="1:15" x14ac:dyDescent="0.35">
      <c r="A1024" t="s">
        <v>73</v>
      </c>
      <c r="B1024">
        <v>2016</v>
      </c>
      <c r="C1024">
        <v>1215398</v>
      </c>
      <c r="D1024" s="8">
        <v>0.94441848993301403</v>
      </c>
      <c r="E1024" s="8">
        <v>1.9E-2</v>
      </c>
      <c r="F1024">
        <v>2.0893586836584901</v>
      </c>
      <c r="G1024">
        <f t="shared" si="79"/>
        <v>2.2123229330322456</v>
      </c>
      <c r="H1024">
        <f t="shared" si="81"/>
        <v>-1.3998546208402685E-2</v>
      </c>
      <c r="I1024">
        <f t="shared" si="80"/>
        <v>0</v>
      </c>
      <c r="J1024">
        <f t="shared" si="82"/>
        <v>2</v>
      </c>
      <c r="K1024">
        <v>7.7394901663064997E-3</v>
      </c>
      <c r="L1024">
        <v>-5.4140668362378996E-3</v>
      </c>
      <c r="M1024">
        <v>-2.9407854229211998E-3</v>
      </c>
      <c r="N1024">
        <v>-5.7303588837385004E-3</v>
      </c>
      <c r="O1024">
        <f t="shared" si="83"/>
        <v>-8.6027614772319801E-3</v>
      </c>
    </row>
    <row r="1025" spans="1:15" x14ac:dyDescent="0.35">
      <c r="A1025" t="s">
        <v>73</v>
      </c>
      <c r="B1025">
        <v>2017</v>
      </c>
      <c r="C1025">
        <v>1215074</v>
      </c>
      <c r="D1025" s="8">
        <v>0.93989682197570801</v>
      </c>
      <c r="E1025" s="8">
        <v>2.3E-2</v>
      </c>
      <c r="F1025">
        <v>2.0891566570853799</v>
      </c>
      <c r="G1025">
        <f t="shared" si="79"/>
        <v>2.2227510597321447</v>
      </c>
      <c r="H1025">
        <f t="shared" si="81"/>
        <v>4.7136548395338984E-3</v>
      </c>
      <c r="I1025">
        <f t="shared" si="80"/>
        <v>1</v>
      </c>
      <c r="J1025">
        <f t="shared" si="82"/>
        <v>3</v>
      </c>
      <c r="K1025">
        <v>-2.9407854229211998E-3</v>
      </c>
      <c r="L1025">
        <v>-5.7303588837385004E-3</v>
      </c>
      <c r="M1025">
        <v>6.4341148585080896E-3</v>
      </c>
      <c r="N1025">
        <v>-2.7009081095456899E-3</v>
      </c>
      <c r="O1025">
        <f t="shared" si="83"/>
        <v>-6.3592735677957379E-3</v>
      </c>
    </row>
    <row r="1026" spans="1:15" x14ac:dyDescent="0.35">
      <c r="A1026" t="s">
        <v>73</v>
      </c>
      <c r="B1026">
        <v>2018</v>
      </c>
      <c r="C1026">
        <v>1215141</v>
      </c>
      <c r="D1026" s="8">
        <v>0.94957804679870605</v>
      </c>
      <c r="E1026" s="8">
        <v>0.01</v>
      </c>
      <c r="F1026">
        <v>2.1645163188835999</v>
      </c>
      <c r="G1026">
        <f t="shared" si="79"/>
        <v>2.2794506740976073</v>
      </c>
      <c r="H1026">
        <f t="shared" si="81"/>
        <v>2.5508755970313324E-2</v>
      </c>
      <c r="I1026">
        <f t="shared" si="80"/>
        <v>1</v>
      </c>
      <c r="J1026">
        <f t="shared" si="82"/>
        <v>3</v>
      </c>
      <c r="K1026">
        <v>6.4341148585080896E-3</v>
      </c>
      <c r="L1026">
        <v>-2.7009081095456899E-3</v>
      </c>
      <c r="M1026">
        <v>1.0857348486781101E-2</v>
      </c>
      <c r="N1026">
        <v>-6.9438461214303996E-3</v>
      </c>
      <c r="O1026">
        <f t="shared" si="83"/>
        <v>-1.9077792763709995E-3</v>
      </c>
    </row>
    <row r="1027" spans="1:15" x14ac:dyDescent="0.35">
      <c r="A1027" t="s">
        <v>73</v>
      </c>
      <c r="B1027">
        <v>2019</v>
      </c>
      <c r="C1027">
        <v>1214215</v>
      </c>
      <c r="D1027" s="8">
        <v>0.94141924381256104</v>
      </c>
      <c r="E1027" s="8">
        <v>2.4E-2</v>
      </c>
      <c r="F1027">
        <v>2.0100028526424101</v>
      </c>
      <c r="G1027">
        <f t="shared" ref="G1027:G1090" si="84">F1027/D1027</f>
        <v>2.1350772951084975</v>
      </c>
      <c r="H1027">
        <f t="shared" si="81"/>
        <v>-6.3336917367718182E-2</v>
      </c>
      <c r="I1027">
        <f t="shared" ref="I1027:I1090" si="85">IF(H1027&gt;0,1,0)</f>
        <v>0</v>
      </c>
      <c r="J1027" t="str">
        <f t="shared" si="82"/>
        <v/>
      </c>
      <c r="K1027">
        <v>1.0857348486781101E-2</v>
      </c>
      <c r="L1027">
        <v>-6.9438461214303996E-3</v>
      </c>
      <c r="M1027">
        <v>1.7077459126710898E-2</v>
      </c>
      <c r="N1027">
        <v>-1.7717313021421001E-3</v>
      </c>
      <c r="O1027">
        <f t="shared" si="83"/>
        <v>5.8876404538750803E-3</v>
      </c>
    </row>
    <row r="1028" spans="1:15" x14ac:dyDescent="0.35">
      <c r="A1028" t="s">
        <v>73</v>
      </c>
      <c r="B1028">
        <v>2020</v>
      </c>
      <c r="C1028">
        <v>1206782</v>
      </c>
      <c r="D1028" s="8">
        <v>0.95468300580978405</v>
      </c>
      <c r="E1028" s="8">
        <v>1.9E-2</v>
      </c>
      <c r="F1028">
        <v>1.9820447565795101</v>
      </c>
      <c r="G1028">
        <f t="shared" si="84"/>
        <v>2.0761286673352841</v>
      </c>
      <c r="H1028">
        <f t="shared" ref="H1028:H1091" si="86">+G1028/G1027-1</f>
        <v>-2.760959891628556E-2</v>
      </c>
      <c r="I1028">
        <f t="shared" si="85"/>
        <v>0</v>
      </c>
      <c r="J1028" t="str">
        <f t="shared" si="82"/>
        <v/>
      </c>
      <c r="K1028">
        <v>1.7077459126710898E-2</v>
      </c>
      <c r="L1028">
        <v>-1.7717313021421001E-3</v>
      </c>
      <c r="M1028">
        <v>1.7722649753093699E-2</v>
      </c>
      <c r="N1028">
        <v>-2.58669629693032E-2</v>
      </c>
      <c r="O1028">
        <f t="shared" si="83"/>
        <v>4.3756615254096761E-3</v>
      </c>
    </row>
    <row r="1029" spans="1:15" x14ac:dyDescent="0.35">
      <c r="A1029" t="s">
        <v>73</v>
      </c>
      <c r="B1029">
        <v>2021</v>
      </c>
      <c r="C1029">
        <v>1215449</v>
      </c>
      <c r="D1029" s="8">
        <v>0.96177285909652699</v>
      </c>
      <c r="E1029" s="8">
        <v>6.0000000000000001E-3</v>
      </c>
      <c r="F1029">
        <v>2.10273507558288</v>
      </c>
      <c r="G1029">
        <f t="shared" si="84"/>
        <v>2.1863115138829698</v>
      </c>
      <c r="H1029">
        <f t="shared" si="86"/>
        <v>5.3071299617044376E-2</v>
      </c>
      <c r="I1029">
        <f t="shared" si="85"/>
        <v>1</v>
      </c>
      <c r="J1029" t="str">
        <f t="shared" si="82"/>
        <v/>
      </c>
      <c r="K1029">
        <v>1.7722649753093699E-2</v>
      </c>
      <c r="L1029">
        <v>-2.58669629693032E-2</v>
      </c>
      <c r="M1029">
        <v>-2.6616426110267599E-2</v>
      </c>
      <c r="N1029">
        <v>5.4870806634427002E-3</v>
      </c>
      <c r="O1029">
        <f t="shared" si="83"/>
        <v>4.9118660273961973E-3</v>
      </c>
    </row>
    <row r="1030" spans="1:15" x14ac:dyDescent="0.35">
      <c r="A1030" t="s">
        <v>73</v>
      </c>
      <c r="B1030">
        <v>2022</v>
      </c>
      <c r="C1030">
        <v>1220828</v>
      </c>
      <c r="D1030" s="8">
        <v>0.95645546913146995</v>
      </c>
      <c r="E1030" s="8">
        <v>6.0000000000000001E-3</v>
      </c>
      <c r="F1030">
        <v>1.9511550686064201</v>
      </c>
      <c r="G1030">
        <f t="shared" si="84"/>
        <v>2.0399852701748977</v>
      </c>
      <c r="H1030">
        <f t="shared" si="86"/>
        <v>-6.6928359832945872E-2</v>
      </c>
      <c r="I1030">
        <f t="shared" si="85"/>
        <v>0</v>
      </c>
      <c r="J1030" t="str">
        <f t="shared" si="82"/>
        <v/>
      </c>
      <c r="K1030">
        <v>-2.6616426110267599E-2</v>
      </c>
      <c r="L1030">
        <v>5.9657841920852999E-3</v>
      </c>
      <c r="M1030" s="1">
        <v>-2.3644268513020501E-6</v>
      </c>
      <c r="N1030">
        <v>1.9556563347578E-2</v>
      </c>
      <c r="O1030">
        <f t="shared" si="83"/>
        <v>9.9871548241935552E-3</v>
      </c>
    </row>
    <row r="1031" spans="1:15" x14ac:dyDescent="0.35">
      <c r="A1031" t="s">
        <v>74</v>
      </c>
      <c r="B1031">
        <v>2006</v>
      </c>
      <c r="C1031">
        <v>926497.0625</v>
      </c>
      <c r="D1031" s="8">
        <v>0.96103650331497203</v>
      </c>
      <c r="E1031" s="8">
        <v>0</v>
      </c>
      <c r="F1031">
        <v>2.6208104330145798</v>
      </c>
      <c r="G1031">
        <f t="shared" si="84"/>
        <v>2.7270664787179579</v>
      </c>
      <c r="H1031">
        <f t="shared" si="86"/>
        <v>0.33680694590709148</v>
      </c>
      <c r="I1031">
        <f t="shared" si="85"/>
        <v>1</v>
      </c>
      <c r="J1031" t="str">
        <f t="shared" ref="J1031:J1094" si="87">IF(AND(B1031&gt;=2010,B1031&lt;=2018),SUM(I1027:I1031),"")</f>
        <v/>
      </c>
      <c r="K1031">
        <v>5.0445144653320298E-2</v>
      </c>
      <c r="L1031">
        <v>4.4082105159759501E-2</v>
      </c>
      <c r="M1031">
        <v>3.1111496597528401E-2</v>
      </c>
      <c r="N1031">
        <v>3.2033252529800001E-2</v>
      </c>
      <c r="O1031" t="str">
        <f t="shared" ref="O1031:O1094" si="88">IF(B1031&gt;=2010,AVERAGE(N1031:N1035),"")</f>
        <v/>
      </c>
    </row>
    <row r="1032" spans="1:15" x14ac:dyDescent="0.35">
      <c r="A1032" t="s">
        <v>74</v>
      </c>
      <c r="B1032">
        <v>2007</v>
      </c>
      <c r="C1032">
        <v>927415.125</v>
      </c>
      <c r="D1032" s="8">
        <v>0.96140450239181496</v>
      </c>
      <c r="E1032" s="8">
        <v>0</v>
      </c>
      <c r="F1032">
        <v>2.54258954176581</v>
      </c>
      <c r="G1032">
        <f t="shared" si="84"/>
        <v>2.6446615711079664</v>
      </c>
      <c r="H1032">
        <f t="shared" si="86"/>
        <v>-3.0217417966551197E-2</v>
      </c>
      <c r="I1032">
        <f t="shared" si="85"/>
        <v>0</v>
      </c>
      <c r="J1032" t="str">
        <f t="shared" si="87"/>
        <v/>
      </c>
      <c r="K1032">
        <v>3.1111496597528401E-2</v>
      </c>
      <c r="L1032">
        <v>3.2033252529800001E-2</v>
      </c>
      <c r="M1032">
        <v>-3.88424302213825E-2</v>
      </c>
      <c r="N1032">
        <v>-9.3316259444691206E-3</v>
      </c>
      <c r="O1032" t="str">
        <f t="shared" si="88"/>
        <v/>
      </c>
    </row>
    <row r="1033" spans="1:15" x14ac:dyDescent="0.35">
      <c r="A1033" t="s">
        <v>74</v>
      </c>
      <c r="B1033">
        <v>2008</v>
      </c>
      <c r="C1033">
        <v>936094</v>
      </c>
      <c r="D1033" s="8">
        <v>0.95483303070068404</v>
      </c>
      <c r="E1033" s="8">
        <v>0</v>
      </c>
      <c r="F1033">
        <v>2.6471507374701102</v>
      </c>
      <c r="G1033">
        <f t="shared" si="84"/>
        <v>2.7723703017767982</v>
      </c>
      <c r="H1033">
        <f t="shared" si="86"/>
        <v>4.828925260759509E-2</v>
      </c>
      <c r="I1033">
        <f t="shared" si="85"/>
        <v>1</v>
      </c>
      <c r="J1033" t="str">
        <f t="shared" si="87"/>
        <v/>
      </c>
      <c r="K1033">
        <v>-3.88424302213825E-2</v>
      </c>
      <c r="L1033">
        <v>-9.3316259444691206E-3</v>
      </c>
      <c r="M1033">
        <v>-4.9752642124891298E-2</v>
      </c>
      <c r="N1033">
        <v>-2.3185940459370599E-2</v>
      </c>
      <c r="O1033" t="str">
        <f t="shared" si="88"/>
        <v/>
      </c>
    </row>
    <row r="1034" spans="1:15" x14ac:dyDescent="0.35">
      <c r="A1034" t="s">
        <v>74</v>
      </c>
      <c r="B1034">
        <v>2009</v>
      </c>
      <c r="C1034">
        <v>946832.6875</v>
      </c>
      <c r="D1034" s="8">
        <v>0.94823998212814298</v>
      </c>
      <c r="E1034" s="8">
        <v>3.0000000000000001E-3</v>
      </c>
      <c r="F1034">
        <v>2.6373794022217898</v>
      </c>
      <c r="G1034">
        <f t="shared" si="84"/>
        <v>2.7813416982299111</v>
      </c>
      <c r="H1034">
        <f t="shared" si="86"/>
        <v>3.236002220685652E-3</v>
      </c>
      <c r="I1034">
        <f t="shared" si="85"/>
        <v>1</v>
      </c>
      <c r="J1034" t="str">
        <f t="shared" si="87"/>
        <v/>
      </c>
      <c r="K1034">
        <v>-4.9752642124891298E-2</v>
      </c>
      <c r="L1034">
        <v>-2.3185940459370599E-2</v>
      </c>
      <c r="M1034">
        <v>2.14034158885478E-2</v>
      </c>
      <c r="N1034">
        <v>3.0863524647429499E-2</v>
      </c>
      <c r="O1034" t="str">
        <f t="shared" si="88"/>
        <v/>
      </c>
    </row>
    <row r="1035" spans="1:15" x14ac:dyDescent="0.35">
      <c r="A1035" t="s">
        <v>74</v>
      </c>
      <c r="B1035">
        <v>2010</v>
      </c>
      <c r="C1035">
        <v>961626.75</v>
      </c>
      <c r="D1035" s="8">
        <v>0.95627415180206299</v>
      </c>
      <c r="E1035" s="8">
        <v>0</v>
      </c>
      <c r="F1035">
        <v>2.5980190728671801</v>
      </c>
      <c r="G1035">
        <f t="shared" si="84"/>
        <v>2.7168140725871446</v>
      </c>
      <c r="H1035">
        <f t="shared" si="86"/>
        <v>-2.3200179137943699E-2</v>
      </c>
      <c r="I1035">
        <f t="shared" si="85"/>
        <v>0</v>
      </c>
      <c r="J1035">
        <f t="shared" si="87"/>
        <v>3</v>
      </c>
      <c r="K1035">
        <v>2.14034158885478E-2</v>
      </c>
      <c r="L1035">
        <v>3.0863524647429499E-2</v>
      </c>
      <c r="M1035">
        <v>-1.9640019506216001E-2</v>
      </c>
      <c r="N1035">
        <v>1.6437550075352901E-3</v>
      </c>
      <c r="O1035">
        <f t="shared" si="88"/>
        <v>7.4781564064324386E-3</v>
      </c>
    </row>
    <row r="1036" spans="1:15" x14ac:dyDescent="0.35">
      <c r="A1036" t="s">
        <v>74</v>
      </c>
      <c r="B1036">
        <v>2011</v>
      </c>
      <c r="C1036">
        <v>977539.125</v>
      </c>
      <c r="D1036" s="8">
        <v>0.95437389612197898</v>
      </c>
      <c r="E1036" s="8">
        <v>0</v>
      </c>
      <c r="F1036">
        <v>2.6322630572016101</v>
      </c>
      <c r="G1036">
        <f t="shared" si="84"/>
        <v>2.7581046253440058</v>
      </c>
      <c r="H1036">
        <f t="shared" si="86"/>
        <v>1.5198151825509765E-2</v>
      </c>
      <c r="I1036">
        <f t="shared" si="85"/>
        <v>1</v>
      </c>
      <c r="J1036">
        <f t="shared" si="87"/>
        <v>3</v>
      </c>
      <c r="K1036">
        <v>-1.9640019506216001E-2</v>
      </c>
      <c r="L1036">
        <v>1.6437550075352901E-3</v>
      </c>
      <c r="M1036">
        <v>5.8331449478865004E-3</v>
      </c>
      <c r="N1036">
        <v>1.1271351017057901E-2</v>
      </c>
      <c r="O1036">
        <f t="shared" si="88"/>
        <v>3.861735947430181E-3</v>
      </c>
    </row>
    <row r="1037" spans="1:15" x14ac:dyDescent="0.35">
      <c r="A1037" t="s">
        <v>74</v>
      </c>
      <c r="B1037">
        <v>2012</v>
      </c>
      <c r="C1037">
        <v>992736.3125</v>
      </c>
      <c r="D1037" s="8">
        <v>0.95495414733886697</v>
      </c>
      <c r="E1037" s="8">
        <v>2E-3</v>
      </c>
      <c r="F1037">
        <v>2.6764221318720098</v>
      </c>
      <c r="G1037">
        <f t="shared" si="84"/>
        <v>2.8026708290971767</v>
      </c>
      <c r="H1037">
        <f t="shared" si="86"/>
        <v>1.6158271641929511E-2</v>
      </c>
      <c r="I1037">
        <f t="shared" si="85"/>
        <v>1</v>
      </c>
      <c r="J1037">
        <f t="shared" si="87"/>
        <v>4</v>
      </c>
      <c r="K1037">
        <v>5.8331449478865004E-3</v>
      </c>
      <c r="L1037">
        <v>1.11857522279024E-2</v>
      </c>
      <c r="M1037">
        <v>2.12651161849499E-2</v>
      </c>
      <c r="N1037">
        <v>1.5138344839215299E-2</v>
      </c>
      <c r="O1037">
        <f t="shared" si="88"/>
        <v>2.5879565626383367E-3</v>
      </c>
    </row>
    <row r="1038" spans="1:15" x14ac:dyDescent="0.35">
      <c r="A1038" t="s">
        <v>74</v>
      </c>
      <c r="B1038">
        <v>2013</v>
      </c>
      <c r="C1038">
        <v>1004051</v>
      </c>
      <c r="D1038" s="8">
        <v>0.95419639348983798</v>
      </c>
      <c r="E1038" s="8">
        <v>0</v>
      </c>
      <c r="F1038">
        <v>2.7135452470646402</v>
      </c>
      <c r="G1038">
        <f t="shared" si="84"/>
        <v>2.8438016173381597</v>
      </c>
      <c r="H1038">
        <f t="shared" si="86"/>
        <v>1.4675568680404982E-2</v>
      </c>
      <c r="I1038">
        <f t="shared" si="85"/>
        <v>1</v>
      </c>
      <c r="J1038">
        <f t="shared" si="87"/>
        <v>4</v>
      </c>
      <c r="K1038">
        <v>2.12651161849499E-2</v>
      </c>
      <c r="L1038">
        <v>1.5138344839215299E-2</v>
      </c>
      <c r="M1038">
        <v>2.72271286845207E-2</v>
      </c>
      <c r="N1038">
        <v>2.5219105184078199E-2</v>
      </c>
      <c r="O1038">
        <f t="shared" si="88"/>
        <v>-2.5554500520228616E-3</v>
      </c>
    </row>
    <row r="1039" spans="1:15" x14ac:dyDescent="0.35">
      <c r="A1039" t="s">
        <v>74</v>
      </c>
      <c r="B1039">
        <v>2014</v>
      </c>
      <c r="C1039">
        <v>1011153</v>
      </c>
      <c r="D1039" s="8">
        <v>0.958407282829285</v>
      </c>
      <c r="E1039" s="8">
        <v>0</v>
      </c>
      <c r="F1039">
        <v>2.7227061268930002</v>
      </c>
      <c r="G1039">
        <f t="shared" si="84"/>
        <v>2.8408654396441793</v>
      </c>
      <c r="H1039">
        <f t="shared" si="86"/>
        <v>-1.0324833054735638E-3</v>
      </c>
      <c r="I1039">
        <f t="shared" si="85"/>
        <v>0</v>
      </c>
      <c r="J1039">
        <f t="shared" si="87"/>
        <v>3</v>
      </c>
      <c r="K1039">
        <v>2.72271286845207E-2</v>
      </c>
      <c r="L1039">
        <v>2.5219105184078199E-2</v>
      </c>
      <c r="M1039">
        <v>1.43816780075431E-2</v>
      </c>
      <c r="N1039">
        <v>-1.5881774015724499E-2</v>
      </c>
      <c r="O1039">
        <f t="shared" si="88"/>
        <v>-7.655870169401083E-3</v>
      </c>
    </row>
    <row r="1040" spans="1:15" x14ac:dyDescent="0.35">
      <c r="A1040" t="s">
        <v>74</v>
      </c>
      <c r="B1040">
        <v>2015</v>
      </c>
      <c r="C1040">
        <v>1019147</v>
      </c>
      <c r="D1040" s="8">
        <v>0.94770032167434703</v>
      </c>
      <c r="E1040" s="8">
        <v>1.7999999999999999E-2</v>
      </c>
      <c r="F1040">
        <v>2.7430672492806099</v>
      </c>
      <c r="G1040">
        <f t="shared" si="84"/>
        <v>2.8944458354032245</v>
      </c>
      <c r="H1040">
        <f t="shared" si="86"/>
        <v>1.8860589104761072E-2</v>
      </c>
      <c r="I1040">
        <f t="shared" si="85"/>
        <v>1</v>
      </c>
      <c r="J1040">
        <f t="shared" si="87"/>
        <v>4</v>
      </c>
      <c r="K1040">
        <v>1.43816780075431E-2</v>
      </c>
      <c r="L1040">
        <v>-1.5881774015724499E-2</v>
      </c>
      <c r="M1040">
        <v>-3.28479028493165E-3</v>
      </c>
      <c r="N1040">
        <v>-1.6438347287476E-2</v>
      </c>
      <c r="O1040">
        <f t="shared" si="88"/>
        <v>-7.1744201704859022E-3</v>
      </c>
    </row>
    <row r="1041" spans="1:15" x14ac:dyDescent="0.35">
      <c r="A1041" t="s">
        <v>74</v>
      </c>
      <c r="B1041">
        <v>2016</v>
      </c>
      <c r="C1041">
        <v>1023593</v>
      </c>
      <c r="D1041" s="8">
        <v>0.95330399274826005</v>
      </c>
      <c r="E1041" s="8">
        <v>2E-3</v>
      </c>
      <c r="F1041">
        <v>2.67833071934212</v>
      </c>
      <c r="G1041">
        <f t="shared" si="84"/>
        <v>2.8095242857641001</v>
      </c>
      <c r="H1041">
        <f t="shared" si="86"/>
        <v>-2.9339484816199413E-2</v>
      </c>
      <c r="I1041">
        <f t="shared" si="85"/>
        <v>0</v>
      </c>
      <c r="J1041">
        <f t="shared" si="87"/>
        <v>3</v>
      </c>
      <c r="K1041">
        <v>-3.28479028493165E-3</v>
      </c>
      <c r="L1041">
        <v>-1.6438347287476E-2</v>
      </c>
      <c r="M1041">
        <v>7.6920275539159901E-3</v>
      </c>
      <c r="N1041">
        <v>4.9024540930986899E-3</v>
      </c>
      <c r="O1041">
        <f t="shared" si="88"/>
        <v>-5.396406725048963E-3</v>
      </c>
    </row>
    <row r="1042" spans="1:15" x14ac:dyDescent="0.35">
      <c r="A1042" t="s">
        <v>74</v>
      </c>
      <c r="B1042">
        <v>2017</v>
      </c>
      <c r="C1042">
        <v>1022452</v>
      </c>
      <c r="D1042" s="8">
        <v>0.95053642988205</v>
      </c>
      <c r="E1042" s="8">
        <v>8.0000000000000002E-3</v>
      </c>
      <c r="F1042">
        <v>2.5919556494038898</v>
      </c>
      <c r="G1042">
        <f t="shared" si="84"/>
        <v>2.7268346250816711</v>
      </c>
      <c r="H1042">
        <f t="shared" si="86"/>
        <v>-2.9431908135273521E-2</v>
      </c>
      <c r="I1042">
        <f t="shared" si="85"/>
        <v>0</v>
      </c>
      <c r="J1042">
        <f t="shared" si="87"/>
        <v>2</v>
      </c>
      <c r="K1042">
        <v>7.6920275539159901E-3</v>
      </c>
      <c r="L1042">
        <v>4.9024540930986899E-3</v>
      </c>
      <c r="M1042">
        <v>-1.4436652660369999E-3</v>
      </c>
      <c r="N1042">
        <v>-1.0578688234090699E-2</v>
      </c>
      <c r="O1042">
        <f t="shared" si="88"/>
        <v>-1.6428534546866942E-2</v>
      </c>
    </row>
    <row r="1043" spans="1:15" x14ac:dyDescent="0.35">
      <c r="A1043" t="s">
        <v>74</v>
      </c>
      <c r="B1043">
        <v>2018</v>
      </c>
      <c r="C1043">
        <v>1021025</v>
      </c>
      <c r="D1043" s="8">
        <v>0.94564467668533303</v>
      </c>
      <c r="E1043" s="8">
        <v>0</v>
      </c>
      <c r="F1043">
        <v>2.62812342296878</v>
      </c>
      <c r="G1043">
        <f t="shared" si="84"/>
        <v>2.779187032682148</v>
      </c>
      <c r="H1043">
        <f t="shared" si="86"/>
        <v>1.9198966860305644E-2</v>
      </c>
      <c r="I1043">
        <f t="shared" si="85"/>
        <v>1</v>
      </c>
      <c r="J1043">
        <f t="shared" si="87"/>
        <v>2</v>
      </c>
      <c r="K1043">
        <v>-1.4436652660369999E-3</v>
      </c>
      <c r="L1043">
        <v>-1.0578688234090699E-2</v>
      </c>
      <c r="M1043">
        <v>1.7518199205398599E-2</v>
      </c>
      <c r="N1043">
        <v>-2.8299540281290198E-4</v>
      </c>
      <c r="O1043">
        <f t="shared" si="88"/>
        <v>-1.2161836633458699E-2</v>
      </c>
    </row>
    <row r="1044" spans="1:15" x14ac:dyDescent="0.35">
      <c r="A1044" t="s">
        <v>74</v>
      </c>
      <c r="B1044">
        <v>2019</v>
      </c>
      <c r="C1044">
        <v>1018163</v>
      </c>
      <c r="D1044" s="8">
        <v>0.94726103544235196</v>
      </c>
      <c r="E1044" s="8">
        <v>0</v>
      </c>
      <c r="F1044">
        <v>2.5523677688718198</v>
      </c>
      <c r="G1044">
        <f t="shared" si="84"/>
        <v>2.6944714005679704</v>
      </c>
      <c r="H1044">
        <f t="shared" si="86"/>
        <v>-3.0482162991534945E-2</v>
      </c>
      <c r="I1044">
        <f t="shared" si="85"/>
        <v>0</v>
      </c>
      <c r="J1044" t="str">
        <f t="shared" si="87"/>
        <v/>
      </c>
      <c r="K1044">
        <v>1.7518199205398599E-2</v>
      </c>
      <c r="L1044">
        <v>-2.8299540281290198E-4</v>
      </c>
      <c r="M1044">
        <v>5.3746664077043904E-3</v>
      </c>
      <c r="N1044">
        <v>-1.34745240211486E-2</v>
      </c>
      <c r="O1044">
        <f t="shared" si="88"/>
        <v>-1.0200163023546319E-2</v>
      </c>
    </row>
    <row r="1045" spans="1:15" x14ac:dyDescent="0.35">
      <c r="A1045" t="s">
        <v>74</v>
      </c>
      <c r="B1045">
        <v>2020</v>
      </c>
      <c r="C1045">
        <v>1010361</v>
      </c>
      <c r="D1045" s="8">
        <v>0.942582607269287</v>
      </c>
      <c r="E1045" s="8">
        <v>2.8000000000000001E-2</v>
      </c>
      <c r="F1045">
        <v>2.5943061332999702</v>
      </c>
      <c r="G1045">
        <f t="shared" si="84"/>
        <v>2.7523382176717814</v>
      </c>
      <c r="H1045">
        <f t="shared" si="86"/>
        <v>2.1476129637751251E-2</v>
      </c>
      <c r="I1045">
        <f t="shared" si="85"/>
        <v>1</v>
      </c>
      <c r="J1045" t="str">
        <f t="shared" si="87"/>
        <v/>
      </c>
      <c r="K1045">
        <v>5.3746664077043904E-3</v>
      </c>
      <c r="L1045">
        <v>-1.34745240211486E-2</v>
      </c>
      <c r="M1045">
        <v>3.6041332662105602E-2</v>
      </c>
      <c r="N1045">
        <v>-7.5482800602912998E-3</v>
      </c>
      <c r="O1045">
        <f t="shared" si="88"/>
        <v>-3.8970471825450605E-3</v>
      </c>
    </row>
    <row r="1046" spans="1:15" x14ac:dyDescent="0.35">
      <c r="A1046" t="s">
        <v>74</v>
      </c>
      <c r="B1046">
        <v>2021</v>
      </c>
      <c r="C1046">
        <v>1001952</v>
      </c>
      <c r="D1046" s="8">
        <v>0.96450543403625499</v>
      </c>
      <c r="E1046" s="8">
        <v>-1E-3</v>
      </c>
      <c r="F1046">
        <v>2.59985151654941</v>
      </c>
      <c r="G1046">
        <f t="shared" si="84"/>
        <v>2.6955281171092746</v>
      </c>
      <c r="H1046">
        <f t="shared" si="86"/>
        <v>-2.0640668431571862E-2</v>
      </c>
      <c r="I1046">
        <f t="shared" si="85"/>
        <v>0</v>
      </c>
      <c r="J1046" t="str">
        <f t="shared" si="87"/>
        <v/>
      </c>
      <c r="K1046">
        <v>3.6041332662105602E-2</v>
      </c>
      <c r="L1046">
        <v>-7.5482800602912998E-3</v>
      </c>
      <c r="M1046">
        <v>-8.2361691789701499E-2</v>
      </c>
      <c r="N1046">
        <v>-5.0258185015991198E-2</v>
      </c>
      <c r="O1046">
        <f t="shared" si="88"/>
        <v>6.8588647991391086E-6</v>
      </c>
    </row>
    <row r="1047" spans="1:15" x14ac:dyDescent="0.35">
      <c r="A1047" t="s">
        <v>74</v>
      </c>
      <c r="B1047">
        <v>2022</v>
      </c>
      <c r="C1047">
        <v>995202.875</v>
      </c>
      <c r="D1047" s="8">
        <v>0.94985234737396196</v>
      </c>
      <c r="E1047" s="8">
        <v>1.2E-2</v>
      </c>
      <c r="F1047">
        <v>2.5604341172382599</v>
      </c>
      <c r="G1047">
        <f t="shared" si="84"/>
        <v>2.6956127700447774</v>
      </c>
      <c r="H1047">
        <f t="shared" si="86"/>
        <v>3.1404953621416709E-5</v>
      </c>
      <c r="I1047">
        <f t="shared" si="85"/>
        <v>1</v>
      </c>
      <c r="J1047" t="str">
        <f t="shared" si="87"/>
        <v/>
      </c>
      <c r="K1047">
        <v>-8.2361691789701499E-2</v>
      </c>
      <c r="L1047">
        <v>-4.9779481487348599E-2</v>
      </c>
      <c r="M1047">
        <v>-8.8041264414786997E-3</v>
      </c>
      <c r="N1047">
        <v>1.07548013329505E-2</v>
      </c>
      <c r="O1047">
        <f t="shared" si="88"/>
        <v>9.1999506577849118E-3</v>
      </c>
    </row>
    <row r="1048" spans="1:15" x14ac:dyDescent="0.35">
      <c r="A1048" t="s">
        <v>75</v>
      </c>
      <c r="B1048">
        <v>2006</v>
      </c>
      <c r="C1048">
        <v>5452625</v>
      </c>
      <c r="D1048" s="8">
        <v>0.90926349163055398</v>
      </c>
      <c r="E1048" s="8">
        <v>1.2999999999999999E-2</v>
      </c>
      <c r="F1048">
        <v>2.4428780479881298</v>
      </c>
      <c r="G1048">
        <f t="shared" si="84"/>
        <v>2.6866558159146945</v>
      </c>
      <c r="H1048">
        <f t="shared" si="86"/>
        <v>-3.3227896193466222E-3</v>
      </c>
      <c r="I1048">
        <f t="shared" si="85"/>
        <v>0</v>
      </c>
      <c r="J1048" t="str">
        <f t="shared" si="87"/>
        <v/>
      </c>
      <c r="K1048">
        <v>-6.8770501464604896E-3</v>
      </c>
      <c r="L1048">
        <v>-1.3240089640021199E-2</v>
      </c>
      <c r="M1048">
        <v>8.6036167144774908E-3</v>
      </c>
      <c r="N1048">
        <v>9.5253726467489901E-3</v>
      </c>
      <c r="O1048" t="str">
        <f t="shared" si="88"/>
        <v/>
      </c>
    </row>
    <row r="1049" spans="1:15" x14ac:dyDescent="0.35">
      <c r="A1049" t="s">
        <v>75</v>
      </c>
      <c r="B1049">
        <v>2007</v>
      </c>
      <c r="C1049">
        <v>5574720</v>
      </c>
      <c r="D1049" s="8">
        <v>0.902010917663574</v>
      </c>
      <c r="E1049" s="8">
        <v>2.5000000000000001E-2</v>
      </c>
      <c r="F1049">
        <v>2.4387936383432001</v>
      </c>
      <c r="G1049">
        <f t="shared" si="84"/>
        <v>2.7037296229853451</v>
      </c>
      <c r="H1049">
        <f t="shared" si="86"/>
        <v>6.3550407050698698E-3</v>
      </c>
      <c r="I1049">
        <f t="shared" si="85"/>
        <v>1</v>
      </c>
      <c r="J1049" t="str">
        <f t="shared" si="87"/>
        <v/>
      </c>
      <c r="K1049">
        <v>8.6036167144774908E-3</v>
      </c>
      <c r="L1049">
        <v>9.5253726467489901E-3</v>
      </c>
      <c r="M1049">
        <v>-1.14697490930557E-2</v>
      </c>
      <c r="N1049">
        <v>1.80410551838577E-2</v>
      </c>
      <c r="O1049" t="str">
        <f t="shared" si="88"/>
        <v/>
      </c>
    </row>
    <row r="1050" spans="1:15" x14ac:dyDescent="0.35">
      <c r="A1050" t="s">
        <v>75</v>
      </c>
      <c r="B1050">
        <v>2008</v>
      </c>
      <c r="C1050">
        <v>5714056</v>
      </c>
      <c r="D1050" s="8">
        <v>0.90101557970046997</v>
      </c>
      <c r="E1050" s="8">
        <v>4.3999999999999997E-2</v>
      </c>
      <c r="F1050">
        <v>2.4321172023212401</v>
      </c>
      <c r="G1050">
        <f t="shared" si="84"/>
        <v>2.6993064904934978</v>
      </c>
      <c r="H1050">
        <f t="shared" si="86"/>
        <v>-1.6359374303720475E-3</v>
      </c>
      <c r="I1050">
        <f t="shared" si="85"/>
        <v>0</v>
      </c>
      <c r="J1050" t="str">
        <f t="shared" si="87"/>
        <v/>
      </c>
      <c r="K1050">
        <v>-1.14697490930557E-2</v>
      </c>
      <c r="L1050">
        <v>1.80410551838577E-2</v>
      </c>
      <c r="M1050">
        <v>-1.45954514890908E-2</v>
      </c>
      <c r="N1050">
        <v>1.19712501764297E-2</v>
      </c>
      <c r="O1050" t="str">
        <f t="shared" si="88"/>
        <v/>
      </c>
    </row>
    <row r="1051" spans="1:15" x14ac:dyDescent="0.35">
      <c r="A1051" t="s">
        <v>75</v>
      </c>
      <c r="B1051">
        <v>2009</v>
      </c>
      <c r="C1051">
        <v>5856678</v>
      </c>
      <c r="D1051" s="8">
        <v>0.88630998134613004</v>
      </c>
      <c r="E1051" s="8">
        <v>1.4999999999999999E-2</v>
      </c>
      <c r="F1051">
        <v>2.5308877064506601</v>
      </c>
      <c r="G1051">
        <f t="shared" si="84"/>
        <v>2.8555333458015908</v>
      </c>
      <c r="H1051">
        <f t="shared" si="86"/>
        <v>5.7876664194413507E-2</v>
      </c>
      <c r="I1051">
        <f t="shared" si="85"/>
        <v>1</v>
      </c>
      <c r="J1051" t="str">
        <f t="shared" si="87"/>
        <v/>
      </c>
      <c r="K1051">
        <v>-1.45954514890908E-2</v>
      </c>
      <c r="L1051">
        <v>1.19712501764297E-2</v>
      </c>
      <c r="M1051">
        <v>-1.3752834809943999E-2</v>
      </c>
      <c r="N1051">
        <v>-4.2927260510623403E-3</v>
      </c>
      <c r="O1051" t="str">
        <f t="shared" si="88"/>
        <v/>
      </c>
    </row>
    <row r="1052" spans="1:15" x14ac:dyDescent="0.35">
      <c r="A1052" t="s">
        <v>75</v>
      </c>
      <c r="B1052">
        <v>2010</v>
      </c>
      <c r="C1052">
        <v>5973997</v>
      </c>
      <c r="D1052" s="8">
        <v>0.89308464527130105</v>
      </c>
      <c r="E1052" s="8">
        <v>7.0000000000000001E-3</v>
      </c>
      <c r="F1052">
        <v>2.5225521781762099</v>
      </c>
      <c r="G1052">
        <f t="shared" si="84"/>
        <v>2.8245387394493942</v>
      </c>
      <c r="H1052">
        <f t="shared" si="86"/>
        <v>-1.0854226723623128E-2</v>
      </c>
      <c r="I1052">
        <f t="shared" si="85"/>
        <v>0</v>
      </c>
      <c r="J1052">
        <f t="shared" si="87"/>
        <v>2</v>
      </c>
      <c r="K1052">
        <v>-1.3752834809943999E-2</v>
      </c>
      <c r="L1052">
        <v>-4.2927260510623403E-3</v>
      </c>
      <c r="M1052">
        <v>-1.6881634823977899E-2</v>
      </c>
      <c r="N1052">
        <v>4.4021396897734001E-3</v>
      </c>
      <c r="O1052">
        <f t="shared" si="88"/>
        <v>7.4779965914785794E-3</v>
      </c>
    </row>
    <row r="1053" spans="1:15" x14ac:dyDescent="0.35">
      <c r="A1053" t="s">
        <v>75</v>
      </c>
      <c r="B1053">
        <v>2011</v>
      </c>
      <c r="C1053">
        <v>6085334</v>
      </c>
      <c r="D1053" s="8">
        <v>0.90473878383636497</v>
      </c>
      <c r="E1053" s="8">
        <v>1E-3</v>
      </c>
      <c r="F1053">
        <v>2.5089012415520902</v>
      </c>
      <c r="G1053">
        <f t="shared" si="84"/>
        <v>2.7730669739983878</v>
      </c>
      <c r="H1053">
        <f t="shared" si="86"/>
        <v>-1.8223069392576341E-2</v>
      </c>
      <c r="I1053">
        <f t="shared" si="85"/>
        <v>0</v>
      </c>
      <c r="J1053">
        <f t="shared" si="87"/>
        <v>2</v>
      </c>
      <c r="K1053">
        <v>-1.6881634823977899E-2</v>
      </c>
      <c r="L1053">
        <v>4.4021396897734001E-3</v>
      </c>
      <c r="M1053">
        <v>6.2618718445300904E-3</v>
      </c>
      <c r="N1053">
        <v>1.1700077913701401E-2</v>
      </c>
      <c r="O1053">
        <f t="shared" si="88"/>
        <v>-1.8350614234805412E-3</v>
      </c>
    </row>
    <row r="1054" spans="1:15" x14ac:dyDescent="0.35">
      <c r="A1054" t="s">
        <v>75</v>
      </c>
      <c r="B1054">
        <v>2012</v>
      </c>
      <c r="C1054">
        <v>6216155</v>
      </c>
      <c r="D1054" s="8">
        <v>0.920246541500092</v>
      </c>
      <c r="E1054" s="8">
        <v>4.0000000000000001E-3</v>
      </c>
      <c r="F1054">
        <v>2.48819255165875</v>
      </c>
      <c r="G1054">
        <f t="shared" si="84"/>
        <v>2.7038325486154529</v>
      </c>
      <c r="H1054">
        <f t="shared" si="86"/>
        <v>-2.4966733956341525E-2</v>
      </c>
      <c r="I1054">
        <f t="shared" si="85"/>
        <v>0</v>
      </c>
      <c r="J1054">
        <f t="shared" si="87"/>
        <v>1</v>
      </c>
      <c r="K1054">
        <v>6.2618718445300904E-3</v>
      </c>
      <c r="L1054">
        <v>1.16144791245459E-2</v>
      </c>
      <c r="M1054">
        <v>1.92758931219578E-2</v>
      </c>
      <c r="N1054">
        <v>1.31491217762232E-2</v>
      </c>
      <c r="O1054">
        <f t="shared" si="88"/>
        <v>-2.214254066348083E-3</v>
      </c>
    </row>
    <row r="1055" spans="1:15" x14ac:dyDescent="0.35">
      <c r="A1055" t="s">
        <v>75</v>
      </c>
      <c r="B1055">
        <v>2013</v>
      </c>
      <c r="C1055">
        <v>6365199</v>
      </c>
      <c r="D1055" s="8">
        <v>0.92668414115905795</v>
      </c>
      <c r="E1055" s="8">
        <v>1.2999999999999999E-2</v>
      </c>
      <c r="F1055">
        <v>2.4970264613121702</v>
      </c>
      <c r="G1055">
        <f t="shared" si="84"/>
        <v>2.6945820591997975</v>
      </c>
      <c r="H1055">
        <f t="shared" si="86"/>
        <v>-3.4212508538637998E-3</v>
      </c>
      <c r="I1055">
        <f t="shared" si="85"/>
        <v>0</v>
      </c>
      <c r="J1055">
        <f t="shared" si="87"/>
        <v>1</v>
      </c>
      <c r="K1055">
        <v>1.92758931219578E-2</v>
      </c>
      <c r="L1055">
        <v>1.31491217762232E-2</v>
      </c>
      <c r="M1055">
        <v>1.07571378499269E-2</v>
      </c>
      <c r="N1055">
        <v>8.7491143494843899E-3</v>
      </c>
      <c r="O1055">
        <f t="shared" si="88"/>
        <v>-9.1439682990312639E-3</v>
      </c>
    </row>
    <row r="1056" spans="1:15" x14ac:dyDescent="0.35">
      <c r="A1056" t="s">
        <v>75</v>
      </c>
      <c r="B1056">
        <v>2014</v>
      </c>
      <c r="C1056">
        <v>6536154</v>
      </c>
      <c r="D1056" s="8">
        <v>0.919741570949554</v>
      </c>
      <c r="E1056" s="8">
        <v>3.1E-2</v>
      </c>
      <c r="F1056">
        <v>2.49719927351657</v>
      </c>
      <c r="G1056">
        <f t="shared" si="84"/>
        <v>2.7151097138497575</v>
      </c>
      <c r="H1056">
        <f t="shared" si="86"/>
        <v>7.6181219198261374E-3</v>
      </c>
      <c r="I1056">
        <f t="shared" si="85"/>
        <v>1</v>
      </c>
      <c r="J1056">
        <f t="shared" si="87"/>
        <v>1</v>
      </c>
      <c r="K1056">
        <v>1.07571378499269E-2</v>
      </c>
      <c r="L1056">
        <v>8.7491143494843899E-3</v>
      </c>
      <c r="M1056">
        <v>2.9652981251478101E-2</v>
      </c>
      <c r="N1056">
        <v>-6.1047077178949798E-4</v>
      </c>
      <c r="O1056">
        <f t="shared" si="88"/>
        <v>-1.1484283953905102E-2</v>
      </c>
    </row>
    <row r="1057" spans="1:15" x14ac:dyDescent="0.35">
      <c r="A1057" t="s">
        <v>75</v>
      </c>
      <c r="B1057">
        <v>2015</v>
      </c>
      <c r="C1057">
        <v>6696740</v>
      </c>
      <c r="D1057" s="8">
        <v>0.91160273551940896</v>
      </c>
      <c r="E1057" s="8">
        <v>3.3000000000000002E-2</v>
      </c>
      <c r="F1057">
        <v>2.53061228869023</v>
      </c>
      <c r="G1057">
        <f t="shared" si="84"/>
        <v>2.7760033949967791</v>
      </c>
      <c r="H1057">
        <f t="shared" si="86"/>
        <v>2.2427705531162578E-2</v>
      </c>
      <c r="I1057">
        <f t="shared" si="85"/>
        <v>1</v>
      </c>
      <c r="J1057">
        <f t="shared" si="87"/>
        <v>2</v>
      </c>
      <c r="K1057">
        <v>2.9652981251478101E-2</v>
      </c>
      <c r="L1057">
        <v>-6.1047077178949798E-4</v>
      </c>
      <c r="M1057">
        <v>-2.90095933824778E-2</v>
      </c>
      <c r="N1057">
        <v>-4.2163150385022198E-2</v>
      </c>
      <c r="O1057">
        <f t="shared" si="88"/>
        <v>-1.7813046649098382E-2</v>
      </c>
    </row>
    <row r="1058" spans="1:15" x14ac:dyDescent="0.35">
      <c r="A1058" t="s">
        <v>75</v>
      </c>
      <c r="B1058">
        <v>2016</v>
      </c>
      <c r="C1058">
        <v>6820520</v>
      </c>
      <c r="D1058" s="8">
        <v>0.89208406209945701</v>
      </c>
      <c r="E1058" s="8">
        <v>3.3000000000000002E-2</v>
      </c>
      <c r="F1058">
        <v>2.4869364307029498</v>
      </c>
      <c r="G1058">
        <f t="shared" si="84"/>
        <v>2.7877826052066439</v>
      </c>
      <c r="H1058">
        <f t="shared" si="86"/>
        <v>4.2432261542240113E-3</v>
      </c>
      <c r="I1058">
        <f t="shared" si="85"/>
        <v>1</v>
      </c>
      <c r="J1058">
        <f t="shared" si="87"/>
        <v>3</v>
      </c>
      <c r="K1058">
        <v>-2.90095933824778E-2</v>
      </c>
      <c r="L1058">
        <v>-4.2163150385022198E-2</v>
      </c>
      <c r="M1058">
        <v>1.25936881601809E-2</v>
      </c>
      <c r="N1058">
        <v>9.8041146993636894E-3</v>
      </c>
      <c r="O1058">
        <f t="shared" si="88"/>
        <v>-9.1355562210082807E-3</v>
      </c>
    </row>
    <row r="1059" spans="1:15" x14ac:dyDescent="0.35">
      <c r="A1059" t="s">
        <v>75</v>
      </c>
      <c r="B1059">
        <v>2017</v>
      </c>
      <c r="C1059">
        <v>6907312</v>
      </c>
      <c r="D1059" s="8">
        <v>0.89605003595352195</v>
      </c>
      <c r="E1059" s="8">
        <v>2.5999999999999999E-2</v>
      </c>
      <c r="F1059">
        <v>2.4847083815631299</v>
      </c>
      <c r="G1059">
        <f t="shared" si="84"/>
        <v>2.77295718081084</v>
      </c>
      <c r="H1059">
        <f t="shared" si="86"/>
        <v>-5.3179987449936128E-3</v>
      </c>
      <c r="I1059">
        <f t="shared" si="85"/>
        <v>0</v>
      </c>
      <c r="J1059">
        <f t="shared" si="87"/>
        <v>3</v>
      </c>
      <c r="K1059">
        <v>1.25936881601809E-2</v>
      </c>
      <c r="L1059">
        <v>9.8041146993636894E-3</v>
      </c>
      <c r="M1059">
        <v>-1.23644264191389E-2</v>
      </c>
      <c r="N1059">
        <v>-2.1499449387192698E-2</v>
      </c>
      <c r="O1059">
        <f t="shared" si="88"/>
        <v>-1.3994032144546481E-2</v>
      </c>
    </row>
    <row r="1060" spans="1:15" x14ac:dyDescent="0.35">
      <c r="A1060" t="s">
        <v>75</v>
      </c>
      <c r="B1060">
        <v>2018</v>
      </c>
      <c r="C1060">
        <v>6984831</v>
      </c>
      <c r="D1060" s="8">
        <v>0.89791417121887196</v>
      </c>
      <c r="E1060" s="8">
        <v>1.2999999999999999E-2</v>
      </c>
      <c r="F1060">
        <v>2.4912518263636101</v>
      </c>
      <c r="G1060">
        <f t="shared" si="84"/>
        <v>2.7744877029637083</v>
      </c>
      <c r="H1060">
        <f t="shared" si="86"/>
        <v>5.5194583005446773E-4</v>
      </c>
      <c r="I1060">
        <f t="shared" si="85"/>
        <v>1</v>
      </c>
      <c r="J1060">
        <f t="shared" si="87"/>
        <v>4</v>
      </c>
      <c r="K1060">
        <v>-1.23644264191389E-2</v>
      </c>
      <c r="L1060">
        <v>-2.1499449387192698E-2</v>
      </c>
      <c r="M1060">
        <v>1.48487306833267E-2</v>
      </c>
      <c r="N1060">
        <v>-2.9524639248848E-3</v>
      </c>
      <c r="O1060">
        <f t="shared" si="88"/>
        <v>-1.3270011032000161E-2</v>
      </c>
    </row>
    <row r="1061" spans="1:15" x14ac:dyDescent="0.35">
      <c r="A1061" t="s">
        <v>75</v>
      </c>
      <c r="B1061">
        <v>2019</v>
      </c>
      <c r="C1061">
        <v>7074333</v>
      </c>
      <c r="D1061" s="8">
        <v>0.90026974678039595</v>
      </c>
      <c r="E1061" s="8">
        <v>2.1000000000000001E-2</v>
      </c>
      <c r="F1061">
        <v>2.4834354220779802</v>
      </c>
      <c r="G1061">
        <f t="shared" si="84"/>
        <v>2.7585459035576902</v>
      </c>
      <c r="H1061">
        <f t="shared" si="86"/>
        <v>-5.7458533296035341E-3</v>
      </c>
      <c r="I1061">
        <f t="shared" si="85"/>
        <v>0</v>
      </c>
      <c r="J1061" t="str">
        <f t="shared" si="87"/>
        <v/>
      </c>
      <c r="K1061">
        <v>1.48487306833267E-2</v>
      </c>
      <c r="L1061">
        <v>-2.9524639248848E-3</v>
      </c>
      <c r="M1061">
        <v>-1.34050938189029E-2</v>
      </c>
      <c r="N1061">
        <v>-3.22542842477559E-2</v>
      </c>
      <c r="O1061">
        <f t="shared" si="88"/>
        <v>-1.271838028915224E-2</v>
      </c>
    </row>
    <row r="1062" spans="1:15" x14ac:dyDescent="0.35">
      <c r="A1062" t="s">
        <v>75</v>
      </c>
      <c r="B1062">
        <v>2020</v>
      </c>
      <c r="C1062">
        <v>7161202</v>
      </c>
      <c r="D1062" s="8">
        <v>0.89095151424408003</v>
      </c>
      <c r="E1062" s="8">
        <v>3.5999999999999997E-2</v>
      </c>
      <c r="F1062">
        <v>2.2430096827198298</v>
      </c>
      <c r="G1062">
        <f t="shared" si="84"/>
        <v>2.517544049097769</v>
      </c>
      <c r="H1062">
        <f t="shared" si="86"/>
        <v>-8.7365540718065127E-2</v>
      </c>
      <c r="I1062">
        <f t="shared" si="85"/>
        <v>0</v>
      </c>
      <c r="J1062" t="str">
        <f t="shared" si="87"/>
        <v/>
      </c>
      <c r="K1062">
        <v>-1.34050938189029E-2</v>
      </c>
      <c r="L1062">
        <v>-3.22542842477559E-2</v>
      </c>
      <c r="M1062">
        <v>4.4813914477825199E-2</v>
      </c>
      <c r="N1062">
        <v>1.2243017554282999E-3</v>
      </c>
      <c r="O1062">
        <f t="shared" si="88"/>
        <v>-1.103602699004114E-2</v>
      </c>
    </row>
    <row r="1063" spans="1:15" x14ac:dyDescent="0.35">
      <c r="A1063" t="s">
        <v>75</v>
      </c>
      <c r="B1063">
        <v>2021</v>
      </c>
      <c r="C1063">
        <v>7256409</v>
      </c>
      <c r="D1063" s="8">
        <v>0.92494761943817105</v>
      </c>
      <c r="E1063" s="8">
        <v>2.8000000000000001E-2</v>
      </c>
      <c r="F1063">
        <v>2.39575287252601</v>
      </c>
      <c r="G1063">
        <f t="shared" si="84"/>
        <v>2.5901497794883035</v>
      </c>
      <c r="H1063">
        <f t="shared" si="86"/>
        <v>2.8839904674778039E-2</v>
      </c>
      <c r="I1063">
        <f t="shared" si="85"/>
        <v>1</v>
      </c>
      <c r="J1063" t="str">
        <f t="shared" si="87"/>
        <v/>
      </c>
      <c r="K1063">
        <v>4.4813914477825199E-2</v>
      </c>
      <c r="L1063">
        <v>1.2243017554282999E-3</v>
      </c>
      <c r="M1063">
        <v>-4.6591771692037598E-2</v>
      </c>
      <c r="N1063">
        <v>-1.44882649183273E-2</v>
      </c>
      <c r="O1063">
        <f t="shared" si="88"/>
        <v>-1.2144029280170809E-2</v>
      </c>
    </row>
    <row r="1064" spans="1:15" x14ac:dyDescent="0.35">
      <c r="A1064" t="s">
        <v>75</v>
      </c>
      <c r="B1064">
        <v>2022</v>
      </c>
      <c r="C1064">
        <v>7421880</v>
      </c>
      <c r="D1064" s="8">
        <v>0.90407317876815796</v>
      </c>
      <c r="E1064" s="8">
        <v>2.5999999999999999E-2</v>
      </c>
      <c r="F1064">
        <v>2.35523771713674</v>
      </c>
      <c r="G1064">
        <f t="shared" si="84"/>
        <v>2.60514057097221</v>
      </c>
      <c r="H1064">
        <f t="shared" si="86"/>
        <v>5.7876156825447111E-3</v>
      </c>
      <c r="I1064">
        <f t="shared" si="85"/>
        <v>1</v>
      </c>
      <c r="J1064" t="str">
        <f t="shared" si="87"/>
        <v/>
      </c>
      <c r="K1064">
        <v>-4.6591771692037598E-2</v>
      </c>
      <c r="L1064">
        <v>-1.40095613896847E-2</v>
      </c>
      <c r="M1064">
        <v>-3.7438271598890398E-2</v>
      </c>
      <c r="N1064">
        <v>-1.7879343824461099E-2</v>
      </c>
      <c r="O1064">
        <f t="shared" si="88"/>
        <v>-8.9073951356113158E-3</v>
      </c>
    </row>
    <row r="1065" spans="1:15" x14ac:dyDescent="0.35">
      <c r="A1065" t="s">
        <v>76</v>
      </c>
      <c r="B1065">
        <v>2006</v>
      </c>
      <c r="C1065">
        <v>385074.59375</v>
      </c>
      <c r="D1065" s="8">
        <v>0.91982990503311202</v>
      </c>
      <c r="E1065" s="8">
        <v>1.2E-2</v>
      </c>
      <c r="F1065">
        <v>2.1031009478555598</v>
      </c>
      <c r="G1065">
        <f t="shared" si="84"/>
        <v>2.2864020144896817</v>
      </c>
      <c r="H1065">
        <f t="shared" si="86"/>
        <v>-0.12234984938397331</v>
      </c>
      <c r="I1065">
        <f t="shared" si="85"/>
        <v>0</v>
      </c>
      <c r="J1065" t="str">
        <f t="shared" si="87"/>
        <v/>
      </c>
      <c r="K1065">
        <v>2.9545103788375899E-2</v>
      </c>
      <c r="L1065">
        <v>2.3182064294815102E-2</v>
      </c>
      <c r="M1065">
        <v>-1.1160661429166999E-3</v>
      </c>
      <c r="N1065">
        <v>-1.9431021064519999E-4</v>
      </c>
      <c r="O1065" t="str">
        <f t="shared" si="88"/>
        <v/>
      </c>
    </row>
    <row r="1066" spans="1:15" x14ac:dyDescent="0.35">
      <c r="A1066" t="s">
        <v>76</v>
      </c>
      <c r="B1066">
        <v>2007</v>
      </c>
      <c r="C1066">
        <v>394529.125</v>
      </c>
      <c r="D1066" s="8">
        <v>0.89658737182617199</v>
      </c>
      <c r="E1066" s="8">
        <v>1.4999999999999999E-2</v>
      </c>
      <c r="F1066">
        <v>2.0880750605326801</v>
      </c>
      <c r="G1066">
        <f t="shared" si="84"/>
        <v>2.3289141986013946</v>
      </c>
      <c r="H1066">
        <f t="shared" si="86"/>
        <v>1.859348611587075E-2</v>
      </c>
      <c r="I1066">
        <f t="shared" si="85"/>
        <v>1</v>
      </c>
      <c r="J1066" t="str">
        <f t="shared" si="87"/>
        <v/>
      </c>
      <c r="K1066">
        <v>-1.1160661429166999E-3</v>
      </c>
      <c r="L1066">
        <v>-1.9431021064519999E-4</v>
      </c>
      <c r="M1066">
        <v>-5.3353322029113803E-2</v>
      </c>
      <c r="N1066">
        <v>-2.38425177522004E-2</v>
      </c>
      <c r="O1066" t="str">
        <f t="shared" si="88"/>
        <v/>
      </c>
    </row>
    <row r="1067" spans="1:15" x14ac:dyDescent="0.35">
      <c r="A1067" t="s">
        <v>76</v>
      </c>
      <c r="B1067">
        <v>2008</v>
      </c>
      <c r="C1067">
        <v>404833.40625</v>
      </c>
      <c r="D1067" s="8">
        <v>0.88476681709289595</v>
      </c>
      <c r="E1067" s="8">
        <v>5.0999999999999997E-2</v>
      </c>
      <c r="F1067">
        <v>2.10414586602006</v>
      </c>
      <c r="G1067">
        <f t="shared" si="84"/>
        <v>2.3781925648316165</v>
      </c>
      <c r="H1067">
        <f t="shared" si="86"/>
        <v>2.1159373866076914E-2</v>
      </c>
      <c r="I1067">
        <f t="shared" si="85"/>
        <v>1</v>
      </c>
      <c r="J1067" t="str">
        <f t="shared" si="87"/>
        <v/>
      </c>
      <c r="K1067">
        <v>-5.3353322029113803E-2</v>
      </c>
      <c r="L1067">
        <v>-2.38425177522004E-2</v>
      </c>
      <c r="M1067">
        <v>-3.08824113607407E-2</v>
      </c>
      <c r="N1067">
        <v>-4.31570969522005E-3</v>
      </c>
      <c r="O1067" t="str">
        <f t="shared" si="88"/>
        <v/>
      </c>
    </row>
    <row r="1068" spans="1:15" x14ac:dyDescent="0.35">
      <c r="A1068" t="s">
        <v>76</v>
      </c>
      <c r="B1068">
        <v>2009</v>
      </c>
      <c r="C1068">
        <v>414061.1875</v>
      </c>
      <c r="D1068" s="8">
        <v>0.89664483070373502</v>
      </c>
      <c r="E1068" s="8">
        <v>4.2999999999999997E-2</v>
      </c>
      <c r="F1068">
        <v>2.0592604479493799</v>
      </c>
      <c r="G1068">
        <f t="shared" si="84"/>
        <v>2.2966289186468201</v>
      </c>
      <c r="H1068">
        <f t="shared" si="86"/>
        <v>-3.42964852346056E-2</v>
      </c>
      <c r="I1068">
        <f t="shared" si="85"/>
        <v>0</v>
      </c>
      <c r="J1068" t="str">
        <f t="shared" si="87"/>
        <v/>
      </c>
      <c r="K1068">
        <v>-3.08824113607407E-2</v>
      </c>
      <c r="L1068">
        <v>-4.31570969522005E-3</v>
      </c>
      <c r="M1068">
        <v>-7.7652029544115096E-3</v>
      </c>
      <c r="N1068">
        <v>1.69490580447017E-3</v>
      </c>
      <c r="O1068" t="str">
        <f t="shared" si="88"/>
        <v/>
      </c>
    </row>
    <row r="1069" spans="1:15" x14ac:dyDescent="0.35">
      <c r="A1069" t="s">
        <v>76</v>
      </c>
      <c r="B1069">
        <v>2010</v>
      </c>
      <c r="C1069">
        <v>421393.1875</v>
      </c>
      <c r="D1069" s="8">
        <v>0.91222465038299605</v>
      </c>
      <c r="E1069" s="8">
        <v>2.9000000000000001E-2</v>
      </c>
      <c r="F1069">
        <v>2.16656036446469</v>
      </c>
      <c r="G1069">
        <f t="shared" si="84"/>
        <v>2.3750294004388754</v>
      </c>
      <c r="H1069">
        <f t="shared" si="86"/>
        <v>3.4137200466085371E-2</v>
      </c>
      <c r="I1069">
        <f t="shared" si="85"/>
        <v>1</v>
      </c>
      <c r="J1069">
        <f t="shared" si="87"/>
        <v>3</v>
      </c>
      <c r="K1069">
        <v>-7.7652029544115096E-3</v>
      </c>
      <c r="L1069">
        <v>1.69490580447017E-3</v>
      </c>
      <c r="M1069">
        <v>-1.6232701361179401E-2</v>
      </c>
      <c r="N1069">
        <v>5.0510731525718897E-3</v>
      </c>
      <c r="O1069">
        <f t="shared" si="88"/>
        <v>-9.3403484206646421E-3</v>
      </c>
    </row>
    <row r="1070" spans="1:15" x14ac:dyDescent="0.35">
      <c r="A1070" t="s">
        <v>76</v>
      </c>
      <c r="B1070">
        <v>2011</v>
      </c>
      <c r="C1070">
        <v>428251.1875</v>
      </c>
      <c r="D1070" s="8">
        <v>0.91653549671173096</v>
      </c>
      <c r="E1070" s="8">
        <v>0</v>
      </c>
      <c r="F1070">
        <v>2.1389689723997498</v>
      </c>
      <c r="G1070">
        <f t="shared" si="84"/>
        <v>2.3337546446087063</v>
      </c>
      <c r="H1070">
        <f t="shared" si="86"/>
        <v>-1.7378629427720838E-2</v>
      </c>
      <c r="I1070">
        <f t="shared" si="85"/>
        <v>0</v>
      </c>
      <c r="J1070">
        <f t="shared" si="87"/>
        <v>3</v>
      </c>
      <c r="K1070">
        <v>-1.6232701361179401E-2</v>
      </c>
      <c r="L1070">
        <v>5.0510731525718897E-3</v>
      </c>
      <c r="M1070">
        <v>-5.3526072800158999E-3</v>
      </c>
      <c r="N1070">
        <v>8.5598789155498804E-5</v>
      </c>
      <c r="O1070">
        <f t="shared" si="88"/>
        <v>-1.0887528629973499E-2</v>
      </c>
    </row>
    <row r="1071" spans="1:15" x14ac:dyDescent="0.35">
      <c r="A1071" t="s">
        <v>76</v>
      </c>
      <c r="B1071">
        <v>2012</v>
      </c>
      <c r="C1071">
        <v>434665.5</v>
      </c>
      <c r="D1071" s="8">
        <v>0.91921538114547696</v>
      </c>
      <c r="E1071" s="8">
        <v>3.0000000000000001E-3</v>
      </c>
      <c r="F1071">
        <v>2.3001701024664798</v>
      </c>
      <c r="G1071">
        <f t="shared" si="84"/>
        <v>2.5023189881789523</v>
      </c>
      <c r="H1071">
        <f t="shared" si="86"/>
        <v>7.2228819751747553E-2</v>
      </c>
      <c r="I1071">
        <f t="shared" si="85"/>
        <v>1</v>
      </c>
      <c r="J1071">
        <f t="shared" si="87"/>
        <v>3</v>
      </c>
      <c r="K1071">
        <v>-5.3526072800158999E-3</v>
      </c>
      <c r="L1071">
        <v>0</v>
      </c>
      <c r="M1071">
        <v>-1.27808075491339E-2</v>
      </c>
      <c r="N1071">
        <v>-1.89075788948685E-2</v>
      </c>
      <c r="O1071">
        <f t="shared" si="88"/>
        <v>-7.6174619141965785E-3</v>
      </c>
    </row>
    <row r="1072" spans="1:15" x14ac:dyDescent="0.35">
      <c r="A1072" t="s">
        <v>76</v>
      </c>
      <c r="B1072">
        <v>2013</v>
      </c>
      <c r="C1072">
        <v>441219.09375</v>
      </c>
      <c r="D1072" s="8">
        <v>0.89684623479843095</v>
      </c>
      <c r="E1072" s="8">
        <v>3.3000000000000002E-2</v>
      </c>
      <c r="F1072">
        <v>2.2407332988881801</v>
      </c>
      <c r="G1072">
        <f t="shared" si="84"/>
        <v>2.4984587234084694</v>
      </c>
      <c r="H1072">
        <f t="shared" si="86"/>
        <v>-1.5426749302223097E-3</v>
      </c>
      <c r="I1072">
        <f t="shared" si="85"/>
        <v>0</v>
      </c>
      <c r="J1072">
        <f t="shared" si="87"/>
        <v>2</v>
      </c>
      <c r="K1072">
        <v>-1.27808075491339E-2</v>
      </c>
      <c r="L1072">
        <v>-1.89075788948685E-2</v>
      </c>
      <c r="M1072">
        <v>-1.9887358121573901E-2</v>
      </c>
      <c r="N1072">
        <v>-2.1895381622016399E-2</v>
      </c>
      <c r="O1072">
        <f t="shared" si="88"/>
        <v>-3.3837761729951858E-4</v>
      </c>
    </row>
    <row r="1073" spans="1:15" x14ac:dyDescent="0.35">
      <c r="A1073" t="s">
        <v>76</v>
      </c>
      <c r="B1073">
        <v>2014</v>
      </c>
      <c r="C1073">
        <v>447227.125</v>
      </c>
      <c r="D1073" s="8">
        <v>0.88356918096542403</v>
      </c>
      <c r="E1073" s="8">
        <v>4.5999999999999999E-2</v>
      </c>
      <c r="F1073">
        <v>2.2681952978117099</v>
      </c>
      <c r="G1073">
        <f t="shared" si="84"/>
        <v>2.5670828574321556</v>
      </c>
      <c r="H1073">
        <f t="shared" si="86"/>
        <v>2.74665870525439E-2</v>
      </c>
      <c r="I1073">
        <f t="shared" si="85"/>
        <v>1</v>
      </c>
      <c r="J1073">
        <f t="shared" si="87"/>
        <v>3</v>
      </c>
      <c r="K1073">
        <v>-1.9887358121573901E-2</v>
      </c>
      <c r="L1073">
        <v>-2.1895381622016399E-2</v>
      </c>
      <c r="M1073">
        <v>1.92279984951019E-2</v>
      </c>
      <c r="N1073">
        <v>-1.1035453528165699E-2</v>
      </c>
      <c r="O1073">
        <f t="shared" si="88"/>
        <v>8.3595767617226004E-3</v>
      </c>
    </row>
    <row r="1074" spans="1:15" x14ac:dyDescent="0.35">
      <c r="A1074" t="s">
        <v>76</v>
      </c>
      <c r="B1074">
        <v>2015</v>
      </c>
      <c r="C1074">
        <v>452852.375</v>
      </c>
      <c r="D1074" s="8">
        <v>0.90770345926284801</v>
      </c>
      <c r="E1074" s="8">
        <v>8.0000000000000002E-3</v>
      </c>
      <c r="F1074">
        <v>2.33032063285818</v>
      </c>
      <c r="G1074">
        <f t="shared" si="84"/>
        <v>2.567270851595794</v>
      </c>
      <c r="H1074">
        <f t="shared" si="86"/>
        <v>7.3232604508310928E-5</v>
      </c>
      <c r="I1074">
        <f t="shared" si="85"/>
        <v>1</v>
      </c>
      <c r="J1074">
        <f t="shared" si="87"/>
        <v>3</v>
      </c>
      <c r="K1074">
        <v>1.92279984951019E-2</v>
      </c>
      <c r="L1074">
        <v>-1.1035453528165699E-2</v>
      </c>
      <c r="M1074">
        <v>1.0468729108572E-2</v>
      </c>
      <c r="N1074">
        <v>-2.6848278939723999E-3</v>
      </c>
      <c r="O1074">
        <f t="shared" si="88"/>
        <v>1.2196247652173057E-2</v>
      </c>
    </row>
    <row r="1075" spans="1:15" x14ac:dyDescent="0.35">
      <c r="A1075" t="s">
        <v>76</v>
      </c>
      <c r="B1075">
        <v>2016</v>
      </c>
      <c r="C1075">
        <v>459518.09375</v>
      </c>
      <c r="D1075" s="8">
        <v>0.91127532720565796</v>
      </c>
      <c r="E1075" s="8">
        <v>2.8000000000000001E-2</v>
      </c>
      <c r="F1075">
        <v>2.2134459536582498</v>
      </c>
      <c r="G1075">
        <f t="shared" si="84"/>
        <v>2.4289541125244534</v>
      </c>
      <c r="H1075">
        <f t="shared" si="86"/>
        <v>-5.3876956140161081E-2</v>
      </c>
      <c r="I1075">
        <f t="shared" si="85"/>
        <v>0</v>
      </c>
      <c r="J1075">
        <f t="shared" si="87"/>
        <v>3</v>
      </c>
      <c r="K1075">
        <v>1.0468729108572E-2</v>
      </c>
      <c r="L1075">
        <v>-2.6848278939723999E-3</v>
      </c>
      <c r="M1075">
        <v>1.92255058288574E-2</v>
      </c>
      <c r="N1075">
        <v>1.6435932368040099E-2</v>
      </c>
      <c r="O1075">
        <f t="shared" si="88"/>
        <v>8.7506543844938396E-3</v>
      </c>
    </row>
    <row r="1076" spans="1:15" x14ac:dyDescent="0.35">
      <c r="A1076" t="s">
        <v>76</v>
      </c>
      <c r="B1076">
        <v>2017</v>
      </c>
      <c r="C1076">
        <v>467325</v>
      </c>
      <c r="D1076" s="8">
        <v>0.917838275432587</v>
      </c>
      <c r="E1076" s="8">
        <v>1.0999999999999999E-2</v>
      </c>
      <c r="F1076">
        <v>2.1810302390998499</v>
      </c>
      <c r="G1076">
        <f t="shared" si="84"/>
        <v>2.3762685622060236</v>
      </c>
      <c r="H1076">
        <f t="shared" si="86"/>
        <v>-2.1690632213579697E-2</v>
      </c>
      <c r="I1076">
        <f t="shared" si="85"/>
        <v>0</v>
      </c>
      <c r="J1076">
        <f t="shared" si="87"/>
        <v>2</v>
      </c>
      <c r="K1076">
        <v>1.92255058288574E-2</v>
      </c>
      <c r="L1076">
        <v>1.6435932368040099E-2</v>
      </c>
      <c r="M1076">
        <v>2.66228655576706E-2</v>
      </c>
      <c r="N1076">
        <v>1.74878425896168E-2</v>
      </c>
      <c r="O1076">
        <f t="shared" si="88"/>
        <v>1.4713205397129184E-3</v>
      </c>
    </row>
    <row r="1077" spans="1:15" x14ac:dyDescent="0.35">
      <c r="A1077" t="s">
        <v>76</v>
      </c>
      <c r="B1077">
        <v>2018</v>
      </c>
      <c r="C1077">
        <v>476105</v>
      </c>
      <c r="D1077" s="8">
        <v>0.92468643188476596</v>
      </c>
      <c r="E1077" s="8">
        <v>1.9E-2</v>
      </c>
      <c r="F1077">
        <v>2.0888908205841399</v>
      </c>
      <c r="G1077">
        <f t="shared" si="84"/>
        <v>2.2590261396248721</v>
      </c>
      <c r="H1077">
        <f t="shared" si="86"/>
        <v>-4.9338877114255442E-2</v>
      </c>
      <c r="I1077">
        <f t="shared" si="85"/>
        <v>0</v>
      </c>
      <c r="J1077">
        <f t="shared" si="87"/>
        <v>2</v>
      </c>
      <c r="K1077">
        <v>2.66228655576706E-2</v>
      </c>
      <c r="L1077">
        <v>1.74878425896168E-2</v>
      </c>
      <c r="M1077">
        <v>3.9395584881305699E-2</v>
      </c>
      <c r="N1077">
        <v>2.1594390273094202E-2</v>
      </c>
      <c r="O1077">
        <f t="shared" si="88"/>
        <v>-1.1910663172602623E-2</v>
      </c>
    </row>
    <row r="1078" spans="1:15" x14ac:dyDescent="0.35">
      <c r="A1078" t="s">
        <v>76</v>
      </c>
      <c r="B1078">
        <v>2019</v>
      </c>
      <c r="C1078">
        <v>486001.90625</v>
      </c>
      <c r="D1078" s="8">
        <v>0.938149094581604</v>
      </c>
      <c r="E1078" s="8">
        <v>1.4999999999999999E-2</v>
      </c>
      <c r="F1078">
        <v>2.0663233706711899</v>
      </c>
      <c r="G1078">
        <f t="shared" si="84"/>
        <v>2.2025532856189871</v>
      </c>
      <c r="H1078">
        <f t="shared" si="86"/>
        <v>-2.4998760755934768E-2</v>
      </c>
      <c r="I1078">
        <f t="shared" si="85"/>
        <v>0</v>
      </c>
      <c r="J1078" t="str">
        <f t="shared" si="87"/>
        <v/>
      </c>
      <c r="K1078">
        <v>3.9395584881305699E-2</v>
      </c>
      <c r="L1078">
        <v>2.1594390273094202E-2</v>
      </c>
      <c r="M1078">
        <v>2.6997091352939599E-2</v>
      </c>
      <c r="N1078">
        <v>8.1479009240865898E-3</v>
      </c>
      <c r="O1078">
        <f t="shared" si="88"/>
        <v>-1.8379293195903264E-2</v>
      </c>
    </row>
    <row r="1079" spans="1:15" x14ac:dyDescent="0.35">
      <c r="A1079" t="s">
        <v>76</v>
      </c>
      <c r="B1079">
        <v>2020</v>
      </c>
      <c r="C1079">
        <v>497023.40625</v>
      </c>
      <c r="D1079" s="8">
        <v>0.92966777086257901</v>
      </c>
      <c r="E1079" s="8">
        <v>4.7E-2</v>
      </c>
      <c r="F1079">
        <v>1.8987355730353599</v>
      </c>
      <c r="G1079">
        <f t="shared" si="84"/>
        <v>2.0423807649840815</v>
      </c>
      <c r="H1079">
        <f t="shared" si="86"/>
        <v>-7.272129200265498E-2</v>
      </c>
      <c r="I1079">
        <f t="shared" si="85"/>
        <v>0</v>
      </c>
      <c r="J1079" t="str">
        <f t="shared" si="87"/>
        <v/>
      </c>
      <c r="K1079">
        <v>2.6997091352939599E-2</v>
      </c>
      <c r="L1079">
        <v>8.1479009240865898E-3</v>
      </c>
      <c r="M1079">
        <v>2.3676818490028301E-2</v>
      </c>
      <c r="N1079">
        <v>-1.99127942323685E-2</v>
      </c>
      <c r="O1079">
        <f t="shared" si="88"/>
        <v>-1.7791805323213304E-2</v>
      </c>
    </row>
    <row r="1080" spans="1:15" x14ac:dyDescent="0.35">
      <c r="A1080" t="s">
        <v>76</v>
      </c>
      <c r="B1080">
        <v>2021</v>
      </c>
      <c r="C1080">
        <v>506618.71875</v>
      </c>
      <c r="D1080" s="8">
        <v>0.90786719322204601</v>
      </c>
      <c r="E1080" s="8">
        <v>7.8E-2</v>
      </c>
      <c r="F1080">
        <v>2.0096726056705201</v>
      </c>
      <c r="G1080">
        <f t="shared" si="84"/>
        <v>2.2136195918018977</v>
      </c>
      <c r="H1080">
        <f t="shared" si="86"/>
        <v>8.3842753395276359E-2</v>
      </c>
      <c r="I1080">
        <f t="shared" si="85"/>
        <v>1</v>
      </c>
      <c r="J1080" t="str">
        <f t="shared" si="87"/>
        <v/>
      </c>
      <c r="K1080">
        <v>2.3676818490028301E-2</v>
      </c>
      <c r="L1080">
        <v>-1.99127942323685E-2</v>
      </c>
      <c r="M1080">
        <v>-5.2064243629574798E-2</v>
      </c>
      <c r="N1080">
        <v>-1.9960736855864501E-2</v>
      </c>
      <c r="O1080">
        <f t="shared" si="88"/>
        <v>-1.0209949221461984E-2</v>
      </c>
    </row>
    <row r="1081" spans="1:15" x14ac:dyDescent="0.35">
      <c r="A1081" t="s">
        <v>76</v>
      </c>
      <c r="B1081">
        <v>2022</v>
      </c>
      <c r="C1081">
        <v>518390.375</v>
      </c>
      <c r="D1081" s="8">
        <v>0.86933356523513805</v>
      </c>
      <c r="E1081" s="8">
        <v>0.106</v>
      </c>
      <c r="F1081">
        <v>2.06334225003785</v>
      </c>
      <c r="G1081">
        <f t="shared" si="84"/>
        <v>2.3734758814699113</v>
      </c>
      <c r="H1081">
        <f t="shared" si="86"/>
        <v>7.2214887444996601E-2</v>
      </c>
      <c r="I1081">
        <f t="shared" si="85"/>
        <v>1</v>
      </c>
      <c r="J1081" t="str">
        <f t="shared" si="87"/>
        <v/>
      </c>
      <c r="K1081">
        <v>-5.2064243629574798E-2</v>
      </c>
      <c r="L1081">
        <v>-1.9482033327221902E-2</v>
      </c>
      <c r="M1081">
        <v>-6.8981003746390296E-2</v>
      </c>
      <c r="N1081">
        <v>-4.9422075971960903E-2</v>
      </c>
      <c r="O1081">
        <f t="shared" si="88"/>
        <v>-8.6785927880555017E-3</v>
      </c>
    </row>
    <row r="1082" spans="1:15" x14ac:dyDescent="0.35">
      <c r="A1082" t="s">
        <v>77</v>
      </c>
      <c r="B1082">
        <v>2006</v>
      </c>
      <c r="C1082">
        <v>1807070</v>
      </c>
      <c r="D1082" s="8">
        <v>0.89683598279953003</v>
      </c>
      <c r="E1082" s="8">
        <v>1.6E-2</v>
      </c>
      <c r="F1082">
        <v>2.1568407538741199</v>
      </c>
      <c r="G1082">
        <f t="shared" si="84"/>
        <v>2.4049444884463775</v>
      </c>
      <c r="H1082">
        <f t="shared" si="86"/>
        <v>1.3258448178111504E-2</v>
      </c>
      <c r="I1082">
        <f t="shared" si="85"/>
        <v>1</v>
      </c>
      <c r="J1082" t="str">
        <f t="shared" si="87"/>
        <v/>
      </c>
      <c r="K1082">
        <v>-1.8400001682341099E-2</v>
      </c>
      <c r="L1082">
        <v>-2.47630411759018E-2</v>
      </c>
      <c r="M1082">
        <v>-1.16705157756805E-2</v>
      </c>
      <c r="N1082">
        <v>-1.0748759843409001E-2</v>
      </c>
      <c r="O1082" t="str">
        <f t="shared" si="88"/>
        <v/>
      </c>
    </row>
    <row r="1083" spans="1:15" x14ac:dyDescent="0.35">
      <c r="A1083" t="s">
        <v>77</v>
      </c>
      <c r="B1083">
        <v>2007</v>
      </c>
      <c r="C1083">
        <v>1832454</v>
      </c>
      <c r="D1083" s="8">
        <v>0.90341293811798096</v>
      </c>
      <c r="E1083" s="8">
        <v>8.9999999999999993E-3</v>
      </c>
      <c r="F1083">
        <v>2.1049824323752202</v>
      </c>
      <c r="G1083">
        <f t="shared" si="84"/>
        <v>2.3300335246032535</v>
      </c>
      <c r="H1083">
        <f t="shared" si="86"/>
        <v>-3.1148728880439736E-2</v>
      </c>
      <c r="I1083">
        <f t="shared" si="85"/>
        <v>0</v>
      </c>
      <c r="J1083" t="str">
        <f t="shared" si="87"/>
        <v/>
      </c>
      <c r="K1083">
        <v>-1.16705157756805E-2</v>
      </c>
      <c r="L1083">
        <v>-1.0748759843409001E-2</v>
      </c>
      <c r="M1083">
        <v>-1.8425463989377E-2</v>
      </c>
      <c r="N1083">
        <v>1.10853402875364E-2</v>
      </c>
      <c r="O1083" t="str">
        <f t="shared" si="88"/>
        <v/>
      </c>
    </row>
    <row r="1084" spans="1:15" x14ac:dyDescent="0.35">
      <c r="A1084" t="s">
        <v>77</v>
      </c>
      <c r="B1084">
        <v>2008</v>
      </c>
      <c r="C1084">
        <v>1856185</v>
      </c>
      <c r="D1084" s="8">
        <v>0.89965873956680298</v>
      </c>
      <c r="E1084" s="8">
        <v>8.9999999999999993E-3</v>
      </c>
      <c r="F1084">
        <v>2.1723828970512602</v>
      </c>
      <c r="G1084">
        <f t="shared" si="84"/>
        <v>2.4146743665240109</v>
      </c>
      <c r="H1084">
        <f t="shared" si="86"/>
        <v>3.6326018929349724E-2</v>
      </c>
      <c r="I1084">
        <f t="shared" si="85"/>
        <v>1</v>
      </c>
      <c r="J1084" t="str">
        <f t="shared" si="87"/>
        <v/>
      </c>
      <c r="K1084">
        <v>-1.8425463989377E-2</v>
      </c>
      <c r="L1084">
        <v>1.10853402875364E-2</v>
      </c>
      <c r="M1084">
        <v>-8.5702153891324996E-3</v>
      </c>
      <c r="N1084">
        <v>1.7996486276388099E-2</v>
      </c>
      <c r="O1084" t="str">
        <f t="shared" si="88"/>
        <v/>
      </c>
    </row>
    <row r="1085" spans="1:15" x14ac:dyDescent="0.35">
      <c r="A1085" t="s">
        <v>77</v>
      </c>
      <c r="B1085">
        <v>2009</v>
      </c>
      <c r="C1085">
        <v>1878532</v>
      </c>
      <c r="D1085" s="8">
        <v>0.89230495691299405</v>
      </c>
      <c r="E1085" s="8">
        <v>7.0000000000000001E-3</v>
      </c>
      <c r="F1085">
        <v>2.2432523358118002</v>
      </c>
      <c r="G1085">
        <f t="shared" si="84"/>
        <v>2.5139973934164002</v>
      </c>
      <c r="H1085">
        <f t="shared" si="86"/>
        <v>4.1133093666525067E-2</v>
      </c>
      <c r="I1085">
        <f t="shared" si="85"/>
        <v>1</v>
      </c>
      <c r="J1085" t="str">
        <f t="shared" si="87"/>
        <v/>
      </c>
      <c r="K1085">
        <v>-8.5702153891324996E-3</v>
      </c>
      <c r="L1085">
        <v>1.7996486276388099E-2</v>
      </c>
      <c r="M1085">
        <v>-2.17640634477138E-2</v>
      </c>
      <c r="N1085">
        <v>-1.23039546888321E-2</v>
      </c>
      <c r="O1085" t="str">
        <f t="shared" si="88"/>
        <v/>
      </c>
    </row>
    <row r="1086" spans="1:15" x14ac:dyDescent="0.35">
      <c r="A1086" t="s">
        <v>77</v>
      </c>
      <c r="B1086">
        <v>2010</v>
      </c>
      <c r="C1086">
        <v>1898493</v>
      </c>
      <c r="D1086" s="8">
        <v>0.90110307931900002</v>
      </c>
      <c r="E1086" s="8">
        <v>1.7000000000000001E-2</v>
      </c>
      <c r="F1086">
        <v>2.26013664655625</v>
      </c>
      <c r="G1086">
        <f t="shared" si="84"/>
        <v>2.5081887948538877</v>
      </c>
      <c r="H1086">
        <f t="shared" si="86"/>
        <v>-2.3105030171168828E-3</v>
      </c>
      <c r="I1086">
        <f t="shared" si="85"/>
        <v>0</v>
      </c>
      <c r="J1086">
        <f t="shared" si="87"/>
        <v>3</v>
      </c>
      <c r="K1086">
        <v>-2.17640634477138E-2</v>
      </c>
      <c r="L1086">
        <v>-1.23039546888321E-2</v>
      </c>
      <c r="M1086">
        <v>-1.8065178178250801E-2</v>
      </c>
      <c r="N1086">
        <v>3.21859633550049E-3</v>
      </c>
      <c r="O1086">
        <f t="shared" si="88"/>
        <v>-3.3702976070344184E-3</v>
      </c>
    </row>
    <row r="1087" spans="1:15" x14ac:dyDescent="0.35">
      <c r="A1087" t="s">
        <v>77</v>
      </c>
      <c r="B1087">
        <v>2011</v>
      </c>
      <c r="C1087">
        <v>1919091</v>
      </c>
      <c r="D1087" s="8">
        <v>0.90946716070175204</v>
      </c>
      <c r="E1087" s="8">
        <v>2E-3</v>
      </c>
      <c r="F1087">
        <v>2.20021484881164</v>
      </c>
      <c r="G1087">
        <f t="shared" si="84"/>
        <v>2.4192350684921231</v>
      </c>
      <c r="H1087">
        <f t="shared" si="86"/>
        <v>-3.5465323242123259E-2</v>
      </c>
      <c r="I1087">
        <f t="shared" si="85"/>
        <v>0</v>
      </c>
      <c r="J1087">
        <f t="shared" si="87"/>
        <v>2</v>
      </c>
      <c r="K1087">
        <v>-1.8065178178250801E-2</v>
      </c>
      <c r="L1087">
        <v>3.21859633550049E-3</v>
      </c>
      <c r="M1087">
        <v>-7.6985240951180003E-3</v>
      </c>
      <c r="N1087">
        <v>-2.2603180259466002E-3</v>
      </c>
      <c r="O1087">
        <f t="shared" si="88"/>
        <v>-3.6247836425900154E-3</v>
      </c>
    </row>
    <row r="1088" spans="1:15" x14ac:dyDescent="0.35">
      <c r="A1088" t="s">
        <v>77</v>
      </c>
      <c r="B1088">
        <v>2012</v>
      </c>
      <c r="C1088">
        <v>1942046</v>
      </c>
      <c r="D1088" s="8">
        <v>0.91187340021133401</v>
      </c>
      <c r="E1088" s="8">
        <v>1.6E-2</v>
      </c>
      <c r="F1088">
        <v>2.2296915015168799</v>
      </c>
      <c r="G1088">
        <f t="shared" si="84"/>
        <v>2.4451766012695741</v>
      </c>
      <c r="H1088">
        <f t="shared" si="86"/>
        <v>1.0723031058581745E-2</v>
      </c>
      <c r="I1088">
        <f t="shared" si="85"/>
        <v>1</v>
      </c>
      <c r="J1088">
        <f t="shared" si="87"/>
        <v>3</v>
      </c>
      <c r="K1088">
        <v>-7.6985240951180003E-3</v>
      </c>
      <c r="L1088">
        <v>-2.3459168151020999E-3</v>
      </c>
      <c r="M1088">
        <v>3.8748294115069999E-4</v>
      </c>
      <c r="N1088">
        <v>-5.7392884045838997E-3</v>
      </c>
      <c r="O1088">
        <f t="shared" si="88"/>
        <v>-1.7673527821898162E-3</v>
      </c>
    </row>
    <row r="1089" spans="1:15" x14ac:dyDescent="0.35">
      <c r="A1089" t="s">
        <v>77</v>
      </c>
      <c r="B1089">
        <v>2013</v>
      </c>
      <c r="C1089">
        <v>1966576</v>
      </c>
      <c r="D1089" s="8">
        <v>0.90716880559921298</v>
      </c>
      <c r="E1089" s="8">
        <v>1.4999999999999999E-2</v>
      </c>
      <c r="F1089">
        <v>2.2650945306321999</v>
      </c>
      <c r="G1089">
        <f t="shared" si="84"/>
        <v>2.496883178358448</v>
      </c>
      <c r="H1089">
        <f t="shared" si="86"/>
        <v>2.1146356897913554E-2</v>
      </c>
      <c r="I1089">
        <f t="shared" si="85"/>
        <v>1</v>
      </c>
      <c r="J1089">
        <f t="shared" si="87"/>
        <v>3</v>
      </c>
      <c r="K1089">
        <v>3.8748294115069999E-4</v>
      </c>
      <c r="L1089">
        <v>-5.7392884045838997E-3</v>
      </c>
      <c r="M1089">
        <v>-6.0610400363802896E-3</v>
      </c>
      <c r="N1089">
        <v>-8.0690635368227907E-3</v>
      </c>
      <c r="O1089">
        <f t="shared" si="88"/>
        <v>-6.1949510127303625E-4</v>
      </c>
    </row>
    <row r="1090" spans="1:15" x14ac:dyDescent="0.35">
      <c r="A1090" t="s">
        <v>77</v>
      </c>
      <c r="B1090">
        <v>2014</v>
      </c>
      <c r="C1090">
        <v>1986103</v>
      </c>
      <c r="D1090" s="8">
        <v>0.90121287107467696</v>
      </c>
      <c r="E1090" s="8">
        <v>2.9000000000000001E-2</v>
      </c>
      <c r="F1090">
        <v>2.2452681989415399</v>
      </c>
      <c r="G1090">
        <f t="shared" si="84"/>
        <v>2.4913849668659371</v>
      </c>
      <c r="H1090">
        <f t="shared" si="86"/>
        <v>-2.2020299308218583E-3</v>
      </c>
      <c r="I1090">
        <f t="shared" si="85"/>
        <v>0</v>
      </c>
      <c r="J1090">
        <f t="shared" si="87"/>
        <v>2</v>
      </c>
      <c r="K1090">
        <v>-6.0610400363802896E-3</v>
      </c>
      <c r="L1090">
        <v>-8.0690635368227907E-3</v>
      </c>
      <c r="M1090">
        <v>2.62620376199484E-2</v>
      </c>
      <c r="N1090">
        <v>-4.0014144033192903E-3</v>
      </c>
      <c r="O1090">
        <f t="shared" si="88"/>
        <v>2.61515937745574E-3</v>
      </c>
    </row>
    <row r="1091" spans="1:15" x14ac:dyDescent="0.35">
      <c r="A1091" t="s">
        <v>77</v>
      </c>
      <c r="B1091">
        <v>2015</v>
      </c>
      <c r="C1091">
        <v>2005012</v>
      </c>
      <c r="D1091" s="8">
        <v>0.91007488965988204</v>
      </c>
      <c r="E1091" s="8">
        <v>0.02</v>
      </c>
      <c r="F1091">
        <v>2.2059094764209801</v>
      </c>
      <c r="G1091">
        <f t="shared" ref="G1091:G1154" si="89">F1091/D1091</f>
        <v>2.4238768715455761</v>
      </c>
      <c r="H1091">
        <f t="shared" si="86"/>
        <v>-2.7096613417108117E-2</v>
      </c>
      <c r="I1091">
        <f t="shared" ref="I1091:I1154" si="90">IF(H1091&gt;0,1,0)</f>
        <v>0</v>
      </c>
      <c r="J1091">
        <f t="shared" si="87"/>
        <v>2</v>
      </c>
      <c r="K1091">
        <v>2.62620376199484E-2</v>
      </c>
      <c r="L1091">
        <v>-4.0014144033192903E-3</v>
      </c>
      <c r="M1091">
        <v>1.5099723160266899E-2</v>
      </c>
      <c r="N1091">
        <v>1.9461661577225E-3</v>
      </c>
      <c r="O1091">
        <f t="shared" si="88"/>
        <v>5.3171712905168787E-3</v>
      </c>
    </row>
    <row r="1092" spans="1:15" x14ac:dyDescent="0.35">
      <c r="A1092" t="s">
        <v>77</v>
      </c>
      <c r="B1092">
        <v>2016</v>
      </c>
      <c r="C1092">
        <v>2028459</v>
      </c>
      <c r="D1092" s="8">
        <v>0.91126996278762795</v>
      </c>
      <c r="E1092" s="8">
        <v>1.7000000000000001E-2</v>
      </c>
      <c r="F1092">
        <v>2.1670419502581901</v>
      </c>
      <c r="G1092">
        <f t="shared" si="89"/>
        <v>2.3780460662053233</v>
      </c>
      <c r="H1092">
        <f t="shared" ref="H1092:H1155" si="91">+G1092/G1091-1</f>
        <v>-1.8908058358190871E-2</v>
      </c>
      <c r="I1092">
        <f t="shared" si="90"/>
        <v>0</v>
      </c>
      <c r="J1092">
        <f t="shared" si="87"/>
        <v>2</v>
      </c>
      <c r="K1092">
        <v>1.5099723160266899E-2</v>
      </c>
      <c r="L1092">
        <v>1.9461661577225E-3</v>
      </c>
      <c r="M1092">
        <v>9.8164097368716903E-3</v>
      </c>
      <c r="N1092">
        <v>7.0268362760543997E-3</v>
      </c>
      <c r="O1092">
        <f t="shared" si="88"/>
        <v>7.0525724440813984E-3</v>
      </c>
    </row>
    <row r="1093" spans="1:15" x14ac:dyDescent="0.35">
      <c r="A1093" t="s">
        <v>77</v>
      </c>
      <c r="B1093">
        <v>2017</v>
      </c>
      <c r="C1093">
        <v>2052709</v>
      </c>
      <c r="D1093" s="8">
        <v>0.91296720504760698</v>
      </c>
      <c r="E1093" s="8">
        <v>1.4E-2</v>
      </c>
      <c r="F1093">
        <v>2.1224321670798201</v>
      </c>
      <c r="G1093">
        <f t="shared" si="89"/>
        <v>2.3247627684163588</v>
      </c>
      <c r="H1093">
        <f t="shared" si="91"/>
        <v>-2.2406335413842293E-2</v>
      </c>
      <c r="I1093">
        <f t="shared" si="90"/>
        <v>0</v>
      </c>
      <c r="J1093">
        <f t="shared" si="87"/>
        <v>1</v>
      </c>
      <c r="K1093">
        <v>9.8164097368716903E-3</v>
      </c>
      <c r="L1093">
        <v>7.0268362760543997E-3</v>
      </c>
      <c r="M1093">
        <v>9.1350229680537895E-3</v>
      </c>
      <c r="N1093">
        <v>0</v>
      </c>
      <c r="O1093">
        <f t="shared" si="88"/>
        <v>1.1841691657900917E-2</v>
      </c>
    </row>
    <row r="1094" spans="1:15" x14ac:dyDescent="0.35">
      <c r="A1094" t="s">
        <v>77</v>
      </c>
      <c r="B1094">
        <v>2018</v>
      </c>
      <c r="C1094">
        <v>2078336</v>
      </c>
      <c r="D1094" s="8">
        <v>0.91157513856887795</v>
      </c>
      <c r="E1094" s="8">
        <v>0.02</v>
      </c>
      <c r="F1094">
        <v>2.16601697773168</v>
      </c>
      <c r="G1094">
        <f t="shared" si="89"/>
        <v>2.3761255502560168</v>
      </c>
      <c r="H1094">
        <f t="shared" si="91"/>
        <v>2.2093773410973405E-2</v>
      </c>
      <c r="I1094">
        <f t="shared" si="90"/>
        <v>1</v>
      </c>
      <c r="J1094">
        <f t="shared" si="87"/>
        <v>1</v>
      </c>
      <c r="K1094">
        <v>9.1350229680537895E-3</v>
      </c>
      <c r="L1094">
        <v>0</v>
      </c>
      <c r="M1094">
        <v>2.59054034650326E-2</v>
      </c>
      <c r="N1094">
        <v>8.1042088568210897E-3</v>
      </c>
      <c r="O1094">
        <f t="shared" si="88"/>
        <v>1.2644667178392516E-2</v>
      </c>
    </row>
    <row r="1095" spans="1:15" x14ac:dyDescent="0.35">
      <c r="A1095" t="s">
        <v>77</v>
      </c>
      <c r="B1095">
        <v>2019</v>
      </c>
      <c r="C1095">
        <v>2100410</v>
      </c>
      <c r="D1095" s="8">
        <v>0.91674125194549605</v>
      </c>
      <c r="E1095" s="8">
        <v>5.0000000000000001E-3</v>
      </c>
      <c r="F1095">
        <v>2.00210162660141</v>
      </c>
      <c r="G1095">
        <f t="shared" si="89"/>
        <v>2.1839331680041414</v>
      </c>
      <c r="H1095">
        <f t="shared" si="91"/>
        <v>-8.0884775735510894E-2</v>
      </c>
      <c r="I1095">
        <f t="shared" si="90"/>
        <v>0</v>
      </c>
      <c r="J1095" t="str">
        <f t="shared" ref="J1095:J1158" si="92">IF(AND(B1095&gt;=2010,B1095&lt;=2018),SUM(I1091:I1095),"")</f>
        <v/>
      </c>
      <c r="K1095">
        <v>2.59054034650326E-2</v>
      </c>
      <c r="L1095">
        <v>8.1042088568210897E-3</v>
      </c>
      <c r="M1095">
        <v>2.83578355908394E-2</v>
      </c>
      <c r="N1095">
        <v>9.5086451619863996E-3</v>
      </c>
      <c r="O1095">
        <f t="shared" ref="O1095:O1158" si="93">IF(B1095&gt;=2010,AVERAGE(N1095:N1099),"")</f>
        <v>9.0343156829477394E-3</v>
      </c>
    </row>
    <row r="1096" spans="1:15" x14ac:dyDescent="0.35">
      <c r="A1096" t="s">
        <v>77</v>
      </c>
      <c r="B1096">
        <v>2020</v>
      </c>
      <c r="C1096">
        <v>2117928</v>
      </c>
      <c r="D1096" s="8">
        <v>0.92778569459915206</v>
      </c>
      <c r="E1096" s="8">
        <v>2.1000000000000001E-2</v>
      </c>
      <c r="F1096">
        <v>2.0597147339242698</v>
      </c>
      <c r="G1096">
        <f t="shared" si="89"/>
        <v>2.2200328652557695</v>
      </c>
      <c r="H1096">
        <f t="shared" si="91"/>
        <v>1.6529671228272536E-2</v>
      </c>
      <c r="I1096">
        <f t="shared" si="90"/>
        <v>1</v>
      </c>
      <c r="J1096" t="str">
        <f t="shared" si="92"/>
        <v/>
      </c>
      <c r="K1096">
        <v>2.83578355908394E-2</v>
      </c>
      <c r="L1096">
        <v>9.5086451619863996E-3</v>
      </c>
      <c r="M1096">
        <v>5.4212784647941999E-2</v>
      </c>
      <c r="N1096">
        <v>1.06231719255451E-2</v>
      </c>
      <c r="O1096">
        <f t="shared" si="93"/>
        <v>1.485319808136043E-5</v>
      </c>
    </row>
    <row r="1097" spans="1:15" x14ac:dyDescent="0.35">
      <c r="A1097" t="s">
        <v>77</v>
      </c>
      <c r="B1097">
        <v>2021</v>
      </c>
      <c r="C1097">
        <v>2133781</v>
      </c>
      <c r="D1097" s="8">
        <v>0.94100296497345004</v>
      </c>
      <c r="E1097" s="8">
        <v>1.6E-2</v>
      </c>
      <c r="F1097">
        <v>2.0885124506574</v>
      </c>
      <c r="G1097">
        <f t="shared" si="89"/>
        <v>2.2194536344700322</v>
      </c>
      <c r="H1097">
        <f t="shared" si="91"/>
        <v>-2.6091090578095333E-4</v>
      </c>
      <c r="I1097">
        <f t="shared" si="90"/>
        <v>0</v>
      </c>
      <c r="J1097" t="str">
        <f t="shared" si="92"/>
        <v/>
      </c>
      <c r="K1097">
        <v>5.4212784647941999E-2</v>
      </c>
      <c r="L1097">
        <v>1.06231719255451E-2</v>
      </c>
      <c r="M1097">
        <v>-1.1310744285582899E-3</v>
      </c>
      <c r="N1097">
        <v>3.0972432345151998E-2</v>
      </c>
      <c r="O1097">
        <f t="shared" si="93"/>
        <v>-5.0048730336129197E-3</v>
      </c>
    </row>
    <row r="1098" spans="1:15" x14ac:dyDescent="0.35">
      <c r="A1098" t="s">
        <v>77</v>
      </c>
      <c r="B1098">
        <v>2022</v>
      </c>
      <c r="C1098">
        <v>2153608</v>
      </c>
      <c r="D1098" s="8">
        <v>0.92287856340408303</v>
      </c>
      <c r="E1098" s="8">
        <v>1.0999999999999999E-2</v>
      </c>
      <c r="F1098">
        <v>2.0925677333679702</v>
      </c>
      <c r="G1098">
        <f t="shared" si="89"/>
        <v>2.2674356262533948</v>
      </c>
      <c r="H1098">
        <f t="shared" si="91"/>
        <v>2.1618830435635505E-2</v>
      </c>
      <c r="I1098">
        <f t="shared" si="90"/>
        <v>1</v>
      </c>
      <c r="J1098" t="str">
        <f t="shared" si="92"/>
        <v/>
      </c>
      <c r="K1098">
        <v>-1.1310744285582899E-3</v>
      </c>
      <c r="L1098">
        <v>3.1451135873794597E-2</v>
      </c>
      <c r="M1098">
        <v>-1.55440501719713E-2</v>
      </c>
      <c r="N1098">
        <v>4.0148776024580002E-3</v>
      </c>
      <c r="O1098">
        <f t="shared" si="93"/>
        <v>-1.3694334449246479E-2</v>
      </c>
    </row>
    <row r="1099" spans="1:15" x14ac:dyDescent="0.35">
      <c r="A1099" t="s">
        <v>78</v>
      </c>
      <c r="B1099">
        <v>2006</v>
      </c>
      <c r="C1099">
        <v>4006493</v>
      </c>
      <c r="D1099" s="8">
        <v>0.93624645471572898</v>
      </c>
      <c r="E1099" s="8">
        <v>2.5000000000000001E-2</v>
      </c>
      <c r="F1099">
        <v>2.9769073890342002</v>
      </c>
      <c r="G1099">
        <f t="shared" si="89"/>
        <v>3.1796193983325405</v>
      </c>
      <c r="H1099">
        <f t="shared" si="91"/>
        <v>0.40229753891024278</v>
      </c>
      <c r="I1099">
        <f t="shared" si="90"/>
        <v>1</v>
      </c>
      <c r="J1099" t="str">
        <f t="shared" si="92"/>
        <v/>
      </c>
      <c r="K1099">
        <v>1.43862828910351E-2</v>
      </c>
      <c r="L1099">
        <v>8.0232433974742993E-3</v>
      </c>
      <c r="M1099">
        <v>-1.08693045526743E-2</v>
      </c>
      <c r="N1099">
        <v>-9.9475486204028008E-3</v>
      </c>
      <c r="O1099" t="str">
        <f t="shared" si="93"/>
        <v/>
      </c>
    </row>
    <row r="1100" spans="1:15" x14ac:dyDescent="0.35">
      <c r="A1100" t="s">
        <v>78</v>
      </c>
      <c r="B1100">
        <v>2007</v>
      </c>
      <c r="C1100">
        <v>4078843</v>
      </c>
      <c r="D1100" s="8">
        <v>0.92854863405227706</v>
      </c>
      <c r="E1100" s="8">
        <v>2.4E-2</v>
      </c>
      <c r="F1100">
        <v>2.9912175063876001</v>
      </c>
      <c r="G1100">
        <f t="shared" si="89"/>
        <v>3.2213902392313414</v>
      </c>
      <c r="H1100">
        <f t="shared" si="91"/>
        <v>1.3137056881935782E-2</v>
      </c>
      <c r="I1100">
        <f t="shared" si="90"/>
        <v>1</v>
      </c>
      <c r="J1100" t="str">
        <f t="shared" si="92"/>
        <v/>
      </c>
      <c r="K1100">
        <v>-1.08693045526743E-2</v>
      </c>
      <c r="L1100">
        <v>-9.9475486204028008E-3</v>
      </c>
      <c r="M1100">
        <v>-6.5099471539258894E-2</v>
      </c>
      <c r="N1100">
        <v>-3.5588667262345497E-2</v>
      </c>
      <c r="O1100" t="str">
        <f t="shared" si="93"/>
        <v/>
      </c>
    </row>
    <row r="1101" spans="1:15" x14ac:dyDescent="0.35">
      <c r="A1101" t="s">
        <v>78</v>
      </c>
      <c r="B1101">
        <v>2008</v>
      </c>
      <c r="C1101">
        <v>4125432.25</v>
      </c>
      <c r="D1101" s="8">
        <v>0.92335534095764205</v>
      </c>
      <c r="E1101" s="8">
        <v>1.2E-2</v>
      </c>
      <c r="F1101">
        <v>2.9686575179138699</v>
      </c>
      <c r="G1101">
        <f t="shared" si="89"/>
        <v>3.2150759152321338</v>
      </c>
      <c r="H1101">
        <f t="shared" si="91"/>
        <v>-1.9601239000197612E-3</v>
      </c>
      <c r="I1101">
        <f t="shared" si="90"/>
        <v>0</v>
      </c>
      <c r="J1101" t="str">
        <f t="shared" si="92"/>
        <v/>
      </c>
      <c r="K1101">
        <v>-6.5099471539258894E-2</v>
      </c>
      <c r="L1101">
        <v>-3.5588667262345497E-2</v>
      </c>
      <c r="M1101">
        <v>-4.1042160898446998E-2</v>
      </c>
      <c r="N1101">
        <v>-1.4475459232926299E-2</v>
      </c>
      <c r="O1101" t="str">
        <f t="shared" si="93"/>
        <v/>
      </c>
    </row>
    <row r="1102" spans="1:15" x14ac:dyDescent="0.35">
      <c r="A1102" t="s">
        <v>78</v>
      </c>
      <c r="B1102">
        <v>2009</v>
      </c>
      <c r="C1102">
        <v>4180928.25</v>
      </c>
      <c r="D1102" s="8">
        <v>0.92557489871978804</v>
      </c>
      <c r="E1102" s="8">
        <v>1.2999999999999999E-2</v>
      </c>
      <c r="F1102">
        <v>3.0456921257173399</v>
      </c>
      <c r="G1102">
        <f t="shared" si="89"/>
        <v>3.2905949912103267</v>
      </c>
      <c r="H1102">
        <f t="shared" si="91"/>
        <v>2.3489049082917379E-2</v>
      </c>
      <c r="I1102">
        <f t="shared" si="90"/>
        <v>1</v>
      </c>
      <c r="J1102" t="str">
        <f t="shared" si="92"/>
        <v/>
      </c>
      <c r="K1102">
        <v>-4.1042160898446998E-2</v>
      </c>
      <c r="L1102">
        <v>-1.4475459232926299E-2</v>
      </c>
      <c r="M1102">
        <v>-2.19349834918975E-2</v>
      </c>
      <c r="N1102">
        <v>-1.2474874733015799E-2</v>
      </c>
      <c r="O1102" t="str">
        <f t="shared" si="93"/>
        <v/>
      </c>
    </row>
    <row r="1103" spans="1:15" x14ac:dyDescent="0.35">
      <c r="A1103" t="s">
        <v>78</v>
      </c>
      <c r="B1103">
        <v>2010</v>
      </c>
      <c r="C1103">
        <v>4251961</v>
      </c>
      <c r="D1103" s="8">
        <v>0.93379133939742998</v>
      </c>
      <c r="E1103" s="8">
        <v>3.0000000000000001E-3</v>
      </c>
      <c r="F1103">
        <v>3.1475757400220101</v>
      </c>
      <c r="G1103">
        <f t="shared" si="89"/>
        <v>3.3707484822606322</v>
      </c>
      <c r="H1103">
        <f t="shared" si="91"/>
        <v>2.4358358067281927E-2</v>
      </c>
      <c r="I1103">
        <f t="shared" si="90"/>
        <v>1</v>
      </c>
      <c r="J1103">
        <f t="shared" si="92"/>
        <v>4</v>
      </c>
      <c r="K1103">
        <v>-2.19349834918975E-2</v>
      </c>
      <c r="L1103">
        <v>-1.2474874733015799E-2</v>
      </c>
      <c r="M1103">
        <v>-1.6176160767674402E-2</v>
      </c>
      <c r="N1103">
        <v>5.1076137460768899E-3</v>
      </c>
      <c r="O1103">
        <f t="shared" si="93"/>
        <v>1.1437468882650115E-2</v>
      </c>
    </row>
    <row r="1104" spans="1:15" x14ac:dyDescent="0.35">
      <c r="A1104" t="s">
        <v>78</v>
      </c>
      <c r="B1104">
        <v>2011</v>
      </c>
      <c r="C1104">
        <v>4293112</v>
      </c>
      <c r="D1104" s="8">
        <v>0.93332517147064198</v>
      </c>
      <c r="E1104" s="8">
        <v>0</v>
      </c>
      <c r="F1104">
        <v>3.0858072351680299</v>
      </c>
      <c r="G1104">
        <f t="shared" si="89"/>
        <v>3.3062509503581889</v>
      </c>
      <c r="H1104">
        <f t="shared" si="91"/>
        <v>-1.9134483703508787E-2</v>
      </c>
      <c r="I1104">
        <f t="shared" si="90"/>
        <v>0</v>
      </c>
      <c r="J1104">
        <f t="shared" si="92"/>
        <v>3</v>
      </c>
      <c r="K1104">
        <v>-1.6176160767674402E-2</v>
      </c>
      <c r="L1104">
        <v>5.1076137460768899E-3</v>
      </c>
      <c r="M1104">
        <v>-1.5764723569155E-3</v>
      </c>
      <c r="N1104">
        <v>3.8617337122558901E-3</v>
      </c>
      <c r="O1104">
        <f t="shared" si="93"/>
        <v>1.6875712014734718E-2</v>
      </c>
    </row>
    <row r="1105" spans="1:15" x14ac:dyDescent="0.35">
      <c r="A1105" t="s">
        <v>78</v>
      </c>
      <c r="B1105">
        <v>2012</v>
      </c>
      <c r="C1105">
        <v>4324491</v>
      </c>
      <c r="D1105" s="8">
        <v>0.93599158525466897</v>
      </c>
      <c r="E1105" s="8">
        <v>3.0000000000000001E-3</v>
      </c>
      <c r="F1105">
        <v>3.0804204059884799</v>
      </c>
      <c r="G1105">
        <f t="shared" si="89"/>
        <v>3.2910770294482345</v>
      </c>
      <c r="H1105">
        <f t="shared" si="91"/>
        <v>-4.5894643624406761E-3</v>
      </c>
      <c r="I1105">
        <f t="shared" si="90"/>
        <v>0</v>
      </c>
      <c r="J1105">
        <f t="shared" si="92"/>
        <v>2</v>
      </c>
      <c r="K1105">
        <v>-1.5764723569155E-3</v>
      </c>
      <c r="L1105">
        <v>3.77613492310039E-3</v>
      </c>
      <c r="M1105">
        <v>1.28964955359697E-2</v>
      </c>
      <c r="N1105">
        <v>6.7697241902350998E-3</v>
      </c>
      <c r="O1105">
        <f t="shared" si="93"/>
        <v>2.0971931517124155E-2</v>
      </c>
    </row>
    <row r="1106" spans="1:15" x14ac:dyDescent="0.35">
      <c r="A1106" t="s">
        <v>78</v>
      </c>
      <c r="B1106">
        <v>2013</v>
      </c>
      <c r="C1106">
        <v>4353704</v>
      </c>
      <c r="D1106" s="8">
        <v>0.94360548257827803</v>
      </c>
      <c r="E1106" s="8">
        <v>1E-3</v>
      </c>
      <c r="F1106">
        <v>3.05911007957828</v>
      </c>
      <c r="G1106">
        <f t="shared" si="89"/>
        <v>3.2419375852073937</v>
      </c>
      <c r="H1106">
        <f t="shared" si="91"/>
        <v>-1.4931113371442151E-2</v>
      </c>
      <c r="I1106">
        <f t="shared" si="90"/>
        <v>0</v>
      </c>
      <c r="J1106">
        <f t="shared" si="92"/>
        <v>2</v>
      </c>
      <c r="K1106">
        <v>1.28964955359697E-2</v>
      </c>
      <c r="L1106">
        <v>6.7697241902350998E-3</v>
      </c>
      <c r="M1106">
        <v>1.48210067451E-2</v>
      </c>
      <c r="N1106">
        <v>1.28129832446574E-2</v>
      </c>
      <c r="O1106">
        <f t="shared" si="93"/>
        <v>2.2034652531147E-2</v>
      </c>
    </row>
    <row r="1107" spans="1:15" x14ac:dyDescent="0.35">
      <c r="A1107" t="s">
        <v>78</v>
      </c>
      <c r="B1107">
        <v>2014</v>
      </c>
      <c r="C1107">
        <v>4392279</v>
      </c>
      <c r="D1107" s="8">
        <v>0.94653803110122703</v>
      </c>
      <c r="E1107" s="8">
        <v>0.02</v>
      </c>
      <c r="F1107">
        <v>3.0726616609552502</v>
      </c>
      <c r="G1107">
        <f t="shared" si="89"/>
        <v>3.2462104638103506</v>
      </c>
      <c r="H1107">
        <f t="shared" si="91"/>
        <v>1.3180015008473767E-3</v>
      </c>
      <c r="I1107">
        <f t="shared" si="90"/>
        <v>1</v>
      </c>
      <c r="J1107">
        <f t="shared" si="92"/>
        <v>2</v>
      </c>
      <c r="K1107">
        <v>1.48210067451E-2</v>
      </c>
      <c r="L1107">
        <v>1.28129832446574E-2</v>
      </c>
      <c r="M1107">
        <v>5.8898741543292998E-2</v>
      </c>
      <c r="N1107">
        <v>2.8635289520025298E-2</v>
      </c>
      <c r="O1107">
        <f t="shared" si="93"/>
        <v>2.2576742619276079E-2</v>
      </c>
    </row>
    <row r="1108" spans="1:15" x14ac:dyDescent="0.35">
      <c r="A1108" t="s">
        <v>78</v>
      </c>
      <c r="B1108">
        <v>2015</v>
      </c>
      <c r="C1108">
        <v>4431241</v>
      </c>
      <c r="D1108" s="8">
        <v>0.95377051830291704</v>
      </c>
      <c r="E1108" s="8">
        <v>8.9999999999999993E-3</v>
      </c>
      <c r="F1108">
        <v>2.99920154607989</v>
      </c>
      <c r="G1108">
        <f t="shared" si="89"/>
        <v>3.1445735515252582</v>
      </c>
      <c r="H1108">
        <f t="shared" si="91"/>
        <v>-3.1309403200491359E-2</v>
      </c>
      <c r="I1108">
        <f t="shared" si="90"/>
        <v>0</v>
      </c>
      <c r="J1108">
        <f t="shared" si="92"/>
        <v>1</v>
      </c>
      <c r="K1108">
        <v>5.8898741543292998E-2</v>
      </c>
      <c r="L1108">
        <v>2.8635289520025298E-2</v>
      </c>
      <c r="M1108">
        <v>4.5452386409044303E-2</v>
      </c>
      <c r="N1108">
        <v>3.2298829406499897E-2</v>
      </c>
      <c r="O1108">
        <f t="shared" si="93"/>
        <v>2.489667348563674E-2</v>
      </c>
    </row>
    <row r="1109" spans="1:15" x14ac:dyDescent="0.35">
      <c r="A1109" t="s">
        <v>78</v>
      </c>
      <c r="B1109">
        <v>2016</v>
      </c>
      <c r="C1109">
        <v>4475180</v>
      </c>
      <c r="D1109" s="8">
        <v>0.956717729568481</v>
      </c>
      <c r="E1109" s="8">
        <v>5.0000000000000001E-3</v>
      </c>
      <c r="F1109">
        <v>3.0611643867093501</v>
      </c>
      <c r="G1109">
        <f t="shared" si="89"/>
        <v>3.1996526165455936</v>
      </c>
      <c r="H1109">
        <f t="shared" si="91"/>
        <v>1.751559126153035E-2</v>
      </c>
      <c r="I1109">
        <f t="shared" si="90"/>
        <v>1</v>
      </c>
      <c r="J1109">
        <f t="shared" si="92"/>
        <v>2</v>
      </c>
      <c r="K1109">
        <v>4.5452386409044303E-2</v>
      </c>
      <c r="L1109">
        <v>3.2298829406499897E-2</v>
      </c>
      <c r="M1109">
        <v>2.71324046850203E-2</v>
      </c>
      <c r="N1109">
        <v>2.4342831224203099E-2</v>
      </c>
      <c r="O1109">
        <f t="shared" si="93"/>
        <v>2.8034241870045561E-2</v>
      </c>
    </row>
    <row r="1110" spans="1:15" x14ac:dyDescent="0.35">
      <c r="A1110" t="s">
        <v>78</v>
      </c>
      <c r="B1110">
        <v>2017</v>
      </c>
      <c r="C1110">
        <v>4519626</v>
      </c>
      <c r="D1110" s="8">
        <v>0.95555669069290206</v>
      </c>
      <c r="E1110" s="8">
        <v>7.0000000000000001E-3</v>
      </c>
      <c r="F1110">
        <v>2.9920589457378099</v>
      </c>
      <c r="G1110">
        <f t="shared" si="89"/>
        <v>3.1312207584127538</v>
      </c>
      <c r="H1110">
        <f t="shared" si="91"/>
        <v>-2.1387277412233674E-2</v>
      </c>
      <c r="I1110">
        <f t="shared" si="90"/>
        <v>0</v>
      </c>
      <c r="J1110">
        <f t="shared" si="92"/>
        <v>2</v>
      </c>
      <c r="K1110">
        <v>2.71324046850203E-2</v>
      </c>
      <c r="L1110">
        <v>2.4342831224203099E-2</v>
      </c>
      <c r="M1110">
        <v>2.1218352228403001E-2</v>
      </c>
      <c r="N1110">
        <v>1.20833292603493E-2</v>
      </c>
      <c r="O1110">
        <f t="shared" si="93"/>
        <v>2.0631341263651782E-2</v>
      </c>
    </row>
    <row r="1111" spans="1:15" x14ac:dyDescent="0.35">
      <c r="A1111" t="s">
        <v>78</v>
      </c>
      <c r="B1111">
        <v>2018</v>
      </c>
      <c r="C1111">
        <v>4555150</v>
      </c>
      <c r="D1111" s="8">
        <v>0.95098775625228904</v>
      </c>
      <c r="E1111" s="8">
        <v>1.4999999999999999E-2</v>
      </c>
      <c r="F1111">
        <v>2.9968757191339899</v>
      </c>
      <c r="G1111">
        <f t="shared" si="89"/>
        <v>3.1513294460743237</v>
      </c>
      <c r="H1111">
        <f t="shared" si="91"/>
        <v>6.4219961519937918E-3</v>
      </c>
      <c r="I1111">
        <f t="shared" si="90"/>
        <v>1</v>
      </c>
      <c r="J1111">
        <f t="shared" si="92"/>
        <v>3</v>
      </c>
      <c r="K1111">
        <v>2.1218352228403001E-2</v>
      </c>
      <c r="L1111">
        <v>1.20833292603493E-2</v>
      </c>
      <c r="M1111">
        <v>3.3324628293514298E-2</v>
      </c>
      <c r="N1111">
        <v>1.55234336853028E-2</v>
      </c>
      <c r="O1111">
        <f t="shared" si="93"/>
        <v>1.4541770331561501E-2</v>
      </c>
    </row>
    <row r="1112" spans="1:15" x14ac:dyDescent="0.35">
      <c r="A1112" t="s">
        <v>78</v>
      </c>
      <c r="B1112">
        <v>2019</v>
      </c>
      <c r="C1112">
        <v>4583987</v>
      </c>
      <c r="D1112" s="8">
        <v>0.94652253389358498</v>
      </c>
      <c r="E1112" s="8">
        <v>1.2999999999999999E-2</v>
      </c>
      <c r="F1112">
        <v>2.9305475881364198</v>
      </c>
      <c r="G1112">
        <f t="shared" si="89"/>
        <v>3.0961202540856712</v>
      </c>
      <c r="H1112">
        <f t="shared" si="91"/>
        <v>-1.7519333644226864E-2</v>
      </c>
      <c r="I1112">
        <f t="shared" si="90"/>
        <v>0</v>
      </c>
      <c r="J1112" t="str">
        <f t="shared" si="92"/>
        <v/>
      </c>
      <c r="K1112">
        <v>3.3324628293514298E-2</v>
      </c>
      <c r="L1112">
        <v>1.55234336853028E-2</v>
      </c>
      <c r="M1112">
        <v>5.9084134280681599E-2</v>
      </c>
      <c r="N1112">
        <v>4.0234943851828603E-2</v>
      </c>
      <c r="O1112">
        <f t="shared" si="93"/>
        <v>1.0821814090013423E-2</v>
      </c>
    </row>
    <row r="1113" spans="1:15" x14ac:dyDescent="0.35">
      <c r="A1113" t="s">
        <v>78</v>
      </c>
      <c r="B1113">
        <v>2020</v>
      </c>
      <c r="C1113">
        <v>4617522</v>
      </c>
      <c r="D1113" s="8">
        <v>0.97338795661926303</v>
      </c>
      <c r="E1113" s="8">
        <v>1.0999999999999999E-2</v>
      </c>
      <c r="F1113">
        <v>2.9719799183534499</v>
      </c>
      <c r="G1113">
        <f t="shared" si="89"/>
        <v>3.0532326788546125</v>
      </c>
      <c r="H1113">
        <f t="shared" si="91"/>
        <v>-1.3852037941505579E-2</v>
      </c>
      <c r="I1113">
        <f t="shared" si="90"/>
        <v>0</v>
      </c>
      <c r="J1113" t="str">
        <f t="shared" si="92"/>
        <v/>
      </c>
      <c r="K1113">
        <v>5.9084134280681599E-2</v>
      </c>
      <c r="L1113">
        <v>4.0234943851828603E-2</v>
      </c>
      <c r="M1113">
        <v>9.1576284050940995E-2</v>
      </c>
      <c r="N1113">
        <v>4.7986671328543999E-2</v>
      </c>
      <c r="O1113">
        <f t="shared" si="93"/>
        <v>-1.8124499358237408E-3</v>
      </c>
    </row>
    <row r="1114" spans="1:15" x14ac:dyDescent="0.35">
      <c r="A1114" t="s">
        <v>78</v>
      </c>
      <c r="B1114">
        <v>2021</v>
      </c>
      <c r="C1114">
        <v>4652458</v>
      </c>
      <c r="D1114" s="8">
        <v>0.97324252128601096</v>
      </c>
      <c r="E1114" s="8">
        <v>5.0000000000000001E-3</v>
      </c>
      <c r="F1114">
        <v>2.93328673765498</v>
      </c>
      <c r="G1114">
        <f t="shared" si="89"/>
        <v>3.013931957862908</v>
      </c>
      <c r="H1114">
        <f t="shared" si="91"/>
        <v>-1.287183949781634E-2</v>
      </c>
      <c r="I1114">
        <f t="shared" si="90"/>
        <v>0</v>
      </c>
      <c r="J1114" t="str">
        <f t="shared" si="92"/>
        <v/>
      </c>
      <c r="K1114">
        <v>9.1576284050940995E-2</v>
      </c>
      <c r="L1114">
        <v>4.7986671328543999E-2</v>
      </c>
      <c r="M1114">
        <v>-4.4775178581476199E-2</v>
      </c>
      <c r="N1114">
        <v>-1.2671671807765799E-2</v>
      </c>
      <c r="O1114">
        <f t="shared" si="93"/>
        <v>-1.1595938820391829E-2</v>
      </c>
    </row>
    <row r="1115" spans="1:15" x14ac:dyDescent="0.35">
      <c r="A1115" t="s">
        <v>78</v>
      </c>
      <c r="B1115">
        <v>2022</v>
      </c>
      <c r="C1115">
        <v>4681984</v>
      </c>
      <c r="D1115" s="8">
        <v>0.94970196485519398</v>
      </c>
      <c r="E1115" s="8">
        <v>1.2999999999999999E-2</v>
      </c>
      <c r="F1115">
        <v>2.9387713880007</v>
      </c>
      <c r="G1115">
        <f t="shared" si="89"/>
        <v>3.094414349715271</v>
      </c>
      <c r="H1115">
        <f t="shared" si="91"/>
        <v>2.6703453487858742E-2</v>
      </c>
      <c r="I1115">
        <f t="shared" si="90"/>
        <v>1</v>
      </c>
      <c r="J1115" t="str">
        <f t="shared" si="92"/>
        <v/>
      </c>
      <c r="K1115">
        <v>-4.4775178581476199E-2</v>
      </c>
      <c r="L1115">
        <v>-1.2192968279123299E-2</v>
      </c>
      <c r="M1115">
        <v>-3.7923453174531399E-2</v>
      </c>
      <c r="N1115">
        <v>-1.83645254001021E-2</v>
      </c>
      <c r="O1115">
        <f t="shared" si="93"/>
        <v>-9.0754507575183802E-3</v>
      </c>
    </row>
    <row r="1116" spans="1:15" x14ac:dyDescent="0.35">
      <c r="A1116" t="s">
        <v>79</v>
      </c>
      <c r="B1116">
        <v>2006</v>
      </c>
      <c r="C1116">
        <v>557414.625</v>
      </c>
      <c r="D1116" s="8">
        <v>0.91632515192031905</v>
      </c>
      <c r="E1116" s="8">
        <v>0</v>
      </c>
      <c r="F1116">
        <v>2.2224099305887099</v>
      </c>
      <c r="G1116">
        <f t="shared" si="89"/>
        <v>2.4253507894345829</v>
      </c>
      <c r="H1116">
        <f t="shared" si="91"/>
        <v>-0.21621653879101588</v>
      </c>
      <c r="I1116">
        <f t="shared" si="90"/>
        <v>0</v>
      </c>
      <c r="J1116" t="str">
        <f t="shared" si="92"/>
        <v/>
      </c>
      <c r="K1116">
        <v>2.9861906200647399E-2</v>
      </c>
      <c r="L1116">
        <v>2.3498866707086601E-2</v>
      </c>
      <c r="M1116">
        <v>-3.9981034547090996E-3</v>
      </c>
      <c r="N1116">
        <v>-3.0763475224375998E-3</v>
      </c>
      <c r="O1116" t="str">
        <f t="shared" si="93"/>
        <v/>
      </c>
    </row>
    <row r="1117" spans="1:15" x14ac:dyDescent="0.35">
      <c r="A1117" t="s">
        <v>79</v>
      </c>
      <c r="B1117">
        <v>2007</v>
      </c>
      <c r="C1117">
        <v>559814</v>
      </c>
      <c r="D1117" s="8">
        <v>0.89225000143051103</v>
      </c>
      <c r="E1117" s="8">
        <v>2E-3</v>
      </c>
      <c r="F1117">
        <v>2.3066436426429102</v>
      </c>
      <c r="G1117">
        <f t="shared" si="89"/>
        <v>2.5851988108094757</v>
      </c>
      <c r="H1117">
        <f t="shared" si="91"/>
        <v>6.5907176013972668E-2</v>
      </c>
      <c r="I1117">
        <f t="shared" si="90"/>
        <v>1</v>
      </c>
      <c r="J1117" t="str">
        <f t="shared" si="92"/>
        <v/>
      </c>
      <c r="K1117">
        <v>-3.9981034547090996E-3</v>
      </c>
      <c r="L1117">
        <v>-3.0763475224375998E-3</v>
      </c>
      <c r="M1117">
        <v>-5.2447180554270598E-2</v>
      </c>
      <c r="N1117">
        <v>-2.2936376277357201E-2</v>
      </c>
      <c r="O1117" t="str">
        <f t="shared" si="93"/>
        <v/>
      </c>
    </row>
    <row r="1118" spans="1:15" x14ac:dyDescent="0.35">
      <c r="A1118" t="s">
        <v>79</v>
      </c>
      <c r="B1118">
        <v>2008</v>
      </c>
      <c r="C1118">
        <v>562476.9375</v>
      </c>
      <c r="D1118" s="8">
        <v>0.88871771097183205</v>
      </c>
      <c r="E1118" s="8">
        <v>4.0000000000000001E-3</v>
      </c>
      <c r="F1118">
        <v>2.4100649935333802</v>
      </c>
      <c r="G1118">
        <f t="shared" si="89"/>
        <v>2.7118453517685857</v>
      </c>
      <c r="H1118">
        <f t="shared" si="91"/>
        <v>4.8989091449974209E-2</v>
      </c>
      <c r="I1118">
        <f t="shared" si="90"/>
        <v>1</v>
      </c>
      <c r="J1118" t="str">
        <f t="shared" si="92"/>
        <v/>
      </c>
      <c r="K1118">
        <v>-5.2447180554270598E-2</v>
      </c>
      <c r="L1118">
        <v>-2.2936376277357201E-2</v>
      </c>
      <c r="M1118">
        <v>-2.7497474759817099E-2</v>
      </c>
      <c r="N1118">
        <v>-9.3077309429645105E-4</v>
      </c>
      <c r="O1118" t="str">
        <f t="shared" si="93"/>
        <v/>
      </c>
    </row>
    <row r="1119" spans="1:15" x14ac:dyDescent="0.35">
      <c r="A1119" t="s">
        <v>79</v>
      </c>
      <c r="B1119">
        <v>2009</v>
      </c>
      <c r="C1119">
        <v>565545.25</v>
      </c>
      <c r="D1119" s="8">
        <v>0.89249825477600098</v>
      </c>
      <c r="E1119" s="8">
        <v>2E-3</v>
      </c>
      <c r="F1119">
        <v>2.3911680458306801</v>
      </c>
      <c r="G1119">
        <f t="shared" si="89"/>
        <v>2.6791851222508161</v>
      </c>
      <c r="H1119">
        <f t="shared" si="91"/>
        <v>-1.2043544259066841E-2</v>
      </c>
      <c r="I1119">
        <f t="shared" si="90"/>
        <v>0</v>
      </c>
      <c r="J1119" t="str">
        <f t="shared" si="92"/>
        <v/>
      </c>
      <c r="K1119">
        <v>-2.7497474759817099E-2</v>
      </c>
      <c r="L1119">
        <v>-9.3077309429645105E-4</v>
      </c>
      <c r="M1119">
        <v>-9.5293402522802304E-3</v>
      </c>
      <c r="N1119">
        <v>-6.9231493398554098E-5</v>
      </c>
      <c r="O1119" t="str">
        <f t="shared" si="93"/>
        <v/>
      </c>
    </row>
    <row r="1120" spans="1:15" x14ac:dyDescent="0.35">
      <c r="A1120" t="s">
        <v>79</v>
      </c>
      <c r="B1120">
        <v>2010</v>
      </c>
      <c r="C1120">
        <v>570328.3125</v>
      </c>
      <c r="D1120" s="8">
        <v>0.89703720808029197</v>
      </c>
      <c r="E1120" s="8">
        <v>6.0000000000000001E-3</v>
      </c>
      <c r="F1120">
        <v>2.57881798803548</v>
      </c>
      <c r="G1120">
        <f t="shared" si="89"/>
        <v>2.8748171924264878</v>
      </c>
      <c r="H1120">
        <f t="shared" si="91"/>
        <v>7.3019243258307887E-2</v>
      </c>
      <c r="I1120">
        <f t="shared" si="90"/>
        <v>1</v>
      </c>
      <c r="J1120">
        <f t="shared" si="92"/>
        <v>3</v>
      </c>
      <c r="K1120">
        <v>-9.5293402522802304E-3</v>
      </c>
      <c r="L1120">
        <v>-6.9231493398554098E-5</v>
      </c>
      <c r="M1120">
        <v>-2.32747889757156E-2</v>
      </c>
      <c r="N1120">
        <v>-1.9910144619643402E-3</v>
      </c>
      <c r="O1120">
        <f t="shared" si="93"/>
        <v>7.1562984958293218E-4</v>
      </c>
    </row>
    <row r="1121" spans="1:15" x14ac:dyDescent="0.35">
      <c r="A1121" t="s">
        <v>79</v>
      </c>
      <c r="B1121">
        <v>2011</v>
      </c>
      <c r="C1121">
        <v>575077.875</v>
      </c>
      <c r="D1121" s="8">
        <v>0.90506446361541704</v>
      </c>
      <c r="E1121" s="8">
        <v>-3.0000000000000001E-3</v>
      </c>
      <c r="F1121">
        <v>2.40095078884129</v>
      </c>
      <c r="G1121">
        <f t="shared" si="89"/>
        <v>2.6527953370860775</v>
      </c>
      <c r="H1121">
        <f t="shared" si="91"/>
        <v>-7.7229903844081571E-2</v>
      </c>
      <c r="I1121">
        <f t="shared" si="90"/>
        <v>0</v>
      </c>
      <c r="J1121">
        <f t="shared" si="92"/>
        <v>3</v>
      </c>
      <c r="K1121">
        <v>-2.32747889757156E-2</v>
      </c>
      <c r="L1121">
        <v>-1.9910144619643402E-3</v>
      </c>
      <c r="M1121">
        <v>-8.6150330528617005E-3</v>
      </c>
      <c r="N1121">
        <v>-3.1768269836903E-3</v>
      </c>
      <c r="O1121">
        <f t="shared" si="93"/>
        <v>-1.24040096998214E-3</v>
      </c>
    </row>
    <row r="1122" spans="1:15" x14ac:dyDescent="0.35">
      <c r="A1122" t="s">
        <v>79</v>
      </c>
      <c r="B1122">
        <v>2012</v>
      </c>
      <c r="C1122">
        <v>577272</v>
      </c>
      <c r="D1122" s="8">
        <v>0.912475645542145</v>
      </c>
      <c r="E1122" s="8">
        <v>-1E-3</v>
      </c>
      <c r="F1122">
        <v>2.4565421658444899</v>
      </c>
      <c r="G1122">
        <f t="shared" si="89"/>
        <v>2.6921728572656227</v>
      </c>
      <c r="H1122">
        <f t="shared" si="91"/>
        <v>1.4843783698292645E-2</v>
      </c>
      <c r="I1122">
        <f t="shared" si="90"/>
        <v>1</v>
      </c>
      <c r="J1122">
        <f t="shared" si="92"/>
        <v>3</v>
      </c>
      <c r="K1122">
        <v>-8.6150330528617005E-3</v>
      </c>
      <c r="L1122">
        <v>-3.2624257728457902E-3</v>
      </c>
      <c r="M1122">
        <v>1.9844329357147001E-3</v>
      </c>
      <c r="N1122">
        <v>-4.1423384100198902E-3</v>
      </c>
      <c r="O1122">
        <f t="shared" si="93"/>
        <v>-3.9381349459290203E-3</v>
      </c>
    </row>
    <row r="1123" spans="1:15" x14ac:dyDescent="0.35">
      <c r="A1123" t="s">
        <v>79</v>
      </c>
      <c r="B1123">
        <v>2013</v>
      </c>
      <c r="C1123">
        <v>578309.8125</v>
      </c>
      <c r="D1123" s="8">
        <v>0.91862767934799205</v>
      </c>
      <c r="E1123" s="8">
        <v>0</v>
      </c>
      <c r="F1123">
        <v>2.5286112413397901</v>
      </c>
      <c r="G1123">
        <f t="shared" si="89"/>
        <v>2.7525963980690249</v>
      </c>
      <c r="H1123">
        <f t="shared" si="91"/>
        <v>2.2444153480090101E-2</v>
      </c>
      <c r="I1123">
        <f t="shared" si="90"/>
        <v>1</v>
      </c>
      <c r="J1123">
        <f t="shared" si="92"/>
        <v>3</v>
      </c>
      <c r="K1123">
        <v>1.9844329357147001E-3</v>
      </c>
      <c r="L1123">
        <v>-4.1423384100198902E-3</v>
      </c>
      <c r="M1123">
        <v>1.1191387489437999E-2</v>
      </c>
      <c r="N1123">
        <v>9.1833639889955902E-3</v>
      </c>
      <c r="O1123">
        <f t="shared" si="93"/>
        <v>-3.6606820300221E-3</v>
      </c>
    </row>
    <row r="1124" spans="1:15" x14ac:dyDescent="0.35">
      <c r="A1124" t="s">
        <v>79</v>
      </c>
      <c r="B1124">
        <v>2014</v>
      </c>
      <c r="C1124">
        <v>579676.375</v>
      </c>
      <c r="D1124" s="8">
        <v>0.91305506229400601</v>
      </c>
      <c r="E1124" s="8">
        <v>1.0999999999999999E-2</v>
      </c>
      <c r="F1124">
        <v>2.45865162921192</v>
      </c>
      <c r="G1124">
        <f t="shared" si="89"/>
        <v>2.6927747632598176</v>
      </c>
      <c r="H1124">
        <f t="shared" si="91"/>
        <v>-2.1732802837049703E-2</v>
      </c>
      <c r="I1124">
        <f t="shared" si="90"/>
        <v>0</v>
      </c>
      <c r="J1124">
        <f t="shared" si="92"/>
        <v>3</v>
      </c>
      <c r="K1124">
        <v>1.1191387489437999E-2</v>
      </c>
      <c r="L1124">
        <v>9.1833639889955902E-3</v>
      </c>
      <c r="M1124">
        <v>3.39684171378613E-2</v>
      </c>
      <c r="N1124">
        <v>3.7049651145936E-3</v>
      </c>
      <c r="O1124">
        <f t="shared" si="93"/>
        <v>-4.0581008419394212E-3</v>
      </c>
    </row>
    <row r="1125" spans="1:15" x14ac:dyDescent="0.35">
      <c r="A1125" t="s">
        <v>79</v>
      </c>
      <c r="B1125">
        <v>2015</v>
      </c>
      <c r="C1125">
        <v>580845.0625</v>
      </c>
      <c r="D1125" s="8">
        <v>0.92138910293579102</v>
      </c>
      <c r="E1125" s="8">
        <v>0</v>
      </c>
      <c r="F1125">
        <v>2.5454913113813</v>
      </c>
      <c r="G1125">
        <f t="shared" si="89"/>
        <v>2.762667046170491</v>
      </c>
      <c r="H1125">
        <f t="shared" si="91"/>
        <v>2.5955487946590639E-2</v>
      </c>
      <c r="I1125">
        <f t="shared" si="90"/>
        <v>1</v>
      </c>
      <c r="J1125">
        <f t="shared" si="92"/>
        <v>3</v>
      </c>
      <c r="K1125">
        <v>3.39684171378613E-2</v>
      </c>
      <c r="L1125">
        <v>3.7049651145936E-3</v>
      </c>
      <c r="M1125">
        <v>1.3823884427546999E-3</v>
      </c>
      <c r="N1125">
        <v>-1.1771168559789699E-2</v>
      </c>
      <c r="O1125">
        <f t="shared" si="93"/>
        <v>-3.3464247360825419E-3</v>
      </c>
    </row>
    <row r="1126" spans="1:15" x14ac:dyDescent="0.35">
      <c r="A1126" t="s">
        <v>79</v>
      </c>
      <c r="B1126">
        <v>2016</v>
      </c>
      <c r="C1126">
        <v>582511.75</v>
      </c>
      <c r="D1126" s="8">
        <v>0.90610086917877197</v>
      </c>
      <c r="E1126" s="8">
        <v>1.0999999999999999E-2</v>
      </c>
      <c r="F1126">
        <v>2.3951444172279999</v>
      </c>
      <c r="G1126">
        <f t="shared" si="89"/>
        <v>2.6433529628978234</v>
      </c>
      <c r="H1126">
        <f t="shared" si="91"/>
        <v>-4.3188006834937398E-2</v>
      </c>
      <c r="I1126">
        <f t="shared" si="90"/>
        <v>0</v>
      </c>
      <c r="J1126">
        <f t="shared" si="92"/>
        <v>3</v>
      </c>
      <c r="K1126">
        <v>1.3823884427546999E-3</v>
      </c>
      <c r="L1126">
        <v>-1.1771168559789699E-2</v>
      </c>
      <c r="M1126">
        <v>-1.3875923402607401E-2</v>
      </c>
      <c r="N1126">
        <v>-1.6665496863424702E-2</v>
      </c>
      <c r="O1126">
        <f t="shared" si="93"/>
        <v>-1.8043192103505044E-3</v>
      </c>
    </row>
    <row r="1127" spans="1:15" x14ac:dyDescent="0.35">
      <c r="A1127" t="s">
        <v>79</v>
      </c>
      <c r="B1127">
        <v>2017</v>
      </c>
      <c r="C1127">
        <v>582015.625</v>
      </c>
      <c r="D1127" s="8">
        <v>0.90166181325912498</v>
      </c>
      <c r="E1127" s="8">
        <v>4.0000000000000001E-3</v>
      </c>
      <c r="F1127">
        <v>2.4633960878913399</v>
      </c>
      <c r="G1127">
        <f t="shared" si="89"/>
        <v>2.7320621231448272</v>
      </c>
      <c r="H1127">
        <f t="shared" si="91"/>
        <v>3.3559332216366089E-2</v>
      </c>
      <c r="I1127">
        <f t="shared" si="90"/>
        <v>1</v>
      </c>
      <c r="J1127">
        <f t="shared" si="92"/>
        <v>3</v>
      </c>
      <c r="K1127">
        <v>-1.3875923402607401E-2</v>
      </c>
      <c r="L1127">
        <v>-1.6665496863424702E-2</v>
      </c>
      <c r="M1127">
        <v>6.3799491375685002E-3</v>
      </c>
      <c r="N1127">
        <v>-2.7550738304852902E-3</v>
      </c>
      <c r="O1127">
        <f t="shared" si="93"/>
        <v>2.7429625391960141E-3</v>
      </c>
    </row>
    <row r="1128" spans="1:15" x14ac:dyDescent="0.35">
      <c r="A1128" t="s">
        <v>79</v>
      </c>
      <c r="B1128">
        <v>2018</v>
      </c>
      <c r="C1128">
        <v>580436.875</v>
      </c>
      <c r="D1128" s="8">
        <v>0.91603463888168302</v>
      </c>
      <c r="E1128" s="8">
        <v>0</v>
      </c>
      <c r="F1128">
        <v>2.4158454132049498</v>
      </c>
      <c r="G1128">
        <f t="shared" si="89"/>
        <v>2.6372860923188139</v>
      </c>
      <c r="H1128">
        <f t="shared" si="91"/>
        <v>-3.4690291272336915E-2</v>
      </c>
      <c r="I1128">
        <f t="shared" si="90"/>
        <v>0</v>
      </c>
      <c r="J1128">
        <f t="shared" si="92"/>
        <v>2</v>
      </c>
      <c r="K1128">
        <v>6.3799491375685002E-3</v>
      </c>
      <c r="L1128">
        <v>-2.7550738304852902E-3</v>
      </c>
      <c r="M1128">
        <v>2.4997464537620501E-2</v>
      </c>
      <c r="N1128">
        <v>7.1962699294089898E-3</v>
      </c>
      <c r="O1128">
        <f t="shared" si="93"/>
        <v>3.4447900950908515E-3</v>
      </c>
    </row>
    <row r="1129" spans="1:15" x14ac:dyDescent="0.35">
      <c r="A1129" t="s">
        <v>79</v>
      </c>
      <c r="B1129">
        <v>2019</v>
      </c>
      <c r="C1129">
        <v>577676.5</v>
      </c>
      <c r="D1129" s="8">
        <v>0.913646459579468</v>
      </c>
      <c r="E1129" s="8">
        <v>0</v>
      </c>
      <c r="F1129">
        <v>2.2153961588584501</v>
      </c>
      <c r="G1129">
        <f t="shared" si="89"/>
        <v>2.4247849215966424</v>
      </c>
      <c r="H1129">
        <f t="shared" si="91"/>
        <v>-8.0575699140524981E-2</v>
      </c>
      <c r="I1129">
        <f t="shared" si="90"/>
        <v>0</v>
      </c>
      <c r="J1129" t="str">
        <f t="shared" si="92"/>
        <v/>
      </c>
      <c r="K1129">
        <v>2.4997464537620501E-2</v>
      </c>
      <c r="L1129">
        <v>7.1962699294089898E-3</v>
      </c>
      <c r="M1129">
        <v>2.61125360727309E-2</v>
      </c>
      <c r="N1129">
        <v>7.26334564387799E-3</v>
      </c>
      <c r="O1129">
        <f t="shared" si="93"/>
        <v>-1.2176083400845261E-3</v>
      </c>
    </row>
    <row r="1130" spans="1:15" x14ac:dyDescent="0.35">
      <c r="A1130" t="s">
        <v>79</v>
      </c>
      <c r="B1130">
        <v>2020</v>
      </c>
      <c r="C1130">
        <v>572601</v>
      </c>
      <c r="D1130" s="8">
        <v>0.91570472717285201</v>
      </c>
      <c r="E1130" s="8">
        <v>3.5000000000000003E-2</v>
      </c>
      <c r="F1130">
        <v>2.1844621880795998</v>
      </c>
      <c r="G1130">
        <f t="shared" si="89"/>
        <v>2.3855530317331781</v>
      </c>
      <c r="H1130">
        <f t="shared" si="91"/>
        <v>-1.6179533910014254E-2</v>
      </c>
      <c r="I1130">
        <f t="shared" si="90"/>
        <v>0</v>
      </c>
      <c r="J1130" t="str">
        <f t="shared" si="92"/>
        <v/>
      </c>
      <c r="K1130">
        <v>2.61125360727309E-2</v>
      </c>
      <c r="L1130">
        <v>7.26334564387799E-3</v>
      </c>
      <c r="M1130">
        <v>3.9528971791267298E-2</v>
      </c>
      <c r="N1130">
        <v>-4.0606409311295102E-3</v>
      </c>
      <c r="O1130">
        <f t="shared" si="93"/>
        <v>-9.0666810981929035E-3</v>
      </c>
    </row>
    <row r="1131" spans="1:15" x14ac:dyDescent="0.35">
      <c r="A1131" t="s">
        <v>79</v>
      </c>
      <c r="B1131">
        <v>2021</v>
      </c>
      <c r="C1131">
        <v>567647</v>
      </c>
      <c r="D1131" s="8">
        <v>0.91885602474212602</v>
      </c>
      <c r="E1131" s="8">
        <v>5.0000000000000001E-3</v>
      </c>
      <c r="F1131">
        <v>2.2320457188590201</v>
      </c>
      <c r="G1131">
        <f t="shared" si="89"/>
        <v>2.4291571897626034</v>
      </c>
      <c r="H1131">
        <f t="shared" si="91"/>
        <v>1.8278427454511581E-2</v>
      </c>
      <c r="I1131">
        <f t="shared" si="90"/>
        <v>1</v>
      </c>
      <c r="J1131" t="str">
        <f t="shared" si="92"/>
        <v/>
      </c>
      <c r="K1131">
        <v>3.9528971791267298E-2</v>
      </c>
      <c r="L1131">
        <v>-4.0606409311295102E-3</v>
      </c>
      <c r="M1131">
        <v>-2.6032594889402402E-2</v>
      </c>
      <c r="N1131">
        <v>6.07091188430789E-3</v>
      </c>
      <c r="O1131">
        <f t="shared" si="93"/>
        <v>-9.3823990784585101E-3</v>
      </c>
    </row>
    <row r="1132" spans="1:15" x14ac:dyDescent="0.35">
      <c r="A1132" t="s">
        <v>79</v>
      </c>
      <c r="B1132">
        <v>2022</v>
      </c>
      <c r="C1132">
        <v>565788.5625</v>
      </c>
      <c r="D1132" s="8">
        <v>0.88319665193557695</v>
      </c>
      <c r="E1132" s="8">
        <v>0</v>
      </c>
      <c r="F1132">
        <v>2.08296867955552</v>
      </c>
      <c r="G1132">
        <f t="shared" si="89"/>
        <v>2.3584426809030274</v>
      </c>
      <c r="H1132">
        <f t="shared" si="91"/>
        <v>-2.9110717559816202E-2</v>
      </c>
      <c r="I1132">
        <f t="shared" si="90"/>
        <v>0</v>
      </c>
      <c r="J1132" t="str">
        <f t="shared" si="92"/>
        <v/>
      </c>
      <c r="K1132">
        <v>-2.6032594889402402E-2</v>
      </c>
      <c r="L1132">
        <v>6.5496154129504897E-3</v>
      </c>
      <c r="M1132">
        <v>-1.8804863825440402E-2</v>
      </c>
      <c r="N1132">
        <v>7.5406394898889996E-4</v>
      </c>
      <c r="O1132">
        <f t="shared" si="93"/>
        <v>-1.1527051404118506E-2</v>
      </c>
    </row>
    <row r="1133" spans="1:15" x14ac:dyDescent="0.35">
      <c r="A1133" t="s">
        <v>80</v>
      </c>
      <c r="B1133">
        <v>2006</v>
      </c>
      <c r="C1133">
        <v>1288358</v>
      </c>
      <c r="D1133" s="8">
        <v>0.89693486690521196</v>
      </c>
      <c r="E1133" s="8">
        <v>1.6E-2</v>
      </c>
      <c r="F1133">
        <v>2.2100894359672498</v>
      </c>
      <c r="G1133">
        <f t="shared" si="89"/>
        <v>2.4640467413123899</v>
      </c>
      <c r="H1133">
        <f t="shared" si="91"/>
        <v>4.4777030734928669E-2</v>
      </c>
      <c r="I1133">
        <f t="shared" si="90"/>
        <v>1</v>
      </c>
      <c r="J1133" t="str">
        <f t="shared" si="92"/>
        <v/>
      </c>
      <c r="K1133">
        <v>1.3471515506506E-2</v>
      </c>
      <c r="L1133">
        <v>7.1084760129452003E-3</v>
      </c>
      <c r="M1133">
        <v>-1.7037478178739501E-2</v>
      </c>
      <c r="N1133">
        <v>-1.6115722246467901E-2</v>
      </c>
      <c r="O1133" t="str">
        <f t="shared" si="93"/>
        <v/>
      </c>
    </row>
    <row r="1134" spans="1:15" x14ac:dyDescent="0.35">
      <c r="A1134" t="s">
        <v>80</v>
      </c>
      <c r="B1134">
        <v>2007</v>
      </c>
      <c r="C1134">
        <v>1310764</v>
      </c>
      <c r="D1134" s="8">
        <v>0.87614202499389604</v>
      </c>
      <c r="E1134" s="8">
        <v>4.7E-2</v>
      </c>
      <c r="F1134">
        <v>2.3291745276923401</v>
      </c>
      <c r="G1134">
        <f t="shared" si="89"/>
        <v>2.6584440207722797</v>
      </c>
      <c r="H1134">
        <f t="shared" si="91"/>
        <v>7.8893503195621495E-2</v>
      </c>
      <c r="I1134">
        <f t="shared" si="90"/>
        <v>1</v>
      </c>
      <c r="J1134" t="str">
        <f t="shared" si="92"/>
        <v/>
      </c>
      <c r="K1134">
        <v>-1.7037478178739501E-2</v>
      </c>
      <c r="L1134">
        <v>-1.6115722246467901E-2</v>
      </c>
      <c r="M1134">
        <v>-6.1492822423577301E-2</v>
      </c>
      <c r="N1134">
        <v>-3.1982018146663897E-2</v>
      </c>
      <c r="O1134" t="str">
        <f t="shared" si="93"/>
        <v/>
      </c>
    </row>
    <row r="1135" spans="1:15" x14ac:dyDescent="0.35">
      <c r="A1135" t="s">
        <v>80</v>
      </c>
      <c r="B1135">
        <v>2008</v>
      </c>
      <c r="C1135">
        <v>1325845</v>
      </c>
      <c r="D1135" s="8">
        <v>0.86911416053771995</v>
      </c>
      <c r="E1135" s="8">
        <v>2.7E-2</v>
      </c>
      <c r="F1135">
        <v>2.2653613711322498</v>
      </c>
      <c r="G1135">
        <f t="shared" si="89"/>
        <v>2.6065176175827962</v>
      </c>
      <c r="H1135">
        <f t="shared" si="91"/>
        <v>-1.9532629908226906E-2</v>
      </c>
      <c r="I1135">
        <f t="shared" si="90"/>
        <v>0</v>
      </c>
      <c r="J1135" t="str">
        <f t="shared" si="92"/>
        <v/>
      </c>
      <c r="K1135">
        <v>-6.1492822423577301E-2</v>
      </c>
      <c r="L1135">
        <v>-3.1982018146663897E-2</v>
      </c>
      <c r="M1135">
        <v>-3.2205932497978103E-2</v>
      </c>
      <c r="N1135">
        <v>-5.6392308324575398E-3</v>
      </c>
      <c r="O1135" t="str">
        <f t="shared" si="93"/>
        <v/>
      </c>
    </row>
    <row r="1136" spans="1:15" x14ac:dyDescent="0.35">
      <c r="A1136" t="s">
        <v>80</v>
      </c>
      <c r="B1136">
        <v>2009</v>
      </c>
      <c r="C1136">
        <v>1338707</v>
      </c>
      <c r="D1136" s="8">
        <v>0.873180091381073</v>
      </c>
      <c r="E1136" s="8">
        <v>3.3000000000000002E-2</v>
      </c>
      <c r="F1136">
        <v>2.2984812685655398</v>
      </c>
      <c r="G1136">
        <f t="shared" si="89"/>
        <v>2.6323106667836718</v>
      </c>
      <c r="H1136">
        <f t="shared" si="91"/>
        <v>9.8955974925638568E-3</v>
      </c>
      <c r="I1136">
        <f t="shared" si="90"/>
        <v>1</v>
      </c>
      <c r="J1136" t="str">
        <f t="shared" si="92"/>
        <v/>
      </c>
      <c r="K1136">
        <v>-3.2205932497978103E-2</v>
      </c>
      <c r="L1136">
        <v>-5.6392308324575398E-3</v>
      </c>
      <c r="M1136">
        <v>-1.4112458502873701E-2</v>
      </c>
      <c r="N1136">
        <v>-4.6523497439920902E-3</v>
      </c>
      <c r="O1136" t="str">
        <f t="shared" si="93"/>
        <v/>
      </c>
    </row>
    <row r="1137" spans="1:15" x14ac:dyDescent="0.35">
      <c r="A1137" t="s">
        <v>80</v>
      </c>
      <c r="B1137">
        <v>2010</v>
      </c>
      <c r="C1137">
        <v>1353527</v>
      </c>
      <c r="D1137" s="8">
        <v>0.889209985733032</v>
      </c>
      <c r="E1137" s="8">
        <v>3.0000000000000001E-3</v>
      </c>
      <c r="F1137">
        <v>2.2813505019003899</v>
      </c>
      <c r="G1137">
        <f t="shared" si="89"/>
        <v>2.5655925355131144</v>
      </c>
      <c r="H1137">
        <f t="shared" si="91"/>
        <v>-2.5345842385723349E-2</v>
      </c>
      <c r="I1137">
        <f t="shared" si="90"/>
        <v>0</v>
      </c>
      <c r="J1137">
        <f t="shared" si="92"/>
        <v>3</v>
      </c>
      <c r="K1137">
        <v>-1.4112458502873701E-2</v>
      </c>
      <c r="L1137">
        <v>-4.6523497439920902E-3</v>
      </c>
      <c r="M1137">
        <v>-1.8533006653189701E-2</v>
      </c>
      <c r="N1137">
        <v>2.7507678605615902E-3</v>
      </c>
      <c r="O1137">
        <f t="shared" si="93"/>
        <v>3.1096390448510564E-3</v>
      </c>
    </row>
    <row r="1138" spans="1:15" x14ac:dyDescent="0.35">
      <c r="A1138" t="s">
        <v>80</v>
      </c>
      <c r="B1138">
        <v>2011</v>
      </c>
      <c r="C1138">
        <v>1369629</v>
      </c>
      <c r="D1138" s="8">
        <v>0.89456874132156405</v>
      </c>
      <c r="E1138" s="8">
        <v>0</v>
      </c>
      <c r="F1138">
        <v>2.3367839041621798</v>
      </c>
      <c r="G1138">
        <f t="shared" si="89"/>
        <v>2.6121904289993441</v>
      </c>
      <c r="H1138">
        <f t="shared" si="91"/>
        <v>1.8162624361124591E-2</v>
      </c>
      <c r="I1138">
        <f t="shared" si="90"/>
        <v>1</v>
      </c>
      <c r="J1138">
        <f t="shared" si="92"/>
        <v>3</v>
      </c>
      <c r="K1138">
        <v>-1.8533006653189701E-2</v>
      </c>
      <c r="L1138">
        <v>2.7507678605615902E-3</v>
      </c>
      <c r="M1138">
        <v>-4.3485707640647997E-3</v>
      </c>
      <c r="N1138">
        <v>1.0896353051066E-3</v>
      </c>
      <c r="O1138">
        <f t="shared" si="93"/>
        <v>4.422965832054618E-3</v>
      </c>
    </row>
    <row r="1139" spans="1:15" x14ac:dyDescent="0.35">
      <c r="A1139" t="s">
        <v>80</v>
      </c>
      <c r="B1139">
        <v>2012</v>
      </c>
      <c r="C1139">
        <v>1388039</v>
      </c>
      <c r="D1139" s="8">
        <v>0.90397107601165805</v>
      </c>
      <c r="E1139" s="8">
        <v>7.0000000000000001E-3</v>
      </c>
      <c r="F1139">
        <v>2.2551213084080102</v>
      </c>
      <c r="G1139">
        <f t="shared" si="89"/>
        <v>2.4946830360520593</v>
      </c>
      <c r="H1139">
        <f t="shared" si="91"/>
        <v>-4.498423684688968E-2</v>
      </c>
      <c r="I1139">
        <f t="shared" si="90"/>
        <v>0</v>
      </c>
      <c r="J1139">
        <f t="shared" si="92"/>
        <v>2</v>
      </c>
      <c r="K1139">
        <v>-4.3485707640647997E-3</v>
      </c>
      <c r="L1139">
        <v>1.0040365159511E-3</v>
      </c>
      <c r="M1139">
        <v>9.3040302395819903E-4</v>
      </c>
      <c r="N1139">
        <v>-5.1963683217763996E-3</v>
      </c>
      <c r="O1139">
        <f t="shared" si="93"/>
        <v>7.5257766991853993E-3</v>
      </c>
    </row>
    <row r="1140" spans="1:15" x14ac:dyDescent="0.35">
      <c r="A1140" t="s">
        <v>80</v>
      </c>
      <c r="B1140">
        <v>2013</v>
      </c>
      <c r="C1140">
        <v>1408009</v>
      </c>
      <c r="D1140" s="8">
        <v>0.90934705734252896</v>
      </c>
      <c r="E1140" s="8">
        <v>2.5000000000000001E-2</v>
      </c>
      <c r="F1140">
        <v>2.3060770905452901</v>
      </c>
      <c r="G1140">
        <f t="shared" si="89"/>
        <v>2.535970256817631</v>
      </c>
      <c r="H1140">
        <f t="shared" si="91"/>
        <v>1.6550086792152419E-2</v>
      </c>
      <c r="I1140">
        <f t="shared" si="90"/>
        <v>1</v>
      </c>
      <c r="J1140">
        <f t="shared" si="92"/>
        <v>3</v>
      </c>
      <c r="K1140">
        <v>9.3040302395819903E-4</v>
      </c>
      <c r="L1140">
        <v>-5.1963683217763996E-3</v>
      </c>
      <c r="M1140">
        <v>9.1073017716407894E-3</v>
      </c>
      <c r="N1140">
        <v>7.0992782711982901E-3</v>
      </c>
      <c r="O1140">
        <f t="shared" si="93"/>
        <v>1.0174384713172941E-2</v>
      </c>
    </row>
    <row r="1141" spans="1:15" x14ac:dyDescent="0.35">
      <c r="A1141" t="s">
        <v>80</v>
      </c>
      <c r="B1141">
        <v>2014</v>
      </c>
      <c r="C1141">
        <v>1435023</v>
      </c>
      <c r="D1141" s="8">
        <v>0.92824518680572499</v>
      </c>
      <c r="E1141" s="8">
        <v>5.0000000000000001E-3</v>
      </c>
      <c r="F1141">
        <v>2.40391871758507</v>
      </c>
      <c r="G1141">
        <f t="shared" si="89"/>
        <v>2.5897454161409974</v>
      </c>
      <c r="H1141">
        <f t="shared" si="91"/>
        <v>2.120496452148779E-2</v>
      </c>
      <c r="I1141">
        <f t="shared" si="90"/>
        <v>1</v>
      </c>
      <c r="J1141">
        <f t="shared" si="92"/>
        <v>3</v>
      </c>
      <c r="K1141">
        <v>9.1073017716407894E-3</v>
      </c>
      <c r="L1141">
        <v>7.0992782711982901E-3</v>
      </c>
      <c r="M1141">
        <v>4.0068334132432902E-2</v>
      </c>
      <c r="N1141">
        <v>9.8048821091652003E-3</v>
      </c>
      <c r="O1141">
        <f t="shared" si="93"/>
        <v>8.8349319994449789E-3</v>
      </c>
    </row>
    <row r="1142" spans="1:15" x14ac:dyDescent="0.35">
      <c r="A1142" t="s">
        <v>80</v>
      </c>
      <c r="B1142">
        <v>2015</v>
      </c>
      <c r="C1142">
        <v>1466608</v>
      </c>
      <c r="D1142" s="8">
        <v>0.93052566051483199</v>
      </c>
      <c r="E1142" s="8">
        <v>2.8000000000000001E-2</v>
      </c>
      <c r="F1142">
        <v>2.36429830376091</v>
      </c>
      <c r="G1142">
        <f t="shared" si="89"/>
        <v>2.5408201021053136</v>
      </c>
      <c r="H1142">
        <f t="shared" si="91"/>
        <v>-1.8891939621072051E-2</v>
      </c>
      <c r="I1142">
        <f t="shared" si="90"/>
        <v>0</v>
      </c>
      <c r="J1142">
        <f t="shared" si="92"/>
        <v>3</v>
      </c>
      <c r="K1142">
        <v>4.0068334132432902E-2</v>
      </c>
      <c r="L1142">
        <v>9.8048821091652003E-3</v>
      </c>
      <c r="M1142">
        <v>2.2470958799123801E-2</v>
      </c>
      <c r="N1142">
        <v>9.3174017965794009E-3</v>
      </c>
      <c r="O1142">
        <f t="shared" si="93"/>
        <v>8.6168017238378806E-3</v>
      </c>
    </row>
    <row r="1143" spans="1:15" x14ac:dyDescent="0.35">
      <c r="A1143" t="s">
        <v>80</v>
      </c>
      <c r="B1143">
        <v>2016</v>
      </c>
      <c r="C1143">
        <v>1500427</v>
      </c>
      <c r="D1143" s="8">
        <v>0.92845070362091098</v>
      </c>
      <c r="E1143" s="8">
        <v>0.02</v>
      </c>
      <c r="F1143">
        <v>2.3526575348190799</v>
      </c>
      <c r="G1143">
        <f t="shared" si="89"/>
        <v>2.5339606353291932</v>
      </c>
      <c r="H1143">
        <f t="shared" si="91"/>
        <v>-2.6997058038216171E-3</v>
      </c>
      <c r="I1143">
        <f t="shared" si="90"/>
        <v>0</v>
      </c>
      <c r="J1143">
        <f t="shared" si="92"/>
        <v>2</v>
      </c>
      <c r="K1143">
        <v>2.2470958799123801E-2</v>
      </c>
      <c r="L1143">
        <v>9.3174017965794009E-3</v>
      </c>
      <c r="M1143">
        <v>1.9393263101577799E-2</v>
      </c>
      <c r="N1143">
        <v>1.6603689640760502E-2</v>
      </c>
      <c r="O1143">
        <f t="shared" si="93"/>
        <v>2.16292072087526E-2</v>
      </c>
    </row>
    <row r="1144" spans="1:15" x14ac:dyDescent="0.35">
      <c r="A1144" t="s">
        <v>80</v>
      </c>
      <c r="B1144">
        <v>2017</v>
      </c>
      <c r="C1144">
        <v>1531576</v>
      </c>
      <c r="D1144" s="8">
        <v>0.92904788255691495</v>
      </c>
      <c r="E1144" s="8">
        <v>2.7E-2</v>
      </c>
      <c r="F1144">
        <v>2.3732157745747502</v>
      </c>
      <c r="G1144">
        <f t="shared" si="89"/>
        <v>2.5544601297009719</v>
      </c>
      <c r="H1144">
        <f t="shared" si="91"/>
        <v>8.0899024578238166E-3</v>
      </c>
      <c r="I1144">
        <f t="shared" si="90"/>
        <v>1</v>
      </c>
      <c r="J1144">
        <f t="shared" si="92"/>
        <v>3</v>
      </c>
      <c r="K1144">
        <v>1.9393263101577799E-2</v>
      </c>
      <c r="L1144">
        <v>1.6603689640760502E-2</v>
      </c>
      <c r="M1144">
        <v>1.7181694716215098E-2</v>
      </c>
      <c r="N1144">
        <v>8.0466717481613003E-3</v>
      </c>
      <c r="O1144">
        <f t="shared" si="93"/>
        <v>1.3361291959881737E-2</v>
      </c>
    </row>
    <row r="1145" spans="1:15" x14ac:dyDescent="0.35">
      <c r="A1145" t="s">
        <v>80</v>
      </c>
      <c r="B1145">
        <v>2018</v>
      </c>
      <c r="C1145">
        <v>1561516</v>
      </c>
      <c r="D1145" s="8">
        <v>0.92352473735809304</v>
      </c>
      <c r="E1145" s="8">
        <v>2.9000000000000001E-2</v>
      </c>
      <c r="F1145">
        <v>2.3268425310299601</v>
      </c>
      <c r="G1145">
        <f t="shared" si="89"/>
        <v>2.5195237733277263</v>
      </c>
      <c r="H1145">
        <f t="shared" si="91"/>
        <v>-1.3676610555411362E-2</v>
      </c>
      <c r="I1145">
        <f t="shared" si="90"/>
        <v>0</v>
      </c>
      <c r="J1145">
        <f t="shared" si="92"/>
        <v>2</v>
      </c>
      <c r="K1145">
        <v>1.7181694716215098E-2</v>
      </c>
      <c r="L1145">
        <v>8.0466717481613003E-3</v>
      </c>
      <c r="M1145">
        <v>1.8203209310770001E-2</v>
      </c>
      <c r="N1145">
        <v>4.0201470255849599E-4</v>
      </c>
      <c r="O1145">
        <f t="shared" si="93"/>
        <v>1.5026375651359183E-3</v>
      </c>
    </row>
    <row r="1146" spans="1:15" x14ac:dyDescent="0.35">
      <c r="A1146" t="s">
        <v>80</v>
      </c>
      <c r="B1146">
        <v>2019</v>
      </c>
      <c r="C1146">
        <v>1591005</v>
      </c>
      <c r="D1146" s="8">
        <v>0.91639322042465199</v>
      </c>
      <c r="E1146" s="8">
        <v>4.3999999999999997E-2</v>
      </c>
      <c r="F1146">
        <v>2.2535899099393601</v>
      </c>
      <c r="G1146">
        <f t="shared" si="89"/>
        <v>2.4591953101694251</v>
      </c>
      <c r="H1146">
        <f t="shared" si="91"/>
        <v>-2.3944391315911639E-2</v>
      </c>
      <c r="I1146">
        <f t="shared" si="90"/>
        <v>0</v>
      </c>
      <c r="J1146" t="str">
        <f t="shared" si="92"/>
        <v/>
      </c>
      <c r="K1146">
        <v>1.8203209310770001E-2</v>
      </c>
      <c r="L1146">
        <v>4.0201470255849599E-4</v>
      </c>
      <c r="M1146">
        <v>2.7563421159982698E-2</v>
      </c>
      <c r="N1146">
        <v>8.7142307311297001E-3</v>
      </c>
      <c r="O1146">
        <f t="shared" si="93"/>
        <v>-2.1659415215255945E-4</v>
      </c>
    </row>
    <row r="1147" spans="1:15" x14ac:dyDescent="0.35">
      <c r="A1147" t="s">
        <v>80</v>
      </c>
      <c r="B1147">
        <v>2020</v>
      </c>
      <c r="C1147">
        <v>1620148</v>
      </c>
      <c r="D1147" s="8">
        <v>0.92644053697586104</v>
      </c>
      <c r="E1147" s="8">
        <v>4.5999999999999999E-2</v>
      </c>
      <c r="F1147">
        <v>2.03453181450663</v>
      </c>
      <c r="G1147">
        <f t="shared" si="89"/>
        <v>2.196073825901296</v>
      </c>
      <c r="H1147">
        <f t="shared" si="91"/>
        <v>-0.10699495203982046</v>
      </c>
      <c r="I1147">
        <f t="shared" si="90"/>
        <v>0</v>
      </c>
      <c r="J1147" t="str">
        <f t="shared" si="92"/>
        <v/>
      </c>
      <c r="K1147">
        <v>2.7563421159982698E-2</v>
      </c>
      <c r="L1147">
        <v>8.7142307311297001E-3</v>
      </c>
      <c r="M1147">
        <v>0.11796904194355</v>
      </c>
      <c r="N1147">
        <v>7.4379429221152996E-2</v>
      </c>
      <c r="O1147">
        <f t="shared" si="93"/>
        <v>-6.9141136482361984E-4</v>
      </c>
    </row>
    <row r="1148" spans="1:15" x14ac:dyDescent="0.35">
      <c r="A1148" t="s">
        <v>80</v>
      </c>
      <c r="B1148">
        <v>2021</v>
      </c>
      <c r="C1148">
        <v>1651216</v>
      </c>
      <c r="D1148" s="8">
        <v>0.94472593069076505</v>
      </c>
      <c r="E1148" s="8">
        <v>3.2000000000000001E-2</v>
      </c>
      <c r="F1148">
        <v>2.2938150574509102</v>
      </c>
      <c r="G1148">
        <f t="shared" si="89"/>
        <v>2.4280216970161046</v>
      </c>
      <c r="H1148">
        <f t="shared" si="91"/>
        <v>0.10561934138057238</v>
      </c>
      <c r="I1148">
        <f t="shared" si="90"/>
        <v>1</v>
      </c>
      <c r="J1148" t="str">
        <f t="shared" si="92"/>
        <v/>
      </c>
      <c r="K1148">
        <v>0.11796904194355</v>
      </c>
      <c r="L1148">
        <v>7.4379429221152996E-2</v>
      </c>
      <c r="M1148">
        <v>-5.68393933773041E-2</v>
      </c>
      <c r="N1148">
        <v>-2.4735886603593799E-2</v>
      </c>
      <c r="O1148">
        <f t="shared" si="93"/>
        <v>-1.3332532811909917E-2</v>
      </c>
    </row>
    <row r="1149" spans="1:15" x14ac:dyDescent="0.35">
      <c r="A1149" t="s">
        <v>80</v>
      </c>
      <c r="B1149">
        <v>2022</v>
      </c>
      <c r="C1149">
        <v>1691503</v>
      </c>
      <c r="D1149" s="8">
        <v>0.90136468410491899</v>
      </c>
      <c r="E1149" s="8">
        <v>5.8000000000000003E-2</v>
      </c>
      <c r="F1149">
        <v>2.24100432963834</v>
      </c>
      <c r="G1149">
        <f t="shared" si="89"/>
        <v>2.4862348937752334</v>
      </c>
      <c r="H1149">
        <f t="shared" si="91"/>
        <v>2.3975566952580962E-2</v>
      </c>
      <c r="I1149">
        <f t="shared" si="90"/>
        <v>1</v>
      </c>
      <c r="J1149" t="str">
        <f t="shared" si="92"/>
        <v/>
      </c>
      <c r="K1149">
        <v>-5.68393933773041E-2</v>
      </c>
      <c r="L1149">
        <v>-2.42571830749512E-2</v>
      </c>
      <c r="M1149">
        <v>-7.0805527999997106E-2</v>
      </c>
      <c r="N1149">
        <v>-5.1246600225567797E-2</v>
      </c>
      <c r="O1149">
        <f t="shared" si="93"/>
        <v>-9.4742743298411487E-3</v>
      </c>
    </row>
    <row r="1150" spans="1:15" x14ac:dyDescent="0.35">
      <c r="A1150" t="s">
        <v>81</v>
      </c>
      <c r="B1150">
        <v>2006</v>
      </c>
      <c r="C1150">
        <v>321397.1875</v>
      </c>
      <c r="D1150" s="8">
        <v>0.92474424839019798</v>
      </c>
      <c r="E1150" s="8">
        <v>0</v>
      </c>
      <c r="F1150">
        <v>2.0267924824215102</v>
      </c>
      <c r="G1150">
        <f t="shared" si="89"/>
        <v>2.1917329963930747</v>
      </c>
      <c r="H1150">
        <f t="shared" si="91"/>
        <v>-0.11845296601680744</v>
      </c>
      <c r="I1150">
        <f t="shared" si="90"/>
        <v>0</v>
      </c>
      <c r="J1150" t="str">
        <f t="shared" si="92"/>
        <v/>
      </c>
      <c r="K1150">
        <v>-1.2835996568203001E-2</v>
      </c>
      <c r="L1150">
        <v>-1.9199036061763701E-2</v>
      </c>
      <c r="M1150">
        <v>-9.1158998161554004E-3</v>
      </c>
      <c r="N1150">
        <v>-8.1941438838838993E-3</v>
      </c>
      <c r="O1150" t="str">
        <f t="shared" si="93"/>
        <v/>
      </c>
    </row>
    <row r="1151" spans="1:15" x14ac:dyDescent="0.35">
      <c r="A1151" t="s">
        <v>81</v>
      </c>
      <c r="B1151">
        <v>2007</v>
      </c>
      <c r="C1151">
        <v>322391.125</v>
      </c>
      <c r="D1151" s="8">
        <v>0.92026090621948198</v>
      </c>
      <c r="E1151" s="8">
        <v>1.2E-2</v>
      </c>
      <c r="F1151">
        <v>2.1118224827728</v>
      </c>
      <c r="G1151">
        <f t="shared" si="89"/>
        <v>2.2948084271539519</v>
      </c>
      <c r="H1151">
        <f t="shared" si="91"/>
        <v>4.7029191480215893E-2</v>
      </c>
      <c r="I1151">
        <f t="shared" si="90"/>
        <v>1</v>
      </c>
      <c r="J1151" t="str">
        <f t="shared" si="92"/>
        <v/>
      </c>
      <c r="K1151">
        <v>-9.1158998161554004E-3</v>
      </c>
      <c r="L1151">
        <v>-8.1941438838838993E-3</v>
      </c>
      <c r="M1151">
        <v>-2.3170659609138999E-2</v>
      </c>
      <c r="N1151">
        <v>6.3401446677743998E-3</v>
      </c>
      <c r="O1151" t="str">
        <f t="shared" si="93"/>
        <v/>
      </c>
    </row>
    <row r="1152" spans="1:15" x14ac:dyDescent="0.35">
      <c r="A1152" t="s">
        <v>81</v>
      </c>
      <c r="B1152">
        <v>2008</v>
      </c>
      <c r="C1152">
        <v>323937</v>
      </c>
      <c r="D1152" s="8">
        <v>0.93814212083816495</v>
      </c>
      <c r="E1152" s="8">
        <v>-6.0000000000000001E-3</v>
      </c>
      <c r="F1152">
        <v>2.0897506925207701</v>
      </c>
      <c r="G1152">
        <f t="shared" si="89"/>
        <v>2.2275416976840594</v>
      </c>
      <c r="H1152">
        <f t="shared" si="91"/>
        <v>-2.93125686109309E-2</v>
      </c>
      <c r="I1152">
        <f t="shared" si="90"/>
        <v>0</v>
      </c>
      <c r="J1152" t="str">
        <f t="shared" si="92"/>
        <v/>
      </c>
      <c r="K1152">
        <v>-2.3170659609138999E-2</v>
      </c>
      <c r="L1152">
        <v>6.3401446677743998E-3</v>
      </c>
      <c r="M1152">
        <v>-1.5392879679799101E-2</v>
      </c>
      <c r="N1152">
        <v>1.11738219857215E-2</v>
      </c>
      <c r="O1152" t="str">
        <f t="shared" si="93"/>
        <v/>
      </c>
    </row>
    <row r="1153" spans="1:15" x14ac:dyDescent="0.35">
      <c r="A1153" t="s">
        <v>81</v>
      </c>
      <c r="B1153">
        <v>2009</v>
      </c>
      <c r="C1153">
        <v>325925</v>
      </c>
      <c r="D1153" s="8">
        <v>0.93625545501708995</v>
      </c>
      <c r="E1153" s="8">
        <v>0</v>
      </c>
      <c r="F1153">
        <v>1.9797746384924999</v>
      </c>
      <c r="G1153">
        <f t="shared" si="89"/>
        <v>2.1145667327047639</v>
      </c>
      <c r="H1153">
        <f t="shared" si="91"/>
        <v>-5.0717328926661032E-2</v>
      </c>
      <c r="I1153">
        <f t="shared" si="90"/>
        <v>0</v>
      </c>
      <c r="J1153" t="str">
        <f t="shared" si="92"/>
        <v/>
      </c>
      <c r="K1153">
        <v>-1.5392879679799101E-2</v>
      </c>
      <c r="L1153">
        <v>1.11738219857215E-2</v>
      </c>
      <c r="M1153">
        <v>-1.49047029521316E-2</v>
      </c>
      <c r="N1153">
        <v>-5.44459419324994E-3</v>
      </c>
      <c r="O1153" t="str">
        <f t="shared" si="93"/>
        <v/>
      </c>
    </row>
    <row r="1154" spans="1:15" x14ac:dyDescent="0.35">
      <c r="A1154" t="s">
        <v>81</v>
      </c>
      <c r="B1154">
        <v>2010</v>
      </c>
      <c r="C1154">
        <v>327129</v>
      </c>
      <c r="D1154" s="8">
        <v>0.936118423938751</v>
      </c>
      <c r="E1154" s="8">
        <v>0</v>
      </c>
      <c r="F1154">
        <v>2.3227202699728502</v>
      </c>
      <c r="G1154">
        <f t="shared" si="89"/>
        <v>2.481224822175728</v>
      </c>
      <c r="H1154">
        <f t="shared" si="91"/>
        <v>0.17339631982291137</v>
      </c>
      <c r="I1154">
        <f t="shared" si="90"/>
        <v>1</v>
      </c>
      <c r="J1154">
        <f t="shared" si="92"/>
        <v>2</v>
      </c>
      <c r="K1154">
        <v>-1.49047029521316E-2</v>
      </c>
      <c r="L1154">
        <v>-5.44459419324994E-3</v>
      </c>
      <c r="M1154">
        <v>-2.1169158041477201E-2</v>
      </c>
      <c r="N1154">
        <v>1.1461647227409899E-4</v>
      </c>
      <c r="O1154">
        <f t="shared" si="93"/>
        <v>4.4318302534520574E-3</v>
      </c>
    </row>
    <row r="1155" spans="1:15" x14ac:dyDescent="0.35">
      <c r="A1155" t="s">
        <v>81</v>
      </c>
      <c r="B1155">
        <v>2011</v>
      </c>
      <c r="C1155">
        <v>328456.09375</v>
      </c>
      <c r="D1155" s="8">
        <v>0.94453328847885099</v>
      </c>
      <c r="E1155" s="8">
        <v>0</v>
      </c>
      <c r="F1155">
        <v>2.2260061919504599</v>
      </c>
      <c r="G1155">
        <f t="shared" ref="G1155:G1218" si="94">F1155/D1155</f>
        <v>2.3567260350721906</v>
      </c>
      <c r="H1155">
        <f t="shared" si="91"/>
        <v>-5.0176342744454483E-2</v>
      </c>
      <c r="I1155">
        <f t="shared" ref="I1155:I1218" si="95">IF(H1155&gt;0,1,0)</f>
        <v>0</v>
      </c>
      <c r="J1155">
        <f t="shared" si="92"/>
        <v>2</v>
      </c>
      <c r="K1155">
        <v>-2.1169158041477201E-2</v>
      </c>
      <c r="L1155">
        <v>1.1461647227409899E-4</v>
      </c>
      <c r="M1155">
        <v>-9.1127681583165997E-3</v>
      </c>
      <c r="N1155">
        <v>-3.6745620891452E-3</v>
      </c>
      <c r="O1155">
        <f t="shared" si="93"/>
        <v>7.5805692002177179E-3</v>
      </c>
    </row>
    <row r="1156" spans="1:15" x14ac:dyDescent="0.35">
      <c r="A1156" t="s">
        <v>81</v>
      </c>
      <c r="B1156">
        <v>2012</v>
      </c>
      <c r="C1156">
        <v>330185.90625</v>
      </c>
      <c r="D1156" s="8">
        <v>0.94392645359039296</v>
      </c>
      <c r="E1156" s="8">
        <v>7.0000000000000001E-3</v>
      </c>
      <c r="F1156">
        <v>2.0159936399560401</v>
      </c>
      <c r="G1156">
        <f t="shared" si="94"/>
        <v>2.1357528780847788</v>
      </c>
      <c r="H1156">
        <f t="shared" ref="H1156:H1219" si="96">+G1156/G1155-1</f>
        <v>-9.3762768221229864E-2</v>
      </c>
      <c r="I1156">
        <f t="shared" si="95"/>
        <v>0</v>
      </c>
      <c r="J1156">
        <f t="shared" si="92"/>
        <v>1</v>
      </c>
      <c r="K1156">
        <v>-9.1127681583165997E-3</v>
      </c>
      <c r="L1156">
        <v>-3.7601608783006898E-3</v>
      </c>
      <c r="M1156">
        <v>8.1563132256268992E-3</v>
      </c>
      <c r="N1156">
        <v>2.0295418798922998E-3</v>
      </c>
      <c r="O1156">
        <f t="shared" si="93"/>
        <v>9.5303289592266176E-3</v>
      </c>
    </row>
    <row r="1157" spans="1:15" x14ac:dyDescent="0.35">
      <c r="A1157" t="s">
        <v>81</v>
      </c>
      <c r="B1157">
        <v>2013</v>
      </c>
      <c r="C1157">
        <v>331617.71875</v>
      </c>
      <c r="D1157" s="8">
        <v>0.94375252723693803</v>
      </c>
      <c r="E1157" s="8">
        <v>0</v>
      </c>
      <c r="F1157">
        <v>2.1231935809107698</v>
      </c>
      <c r="G1157">
        <f t="shared" si="94"/>
        <v>2.2497355181945085</v>
      </c>
      <c r="H1157">
        <f t="shared" si="96"/>
        <v>5.336883366953149E-2</v>
      </c>
      <c r="I1157">
        <f t="shared" si="95"/>
        <v>1</v>
      </c>
      <c r="J1157">
        <f t="shared" si="92"/>
        <v>2</v>
      </c>
      <c r="K1157">
        <v>8.1563132256268992E-3</v>
      </c>
      <c r="L1157">
        <v>2.0295418798922998E-3</v>
      </c>
      <c r="M1157">
        <v>1.0411658152937899E-2</v>
      </c>
      <c r="N1157">
        <v>8.4036346524953894E-3</v>
      </c>
      <c r="O1157">
        <f t="shared" si="93"/>
        <v>1.1073283851146717E-2</v>
      </c>
    </row>
    <row r="1158" spans="1:15" x14ac:dyDescent="0.35">
      <c r="A1158" t="s">
        <v>81</v>
      </c>
      <c r="B1158">
        <v>2014</v>
      </c>
      <c r="C1158">
        <v>332559.6875</v>
      </c>
      <c r="D1158" s="8">
        <v>0.94256097078323398</v>
      </c>
      <c r="E1158" s="8">
        <v>0</v>
      </c>
      <c r="F1158">
        <v>2.1726184447730299</v>
      </c>
      <c r="G1158">
        <f t="shared" si="94"/>
        <v>2.305016346017025</v>
      </c>
      <c r="H1158">
        <f t="shared" si="96"/>
        <v>2.4572145203486606E-2</v>
      </c>
      <c r="I1158">
        <f t="shared" si="95"/>
        <v>1</v>
      </c>
      <c r="J1158">
        <f t="shared" si="92"/>
        <v>3</v>
      </c>
      <c r="K1158">
        <v>1.0411658152937899E-2</v>
      </c>
      <c r="L1158">
        <v>8.4036346524953894E-3</v>
      </c>
      <c r="M1158">
        <v>4.5549372375011402E-2</v>
      </c>
      <c r="N1158">
        <v>1.52859203517437E-2</v>
      </c>
      <c r="O1158">
        <f t="shared" si="93"/>
        <v>9.089593961834919E-3</v>
      </c>
    </row>
    <row r="1159" spans="1:15" x14ac:dyDescent="0.35">
      <c r="A1159" t="s">
        <v>81</v>
      </c>
      <c r="B1159">
        <v>2015</v>
      </c>
      <c r="C1159">
        <v>333043.78125</v>
      </c>
      <c r="D1159" s="8">
        <v>0.94606345891952504</v>
      </c>
      <c r="E1159" s="8">
        <v>2E-3</v>
      </c>
      <c r="F1159">
        <v>2.13614028957655</v>
      </c>
      <c r="G1159">
        <f t="shared" si="94"/>
        <v>2.2579249514786053</v>
      </c>
      <c r="H1159">
        <f t="shared" si="96"/>
        <v>-2.0429961210379988E-2</v>
      </c>
      <c r="I1159">
        <f t="shared" si="95"/>
        <v>0</v>
      </c>
      <c r="J1159">
        <f t="shared" ref="J1159:J1222" si="97">IF(AND(B1159&gt;=2010,B1159&lt;=2018),SUM(I1155:I1159),"")</f>
        <v>2</v>
      </c>
      <c r="K1159">
        <v>4.5549372375011402E-2</v>
      </c>
      <c r="L1159">
        <v>1.52859203517437E-2</v>
      </c>
      <c r="M1159">
        <v>2.9011868208646801E-2</v>
      </c>
      <c r="N1159">
        <v>1.5858311206102399E-2</v>
      </c>
      <c r="O1159">
        <f t="shared" ref="O1159:O1222" si="98">IF(B1159&gt;=2010,AVERAGE(N1159:N1163),"")</f>
        <v>8.8753797113895385E-3</v>
      </c>
    </row>
    <row r="1160" spans="1:15" x14ac:dyDescent="0.35">
      <c r="A1160" t="s">
        <v>81</v>
      </c>
      <c r="B1160">
        <v>2016</v>
      </c>
      <c r="C1160">
        <v>334564</v>
      </c>
      <c r="D1160" s="8">
        <v>0.95524430274963401</v>
      </c>
      <c r="E1160" s="8">
        <v>3.0000000000000001E-3</v>
      </c>
      <c r="F1160">
        <v>2.3152298241897902</v>
      </c>
      <c r="G1160">
        <f t="shared" si="94"/>
        <v>2.4237044047533076</v>
      </c>
      <c r="H1160">
        <f t="shared" si="96"/>
        <v>7.3421152977711346E-2</v>
      </c>
      <c r="I1160">
        <f t="shared" si="95"/>
        <v>1</v>
      </c>
      <c r="J1160">
        <f t="shared" si="97"/>
        <v>3</v>
      </c>
      <c r="K1160">
        <v>2.9011868208646801E-2</v>
      </c>
      <c r="L1160">
        <v>1.5858311206102399E-2</v>
      </c>
      <c r="M1160">
        <v>8.8638101667165899E-3</v>
      </c>
      <c r="N1160">
        <v>6.0742367058993002E-3</v>
      </c>
      <c r="O1160">
        <f t="shared" si="98"/>
        <v>8.9100643992424781E-3</v>
      </c>
    </row>
    <row r="1161" spans="1:15" x14ac:dyDescent="0.35">
      <c r="A1161" t="s">
        <v>81</v>
      </c>
      <c r="B1161">
        <v>2017</v>
      </c>
      <c r="C1161">
        <v>335955.1875</v>
      </c>
      <c r="D1161" s="8">
        <v>0.95275706052780196</v>
      </c>
      <c r="E1161" s="8">
        <v>0</v>
      </c>
      <c r="F1161">
        <v>2.1054703774685399</v>
      </c>
      <c r="G1161">
        <f t="shared" si="94"/>
        <v>2.2098711882567059</v>
      </c>
      <c r="H1161">
        <f t="shared" si="96"/>
        <v>-8.8225782020793231E-2</v>
      </c>
      <c r="I1161">
        <f t="shared" si="95"/>
        <v>0</v>
      </c>
      <c r="J1161">
        <f t="shared" si="97"/>
        <v>3</v>
      </c>
      <c r="K1161">
        <v>8.8638101667165899E-3</v>
      </c>
      <c r="L1161">
        <v>6.0742367058993002E-3</v>
      </c>
      <c r="M1161">
        <v>1.8879339307546601E-2</v>
      </c>
      <c r="N1161">
        <v>9.7443163394927996E-3</v>
      </c>
      <c r="O1161">
        <f t="shared" si="98"/>
        <v>7.9153772443533808E-3</v>
      </c>
    </row>
    <row r="1162" spans="1:15" x14ac:dyDescent="0.35">
      <c r="A1162" t="s">
        <v>81</v>
      </c>
      <c r="B1162">
        <v>2018</v>
      </c>
      <c r="C1162">
        <v>337065.71875</v>
      </c>
      <c r="D1162" s="8">
        <v>0.94905096292495705</v>
      </c>
      <c r="E1162" s="8">
        <v>4.1000000000000002E-2</v>
      </c>
      <c r="F1162">
        <v>2.0708263069139901</v>
      </c>
      <c r="G1162">
        <f t="shared" si="94"/>
        <v>2.181996950439566</v>
      </c>
      <c r="H1162">
        <f t="shared" si="96"/>
        <v>-1.2613512482204436E-2</v>
      </c>
      <c r="I1162">
        <f t="shared" si="95"/>
        <v>0</v>
      </c>
      <c r="J1162">
        <f t="shared" si="97"/>
        <v>2</v>
      </c>
      <c r="K1162">
        <v>1.8879339307546601E-2</v>
      </c>
      <c r="L1162">
        <v>9.7443163394927996E-3</v>
      </c>
      <c r="M1162">
        <v>1.6286379814147899E-2</v>
      </c>
      <c r="N1162">
        <v>-1.5148147940636E-3</v>
      </c>
      <c r="O1162">
        <f t="shared" si="98"/>
        <v>6.5411116927862976E-3</v>
      </c>
    </row>
    <row r="1163" spans="1:15" x14ac:dyDescent="0.35">
      <c r="A1163" t="s">
        <v>81</v>
      </c>
      <c r="B1163">
        <v>2019</v>
      </c>
      <c r="C1163">
        <v>337216.09375</v>
      </c>
      <c r="D1163" s="8">
        <v>0.94499266147613503</v>
      </c>
      <c r="E1163" s="8">
        <v>2.1000000000000001E-2</v>
      </c>
      <c r="F1163">
        <v>2.0943217665615101</v>
      </c>
      <c r="G1163">
        <f t="shared" si="94"/>
        <v>2.2162307200249094</v>
      </c>
      <c r="H1163">
        <f t="shared" si="96"/>
        <v>1.5689192222952952E-2</v>
      </c>
      <c r="I1163">
        <f t="shared" si="95"/>
        <v>1</v>
      </c>
      <c r="J1163" t="str">
        <f t="shared" si="97"/>
        <v/>
      </c>
      <c r="K1163">
        <v>1.6286379814147899E-2</v>
      </c>
      <c r="L1163">
        <v>-1.5148147940636E-3</v>
      </c>
      <c r="M1163">
        <v>3.3064039528369803E-2</v>
      </c>
      <c r="N1163">
        <v>1.4214849099516799E-2</v>
      </c>
      <c r="O1163">
        <f t="shared" si="98"/>
        <v>7.366554625332436E-3</v>
      </c>
    </row>
    <row r="1164" spans="1:15" x14ac:dyDescent="0.35">
      <c r="A1164" t="s">
        <v>81</v>
      </c>
      <c r="B1164">
        <v>2020</v>
      </c>
      <c r="C1164">
        <v>337087.1875</v>
      </c>
      <c r="D1164" s="8">
        <v>0.96448397636413596</v>
      </c>
      <c r="E1164" s="8">
        <v>1.7999999999999999E-2</v>
      </c>
      <c r="F1164">
        <v>2.28330294219111</v>
      </c>
      <c r="G1164">
        <f t="shared" si="94"/>
        <v>2.3673829717716957</v>
      </c>
      <c r="H1164">
        <f t="shared" si="96"/>
        <v>6.8202398956498156E-2</v>
      </c>
      <c r="I1164">
        <f t="shared" si="95"/>
        <v>1</v>
      </c>
      <c r="J1164" t="str">
        <f t="shared" si="97"/>
        <v/>
      </c>
      <c r="K1164">
        <v>3.3064039528369803E-2</v>
      </c>
      <c r="L1164">
        <v>1.4214849099516799E-2</v>
      </c>
      <c r="M1164">
        <v>5.9621347367763998E-2</v>
      </c>
      <c r="N1164">
        <v>1.6031734645367099E-2</v>
      </c>
      <c r="O1164">
        <f t="shared" si="98"/>
        <v>6.2498779036105553E-3</v>
      </c>
    </row>
    <row r="1165" spans="1:15" x14ac:dyDescent="0.35">
      <c r="A1165" t="s">
        <v>81</v>
      </c>
      <c r="B1165">
        <v>2021</v>
      </c>
      <c r="C1165">
        <v>336390.28125</v>
      </c>
      <c r="D1165" s="8">
        <v>0.9677374958992</v>
      </c>
      <c r="E1165" s="8">
        <v>7.0000000000000001E-3</v>
      </c>
      <c r="F1165">
        <v>1.85540900498367</v>
      </c>
      <c r="G1165">
        <f t="shared" si="94"/>
        <v>1.917264767404373</v>
      </c>
      <c r="H1165">
        <f t="shared" si="96"/>
        <v>-0.19013324406505483</v>
      </c>
      <c r="I1165">
        <f t="shared" si="95"/>
        <v>0</v>
      </c>
      <c r="J1165" t="str">
        <f t="shared" si="97"/>
        <v/>
      </c>
      <c r="K1165">
        <v>5.9621347367763998E-2</v>
      </c>
      <c r="L1165">
        <v>1.6031734645367099E-2</v>
      </c>
      <c r="M1165">
        <v>-3.1002705842256499E-2</v>
      </c>
      <c r="N1165">
        <v>1.1008009314538E-3</v>
      </c>
      <c r="O1165">
        <f t="shared" si="98"/>
        <v>5.6371443904936159E-3</v>
      </c>
    </row>
    <row r="1166" spans="1:15" x14ac:dyDescent="0.35">
      <c r="A1166" t="s">
        <v>81</v>
      </c>
      <c r="B1166">
        <v>2022</v>
      </c>
      <c r="C1166">
        <v>337569.6875</v>
      </c>
      <c r="D1166" s="8">
        <v>0.95291846990585305</v>
      </c>
      <c r="E1166" s="8">
        <v>2E-3</v>
      </c>
      <c r="F1166">
        <v>1.91284988564836</v>
      </c>
      <c r="G1166">
        <f t="shared" si="94"/>
        <v>2.0073594395093912</v>
      </c>
      <c r="H1166">
        <f t="shared" si="96"/>
        <v>4.6991252140407225E-2</v>
      </c>
      <c r="I1166">
        <f t="shared" si="95"/>
        <v>1</v>
      </c>
      <c r="J1166" t="str">
        <f t="shared" si="97"/>
        <v/>
      </c>
      <c r="K1166">
        <v>-3.1002705842256499E-2</v>
      </c>
      <c r="L1166">
        <v>1.5795044600964E-3</v>
      </c>
      <c r="M1166">
        <v>-1.6685939192771899E-2</v>
      </c>
      <c r="N1166">
        <v>2.8729885816573902E-3</v>
      </c>
      <c r="O1166">
        <f t="shared" si="98"/>
        <v>5.0108409952371981E-3</v>
      </c>
    </row>
    <row r="1167" spans="1:15" x14ac:dyDescent="0.35">
      <c r="A1167" t="s">
        <v>82</v>
      </c>
      <c r="B1167">
        <v>2006</v>
      </c>
      <c r="C1167">
        <v>1937386</v>
      </c>
      <c r="D1167" s="8">
        <v>0.91928893327713002</v>
      </c>
      <c r="E1167" s="8">
        <v>1.2999999999999999E-2</v>
      </c>
      <c r="F1167">
        <v>2.18727810376632</v>
      </c>
      <c r="G1167">
        <f t="shared" si="94"/>
        <v>2.3793151691372971</v>
      </c>
      <c r="H1167">
        <f t="shared" si="96"/>
        <v>0.18529602736160378</v>
      </c>
      <c r="I1167">
        <f t="shared" si="95"/>
        <v>1</v>
      </c>
      <c r="J1167" t="str">
        <f t="shared" si="97"/>
        <v/>
      </c>
      <c r="K1167">
        <v>-1.80456380993128E-2</v>
      </c>
      <c r="L1167">
        <v>-2.44086775928735E-2</v>
      </c>
      <c r="M1167">
        <v>1.6906439363955899E-3</v>
      </c>
      <c r="N1167">
        <v>2.6123998686670901E-3</v>
      </c>
      <c r="O1167" t="str">
        <f t="shared" si="98"/>
        <v/>
      </c>
    </row>
    <row r="1168" spans="1:15" x14ac:dyDescent="0.35">
      <c r="A1168" t="s">
        <v>82</v>
      </c>
      <c r="B1168">
        <v>2007</v>
      </c>
      <c r="C1168">
        <v>1959475</v>
      </c>
      <c r="D1168" s="8">
        <v>0.91575151681900002</v>
      </c>
      <c r="E1168" s="8">
        <v>1.7000000000000001E-2</v>
      </c>
      <c r="F1168">
        <v>2.18017570405835</v>
      </c>
      <c r="G1168">
        <f t="shared" si="94"/>
        <v>2.3807503061873341</v>
      </c>
      <c r="H1168">
        <f t="shared" si="96"/>
        <v>6.0317231977191632E-4</v>
      </c>
      <c r="I1168">
        <f t="shared" si="95"/>
        <v>1</v>
      </c>
      <c r="J1168" t="str">
        <f t="shared" si="97"/>
        <v/>
      </c>
      <c r="K1168">
        <v>1.6906439363955899E-3</v>
      </c>
      <c r="L1168">
        <v>2.6123998686670901E-3</v>
      </c>
      <c r="M1168">
        <v>-2.0879338786006001E-2</v>
      </c>
      <c r="N1168">
        <v>8.6314654909073994E-3</v>
      </c>
      <c r="O1168" t="str">
        <f t="shared" si="98"/>
        <v/>
      </c>
    </row>
    <row r="1169" spans="1:15" x14ac:dyDescent="0.35">
      <c r="A1169" t="s">
        <v>82</v>
      </c>
      <c r="B1169">
        <v>2008</v>
      </c>
      <c r="C1169">
        <v>1979209</v>
      </c>
      <c r="D1169" s="8">
        <v>0.90899288654327404</v>
      </c>
      <c r="E1169" s="8">
        <v>1.4E-2</v>
      </c>
      <c r="F1169">
        <v>2.10178408351066</v>
      </c>
      <c r="G1169">
        <f t="shared" si="94"/>
        <v>2.312211805642773</v>
      </c>
      <c r="H1169">
        <f t="shared" si="96"/>
        <v>-2.8788613558690446E-2</v>
      </c>
      <c r="I1169">
        <f t="shared" si="95"/>
        <v>0</v>
      </c>
      <c r="J1169" t="str">
        <f t="shared" si="97"/>
        <v/>
      </c>
      <c r="K1169">
        <v>-2.0879338786006001E-2</v>
      </c>
      <c r="L1169">
        <v>8.6314654909073994E-3</v>
      </c>
      <c r="M1169">
        <v>-1.3598634585738199E-2</v>
      </c>
      <c r="N1169">
        <v>1.2968067079782399E-2</v>
      </c>
      <c r="O1169" t="str">
        <f t="shared" si="98"/>
        <v/>
      </c>
    </row>
    <row r="1170" spans="1:15" x14ac:dyDescent="0.35">
      <c r="A1170" t="s">
        <v>82</v>
      </c>
      <c r="B1170">
        <v>2009</v>
      </c>
      <c r="C1170">
        <v>1999744</v>
      </c>
      <c r="D1170" s="8">
        <v>0.90001964569091797</v>
      </c>
      <c r="E1170" s="8">
        <v>8.9999999999999993E-3</v>
      </c>
      <c r="F1170">
        <v>2.1749197840454402</v>
      </c>
      <c r="G1170">
        <f t="shared" si="94"/>
        <v>2.4165247886070529</v>
      </c>
      <c r="H1170">
        <f t="shared" si="96"/>
        <v>4.5113939263571101E-2</v>
      </c>
      <c r="I1170">
        <f t="shared" si="95"/>
        <v>1</v>
      </c>
      <c r="J1170" t="str">
        <f t="shared" si="97"/>
        <v/>
      </c>
      <c r="K1170">
        <v>-1.3598634585738199E-2</v>
      </c>
      <c r="L1170">
        <v>1.2968067079782399E-2</v>
      </c>
      <c r="M1170">
        <v>-1.1490824803709899E-2</v>
      </c>
      <c r="N1170">
        <v>-2.0307160448282901E-3</v>
      </c>
      <c r="O1170" t="str">
        <f t="shared" si="98"/>
        <v/>
      </c>
    </row>
    <row r="1171" spans="1:15" x14ac:dyDescent="0.35">
      <c r="A1171" t="s">
        <v>82</v>
      </c>
      <c r="B1171">
        <v>2010</v>
      </c>
      <c r="C1171">
        <v>2017674</v>
      </c>
      <c r="D1171" s="8">
        <v>0.90461337566375699</v>
      </c>
      <c r="E1171" s="8">
        <v>7.0000000000000001E-3</v>
      </c>
      <c r="F1171">
        <v>2.2181371819036602</v>
      </c>
      <c r="G1171">
        <f t="shared" si="94"/>
        <v>2.4520278403755742</v>
      </c>
      <c r="H1171">
        <f t="shared" si="96"/>
        <v>1.46917805006197E-2</v>
      </c>
      <c r="I1171">
        <f t="shared" si="95"/>
        <v>1</v>
      </c>
      <c r="J1171">
        <f t="shared" si="97"/>
        <v>4</v>
      </c>
      <c r="K1171">
        <v>-1.1490824803709899E-2</v>
      </c>
      <c r="L1171">
        <v>-2.0307160448282901E-3</v>
      </c>
      <c r="M1171">
        <v>-2.1512911997735501E-2</v>
      </c>
      <c r="N1171">
        <v>-2.2913748398419999E-4</v>
      </c>
      <c r="O1171">
        <f t="shared" si="98"/>
        <v>-4.0446687489739425E-5</v>
      </c>
    </row>
    <row r="1172" spans="1:15" x14ac:dyDescent="0.35">
      <c r="A1172" t="s">
        <v>82</v>
      </c>
      <c r="B1172">
        <v>2011</v>
      </c>
      <c r="C1172">
        <v>2032196</v>
      </c>
      <c r="D1172" s="8">
        <v>0.91443651914596602</v>
      </c>
      <c r="E1172" s="8">
        <v>3.0000000000000001E-3</v>
      </c>
      <c r="F1172">
        <v>2.2000924061912102</v>
      </c>
      <c r="G1172">
        <f t="shared" si="94"/>
        <v>2.4059542244069352</v>
      </c>
      <c r="H1172">
        <f t="shared" si="96"/>
        <v>-1.8790005239737395E-2</v>
      </c>
      <c r="I1172">
        <f t="shared" si="95"/>
        <v>0</v>
      </c>
      <c r="J1172">
        <f t="shared" si="97"/>
        <v>3</v>
      </c>
      <c r="K1172">
        <v>-2.1512911997735501E-2</v>
      </c>
      <c r="L1172">
        <v>-2.2913748398419999E-4</v>
      </c>
      <c r="M1172">
        <v>-5.4498867169022998E-3</v>
      </c>
      <c r="N1172">
        <v>-1.16806477309001E-5</v>
      </c>
      <c r="O1172">
        <f t="shared" si="98"/>
        <v>7.0134624838830053E-4</v>
      </c>
    </row>
    <row r="1173" spans="1:15" x14ac:dyDescent="0.35">
      <c r="A1173" t="s">
        <v>82</v>
      </c>
      <c r="B1173">
        <v>2012</v>
      </c>
      <c r="C1173">
        <v>2048427</v>
      </c>
      <c r="D1173" s="8">
        <v>0.92066675424575795</v>
      </c>
      <c r="E1173" s="8">
        <v>6.0000000000000001E-3</v>
      </c>
      <c r="F1173">
        <v>2.1842513632150999</v>
      </c>
      <c r="G1173">
        <f t="shared" si="94"/>
        <v>2.3724668596342595</v>
      </c>
      <c r="H1173">
        <f t="shared" si="96"/>
        <v>-1.3918537781378748E-2</v>
      </c>
      <c r="I1173">
        <f t="shared" si="95"/>
        <v>0</v>
      </c>
      <c r="J1173">
        <f t="shared" si="97"/>
        <v>2</v>
      </c>
      <c r="K1173">
        <v>-5.4498867169022998E-3</v>
      </c>
      <c r="L1173">
        <v>-9.7279436886398994E-5</v>
      </c>
      <c r="M1173">
        <v>6.2768670171498998E-3</v>
      </c>
      <c r="N1173">
        <v>1.5009567141530101E-4</v>
      </c>
      <c r="O1173">
        <f t="shared" si="98"/>
        <v>-7.3237009346481747E-4</v>
      </c>
    </row>
    <row r="1174" spans="1:15" x14ac:dyDescent="0.35">
      <c r="A1174" t="s">
        <v>82</v>
      </c>
      <c r="B1174">
        <v>2013</v>
      </c>
      <c r="C1174">
        <v>2065789</v>
      </c>
      <c r="D1174" s="8">
        <v>0.92029309272766102</v>
      </c>
      <c r="E1174" s="8">
        <v>1.4999999999999999E-2</v>
      </c>
      <c r="F1174">
        <v>2.2225310560066598</v>
      </c>
      <c r="G1174">
        <f t="shared" si="94"/>
        <v>2.4150252496400788</v>
      </c>
      <c r="H1174">
        <f t="shared" si="96"/>
        <v>1.7938455002225018E-2</v>
      </c>
      <c r="I1174">
        <f t="shared" si="95"/>
        <v>1</v>
      </c>
      <c r="J1174">
        <f t="shared" si="97"/>
        <v>3</v>
      </c>
      <c r="K1174">
        <v>6.2768670171498998E-3</v>
      </c>
      <c r="L1174">
        <v>1.5009567141530101E-4</v>
      </c>
      <c r="M1174">
        <v>1.6391471177339999E-3</v>
      </c>
      <c r="N1174">
        <v>-3.6887638270850001E-4</v>
      </c>
      <c r="O1174">
        <f t="shared" si="98"/>
        <v>-2.5092821568250155E-3</v>
      </c>
    </row>
    <row r="1175" spans="1:15" x14ac:dyDescent="0.35">
      <c r="A1175" t="s">
        <v>82</v>
      </c>
      <c r="B1175">
        <v>2014</v>
      </c>
      <c r="C1175">
        <v>2084054</v>
      </c>
      <c r="D1175" s="8">
        <v>0.92129278182983398</v>
      </c>
      <c r="E1175" s="8">
        <v>1.4E-2</v>
      </c>
      <c r="F1175">
        <v>2.22179816563514</v>
      </c>
      <c r="G1175">
        <f t="shared" si="94"/>
        <v>2.4116092185399474</v>
      </c>
      <c r="H1175">
        <f t="shared" si="96"/>
        <v>-1.4144908425453018E-3</v>
      </c>
      <c r="I1175">
        <f t="shared" si="95"/>
        <v>0</v>
      </c>
      <c r="J1175">
        <f t="shared" si="97"/>
        <v>2</v>
      </c>
      <c r="K1175">
        <v>1.6391471177339999E-3</v>
      </c>
      <c r="L1175">
        <v>-3.6887638270850001E-4</v>
      </c>
      <c r="M1175">
        <v>3.0520817428827299E-2</v>
      </c>
      <c r="N1175">
        <v>2.5736540555960197E-4</v>
      </c>
      <c r="O1175">
        <f t="shared" si="98"/>
        <v>-2.3713879287242364E-3</v>
      </c>
    </row>
    <row r="1176" spans="1:15" x14ac:dyDescent="0.35">
      <c r="A1176" t="s">
        <v>82</v>
      </c>
      <c r="B1176">
        <v>2015</v>
      </c>
      <c r="C1176">
        <v>2104093</v>
      </c>
      <c r="D1176" s="8">
        <v>0.916293084621429</v>
      </c>
      <c r="E1176" s="8">
        <v>3.1E-2</v>
      </c>
      <c r="F1176">
        <v>2.2229471745965501</v>
      </c>
      <c r="G1176">
        <f t="shared" si="94"/>
        <v>2.4260219922045705</v>
      </c>
      <c r="H1176">
        <f t="shared" si="96"/>
        <v>5.9764134063764462E-3</v>
      </c>
      <c r="I1176">
        <f t="shared" si="95"/>
        <v>1</v>
      </c>
      <c r="J1176">
        <f t="shared" si="97"/>
        <v>2</v>
      </c>
      <c r="K1176">
        <v>3.0520817428827299E-2</v>
      </c>
      <c r="L1176">
        <v>2.5736540555960197E-4</v>
      </c>
      <c r="M1176">
        <v>1.66333841979504E-2</v>
      </c>
      <c r="N1176">
        <v>3.479827195406E-3</v>
      </c>
      <c r="O1176">
        <f t="shared" si="98"/>
        <v>-4.2342688888310966E-3</v>
      </c>
    </row>
    <row r="1177" spans="1:15" x14ac:dyDescent="0.35">
      <c r="A1177" t="s">
        <v>82</v>
      </c>
      <c r="B1177">
        <v>2016</v>
      </c>
      <c r="C1177">
        <v>2127481</v>
      </c>
      <c r="D1177" s="8">
        <v>0.91245961189269997</v>
      </c>
      <c r="E1177" s="8">
        <v>2.4E-2</v>
      </c>
      <c r="F1177">
        <v>2.1997859424385799</v>
      </c>
      <c r="G1177">
        <f t="shared" si="94"/>
        <v>2.4108310261268442</v>
      </c>
      <c r="H1177">
        <f t="shared" si="96"/>
        <v>-6.2616769866632449E-3</v>
      </c>
      <c r="I1177">
        <f t="shared" si="95"/>
        <v>0</v>
      </c>
      <c r="J1177">
        <f t="shared" si="97"/>
        <v>2</v>
      </c>
      <c r="K1177">
        <v>1.66333841979504E-2</v>
      </c>
      <c r="L1177">
        <v>3.479827195406E-3</v>
      </c>
      <c r="M1177">
        <v>-4.3906888961791997E-3</v>
      </c>
      <c r="N1177">
        <v>-7.1802623569964903E-3</v>
      </c>
      <c r="O1177">
        <f t="shared" si="98"/>
        <v>-8.6331624537706181E-3</v>
      </c>
    </row>
    <row r="1178" spans="1:15" x14ac:dyDescent="0.35">
      <c r="A1178" t="s">
        <v>82</v>
      </c>
      <c r="B1178">
        <v>2017</v>
      </c>
      <c r="C1178">
        <v>2149511</v>
      </c>
      <c r="D1178" s="8">
        <v>0.91645574569702104</v>
      </c>
      <c r="E1178" s="8">
        <v>3.2000000000000001E-2</v>
      </c>
      <c r="F1178">
        <v>2.16367945884044</v>
      </c>
      <c r="G1178">
        <f t="shared" si="94"/>
        <v>2.3609208289646637</v>
      </c>
      <c r="H1178">
        <f t="shared" si="96"/>
        <v>-2.0702486661773434E-2</v>
      </c>
      <c r="I1178">
        <f t="shared" si="95"/>
        <v>0</v>
      </c>
      <c r="J1178">
        <f t="shared" si="97"/>
        <v>2</v>
      </c>
      <c r="K1178">
        <v>-4.3906888961791997E-3</v>
      </c>
      <c r="L1178">
        <v>-7.1802623569964903E-3</v>
      </c>
      <c r="M1178">
        <v>4.0055832266809902E-4</v>
      </c>
      <c r="N1178">
        <v>-8.7344646453856901E-3</v>
      </c>
      <c r="O1178">
        <f t="shared" si="98"/>
        <v>-5.0717558711766992E-3</v>
      </c>
    </row>
    <row r="1179" spans="1:15" x14ac:dyDescent="0.35">
      <c r="A1179" t="s">
        <v>82</v>
      </c>
      <c r="B1179">
        <v>2018</v>
      </c>
      <c r="C1179">
        <v>2168662</v>
      </c>
      <c r="D1179" s="8">
        <v>0.91757708787918102</v>
      </c>
      <c r="E1179" s="8">
        <v>2.4E-2</v>
      </c>
      <c r="F1179">
        <v>2.1917338272346498</v>
      </c>
      <c r="G1179">
        <f t="shared" si="94"/>
        <v>2.3886100210942049</v>
      </c>
      <c r="H1179">
        <f t="shared" si="96"/>
        <v>1.1728132426060078E-2</v>
      </c>
      <c r="I1179">
        <f t="shared" si="95"/>
        <v>1</v>
      </c>
      <c r="J1179">
        <f t="shared" si="97"/>
        <v>2</v>
      </c>
      <c r="K1179">
        <v>4.0055832266809902E-4</v>
      </c>
      <c r="L1179">
        <v>-8.7344646453856901E-3</v>
      </c>
      <c r="M1179">
        <v>1.8121789366006901E-2</v>
      </c>
      <c r="N1179">
        <v>3.2059475779539599E-4</v>
      </c>
      <c r="O1179">
        <f t="shared" si="98"/>
        <v>-2.0262628793716424E-3</v>
      </c>
    </row>
    <row r="1180" spans="1:15" x14ac:dyDescent="0.35">
      <c r="A1180" t="s">
        <v>82</v>
      </c>
      <c r="B1180">
        <v>2019</v>
      </c>
      <c r="C1180">
        <v>2184463</v>
      </c>
      <c r="D1180" s="8">
        <v>0.92251068353652999</v>
      </c>
      <c r="E1180" s="8">
        <v>1.4999999999999999E-2</v>
      </c>
      <c r="F1180">
        <v>2.1733385605454001</v>
      </c>
      <c r="G1180">
        <f t="shared" si="94"/>
        <v>2.3558952750701008</v>
      </c>
      <c r="H1180">
        <f t="shared" si="96"/>
        <v>-1.3696143671505623E-2</v>
      </c>
      <c r="I1180">
        <f t="shared" si="95"/>
        <v>0</v>
      </c>
      <c r="J1180" t="str">
        <f t="shared" si="97"/>
        <v/>
      </c>
      <c r="K1180">
        <v>1.8121789366006901E-2</v>
      </c>
      <c r="L1180">
        <v>3.2059475779539599E-4</v>
      </c>
      <c r="M1180">
        <v>9.7921510338782897E-3</v>
      </c>
      <c r="N1180">
        <v>-9.0570393949746999E-3</v>
      </c>
      <c r="O1180">
        <f t="shared" si="98"/>
        <v>2.5001076981425183E-3</v>
      </c>
    </row>
    <row r="1181" spans="1:15" x14ac:dyDescent="0.35">
      <c r="A1181" t="s">
        <v>82</v>
      </c>
      <c r="B1181">
        <v>2020</v>
      </c>
      <c r="C1181">
        <v>2197301</v>
      </c>
      <c r="D1181" s="8">
        <v>0.90880727767944303</v>
      </c>
      <c r="E1181" s="8">
        <v>3.7999999999999999E-2</v>
      </c>
      <c r="F1181">
        <v>2.0385747721311298</v>
      </c>
      <c r="G1181">
        <f t="shared" si="94"/>
        <v>2.2431320943384669</v>
      </c>
      <c r="H1181">
        <f t="shared" si="96"/>
        <v>-4.7864258621715949E-2</v>
      </c>
      <c r="I1181">
        <f t="shared" si="95"/>
        <v>0</v>
      </c>
      <c r="J1181" t="str">
        <f t="shared" si="97"/>
        <v/>
      </c>
      <c r="K1181">
        <v>9.7921510338782897E-3</v>
      </c>
      <c r="L1181">
        <v>-9.0570393949746999E-3</v>
      </c>
      <c r="M1181">
        <v>2.5074972093105299E-2</v>
      </c>
      <c r="N1181">
        <v>-1.85146406292916E-2</v>
      </c>
      <c r="O1181">
        <f t="shared" si="98"/>
        <v>5.6461942382156783E-3</v>
      </c>
    </row>
    <row r="1182" spans="1:15" x14ac:dyDescent="0.35">
      <c r="A1182" t="s">
        <v>82</v>
      </c>
      <c r="B1182">
        <v>2021</v>
      </c>
      <c r="C1182">
        <v>2204588</v>
      </c>
      <c r="D1182" s="8">
        <v>0.92864751815795898</v>
      </c>
      <c r="E1182" s="8">
        <v>2.9000000000000001E-2</v>
      </c>
      <c r="F1182">
        <v>2.1229439554046801</v>
      </c>
      <c r="G1182">
        <f t="shared" si="94"/>
        <v>2.2860600108162634</v>
      </c>
      <c r="H1182">
        <f t="shared" si="96"/>
        <v>1.9137489310658173E-2</v>
      </c>
      <c r="I1182">
        <f t="shared" si="95"/>
        <v>1</v>
      </c>
      <c r="J1182" t="str">
        <f t="shared" si="97"/>
        <v/>
      </c>
      <c r="K1182">
        <v>2.5074972093105299E-2</v>
      </c>
      <c r="L1182">
        <v>-1.85146406292916E-2</v>
      </c>
      <c r="M1182">
        <v>-2.14767362177372E-2</v>
      </c>
      <c r="N1182">
        <v>1.06267705559731E-2</v>
      </c>
      <c r="O1182">
        <f t="shared" si="98"/>
        <v>6.0448088683188175E-3</v>
      </c>
    </row>
    <row r="1183" spans="1:15" x14ac:dyDescent="0.35">
      <c r="A1183" t="s">
        <v>82</v>
      </c>
      <c r="B1183">
        <v>2022</v>
      </c>
      <c r="C1183">
        <v>2213883</v>
      </c>
      <c r="D1183" s="8">
        <v>0.92542815208435103</v>
      </c>
      <c r="E1183" s="8">
        <v>2.7E-2</v>
      </c>
      <c r="F1183">
        <v>2.0170864926192</v>
      </c>
      <c r="G1183">
        <f t="shared" si="94"/>
        <v>2.1796251692539244</v>
      </c>
      <c r="H1183">
        <f t="shared" si="96"/>
        <v>-4.6558201035297953E-2</v>
      </c>
      <c r="I1183">
        <f t="shared" si="95"/>
        <v>0</v>
      </c>
      <c r="J1183" t="str">
        <f t="shared" si="97"/>
        <v/>
      </c>
      <c r="K1183">
        <v>-2.14767362177372E-2</v>
      </c>
      <c r="L1183">
        <v>1.11054740846157E-2</v>
      </c>
      <c r="M1183">
        <v>-1.30659274607897E-2</v>
      </c>
      <c r="N1183">
        <v>6.4930003136395896E-3</v>
      </c>
      <c r="O1183">
        <f t="shared" si="98"/>
        <v>5.6799349840730533E-3</v>
      </c>
    </row>
    <row r="1184" spans="1:15" x14ac:dyDescent="0.35">
      <c r="A1184" t="s">
        <v>83</v>
      </c>
      <c r="B1184">
        <v>2006</v>
      </c>
      <c r="C1184">
        <v>225412.796875</v>
      </c>
      <c r="D1184" s="8">
        <v>0.91421002149581898</v>
      </c>
      <c r="E1184" s="8">
        <v>5.5E-2</v>
      </c>
      <c r="F1184">
        <v>2.5260455486542401</v>
      </c>
      <c r="G1184">
        <f t="shared" si="94"/>
        <v>2.7630910723568269</v>
      </c>
      <c r="H1184">
        <f t="shared" si="96"/>
        <v>0.26769093664972687</v>
      </c>
      <c r="I1184">
        <f t="shared" si="95"/>
        <v>1</v>
      </c>
      <c r="J1184" t="str">
        <f t="shared" si="97"/>
        <v/>
      </c>
      <c r="K1184">
        <v>1.9184948533773401E-2</v>
      </c>
      <c r="L1184">
        <v>1.28219090402126E-2</v>
      </c>
      <c r="M1184">
        <v>2.2030691713094599E-2</v>
      </c>
      <c r="N1184">
        <v>2.2952447645366199E-2</v>
      </c>
      <c r="O1184" t="str">
        <f t="shared" si="98"/>
        <v/>
      </c>
    </row>
    <row r="1185" spans="1:15" x14ac:dyDescent="0.35">
      <c r="A1185" t="s">
        <v>83</v>
      </c>
      <c r="B1185">
        <v>2007</v>
      </c>
      <c r="C1185">
        <v>231276.703125</v>
      </c>
      <c r="D1185" s="8">
        <v>0.92583620548248302</v>
      </c>
      <c r="E1185" s="8">
        <v>0</v>
      </c>
      <c r="F1185">
        <v>2.3726196156682402</v>
      </c>
      <c r="G1185">
        <f t="shared" si="94"/>
        <v>2.5626775034486706</v>
      </c>
      <c r="H1185">
        <f t="shared" si="96"/>
        <v>-7.2532379013193427E-2</v>
      </c>
      <c r="I1185">
        <f t="shared" si="95"/>
        <v>0</v>
      </c>
      <c r="J1185" t="str">
        <f t="shared" si="97"/>
        <v/>
      </c>
      <c r="K1185">
        <v>2.2030691713094599E-2</v>
      </c>
      <c r="L1185">
        <v>2.2952447645366199E-2</v>
      </c>
      <c r="M1185">
        <v>-2.2837410971522299E-2</v>
      </c>
      <c r="N1185">
        <v>6.6733933053911001E-3</v>
      </c>
      <c r="O1185" t="str">
        <f t="shared" si="98"/>
        <v/>
      </c>
    </row>
    <row r="1186" spans="1:15" x14ac:dyDescent="0.35">
      <c r="A1186" t="s">
        <v>83</v>
      </c>
      <c r="B1186">
        <v>2008</v>
      </c>
      <c r="C1186">
        <v>239421.203125</v>
      </c>
      <c r="D1186" s="8">
        <v>0.92420172691345204</v>
      </c>
      <c r="E1186" s="8">
        <v>0</v>
      </c>
      <c r="F1186">
        <v>2.7604381976023098</v>
      </c>
      <c r="G1186">
        <f t="shared" si="94"/>
        <v>2.9868351434716742</v>
      </c>
      <c r="H1186">
        <f t="shared" si="96"/>
        <v>0.16551346763383301</v>
      </c>
      <c r="I1186">
        <f t="shared" si="95"/>
        <v>1</v>
      </c>
      <c r="J1186" t="str">
        <f t="shared" si="97"/>
        <v/>
      </c>
      <c r="K1186">
        <v>-2.2837410971522299E-2</v>
      </c>
      <c r="L1186">
        <v>6.6733933053911001E-3</v>
      </c>
      <c r="M1186">
        <v>-4.3088269144296601E-2</v>
      </c>
      <c r="N1186">
        <v>-1.6521567478775898E-2</v>
      </c>
      <c r="O1186" t="str">
        <f t="shared" si="98"/>
        <v/>
      </c>
    </row>
    <row r="1187" spans="1:15" x14ac:dyDescent="0.35">
      <c r="A1187" t="s">
        <v>83</v>
      </c>
      <c r="B1187">
        <v>2009</v>
      </c>
      <c r="C1187">
        <v>248107.796875</v>
      </c>
      <c r="D1187" s="8">
        <v>0.92263370752334595</v>
      </c>
      <c r="E1187" s="8">
        <v>0</v>
      </c>
      <c r="F1187">
        <v>2.5036383937165501</v>
      </c>
      <c r="G1187">
        <f t="shared" si="94"/>
        <v>2.7135778514283242</v>
      </c>
      <c r="H1187">
        <f t="shared" si="96"/>
        <v>-9.1487236127045235E-2</v>
      </c>
      <c r="I1187">
        <f t="shared" si="95"/>
        <v>0</v>
      </c>
      <c r="J1187" t="str">
        <f t="shared" si="97"/>
        <v/>
      </c>
      <c r="K1187">
        <v>-4.3088269144296601E-2</v>
      </c>
      <c r="L1187">
        <v>-1.6521567478775898E-2</v>
      </c>
      <c r="M1187">
        <v>-6.5770762413739996E-4</v>
      </c>
      <c r="N1187">
        <v>8.8024011347442796E-3</v>
      </c>
      <c r="O1187" t="str">
        <f t="shared" si="98"/>
        <v/>
      </c>
    </row>
    <row r="1188" spans="1:15" x14ac:dyDescent="0.35">
      <c r="A1188" t="s">
        <v>83</v>
      </c>
      <c r="B1188">
        <v>2010</v>
      </c>
      <c r="C1188">
        <v>257589.390625</v>
      </c>
      <c r="D1188" s="8">
        <v>0.92763042449951205</v>
      </c>
      <c r="E1188" s="8">
        <v>0</v>
      </c>
      <c r="F1188">
        <v>2.5876965238713399</v>
      </c>
      <c r="G1188">
        <f t="shared" si="94"/>
        <v>2.7895770293082931</v>
      </c>
      <c r="H1188">
        <f t="shared" si="96"/>
        <v>2.800700110371479E-2</v>
      </c>
      <c r="I1188">
        <f t="shared" si="95"/>
        <v>1</v>
      </c>
      <c r="J1188">
        <f t="shared" si="97"/>
        <v>3</v>
      </c>
      <c r="K1188">
        <v>-6.5770762413739996E-4</v>
      </c>
      <c r="L1188">
        <v>8.8024011347442796E-3</v>
      </c>
      <c r="M1188">
        <v>-2.77943311892449E-2</v>
      </c>
      <c r="N1188">
        <v>-6.5105566754936799E-3</v>
      </c>
      <c r="O1188">
        <f t="shared" si="98"/>
        <v>5.6152925826610605E-4</v>
      </c>
    </row>
    <row r="1189" spans="1:15" x14ac:dyDescent="0.35">
      <c r="A1189" t="s">
        <v>84</v>
      </c>
      <c r="B1189">
        <v>2006</v>
      </c>
      <c r="C1189">
        <v>369275.21875</v>
      </c>
      <c r="D1189" s="8">
        <v>0.93831896781921398</v>
      </c>
      <c r="E1189" s="8">
        <v>1.2999999999999999E-2</v>
      </c>
      <c r="F1189">
        <v>2.5270186929800298</v>
      </c>
      <c r="G1189">
        <f t="shared" si="94"/>
        <v>2.6931339764485189</v>
      </c>
      <c r="H1189">
        <f t="shared" si="96"/>
        <v>-3.4572643754414711E-2</v>
      </c>
      <c r="I1189">
        <f t="shared" si="95"/>
        <v>0</v>
      </c>
      <c r="J1189" t="str">
        <f t="shared" si="97"/>
        <v/>
      </c>
      <c r="K1189">
        <v>7.1506813466548896E-3</v>
      </c>
      <c r="L1189">
        <v>7.8764185309410095E-4</v>
      </c>
      <c r="M1189">
        <v>6.3417992591857904E-3</v>
      </c>
      <c r="N1189">
        <v>7.2635551914572898E-3</v>
      </c>
      <c r="O1189" t="str">
        <f t="shared" si="98"/>
        <v/>
      </c>
    </row>
    <row r="1190" spans="1:15" x14ac:dyDescent="0.35">
      <c r="A1190" t="s">
        <v>84</v>
      </c>
      <c r="B1190">
        <v>2007</v>
      </c>
      <c r="C1190">
        <v>383659.6875</v>
      </c>
      <c r="D1190" s="8">
        <v>0.93072146177291903</v>
      </c>
      <c r="E1190" s="8">
        <v>4.1000000000000002E-2</v>
      </c>
      <c r="F1190">
        <v>2.5251045530798799</v>
      </c>
      <c r="G1190">
        <f t="shared" si="94"/>
        <v>2.7130614870208767</v>
      </c>
      <c r="H1190">
        <f t="shared" si="96"/>
        <v>7.3993758745847238E-3</v>
      </c>
      <c r="I1190">
        <f t="shared" si="95"/>
        <v>1</v>
      </c>
      <c r="J1190" t="str">
        <f t="shared" si="97"/>
        <v/>
      </c>
      <c r="K1190">
        <v>6.3417992591857904E-3</v>
      </c>
      <c r="L1190">
        <v>7.2635551914572898E-3</v>
      </c>
      <c r="M1190">
        <v>-2.23972362577914E-2</v>
      </c>
      <c r="N1190">
        <v>7.1135680191219E-3</v>
      </c>
      <c r="O1190" t="str">
        <f t="shared" si="98"/>
        <v/>
      </c>
    </row>
    <row r="1191" spans="1:15" x14ac:dyDescent="0.35">
      <c r="A1191" t="s">
        <v>84</v>
      </c>
      <c r="B1191">
        <v>2008</v>
      </c>
      <c r="C1191">
        <v>393038.21875</v>
      </c>
      <c r="D1191" s="8">
        <v>0.92491751909256004</v>
      </c>
      <c r="E1191" s="8">
        <v>3.0000000000000001E-3</v>
      </c>
      <c r="F1191">
        <v>2.6475810653733598</v>
      </c>
      <c r="G1191">
        <f t="shared" si="94"/>
        <v>2.8625050458238821</v>
      </c>
      <c r="H1191">
        <f t="shared" si="96"/>
        <v>5.5082997387982058E-2</v>
      </c>
      <c r="I1191">
        <f t="shared" si="95"/>
        <v>1</v>
      </c>
      <c r="J1191" t="str">
        <f t="shared" si="97"/>
        <v/>
      </c>
      <c r="K1191">
        <v>-2.23972362577914E-2</v>
      </c>
      <c r="L1191">
        <v>7.1135680191219E-3</v>
      </c>
      <c r="M1191">
        <v>-2.71041511595249E-2</v>
      </c>
      <c r="N1191">
        <v>-5.3744949400424903E-4</v>
      </c>
      <c r="O1191" t="str">
        <f t="shared" si="98"/>
        <v/>
      </c>
    </row>
    <row r="1192" spans="1:15" x14ac:dyDescent="0.35">
      <c r="A1192" t="s">
        <v>84</v>
      </c>
      <c r="B1192">
        <v>2009</v>
      </c>
      <c r="C1192">
        <v>398684.90625</v>
      </c>
      <c r="D1192" s="8">
        <v>0.92097574472427401</v>
      </c>
      <c r="E1192" s="8">
        <v>2.4E-2</v>
      </c>
      <c r="F1192">
        <v>2.6161373051884</v>
      </c>
      <c r="G1192">
        <f t="shared" si="94"/>
        <v>2.8406147720770121</v>
      </c>
      <c r="H1192">
        <f t="shared" si="96"/>
        <v>-7.6472437240960867E-3</v>
      </c>
      <c r="I1192">
        <f t="shared" si="95"/>
        <v>0</v>
      </c>
      <c r="J1192" t="str">
        <f t="shared" si="97"/>
        <v/>
      </c>
      <c r="K1192">
        <v>-2.71041511595249E-2</v>
      </c>
      <c r="L1192">
        <v>-5.3744949400424903E-4</v>
      </c>
      <c r="M1192">
        <v>-1.3981579508632399E-2</v>
      </c>
      <c r="N1192">
        <v>-4.5214707497507299E-3</v>
      </c>
      <c r="O1192" t="str">
        <f t="shared" si="98"/>
        <v/>
      </c>
    </row>
    <row r="1193" spans="1:15" x14ac:dyDescent="0.35">
      <c r="A1193" t="s">
        <v>84</v>
      </c>
      <c r="B1193">
        <v>2010</v>
      </c>
      <c r="C1193">
        <v>409787.8125</v>
      </c>
      <c r="D1193" s="8">
        <v>0.91373658180236805</v>
      </c>
      <c r="E1193" s="8">
        <v>0</v>
      </c>
      <c r="F1193">
        <v>2.5253905886296302</v>
      </c>
      <c r="G1193">
        <f t="shared" si="94"/>
        <v>2.763805935894823</v>
      </c>
      <c r="H1193">
        <f t="shared" si="96"/>
        <v>-2.7039511635725155E-2</v>
      </c>
      <c r="I1193">
        <f t="shared" si="95"/>
        <v>0</v>
      </c>
      <c r="J1193">
        <f t="shared" si="97"/>
        <v>2</v>
      </c>
      <c r="K1193">
        <v>-1.3981579508632399E-2</v>
      </c>
      <c r="L1193">
        <v>-4.5214707497507299E-3</v>
      </c>
      <c r="M1193">
        <v>-2.37745292186737E-2</v>
      </c>
      <c r="N1193">
        <v>-2.4907547049224099E-3</v>
      </c>
      <c r="O1193">
        <f t="shared" si="98"/>
        <v>-5.6014824192971106E-3</v>
      </c>
    </row>
    <row r="1194" spans="1:15" x14ac:dyDescent="0.35">
      <c r="A1194" t="s">
        <v>85</v>
      </c>
      <c r="B1194">
        <v>2006</v>
      </c>
      <c r="C1194">
        <v>807719.5</v>
      </c>
      <c r="D1194" s="8">
        <v>0.92708951234817505</v>
      </c>
      <c r="E1194" s="8">
        <v>7.0000000000000001E-3</v>
      </c>
      <c r="F1194">
        <v>2.09834915313699</v>
      </c>
      <c r="G1194">
        <f t="shared" si="94"/>
        <v>2.2633727651844477</v>
      </c>
      <c r="H1194">
        <f t="shared" si="96"/>
        <v>-0.18106668207453314</v>
      </c>
      <c r="I1194">
        <f t="shared" si="95"/>
        <v>0</v>
      </c>
      <c r="J1194" t="str">
        <f t="shared" si="97"/>
        <v/>
      </c>
      <c r="K1194">
        <v>3.1670679926872197E-2</v>
      </c>
      <c r="L1194">
        <v>2.53076404333114E-2</v>
      </c>
      <c r="M1194">
        <v>-9.7940200567250097E-4</v>
      </c>
      <c r="N1194">
        <v>-5.76460734010002E-5</v>
      </c>
      <c r="O1194" t="str">
        <f t="shared" si="98"/>
        <v/>
      </c>
    </row>
    <row r="1195" spans="1:15" x14ac:dyDescent="0.35">
      <c r="A1195" t="s">
        <v>85</v>
      </c>
      <c r="B1195">
        <v>2007</v>
      </c>
      <c r="C1195">
        <v>819129.25</v>
      </c>
      <c r="D1195" s="8">
        <v>0.92345595359802202</v>
      </c>
      <c r="E1195" s="8">
        <v>0.02</v>
      </c>
      <c r="F1195">
        <v>2.0519915741095298</v>
      </c>
      <c r="G1195">
        <f t="shared" si="94"/>
        <v>2.2220784501030533</v>
      </c>
      <c r="H1195">
        <f t="shared" si="96"/>
        <v>-1.8244593076575777E-2</v>
      </c>
      <c r="I1195">
        <f t="shared" si="95"/>
        <v>0</v>
      </c>
      <c r="J1195" t="str">
        <f t="shared" si="97"/>
        <v/>
      </c>
      <c r="K1195">
        <v>-9.7940200567250097E-4</v>
      </c>
      <c r="L1195">
        <v>-5.76460734010002E-5</v>
      </c>
      <c r="M1195">
        <v>-5.3403911471366902E-2</v>
      </c>
      <c r="N1195">
        <v>-2.3893107194453499E-2</v>
      </c>
      <c r="O1195" t="str">
        <f t="shared" si="98"/>
        <v/>
      </c>
    </row>
    <row r="1196" spans="1:15" x14ac:dyDescent="0.35">
      <c r="A1196" t="s">
        <v>85</v>
      </c>
      <c r="B1196">
        <v>2008</v>
      </c>
      <c r="C1196">
        <v>828825</v>
      </c>
      <c r="D1196" s="8">
        <v>0.91592246294021595</v>
      </c>
      <c r="E1196" s="8">
        <v>1.7999999999999999E-2</v>
      </c>
      <c r="F1196">
        <v>1.99118040422367</v>
      </c>
      <c r="G1196">
        <f t="shared" si="94"/>
        <v>2.1739617541770437</v>
      </c>
      <c r="H1196">
        <f t="shared" si="96"/>
        <v>-2.1653914119808881E-2</v>
      </c>
      <c r="I1196">
        <f t="shared" si="95"/>
        <v>0</v>
      </c>
      <c r="J1196" t="str">
        <f t="shared" si="97"/>
        <v/>
      </c>
      <c r="K1196">
        <v>-5.3403911471366902E-2</v>
      </c>
      <c r="L1196">
        <v>-2.3893107194453499E-2</v>
      </c>
      <c r="M1196">
        <v>-2.9409763127565301E-2</v>
      </c>
      <c r="N1196">
        <v>-2.8430614620447402E-3</v>
      </c>
      <c r="O1196" t="str">
        <f t="shared" si="98"/>
        <v/>
      </c>
    </row>
    <row r="1197" spans="1:15" x14ac:dyDescent="0.35">
      <c r="A1197" t="s">
        <v>85</v>
      </c>
      <c r="B1197">
        <v>2009</v>
      </c>
      <c r="C1197">
        <v>835159</v>
      </c>
      <c r="D1197" s="8">
        <v>0.91852766275405895</v>
      </c>
      <c r="E1197" s="8">
        <v>2.1000000000000001E-2</v>
      </c>
      <c r="F1197">
        <v>2.13890968236805</v>
      </c>
      <c r="G1197">
        <f t="shared" si="94"/>
        <v>2.3286284878507306</v>
      </c>
      <c r="H1197">
        <f t="shared" si="96"/>
        <v>7.1145103347154404E-2</v>
      </c>
      <c r="I1197">
        <f t="shared" si="95"/>
        <v>1</v>
      </c>
      <c r="J1197" t="str">
        <f t="shared" si="97"/>
        <v/>
      </c>
      <c r="K1197">
        <v>-2.9409763127565301E-2</v>
      </c>
      <c r="L1197">
        <v>-2.8430614620447402E-3</v>
      </c>
      <c r="M1197">
        <v>-8.1829514205455801E-3</v>
      </c>
      <c r="N1197">
        <v>1.2771573383360999E-3</v>
      </c>
      <c r="O1197" t="str">
        <f t="shared" si="98"/>
        <v/>
      </c>
    </row>
    <row r="1198" spans="1:15" x14ac:dyDescent="0.35">
      <c r="A1198" t="s">
        <v>85</v>
      </c>
      <c r="B1198">
        <v>2010</v>
      </c>
      <c r="C1198">
        <v>840165.875</v>
      </c>
      <c r="D1198" s="8">
        <v>0.92711079120635997</v>
      </c>
      <c r="E1198" s="8">
        <v>1.0999999999999999E-2</v>
      </c>
      <c r="F1198">
        <v>2.11446481853678</v>
      </c>
      <c r="G1198">
        <f t="shared" si="94"/>
        <v>2.2807034915270812</v>
      </c>
      <c r="H1198">
        <f t="shared" si="96"/>
        <v>-2.0580782453573421E-2</v>
      </c>
      <c r="I1198">
        <f t="shared" si="95"/>
        <v>0</v>
      </c>
      <c r="J1198">
        <f t="shared" si="97"/>
        <v>1</v>
      </c>
      <c r="K1198">
        <v>-8.1829514205455801E-3</v>
      </c>
      <c r="L1198">
        <v>1.2771573383360999E-3</v>
      </c>
      <c r="M1198">
        <v>-2.82887174915522E-2</v>
      </c>
      <c r="N1198">
        <v>-7.0049429778009297E-3</v>
      </c>
      <c r="O1198">
        <f t="shared" si="98"/>
        <v>-3.8994741160422652E-3</v>
      </c>
    </row>
    <row r="1199" spans="1:15" x14ac:dyDescent="0.35">
      <c r="A1199" t="s">
        <v>85</v>
      </c>
      <c r="B1199">
        <v>2011</v>
      </c>
      <c r="C1199">
        <v>845128.4375</v>
      </c>
      <c r="D1199" s="8">
        <v>0.92477434873580899</v>
      </c>
      <c r="E1199" s="8">
        <v>3.3000000000000002E-2</v>
      </c>
      <c r="F1199">
        <v>2.1309936173579702</v>
      </c>
      <c r="G1199">
        <f t="shared" si="94"/>
        <v>2.3043390209418058</v>
      </c>
      <c r="H1199">
        <f t="shared" si="96"/>
        <v>1.0363262696151176E-2</v>
      </c>
      <c r="I1199">
        <f t="shared" si="95"/>
        <v>1</v>
      </c>
      <c r="J1199">
        <f t="shared" si="97"/>
        <v>2</v>
      </c>
      <c r="K1199">
        <v>-2.82887174915522E-2</v>
      </c>
      <c r="L1199">
        <v>-7.0049429778009297E-3</v>
      </c>
      <c r="M1199">
        <v>-6.5537535622715998E-3</v>
      </c>
      <c r="N1199">
        <v>-1.1155474931001999E-3</v>
      </c>
      <c r="O1199">
        <f t="shared" si="98"/>
        <v>-9.1758407652379917E-4</v>
      </c>
    </row>
    <row r="1200" spans="1:15" x14ac:dyDescent="0.35">
      <c r="A1200" t="s">
        <v>85</v>
      </c>
      <c r="B1200">
        <v>2012</v>
      </c>
      <c r="C1200">
        <v>849873.25</v>
      </c>
      <c r="D1200" s="8">
        <v>0.92724919319152799</v>
      </c>
      <c r="E1200" s="8">
        <v>6.0000000000000001E-3</v>
      </c>
      <c r="F1200">
        <v>2.1552439365790299</v>
      </c>
      <c r="G1200">
        <f t="shared" si="94"/>
        <v>2.3243416682421998</v>
      </c>
      <c r="H1200">
        <f t="shared" si="96"/>
        <v>8.6804272802787352E-3</v>
      </c>
      <c r="I1200">
        <f t="shared" si="95"/>
        <v>1</v>
      </c>
      <c r="J1200">
        <f t="shared" si="97"/>
        <v>3</v>
      </c>
      <c r="K1200">
        <v>-6.5537535622715998E-3</v>
      </c>
      <c r="L1200">
        <v>-1.2011462822556899E-3</v>
      </c>
      <c r="M1200">
        <v>7.0375750213861003E-3</v>
      </c>
      <c r="N1200">
        <v>9.1080367565150096E-4</v>
      </c>
      <c r="O1200">
        <f t="shared" si="98"/>
        <v>1.620403677225081E-3</v>
      </c>
    </row>
    <row r="1201" spans="1:15" x14ac:dyDescent="0.35">
      <c r="A1201" t="s">
        <v>85</v>
      </c>
      <c r="B1201">
        <v>2013</v>
      </c>
      <c r="C1201">
        <v>854260.0625</v>
      </c>
      <c r="D1201" s="8">
        <v>0.93077766895294201</v>
      </c>
      <c r="E1201" s="8">
        <v>8.0000000000000002E-3</v>
      </c>
      <c r="F1201">
        <v>2.2679810909332998</v>
      </c>
      <c r="G1201">
        <f t="shared" si="94"/>
        <v>2.4366518091099194</v>
      </c>
      <c r="H1201">
        <f t="shared" si="96"/>
        <v>4.8319118657221827E-2</v>
      </c>
      <c r="I1201">
        <f t="shared" si="95"/>
        <v>1</v>
      </c>
      <c r="J1201">
        <f t="shared" si="97"/>
        <v>4</v>
      </c>
      <c r="K1201">
        <v>7.0375750213861003E-3</v>
      </c>
      <c r="L1201">
        <v>9.1080367565150096E-4</v>
      </c>
      <c r="M1201">
        <v>-9.4111125767230904E-3</v>
      </c>
      <c r="N1201">
        <v>-1.14191360771656E-2</v>
      </c>
      <c r="O1201">
        <f t="shared" si="98"/>
        <v>-1.5141002833843193E-3</v>
      </c>
    </row>
    <row r="1202" spans="1:15" x14ac:dyDescent="0.35">
      <c r="A1202" t="s">
        <v>85</v>
      </c>
      <c r="B1202">
        <v>2014</v>
      </c>
      <c r="C1202">
        <v>859060.125</v>
      </c>
      <c r="D1202" s="8">
        <v>0.92162054777145397</v>
      </c>
      <c r="E1202" s="8">
        <v>0.02</v>
      </c>
      <c r="F1202">
        <v>2.2318212964231798</v>
      </c>
      <c r="G1202">
        <f t="shared" si="94"/>
        <v>2.4216271021950275</v>
      </c>
      <c r="H1202">
        <f t="shared" si="96"/>
        <v>-6.1661279870677266E-3</v>
      </c>
      <c r="I1202">
        <f t="shared" si="95"/>
        <v>0</v>
      </c>
      <c r="J1202">
        <f t="shared" si="97"/>
        <v>3</v>
      </c>
      <c r="K1202">
        <v>-9.4111125767230904E-3</v>
      </c>
      <c r="L1202">
        <v>-1.14191360771656E-2</v>
      </c>
      <c r="M1202">
        <v>2.93949043154716E-2</v>
      </c>
      <c r="N1202">
        <v>-8.6854770779609604E-4</v>
      </c>
      <c r="O1202">
        <f t="shared" si="98"/>
        <v>3.6232560873031604E-3</v>
      </c>
    </row>
    <row r="1203" spans="1:15" x14ac:dyDescent="0.35">
      <c r="A1203" t="s">
        <v>85</v>
      </c>
      <c r="B1203">
        <v>2015</v>
      </c>
      <c r="C1203">
        <v>864952</v>
      </c>
      <c r="D1203" s="8">
        <v>0.93826448917388905</v>
      </c>
      <c r="E1203" s="8">
        <v>1.2999999999999999E-2</v>
      </c>
      <c r="F1203">
        <v>2.22830985088153</v>
      </c>
      <c r="G1203">
        <f t="shared" si="94"/>
        <v>2.3749271944028099</v>
      </c>
      <c r="H1203">
        <f t="shared" si="96"/>
        <v>-1.9284516493017323E-2</v>
      </c>
      <c r="I1203">
        <f t="shared" si="95"/>
        <v>0</v>
      </c>
      <c r="J1203">
        <f t="shared" si="97"/>
        <v>3</v>
      </c>
      <c r="K1203">
        <v>2.93949043154716E-2</v>
      </c>
      <c r="L1203">
        <v>-8.6854770779609604E-4</v>
      </c>
      <c r="M1203">
        <v>2.10580642223358E-2</v>
      </c>
      <c r="N1203">
        <v>7.9045072197914002E-3</v>
      </c>
      <c r="O1203">
        <f t="shared" si="98"/>
        <v>7.0371445268392592E-3</v>
      </c>
    </row>
    <row r="1204" spans="1:15" x14ac:dyDescent="0.35">
      <c r="A1204" t="s">
        <v>85</v>
      </c>
      <c r="B1204">
        <v>2016</v>
      </c>
      <c r="C1204">
        <v>873170.6875</v>
      </c>
      <c r="D1204" s="8">
        <v>0.93564832210540805</v>
      </c>
      <c r="E1204" s="8">
        <v>1.4999999999999999E-2</v>
      </c>
      <c r="F1204">
        <v>2.2647848233798298</v>
      </c>
      <c r="G1204">
        <f t="shared" si="94"/>
        <v>2.4205513651577779</v>
      </c>
      <c r="H1204">
        <f t="shared" si="96"/>
        <v>1.9210766065795415E-2</v>
      </c>
      <c r="I1204">
        <f t="shared" si="95"/>
        <v>1</v>
      </c>
      <c r="J1204">
        <f t="shared" si="97"/>
        <v>3</v>
      </c>
      <c r="K1204">
        <v>2.10580642223358E-2</v>
      </c>
      <c r="L1204">
        <v>7.9045072197914002E-3</v>
      </c>
      <c r="M1204">
        <v>1.4363964736461499E-2</v>
      </c>
      <c r="N1204">
        <v>1.15743912756442E-2</v>
      </c>
      <c r="O1204">
        <f t="shared" si="98"/>
        <v>1.0741901025175981E-2</v>
      </c>
    </row>
    <row r="1205" spans="1:15" x14ac:dyDescent="0.35">
      <c r="A1205" t="s">
        <v>85</v>
      </c>
      <c r="B1205">
        <v>2017</v>
      </c>
      <c r="C1205">
        <v>882071.5</v>
      </c>
      <c r="D1205" s="8">
        <v>0.94436568021774303</v>
      </c>
      <c r="E1205" s="8">
        <v>1.2999999999999999E-2</v>
      </c>
      <c r="F1205">
        <v>2.23051095731461</v>
      </c>
      <c r="G1205">
        <f t="shared" si="94"/>
        <v>2.3619144617795933</v>
      </c>
      <c r="H1205">
        <f t="shared" si="96"/>
        <v>-2.4224606105131108E-2</v>
      </c>
      <c r="I1205">
        <f t="shared" si="95"/>
        <v>0</v>
      </c>
      <c r="J1205">
        <f t="shared" si="97"/>
        <v>2</v>
      </c>
      <c r="K1205">
        <v>1.4363964736461499E-2</v>
      </c>
      <c r="L1205">
        <v>1.15743912756442E-2</v>
      </c>
      <c r="M1205">
        <v>-5.6266931593417996E-3</v>
      </c>
      <c r="N1205">
        <v>-1.47617161273955E-2</v>
      </c>
      <c r="O1205">
        <f t="shared" si="98"/>
        <v>1.6833580657839742E-2</v>
      </c>
    </row>
    <row r="1206" spans="1:15" x14ac:dyDescent="0.35">
      <c r="A1206" t="s">
        <v>85</v>
      </c>
      <c r="B1206">
        <v>2018</v>
      </c>
      <c r="C1206">
        <v>890111.3125</v>
      </c>
      <c r="D1206" s="8">
        <v>0.93945151567459095</v>
      </c>
      <c r="E1206" s="8">
        <v>1.6E-2</v>
      </c>
      <c r="F1206">
        <v>2.2093690248565898</v>
      </c>
      <c r="G1206">
        <f t="shared" si="94"/>
        <v>2.3517648202101316</v>
      </c>
      <c r="H1206">
        <f t="shared" si="96"/>
        <v>-4.2972096296046702E-3</v>
      </c>
      <c r="I1206">
        <f t="shared" si="95"/>
        <v>0</v>
      </c>
      <c r="J1206">
        <f t="shared" si="97"/>
        <v>1</v>
      </c>
      <c r="K1206">
        <v>-5.6266931593417996E-3</v>
      </c>
      <c r="L1206">
        <v>-1.47617161273955E-2</v>
      </c>
      <c r="M1206">
        <v>3.2068840384483301E-2</v>
      </c>
      <c r="N1206">
        <v>1.4267645776271799E-2</v>
      </c>
      <c r="O1206">
        <f t="shared" si="98"/>
        <v>2.2791912034153879E-2</v>
      </c>
    </row>
    <row r="1207" spans="1:15" x14ac:dyDescent="0.35">
      <c r="A1207" t="s">
        <v>85</v>
      </c>
      <c r="B1207">
        <v>2019</v>
      </c>
      <c r="C1207">
        <v>898334.75</v>
      </c>
      <c r="D1207" s="8">
        <v>0.93963611125946001</v>
      </c>
      <c r="E1207" s="8">
        <v>3.2000000000000001E-2</v>
      </c>
      <c r="F1207">
        <v>2.2195409858181101</v>
      </c>
      <c r="G1207">
        <f t="shared" si="94"/>
        <v>2.3621282315800998</v>
      </c>
      <c r="H1207">
        <f t="shared" si="96"/>
        <v>4.4066529445925262E-3</v>
      </c>
      <c r="I1207">
        <f t="shared" si="95"/>
        <v>1</v>
      </c>
      <c r="J1207" t="str">
        <f t="shared" si="97"/>
        <v/>
      </c>
      <c r="K1207">
        <v>3.2068840384483301E-2</v>
      </c>
      <c r="L1207">
        <v>1.4267645776271799E-2</v>
      </c>
      <c r="M1207">
        <v>3.5050084918737401E-2</v>
      </c>
      <c r="N1207">
        <v>1.6200894489884401E-2</v>
      </c>
      <c r="O1207">
        <f t="shared" si="98"/>
        <v>1.9948926381766742E-2</v>
      </c>
    </row>
    <row r="1208" spans="1:15" x14ac:dyDescent="0.35">
      <c r="A1208" t="s">
        <v>85</v>
      </c>
      <c r="B1208">
        <v>2020</v>
      </c>
      <c r="C1208">
        <v>908686.875</v>
      </c>
      <c r="D1208" s="8">
        <v>0.96329504251480103</v>
      </c>
      <c r="E1208" s="8">
        <v>0.01</v>
      </c>
      <c r="F1208">
        <v>2.1250490070740602</v>
      </c>
      <c r="G1208">
        <f t="shared" si="94"/>
        <v>2.2060209108170601</v>
      </c>
      <c r="H1208">
        <f t="shared" si="96"/>
        <v>-6.6087572501775105E-2</v>
      </c>
      <c r="I1208">
        <f t="shared" si="95"/>
        <v>0</v>
      </c>
      <c r="J1208" t="str">
        <f t="shared" si="97"/>
        <v/>
      </c>
      <c r="K1208">
        <v>3.5050084918737401E-2</v>
      </c>
      <c r="L1208">
        <v>1.6200894489884401E-2</v>
      </c>
      <c r="M1208">
        <v>7.0017902433872001E-2</v>
      </c>
      <c r="N1208">
        <v>2.6428289711475001E-2</v>
      </c>
      <c r="O1208">
        <f t="shared" si="98"/>
        <v>9.7209029830991594E-3</v>
      </c>
    </row>
    <row r="1209" spans="1:15" x14ac:dyDescent="0.35">
      <c r="A1209" t="s">
        <v>85</v>
      </c>
      <c r="B1209">
        <v>2021</v>
      </c>
      <c r="C1209">
        <v>920661.8125</v>
      </c>
      <c r="D1209" s="8">
        <v>0.96093350648880005</v>
      </c>
      <c r="E1209" s="8">
        <v>5.3999999999999999E-2</v>
      </c>
      <c r="F1209">
        <v>2.1590418075368998</v>
      </c>
      <c r="G1209">
        <f t="shared" si="94"/>
        <v>2.246817072105149</v>
      </c>
      <c r="H1209">
        <f t="shared" si="96"/>
        <v>1.8493098178737899E-2</v>
      </c>
      <c r="I1209">
        <f t="shared" si="95"/>
        <v>1</v>
      </c>
      <c r="J1209" t="str">
        <f t="shared" si="97"/>
        <v/>
      </c>
      <c r="K1209">
        <v>7.0017902433872001E-2</v>
      </c>
      <c r="L1209">
        <v>2.6428289711475001E-2</v>
      </c>
      <c r="M1209">
        <v>9.9292826652526908E-3</v>
      </c>
      <c r="N1209">
        <v>4.2032789438962999E-2</v>
      </c>
      <c r="O1209">
        <f t="shared" si="98"/>
        <v>5.6069594807922904E-3</v>
      </c>
    </row>
    <row r="1210" spans="1:15" x14ac:dyDescent="0.35">
      <c r="A1210" t="s">
        <v>85</v>
      </c>
      <c r="B1210">
        <v>2022</v>
      </c>
      <c r="C1210">
        <v>936869.6875</v>
      </c>
      <c r="D1210" s="8">
        <v>0.95357507467269897</v>
      </c>
      <c r="E1210" s="8">
        <v>2.5999999999999999E-2</v>
      </c>
      <c r="F1210">
        <v>2.0865558498493</v>
      </c>
      <c r="G1210">
        <f t="shared" si="94"/>
        <v>2.1881400901397097</v>
      </c>
      <c r="H1210">
        <f t="shared" si="96"/>
        <v>-2.6115602686987871E-2</v>
      </c>
      <c r="I1210">
        <f t="shared" si="95"/>
        <v>0</v>
      </c>
      <c r="J1210" t="str">
        <f t="shared" si="97"/>
        <v/>
      </c>
      <c r="K1210">
        <v>9.9292826652526908E-3</v>
      </c>
      <c r="L1210">
        <v>4.2511492967605598E-2</v>
      </c>
      <c r="M1210">
        <v>-4.5289870202541004E-3</v>
      </c>
      <c r="N1210">
        <v>1.50299407541752E-2</v>
      </c>
      <c r="O1210">
        <f t="shared" si="98"/>
        <v>-2.2390839178115214E-3</v>
      </c>
    </row>
    <row r="1211" spans="1:15" x14ac:dyDescent="0.35">
      <c r="A1211" t="s">
        <v>86</v>
      </c>
      <c r="B1211">
        <v>2006</v>
      </c>
      <c r="C1211">
        <v>451608.3125</v>
      </c>
      <c r="D1211" s="8">
        <v>0.93615770339965798</v>
      </c>
      <c r="E1211" s="8">
        <v>0</v>
      </c>
      <c r="F1211">
        <v>2.4374360366757801</v>
      </c>
      <c r="G1211">
        <f t="shared" si="94"/>
        <v>2.6036596481813139</v>
      </c>
      <c r="H1211">
        <f t="shared" si="96"/>
        <v>0.18989623192501992</v>
      </c>
      <c r="I1211">
        <f t="shared" si="95"/>
        <v>1</v>
      </c>
      <c r="J1211" t="str">
        <f t="shared" si="97"/>
        <v/>
      </c>
      <c r="K1211">
        <v>3.2478479325771303E-2</v>
      </c>
      <c r="L1211">
        <v>2.6115439832210499E-2</v>
      </c>
      <c r="M1211">
        <v>-8.6903841793539998E-4</v>
      </c>
      <c r="N1211">
        <v>5.27175143361004E-5</v>
      </c>
      <c r="O1211" t="str">
        <f t="shared" si="98"/>
        <v/>
      </c>
    </row>
    <row r="1212" spans="1:15" x14ac:dyDescent="0.35">
      <c r="A1212" t="s">
        <v>86</v>
      </c>
      <c r="B1212">
        <v>2007</v>
      </c>
      <c r="C1212">
        <v>455511</v>
      </c>
      <c r="D1212" s="8">
        <v>0.91365766525268599</v>
      </c>
      <c r="E1212" s="8">
        <v>0</v>
      </c>
      <c r="F1212">
        <v>2.26526401049099</v>
      </c>
      <c r="G1212">
        <f t="shared" si="94"/>
        <v>2.479335638107405</v>
      </c>
      <c r="H1212">
        <f t="shared" si="96"/>
        <v>-4.7749716504133177E-2</v>
      </c>
      <c r="I1212">
        <f t="shared" si="95"/>
        <v>0</v>
      </c>
      <c r="J1212" t="str">
        <f t="shared" si="97"/>
        <v/>
      </c>
      <c r="K1212">
        <v>-8.6903841793539998E-4</v>
      </c>
      <c r="L1212">
        <v>5.27175143361004E-5</v>
      </c>
      <c r="M1212">
        <v>-6.4450026780366904E-2</v>
      </c>
      <c r="N1212">
        <v>-3.49392225034535E-2</v>
      </c>
      <c r="O1212" t="str">
        <f t="shared" si="98"/>
        <v/>
      </c>
    </row>
    <row r="1213" spans="1:15" x14ac:dyDescent="0.35">
      <c r="A1213" t="s">
        <v>86</v>
      </c>
      <c r="B1213">
        <v>2008</v>
      </c>
      <c r="C1213">
        <v>460352.28125</v>
      </c>
      <c r="D1213" s="8">
        <v>0.87861073017120395</v>
      </c>
      <c r="E1213" s="8">
        <v>0.13400000000000001</v>
      </c>
      <c r="F1213">
        <v>2.3125770524688098</v>
      </c>
      <c r="G1213">
        <f t="shared" si="94"/>
        <v>2.6320837807412012</v>
      </c>
      <c r="H1213">
        <f t="shared" si="96"/>
        <v>6.1608497165956955E-2</v>
      </c>
      <c r="I1213">
        <f t="shared" si="95"/>
        <v>1</v>
      </c>
      <c r="J1213" t="str">
        <f t="shared" si="97"/>
        <v/>
      </c>
      <c r="K1213">
        <v>-6.4450026780366904E-2</v>
      </c>
      <c r="L1213">
        <v>-3.49392225034535E-2</v>
      </c>
      <c r="M1213">
        <v>-2.070812946558E-2</v>
      </c>
      <c r="N1213">
        <v>5.8585721999406502E-3</v>
      </c>
      <c r="O1213" t="str">
        <f t="shared" si="98"/>
        <v/>
      </c>
    </row>
    <row r="1214" spans="1:15" x14ac:dyDescent="0.35">
      <c r="A1214" t="s">
        <v>86</v>
      </c>
      <c r="B1214">
        <v>2009</v>
      </c>
      <c r="C1214">
        <v>464861.5</v>
      </c>
      <c r="D1214" s="8">
        <v>0.91272348165512096</v>
      </c>
      <c r="E1214" s="8">
        <v>3.3000000000000002E-2</v>
      </c>
      <c r="F1214">
        <v>2.1522276690815998</v>
      </c>
      <c r="G1214">
        <f t="shared" si="94"/>
        <v>2.3580281567630736</v>
      </c>
      <c r="H1214">
        <f t="shared" si="96"/>
        <v>-0.10412116285331652</v>
      </c>
      <c r="I1214">
        <f t="shared" si="95"/>
        <v>0</v>
      </c>
      <c r="J1214" t="str">
        <f t="shared" si="97"/>
        <v/>
      </c>
      <c r="K1214">
        <v>-2.070812946558E-2</v>
      </c>
      <c r="L1214">
        <v>5.8585721999406502E-3</v>
      </c>
      <c r="M1214">
        <v>-6.6575363129377403E-3</v>
      </c>
      <c r="N1214">
        <v>2.8025724459439399E-3</v>
      </c>
      <c r="O1214" t="str">
        <f t="shared" si="98"/>
        <v/>
      </c>
    </row>
    <row r="1215" spans="1:15" x14ac:dyDescent="0.35">
      <c r="A1215" t="s">
        <v>86</v>
      </c>
      <c r="B1215">
        <v>2010</v>
      </c>
      <c r="C1215">
        <v>467906.5</v>
      </c>
      <c r="D1215" s="8">
        <v>0.93346464633941695</v>
      </c>
      <c r="E1215" s="8">
        <v>1.0999999999999999E-2</v>
      </c>
      <c r="F1215">
        <v>2.4541553339377402</v>
      </c>
      <c r="G1215">
        <f t="shared" si="94"/>
        <v>2.6290822513329393</v>
      </c>
      <c r="H1215">
        <f t="shared" si="96"/>
        <v>0.11494947326750693</v>
      </c>
      <c r="I1215">
        <f t="shared" si="95"/>
        <v>1</v>
      </c>
      <c r="J1215">
        <f t="shared" si="97"/>
        <v>3</v>
      </c>
      <c r="K1215">
        <v>-6.6575363129377403E-3</v>
      </c>
      <c r="L1215">
        <v>2.8025724459439399E-3</v>
      </c>
      <c r="M1215">
        <v>-2.4221320513635802E-2</v>
      </c>
      <c r="N1215">
        <v>-2.9375459998845698E-3</v>
      </c>
      <c r="O1215">
        <f t="shared" si="98"/>
        <v>-8.9740311726927355E-3</v>
      </c>
    </row>
    <row r="1216" spans="1:15" x14ac:dyDescent="0.35">
      <c r="A1216" t="s">
        <v>86</v>
      </c>
      <c r="B1216">
        <v>2011</v>
      </c>
      <c r="C1216">
        <v>470056.5</v>
      </c>
      <c r="D1216" s="8">
        <v>0.93148499727249101</v>
      </c>
      <c r="E1216" s="8">
        <v>4.9000000000000002E-2</v>
      </c>
      <c r="F1216">
        <v>2.2094506179250102</v>
      </c>
      <c r="G1216">
        <f t="shared" si="94"/>
        <v>2.3719658656817537</v>
      </c>
      <c r="H1216">
        <f t="shared" si="96"/>
        <v>-9.7797010923042826E-2</v>
      </c>
      <c r="I1216">
        <f t="shared" si="95"/>
        <v>0</v>
      </c>
      <c r="J1216">
        <f t="shared" si="97"/>
        <v>2</v>
      </c>
      <c r="K1216">
        <v>-2.4221320513635802E-2</v>
      </c>
      <c r="L1216">
        <v>-2.9375459998845698E-3</v>
      </c>
      <c r="M1216">
        <v>3.9758530408143897E-3</v>
      </c>
      <c r="N1216">
        <v>9.4140591099857902E-3</v>
      </c>
      <c r="O1216">
        <f t="shared" si="98"/>
        <v>-1.5263956412672964E-2</v>
      </c>
    </row>
    <row r="1217" spans="1:15" x14ac:dyDescent="0.35">
      <c r="A1217" t="s">
        <v>86</v>
      </c>
      <c r="B1217">
        <v>2012</v>
      </c>
      <c r="C1217">
        <v>472852.125</v>
      </c>
      <c r="D1217" s="8">
        <v>0.937680423259735</v>
      </c>
      <c r="E1217" s="8">
        <v>0</v>
      </c>
      <c r="F1217">
        <v>2.3447311513259499</v>
      </c>
      <c r="G1217">
        <f t="shared" si="94"/>
        <v>2.5005653239242958</v>
      </c>
      <c r="H1217">
        <f t="shared" si="96"/>
        <v>5.4216403407466363E-2</v>
      </c>
      <c r="I1217">
        <f t="shared" si="95"/>
        <v>1</v>
      </c>
      <c r="J1217">
        <f t="shared" si="97"/>
        <v>3</v>
      </c>
      <c r="K1217">
        <v>3.9758530408143897E-3</v>
      </c>
      <c r="L1217">
        <v>9.3284603208303001E-3</v>
      </c>
      <c r="M1217">
        <v>7.0151338726282004E-3</v>
      </c>
      <c r="N1217">
        <v>8.8836252689360098E-4</v>
      </c>
      <c r="O1217">
        <f t="shared" si="98"/>
        <v>-2.1555487299337921E-2</v>
      </c>
    </row>
    <row r="1218" spans="1:15" x14ac:dyDescent="0.35">
      <c r="A1218" t="s">
        <v>86</v>
      </c>
      <c r="B1218">
        <v>2013</v>
      </c>
      <c r="C1218">
        <v>477126</v>
      </c>
      <c r="D1218" s="8">
        <v>0.94548016786575295</v>
      </c>
      <c r="E1218" s="8">
        <v>2E-3</v>
      </c>
      <c r="F1218">
        <v>2.3182846207376402</v>
      </c>
      <c r="G1218">
        <f t="shared" si="94"/>
        <v>2.4519653605963412</v>
      </c>
      <c r="H1218">
        <f t="shared" si="96"/>
        <v>-1.9435590369494382E-2</v>
      </c>
      <c r="I1218">
        <f t="shared" si="95"/>
        <v>0</v>
      </c>
      <c r="J1218">
        <f t="shared" si="97"/>
        <v>2</v>
      </c>
      <c r="K1218">
        <v>7.0151338726282004E-3</v>
      </c>
      <c r="L1218">
        <v>8.8836252689360098E-4</v>
      </c>
      <c r="M1218">
        <v>7.3373021185399803E-4</v>
      </c>
      <c r="N1218">
        <v>-1.2742932885885E-3</v>
      </c>
      <c r="O1218">
        <f t="shared" si="98"/>
        <v>-2.5836745882406743E-2</v>
      </c>
    </row>
    <row r="1219" spans="1:15" x14ac:dyDescent="0.35">
      <c r="A1219" t="s">
        <v>86</v>
      </c>
      <c r="B1219">
        <v>2014</v>
      </c>
      <c r="C1219">
        <v>481024.09375</v>
      </c>
      <c r="D1219" s="8">
        <v>0.94213539361953702</v>
      </c>
      <c r="E1219" s="8">
        <v>0</v>
      </c>
      <c r="F1219">
        <v>2.3927240219400501</v>
      </c>
      <c r="G1219">
        <f t="shared" ref="G1219:G1282" si="99">F1219/D1219</f>
        <v>2.5396817040781987</v>
      </c>
      <c r="H1219">
        <f t="shared" si="96"/>
        <v>3.5773891789614876E-2</v>
      </c>
      <c r="I1219">
        <f t="shared" ref="I1219:I1282" si="100">IF(H1219&gt;0,1,0)</f>
        <v>1</v>
      </c>
      <c r="J1219">
        <f t="shared" si="97"/>
        <v>3</v>
      </c>
      <c r="K1219">
        <v>7.3373021185399803E-4</v>
      </c>
      <c r="L1219">
        <v>-1.2742932885885E-3</v>
      </c>
      <c r="M1219">
        <v>-2.06972861886024E-2</v>
      </c>
      <c r="N1219">
        <v>-5.0960738211869999E-2</v>
      </c>
      <c r="O1219">
        <f t="shared" si="98"/>
        <v>-2.795296111144116E-2</v>
      </c>
    </row>
    <row r="1220" spans="1:15" x14ac:dyDescent="0.35">
      <c r="A1220" t="s">
        <v>86</v>
      </c>
      <c r="B1220">
        <v>2015</v>
      </c>
      <c r="C1220">
        <v>483691</v>
      </c>
      <c r="D1220" s="8">
        <v>0.91001361608505205</v>
      </c>
      <c r="E1220" s="8">
        <v>2.7E-2</v>
      </c>
      <c r="F1220">
        <v>2.3442731485860202</v>
      </c>
      <c r="G1220">
        <f t="shared" si="99"/>
        <v>2.5760857938271977</v>
      </c>
      <c r="H1220">
        <f t="shared" ref="H1220:H1283" si="101">+G1220/G1219-1</f>
        <v>1.433411505486748E-2</v>
      </c>
      <c r="I1220">
        <f t="shared" si="100"/>
        <v>1</v>
      </c>
      <c r="J1220">
        <f t="shared" si="97"/>
        <v>3</v>
      </c>
      <c r="K1220">
        <v>-2.06972861886024E-2</v>
      </c>
      <c r="L1220">
        <v>-5.0960738211869999E-2</v>
      </c>
      <c r="M1220">
        <v>-2.1233615197241301E-2</v>
      </c>
      <c r="N1220">
        <v>-3.4387172199785702E-2</v>
      </c>
      <c r="O1220">
        <f t="shared" si="98"/>
        <v>-1.499723405577238E-2</v>
      </c>
    </row>
    <row r="1221" spans="1:15" x14ac:dyDescent="0.35">
      <c r="A1221" t="s">
        <v>86</v>
      </c>
      <c r="B1221">
        <v>2016</v>
      </c>
      <c r="C1221">
        <v>483467.40625</v>
      </c>
      <c r="D1221" s="8">
        <v>0.88144153356552102</v>
      </c>
      <c r="E1221" s="8">
        <v>2.5000000000000001E-2</v>
      </c>
      <c r="F1221">
        <v>2.227676064248</v>
      </c>
      <c r="G1221">
        <f t="shared" si="99"/>
        <v>2.5273100703989098</v>
      </c>
      <c r="H1221">
        <f t="shared" si="101"/>
        <v>-1.89340446444618E-2</v>
      </c>
      <c r="I1221">
        <f t="shared" si="100"/>
        <v>0</v>
      </c>
      <c r="J1221">
        <f t="shared" si="97"/>
        <v>3</v>
      </c>
      <c r="K1221">
        <v>-2.1233615197241301E-2</v>
      </c>
      <c r="L1221">
        <v>-3.4387172199785702E-2</v>
      </c>
      <c r="M1221">
        <v>-1.92540218625217E-2</v>
      </c>
      <c r="N1221">
        <v>-2.2043595323339001E-2</v>
      </c>
      <c r="O1221">
        <f t="shared" si="98"/>
        <v>-6.6434953827410629E-3</v>
      </c>
    </row>
    <row r="1222" spans="1:15" x14ac:dyDescent="0.35">
      <c r="A1222" t="s">
        <v>86</v>
      </c>
      <c r="B1222">
        <v>2017</v>
      </c>
      <c r="C1222">
        <v>481674.1875</v>
      </c>
      <c r="D1222" s="8">
        <v>0.87609791755676303</v>
      </c>
      <c r="E1222" s="8">
        <v>1.4999999999999999E-2</v>
      </c>
      <c r="F1222">
        <v>2.1670315236427302</v>
      </c>
      <c r="G1222">
        <f t="shared" si="99"/>
        <v>2.4735037947425855</v>
      </c>
      <c r="H1222">
        <f t="shared" si="101"/>
        <v>-2.1289938376192752E-2</v>
      </c>
      <c r="I1222">
        <f t="shared" si="100"/>
        <v>0</v>
      </c>
      <c r="J1222">
        <f t="shared" si="97"/>
        <v>2</v>
      </c>
      <c r="K1222">
        <v>-1.92540218625217E-2</v>
      </c>
      <c r="L1222">
        <v>-2.2043595323339001E-2</v>
      </c>
      <c r="M1222">
        <v>-1.13829074203968E-2</v>
      </c>
      <c r="N1222">
        <v>-2.0517930388450501E-2</v>
      </c>
      <c r="O1222">
        <f t="shared" si="98"/>
        <v>-7.8306533396243824E-3</v>
      </c>
    </row>
    <row r="1223" spans="1:15" x14ac:dyDescent="0.35">
      <c r="A1223" t="s">
        <v>86</v>
      </c>
      <c r="B1223">
        <v>2018</v>
      </c>
      <c r="C1223">
        <v>480062.28125</v>
      </c>
      <c r="D1223" s="8">
        <v>0.89951044321060203</v>
      </c>
      <c r="E1223" s="8">
        <v>1.2E-2</v>
      </c>
      <c r="F1223">
        <v>2.3305082100268399</v>
      </c>
      <c r="G1223">
        <f t="shared" si="99"/>
        <v>2.5908628717067592</v>
      </c>
      <c r="H1223">
        <f t="shared" si="101"/>
        <v>4.7446491577502137E-2</v>
      </c>
      <c r="I1223">
        <f t="shared" si="100"/>
        <v>1</v>
      </c>
      <c r="J1223">
        <f t="shared" ref="J1223:J1286" si="102">IF(AND(B1223&gt;=2010,B1223&lt;=2018),SUM(I1219:I1223),"")</f>
        <v>3</v>
      </c>
      <c r="K1223">
        <v>-1.13829074203968E-2</v>
      </c>
      <c r="L1223">
        <v>-2.0517930388450501E-2</v>
      </c>
      <c r="M1223">
        <v>5.9458251744509E-3</v>
      </c>
      <c r="N1223">
        <v>-1.18553694337606E-2</v>
      </c>
      <c r="O1223">
        <f t="shared" ref="O1223:O1286" si="103">IF(B1223&gt;=2010,AVERAGE(N1223:N1227),"")</f>
        <v>-2.6635918766260216E-3</v>
      </c>
    </row>
    <row r="1224" spans="1:15" x14ac:dyDescent="0.35">
      <c r="A1224" t="s">
        <v>86</v>
      </c>
      <c r="B1224">
        <v>2019</v>
      </c>
      <c r="C1224">
        <v>478773.1875</v>
      </c>
      <c r="D1224" s="8">
        <v>0.90783858299255404</v>
      </c>
      <c r="E1224" s="8">
        <v>1.6E-2</v>
      </c>
      <c r="F1224">
        <v>2.3604499814057198</v>
      </c>
      <c r="G1224">
        <f t="shared" si="99"/>
        <v>2.6000767378985477</v>
      </c>
      <c r="H1224">
        <f t="shared" si="101"/>
        <v>3.5562924971472842E-3</v>
      </c>
      <c r="I1224">
        <f t="shared" si="100"/>
        <v>1</v>
      </c>
      <c r="J1224" t="str">
        <f t="shared" si="102"/>
        <v/>
      </c>
      <c r="K1224">
        <v>5.9458251744509E-3</v>
      </c>
      <c r="L1224">
        <v>-1.18553694337606E-2</v>
      </c>
      <c r="M1224">
        <v>3.2667087495326999E-2</v>
      </c>
      <c r="N1224">
        <v>1.38178970664739E-2</v>
      </c>
      <c r="O1224">
        <f t="shared" si="103"/>
        <v>-8.606990799308016E-4</v>
      </c>
    </row>
    <row r="1225" spans="1:15" x14ac:dyDescent="0.35">
      <c r="A1225" t="s">
        <v>86</v>
      </c>
      <c r="B1225">
        <v>2020</v>
      </c>
      <c r="C1225">
        <v>478687</v>
      </c>
      <c r="D1225" s="8">
        <v>0.93699049949645996</v>
      </c>
      <c r="E1225" s="8">
        <v>2E-3</v>
      </c>
      <c r="F1225">
        <v>2.2727181443919999</v>
      </c>
      <c r="G1225">
        <f t="shared" si="99"/>
        <v>2.4255508947138331</v>
      </c>
      <c r="H1225">
        <f t="shared" si="101"/>
        <v>-6.7123343184774975E-2</v>
      </c>
      <c r="I1225">
        <f t="shared" si="100"/>
        <v>0</v>
      </c>
      <c r="J1225" t="str">
        <f t="shared" si="102"/>
        <v/>
      </c>
      <c r="K1225">
        <v>3.2667087495326999E-2</v>
      </c>
      <c r="L1225">
        <v>1.38178970664739E-2</v>
      </c>
      <c r="M1225">
        <v>5.0971133887767799E-2</v>
      </c>
      <c r="N1225">
        <v>7.38152116537089E-3</v>
      </c>
      <c r="O1225">
        <f t="shared" si="103"/>
        <v>-8.2601784728467409E-3</v>
      </c>
    </row>
    <row r="1226" spans="1:15" x14ac:dyDescent="0.35">
      <c r="A1226" t="s">
        <v>86</v>
      </c>
      <c r="B1226">
        <v>2021</v>
      </c>
      <c r="C1226">
        <v>480224.40625</v>
      </c>
      <c r="D1226" s="8">
        <v>0.936074018478394</v>
      </c>
      <c r="E1226" s="8">
        <v>1.0999999999999999E-2</v>
      </c>
      <c r="F1226">
        <v>2.2705380893859899</v>
      </c>
      <c r="G1226">
        <f t="shared" si="99"/>
        <v>2.4255967418867073</v>
      </c>
      <c r="H1226">
        <f t="shared" si="101"/>
        <v>1.8901756699607475E-5</v>
      </c>
      <c r="I1226">
        <f t="shared" si="100"/>
        <v>1</v>
      </c>
      <c r="J1226" t="str">
        <f t="shared" si="102"/>
        <v/>
      </c>
      <c r="K1226">
        <v>5.0971133887767799E-2</v>
      </c>
      <c r="L1226">
        <v>7.38152116537089E-3</v>
      </c>
      <c r="M1226">
        <v>-6.00828918814659E-2</v>
      </c>
      <c r="N1226">
        <v>-2.7979385107755599E-2</v>
      </c>
      <c r="O1226">
        <f t="shared" si="103"/>
        <v>-1.019126800820231E-2</v>
      </c>
    </row>
    <row r="1227" spans="1:15" x14ac:dyDescent="0.35">
      <c r="A1227" t="s">
        <v>86</v>
      </c>
      <c r="B1227">
        <v>2022</v>
      </c>
      <c r="C1227">
        <v>481837.09375</v>
      </c>
      <c r="D1227" s="8">
        <v>0.91619855165481601</v>
      </c>
      <c r="E1227" s="8">
        <v>6.0000000000000001E-3</v>
      </c>
      <c r="F1227">
        <v>2.1697075930204699</v>
      </c>
      <c r="G1227">
        <f t="shared" si="99"/>
        <v>2.3681630898691073</v>
      </c>
      <c r="H1227">
        <f t="shared" si="101"/>
        <v>-2.3678153514061107E-2</v>
      </c>
      <c r="I1227">
        <f t="shared" si="100"/>
        <v>0</v>
      </c>
      <c r="J1227" t="str">
        <f t="shared" si="102"/>
        <v/>
      </c>
      <c r="K1227">
        <v>-6.00828918814659E-2</v>
      </c>
      <c r="L1227">
        <v>-2.7500681579113E-2</v>
      </c>
      <c r="M1227">
        <v>-1.4241550847888E-2</v>
      </c>
      <c r="N1227">
        <v>5.3173769265412998E-3</v>
      </c>
      <c r="O1227">
        <f t="shared" si="103"/>
        <v>-3.5068804863840342E-3</v>
      </c>
    </row>
    <row r="1228" spans="1:15" x14ac:dyDescent="0.35">
      <c r="A1228" t="s">
        <v>87</v>
      </c>
      <c r="B1228">
        <v>2006</v>
      </c>
      <c r="C1228">
        <v>572706.1875</v>
      </c>
      <c r="D1228" s="8">
        <v>0.92097449302673295</v>
      </c>
      <c r="E1228" s="8">
        <v>1.9E-2</v>
      </c>
      <c r="F1228">
        <v>2.5690412571894301</v>
      </c>
      <c r="G1228">
        <f t="shared" si="99"/>
        <v>2.7894814423648309</v>
      </c>
      <c r="H1228">
        <f t="shared" si="101"/>
        <v>0.17790934851493301</v>
      </c>
      <c r="I1228">
        <f t="shared" si="100"/>
        <v>1</v>
      </c>
      <c r="J1228" t="str">
        <f t="shared" si="102"/>
        <v/>
      </c>
      <c r="K1228">
        <v>2.8660187155008301E-2</v>
      </c>
      <c r="L1228">
        <v>2.2297147661447501E-2</v>
      </c>
      <c r="M1228">
        <v>-3.7626613825559999E-3</v>
      </c>
      <c r="N1228">
        <v>-2.8409054502845001E-3</v>
      </c>
      <c r="O1228" t="str">
        <f t="shared" si="103"/>
        <v/>
      </c>
    </row>
    <row r="1229" spans="1:15" x14ac:dyDescent="0.35">
      <c r="A1229" t="s">
        <v>87</v>
      </c>
      <c r="B1229">
        <v>2007</v>
      </c>
      <c r="C1229">
        <v>588182.9375</v>
      </c>
      <c r="D1229" s="8">
        <v>0.89109563827514604</v>
      </c>
      <c r="E1229" s="8">
        <v>0</v>
      </c>
      <c r="F1229">
        <v>2.6440274628977498</v>
      </c>
      <c r="G1229">
        <f t="shared" si="99"/>
        <v>2.9671646334344937</v>
      </c>
      <c r="H1229">
        <f t="shared" si="101"/>
        <v>6.3697570584670737E-2</v>
      </c>
      <c r="I1229">
        <f t="shared" si="100"/>
        <v>1</v>
      </c>
      <c r="J1229" t="str">
        <f t="shared" si="102"/>
        <v/>
      </c>
      <c r="K1229">
        <v>-3.7626613825559999E-3</v>
      </c>
      <c r="L1229">
        <v>-2.8409054502845001E-3</v>
      </c>
      <c r="M1229">
        <v>-5.2690304175019298E-2</v>
      </c>
      <c r="N1229">
        <v>-2.3179499898105801E-2</v>
      </c>
      <c r="O1229" t="str">
        <f t="shared" si="103"/>
        <v/>
      </c>
    </row>
    <row r="1230" spans="1:15" x14ac:dyDescent="0.35">
      <c r="A1230" t="s">
        <v>87</v>
      </c>
      <c r="B1230">
        <v>2008</v>
      </c>
      <c r="C1230">
        <v>595796.8125</v>
      </c>
      <c r="D1230" s="8">
        <v>0.88492035865783703</v>
      </c>
      <c r="E1230" s="8">
        <v>3.6999999999999998E-2</v>
      </c>
      <c r="F1230">
        <v>2.8737472864067501</v>
      </c>
      <c r="G1230">
        <f t="shared" si="99"/>
        <v>3.2474643150547204</v>
      </c>
      <c r="H1230">
        <f t="shared" si="101"/>
        <v>9.4467182057161425E-2</v>
      </c>
      <c r="I1230">
        <f t="shared" si="100"/>
        <v>1</v>
      </c>
      <c r="J1230" t="str">
        <f t="shared" si="102"/>
        <v/>
      </c>
      <c r="K1230">
        <v>-5.2690304175019298E-2</v>
      </c>
      <c r="L1230">
        <v>-2.3179499898105801E-2</v>
      </c>
      <c r="M1230">
        <v>-2.8840628176927601E-2</v>
      </c>
      <c r="N1230">
        <v>-2.2739265114069501E-3</v>
      </c>
      <c r="O1230" t="str">
        <f t="shared" si="103"/>
        <v/>
      </c>
    </row>
    <row r="1231" spans="1:15" x14ac:dyDescent="0.35">
      <c r="A1231" t="s">
        <v>87</v>
      </c>
      <c r="B1231">
        <v>2009</v>
      </c>
      <c r="C1231">
        <v>599738</v>
      </c>
      <c r="D1231" s="8">
        <v>0.88061916828155495</v>
      </c>
      <c r="E1231" s="8">
        <v>5.3999999999999999E-2</v>
      </c>
      <c r="F1231">
        <v>2.5606651322279101</v>
      </c>
      <c r="G1231">
        <f t="shared" si="99"/>
        <v>2.9078008115867</v>
      </c>
      <c r="H1231">
        <f t="shared" si="101"/>
        <v>-0.10459345215693217</v>
      </c>
      <c r="I1231">
        <f t="shared" si="100"/>
        <v>0</v>
      </c>
      <c r="J1231" t="str">
        <f t="shared" si="102"/>
        <v/>
      </c>
      <c r="K1231">
        <v>-2.8840628176927601E-2</v>
      </c>
      <c r="L1231">
        <v>-2.2739265114069501E-3</v>
      </c>
      <c r="M1231">
        <v>-4.0175562575458998E-3</v>
      </c>
      <c r="N1231">
        <v>5.44255250133578E-3</v>
      </c>
      <c r="O1231" t="str">
        <f t="shared" si="103"/>
        <v/>
      </c>
    </row>
    <row r="1232" spans="1:15" x14ac:dyDescent="0.35">
      <c r="A1232" t="s">
        <v>87</v>
      </c>
      <c r="B1232">
        <v>2010</v>
      </c>
      <c r="C1232">
        <v>604126.5</v>
      </c>
      <c r="D1232" s="8">
        <v>0.89615797996520996</v>
      </c>
      <c r="E1232" s="8">
        <v>1E-3</v>
      </c>
      <c r="F1232">
        <v>2.66225123689992</v>
      </c>
      <c r="G1232">
        <f t="shared" si="99"/>
        <v>2.9707387496602689</v>
      </c>
      <c r="H1232">
        <f t="shared" si="101"/>
        <v>2.1644514927838365E-2</v>
      </c>
      <c r="I1232">
        <f t="shared" si="100"/>
        <v>1</v>
      </c>
      <c r="J1232">
        <f t="shared" si="102"/>
        <v>4</v>
      </c>
      <c r="K1232">
        <v>-4.0175562575458998E-3</v>
      </c>
      <c r="L1232">
        <v>5.44255250133578E-3</v>
      </c>
      <c r="M1232">
        <v>-1.9425736151635599E-2</v>
      </c>
      <c r="N1232">
        <v>1.8580383621157001E-3</v>
      </c>
      <c r="O1232">
        <f t="shared" si="103"/>
        <v>6.6578303463757146E-3</v>
      </c>
    </row>
    <row r="1233" spans="1:15" x14ac:dyDescent="0.35">
      <c r="A1233" t="s">
        <v>87</v>
      </c>
      <c r="B1233">
        <v>2011</v>
      </c>
      <c r="C1233">
        <v>609126.5625</v>
      </c>
      <c r="D1233" s="8">
        <v>0.89997386932373002</v>
      </c>
      <c r="E1233" s="8">
        <v>0</v>
      </c>
      <c r="F1233">
        <v>2.5708766401018099</v>
      </c>
      <c r="G1233">
        <f t="shared" si="99"/>
        <v>2.8566125392436685</v>
      </c>
      <c r="H1233">
        <f t="shared" si="101"/>
        <v>-3.8416777789582413E-2</v>
      </c>
      <c r="I1233">
        <f t="shared" si="100"/>
        <v>0</v>
      </c>
      <c r="J1233">
        <f t="shared" si="102"/>
        <v>3</v>
      </c>
      <c r="K1233">
        <v>-1.9425736151635599E-2</v>
      </c>
      <c r="L1233">
        <v>1.8580383621157001E-3</v>
      </c>
      <c r="M1233">
        <v>-3.0183776319026999E-3</v>
      </c>
      <c r="N1233">
        <v>2.4198284372686902E-3</v>
      </c>
      <c r="O1233">
        <f t="shared" si="103"/>
        <v>8.423800207674496E-3</v>
      </c>
    </row>
    <row r="1234" spans="1:15" x14ac:dyDescent="0.35">
      <c r="A1234" t="s">
        <v>87</v>
      </c>
      <c r="B1234">
        <v>2012</v>
      </c>
      <c r="C1234">
        <v>613669.625</v>
      </c>
      <c r="D1234" s="8">
        <v>0.91775155067443803</v>
      </c>
      <c r="E1234" s="8">
        <v>-1E-3</v>
      </c>
      <c r="F1234">
        <v>2.5353971946535898</v>
      </c>
      <c r="G1234">
        <f t="shared" si="99"/>
        <v>2.7626182628516127</v>
      </c>
      <c r="H1234">
        <f t="shared" si="101"/>
        <v>-3.2904104109597654E-2</v>
      </c>
      <c r="I1234">
        <f t="shared" si="100"/>
        <v>0</v>
      </c>
      <c r="J1234">
        <f t="shared" si="102"/>
        <v>2</v>
      </c>
      <c r="K1234">
        <v>-3.0183776319026999E-3</v>
      </c>
      <c r="L1234">
        <v>2.33422964811319E-3</v>
      </c>
      <c r="M1234">
        <v>1.23933634161948E-2</v>
      </c>
      <c r="N1234">
        <v>6.26659207046029E-3</v>
      </c>
      <c r="O1234">
        <f t="shared" si="103"/>
        <v>1.0889547690749178E-2</v>
      </c>
    </row>
    <row r="1235" spans="1:15" x14ac:dyDescent="0.35">
      <c r="A1235" t="s">
        <v>87</v>
      </c>
      <c r="B1235">
        <v>2013</v>
      </c>
      <c r="C1235">
        <v>620456.625</v>
      </c>
      <c r="D1235" s="8">
        <v>0.919652760028839</v>
      </c>
      <c r="E1235" s="8">
        <v>0.01</v>
      </c>
      <c r="F1235">
        <v>2.7051593692078599</v>
      </c>
      <c r="G1235">
        <f t="shared" si="99"/>
        <v>2.9415008433433396</v>
      </c>
      <c r="H1235">
        <f t="shared" si="101"/>
        <v>6.4751103291079248E-2</v>
      </c>
      <c r="I1235">
        <f t="shared" si="100"/>
        <v>1</v>
      </c>
      <c r="J1235">
        <f t="shared" si="102"/>
        <v>2</v>
      </c>
      <c r="K1235">
        <v>1.23933634161948E-2</v>
      </c>
      <c r="L1235">
        <v>6.26659207046029E-3</v>
      </c>
      <c r="M1235">
        <v>1.0627119630575201E-2</v>
      </c>
      <c r="N1235">
        <v>8.6190961301326995E-3</v>
      </c>
      <c r="O1235">
        <f t="shared" si="103"/>
        <v>9.7525499761104799E-3</v>
      </c>
    </row>
    <row r="1236" spans="1:15" x14ac:dyDescent="0.35">
      <c r="A1236" t="s">
        <v>87</v>
      </c>
      <c r="B1236">
        <v>2014</v>
      </c>
      <c r="C1236">
        <v>631432.375</v>
      </c>
      <c r="D1236" s="8">
        <v>0.93687170743942305</v>
      </c>
      <c r="E1236" s="8">
        <v>-5.0000000000000001E-3</v>
      </c>
      <c r="F1236">
        <v>2.7185658082460198</v>
      </c>
      <c r="G1236">
        <f t="shared" si="99"/>
        <v>2.9017482187354866</v>
      </c>
      <c r="H1236">
        <f t="shared" si="101"/>
        <v>-1.3514401907384732E-2</v>
      </c>
      <c r="I1236">
        <f t="shared" si="100"/>
        <v>0</v>
      </c>
      <c r="J1236">
        <f t="shared" si="102"/>
        <v>2</v>
      </c>
      <c r="K1236">
        <v>1.0627119630575201E-2</v>
      </c>
      <c r="L1236">
        <v>8.6190961301326995E-3</v>
      </c>
      <c r="M1236">
        <v>4.43890487551689E-2</v>
      </c>
      <c r="N1236">
        <v>1.41255967319012E-2</v>
      </c>
      <c r="O1236">
        <f t="shared" si="103"/>
        <v>8.948893100023279E-3</v>
      </c>
    </row>
    <row r="1237" spans="1:15" x14ac:dyDescent="0.35">
      <c r="A1237" t="s">
        <v>87</v>
      </c>
      <c r="B1237">
        <v>2015</v>
      </c>
      <c r="C1237">
        <v>644896.1875</v>
      </c>
      <c r="D1237" s="8">
        <v>0.94588923454284701</v>
      </c>
      <c r="E1237" s="8">
        <v>0</v>
      </c>
      <c r="F1237">
        <v>2.6276663737317199</v>
      </c>
      <c r="G1237">
        <f t="shared" si="99"/>
        <v>2.777985283870668</v>
      </c>
      <c r="H1237">
        <f t="shared" si="101"/>
        <v>-4.2651162518418495E-2</v>
      </c>
      <c r="I1237">
        <f t="shared" si="100"/>
        <v>0</v>
      </c>
      <c r="J1237">
        <f t="shared" si="102"/>
        <v>1</v>
      </c>
      <c r="K1237">
        <v>4.43890487551689E-2</v>
      </c>
      <c r="L1237">
        <v>1.41255967319012E-2</v>
      </c>
      <c r="M1237">
        <v>2.3841444671154E-2</v>
      </c>
      <c r="N1237">
        <v>1.06878876686096E-2</v>
      </c>
      <c r="O1237">
        <f t="shared" si="103"/>
        <v>2.2010779008269387E-3</v>
      </c>
    </row>
    <row r="1238" spans="1:15" x14ac:dyDescent="0.35">
      <c r="A1238" t="s">
        <v>87</v>
      </c>
      <c r="B1238">
        <v>2016</v>
      </c>
      <c r="C1238">
        <v>661395.6875</v>
      </c>
      <c r="D1238" s="8">
        <v>0.94374179840087902</v>
      </c>
      <c r="E1238" s="8">
        <v>5.0000000000000001E-3</v>
      </c>
      <c r="F1238">
        <v>2.5702942032399698</v>
      </c>
      <c r="G1238">
        <f t="shared" si="99"/>
        <v>2.72351421500584</v>
      </c>
      <c r="H1238">
        <f t="shared" si="101"/>
        <v>-1.9608120021763265E-2</v>
      </c>
      <c r="I1238">
        <f t="shared" si="100"/>
        <v>0</v>
      </c>
      <c r="J1238">
        <f t="shared" si="102"/>
        <v>1</v>
      </c>
      <c r="K1238">
        <v>2.3841444671154E-2</v>
      </c>
      <c r="L1238">
        <v>1.06878876686096E-2</v>
      </c>
      <c r="M1238">
        <v>1.7538139313459399E-2</v>
      </c>
      <c r="N1238">
        <v>1.4748565852642099E-2</v>
      </c>
      <c r="O1238">
        <f t="shared" si="103"/>
        <v>7.7801769599318395E-3</v>
      </c>
    </row>
    <row r="1239" spans="1:15" x14ac:dyDescent="0.35">
      <c r="A1239" t="s">
        <v>87</v>
      </c>
      <c r="B1239">
        <v>2017</v>
      </c>
      <c r="C1239">
        <v>679834.25</v>
      </c>
      <c r="D1239" s="8">
        <v>0.93615615367889404</v>
      </c>
      <c r="E1239" s="8">
        <v>3.7999999999999999E-2</v>
      </c>
      <c r="F1239">
        <v>2.68341897818074</v>
      </c>
      <c r="G1239">
        <f t="shared" si="99"/>
        <v>2.8664224100172557</v>
      </c>
      <c r="H1239">
        <f t="shared" si="101"/>
        <v>5.2471984256234006E-2</v>
      </c>
      <c r="I1239">
        <f t="shared" si="100"/>
        <v>1</v>
      </c>
      <c r="J1239">
        <f t="shared" si="102"/>
        <v>2</v>
      </c>
      <c r="K1239">
        <v>1.7538139313459399E-2</v>
      </c>
      <c r="L1239">
        <v>1.4748565852642099E-2</v>
      </c>
      <c r="M1239">
        <v>9.7166264653206005E-3</v>
      </c>
      <c r="N1239">
        <v>5.81603497266804E-4</v>
      </c>
      <c r="O1239">
        <f t="shared" si="103"/>
        <v>4.2975103482603989E-3</v>
      </c>
    </row>
    <row r="1240" spans="1:15" x14ac:dyDescent="0.35">
      <c r="A1240" t="s">
        <v>87</v>
      </c>
      <c r="B1240">
        <v>2018</v>
      </c>
      <c r="C1240">
        <v>698757</v>
      </c>
      <c r="D1240" s="8">
        <v>0.930927515029907</v>
      </c>
      <c r="E1240" s="8">
        <v>1.7000000000000001E-2</v>
      </c>
      <c r="F1240">
        <v>2.6414354226152499</v>
      </c>
      <c r="G1240">
        <f t="shared" si="99"/>
        <v>2.8374233009219747</v>
      </c>
      <c r="H1240">
        <f t="shared" si="101"/>
        <v>-1.0116830301751145E-2</v>
      </c>
      <c r="I1240">
        <f t="shared" si="100"/>
        <v>0</v>
      </c>
      <c r="J1240">
        <f t="shared" si="102"/>
        <v>1</v>
      </c>
      <c r="K1240">
        <v>9.7166264653206005E-3</v>
      </c>
      <c r="L1240">
        <v>5.81603497266804E-4</v>
      </c>
      <c r="M1240">
        <v>2.2402006357908202E-2</v>
      </c>
      <c r="N1240">
        <v>4.6008117496966899E-3</v>
      </c>
      <c r="O1240">
        <f t="shared" si="103"/>
        <v>-1.401160284876822E-3</v>
      </c>
    </row>
    <row r="1241" spans="1:15" x14ac:dyDescent="0.35">
      <c r="A1241" t="s">
        <v>87</v>
      </c>
      <c r="B1241">
        <v>2019</v>
      </c>
      <c r="C1241">
        <v>715691</v>
      </c>
      <c r="D1241" s="8">
        <v>0.92789345979690596</v>
      </c>
      <c r="E1241" s="8">
        <v>2.5000000000000001E-2</v>
      </c>
      <c r="F1241">
        <v>2.5803343219933499</v>
      </c>
      <c r="G1241">
        <f t="shared" si="99"/>
        <v>2.7808519337533903</v>
      </c>
      <c r="H1241">
        <f t="shared" si="101"/>
        <v>-1.9937584621301463E-2</v>
      </c>
      <c r="I1241">
        <f t="shared" si="100"/>
        <v>0</v>
      </c>
      <c r="J1241" t="str">
        <f t="shared" si="102"/>
        <v/>
      </c>
      <c r="K1241">
        <v>2.2402006357908202E-2</v>
      </c>
      <c r="L1241">
        <v>4.6008117496966899E-3</v>
      </c>
      <c r="M1241">
        <v>-7.6428883522750002E-4</v>
      </c>
      <c r="N1241">
        <v>-1.96134792640805E-2</v>
      </c>
      <c r="O1241">
        <f t="shared" si="103"/>
        <v>-1.6945997253060203E-3</v>
      </c>
    </row>
    <row r="1242" spans="1:15" x14ac:dyDescent="0.35">
      <c r="A1242" t="s">
        <v>87</v>
      </c>
      <c r="B1242">
        <v>2020</v>
      </c>
      <c r="C1242">
        <v>736539.125</v>
      </c>
      <c r="D1242" s="8">
        <v>0.90952801704406705</v>
      </c>
      <c r="E1242" s="8">
        <v>9.5000000000000001E-2</v>
      </c>
      <c r="F1242">
        <v>2.7299240406984802</v>
      </c>
      <c r="G1242">
        <f t="shared" si="99"/>
        <v>3.0014732801421928</v>
      </c>
      <c r="H1242">
        <f t="shared" si="101"/>
        <v>7.933588398251179E-2</v>
      </c>
      <c r="I1242">
        <f t="shared" si="100"/>
        <v>1</v>
      </c>
      <c r="J1242" t="str">
        <f t="shared" si="102"/>
        <v/>
      </c>
      <c r="K1242">
        <v>-7.6428883522750002E-4</v>
      </c>
      <c r="L1242">
        <v>-1.96134792640805E-2</v>
      </c>
      <c r="M1242">
        <v>8.2172995686530997E-2</v>
      </c>
      <c r="N1242">
        <v>3.8583382964134098E-2</v>
      </c>
      <c r="O1242">
        <f t="shared" si="103"/>
        <v>1.7737769521772953E-3</v>
      </c>
    </row>
    <row r="1243" spans="1:15" x14ac:dyDescent="0.35">
      <c r="A1243" t="s">
        <v>87</v>
      </c>
      <c r="B1243">
        <v>2021</v>
      </c>
      <c r="C1243">
        <v>764246.8125</v>
      </c>
      <c r="D1243" s="8">
        <v>0.94562220573425304</v>
      </c>
      <c r="E1243" s="8">
        <v>7.0000000000000007E-2</v>
      </c>
      <c r="F1243">
        <v>2.7439279584303198</v>
      </c>
      <c r="G1243">
        <f t="shared" si="99"/>
        <v>2.9017169243606387</v>
      </c>
      <c r="H1243">
        <f t="shared" si="101"/>
        <v>-3.3235796714081833E-2</v>
      </c>
      <c r="I1243">
        <f t="shared" si="100"/>
        <v>0</v>
      </c>
      <c r="J1243" t="str">
        <f t="shared" si="102"/>
        <v/>
      </c>
      <c r="K1243">
        <v>8.2172995686530997E-2</v>
      </c>
      <c r="L1243">
        <v>3.8583382964134098E-2</v>
      </c>
      <c r="M1243">
        <v>-3.4768273979425397E-2</v>
      </c>
      <c r="N1243">
        <v>-2.6647672057151001E-3</v>
      </c>
      <c r="O1243">
        <f t="shared" si="103"/>
        <v>-5.607533361762734E-3</v>
      </c>
    </row>
    <row r="1244" spans="1:15" x14ac:dyDescent="0.35">
      <c r="A1244" t="s">
        <v>87</v>
      </c>
      <c r="B1244">
        <v>2022</v>
      </c>
      <c r="C1244">
        <v>798796</v>
      </c>
      <c r="D1244" s="8">
        <v>0.91483354568481401</v>
      </c>
      <c r="E1244" s="8">
        <v>6.6000000000000003E-2</v>
      </c>
      <c r="F1244">
        <v>2.4773762094479199</v>
      </c>
      <c r="G1244">
        <f t="shared" si="99"/>
        <v>2.7080076163947817</v>
      </c>
      <c r="H1244">
        <f t="shared" si="101"/>
        <v>-6.6756790209140937E-2</v>
      </c>
      <c r="I1244">
        <f t="shared" si="100"/>
        <v>0</v>
      </c>
      <c r="J1244" t="str">
        <f t="shared" si="102"/>
        <v/>
      </c>
      <c r="K1244">
        <v>-3.4768273979425397E-2</v>
      </c>
      <c r="L1244">
        <v>-2.1860636770724999E-3</v>
      </c>
      <c r="M1244">
        <v>-4.7470677442848601E-2</v>
      </c>
      <c r="N1244">
        <v>-2.7911749668419299E-2</v>
      </c>
      <c r="O1244">
        <f t="shared" si="103"/>
        <v>-3.2022886443882972E-3</v>
      </c>
    </row>
    <row r="1245" spans="1:15" x14ac:dyDescent="0.35">
      <c r="A1245" t="s">
        <v>88</v>
      </c>
      <c r="B1245">
        <v>2006</v>
      </c>
      <c r="C1245">
        <v>502323</v>
      </c>
      <c r="D1245" s="8">
        <v>0.95769065618515004</v>
      </c>
      <c r="E1245" s="8">
        <v>0</v>
      </c>
      <c r="F1245">
        <v>2.1943920742301501</v>
      </c>
      <c r="G1245">
        <f t="shared" si="99"/>
        <v>2.2913370408888158</v>
      </c>
      <c r="H1245">
        <f t="shared" si="101"/>
        <v>-0.15386610177289184</v>
      </c>
      <c r="I1245">
        <f t="shared" si="100"/>
        <v>0</v>
      </c>
      <c r="J1245" t="str">
        <f t="shared" si="102"/>
        <v/>
      </c>
      <c r="K1245">
        <v>-9.8349933326239911E-4</v>
      </c>
      <c r="L1245">
        <v>-7.3465388268231903E-3</v>
      </c>
      <c r="M1245">
        <v>2.2118586152791902E-3</v>
      </c>
      <c r="N1245">
        <v>3.1336145475506999E-3</v>
      </c>
      <c r="O1245" t="str">
        <f t="shared" si="103"/>
        <v/>
      </c>
    </row>
    <row r="1246" spans="1:15" x14ac:dyDescent="0.35">
      <c r="A1246" t="s">
        <v>88</v>
      </c>
      <c r="B1246">
        <v>2007</v>
      </c>
      <c r="C1246">
        <v>507965.09375</v>
      </c>
      <c r="D1246" s="8">
        <v>0.95543128252029397</v>
      </c>
      <c r="E1246" s="8">
        <v>2.7E-2</v>
      </c>
      <c r="F1246">
        <v>2.2916965781287302</v>
      </c>
      <c r="G1246">
        <f t="shared" si="99"/>
        <v>2.3985990620733659</v>
      </c>
      <c r="H1246">
        <f t="shared" si="101"/>
        <v>4.6811978888510852E-2</v>
      </c>
      <c r="I1246">
        <f t="shared" si="100"/>
        <v>1</v>
      </c>
      <c r="J1246" t="str">
        <f t="shared" si="102"/>
        <v/>
      </c>
      <c r="K1246">
        <v>2.2118586152791902E-3</v>
      </c>
      <c r="L1246">
        <v>3.1336145475506999E-3</v>
      </c>
      <c r="M1246">
        <v>-3.1782400153577299E-2</v>
      </c>
      <c r="N1246">
        <v>-2.2715958766639198E-3</v>
      </c>
      <c r="O1246" t="str">
        <f t="shared" si="103"/>
        <v/>
      </c>
    </row>
    <row r="1247" spans="1:15" x14ac:dyDescent="0.35">
      <c r="A1247" t="s">
        <v>88</v>
      </c>
      <c r="B1247">
        <v>2008</v>
      </c>
      <c r="C1247">
        <v>513133.78125</v>
      </c>
      <c r="D1247" s="8">
        <v>0.94725859165191695</v>
      </c>
      <c r="E1247" s="8">
        <v>1.4E-2</v>
      </c>
      <c r="F1247">
        <v>2.2956292513871701</v>
      </c>
      <c r="G1247">
        <f t="shared" si="99"/>
        <v>2.4234451623012889</v>
      </c>
      <c r="H1247">
        <f t="shared" si="101"/>
        <v>1.035858831965264E-2</v>
      </c>
      <c r="I1247">
        <f t="shared" si="100"/>
        <v>1</v>
      </c>
      <c r="J1247" t="str">
        <f t="shared" si="102"/>
        <v/>
      </c>
      <c r="K1247">
        <v>-3.1782400153577299E-2</v>
      </c>
      <c r="L1247">
        <v>-2.2715958766639198E-3</v>
      </c>
      <c r="M1247">
        <v>-2.48898702710867E-2</v>
      </c>
      <c r="N1247">
        <v>1.6768313944339501E-3</v>
      </c>
      <c r="O1247" t="str">
        <f t="shared" si="103"/>
        <v/>
      </c>
    </row>
    <row r="1248" spans="1:15" x14ac:dyDescent="0.35">
      <c r="A1248" t="s">
        <v>88</v>
      </c>
      <c r="B1248">
        <v>2009</v>
      </c>
      <c r="C1248">
        <v>517590.28125</v>
      </c>
      <c r="D1248" s="8">
        <v>0.95037245750427202</v>
      </c>
      <c r="E1248" s="8">
        <v>3.4000000000000002E-2</v>
      </c>
      <c r="F1248">
        <v>2.2676494382022399</v>
      </c>
      <c r="G1248">
        <f t="shared" si="99"/>
        <v>2.3860639271441078</v>
      </c>
      <c r="H1248">
        <f t="shared" si="101"/>
        <v>-1.5424832275422351E-2</v>
      </c>
      <c r="I1248">
        <f t="shared" si="100"/>
        <v>0</v>
      </c>
      <c r="J1248" t="str">
        <f t="shared" si="102"/>
        <v/>
      </c>
      <c r="K1248">
        <v>-2.48898702710867E-2</v>
      </c>
      <c r="L1248">
        <v>1.6768313944339501E-3</v>
      </c>
      <c r="M1248">
        <v>-9.8652377724599201E-5</v>
      </c>
      <c r="N1248">
        <v>9.3614563811570805E-3</v>
      </c>
      <c r="O1248" t="str">
        <f t="shared" si="103"/>
        <v/>
      </c>
    </row>
    <row r="1249" spans="1:15" x14ac:dyDescent="0.35">
      <c r="A1249" t="s">
        <v>88</v>
      </c>
      <c r="B1249">
        <v>2010</v>
      </c>
      <c r="C1249">
        <v>521605.40625</v>
      </c>
      <c r="D1249" s="8">
        <v>0.95050895214080799</v>
      </c>
      <c r="E1249" s="8">
        <v>8.0000000000000002E-3</v>
      </c>
      <c r="F1249">
        <v>2.2880389718076199</v>
      </c>
      <c r="G1249">
        <f t="shared" si="99"/>
        <v>2.4071724591907588</v>
      </c>
      <c r="H1249">
        <f t="shared" si="101"/>
        <v>8.8465911606634418E-3</v>
      </c>
      <c r="I1249">
        <f t="shared" si="100"/>
        <v>1</v>
      </c>
      <c r="J1249">
        <f t="shared" si="102"/>
        <v>3</v>
      </c>
      <c r="K1249">
        <v>-9.8652377724599201E-5</v>
      </c>
      <c r="L1249">
        <v>9.3614563811570805E-3</v>
      </c>
      <c r="M1249">
        <v>-2.0949400372803201E-2</v>
      </c>
      <c r="N1249">
        <v>3.3437414094809799E-4</v>
      </c>
      <c r="O1249">
        <f t="shared" si="103"/>
        <v>-1.1873536743223583E-3</v>
      </c>
    </row>
    <row r="1250" spans="1:15" x14ac:dyDescent="0.35">
      <c r="A1250" t="s">
        <v>88</v>
      </c>
      <c r="B1250">
        <v>2011</v>
      </c>
      <c r="C1250">
        <v>525712.5</v>
      </c>
      <c r="D1250" s="8">
        <v>0.95375132560730003</v>
      </c>
      <c r="E1250" s="8">
        <v>3.0000000000000001E-3</v>
      </c>
      <c r="F1250">
        <v>2.2207339706551799</v>
      </c>
      <c r="G1250">
        <f t="shared" si="99"/>
        <v>2.3284203240725563</v>
      </c>
      <c r="H1250">
        <f t="shared" si="101"/>
        <v>-3.271561820073221E-2</v>
      </c>
      <c r="I1250">
        <f t="shared" si="100"/>
        <v>0</v>
      </c>
      <c r="J1250">
        <f t="shared" si="102"/>
        <v>3</v>
      </c>
      <c r="K1250">
        <v>-2.0949400372803201E-2</v>
      </c>
      <c r="L1250">
        <v>3.3437414094809799E-4</v>
      </c>
      <c r="M1250">
        <v>-3.3226723819970998E-3</v>
      </c>
      <c r="N1250">
        <v>2.1155336871742899E-3</v>
      </c>
      <c r="O1250">
        <f t="shared" si="103"/>
        <v>-4.2016617953777801E-4</v>
      </c>
    </row>
    <row r="1251" spans="1:15" x14ac:dyDescent="0.35">
      <c r="A1251" t="s">
        <v>88</v>
      </c>
      <c r="B1251">
        <v>2012</v>
      </c>
      <c r="C1251">
        <v>529456.125</v>
      </c>
      <c r="D1251" s="8">
        <v>0.95105659961700395</v>
      </c>
      <c r="E1251" s="8">
        <v>1.7000000000000001E-2</v>
      </c>
      <c r="F1251">
        <v>2.35640208088605</v>
      </c>
      <c r="G1251">
        <f t="shared" si="99"/>
        <v>2.4776675561002226</v>
      </c>
      <c r="H1251">
        <f t="shared" si="101"/>
        <v>6.40980627443688E-2</v>
      </c>
      <c r="I1251">
        <f t="shared" si="100"/>
        <v>1</v>
      </c>
      <c r="J1251">
        <f t="shared" si="102"/>
        <v>3</v>
      </c>
      <c r="K1251">
        <v>-3.3226723819970998E-3</v>
      </c>
      <c r="L1251">
        <v>2.0299348980187901E-3</v>
      </c>
      <c r="M1251">
        <v>3.7401752918958999E-3</v>
      </c>
      <c r="N1251">
        <v>-2.38659605383869E-3</v>
      </c>
      <c r="O1251">
        <f t="shared" si="103"/>
        <v>2.4496000260116403E-4</v>
      </c>
    </row>
    <row r="1252" spans="1:15" x14ac:dyDescent="0.35">
      <c r="A1252" t="s">
        <v>88</v>
      </c>
      <c r="B1252">
        <v>2013</v>
      </c>
      <c r="C1252">
        <v>533250.9375</v>
      </c>
      <c r="D1252" s="8">
        <v>0.945778608322144</v>
      </c>
      <c r="E1252" s="8">
        <v>0.01</v>
      </c>
      <c r="F1252">
        <v>2.2727552854574999</v>
      </c>
      <c r="G1252">
        <f t="shared" si="99"/>
        <v>2.4030521154305609</v>
      </c>
      <c r="H1252">
        <f t="shared" si="101"/>
        <v>-3.011519462566814E-2</v>
      </c>
      <c r="I1252">
        <f t="shared" si="100"/>
        <v>0</v>
      </c>
      <c r="J1252">
        <f t="shared" si="102"/>
        <v>2</v>
      </c>
      <c r="K1252">
        <v>3.7401752918958999E-3</v>
      </c>
      <c r="L1252">
        <v>-2.38659605383869E-3</v>
      </c>
      <c r="M1252">
        <v>-2.1047407612205002E-3</v>
      </c>
      <c r="N1252">
        <v>-4.112764261663E-3</v>
      </c>
      <c r="O1252">
        <f t="shared" si="103"/>
        <v>1.530095748603362E-3</v>
      </c>
    </row>
    <row r="1253" spans="1:15" x14ac:dyDescent="0.35">
      <c r="A1253" t="s">
        <v>88</v>
      </c>
      <c r="B1253">
        <v>2014</v>
      </c>
      <c r="C1253">
        <v>537095.25</v>
      </c>
      <c r="D1253" s="8">
        <v>0.945218145847321</v>
      </c>
      <c r="E1253" s="8">
        <v>4.0000000000000001E-3</v>
      </c>
      <c r="F1253">
        <v>2.3772667668788099</v>
      </c>
      <c r="G1253">
        <f t="shared" si="99"/>
        <v>2.5150456297554031</v>
      </c>
      <c r="H1253">
        <f t="shared" si="101"/>
        <v>4.6604696421565617E-2</v>
      </c>
      <c r="I1253">
        <f t="shared" si="100"/>
        <v>1</v>
      </c>
      <c r="J1253">
        <f t="shared" si="102"/>
        <v>3</v>
      </c>
      <c r="K1253">
        <v>-2.1047407612205002E-3</v>
      </c>
      <c r="L1253">
        <v>-4.112764261663E-3</v>
      </c>
      <c r="M1253">
        <v>2.83761361390352E-2</v>
      </c>
      <c r="N1253">
        <v>-1.88731588423249E-3</v>
      </c>
      <c r="O1253">
        <f t="shared" si="103"/>
        <v>9.428899735212619E-4</v>
      </c>
    </row>
    <row r="1254" spans="1:15" x14ac:dyDescent="0.35">
      <c r="A1254" t="s">
        <v>88</v>
      </c>
      <c r="B1254">
        <v>2015</v>
      </c>
      <c r="C1254">
        <v>540225.25</v>
      </c>
      <c r="D1254" s="8">
        <v>0.949379563331604</v>
      </c>
      <c r="E1254" s="8">
        <v>1.0999999999999999E-2</v>
      </c>
      <c r="F1254">
        <v>2.3235720361677301</v>
      </c>
      <c r="G1254">
        <f t="shared" si="99"/>
        <v>2.4474637183190993</v>
      </c>
      <c r="H1254">
        <f t="shared" si="101"/>
        <v>-2.687104783974692E-2</v>
      </c>
      <c r="I1254">
        <f t="shared" si="100"/>
        <v>0</v>
      </c>
      <c r="J1254">
        <f t="shared" si="102"/>
        <v>2</v>
      </c>
      <c r="K1254">
        <v>2.83761361390352E-2</v>
      </c>
      <c r="L1254">
        <v>-1.88731588423249E-3</v>
      </c>
      <c r="M1254">
        <v>1.7323868617415399E-2</v>
      </c>
      <c r="N1254">
        <v>4.1703116148709999E-3</v>
      </c>
      <c r="O1254">
        <f t="shared" si="103"/>
        <v>4.6256642788648997E-3</v>
      </c>
    </row>
    <row r="1255" spans="1:15" x14ac:dyDescent="0.35">
      <c r="A1255" t="s">
        <v>88</v>
      </c>
      <c r="B1255">
        <v>2016</v>
      </c>
      <c r="C1255">
        <v>543450.625</v>
      </c>
      <c r="D1255" s="8">
        <v>0.94984728097915605</v>
      </c>
      <c r="E1255" s="8">
        <v>2.5999999999999999E-2</v>
      </c>
      <c r="F1255">
        <v>2.3745982454778298</v>
      </c>
      <c r="G1255">
        <f t="shared" si="99"/>
        <v>2.499978989285478</v>
      </c>
      <c r="H1255">
        <f t="shared" si="101"/>
        <v>2.1457017145261714E-2</v>
      </c>
      <c r="I1255">
        <f t="shared" si="100"/>
        <v>1</v>
      </c>
      <c r="J1255">
        <f t="shared" si="102"/>
        <v>3</v>
      </c>
      <c r="K1255">
        <v>1.7323868617415399E-2</v>
      </c>
      <c r="L1255">
        <v>4.1703116148709999E-3</v>
      </c>
      <c r="M1255">
        <v>8.2307380586863002E-3</v>
      </c>
      <c r="N1255">
        <v>5.441164597869E-3</v>
      </c>
      <c r="O1255">
        <f t="shared" si="103"/>
        <v>-6.8648308515546004E-4</v>
      </c>
    </row>
    <row r="1256" spans="1:15" x14ac:dyDescent="0.35">
      <c r="A1256" t="s">
        <v>88</v>
      </c>
      <c r="B1256">
        <v>2017</v>
      </c>
      <c r="C1256">
        <v>547039.9375</v>
      </c>
      <c r="D1256" s="8">
        <v>0.95846718549728405</v>
      </c>
      <c r="E1256" s="8">
        <v>0.03</v>
      </c>
      <c r="F1256">
        <v>2.33934932320114</v>
      </c>
      <c r="G1256">
        <f t="shared" si="99"/>
        <v>2.44071926363072</v>
      </c>
      <c r="H1256">
        <f t="shared" si="101"/>
        <v>-2.3704089477845969E-2</v>
      </c>
      <c r="I1256">
        <f t="shared" si="100"/>
        <v>0</v>
      </c>
      <c r="J1256">
        <f t="shared" si="102"/>
        <v>2</v>
      </c>
      <c r="K1256">
        <v>8.2307380586863002E-3</v>
      </c>
      <c r="L1256">
        <v>5.441164597869E-3</v>
      </c>
      <c r="M1256">
        <v>1.31741056442261E-2</v>
      </c>
      <c r="N1256">
        <v>4.0390826761722998E-3</v>
      </c>
      <c r="O1256">
        <f t="shared" si="103"/>
        <v>5.6451894342899949E-4</v>
      </c>
    </row>
    <row r="1257" spans="1:15" x14ac:dyDescent="0.35">
      <c r="A1257" t="s">
        <v>88</v>
      </c>
      <c r="B1257">
        <v>2018</v>
      </c>
      <c r="C1257">
        <v>550020.625</v>
      </c>
      <c r="D1257" s="8">
        <v>0.95619571208953902</v>
      </c>
      <c r="E1257" s="8">
        <v>2.4E-2</v>
      </c>
      <c r="F1257">
        <v>2.1612844204555799</v>
      </c>
      <c r="G1257">
        <f t="shared" si="99"/>
        <v>2.2602950349281583</v>
      </c>
      <c r="H1257">
        <f t="shared" si="101"/>
        <v>-7.3922565118845207E-2</v>
      </c>
      <c r="I1257">
        <f t="shared" si="100"/>
        <v>0</v>
      </c>
      <c r="J1257">
        <f t="shared" si="102"/>
        <v>2</v>
      </c>
      <c r="K1257">
        <v>1.31741056442261E-2</v>
      </c>
      <c r="L1257">
        <v>4.0390826761722998E-3</v>
      </c>
      <c r="M1257">
        <v>1.0752401471138E-2</v>
      </c>
      <c r="N1257">
        <v>-7.0487931370735004E-3</v>
      </c>
      <c r="O1257">
        <f t="shared" si="103"/>
        <v>3.5193931311368796E-3</v>
      </c>
    </row>
    <row r="1258" spans="1:15" x14ac:dyDescent="0.35">
      <c r="A1258" t="s">
        <v>88</v>
      </c>
      <c r="B1258">
        <v>2019</v>
      </c>
      <c r="C1258">
        <v>552077.5</v>
      </c>
      <c r="D1258" s="8">
        <v>0.96684193611144997</v>
      </c>
      <c r="E1258" s="8">
        <v>4.1000000000000002E-2</v>
      </c>
      <c r="F1258">
        <v>2.2105585285855498</v>
      </c>
      <c r="G1258">
        <f t="shared" si="99"/>
        <v>2.2863701356151496</v>
      </c>
      <c r="H1258">
        <f t="shared" si="101"/>
        <v>1.1536149168163812E-2</v>
      </c>
      <c r="I1258">
        <f t="shared" si="100"/>
        <v>1</v>
      </c>
      <c r="J1258" t="str">
        <f t="shared" si="102"/>
        <v/>
      </c>
      <c r="K1258">
        <v>1.0752401471138E-2</v>
      </c>
      <c r="L1258">
        <v>-7.0487931370735004E-3</v>
      </c>
      <c r="M1258">
        <v>3.5375746071338698E-2</v>
      </c>
      <c r="N1258">
        <v>1.6526555642485698E-2</v>
      </c>
      <c r="O1258">
        <f t="shared" si="103"/>
        <v>3.27121075242756E-3</v>
      </c>
    </row>
    <row r="1259" spans="1:15" x14ac:dyDescent="0.35">
      <c r="A1259" t="s">
        <v>88</v>
      </c>
      <c r="B1259">
        <v>2020</v>
      </c>
      <c r="C1259">
        <v>553699.125</v>
      </c>
      <c r="D1259" s="8">
        <v>0.97195029258728005</v>
      </c>
      <c r="E1259" s="8">
        <v>0.02</v>
      </c>
      <c r="F1259">
        <v>2.09166868686868</v>
      </c>
      <c r="G1259">
        <f t="shared" si="99"/>
        <v>2.152032570822906</v>
      </c>
      <c r="H1259">
        <f t="shared" si="101"/>
        <v>-5.875582553307801E-2</v>
      </c>
      <c r="I1259">
        <f t="shared" si="100"/>
        <v>0</v>
      </c>
      <c r="J1259" t="str">
        <f t="shared" si="102"/>
        <v/>
      </c>
      <c r="K1259">
        <v>3.5375746071338698E-2</v>
      </c>
      <c r="L1259">
        <v>1.6526555642485698E-2</v>
      </c>
      <c r="M1259">
        <v>2.1199187517165999E-2</v>
      </c>
      <c r="N1259">
        <v>-2.23904252052308E-2</v>
      </c>
      <c r="O1259">
        <f t="shared" si="103"/>
        <v>1.2869616039096999E-3</v>
      </c>
    </row>
    <row r="1260" spans="1:15" x14ac:dyDescent="0.35">
      <c r="A1260" t="s">
        <v>88</v>
      </c>
      <c r="B1260">
        <v>2021</v>
      </c>
      <c r="C1260">
        <v>556397.1875</v>
      </c>
      <c r="D1260" s="8">
        <v>0.97780191898345903</v>
      </c>
      <c r="E1260" s="8">
        <v>2.8000000000000001E-2</v>
      </c>
      <c r="F1260">
        <v>2.4059718187326098</v>
      </c>
      <c r="G1260">
        <f t="shared" si="99"/>
        <v>2.4605922447297943</v>
      </c>
      <c r="H1260">
        <f t="shared" si="101"/>
        <v>0.1433805780127666</v>
      </c>
      <c r="I1260">
        <f t="shared" si="100"/>
        <v>1</v>
      </c>
      <c r="J1260" t="str">
        <f t="shared" si="102"/>
        <v/>
      </c>
      <c r="K1260">
        <v>2.1199187517165999E-2</v>
      </c>
      <c r="L1260">
        <v>-2.23904252052308E-2</v>
      </c>
      <c r="M1260">
        <v>-2.04073320329189E-2</v>
      </c>
      <c r="N1260">
        <v>1.16961747407913E-2</v>
      </c>
      <c r="O1260">
        <f t="shared" si="103"/>
        <v>7.8952827490866E-3</v>
      </c>
    </row>
    <row r="1261" spans="1:15" x14ac:dyDescent="0.35">
      <c r="A1261" t="s">
        <v>88</v>
      </c>
      <c r="B1261">
        <v>2022</v>
      </c>
      <c r="C1261">
        <v>557685.9375</v>
      </c>
      <c r="D1261" s="8">
        <v>0.97068452835082997</v>
      </c>
      <c r="E1261" s="8">
        <v>2.4E-2</v>
      </c>
      <c r="F1261">
        <v>2.1704494189754602</v>
      </c>
      <c r="G1261">
        <f t="shared" si="99"/>
        <v>2.2359987777522345</v>
      </c>
      <c r="H1261">
        <f t="shared" si="101"/>
        <v>-9.1276182577021414E-2</v>
      </c>
      <c r="I1261">
        <f t="shared" si="100"/>
        <v>0</v>
      </c>
      <c r="J1261" t="str">
        <f t="shared" si="102"/>
        <v/>
      </c>
      <c r="K1261">
        <v>-2.04073320329189E-2</v>
      </c>
      <c r="L1261">
        <v>1.2174878269433901E-2</v>
      </c>
      <c r="M1261">
        <v>-7.4547415971760295E-4</v>
      </c>
      <c r="N1261">
        <v>1.8813453614711699E-2</v>
      </c>
      <c r="O1261">
        <f t="shared" si="103"/>
        <v>4.4240453280508379E-3</v>
      </c>
    </row>
    <row r="1262" spans="1:15" x14ac:dyDescent="0.35">
      <c r="A1262" t="s">
        <v>89</v>
      </c>
      <c r="B1262">
        <v>2006</v>
      </c>
      <c r="C1262">
        <v>463436.625</v>
      </c>
      <c r="D1262" s="8">
        <v>0.89501100778579701</v>
      </c>
      <c r="E1262" s="8">
        <v>6.0000000000000001E-3</v>
      </c>
      <c r="F1262">
        <v>2.1966580976863699</v>
      </c>
      <c r="G1262">
        <f t="shared" si="99"/>
        <v>2.4543364032144912</v>
      </c>
      <c r="H1262">
        <f t="shared" si="101"/>
        <v>9.7646576391129836E-2</v>
      </c>
      <c r="I1262">
        <f t="shared" si="100"/>
        <v>1</v>
      </c>
      <c r="J1262" t="str">
        <f t="shared" si="102"/>
        <v/>
      </c>
      <c r="K1262">
        <v>-1.1472883045673401E-2</v>
      </c>
      <c r="L1262">
        <v>-1.78359225392342E-2</v>
      </c>
      <c r="M1262">
        <v>-9.2114609628915992E-3</v>
      </c>
      <c r="N1262">
        <v>-8.2897050306200998E-3</v>
      </c>
      <c r="O1262" t="str">
        <f t="shared" si="103"/>
        <v/>
      </c>
    </row>
    <row r="1263" spans="1:15" x14ac:dyDescent="0.35">
      <c r="A1263" t="s">
        <v>89</v>
      </c>
      <c r="B1263">
        <v>2007</v>
      </c>
      <c r="C1263">
        <v>463759.40625</v>
      </c>
      <c r="D1263" s="8">
        <v>0.917369604110718</v>
      </c>
      <c r="E1263" s="8">
        <v>2.1000000000000001E-2</v>
      </c>
      <c r="F1263">
        <v>1.9947365505014101</v>
      </c>
      <c r="G1263">
        <f t="shared" si="99"/>
        <v>2.1744088114136644</v>
      </c>
      <c r="H1263">
        <f t="shared" si="101"/>
        <v>-0.11405428833398723</v>
      </c>
      <c r="I1263">
        <f t="shared" si="100"/>
        <v>0</v>
      </c>
      <c r="J1263" t="str">
        <f t="shared" si="102"/>
        <v/>
      </c>
      <c r="K1263">
        <v>-9.2114609628915992E-3</v>
      </c>
      <c r="L1263">
        <v>-8.2897050306200998E-3</v>
      </c>
      <c r="M1263">
        <v>-2.2905494377016999E-2</v>
      </c>
      <c r="N1263">
        <v>6.6053098998963998E-3</v>
      </c>
      <c r="O1263" t="str">
        <f t="shared" si="103"/>
        <v/>
      </c>
    </row>
    <row r="1264" spans="1:15" x14ac:dyDescent="0.35">
      <c r="A1264" t="s">
        <v>89</v>
      </c>
      <c r="B1264">
        <v>2008</v>
      </c>
      <c r="C1264">
        <v>463534.90625</v>
      </c>
      <c r="D1264" s="8">
        <v>0.92591142654418901</v>
      </c>
      <c r="E1264" s="8">
        <v>0</v>
      </c>
      <c r="F1264">
        <v>2.0335486051139502</v>
      </c>
      <c r="G1264">
        <f t="shared" si="99"/>
        <v>2.1962668855959944</v>
      </c>
      <c r="H1264">
        <f t="shared" si="101"/>
        <v>1.0052421636444375E-2</v>
      </c>
      <c r="I1264">
        <f t="shared" si="100"/>
        <v>1</v>
      </c>
      <c r="J1264" t="str">
        <f t="shared" si="102"/>
        <v/>
      </c>
      <c r="K1264">
        <v>-2.2905494377016999E-2</v>
      </c>
      <c r="L1264">
        <v>6.6053098998963998E-3</v>
      </c>
      <c r="M1264">
        <v>-1.5915521144866902E-2</v>
      </c>
      <c r="N1264">
        <v>1.06511805206537E-2</v>
      </c>
      <c r="O1264" t="str">
        <f t="shared" si="103"/>
        <v/>
      </c>
    </row>
    <row r="1265" spans="1:15" x14ac:dyDescent="0.35">
      <c r="A1265" t="s">
        <v>89</v>
      </c>
      <c r="B1265">
        <v>2009</v>
      </c>
      <c r="C1265">
        <v>463409.6875</v>
      </c>
      <c r="D1265" s="8">
        <v>0.92239046096801802</v>
      </c>
      <c r="E1265" s="8">
        <v>0</v>
      </c>
      <c r="F1265">
        <v>2.1493667328332702</v>
      </c>
      <c r="G1265">
        <f t="shared" si="99"/>
        <v>2.3302135308051444</v>
      </c>
      <c r="H1265">
        <f t="shared" si="101"/>
        <v>6.0988328006776449E-2</v>
      </c>
      <c r="I1265">
        <f t="shared" si="100"/>
        <v>1</v>
      </c>
      <c r="J1265" t="str">
        <f t="shared" si="102"/>
        <v/>
      </c>
      <c r="K1265">
        <v>-1.5915521144866902E-2</v>
      </c>
      <c r="L1265">
        <v>1.06511805206537E-2</v>
      </c>
      <c r="M1265">
        <v>-1.5120121123269201E-2</v>
      </c>
      <c r="N1265">
        <v>-5.6600123643875096E-3</v>
      </c>
      <c r="O1265" t="str">
        <f t="shared" si="103"/>
        <v/>
      </c>
    </row>
    <row r="1266" spans="1:15" x14ac:dyDescent="0.35">
      <c r="A1266" t="s">
        <v>89</v>
      </c>
      <c r="B1266">
        <v>2010</v>
      </c>
      <c r="C1266">
        <v>464503.28125</v>
      </c>
      <c r="D1266" s="8">
        <v>0.92197728157043501</v>
      </c>
      <c r="E1266" s="8">
        <v>0</v>
      </c>
      <c r="F1266">
        <v>2.2324718244216499</v>
      </c>
      <c r="G1266">
        <f t="shared" si="99"/>
        <v>2.4213956992725518</v>
      </c>
      <c r="H1266">
        <f t="shared" si="101"/>
        <v>3.913039181259137E-2</v>
      </c>
      <c r="I1266">
        <f t="shared" si="100"/>
        <v>1</v>
      </c>
      <c r="J1266">
        <f t="shared" si="102"/>
        <v>4</v>
      </c>
      <c r="K1266">
        <v>-1.5120121123269201E-2</v>
      </c>
      <c r="L1266">
        <v>-5.6600123643875096E-3</v>
      </c>
      <c r="M1266">
        <v>-2.3244018077850301E-2</v>
      </c>
      <c r="N1266">
        <v>-1.96024356409904E-3</v>
      </c>
      <c r="O1266">
        <f t="shared" si="103"/>
        <v>-3.7638264708220797E-3</v>
      </c>
    </row>
    <row r="1267" spans="1:15" x14ac:dyDescent="0.35">
      <c r="A1267" t="s">
        <v>89</v>
      </c>
      <c r="B1267">
        <v>2011</v>
      </c>
      <c r="C1267">
        <v>465752.5</v>
      </c>
      <c r="D1267" s="8">
        <v>0.928045094013214</v>
      </c>
      <c r="E1267" s="8">
        <v>0</v>
      </c>
      <c r="F1267">
        <v>2.0840998034974101</v>
      </c>
      <c r="G1267">
        <f t="shared" si="99"/>
        <v>2.245688078027527</v>
      </c>
      <c r="H1267">
        <f t="shared" si="101"/>
        <v>-7.2564604495585661E-2</v>
      </c>
      <c r="I1267">
        <f t="shared" si="100"/>
        <v>0</v>
      </c>
      <c r="J1267">
        <f t="shared" si="102"/>
        <v>3</v>
      </c>
      <c r="K1267">
        <v>-2.3244018077850301E-2</v>
      </c>
      <c r="L1267">
        <v>-1.96024356409904E-3</v>
      </c>
      <c r="M1267">
        <v>-1.17654179260134E-2</v>
      </c>
      <c r="N1267">
        <v>-6.3272118568420696E-3</v>
      </c>
      <c r="O1267">
        <f t="shared" si="103"/>
        <v>-2.1963786333799315E-3</v>
      </c>
    </row>
    <row r="1268" spans="1:15" x14ac:dyDescent="0.35">
      <c r="A1268" t="s">
        <v>89</v>
      </c>
      <c r="B1268">
        <v>2012</v>
      </c>
      <c r="C1268">
        <v>466265</v>
      </c>
      <c r="D1268" s="8">
        <v>0.93192493915557895</v>
      </c>
      <c r="E1268" s="8">
        <v>4.0000000000000001E-3</v>
      </c>
      <c r="F1268">
        <v>2.0985020353654802</v>
      </c>
      <c r="G1268">
        <f t="shared" si="99"/>
        <v>2.2517929794506215</v>
      </c>
      <c r="H1268">
        <f t="shared" si="101"/>
        <v>2.718499279942943E-3</v>
      </c>
      <c r="I1268">
        <f t="shared" si="100"/>
        <v>1</v>
      </c>
      <c r="J1268">
        <f t="shared" si="102"/>
        <v>4</v>
      </c>
      <c r="K1268">
        <v>-1.17654179260134E-2</v>
      </c>
      <c r="L1268">
        <v>-6.4128106459975598E-3</v>
      </c>
      <c r="M1268">
        <v>-1.1677251756190899E-3</v>
      </c>
      <c r="N1268">
        <v>-7.2944965213536904E-3</v>
      </c>
      <c r="O1268">
        <f t="shared" si="103"/>
        <v>-1.6039878129958957E-3</v>
      </c>
    </row>
    <row r="1269" spans="1:15" x14ac:dyDescent="0.35">
      <c r="A1269" t="s">
        <v>89</v>
      </c>
      <c r="B1269">
        <v>2013</v>
      </c>
      <c r="C1269">
        <v>467114.40625</v>
      </c>
      <c r="D1269" s="8">
        <v>0.93708914518356301</v>
      </c>
      <c r="E1269" s="8">
        <v>8.9999999999999993E-3</v>
      </c>
      <c r="F1269">
        <v>2.2113889598965399</v>
      </c>
      <c r="G1269">
        <f t="shared" si="99"/>
        <v>2.3598490829422198</v>
      </c>
      <c r="H1269">
        <f t="shared" si="101"/>
        <v>4.7986695259153445E-2</v>
      </c>
      <c r="I1269">
        <f t="shared" si="100"/>
        <v>1</v>
      </c>
      <c r="J1269">
        <f t="shared" si="102"/>
        <v>4</v>
      </c>
      <c r="K1269">
        <v>-1.1677251756190899E-3</v>
      </c>
      <c r="L1269">
        <v>-7.2944965213536904E-3</v>
      </c>
      <c r="M1269">
        <v>-4.2642254233359999E-3</v>
      </c>
      <c r="N1269">
        <v>-6.2722489237785001E-3</v>
      </c>
      <c r="O1269">
        <f t="shared" si="103"/>
        <v>-6.6799484193323612E-4</v>
      </c>
    </row>
    <row r="1270" spans="1:15" x14ac:dyDescent="0.35">
      <c r="A1270" t="s">
        <v>89</v>
      </c>
      <c r="B1270">
        <v>2014</v>
      </c>
      <c r="C1270">
        <v>468337.5</v>
      </c>
      <c r="D1270" s="8">
        <v>0.93513530492782604</v>
      </c>
      <c r="E1270" s="8">
        <v>8.0000000000000002E-3</v>
      </c>
      <c r="F1270">
        <v>2.16790146467235</v>
      </c>
      <c r="G1270">
        <f t="shared" si="99"/>
        <v>2.3182757118122805</v>
      </c>
      <c r="H1270">
        <f t="shared" si="101"/>
        <v>-1.7616961792364383E-2</v>
      </c>
      <c r="I1270">
        <f t="shared" si="100"/>
        <v>0</v>
      </c>
      <c r="J1270">
        <f t="shared" si="102"/>
        <v>3</v>
      </c>
      <c r="K1270">
        <v>-4.2642254233359999E-3</v>
      </c>
      <c r="L1270">
        <v>-6.2722489237785001E-3</v>
      </c>
      <c r="M1270">
        <v>3.3298520535230601E-2</v>
      </c>
      <c r="N1270">
        <v>3.0350685119629002E-3</v>
      </c>
      <c r="O1270">
        <f t="shared" si="103"/>
        <v>1.1873878538610381E-4</v>
      </c>
    </row>
    <row r="1271" spans="1:15" x14ac:dyDescent="0.35">
      <c r="A1271" t="s">
        <v>89</v>
      </c>
      <c r="B1271">
        <v>2015</v>
      </c>
      <c r="C1271">
        <v>469600.5</v>
      </c>
      <c r="D1271" s="8">
        <v>0.93741816282272294</v>
      </c>
      <c r="E1271" s="8">
        <v>4.0000000000000001E-3</v>
      </c>
      <c r="F1271">
        <v>2.08516835956955</v>
      </c>
      <c r="G1271">
        <f t="shared" si="99"/>
        <v>2.2243737557748604</v>
      </c>
      <c r="H1271">
        <f t="shared" si="101"/>
        <v>-4.0505085550852638E-2</v>
      </c>
      <c r="I1271">
        <f t="shared" si="100"/>
        <v>0</v>
      </c>
      <c r="J1271">
        <f t="shared" si="102"/>
        <v>2</v>
      </c>
      <c r="K1271">
        <v>3.3298520535230601E-2</v>
      </c>
      <c r="L1271">
        <v>3.0350685119629002E-3</v>
      </c>
      <c r="M1271">
        <v>1.9030552625656099E-2</v>
      </c>
      <c r="N1271">
        <v>5.8769956231116997E-3</v>
      </c>
      <c r="O1271">
        <f t="shared" si="103"/>
        <v>-7.0015303790567417E-4</v>
      </c>
    </row>
    <row r="1272" spans="1:15" x14ac:dyDescent="0.35">
      <c r="A1272" t="s">
        <v>89</v>
      </c>
      <c r="B1272">
        <v>2016</v>
      </c>
      <c r="C1272">
        <v>472281.71875</v>
      </c>
      <c r="D1272" s="8">
        <v>0.94227379560470603</v>
      </c>
      <c r="E1272" s="8">
        <v>8.0000000000000002E-3</v>
      </c>
      <c r="F1272">
        <v>2.1365032073693402</v>
      </c>
      <c r="G1272">
        <f t="shared" si="99"/>
        <v>2.2673910888058129</v>
      </c>
      <c r="H1272">
        <f t="shared" si="101"/>
        <v>1.9339075962064411E-2</v>
      </c>
      <c r="I1272">
        <f t="shared" si="100"/>
        <v>1</v>
      </c>
      <c r="J1272">
        <f t="shared" si="102"/>
        <v>3</v>
      </c>
      <c r="K1272">
        <v>1.9030552625656099E-2</v>
      </c>
      <c r="L1272">
        <v>5.8769956231116997E-3</v>
      </c>
      <c r="M1272">
        <v>-5.7568429410460105E-4</v>
      </c>
      <c r="N1272">
        <v>-3.3652577549218902E-3</v>
      </c>
      <c r="O1272">
        <f t="shared" si="103"/>
        <v>-4.2133998125791338E-3</v>
      </c>
    </row>
    <row r="1273" spans="1:15" x14ac:dyDescent="0.35">
      <c r="A1273" t="s">
        <v>89</v>
      </c>
      <c r="B1273">
        <v>2017</v>
      </c>
      <c r="C1273">
        <v>474021.21875</v>
      </c>
      <c r="D1273" s="8">
        <v>0.94035154581069902</v>
      </c>
      <c r="E1273" s="8">
        <v>7.0000000000000001E-3</v>
      </c>
      <c r="F1273">
        <v>2.0862055730405999</v>
      </c>
      <c r="G1273">
        <f t="shared" si="99"/>
        <v>2.2185379311968201</v>
      </c>
      <c r="H1273">
        <f t="shared" si="101"/>
        <v>-2.1545977599622068E-2</v>
      </c>
      <c r="I1273">
        <f t="shared" si="100"/>
        <v>0</v>
      </c>
      <c r="J1273">
        <f t="shared" si="102"/>
        <v>2</v>
      </c>
      <c r="K1273">
        <v>-5.7568429410460105E-4</v>
      </c>
      <c r="L1273">
        <v>-3.3652577549218902E-3</v>
      </c>
      <c r="M1273">
        <v>6.5204913020134002E-3</v>
      </c>
      <c r="N1273">
        <v>-2.6145316660403902E-3</v>
      </c>
      <c r="O1273">
        <f t="shared" si="103"/>
        <v>-1.4604248106479356E-3</v>
      </c>
    </row>
    <row r="1274" spans="1:15" x14ac:dyDescent="0.35">
      <c r="A1274" t="s">
        <v>89</v>
      </c>
      <c r="B1274">
        <v>2018</v>
      </c>
      <c r="C1274">
        <v>473832.5</v>
      </c>
      <c r="D1274" s="8">
        <v>0.93177473545074496</v>
      </c>
      <c r="E1274" s="8">
        <v>2.4E-2</v>
      </c>
      <c r="F1274">
        <v>2.12327097036379</v>
      </c>
      <c r="G1274">
        <f t="shared" si="99"/>
        <v>2.2787385079041234</v>
      </c>
      <c r="H1274">
        <f t="shared" si="101"/>
        <v>2.7135247885902603E-2</v>
      </c>
      <c r="I1274">
        <f t="shared" si="100"/>
        <v>1</v>
      </c>
      <c r="J1274">
        <f t="shared" si="102"/>
        <v>2</v>
      </c>
      <c r="K1274">
        <v>6.5204913020134002E-3</v>
      </c>
      <c r="L1274">
        <v>-2.6145316660403902E-3</v>
      </c>
      <c r="M1274">
        <v>1.5462613821029699E-2</v>
      </c>
      <c r="N1274">
        <v>-2.3385807871818E-3</v>
      </c>
      <c r="O1274">
        <f t="shared" si="103"/>
        <v>1.0060809552669618E-3</v>
      </c>
    </row>
    <row r="1275" spans="1:15" x14ac:dyDescent="0.35">
      <c r="A1275" t="s">
        <v>89</v>
      </c>
      <c r="B1275">
        <v>2019</v>
      </c>
      <c r="C1275">
        <v>473743</v>
      </c>
      <c r="D1275" s="8">
        <v>0.94098705053329501</v>
      </c>
      <c r="E1275" s="8">
        <v>0</v>
      </c>
      <c r="F1275">
        <v>2.0115190901705899</v>
      </c>
      <c r="G1275">
        <f t="shared" si="99"/>
        <v>2.1376692580738297</v>
      </c>
      <c r="H1275">
        <f t="shared" si="101"/>
        <v>-6.190673012325687E-2</v>
      </c>
      <c r="I1275">
        <f t="shared" si="100"/>
        <v>0</v>
      </c>
      <c r="J1275" t="str">
        <f t="shared" si="102"/>
        <v/>
      </c>
      <c r="K1275">
        <v>1.5462613821029699E-2</v>
      </c>
      <c r="L1275">
        <v>-2.3385807871818E-3</v>
      </c>
      <c r="M1275">
        <v>1.7789799824357001E-2</v>
      </c>
      <c r="N1275">
        <v>-1.0593906044959901E-3</v>
      </c>
      <c r="O1275">
        <f t="shared" si="103"/>
        <v>1.066418178379542E-3</v>
      </c>
    </row>
    <row r="1276" spans="1:15" x14ac:dyDescent="0.35">
      <c r="A1276" t="s">
        <v>89</v>
      </c>
      <c r="B1276">
        <v>2020</v>
      </c>
      <c r="C1276">
        <v>470021.6875</v>
      </c>
      <c r="D1276" s="8">
        <v>0.93237179517746005</v>
      </c>
      <c r="E1276" s="8">
        <v>2.4E-2</v>
      </c>
      <c r="F1276">
        <v>1.9036114211644399</v>
      </c>
      <c r="G1276">
        <f t="shared" si="99"/>
        <v>2.0416870512498955</v>
      </c>
      <c r="H1276">
        <f t="shared" si="101"/>
        <v>-4.4900400967743725E-2</v>
      </c>
      <c r="I1276">
        <f t="shared" si="100"/>
        <v>0</v>
      </c>
      <c r="J1276" t="str">
        <f t="shared" si="102"/>
        <v/>
      </c>
      <c r="K1276">
        <v>1.7789799824357001E-2</v>
      </c>
      <c r="L1276">
        <v>-1.0593906044959901E-3</v>
      </c>
      <c r="M1276">
        <v>3.1900374472141203E-2</v>
      </c>
      <c r="N1276">
        <v>-1.16892382502556E-2</v>
      </c>
      <c r="O1276">
        <f t="shared" si="103"/>
        <v>-3.1863152049481603E-3</v>
      </c>
    </row>
    <row r="1277" spans="1:15" x14ac:dyDescent="0.35">
      <c r="A1277" t="s">
        <v>89</v>
      </c>
      <c r="B1277">
        <v>2021</v>
      </c>
      <c r="C1277">
        <v>463252.09375</v>
      </c>
      <c r="D1277" s="8">
        <v>0.949718177318573</v>
      </c>
      <c r="E1277" s="8">
        <v>1.0999999999999999E-2</v>
      </c>
      <c r="F1277">
        <v>1.8272994814780199</v>
      </c>
      <c r="G1277">
        <f t="shared" si="99"/>
        <v>1.924043916519744</v>
      </c>
      <c r="H1277">
        <f t="shared" si="101"/>
        <v>-5.762055191471771E-2</v>
      </c>
      <c r="I1277">
        <f t="shared" si="100"/>
        <v>0</v>
      </c>
      <c r="J1277" t="str">
        <f t="shared" si="102"/>
        <v/>
      </c>
      <c r="K1277">
        <v>3.1900374472141203E-2</v>
      </c>
      <c r="L1277">
        <v>-1.16892382502556E-2</v>
      </c>
      <c r="M1277">
        <v>-2.1703889518976199E-2</v>
      </c>
      <c r="N1277">
        <v>1.03996172547341E-2</v>
      </c>
      <c r="O1277">
        <f t="shared" si="103"/>
        <v>-1.0614828299730979E-2</v>
      </c>
    </row>
    <row r="1278" spans="1:15" x14ac:dyDescent="0.35">
      <c r="A1278" t="s">
        <v>89</v>
      </c>
      <c r="B1278">
        <v>2022</v>
      </c>
      <c r="C1278">
        <v>474096.71875</v>
      </c>
      <c r="D1278" s="8">
        <v>0.94255834817886397</v>
      </c>
      <c r="E1278" s="8">
        <v>6.0000000000000001E-3</v>
      </c>
      <c r="F1278">
        <v>1.9328901351649299</v>
      </c>
      <c r="G1278">
        <f t="shared" si="99"/>
        <v>2.0506848609420372</v>
      </c>
      <c r="H1278">
        <f t="shared" si="101"/>
        <v>6.5820194297521173E-2</v>
      </c>
      <c r="I1278">
        <f t="shared" si="100"/>
        <v>1</v>
      </c>
      <c r="J1278" t="str">
        <f t="shared" si="102"/>
        <v/>
      </c>
      <c r="K1278">
        <v>-2.1703889518976199E-2</v>
      </c>
      <c r="L1278">
        <v>1.0878320783376701E-2</v>
      </c>
      <c r="M1278">
        <v>-9.8409306108952002E-3</v>
      </c>
      <c r="N1278">
        <v>9.7179971635341002E-3</v>
      </c>
      <c r="O1278">
        <f t="shared" si="103"/>
        <v>-1.8276847200468162E-2</v>
      </c>
    </row>
    <row r="1279" spans="1:15" x14ac:dyDescent="0.35">
      <c r="A1279" t="s">
        <v>90</v>
      </c>
      <c r="B1279">
        <v>2006</v>
      </c>
      <c r="C1279">
        <v>1819682</v>
      </c>
      <c r="D1279" s="8">
        <v>0.93433851003646895</v>
      </c>
      <c r="E1279" s="8">
        <v>8.0000000000000002E-3</v>
      </c>
      <c r="F1279">
        <v>2.4966216216216202</v>
      </c>
      <c r="G1279">
        <f t="shared" si="99"/>
        <v>2.6720739804722085</v>
      </c>
      <c r="H1279">
        <f t="shared" si="101"/>
        <v>0.30301541273617216</v>
      </c>
      <c r="I1279">
        <f t="shared" si="100"/>
        <v>1</v>
      </c>
      <c r="J1279" t="str">
        <f t="shared" si="102"/>
        <v/>
      </c>
      <c r="K1279">
        <v>1.50584668219089E-2</v>
      </c>
      <c r="L1279">
        <v>8.6954273283481997E-3</v>
      </c>
      <c r="M1279">
        <v>-2.9586506038904001E-3</v>
      </c>
      <c r="N1279">
        <v>-2.0368946716188998E-3</v>
      </c>
      <c r="O1279" t="str">
        <f t="shared" si="103"/>
        <v/>
      </c>
    </row>
    <row r="1280" spans="1:15" x14ac:dyDescent="0.35">
      <c r="A1280" t="s">
        <v>90</v>
      </c>
      <c r="B1280">
        <v>2007</v>
      </c>
      <c r="C1280">
        <v>1878938</v>
      </c>
      <c r="D1280" s="8">
        <v>0.91445553302764904</v>
      </c>
      <c r="E1280" s="8">
        <v>3.2000000000000001E-2</v>
      </c>
      <c r="F1280">
        <v>2.53856702091189</v>
      </c>
      <c r="G1280">
        <f t="shared" si="99"/>
        <v>2.7760420591551442</v>
      </c>
      <c r="H1280">
        <f t="shared" si="101"/>
        <v>3.8909131799023999E-2</v>
      </c>
      <c r="I1280">
        <f t="shared" si="100"/>
        <v>1</v>
      </c>
      <c r="J1280" t="str">
        <f t="shared" si="102"/>
        <v/>
      </c>
      <c r="K1280">
        <v>-2.9586506038904001E-3</v>
      </c>
      <c r="L1280">
        <v>-2.0368946716188998E-3</v>
      </c>
      <c r="M1280">
        <v>-5.1833861798047998E-2</v>
      </c>
      <c r="N1280">
        <v>-2.23230575211345E-2</v>
      </c>
      <c r="O1280" t="str">
        <f t="shared" si="103"/>
        <v/>
      </c>
    </row>
    <row r="1281" spans="1:15" x14ac:dyDescent="0.35">
      <c r="A1281" t="s">
        <v>90</v>
      </c>
      <c r="B1281">
        <v>2008</v>
      </c>
      <c r="C1281">
        <v>1919195</v>
      </c>
      <c r="D1281" s="8">
        <v>0.90620219707489003</v>
      </c>
      <c r="E1281" s="8">
        <v>2.1999999999999999E-2</v>
      </c>
      <c r="F1281">
        <v>2.5416184890572899</v>
      </c>
      <c r="G1281">
        <f t="shared" si="99"/>
        <v>2.8046924817235315</v>
      </c>
      <c r="H1281">
        <f t="shared" si="101"/>
        <v>1.0320601042012489E-2</v>
      </c>
      <c r="I1281">
        <f t="shared" si="100"/>
        <v>1</v>
      </c>
      <c r="J1281" t="str">
        <f t="shared" si="102"/>
        <v/>
      </c>
      <c r="K1281">
        <v>-5.1833861798047998E-2</v>
      </c>
      <c r="L1281">
        <v>-2.23230575211345E-2</v>
      </c>
      <c r="M1281">
        <v>-7.5398505389690396E-2</v>
      </c>
      <c r="N1281">
        <v>-4.8831803724169703E-2</v>
      </c>
      <c r="O1281" t="str">
        <f t="shared" si="103"/>
        <v/>
      </c>
    </row>
    <row r="1282" spans="1:15" x14ac:dyDescent="0.35">
      <c r="A1282" t="s">
        <v>90</v>
      </c>
      <c r="B1282">
        <v>2009</v>
      </c>
      <c r="C1282">
        <v>1942583</v>
      </c>
      <c r="D1282" s="8">
        <v>0.88794195652008101</v>
      </c>
      <c r="E1282" s="8">
        <v>2.9000000000000001E-2</v>
      </c>
      <c r="F1282">
        <v>2.5620719349541301</v>
      </c>
      <c r="G1282">
        <f t="shared" si="99"/>
        <v>2.8854047453677096</v>
      </c>
      <c r="H1282">
        <f t="shared" si="101"/>
        <v>2.8777580490599419E-2</v>
      </c>
      <c r="I1282">
        <f t="shared" si="100"/>
        <v>1</v>
      </c>
      <c r="J1282" t="str">
        <f t="shared" si="102"/>
        <v/>
      </c>
      <c r="K1282">
        <v>-7.5398505389690396E-2</v>
      </c>
      <c r="L1282">
        <v>-4.8831803724169703E-2</v>
      </c>
      <c r="M1282">
        <v>-3.7370586007833502E-2</v>
      </c>
      <c r="N1282">
        <v>-2.79104772489518E-2</v>
      </c>
      <c r="O1282" t="str">
        <f t="shared" si="103"/>
        <v/>
      </c>
    </row>
    <row r="1283" spans="1:15" x14ac:dyDescent="0.35">
      <c r="A1283" t="s">
        <v>90</v>
      </c>
      <c r="B1283">
        <v>2010</v>
      </c>
      <c r="C1283">
        <v>1953029</v>
      </c>
      <c r="D1283" s="8">
        <v>0.89780646562576305</v>
      </c>
      <c r="E1283" s="8">
        <v>3.0000000000000001E-3</v>
      </c>
      <c r="F1283">
        <v>2.5781124931708699</v>
      </c>
      <c r="G1283">
        <f t="shared" ref="G1283:G1346" si="104">F1283/D1283</f>
        <v>2.871568196352817</v>
      </c>
      <c r="H1283">
        <f t="shared" si="101"/>
        <v>-4.7953580991041411E-3</v>
      </c>
      <c r="I1283">
        <f t="shared" ref="I1283:I1346" si="105">IF(H1283&gt;0,1,0)</f>
        <v>0</v>
      </c>
      <c r="J1283">
        <f t="shared" si="102"/>
        <v>4</v>
      </c>
      <c r="K1283">
        <v>-3.7370586007833502E-2</v>
      </c>
      <c r="L1283">
        <v>-2.79104772489518E-2</v>
      </c>
      <c r="M1283">
        <v>-2.7492273475974799E-2</v>
      </c>
      <c r="N1283">
        <v>-6.2084989622234899E-3</v>
      </c>
      <c r="O1283">
        <f t="shared" si="103"/>
        <v>3.8247192278504463E-3</v>
      </c>
    </row>
    <row r="1284" spans="1:15" x14ac:dyDescent="0.35">
      <c r="A1284" t="s">
        <v>90</v>
      </c>
      <c r="B1284">
        <v>2011</v>
      </c>
      <c r="C1284">
        <v>1962635</v>
      </c>
      <c r="D1284" s="8">
        <v>0.90179151296615601</v>
      </c>
      <c r="E1284" s="8">
        <v>0</v>
      </c>
      <c r="F1284">
        <v>2.5894264054493301</v>
      </c>
      <c r="G1284">
        <f t="shared" si="104"/>
        <v>2.8714246787843862</v>
      </c>
      <c r="H1284">
        <f t="shared" ref="H1284:H1347" si="106">+G1284/G1283-1</f>
        <v>-4.9978812487583291E-5</v>
      </c>
      <c r="I1284">
        <f t="shared" si="105"/>
        <v>0</v>
      </c>
      <c r="J1284">
        <f t="shared" si="102"/>
        <v>3</v>
      </c>
      <c r="K1284">
        <v>-2.7492273475974799E-2</v>
      </c>
      <c r="L1284">
        <v>-6.2084989622234899E-3</v>
      </c>
      <c r="M1284">
        <v>-1.4615630082786E-2</v>
      </c>
      <c r="N1284">
        <v>-9.1774240136146806E-3</v>
      </c>
      <c r="O1284">
        <f t="shared" si="103"/>
        <v>1.0545573011040685E-2</v>
      </c>
    </row>
    <row r="1285" spans="1:15" x14ac:dyDescent="0.35">
      <c r="A1285" t="s">
        <v>90</v>
      </c>
      <c r="B1285">
        <v>2012</v>
      </c>
      <c r="C1285">
        <v>1986332</v>
      </c>
      <c r="D1285" s="8">
        <v>0.90405631065368697</v>
      </c>
      <c r="E1285" s="8">
        <v>3.0000000000000001E-3</v>
      </c>
      <c r="F1285">
        <v>2.6372626336916101</v>
      </c>
      <c r="G1285">
        <f t="shared" si="104"/>
        <v>2.9171442117191915</v>
      </c>
      <c r="H1285">
        <f t="shared" si="106"/>
        <v>1.5922246985131006E-2</v>
      </c>
      <c r="I1285">
        <f t="shared" si="105"/>
        <v>1</v>
      </c>
      <c r="J1285">
        <f t="shared" si="102"/>
        <v>3</v>
      </c>
      <c r="K1285">
        <v>-1.4615630082786E-2</v>
      </c>
      <c r="L1285">
        <v>-9.2630228027701794E-3</v>
      </c>
      <c r="M1285">
        <v>8.0837985873221992E-3</v>
      </c>
      <c r="N1285">
        <v>1.9570272415875998E-3</v>
      </c>
      <c r="O1285">
        <f t="shared" si="103"/>
        <v>1.7607067897915822E-2</v>
      </c>
    </row>
    <row r="1286" spans="1:15" x14ac:dyDescent="0.35">
      <c r="A1286" t="s">
        <v>90</v>
      </c>
      <c r="B1286">
        <v>2013</v>
      </c>
      <c r="C1286">
        <v>2012015</v>
      </c>
      <c r="D1286" s="8">
        <v>0.909076988697052</v>
      </c>
      <c r="E1286" s="8">
        <v>2E-3</v>
      </c>
      <c r="F1286">
        <v>2.5716240942478299</v>
      </c>
      <c r="G1286">
        <f t="shared" si="104"/>
        <v>2.8288298199403861</v>
      </c>
      <c r="H1286">
        <f t="shared" si="106"/>
        <v>-3.0274263241431676E-2</v>
      </c>
      <c r="I1286">
        <f t="shared" si="105"/>
        <v>0</v>
      </c>
      <c r="J1286">
        <f t="shared" si="102"/>
        <v>2</v>
      </c>
      <c r="K1286">
        <v>8.0837985873221992E-3</v>
      </c>
      <c r="L1286">
        <v>1.9570272415875998E-3</v>
      </c>
      <c r="M1286">
        <v>1.0052996516227699E-2</v>
      </c>
      <c r="N1286">
        <v>8.0449730157851999E-3</v>
      </c>
      <c r="O1286">
        <f t="shared" si="103"/>
        <v>2.4476784467697139E-2</v>
      </c>
    </row>
    <row r="1287" spans="1:15" x14ac:dyDescent="0.35">
      <c r="A1287" t="s">
        <v>90</v>
      </c>
      <c r="B1287">
        <v>2014</v>
      </c>
      <c r="C1287">
        <v>2046114</v>
      </c>
      <c r="D1287" s="8">
        <v>0.92116057872772195</v>
      </c>
      <c r="E1287" s="8">
        <v>7.0000000000000001E-3</v>
      </c>
      <c r="F1287">
        <v>2.4673847448524802</v>
      </c>
      <c r="G1287">
        <f t="shared" si="104"/>
        <v>2.6785609391365339</v>
      </c>
      <c r="H1287">
        <f t="shared" si="106"/>
        <v>-5.3120509316116782E-2</v>
      </c>
      <c r="I1287">
        <f t="shared" si="105"/>
        <v>0</v>
      </c>
      <c r="J1287">
        <f t="shared" ref="J1287:J1350" si="107">IF(AND(B1287&gt;=2010,B1287&lt;=2018),SUM(I1283:I1287),"")</f>
        <v>1</v>
      </c>
      <c r="K1287">
        <v>1.0052996516227699E-2</v>
      </c>
      <c r="L1287">
        <v>8.0449730157851999E-3</v>
      </c>
      <c r="M1287">
        <v>5.4770970880985301E-2</v>
      </c>
      <c r="N1287">
        <v>2.4507518857717601E-2</v>
      </c>
      <c r="O1287">
        <f t="shared" ref="O1287:O1350" si="108">IF(B1287&gt;=2010,AVERAGE(N1287:N1291),"")</f>
        <v>2.7732542902231198E-2</v>
      </c>
    </row>
    <row r="1288" spans="1:15" x14ac:dyDescent="0.35">
      <c r="A1288" t="s">
        <v>90</v>
      </c>
      <c r="B1288">
        <v>2015</v>
      </c>
      <c r="C1288">
        <v>2085304.875</v>
      </c>
      <c r="D1288" s="8">
        <v>0.93024015426635698</v>
      </c>
      <c r="E1288" s="8">
        <v>1.4999999999999999E-2</v>
      </c>
      <c r="F1288">
        <v>2.4814812758361202</v>
      </c>
      <c r="G1288">
        <f t="shared" si="104"/>
        <v>2.667570588578994</v>
      </c>
      <c r="H1288">
        <f t="shared" si="106"/>
        <v>-4.1030802760391172E-3</v>
      </c>
      <c r="I1288">
        <f t="shared" si="105"/>
        <v>0</v>
      </c>
      <c r="J1288">
        <f t="shared" si="107"/>
        <v>1</v>
      </c>
      <c r="K1288">
        <v>5.4770970880985301E-2</v>
      </c>
      <c r="L1288">
        <v>2.4507518857717601E-2</v>
      </c>
      <c r="M1288">
        <v>4.05493269562721E-2</v>
      </c>
      <c r="N1288">
        <v>2.7395769953727701E-2</v>
      </c>
      <c r="O1288">
        <f t="shared" si="108"/>
        <v>2.6731434091925597E-2</v>
      </c>
    </row>
    <row r="1289" spans="1:15" x14ac:dyDescent="0.35">
      <c r="A1289" t="s">
        <v>90</v>
      </c>
      <c r="B1289">
        <v>2016</v>
      </c>
      <c r="C1289">
        <v>2123796</v>
      </c>
      <c r="D1289" s="8">
        <v>0.93095463514328003</v>
      </c>
      <c r="E1289" s="8">
        <v>1.7999999999999999E-2</v>
      </c>
      <c r="F1289">
        <v>2.48244781123217</v>
      </c>
      <c r="G1289">
        <f t="shared" si="104"/>
        <v>2.6665615246118892</v>
      </c>
      <c r="H1289">
        <f t="shared" si="106"/>
        <v>-3.7827076495178247E-4</v>
      </c>
      <c r="I1289">
        <f t="shared" si="105"/>
        <v>0</v>
      </c>
      <c r="J1289">
        <f t="shared" si="107"/>
        <v>1</v>
      </c>
      <c r="K1289">
        <v>4.05493269562721E-2</v>
      </c>
      <c r="L1289">
        <v>2.7395769953727701E-2</v>
      </c>
      <c r="M1289">
        <v>2.8919623881578298E-2</v>
      </c>
      <c r="N1289">
        <v>2.6130050420761001E-2</v>
      </c>
      <c r="O1289">
        <f t="shared" si="108"/>
        <v>4.2992606386542259E-2</v>
      </c>
    </row>
    <row r="1290" spans="1:15" x14ac:dyDescent="0.35">
      <c r="A1290" t="s">
        <v>90</v>
      </c>
      <c r="B1290">
        <v>2017</v>
      </c>
      <c r="C1290">
        <v>2163224</v>
      </c>
      <c r="D1290" s="8">
        <v>0.92957568168640103</v>
      </c>
      <c r="E1290" s="8">
        <v>2.1999999999999999E-2</v>
      </c>
      <c r="F1290">
        <v>2.4873317984710899</v>
      </c>
      <c r="G1290">
        <f t="shared" si="104"/>
        <v>2.6757711582543409</v>
      </c>
      <c r="H1290">
        <f t="shared" si="106"/>
        <v>3.4537487912611464E-3</v>
      </c>
      <c r="I1290">
        <f t="shared" si="105"/>
        <v>1</v>
      </c>
      <c r="J1290">
        <f t="shared" si="107"/>
        <v>1</v>
      </c>
      <c r="K1290">
        <v>2.8919623881578298E-2</v>
      </c>
      <c r="L1290">
        <v>2.6130050420761001E-2</v>
      </c>
      <c r="M1290">
        <v>4.5440633058548001E-2</v>
      </c>
      <c r="N1290">
        <v>3.6305610090494198E-2</v>
      </c>
      <c r="O1290">
        <f t="shared" si="108"/>
        <v>2.689463598653672E-2</v>
      </c>
    </row>
    <row r="1291" spans="1:15" x14ac:dyDescent="0.35">
      <c r="A1291" t="s">
        <v>90</v>
      </c>
      <c r="B1291">
        <v>2018</v>
      </c>
      <c r="C1291">
        <v>2204967</v>
      </c>
      <c r="D1291" s="8">
        <v>0.93485343456268299</v>
      </c>
      <c r="E1291" s="8">
        <v>1.6E-2</v>
      </c>
      <c r="F1291">
        <v>2.3756176942843101</v>
      </c>
      <c r="G1291">
        <f t="shared" si="104"/>
        <v>2.5411659266092395</v>
      </c>
      <c r="H1291">
        <f t="shared" si="106"/>
        <v>-5.0305210604376649E-2</v>
      </c>
      <c r="I1291">
        <f t="shared" si="105"/>
        <v>0</v>
      </c>
      <c r="J1291">
        <f t="shared" si="107"/>
        <v>1</v>
      </c>
      <c r="K1291">
        <v>4.5440633058548001E-2</v>
      </c>
      <c r="L1291">
        <v>3.6305610090494198E-2</v>
      </c>
      <c r="M1291">
        <v>4.2124959796667097E-2</v>
      </c>
      <c r="N1291">
        <v>2.4323765188455498E-2</v>
      </c>
      <c r="O1291">
        <f t="shared" si="108"/>
        <v>1.3456022273749077E-2</v>
      </c>
    </row>
    <row r="1292" spans="1:15" x14ac:dyDescent="0.35">
      <c r="A1292" t="s">
        <v>90</v>
      </c>
      <c r="B1292">
        <v>2019</v>
      </c>
      <c r="C1292">
        <v>2246692</v>
      </c>
      <c r="D1292" s="8">
        <v>0.92581278085708596</v>
      </c>
      <c r="E1292" s="8">
        <v>1.7000000000000001E-2</v>
      </c>
      <c r="F1292">
        <v>2.4022686059588501</v>
      </c>
      <c r="G1292">
        <f t="shared" si="104"/>
        <v>2.5947671663539915</v>
      </c>
      <c r="H1292">
        <f t="shared" si="106"/>
        <v>2.1093167975958949E-2</v>
      </c>
      <c r="I1292">
        <f t="shared" si="105"/>
        <v>1</v>
      </c>
      <c r="J1292" t="str">
        <f t="shared" si="107"/>
        <v/>
      </c>
      <c r="K1292">
        <v>4.2124959796667097E-2</v>
      </c>
      <c r="L1292">
        <v>2.4323765188455498E-2</v>
      </c>
      <c r="M1292">
        <v>3.8351165235042603E-2</v>
      </c>
      <c r="N1292">
        <v>1.9501974806189599E-2</v>
      </c>
      <c r="O1292">
        <f t="shared" si="108"/>
        <v>9.4095089472830164E-3</v>
      </c>
    </row>
    <row r="1293" spans="1:15" x14ac:dyDescent="0.35">
      <c r="A1293" t="s">
        <v>90</v>
      </c>
      <c r="B1293">
        <v>2020</v>
      </c>
      <c r="C1293">
        <v>2281069</v>
      </c>
      <c r="D1293" s="8">
        <v>0.93908560276031505</v>
      </c>
      <c r="E1293" s="8">
        <v>2.1999999999999999E-2</v>
      </c>
      <c r="F1293">
        <v>2.46185631484314</v>
      </c>
      <c r="G1293">
        <f t="shared" si="104"/>
        <v>2.6215462228436328</v>
      </c>
      <c r="H1293">
        <f t="shared" si="106"/>
        <v>1.0320408257388891E-2</v>
      </c>
      <c r="I1293">
        <f t="shared" si="105"/>
        <v>1</v>
      </c>
      <c r="J1293" t="str">
        <f t="shared" si="107"/>
        <v/>
      </c>
      <c r="K1293">
        <v>3.8351165235042603E-2</v>
      </c>
      <c r="L1293">
        <v>1.9501974806189599E-2</v>
      </c>
      <c r="M1293">
        <v>0.152291244149208</v>
      </c>
      <c r="N1293">
        <v>0.108701631426811</v>
      </c>
      <c r="O1293">
        <f t="shared" si="108"/>
        <v>5.0072477199136975E-3</v>
      </c>
    </row>
    <row r="1294" spans="1:15" x14ac:dyDescent="0.35">
      <c r="A1294" t="s">
        <v>90</v>
      </c>
      <c r="B1294">
        <v>2021</v>
      </c>
      <c r="C1294">
        <v>2302467</v>
      </c>
      <c r="D1294" s="8">
        <v>0.94300377368927002</v>
      </c>
      <c r="E1294" s="8">
        <v>1.7000000000000001E-2</v>
      </c>
      <c r="F1294">
        <v>2.42457771553876</v>
      </c>
      <c r="G1294">
        <f t="shared" si="104"/>
        <v>2.5711219649240604</v>
      </c>
      <c r="H1294">
        <f t="shared" si="106"/>
        <v>-1.9234548481421143E-2</v>
      </c>
      <c r="I1294">
        <f t="shared" si="105"/>
        <v>0</v>
      </c>
      <c r="J1294" t="str">
        <f t="shared" si="107"/>
        <v/>
      </c>
      <c r="K1294">
        <v>0.152291244149208</v>
      </c>
      <c r="L1294">
        <v>0.108701631426811</v>
      </c>
      <c r="M1294">
        <v>-8.6463308352976997E-2</v>
      </c>
      <c r="N1294">
        <v>-5.4359801579266703E-2</v>
      </c>
      <c r="O1294">
        <f t="shared" si="108"/>
        <v>-1.6141206305474033E-2</v>
      </c>
    </row>
    <row r="1295" spans="1:15" x14ac:dyDescent="0.35">
      <c r="A1295" t="s">
        <v>90</v>
      </c>
      <c r="B1295">
        <v>2022</v>
      </c>
      <c r="C1295">
        <v>2329620</v>
      </c>
      <c r="D1295" s="8">
        <v>0.91366267204284701</v>
      </c>
      <c r="E1295" s="8">
        <v>1.4999999999999999E-2</v>
      </c>
      <c r="F1295">
        <v>2.4819393932658498</v>
      </c>
      <c r="G1295">
        <f t="shared" si="104"/>
        <v>2.7164723581368517</v>
      </c>
      <c r="H1295">
        <f t="shared" si="106"/>
        <v>5.6531893545191725E-2</v>
      </c>
      <c r="I1295">
        <f t="shared" si="105"/>
        <v>1</v>
      </c>
      <c r="J1295" t="str">
        <f t="shared" si="107"/>
        <v/>
      </c>
      <c r="K1295">
        <v>-8.6463308352976997E-2</v>
      </c>
      <c r="L1295">
        <v>-5.3881098050624097E-2</v>
      </c>
      <c r="M1295">
        <v>-5.0446386247873301E-2</v>
      </c>
      <c r="N1295">
        <v>-3.0887458473443999E-2</v>
      </c>
      <c r="O1295">
        <f t="shared" si="108"/>
        <v>-3.7299438845366352E-3</v>
      </c>
    </row>
    <row r="1296" spans="1:15" x14ac:dyDescent="0.35">
      <c r="A1296" t="s">
        <v>91</v>
      </c>
      <c r="B1296">
        <v>2006</v>
      </c>
      <c r="C1296">
        <v>800788.875</v>
      </c>
      <c r="D1296" s="8">
        <v>0.957100629806519</v>
      </c>
      <c r="E1296" s="8">
        <v>0.01</v>
      </c>
      <c r="F1296">
        <v>2.2389896533756701</v>
      </c>
      <c r="G1296">
        <f t="shared" si="104"/>
        <v>2.3393461289731774</v>
      </c>
      <c r="H1296">
        <f t="shared" si="106"/>
        <v>-0.13882940057683268</v>
      </c>
      <c r="I1296">
        <f t="shared" si="105"/>
        <v>0</v>
      </c>
      <c r="J1296" t="str">
        <f t="shared" si="107"/>
        <v/>
      </c>
      <c r="K1296">
        <v>-5.9282749891302597E-5</v>
      </c>
      <c r="L1296">
        <v>-6.4223222434520999E-3</v>
      </c>
      <c r="M1296">
        <v>3.1694426238536898E-3</v>
      </c>
      <c r="N1296">
        <v>4.0911985561251901E-3</v>
      </c>
      <c r="O1296" t="str">
        <f t="shared" si="108"/>
        <v/>
      </c>
    </row>
    <row r="1297" spans="1:15" x14ac:dyDescent="0.35">
      <c r="A1297" t="s">
        <v>91</v>
      </c>
      <c r="B1297">
        <v>2007</v>
      </c>
      <c r="C1297">
        <v>809190.625</v>
      </c>
      <c r="D1297" s="8">
        <v>0.95619881153106701</v>
      </c>
      <c r="E1297" s="8">
        <v>1E-3</v>
      </c>
      <c r="F1297">
        <v>2.2710246311210298</v>
      </c>
      <c r="G1297">
        <f t="shared" si="104"/>
        <v>2.3750548565153116</v>
      </c>
      <c r="H1297">
        <f t="shared" si="106"/>
        <v>1.5264405339541653E-2</v>
      </c>
      <c r="I1297">
        <f t="shared" si="105"/>
        <v>1</v>
      </c>
      <c r="J1297" t="str">
        <f t="shared" si="107"/>
        <v/>
      </c>
      <c r="K1297">
        <v>3.1694426238536898E-3</v>
      </c>
      <c r="L1297">
        <v>4.0911985561251901E-3</v>
      </c>
      <c r="M1297">
        <v>-3.2020135607570402E-2</v>
      </c>
      <c r="N1297">
        <v>-2.5093313306570001E-3</v>
      </c>
      <c r="O1297" t="str">
        <f t="shared" si="108"/>
        <v/>
      </c>
    </row>
    <row r="1298" spans="1:15" x14ac:dyDescent="0.35">
      <c r="A1298" t="s">
        <v>91</v>
      </c>
      <c r="B1298">
        <v>2008</v>
      </c>
      <c r="C1298">
        <v>815016.8125</v>
      </c>
      <c r="D1298" s="8">
        <v>0.94932675361633301</v>
      </c>
      <c r="E1298" s="8">
        <v>1.6E-2</v>
      </c>
      <c r="F1298">
        <v>2.2224711907810502</v>
      </c>
      <c r="G1298">
        <f t="shared" si="104"/>
        <v>2.3411024521481609</v>
      </c>
      <c r="H1298">
        <f t="shared" si="106"/>
        <v>-1.4295419019064615E-2</v>
      </c>
      <c r="I1298">
        <f t="shared" si="105"/>
        <v>0</v>
      </c>
      <c r="J1298" t="str">
        <f t="shared" si="107"/>
        <v/>
      </c>
      <c r="K1298">
        <v>-3.2020135607570402E-2</v>
      </c>
      <c r="L1298">
        <v>-2.5093313306570001E-3</v>
      </c>
      <c r="M1298">
        <v>-2.3607340365648301E-2</v>
      </c>
      <c r="N1298">
        <v>2.9593612998723498E-3</v>
      </c>
      <c r="O1298" t="str">
        <f t="shared" si="108"/>
        <v/>
      </c>
    </row>
    <row r="1299" spans="1:15" x14ac:dyDescent="0.35">
      <c r="A1299" t="s">
        <v>91</v>
      </c>
      <c r="B1299">
        <v>2009</v>
      </c>
      <c r="C1299">
        <v>818927.4375</v>
      </c>
      <c r="D1299" s="8">
        <v>0.945309698581696</v>
      </c>
      <c r="E1299" s="8">
        <v>1.2999999999999999E-2</v>
      </c>
      <c r="F1299">
        <v>2.22601215899491</v>
      </c>
      <c r="G1299">
        <f t="shared" si="104"/>
        <v>2.354796700313905</v>
      </c>
      <c r="H1299">
        <f t="shared" si="106"/>
        <v>5.8494869172336372E-3</v>
      </c>
      <c r="I1299">
        <f t="shared" si="105"/>
        <v>1</v>
      </c>
      <c r="J1299" t="str">
        <f t="shared" si="107"/>
        <v/>
      </c>
      <c r="K1299">
        <v>-2.3607340365648301E-2</v>
      </c>
      <c r="L1299">
        <v>2.9593612998723498E-3</v>
      </c>
      <c r="M1299">
        <v>-1.7635982334614001E-3</v>
      </c>
      <c r="N1299">
        <v>7.6965105254202804E-3</v>
      </c>
      <c r="O1299" t="str">
        <f t="shared" si="108"/>
        <v/>
      </c>
    </row>
    <row r="1300" spans="1:15" x14ac:dyDescent="0.35">
      <c r="A1300" t="s">
        <v>91</v>
      </c>
      <c r="B1300">
        <v>2010</v>
      </c>
      <c r="C1300">
        <v>823360.5</v>
      </c>
      <c r="D1300" s="8">
        <v>0.94228219985961903</v>
      </c>
      <c r="E1300" s="8">
        <v>2.1000000000000001E-2</v>
      </c>
      <c r="F1300">
        <v>2.25594292919858</v>
      </c>
      <c r="G1300">
        <f t="shared" si="104"/>
        <v>2.3941266528590583</v>
      </c>
      <c r="H1300">
        <f t="shared" si="106"/>
        <v>1.6702058627783289E-2</v>
      </c>
      <c r="I1300">
        <f t="shared" si="105"/>
        <v>1</v>
      </c>
      <c r="J1300">
        <f t="shared" si="107"/>
        <v>3</v>
      </c>
      <c r="K1300">
        <v>-1.7635982334614001E-3</v>
      </c>
      <c r="L1300">
        <v>7.6965105254202804E-3</v>
      </c>
      <c r="M1300">
        <v>-2.1744883961975599E-2</v>
      </c>
      <c r="N1300">
        <v>-4.6110944822430199E-4</v>
      </c>
      <c r="O1300">
        <f t="shared" si="108"/>
        <v>-2.3191207088530015E-3</v>
      </c>
    </row>
    <row r="1301" spans="1:15" x14ac:dyDescent="0.35">
      <c r="A1301" t="s">
        <v>91</v>
      </c>
      <c r="B1301">
        <v>2011</v>
      </c>
      <c r="C1301">
        <v>827474.1875</v>
      </c>
      <c r="D1301" s="8">
        <v>0.94374346733093295</v>
      </c>
      <c r="E1301" s="8">
        <v>0.01</v>
      </c>
      <c r="F1301">
        <v>2.2615854483162701</v>
      </c>
      <c r="G1301">
        <f t="shared" si="104"/>
        <v>2.3963985199414606</v>
      </c>
      <c r="H1301">
        <f t="shared" si="106"/>
        <v>9.4893354104264027E-4</v>
      </c>
      <c r="I1301">
        <f t="shared" si="105"/>
        <v>1</v>
      </c>
      <c r="J1301">
        <f t="shared" si="107"/>
        <v>4</v>
      </c>
      <c r="K1301">
        <v>-2.1744883961975599E-2</v>
      </c>
      <c r="L1301">
        <v>-4.6110944822430199E-4</v>
      </c>
      <c r="M1301">
        <v>-5.6003931015730004E-3</v>
      </c>
      <c r="N1301">
        <v>-1.6218703240160101E-4</v>
      </c>
      <c r="O1301">
        <f t="shared" si="108"/>
        <v>-1.8105145543813616E-3</v>
      </c>
    </row>
    <row r="1302" spans="1:15" x14ac:dyDescent="0.35">
      <c r="A1302" t="s">
        <v>91</v>
      </c>
      <c r="B1302">
        <v>2012</v>
      </c>
      <c r="C1302">
        <v>830026.5</v>
      </c>
      <c r="D1302" s="8">
        <v>0.94435399770736705</v>
      </c>
      <c r="E1302" s="8">
        <v>-2E-3</v>
      </c>
      <c r="F1302">
        <v>2.2357901607588402</v>
      </c>
      <c r="G1302">
        <f t="shared" si="104"/>
        <v>2.3675339609793853</v>
      </c>
      <c r="H1302">
        <f t="shared" si="106"/>
        <v>-1.2044974457245283E-2</v>
      </c>
      <c r="I1302">
        <f t="shared" si="105"/>
        <v>0</v>
      </c>
      <c r="J1302">
        <f t="shared" si="107"/>
        <v>3</v>
      </c>
      <c r="K1302">
        <v>-5.6003931015730004E-3</v>
      </c>
      <c r="L1302">
        <v>-2.4778582155710001E-4</v>
      </c>
      <c r="M1302">
        <v>-6.6477994993328904E-3</v>
      </c>
      <c r="N1302">
        <v>-1.2774570845067499E-2</v>
      </c>
      <c r="O1302">
        <f t="shared" si="108"/>
        <v>3.4502241760493919E-4</v>
      </c>
    </row>
    <row r="1303" spans="1:15" x14ac:dyDescent="0.35">
      <c r="A1303" t="s">
        <v>91</v>
      </c>
      <c r="B1303">
        <v>2013</v>
      </c>
      <c r="C1303">
        <v>831915.5625</v>
      </c>
      <c r="D1303" s="8">
        <v>0.94389456510543801</v>
      </c>
      <c r="E1303" s="8">
        <v>7.0000000000000001E-3</v>
      </c>
      <c r="F1303">
        <v>2.3816314947629098</v>
      </c>
      <c r="G1303">
        <f t="shared" si="104"/>
        <v>2.5231965336052857</v>
      </c>
      <c r="H1303">
        <f t="shared" si="106"/>
        <v>6.5748823540215273E-2</v>
      </c>
      <c r="I1303">
        <f t="shared" si="105"/>
        <v>1</v>
      </c>
      <c r="J1303">
        <f t="shared" si="107"/>
        <v>4</v>
      </c>
      <c r="K1303">
        <v>-6.6477994993328904E-3</v>
      </c>
      <c r="L1303">
        <v>-1.2774570845067499E-2</v>
      </c>
      <c r="M1303">
        <v>3.7373274713754902E-3</v>
      </c>
      <c r="N1303">
        <v>1.72930397093299E-3</v>
      </c>
      <c r="O1303">
        <f t="shared" si="108"/>
        <v>2.811942994594599E-3</v>
      </c>
    </row>
    <row r="1304" spans="1:15" x14ac:dyDescent="0.35">
      <c r="A1304" t="s">
        <v>91</v>
      </c>
      <c r="B1304">
        <v>2014</v>
      </c>
      <c r="C1304">
        <v>836138</v>
      </c>
      <c r="D1304" s="8">
        <v>0.94534343481063798</v>
      </c>
      <c r="E1304" s="8">
        <v>0</v>
      </c>
      <c r="F1304">
        <v>2.3555560230571801</v>
      </c>
      <c r="G1304">
        <f t="shared" si="104"/>
        <v>2.4917463181293709</v>
      </c>
      <c r="H1304">
        <f t="shared" si="106"/>
        <v>-1.2464433529867369E-2</v>
      </c>
      <c r="I1304">
        <f t="shared" si="105"/>
        <v>0</v>
      </c>
      <c r="J1304">
        <f t="shared" si="107"/>
        <v>3</v>
      </c>
      <c r="K1304">
        <v>3.7373274713754902E-3</v>
      </c>
      <c r="L1304">
        <v>1.72930397093299E-3</v>
      </c>
      <c r="M1304">
        <v>3.0336411833763101E-2</v>
      </c>
      <c r="N1304">
        <v>7.2959810495404302E-5</v>
      </c>
      <c r="O1304">
        <f t="shared" si="108"/>
        <v>2.580067142844221E-3</v>
      </c>
    </row>
    <row r="1305" spans="1:15" x14ac:dyDescent="0.35">
      <c r="A1305" t="s">
        <v>91</v>
      </c>
      <c r="B1305">
        <v>2015</v>
      </c>
      <c r="C1305">
        <v>839834.4375</v>
      </c>
      <c r="D1305" s="8">
        <v>0.94074010848999001</v>
      </c>
      <c r="E1305" s="8">
        <v>3.5999999999999997E-2</v>
      </c>
      <c r="F1305">
        <v>2.4254433806003299</v>
      </c>
      <c r="G1305">
        <f t="shared" si="104"/>
        <v>2.5782289483686216</v>
      </c>
      <c r="H1305">
        <f t="shared" si="106"/>
        <v>3.4707638418093767E-2</v>
      </c>
      <c r="I1305">
        <f t="shared" si="105"/>
        <v>1</v>
      </c>
      <c r="J1305">
        <f t="shared" si="107"/>
        <v>3</v>
      </c>
      <c r="K1305">
        <v>3.0336411833763101E-2</v>
      </c>
      <c r="L1305">
        <v>7.2959810495404302E-5</v>
      </c>
      <c r="M1305">
        <v>1.5235478326678299E-2</v>
      </c>
      <c r="N1305">
        <v>2.0819213241338999E-3</v>
      </c>
      <c r="O1305">
        <f t="shared" si="108"/>
        <v>6.8196028470992997E-3</v>
      </c>
    </row>
    <row r="1306" spans="1:15" x14ac:dyDescent="0.35">
      <c r="A1306" t="s">
        <v>91</v>
      </c>
      <c r="B1306">
        <v>2016</v>
      </c>
      <c r="C1306">
        <v>845038.8125</v>
      </c>
      <c r="D1306" s="8">
        <v>0.94565904140472401</v>
      </c>
      <c r="E1306" s="8">
        <v>2.3E-2</v>
      </c>
      <c r="F1306">
        <v>2.4386491042377201</v>
      </c>
      <c r="G1306">
        <f t="shared" si="104"/>
        <v>2.5787826240367164</v>
      </c>
      <c r="H1306">
        <f t="shared" si="106"/>
        <v>2.1475038841889393E-4</v>
      </c>
      <c r="I1306">
        <f t="shared" si="105"/>
        <v>1</v>
      </c>
      <c r="J1306">
        <f t="shared" si="107"/>
        <v>3</v>
      </c>
      <c r="K1306">
        <v>1.5235478326678299E-2</v>
      </c>
      <c r="L1306">
        <v>2.0819213241338999E-3</v>
      </c>
      <c r="M1306">
        <v>1.34050712883472E-2</v>
      </c>
      <c r="N1306">
        <v>1.06154978275299E-2</v>
      </c>
      <c r="O1306">
        <f t="shared" si="108"/>
        <v>8.4187868982553201E-3</v>
      </c>
    </row>
    <row r="1307" spans="1:15" x14ac:dyDescent="0.35">
      <c r="A1307" t="s">
        <v>91</v>
      </c>
      <c r="B1307">
        <v>2017</v>
      </c>
      <c r="C1307">
        <v>851444.5625</v>
      </c>
      <c r="D1307" s="8">
        <v>0.95150077342987105</v>
      </c>
      <c r="E1307" s="8">
        <v>1.9E-2</v>
      </c>
      <c r="F1307">
        <v>2.3023990613710899</v>
      </c>
      <c r="G1307">
        <f t="shared" si="104"/>
        <v>2.4197553230268443</v>
      </c>
      <c r="H1307">
        <f t="shared" si="106"/>
        <v>-6.1667586685122622E-2</v>
      </c>
      <c r="I1307">
        <f t="shared" si="105"/>
        <v>0</v>
      </c>
      <c r="J1307">
        <f t="shared" si="107"/>
        <v>3</v>
      </c>
      <c r="K1307">
        <v>1.34050712883472E-2</v>
      </c>
      <c r="L1307">
        <v>1.06154978275299E-2</v>
      </c>
      <c r="M1307">
        <v>8.6950550079345906E-3</v>
      </c>
      <c r="N1307">
        <v>-4.39967960119198E-4</v>
      </c>
      <c r="O1307">
        <f t="shared" si="108"/>
        <v>7.6326671987771797E-3</v>
      </c>
    </row>
    <row r="1308" spans="1:15" x14ac:dyDescent="0.35">
      <c r="A1308" t="s">
        <v>91</v>
      </c>
      <c r="B1308">
        <v>2018</v>
      </c>
      <c r="C1308">
        <v>856768.6875</v>
      </c>
      <c r="D1308" s="8">
        <v>0.95813882350921598</v>
      </c>
      <c r="E1308" s="8">
        <v>2.4E-2</v>
      </c>
      <c r="F1308">
        <v>2.3744263600617099</v>
      </c>
      <c r="G1308">
        <f t="shared" si="104"/>
        <v>2.4781652739686435</v>
      </c>
      <c r="H1308">
        <f t="shared" si="106"/>
        <v>2.4138783944789521E-2</v>
      </c>
      <c r="I1308">
        <f t="shared" si="105"/>
        <v>1</v>
      </c>
      <c r="J1308">
        <f t="shared" si="107"/>
        <v>3</v>
      </c>
      <c r="K1308">
        <v>8.6950550079345906E-3</v>
      </c>
      <c r="L1308">
        <v>-4.39967960119198E-4</v>
      </c>
      <c r="M1308">
        <v>1.83711193203926E-2</v>
      </c>
      <c r="N1308">
        <v>5.6992471218109803E-4</v>
      </c>
      <c r="O1308">
        <f t="shared" si="108"/>
        <v>8.1113617867231008E-3</v>
      </c>
    </row>
    <row r="1309" spans="1:15" x14ac:dyDescent="0.35">
      <c r="A1309" t="s">
        <v>91</v>
      </c>
      <c r="B1309">
        <v>2019</v>
      </c>
      <c r="C1309">
        <v>859808.75</v>
      </c>
      <c r="D1309" s="8">
        <v>0.95860773324966397</v>
      </c>
      <c r="E1309" s="8">
        <v>1.7999999999999999E-2</v>
      </c>
      <c r="F1309">
        <v>2.32063759526645</v>
      </c>
      <c r="G1309">
        <f t="shared" si="104"/>
        <v>2.420841721565846</v>
      </c>
      <c r="H1309">
        <f t="shared" si="106"/>
        <v>-2.3131448497378471E-2</v>
      </c>
      <c r="I1309">
        <f t="shared" si="105"/>
        <v>0</v>
      </c>
      <c r="J1309" t="str">
        <f t="shared" si="107"/>
        <v/>
      </c>
      <c r="K1309">
        <v>1.83711193203926E-2</v>
      </c>
      <c r="L1309">
        <v>5.6992471218109803E-4</v>
      </c>
      <c r="M1309">
        <v>4.0119828760623803E-2</v>
      </c>
      <c r="N1309">
        <v>2.12706383317708E-2</v>
      </c>
      <c r="O1309">
        <f t="shared" si="108"/>
        <v>6.5681820735335019E-3</v>
      </c>
    </row>
    <row r="1310" spans="1:15" x14ac:dyDescent="0.35">
      <c r="A1310" t="s">
        <v>91</v>
      </c>
      <c r="B1310">
        <v>2020</v>
      </c>
      <c r="C1310">
        <v>863685.125</v>
      </c>
      <c r="D1310" s="8">
        <v>0.97815066576003995</v>
      </c>
      <c r="E1310" s="8">
        <v>1.7000000000000001E-2</v>
      </c>
      <c r="F1310">
        <v>2.2403412385623098</v>
      </c>
      <c r="G1310">
        <f t="shared" si="104"/>
        <v>2.2903846176105458</v>
      </c>
      <c r="H1310">
        <f t="shared" si="106"/>
        <v>-5.388915053517751E-2</v>
      </c>
      <c r="I1310">
        <f t="shared" si="105"/>
        <v>0</v>
      </c>
      <c r="J1310" t="str">
        <f t="shared" si="107"/>
        <v/>
      </c>
      <c r="K1310">
        <v>4.0119828760623803E-2</v>
      </c>
      <c r="L1310">
        <v>2.12706383317708E-2</v>
      </c>
      <c r="M1310">
        <v>5.3667454302310999E-2</v>
      </c>
      <c r="N1310">
        <v>1.0077841579913999E-2</v>
      </c>
      <c r="O1310">
        <f t="shared" si="108"/>
        <v>3.9653477258980215E-3</v>
      </c>
    </row>
    <row r="1311" spans="1:15" x14ac:dyDescent="0.35">
      <c r="A1311" t="s">
        <v>91</v>
      </c>
      <c r="B1311">
        <v>2021</v>
      </c>
      <c r="C1311">
        <v>870253.1875</v>
      </c>
      <c r="D1311" s="8">
        <v>0.98158031702041604</v>
      </c>
      <c r="E1311" s="8">
        <v>1.4E-2</v>
      </c>
      <c r="F1311">
        <v>2.2611699459602699</v>
      </c>
      <c r="G1311">
        <f t="shared" si="104"/>
        <v>2.3036015563393164</v>
      </c>
      <c r="H1311">
        <f t="shared" si="106"/>
        <v>5.7706197584226349E-3</v>
      </c>
      <c r="I1311">
        <f t="shared" si="105"/>
        <v>1</v>
      </c>
      <c r="J1311" t="str">
        <f t="shared" si="107"/>
        <v/>
      </c>
      <c r="K1311">
        <v>5.3667454302310999E-2</v>
      </c>
      <c r="L1311">
        <v>1.0077841579913999E-2</v>
      </c>
      <c r="M1311">
        <v>-2.5418607443571099E-2</v>
      </c>
      <c r="N1311">
        <v>6.6848993301392001E-3</v>
      </c>
      <c r="O1311">
        <f t="shared" si="108"/>
        <v>3.426695335656412E-3</v>
      </c>
    </row>
    <row r="1312" spans="1:15" x14ac:dyDescent="0.35">
      <c r="A1312" t="s">
        <v>91</v>
      </c>
      <c r="B1312">
        <v>2022</v>
      </c>
      <c r="C1312">
        <v>873024.3125</v>
      </c>
      <c r="D1312" s="8">
        <v>0.960363149642944</v>
      </c>
      <c r="E1312" s="8">
        <v>5.0999999999999997E-2</v>
      </c>
      <c r="F1312">
        <v>2.1570768940821701</v>
      </c>
      <c r="G1312">
        <f t="shared" si="104"/>
        <v>2.2461054392644653</v>
      </c>
      <c r="H1312">
        <f t="shared" si="106"/>
        <v>-2.4959228264378797E-2</v>
      </c>
      <c r="I1312">
        <f t="shared" si="105"/>
        <v>0</v>
      </c>
      <c r="J1312" t="str">
        <f t="shared" si="107"/>
        <v/>
      </c>
      <c r="K1312">
        <v>-2.5418607443571099E-2</v>
      </c>
      <c r="L1312">
        <v>7.1636028587817998E-3</v>
      </c>
      <c r="M1312">
        <v>-1.7605422794818901E-2</v>
      </c>
      <c r="N1312">
        <v>1.9535049796104002E-3</v>
      </c>
      <c r="O1312">
        <f t="shared" si="108"/>
        <v>7.3104884359054181E-4</v>
      </c>
    </row>
    <row r="1313" spans="1:15" x14ac:dyDescent="0.35">
      <c r="A1313" t="s">
        <v>92</v>
      </c>
      <c r="B1313">
        <v>2006</v>
      </c>
      <c r="C1313">
        <v>289814.21875</v>
      </c>
      <c r="D1313" s="8">
        <v>0.92818266153335605</v>
      </c>
      <c r="E1313" s="8">
        <v>0.03</v>
      </c>
      <c r="F1313">
        <v>2.05502860216105</v>
      </c>
      <c r="G1313">
        <f t="shared" si="104"/>
        <v>2.2140346801632198</v>
      </c>
      <c r="H1313">
        <f t="shared" si="106"/>
        <v>-1.4278385395722015E-2</v>
      </c>
      <c r="I1313">
        <f t="shared" si="105"/>
        <v>0</v>
      </c>
      <c r="J1313" t="str">
        <f t="shared" si="107"/>
        <v/>
      </c>
      <c r="K1313">
        <v>-1.2606717988848701E-2</v>
      </c>
      <c r="L1313">
        <v>-1.8969757482409401E-2</v>
      </c>
      <c r="M1313">
        <v>-8.0677297860384002E-3</v>
      </c>
      <c r="N1313">
        <v>-7.1459738537668904E-3</v>
      </c>
      <c r="O1313" t="str">
        <f t="shared" si="108"/>
        <v/>
      </c>
    </row>
    <row r="1314" spans="1:15" x14ac:dyDescent="0.35">
      <c r="A1314" t="s">
        <v>92</v>
      </c>
      <c r="B1314">
        <v>2007</v>
      </c>
      <c r="C1314">
        <v>293439.09375</v>
      </c>
      <c r="D1314" s="8">
        <v>0.93214303255081199</v>
      </c>
      <c r="E1314" s="8">
        <v>3.1E-2</v>
      </c>
      <c r="F1314">
        <v>2.3305895325281401</v>
      </c>
      <c r="G1314">
        <f t="shared" si="104"/>
        <v>2.500248836437124</v>
      </c>
      <c r="H1314">
        <f t="shared" si="106"/>
        <v>0.1292726617330151</v>
      </c>
      <c r="I1314">
        <f t="shared" si="105"/>
        <v>1</v>
      </c>
      <c r="J1314" t="str">
        <f t="shared" si="107"/>
        <v/>
      </c>
      <c r="K1314">
        <v>-8.0677297860384002E-3</v>
      </c>
      <c r="L1314">
        <v>-7.1459738537668904E-3</v>
      </c>
      <c r="M1314">
        <v>-2.1254337683319999E-2</v>
      </c>
      <c r="N1314">
        <v>8.2564665935934006E-3</v>
      </c>
      <c r="O1314" t="str">
        <f t="shared" si="108"/>
        <v/>
      </c>
    </row>
    <row r="1315" spans="1:15" x14ac:dyDescent="0.35">
      <c r="A1315" t="s">
        <v>92</v>
      </c>
      <c r="B1315">
        <v>2008</v>
      </c>
      <c r="C1315">
        <v>297114.40625</v>
      </c>
      <c r="D1315" s="8">
        <v>0.94547468423843395</v>
      </c>
      <c r="E1315" s="8">
        <v>0</v>
      </c>
      <c r="F1315">
        <v>1.88628219340534</v>
      </c>
      <c r="G1315">
        <f t="shared" si="104"/>
        <v>1.9950636699751647</v>
      </c>
      <c r="H1315">
        <f t="shared" si="106"/>
        <v>-0.20205395523025316</v>
      </c>
      <c r="I1315">
        <f t="shared" si="105"/>
        <v>0</v>
      </c>
      <c r="J1315" t="str">
        <f t="shared" si="107"/>
        <v/>
      </c>
      <c r="K1315">
        <v>-2.1254337683319999E-2</v>
      </c>
      <c r="L1315">
        <v>8.2564665935934006E-3</v>
      </c>
      <c r="M1315">
        <v>-1.91821220368147E-2</v>
      </c>
      <c r="N1315">
        <v>7.3845796287059498E-3</v>
      </c>
      <c r="O1315" t="str">
        <f t="shared" si="108"/>
        <v/>
      </c>
    </row>
    <row r="1316" spans="1:15" x14ac:dyDescent="0.35">
      <c r="A1316" t="s">
        <v>92</v>
      </c>
      <c r="B1316">
        <v>2009</v>
      </c>
      <c r="C1316">
        <v>300505.8125</v>
      </c>
      <c r="D1316" s="8">
        <v>0.94198536872863803</v>
      </c>
      <c r="E1316" s="8">
        <v>1E-3</v>
      </c>
      <c r="F1316">
        <v>2.1574693486152601</v>
      </c>
      <c r="G1316">
        <f t="shared" si="104"/>
        <v>2.290342738048166</v>
      </c>
      <c r="H1316">
        <f t="shared" si="106"/>
        <v>0.14800483439041168</v>
      </c>
      <c r="I1316">
        <f t="shared" si="105"/>
        <v>1</v>
      </c>
      <c r="J1316" t="str">
        <f t="shared" si="107"/>
        <v/>
      </c>
      <c r="K1316">
        <v>-1.91821220368147E-2</v>
      </c>
      <c r="L1316">
        <v>7.3845796287059498E-3</v>
      </c>
      <c r="M1316">
        <v>-1.6253441889071799E-2</v>
      </c>
      <c r="N1316">
        <v>-6.7933331301901498E-3</v>
      </c>
      <c r="O1316" t="str">
        <f t="shared" si="108"/>
        <v/>
      </c>
    </row>
    <row r="1317" spans="1:15" x14ac:dyDescent="0.35">
      <c r="A1317" t="s">
        <v>92</v>
      </c>
      <c r="B1317">
        <v>2010</v>
      </c>
      <c r="C1317">
        <v>304054.40625</v>
      </c>
      <c r="D1317" s="8">
        <v>0.94158446788787797</v>
      </c>
      <c r="E1317" s="8">
        <v>8.0000000000000002E-3</v>
      </c>
      <c r="F1317">
        <v>2.2393202941366699</v>
      </c>
      <c r="G1317">
        <f t="shared" si="104"/>
        <v>2.3782468493345239</v>
      </c>
      <c r="H1317">
        <f t="shared" si="106"/>
        <v>3.8380330518248185E-2</v>
      </c>
      <c r="I1317">
        <f t="shared" si="105"/>
        <v>1</v>
      </c>
      <c r="J1317">
        <f t="shared" si="107"/>
        <v>3</v>
      </c>
      <c r="K1317">
        <v>-1.6253441889071799E-2</v>
      </c>
      <c r="L1317">
        <v>-6.7933331301901498E-3</v>
      </c>
      <c r="M1317">
        <v>-2.1426183514296999E-2</v>
      </c>
      <c r="N1317">
        <v>-1.4240900054570099E-4</v>
      </c>
      <c r="O1317">
        <f t="shared" si="108"/>
        <v>-2.0219360478222182E-3</v>
      </c>
    </row>
    <row r="1318" spans="1:15" x14ac:dyDescent="0.35">
      <c r="A1318" t="s">
        <v>92</v>
      </c>
      <c r="B1318">
        <v>2011</v>
      </c>
      <c r="C1318">
        <v>308011.28125</v>
      </c>
      <c r="D1318" s="8">
        <v>0.94888067245483398</v>
      </c>
      <c r="E1318" s="8">
        <v>0</v>
      </c>
      <c r="F1318">
        <v>2.18738028904753</v>
      </c>
      <c r="G1318">
        <f t="shared" si="104"/>
        <v>2.3052216706960564</v>
      </c>
      <c r="H1318">
        <f t="shared" si="106"/>
        <v>-3.0705466364394085E-2</v>
      </c>
      <c r="I1318">
        <f t="shared" si="105"/>
        <v>0</v>
      </c>
      <c r="J1318">
        <f t="shared" si="107"/>
        <v>3</v>
      </c>
      <c r="K1318">
        <v>-2.1426183514296999E-2</v>
      </c>
      <c r="L1318">
        <v>-1.4240900054570099E-4</v>
      </c>
      <c r="M1318">
        <v>-7.2368842586875001E-3</v>
      </c>
      <c r="N1318">
        <v>-1.7986781895161E-3</v>
      </c>
      <c r="O1318">
        <f t="shared" si="108"/>
        <v>-2.1747481077909379E-3</v>
      </c>
    </row>
    <row r="1319" spans="1:15" x14ac:dyDescent="0.35">
      <c r="A1319" t="s">
        <v>92</v>
      </c>
      <c r="B1319">
        <v>2012</v>
      </c>
      <c r="C1319">
        <v>312094.59375</v>
      </c>
      <c r="D1319" s="8">
        <v>0.94831693172454801</v>
      </c>
      <c r="E1319" s="8">
        <v>1.2999999999999999E-2</v>
      </c>
      <c r="F1319">
        <v>1.9698747960934599</v>
      </c>
      <c r="G1319">
        <f t="shared" si="104"/>
        <v>2.0772325476791527</v>
      </c>
      <c r="H1319">
        <f t="shared" si="106"/>
        <v>-9.8901171160716617E-2</v>
      </c>
      <c r="I1319">
        <f t="shared" si="105"/>
        <v>0</v>
      </c>
      <c r="J1319">
        <f t="shared" si="107"/>
        <v>2</v>
      </c>
      <c r="K1319">
        <v>-7.2368842586875001E-3</v>
      </c>
      <c r="L1319">
        <v>-1.88427697867159E-3</v>
      </c>
      <c r="M1319">
        <v>2.6339447498321899E-3</v>
      </c>
      <c r="N1319">
        <v>-3.4928265959024E-3</v>
      </c>
      <c r="O1319">
        <f t="shared" si="108"/>
        <v>-2.551806345581976E-3</v>
      </c>
    </row>
    <row r="1320" spans="1:15" x14ac:dyDescent="0.35">
      <c r="A1320" t="s">
        <v>92</v>
      </c>
      <c r="B1320">
        <v>2013</v>
      </c>
      <c r="C1320">
        <v>316583.59375</v>
      </c>
      <c r="D1320" s="8">
        <v>0.94839096069335904</v>
      </c>
      <c r="E1320" s="8">
        <v>2.1999999999999999E-2</v>
      </c>
      <c r="F1320">
        <v>2.22831570019195</v>
      </c>
      <c r="G1320">
        <f t="shared" si="104"/>
        <v>2.3495750091954175</v>
      </c>
      <c r="H1320">
        <f t="shared" si="106"/>
        <v>0.13110831612018936</v>
      </c>
      <c r="I1320">
        <f t="shared" si="105"/>
        <v>1</v>
      </c>
      <c r="J1320">
        <f t="shared" si="107"/>
        <v>3</v>
      </c>
      <c r="K1320">
        <v>2.6339447498321899E-3</v>
      </c>
      <c r="L1320">
        <v>-3.4928265959024E-3</v>
      </c>
      <c r="M1320">
        <v>1.0518904924393E-3</v>
      </c>
      <c r="N1320">
        <v>-9.5613300800319995E-4</v>
      </c>
      <c r="O1320">
        <f t="shared" si="108"/>
        <v>-3.3836137503385341E-3</v>
      </c>
    </row>
    <row r="1321" spans="1:15" x14ac:dyDescent="0.35">
      <c r="A1321" t="s">
        <v>92</v>
      </c>
      <c r="B1321">
        <v>2014</v>
      </c>
      <c r="C1321">
        <v>321948.6875</v>
      </c>
      <c r="D1321" s="8">
        <v>0.95502102375030495</v>
      </c>
      <c r="E1321" s="8">
        <v>1.2E-2</v>
      </c>
      <c r="F1321">
        <v>2.1448937716410801</v>
      </c>
      <c r="G1321">
        <f t="shared" si="104"/>
        <v>2.2459126221307915</v>
      </c>
      <c r="H1321">
        <f t="shared" si="106"/>
        <v>-4.4119632979976231E-2</v>
      </c>
      <c r="I1321">
        <f t="shared" si="105"/>
        <v>0</v>
      </c>
      <c r="J1321">
        <f t="shared" si="107"/>
        <v>2</v>
      </c>
      <c r="K1321">
        <v>1.0518904924393E-3</v>
      </c>
      <c r="L1321">
        <v>-9.5613300800319995E-4</v>
      </c>
      <c r="M1321">
        <v>2.6543818578124E-2</v>
      </c>
      <c r="N1321">
        <v>-3.7196334451436901E-3</v>
      </c>
      <c r="O1321">
        <f t="shared" si="108"/>
        <v>-2.8635907918214561E-3</v>
      </c>
    </row>
    <row r="1322" spans="1:15" x14ac:dyDescent="0.35">
      <c r="A1322" t="s">
        <v>92</v>
      </c>
      <c r="B1322">
        <v>2015</v>
      </c>
      <c r="C1322">
        <v>325922.5</v>
      </c>
      <c r="D1322" s="8">
        <v>0.95189267396926902</v>
      </c>
      <c r="E1322" s="8">
        <v>4.2000000000000003E-2</v>
      </c>
      <c r="F1322">
        <v>2.1406068938426701</v>
      </c>
      <c r="G1322">
        <f t="shared" si="104"/>
        <v>2.2487901760149249</v>
      </c>
      <c r="H1322">
        <f t="shared" si="106"/>
        <v>1.2812403544903983E-3</v>
      </c>
      <c r="I1322">
        <f t="shared" si="105"/>
        <v>1</v>
      </c>
      <c r="J1322">
        <f t="shared" si="107"/>
        <v>2</v>
      </c>
      <c r="K1322">
        <v>2.6543818578124E-2</v>
      </c>
      <c r="L1322">
        <v>-3.7196334451436901E-3</v>
      </c>
      <c r="M1322">
        <v>1.22470877021551E-2</v>
      </c>
      <c r="N1322">
        <v>-9.0646930038930005E-4</v>
      </c>
      <c r="O1322">
        <f t="shared" si="108"/>
        <v>-5.6169545277952775E-3</v>
      </c>
    </row>
    <row r="1323" spans="1:15" x14ac:dyDescent="0.35">
      <c r="A1323" t="s">
        <v>92</v>
      </c>
      <c r="B1323">
        <v>2016</v>
      </c>
      <c r="C1323">
        <v>330350.71875</v>
      </c>
      <c r="D1323" s="8">
        <v>0.94492828845977805</v>
      </c>
      <c r="E1323" s="8">
        <v>2.8000000000000001E-2</v>
      </c>
      <c r="F1323">
        <v>2.18924319034415</v>
      </c>
      <c r="G1323">
        <f t="shared" si="104"/>
        <v>2.3168352742540819</v>
      </c>
      <c r="H1323">
        <f t="shared" si="106"/>
        <v>3.025853588516636E-2</v>
      </c>
      <c r="I1323">
        <f t="shared" si="105"/>
        <v>1</v>
      </c>
      <c r="J1323">
        <f t="shared" si="107"/>
        <v>3</v>
      </c>
      <c r="K1323">
        <v>1.22470877021551E-2</v>
      </c>
      <c r="L1323">
        <v>-9.0646930038930005E-4</v>
      </c>
      <c r="M1323">
        <v>-8.9439591765399997E-4</v>
      </c>
      <c r="N1323">
        <v>-3.6839693784712899E-3</v>
      </c>
      <c r="O1323">
        <f t="shared" si="108"/>
        <v>-1.0288012214004957E-2</v>
      </c>
    </row>
    <row r="1324" spans="1:15" x14ac:dyDescent="0.35">
      <c r="A1324" t="s">
        <v>92</v>
      </c>
      <c r="B1324">
        <v>2017</v>
      </c>
      <c r="C1324">
        <v>333842.59375</v>
      </c>
      <c r="D1324" s="8">
        <v>0.95319885015487704</v>
      </c>
      <c r="E1324" s="8">
        <v>2.4E-2</v>
      </c>
      <c r="F1324">
        <v>2.1873286497600999</v>
      </c>
      <c r="G1324">
        <f t="shared" si="104"/>
        <v>2.2947243897794252</v>
      </c>
      <c r="H1324">
        <f t="shared" si="106"/>
        <v>-9.5435720961108972E-3</v>
      </c>
      <c r="I1324">
        <f t="shared" si="105"/>
        <v>0</v>
      </c>
      <c r="J1324">
        <f t="shared" si="107"/>
        <v>3</v>
      </c>
      <c r="K1324">
        <v>-8.9439591765399997E-4</v>
      </c>
      <c r="L1324">
        <v>-3.6839693784712899E-3</v>
      </c>
      <c r="M1324">
        <v>1.48315934836859E-3</v>
      </c>
      <c r="N1324">
        <v>-7.6518636196851904E-3</v>
      </c>
      <c r="O1324">
        <f t="shared" si="108"/>
        <v>-7.5695844367146183E-3</v>
      </c>
    </row>
    <row r="1325" spans="1:15" x14ac:dyDescent="0.35">
      <c r="A1325" t="s">
        <v>92</v>
      </c>
      <c r="B1325">
        <v>2018</v>
      </c>
      <c r="C1325">
        <v>336550.6875</v>
      </c>
      <c r="D1325" s="8">
        <v>0.94543552398681596</v>
      </c>
      <c r="E1325" s="8">
        <v>1.7999999999999999E-2</v>
      </c>
      <c r="F1325">
        <v>2.0492325928347999</v>
      </c>
      <c r="G1325">
        <f t="shared" si="104"/>
        <v>2.1675011577662873</v>
      </c>
      <c r="H1325">
        <f t="shared" si="106"/>
        <v>-5.5441617555373135E-2</v>
      </c>
      <c r="I1325">
        <f t="shared" si="105"/>
        <v>0</v>
      </c>
      <c r="J1325">
        <f t="shared" si="107"/>
        <v>2</v>
      </c>
      <c r="K1325">
        <v>1.48315934836859E-3</v>
      </c>
      <c r="L1325">
        <v>-7.6518636196851904E-3</v>
      </c>
      <c r="M1325">
        <v>1.9445176392793698E-2</v>
      </c>
      <c r="N1325">
        <v>1.6439817845821901E-3</v>
      </c>
      <c r="O1325">
        <f t="shared" si="108"/>
        <v>-2.2246507927775015E-3</v>
      </c>
    </row>
    <row r="1326" spans="1:15" x14ac:dyDescent="0.35">
      <c r="A1326" t="s">
        <v>92</v>
      </c>
      <c r="B1326">
        <v>2019</v>
      </c>
      <c r="C1326">
        <v>338946.28125</v>
      </c>
      <c r="D1326" s="8">
        <v>0.94628006219863903</v>
      </c>
      <c r="E1326" s="8">
        <v>1.6E-2</v>
      </c>
      <c r="F1326">
        <v>2.0757193435439998</v>
      </c>
      <c r="G1326">
        <f t="shared" si="104"/>
        <v>2.1935570942086211</v>
      </c>
      <c r="H1326">
        <f t="shared" si="106"/>
        <v>1.2021186862564592E-2</v>
      </c>
      <c r="I1326">
        <f t="shared" si="105"/>
        <v>1</v>
      </c>
      <c r="J1326" t="str">
        <f t="shared" si="107"/>
        <v/>
      </c>
      <c r="K1326">
        <v>1.9445176392793698E-2</v>
      </c>
      <c r="L1326">
        <v>1.6439817845821901E-3</v>
      </c>
      <c r="M1326">
        <v>1.3627383038402E-3</v>
      </c>
      <c r="N1326">
        <v>-1.7486452125012798E-2</v>
      </c>
      <c r="O1326">
        <f t="shared" si="108"/>
        <v>-2.4147540330886601E-3</v>
      </c>
    </row>
    <row r="1327" spans="1:15" x14ac:dyDescent="0.35">
      <c r="A1327" t="s">
        <v>92</v>
      </c>
      <c r="B1327">
        <v>2020</v>
      </c>
      <c r="C1327">
        <v>340815.5</v>
      </c>
      <c r="D1327" s="8">
        <v>0.95045119524002097</v>
      </c>
      <c r="E1327" s="8">
        <v>2.5000000000000001E-2</v>
      </c>
      <c r="F1327">
        <v>1.92441892767848</v>
      </c>
      <c r="G1327">
        <f t="shared" si="104"/>
        <v>2.0247424984220252</v>
      </c>
      <c r="H1327">
        <f t="shared" si="106"/>
        <v>-7.6959289654368379E-2</v>
      </c>
      <c r="I1327">
        <f t="shared" si="105"/>
        <v>0</v>
      </c>
      <c r="J1327" t="str">
        <f t="shared" si="107"/>
        <v/>
      </c>
      <c r="K1327">
        <v>1.3627383038402E-3</v>
      </c>
      <c r="L1327">
        <v>-1.7486452125012798E-2</v>
      </c>
      <c r="M1327">
        <v>1.9327854990959101E-2</v>
      </c>
      <c r="N1327">
        <v>-2.42617577314377E-2</v>
      </c>
      <c r="O1327">
        <f t="shared" si="108"/>
        <v>-4.0862320922314798E-3</v>
      </c>
    </row>
    <row r="1328" spans="1:15" x14ac:dyDescent="0.35">
      <c r="A1328" t="s">
        <v>92</v>
      </c>
      <c r="B1328">
        <v>2021</v>
      </c>
      <c r="C1328">
        <v>341364.40625</v>
      </c>
      <c r="D1328" s="8">
        <v>0.96775895357132002</v>
      </c>
      <c r="E1328" s="8">
        <v>0.01</v>
      </c>
      <c r="F1328">
        <v>1.9398703342827099</v>
      </c>
      <c r="G1328">
        <f t="shared" si="104"/>
        <v>2.0044974289558448</v>
      </c>
      <c r="H1328">
        <f t="shared" si="106"/>
        <v>-9.9988366332797174E-3</v>
      </c>
      <c r="I1328">
        <f t="shared" si="105"/>
        <v>0</v>
      </c>
      <c r="J1328" t="str">
        <f t="shared" si="107"/>
        <v/>
      </c>
      <c r="K1328">
        <v>1.9327854990959101E-2</v>
      </c>
      <c r="L1328">
        <v>-2.42617577314377E-2</v>
      </c>
      <c r="M1328">
        <v>-2.2195337265729899E-2</v>
      </c>
      <c r="N1328">
        <v>9.9081695079804005E-3</v>
      </c>
      <c r="O1328">
        <f t="shared" si="108"/>
        <v>7.0754224434498947E-4</v>
      </c>
    </row>
    <row r="1329" spans="1:15" x14ac:dyDescent="0.35">
      <c r="A1329" t="s">
        <v>92</v>
      </c>
      <c r="B1329">
        <v>2022</v>
      </c>
      <c r="C1329">
        <v>343704</v>
      </c>
      <c r="D1329" s="8">
        <v>0.95750367641448997</v>
      </c>
      <c r="E1329" s="8">
        <v>2.3E-2</v>
      </c>
      <c r="F1329">
        <v>1.89597125713556</v>
      </c>
      <c r="G1329">
        <f t="shared" si="104"/>
        <v>1.9801190364462062</v>
      </c>
      <c r="H1329">
        <f t="shared" si="106"/>
        <v>-1.2161847731746667E-2</v>
      </c>
      <c r="I1329">
        <f t="shared" si="105"/>
        <v>0</v>
      </c>
      <c r="J1329" t="str">
        <f t="shared" si="107"/>
        <v/>
      </c>
      <c r="K1329">
        <v>-2.2195337265729899E-2</v>
      </c>
      <c r="L1329">
        <v>1.0386873036622999E-2</v>
      </c>
      <c r="M1329">
        <v>-4.8612317442889899E-4</v>
      </c>
      <c r="N1329">
        <v>1.9072804600000399E-2</v>
      </c>
      <c r="O1329">
        <f t="shared" si="108"/>
        <v>-9.6541200764474423E-4</v>
      </c>
    </row>
    <row r="1330" spans="1:15" x14ac:dyDescent="0.35">
      <c r="A1330" t="s">
        <v>93</v>
      </c>
      <c r="B1330">
        <v>2006</v>
      </c>
      <c r="C1330">
        <v>664112.125</v>
      </c>
      <c r="D1330" s="8">
        <v>0.91500335931777999</v>
      </c>
      <c r="E1330" s="8">
        <v>7.5999999999999998E-2</v>
      </c>
      <c r="F1330">
        <v>2.2448669734414</v>
      </c>
      <c r="G1330">
        <f t="shared" si="104"/>
        <v>2.453397520983045</v>
      </c>
      <c r="H1330">
        <f t="shared" si="106"/>
        <v>0.23901516819223634</v>
      </c>
      <c r="I1330">
        <f t="shared" si="105"/>
        <v>1</v>
      </c>
      <c r="J1330" t="str">
        <f t="shared" si="107"/>
        <v/>
      </c>
      <c r="K1330">
        <v>2.9912659555673599E-2</v>
      </c>
      <c r="L1330">
        <v>2.3549620062112801E-2</v>
      </c>
      <c r="M1330">
        <v>-2.2829034924509999E-4</v>
      </c>
      <c r="N1330">
        <v>6.9346558302640004E-4</v>
      </c>
      <c r="O1330" t="str">
        <f t="shared" si="108"/>
        <v/>
      </c>
    </row>
    <row r="1331" spans="1:15" x14ac:dyDescent="0.35">
      <c r="A1331" t="s">
        <v>93</v>
      </c>
      <c r="B1331">
        <v>2007</v>
      </c>
      <c r="C1331">
        <v>674048.25</v>
      </c>
      <c r="D1331" s="8">
        <v>0.90628731250762895</v>
      </c>
      <c r="E1331" s="8">
        <v>1.2999999999999999E-2</v>
      </c>
      <c r="F1331">
        <v>2.1863047121451098</v>
      </c>
      <c r="G1331">
        <f t="shared" si="104"/>
        <v>2.4123748418101196</v>
      </c>
      <c r="H1331">
        <f t="shared" si="106"/>
        <v>-1.6720763277077166E-2</v>
      </c>
      <c r="I1331">
        <f t="shared" si="105"/>
        <v>0</v>
      </c>
      <c r="J1331" t="str">
        <f t="shared" si="107"/>
        <v/>
      </c>
      <c r="K1331">
        <v>-2.2829034924509999E-4</v>
      </c>
      <c r="L1331">
        <v>6.9346558302640004E-4</v>
      </c>
      <c r="M1331">
        <v>-5.5354646697640397E-2</v>
      </c>
      <c r="N1331">
        <v>-2.58438424207269E-2</v>
      </c>
      <c r="O1331" t="str">
        <f t="shared" si="108"/>
        <v/>
      </c>
    </row>
    <row r="1332" spans="1:15" x14ac:dyDescent="0.35">
      <c r="A1332" t="s">
        <v>93</v>
      </c>
      <c r="B1332">
        <v>2008</v>
      </c>
      <c r="C1332">
        <v>684420.75</v>
      </c>
      <c r="D1332" s="8">
        <v>0.90128409862518299</v>
      </c>
      <c r="E1332" s="8">
        <v>4.2999999999999997E-2</v>
      </c>
      <c r="F1332">
        <v>2.28393246245827</v>
      </c>
      <c r="G1332">
        <f t="shared" si="104"/>
        <v>2.5340871606879296</v>
      </c>
      <c r="H1332">
        <f t="shared" si="106"/>
        <v>5.0453319595425539E-2</v>
      </c>
      <c r="I1332">
        <f t="shared" si="105"/>
        <v>1</v>
      </c>
      <c r="J1332" t="str">
        <f t="shared" si="107"/>
        <v/>
      </c>
      <c r="K1332">
        <v>-5.5354646697640397E-2</v>
      </c>
      <c r="L1332">
        <v>-2.58438424207269E-2</v>
      </c>
      <c r="M1332">
        <v>-2.6859587714076E-2</v>
      </c>
      <c r="N1332">
        <v>-2.9288604855534899E-4</v>
      </c>
      <c r="O1332" t="str">
        <f t="shared" si="108"/>
        <v/>
      </c>
    </row>
    <row r="1333" spans="1:15" x14ac:dyDescent="0.35">
      <c r="A1333" t="s">
        <v>93</v>
      </c>
      <c r="B1333">
        <v>2009</v>
      </c>
      <c r="C1333">
        <v>694567.375</v>
      </c>
      <c r="D1333" s="8">
        <v>0.90674054622650102</v>
      </c>
      <c r="E1333" s="8">
        <v>2.8000000000000001E-2</v>
      </c>
      <c r="F1333">
        <v>2.0669974650773901</v>
      </c>
      <c r="G1333">
        <f t="shared" si="104"/>
        <v>2.2795908638688585</v>
      </c>
      <c r="H1333">
        <f t="shared" si="106"/>
        <v>-0.10042918048248306</v>
      </c>
      <c r="I1333">
        <f t="shared" si="105"/>
        <v>0</v>
      </c>
      <c r="J1333" t="str">
        <f t="shared" si="107"/>
        <v/>
      </c>
      <c r="K1333">
        <v>-2.6859587714076E-2</v>
      </c>
      <c r="L1333">
        <v>-2.9288604855534899E-4</v>
      </c>
      <c r="M1333">
        <v>-7.9167105108499496E-3</v>
      </c>
      <c r="N1333">
        <v>1.54339824803173E-3</v>
      </c>
      <c r="O1333" t="str">
        <f t="shared" si="108"/>
        <v/>
      </c>
    </row>
    <row r="1334" spans="1:15" x14ac:dyDescent="0.35">
      <c r="A1334" t="s">
        <v>93</v>
      </c>
      <c r="B1334">
        <v>2010</v>
      </c>
      <c r="C1334">
        <v>704585.1875</v>
      </c>
      <c r="D1334" s="8">
        <v>0.91531109809875499</v>
      </c>
      <c r="E1334" s="8">
        <v>2.9000000000000001E-2</v>
      </c>
      <c r="F1334">
        <v>2.2209907260800699</v>
      </c>
      <c r="G1334">
        <f t="shared" si="104"/>
        <v>2.4264872683106504</v>
      </c>
      <c r="H1334">
        <f t="shared" si="106"/>
        <v>6.4439811007350523E-2</v>
      </c>
      <c r="I1334">
        <f t="shared" si="105"/>
        <v>1</v>
      </c>
      <c r="J1334">
        <f t="shared" si="107"/>
        <v>3</v>
      </c>
      <c r="K1334">
        <v>-7.9167105108499496E-3</v>
      </c>
      <c r="L1334">
        <v>1.54339824803173E-3</v>
      </c>
      <c r="M1334">
        <v>-2.45716314464807E-2</v>
      </c>
      <c r="N1334">
        <v>-3.2878569327294501E-3</v>
      </c>
      <c r="O1334">
        <f t="shared" si="108"/>
        <v>-8.8511805050074718E-3</v>
      </c>
    </row>
    <row r="1335" spans="1:15" x14ac:dyDescent="0.35">
      <c r="A1335" t="s">
        <v>93</v>
      </c>
      <c r="B1335">
        <v>2011</v>
      </c>
      <c r="C1335">
        <v>712854.3125</v>
      </c>
      <c r="D1335" s="8">
        <v>0.915496826171875</v>
      </c>
      <c r="E1335" s="8">
        <v>0.02</v>
      </c>
      <c r="F1335">
        <v>2.1017215256581898</v>
      </c>
      <c r="G1335">
        <f t="shared" si="104"/>
        <v>2.2957168889885518</v>
      </c>
      <c r="H1335">
        <f t="shared" si="106"/>
        <v>-5.3892876764666697E-2</v>
      </c>
      <c r="I1335">
        <f t="shared" si="105"/>
        <v>0</v>
      </c>
      <c r="J1335">
        <f t="shared" si="107"/>
        <v>2</v>
      </c>
      <c r="K1335">
        <v>-2.45716314464807E-2</v>
      </c>
      <c r="L1335">
        <v>-3.2878569327294501E-3</v>
      </c>
      <c r="M1335">
        <v>-1.06050188690424E-2</v>
      </c>
      <c r="N1335">
        <v>-5.166812799871E-3</v>
      </c>
      <c r="O1335">
        <f t="shared" si="108"/>
        <v>-9.483407065272299E-3</v>
      </c>
    </row>
    <row r="1336" spans="1:15" x14ac:dyDescent="0.35">
      <c r="A1336" t="s">
        <v>93</v>
      </c>
      <c r="B1336">
        <v>2012</v>
      </c>
      <c r="C1336">
        <v>719881.3125</v>
      </c>
      <c r="D1336" s="8">
        <v>0.91233843564987205</v>
      </c>
      <c r="E1336" s="8">
        <v>2.3E-2</v>
      </c>
      <c r="F1336">
        <v>2.14496141407025</v>
      </c>
      <c r="G1336">
        <f t="shared" si="104"/>
        <v>2.3510589165766786</v>
      </c>
      <c r="H1336">
        <f t="shared" si="106"/>
        <v>2.4106643050620047E-2</v>
      </c>
      <c r="I1336">
        <f t="shared" si="105"/>
        <v>1</v>
      </c>
      <c r="J1336">
        <f t="shared" si="107"/>
        <v>3</v>
      </c>
      <c r="K1336">
        <v>-1.06050188690424E-2</v>
      </c>
      <c r="L1336">
        <v>-5.2524115890264997E-3</v>
      </c>
      <c r="M1336">
        <v>-8.6770377680659202E-3</v>
      </c>
      <c r="N1336">
        <v>-1.48038091138005E-2</v>
      </c>
      <c r="O1336">
        <f t="shared" si="108"/>
        <v>-1.0855981521308381E-2</v>
      </c>
    </row>
    <row r="1337" spans="1:15" x14ac:dyDescent="0.35">
      <c r="A1337" t="s">
        <v>93</v>
      </c>
      <c r="B1337">
        <v>2013</v>
      </c>
      <c r="C1337">
        <v>725468.8125</v>
      </c>
      <c r="D1337" s="8">
        <v>0.90151786804199197</v>
      </c>
      <c r="E1337" s="8">
        <v>3.9E-2</v>
      </c>
      <c r="F1337">
        <v>2.1019901061995099</v>
      </c>
      <c r="G1337">
        <f t="shared" si="104"/>
        <v>2.3316122516404754</v>
      </c>
      <c r="H1337">
        <f t="shared" si="106"/>
        <v>-8.2714494303354202E-3</v>
      </c>
      <c r="I1337">
        <f t="shared" si="105"/>
        <v>0</v>
      </c>
      <c r="J1337">
        <f t="shared" si="107"/>
        <v>2</v>
      </c>
      <c r="K1337">
        <v>-8.6770377680659202E-3</v>
      </c>
      <c r="L1337">
        <v>-1.48038091138005E-2</v>
      </c>
      <c r="M1337">
        <v>-6.5649572610855097E-3</v>
      </c>
      <c r="N1337">
        <v>-8.5729807615280099E-3</v>
      </c>
      <c r="O1337">
        <f t="shared" si="108"/>
        <v>-9.8125457763671396E-3</v>
      </c>
    </row>
    <row r="1338" spans="1:15" x14ac:dyDescent="0.35">
      <c r="A1338" t="s">
        <v>93</v>
      </c>
      <c r="B1338">
        <v>2014</v>
      </c>
      <c r="C1338">
        <v>730249</v>
      </c>
      <c r="D1338" s="8">
        <v>0.90656280517578103</v>
      </c>
      <c r="E1338" s="8">
        <v>1.6E-2</v>
      </c>
      <c r="F1338">
        <v>2.1662990421338502</v>
      </c>
      <c r="G1338">
        <f t="shared" si="104"/>
        <v>2.3895741472801859</v>
      </c>
      <c r="H1338">
        <f t="shared" si="106"/>
        <v>2.4859148685176802E-2</v>
      </c>
      <c r="I1338">
        <f t="shared" si="105"/>
        <v>1</v>
      </c>
      <c r="J1338">
        <f t="shared" si="107"/>
        <v>3</v>
      </c>
      <c r="K1338">
        <v>-6.5649572610855097E-3</v>
      </c>
      <c r="L1338">
        <v>-8.5729807615280099E-3</v>
      </c>
      <c r="M1338">
        <v>1.7839009106159199E-2</v>
      </c>
      <c r="N1338">
        <v>-1.24244429171084E-2</v>
      </c>
      <c r="O1338">
        <f t="shared" si="108"/>
        <v>-9.1337941586970752E-3</v>
      </c>
    </row>
    <row r="1339" spans="1:15" x14ac:dyDescent="0.35">
      <c r="A1339" t="s">
        <v>93</v>
      </c>
      <c r="B1339">
        <v>2015</v>
      </c>
      <c r="C1339">
        <v>733232.8125</v>
      </c>
      <c r="D1339" s="8">
        <v>0.91852736473083496</v>
      </c>
      <c r="E1339" s="8">
        <v>8.0000000000000002E-3</v>
      </c>
      <c r="F1339">
        <v>2.2649532063077502</v>
      </c>
      <c r="G1339">
        <f t="shared" si="104"/>
        <v>2.4658527260877761</v>
      </c>
      <c r="H1339">
        <f t="shared" si="106"/>
        <v>3.1921411141148548E-2</v>
      </c>
      <c r="I1339">
        <f t="shared" si="105"/>
        <v>1</v>
      </c>
      <c r="J1339">
        <f t="shared" si="107"/>
        <v>3</v>
      </c>
      <c r="K1339">
        <v>1.7839009106159199E-2</v>
      </c>
      <c r="L1339">
        <v>-1.24244429171084E-2</v>
      </c>
      <c r="M1339">
        <v>6.7045672684907997E-3</v>
      </c>
      <c r="N1339">
        <v>-6.4489897340535901E-3</v>
      </c>
      <c r="O1339">
        <f t="shared" si="108"/>
        <v>-5.2271645516156762E-3</v>
      </c>
    </row>
    <row r="1340" spans="1:15" x14ac:dyDescent="0.35">
      <c r="A1340" t="s">
        <v>93</v>
      </c>
      <c r="B1340">
        <v>2016</v>
      </c>
      <c r="C1340">
        <v>736718.8125</v>
      </c>
      <c r="D1340" s="8">
        <v>0.90248137712478604</v>
      </c>
      <c r="E1340" s="8">
        <v>3.2000000000000001E-2</v>
      </c>
      <c r="F1340">
        <v>2.2525486827033201</v>
      </c>
      <c r="G1340">
        <f t="shared" si="104"/>
        <v>2.4959503207475717</v>
      </c>
      <c r="H1340">
        <f t="shared" si="106"/>
        <v>1.2205755169955923E-2</v>
      </c>
      <c r="I1340">
        <f t="shared" si="105"/>
        <v>1</v>
      </c>
      <c r="J1340">
        <f t="shared" si="107"/>
        <v>4</v>
      </c>
      <c r="K1340">
        <v>6.7045672684907997E-3</v>
      </c>
      <c r="L1340">
        <v>-6.4489897340535901E-3</v>
      </c>
      <c r="M1340">
        <v>-9.2401116192341003E-3</v>
      </c>
      <c r="N1340">
        <v>-1.20296850800514E-2</v>
      </c>
      <c r="O1340">
        <f t="shared" si="108"/>
        <v>-7.1484386920928787E-3</v>
      </c>
    </row>
    <row r="1341" spans="1:15" x14ac:dyDescent="0.35">
      <c r="A1341" t="s">
        <v>93</v>
      </c>
      <c r="B1341">
        <v>2017</v>
      </c>
      <c r="C1341">
        <v>740351.625</v>
      </c>
      <c r="D1341" s="8">
        <v>0.901361763477325</v>
      </c>
      <c r="E1341" s="8">
        <v>3.2000000000000001E-2</v>
      </c>
      <c r="F1341">
        <v>2.2367045320545502</v>
      </c>
      <c r="G1341">
        <f t="shared" si="104"/>
        <v>2.4814726147531081</v>
      </c>
      <c r="H1341">
        <f t="shared" si="106"/>
        <v>-5.8004784286440625E-3</v>
      </c>
      <c r="I1341">
        <f t="shared" si="105"/>
        <v>0</v>
      </c>
      <c r="J1341">
        <f t="shared" si="107"/>
        <v>3</v>
      </c>
      <c r="K1341">
        <v>-9.2401116192341003E-3</v>
      </c>
      <c r="L1341">
        <v>-1.20296850800514E-2</v>
      </c>
      <c r="M1341">
        <v>-4.5160742104050002E-4</v>
      </c>
      <c r="N1341">
        <v>-9.5866303890942903E-3</v>
      </c>
      <c r="O1341">
        <f t="shared" si="108"/>
        <v>-1.1745326220988985E-3</v>
      </c>
    </row>
    <row r="1342" spans="1:15" x14ac:dyDescent="0.35">
      <c r="A1342" t="s">
        <v>93</v>
      </c>
      <c r="B1342">
        <v>2018</v>
      </c>
      <c r="C1342">
        <v>743073.75</v>
      </c>
      <c r="D1342" s="8">
        <v>0.89980745315551802</v>
      </c>
      <c r="E1342" s="8">
        <v>1.2E-2</v>
      </c>
      <c r="F1342">
        <v>2.1231038567579699</v>
      </c>
      <c r="G1342">
        <f t="shared" si="104"/>
        <v>2.3595090808733539</v>
      </c>
      <c r="H1342">
        <f t="shared" si="106"/>
        <v>-4.914965942184657E-2</v>
      </c>
      <c r="I1342">
        <f t="shared" si="105"/>
        <v>0</v>
      </c>
      <c r="J1342">
        <f t="shared" si="107"/>
        <v>3</v>
      </c>
      <c r="K1342">
        <v>-4.5160742104050002E-4</v>
      </c>
      <c r="L1342">
        <v>-9.5866303890942903E-3</v>
      </c>
      <c r="M1342">
        <v>1.26219719350338E-2</v>
      </c>
      <c r="N1342">
        <v>-5.1792226731777E-3</v>
      </c>
      <c r="O1342">
        <f t="shared" si="108"/>
        <v>1.9558217376470601E-3</v>
      </c>
    </row>
    <row r="1343" spans="1:15" x14ac:dyDescent="0.35">
      <c r="A1343" t="s">
        <v>93</v>
      </c>
      <c r="B1343">
        <v>2019</v>
      </c>
      <c r="C1343">
        <v>745944.1875</v>
      </c>
      <c r="D1343" s="8">
        <v>0.91628587245941195</v>
      </c>
      <c r="E1343" s="8">
        <v>5.0000000000000001E-3</v>
      </c>
      <c r="F1343">
        <v>2.19740714786264</v>
      </c>
      <c r="G1343">
        <f t="shared" si="104"/>
        <v>2.3981676613266534</v>
      </c>
      <c r="H1343">
        <f t="shared" si="106"/>
        <v>1.6384162606820851E-2</v>
      </c>
      <c r="I1343">
        <f t="shared" si="105"/>
        <v>1</v>
      </c>
      <c r="J1343" t="str">
        <f t="shared" si="107"/>
        <v/>
      </c>
      <c r="K1343">
        <v>1.26219719350338E-2</v>
      </c>
      <c r="L1343">
        <v>-5.1792226731777E-3</v>
      </c>
      <c r="M1343">
        <v>2.59578955471516E-2</v>
      </c>
      <c r="N1343">
        <v>7.1087051182986E-3</v>
      </c>
      <c r="O1343">
        <f t="shared" si="108"/>
        <v>5.8018887415528398E-3</v>
      </c>
    </row>
    <row r="1344" spans="1:15" x14ac:dyDescent="0.35">
      <c r="A1344" t="s">
        <v>93</v>
      </c>
      <c r="B1344">
        <v>2020</v>
      </c>
      <c r="C1344">
        <v>749692.0625</v>
      </c>
      <c r="D1344" s="8">
        <v>0.93064278364181496</v>
      </c>
      <c r="E1344" s="8">
        <v>4.1000000000000002E-2</v>
      </c>
      <c r="F1344">
        <v>2.0091141438009301</v>
      </c>
      <c r="G1344">
        <f t="shared" si="104"/>
        <v>2.158845670020471</v>
      </c>
      <c r="H1344">
        <f t="shared" si="106"/>
        <v>-9.9793686307066087E-2</v>
      </c>
      <c r="I1344">
        <f t="shared" si="105"/>
        <v>0</v>
      </c>
      <c r="J1344" t="str">
        <f t="shared" si="107"/>
        <v/>
      </c>
      <c r="K1344">
        <v>2.59578955471516E-2</v>
      </c>
      <c r="L1344">
        <v>7.1087051182986E-3</v>
      </c>
      <c r="M1344">
        <v>2.7534252285957201E-2</v>
      </c>
      <c r="N1344">
        <v>-1.6055360436439601E-2</v>
      </c>
      <c r="O1344">
        <f t="shared" si="108"/>
        <v>5.1524068228900391E-3</v>
      </c>
    </row>
    <row r="1345" spans="1:15" x14ac:dyDescent="0.35">
      <c r="A1345" t="s">
        <v>93</v>
      </c>
      <c r="B1345">
        <v>2021</v>
      </c>
      <c r="C1345">
        <v>753280</v>
      </c>
      <c r="D1345" s="8">
        <v>0.94497048854827903</v>
      </c>
      <c r="E1345" s="8">
        <v>1.6E-2</v>
      </c>
      <c r="F1345">
        <v>2.1585647597950199</v>
      </c>
      <c r="G1345">
        <f t="shared" si="104"/>
        <v>2.2842668484929494</v>
      </c>
      <c r="H1345">
        <f t="shared" si="106"/>
        <v>5.8096407823023721E-2</v>
      </c>
      <c r="I1345">
        <f t="shared" si="105"/>
        <v>1</v>
      </c>
      <c r="J1345" t="str">
        <f t="shared" si="107"/>
        <v/>
      </c>
      <c r="K1345">
        <v>2.7534252285957201E-2</v>
      </c>
      <c r="L1345">
        <v>-1.6055360436439601E-2</v>
      </c>
      <c r="M1345">
        <v>-1.42636615037917E-2</v>
      </c>
      <c r="N1345">
        <v>1.7839845269918501E-2</v>
      </c>
      <c r="O1345">
        <f t="shared" si="108"/>
        <v>4.9704303964974027E-4</v>
      </c>
    </row>
    <row r="1346" spans="1:15" x14ac:dyDescent="0.35">
      <c r="A1346" t="s">
        <v>93</v>
      </c>
      <c r="B1346">
        <v>2022</v>
      </c>
      <c r="C1346">
        <v>759818.1875</v>
      </c>
      <c r="D1346" s="8">
        <v>0.91828811168670699</v>
      </c>
      <c r="E1346" s="8">
        <v>7.0000000000000001E-3</v>
      </c>
      <c r="F1346">
        <v>1.96157387301311</v>
      </c>
      <c r="G1346">
        <f t="shared" si="104"/>
        <v>2.1361202960692816</v>
      </c>
      <c r="H1346">
        <f t="shared" si="106"/>
        <v>-6.4855186477625337E-2</v>
      </c>
      <c r="I1346">
        <f t="shared" si="105"/>
        <v>0</v>
      </c>
      <c r="J1346" t="str">
        <f t="shared" si="107"/>
        <v/>
      </c>
      <c r="K1346">
        <v>-1.42636615037917E-2</v>
      </c>
      <c r="L1346">
        <v>1.83185487985611E-2</v>
      </c>
      <c r="M1346">
        <v>-1.34937863647938E-2</v>
      </c>
      <c r="N1346">
        <v>6.0651414096354996E-3</v>
      </c>
      <c r="O1346">
        <f t="shared" si="108"/>
        <v>-6.2743457499891391E-3</v>
      </c>
    </row>
    <row r="1347" spans="1:15" x14ac:dyDescent="0.35">
      <c r="A1347" t="s">
        <v>94</v>
      </c>
      <c r="B1347">
        <v>2006</v>
      </c>
      <c r="C1347">
        <v>9728008</v>
      </c>
      <c r="D1347" s="8">
        <v>0.96035355329513505</v>
      </c>
      <c r="E1347" s="8">
        <v>4.0000000000000001E-3</v>
      </c>
      <c r="F1347">
        <v>2.6456140457603499</v>
      </c>
      <c r="G1347">
        <f t="shared" ref="G1347:G1410" si="109">F1347/D1347</f>
        <v>2.754833401389313</v>
      </c>
      <c r="H1347">
        <f t="shared" si="106"/>
        <v>0.28964338125457534</v>
      </c>
      <c r="I1347">
        <f t="shared" ref="I1347:I1410" si="110">IF(H1347&gt;0,1,0)</f>
        <v>1</v>
      </c>
      <c r="J1347" t="str">
        <f t="shared" si="107"/>
        <v/>
      </c>
      <c r="K1347">
        <v>2.77992762923241E-2</v>
      </c>
      <c r="L1347">
        <v>2.1436236798763299E-2</v>
      </c>
      <c r="M1347">
        <v>1.3129356414079699E-2</v>
      </c>
      <c r="N1347">
        <v>1.40511123463512E-2</v>
      </c>
      <c r="O1347" t="str">
        <f t="shared" si="108"/>
        <v/>
      </c>
    </row>
    <row r="1348" spans="1:15" x14ac:dyDescent="0.35">
      <c r="A1348" t="s">
        <v>94</v>
      </c>
      <c r="B1348">
        <v>2007</v>
      </c>
      <c r="C1348">
        <v>9708991</v>
      </c>
      <c r="D1348" s="8">
        <v>0.95796382427215598</v>
      </c>
      <c r="E1348" s="8">
        <v>5.0000000000000001E-3</v>
      </c>
      <c r="F1348">
        <v>2.67116196833783</v>
      </c>
      <c r="G1348">
        <f t="shared" si="109"/>
        <v>2.7883745718345176</v>
      </c>
      <c r="H1348">
        <f t="shared" ref="H1348:H1411" si="111">+G1348/G1347-1</f>
        <v>1.2175389781570622E-2</v>
      </c>
      <c r="I1348">
        <f t="shared" si="110"/>
        <v>1</v>
      </c>
      <c r="J1348" t="str">
        <f t="shared" si="107"/>
        <v/>
      </c>
      <c r="K1348">
        <v>1.3129356414079699E-2</v>
      </c>
      <c r="L1348">
        <v>1.40511123463512E-2</v>
      </c>
      <c r="M1348">
        <v>-2.5649508751928798E-2</v>
      </c>
      <c r="N1348">
        <v>3.8612955249845999E-3</v>
      </c>
      <c r="O1348" t="str">
        <f t="shared" si="108"/>
        <v/>
      </c>
    </row>
    <row r="1349" spans="1:15" x14ac:dyDescent="0.35">
      <c r="A1349" t="s">
        <v>94</v>
      </c>
      <c r="B1349">
        <v>2008</v>
      </c>
      <c r="C1349">
        <v>9748624</v>
      </c>
      <c r="D1349" s="8">
        <v>0.950139939785004</v>
      </c>
      <c r="E1349" s="8">
        <v>7.0000000000000001E-3</v>
      </c>
      <c r="F1349">
        <v>2.6619290466840302</v>
      </c>
      <c r="G1349">
        <f t="shared" si="109"/>
        <v>2.8016178830313847</v>
      </c>
      <c r="H1349">
        <f t="shared" si="111"/>
        <v>4.7494735214694828E-3</v>
      </c>
      <c r="I1349">
        <f t="shared" si="110"/>
        <v>1</v>
      </c>
      <c r="J1349" t="str">
        <f t="shared" si="107"/>
        <v/>
      </c>
      <c r="K1349">
        <v>-2.5649508751928798E-2</v>
      </c>
      <c r="L1349">
        <v>3.8612955249845999E-3</v>
      </c>
      <c r="M1349">
        <v>-6.5898881018161798E-2</v>
      </c>
      <c r="N1349">
        <v>-3.9332179352641099E-2</v>
      </c>
      <c r="O1349" t="str">
        <f t="shared" si="108"/>
        <v/>
      </c>
    </row>
    <row r="1350" spans="1:15" x14ac:dyDescent="0.35">
      <c r="A1350" t="s">
        <v>94</v>
      </c>
      <c r="B1350">
        <v>2009</v>
      </c>
      <c r="C1350">
        <v>9796896</v>
      </c>
      <c r="D1350" s="8">
        <v>0.947016000747681</v>
      </c>
      <c r="E1350" s="8">
        <v>4.0000000000000001E-3</v>
      </c>
      <c r="F1350">
        <v>2.7314905167674501</v>
      </c>
      <c r="G1350">
        <f t="shared" si="109"/>
        <v>2.8843129520630106</v>
      </c>
      <c r="H1350">
        <f t="shared" si="111"/>
        <v>2.9516897908343109E-2</v>
      </c>
      <c r="I1350">
        <f t="shared" si="110"/>
        <v>1</v>
      </c>
      <c r="J1350" t="str">
        <f t="shared" si="107"/>
        <v/>
      </c>
      <c r="K1350">
        <v>-6.5898881018161798E-2</v>
      </c>
      <c r="L1350">
        <v>-3.9332179352641099E-2</v>
      </c>
      <c r="M1350">
        <v>-2.54772074371576E-2</v>
      </c>
      <c r="N1350">
        <v>-1.6017098678275901E-2</v>
      </c>
      <c r="O1350" t="str">
        <f t="shared" si="108"/>
        <v/>
      </c>
    </row>
    <row r="1351" spans="1:15" x14ac:dyDescent="0.35">
      <c r="A1351" t="s">
        <v>94</v>
      </c>
      <c r="B1351">
        <v>2010</v>
      </c>
      <c r="C1351">
        <v>9837448</v>
      </c>
      <c r="D1351" s="8">
        <v>0.949254870414734</v>
      </c>
      <c r="E1351" s="8">
        <v>3.0000000000000001E-3</v>
      </c>
      <c r="F1351">
        <v>2.7270718058544499</v>
      </c>
      <c r="G1351">
        <f t="shared" si="109"/>
        <v>2.8728552160738232</v>
      </c>
      <c r="H1351">
        <f t="shared" si="111"/>
        <v>-3.9724316256987136E-3</v>
      </c>
      <c r="I1351">
        <f t="shared" si="110"/>
        <v>0</v>
      </c>
      <c r="J1351">
        <f t="shared" ref="J1351:J1414" si="112">IF(AND(B1351&gt;=2010,B1351&lt;=2018),SUM(I1347:I1351),"")</f>
        <v>4</v>
      </c>
      <c r="K1351">
        <v>-2.54772074371576E-2</v>
      </c>
      <c r="L1351">
        <v>-1.6017098678275901E-2</v>
      </c>
      <c r="M1351">
        <v>-1.9595724873244801E-2</v>
      </c>
      <c r="N1351">
        <v>1.6880496405064899E-3</v>
      </c>
      <c r="O1351">
        <f t="shared" ref="O1351:O1414" si="113">IF(B1351&gt;=2010,AVERAGE(N1351:N1355),"")</f>
        <v>8.388886321336015E-3</v>
      </c>
    </row>
    <row r="1352" spans="1:15" x14ac:dyDescent="0.35">
      <c r="A1352" t="s">
        <v>94</v>
      </c>
      <c r="B1352">
        <v>2011</v>
      </c>
      <c r="C1352">
        <v>9894416</v>
      </c>
      <c r="D1352" s="8">
        <v>0.95190495252609297</v>
      </c>
      <c r="E1352" s="8">
        <v>0</v>
      </c>
      <c r="F1352">
        <v>2.7194071900082002</v>
      </c>
      <c r="G1352">
        <f t="shared" si="109"/>
        <v>2.8568053804023648</v>
      </c>
      <c r="H1352">
        <f t="shared" si="111"/>
        <v>-5.5867192964192958E-3</v>
      </c>
      <c r="I1352">
        <f t="shared" si="110"/>
        <v>0</v>
      </c>
      <c r="J1352">
        <f t="shared" si="112"/>
        <v>3</v>
      </c>
      <c r="K1352">
        <v>-1.9595724873244801E-2</v>
      </c>
      <c r="L1352">
        <v>1.6880496405064899E-3</v>
      </c>
      <c r="M1352">
        <v>-2.1652563512325001E-3</v>
      </c>
      <c r="N1352">
        <v>3.27294971793889E-3</v>
      </c>
      <c r="O1352">
        <f t="shared" si="113"/>
        <v>1.0200259275734419E-2</v>
      </c>
    </row>
    <row r="1353" spans="1:15" x14ac:dyDescent="0.35">
      <c r="A1353" t="s">
        <v>94</v>
      </c>
      <c r="B1353">
        <v>2012</v>
      </c>
      <c r="C1353">
        <v>9957451</v>
      </c>
      <c r="D1353" s="8">
        <v>0.95442414283752397</v>
      </c>
      <c r="E1353" s="8">
        <v>1E-3</v>
      </c>
      <c r="F1353">
        <v>2.6981334807606001</v>
      </c>
      <c r="G1353">
        <f t="shared" si="109"/>
        <v>2.8269753033897382</v>
      </c>
      <c r="H1353">
        <f t="shared" si="111"/>
        <v>-1.0441760302350445E-2</v>
      </c>
      <c r="I1353">
        <f t="shared" si="110"/>
        <v>0</v>
      </c>
      <c r="J1353">
        <f t="shared" si="112"/>
        <v>2</v>
      </c>
      <c r="K1353">
        <v>-2.1652563512325001E-3</v>
      </c>
      <c r="L1353">
        <v>3.1873509287833899E-3</v>
      </c>
      <c r="M1353">
        <v>1.09333997964859E-2</v>
      </c>
      <c r="N1353">
        <v>4.8066284507513003E-3</v>
      </c>
      <c r="O1353">
        <f t="shared" si="113"/>
        <v>1.1111309006810198E-2</v>
      </c>
    </row>
    <row r="1354" spans="1:15" x14ac:dyDescent="0.35">
      <c r="A1354" t="s">
        <v>94</v>
      </c>
      <c r="B1354">
        <v>2013</v>
      </c>
      <c r="C1354">
        <v>10014050</v>
      </c>
      <c r="D1354" s="8">
        <v>0.95671969652175903</v>
      </c>
      <c r="E1354" s="8">
        <v>3.0000000000000001E-3</v>
      </c>
      <c r="F1354">
        <v>2.70588769471712</v>
      </c>
      <c r="G1354">
        <f t="shared" si="109"/>
        <v>2.8282972583867765</v>
      </c>
      <c r="H1354">
        <f t="shared" si="111"/>
        <v>4.6762169993241898E-4</v>
      </c>
      <c r="I1354">
        <f t="shared" si="110"/>
        <v>1</v>
      </c>
      <c r="J1354">
        <f t="shared" si="112"/>
        <v>2</v>
      </c>
      <c r="K1354">
        <v>1.09333997964859E-2</v>
      </c>
      <c r="L1354">
        <v>4.8066284507513003E-3</v>
      </c>
      <c r="M1354">
        <v>1.3834419488906799E-2</v>
      </c>
      <c r="N1354">
        <v>1.18263959884643E-2</v>
      </c>
      <c r="O1354">
        <f t="shared" si="113"/>
        <v>9.9654138088226384E-3</v>
      </c>
    </row>
    <row r="1355" spans="1:15" x14ac:dyDescent="0.35">
      <c r="A1355" t="s">
        <v>94</v>
      </c>
      <c r="B1355">
        <v>2014</v>
      </c>
      <c r="C1355">
        <v>10065330</v>
      </c>
      <c r="D1355" s="8">
        <v>0.95723634958267201</v>
      </c>
      <c r="E1355" s="8">
        <v>7.0000000000000001E-3</v>
      </c>
      <c r="F1355">
        <v>2.708463510718</v>
      </c>
      <c r="G1355">
        <f t="shared" si="109"/>
        <v>2.8294616182292005</v>
      </c>
      <c r="H1355">
        <f t="shared" si="111"/>
        <v>4.1168227242427413E-4</v>
      </c>
      <c r="I1355">
        <f t="shared" si="110"/>
        <v>1</v>
      </c>
      <c r="J1355">
        <f t="shared" si="112"/>
        <v>2</v>
      </c>
      <c r="K1355">
        <v>1.3834419488906799E-2</v>
      </c>
      <c r="L1355">
        <v>1.18263959884643E-2</v>
      </c>
      <c r="M1355">
        <v>5.0613859832286799E-2</v>
      </c>
      <c r="N1355">
        <v>2.0350407809019099E-2</v>
      </c>
      <c r="O1355">
        <f t="shared" si="113"/>
        <v>5.284300446510337E-3</v>
      </c>
    </row>
    <row r="1356" spans="1:15" x14ac:dyDescent="0.35">
      <c r="A1356" t="s">
        <v>94</v>
      </c>
      <c r="B1356">
        <v>2015</v>
      </c>
      <c r="C1356">
        <v>10106460</v>
      </c>
      <c r="D1356" s="8">
        <v>0.95834237337112405</v>
      </c>
      <c r="E1356" s="8">
        <v>8.0000000000000002E-3</v>
      </c>
      <c r="F1356">
        <v>2.68491637881186</v>
      </c>
      <c r="G1356">
        <f t="shared" si="109"/>
        <v>2.8016254455776939</v>
      </c>
      <c r="H1356">
        <f t="shared" si="111"/>
        <v>-9.8379749957264728E-3</v>
      </c>
      <c r="I1356">
        <f t="shared" si="110"/>
        <v>0</v>
      </c>
      <c r="J1356">
        <f t="shared" si="112"/>
        <v>2</v>
      </c>
      <c r="K1356">
        <v>5.0613859832286799E-2</v>
      </c>
      <c r="L1356">
        <v>2.0350407809019099E-2</v>
      </c>
      <c r="M1356">
        <v>2.38984714150429E-2</v>
      </c>
      <c r="N1356">
        <v>1.07449144124985E-2</v>
      </c>
      <c r="O1356">
        <f t="shared" si="113"/>
        <v>-6.9014880806207227E-3</v>
      </c>
    </row>
    <row r="1357" spans="1:15" x14ac:dyDescent="0.35">
      <c r="A1357" t="s">
        <v>94</v>
      </c>
      <c r="B1357">
        <v>2016</v>
      </c>
      <c r="C1357">
        <v>10124210</v>
      </c>
      <c r="D1357" s="8">
        <v>0.95450836420059204</v>
      </c>
      <c r="E1357" s="8">
        <v>1.0999999999999999E-2</v>
      </c>
      <c r="F1357">
        <v>2.67735884895865</v>
      </c>
      <c r="G1357">
        <f t="shared" si="109"/>
        <v>2.8049611185973822</v>
      </c>
      <c r="H1357">
        <f t="shared" si="111"/>
        <v>1.190620618096494E-3</v>
      </c>
      <c r="I1357">
        <f t="shared" si="110"/>
        <v>1</v>
      </c>
      <c r="J1357">
        <f t="shared" si="112"/>
        <v>3</v>
      </c>
      <c r="K1357">
        <v>2.38984714150429E-2</v>
      </c>
      <c r="L1357">
        <v>1.07449144124985E-2</v>
      </c>
      <c r="M1357">
        <v>1.0617771834135E-2</v>
      </c>
      <c r="N1357">
        <v>7.8281983733177896E-3</v>
      </c>
      <c r="O1357">
        <f t="shared" si="113"/>
        <v>-1.463280804455278E-2</v>
      </c>
    </row>
    <row r="1358" spans="1:15" x14ac:dyDescent="0.35">
      <c r="A1358" t="s">
        <v>94</v>
      </c>
      <c r="B1358">
        <v>2017</v>
      </c>
      <c r="C1358">
        <v>10118800</v>
      </c>
      <c r="D1358" s="8">
        <v>0.95657926797866799</v>
      </c>
      <c r="E1358" s="8">
        <v>4.0000000000000001E-3</v>
      </c>
      <c r="F1358">
        <v>2.6684840419593501</v>
      </c>
      <c r="G1358">
        <f t="shared" si="109"/>
        <v>2.7896109933451516</v>
      </c>
      <c r="H1358">
        <f t="shared" si="111"/>
        <v>-5.4724912764232414E-3</v>
      </c>
      <c r="I1358">
        <f t="shared" si="110"/>
        <v>0</v>
      </c>
      <c r="J1358">
        <f t="shared" si="112"/>
        <v>3</v>
      </c>
      <c r="K1358">
        <v>1.0617771834135E-2</v>
      </c>
      <c r="L1358">
        <v>7.8281983733177896E-3</v>
      </c>
      <c r="M1358">
        <v>8.2121754288672893E-3</v>
      </c>
      <c r="N1358">
        <v>-9.2284753918649804E-4</v>
      </c>
      <c r="O1358">
        <f t="shared" si="113"/>
        <v>-1.9288060441613162E-2</v>
      </c>
    </row>
    <row r="1359" spans="1:15" x14ac:dyDescent="0.35">
      <c r="A1359" t="s">
        <v>94</v>
      </c>
      <c r="B1359">
        <v>2018</v>
      </c>
      <c r="C1359">
        <v>10087440</v>
      </c>
      <c r="D1359" s="8">
        <v>0.95433163642883301</v>
      </c>
      <c r="E1359" s="8">
        <v>0.01</v>
      </c>
      <c r="F1359">
        <v>2.64111216040645</v>
      </c>
      <c r="G1359">
        <f t="shared" si="109"/>
        <v>2.767499325800046</v>
      </c>
      <c r="H1359">
        <f t="shared" si="111"/>
        <v>-7.9264340432607661E-3</v>
      </c>
      <c r="I1359">
        <f t="shared" si="110"/>
        <v>0</v>
      </c>
      <c r="J1359">
        <f t="shared" si="112"/>
        <v>2</v>
      </c>
      <c r="K1359">
        <v>8.2121754288672893E-3</v>
      </c>
      <c r="L1359">
        <v>-9.2284753918649804E-4</v>
      </c>
      <c r="M1359">
        <v>6.2220237851143001E-3</v>
      </c>
      <c r="N1359">
        <v>-1.15791708230972E-2</v>
      </c>
      <c r="O1359">
        <f t="shared" si="113"/>
        <v>-2.28247343562543E-2</v>
      </c>
    </row>
    <row r="1360" spans="1:15" x14ac:dyDescent="0.35">
      <c r="A1360" t="s">
        <v>94</v>
      </c>
      <c r="B1360">
        <v>2019</v>
      </c>
      <c r="C1360">
        <v>10041540</v>
      </c>
      <c r="D1360" s="8">
        <v>0.94974148273467995</v>
      </c>
      <c r="E1360" s="8">
        <v>1.0999999999999999E-2</v>
      </c>
      <c r="F1360">
        <v>2.6503616664891898</v>
      </c>
      <c r="G1360">
        <f t="shared" si="109"/>
        <v>2.7906137771909827</v>
      </c>
      <c r="H1360">
        <f t="shared" si="111"/>
        <v>8.3521073249961386E-3</v>
      </c>
      <c r="I1360">
        <f t="shared" si="110"/>
        <v>1</v>
      </c>
      <c r="J1360" t="str">
        <f t="shared" si="112"/>
        <v/>
      </c>
      <c r="K1360">
        <v>6.2220237851143001E-3</v>
      </c>
      <c r="L1360">
        <v>-1.15791708230972E-2</v>
      </c>
      <c r="M1360">
        <v>-2.17293443977832E-2</v>
      </c>
      <c r="N1360">
        <v>-4.0578534826636203E-2</v>
      </c>
      <c r="O1360">
        <f t="shared" si="113"/>
        <v>-2.1212962362915241E-2</v>
      </c>
    </row>
    <row r="1361" spans="1:15" x14ac:dyDescent="0.35">
      <c r="A1361" t="s">
        <v>94</v>
      </c>
      <c r="B1361">
        <v>2020</v>
      </c>
      <c r="C1361">
        <v>9949473</v>
      </c>
      <c r="D1361" s="8">
        <v>0.94025248289108299</v>
      </c>
      <c r="E1361" s="8">
        <v>1.0999999999999999E-2</v>
      </c>
      <c r="F1361">
        <v>2.5960749845634798</v>
      </c>
      <c r="G1361">
        <f t="shared" si="109"/>
        <v>2.7610402863080812</v>
      </c>
      <c r="H1361">
        <f t="shared" si="111"/>
        <v>-1.0597486160435321E-2</v>
      </c>
      <c r="I1361">
        <f t="shared" si="110"/>
        <v>0</v>
      </c>
      <c r="J1361" t="str">
        <f t="shared" si="112"/>
        <v/>
      </c>
      <c r="K1361">
        <v>-2.17293443977832E-2</v>
      </c>
      <c r="L1361">
        <v>-4.0578534826636203E-2</v>
      </c>
      <c r="M1361">
        <v>1.5677927315234999E-2</v>
      </c>
      <c r="N1361">
        <v>-2.7911685407161799E-2</v>
      </c>
      <c r="O1361">
        <f t="shared" si="113"/>
        <v>-1.737508028745648E-2</v>
      </c>
    </row>
    <row r="1362" spans="1:15" x14ac:dyDescent="0.35">
      <c r="A1362" t="s">
        <v>94</v>
      </c>
      <c r="B1362">
        <v>2021</v>
      </c>
      <c r="C1362">
        <v>9791866</v>
      </c>
      <c r="D1362" s="8">
        <v>0.95932030677795399</v>
      </c>
      <c r="E1362" s="8">
        <v>1.0999999999999999E-2</v>
      </c>
      <c r="F1362">
        <v>2.60868053719663</v>
      </c>
      <c r="G1362">
        <f t="shared" si="109"/>
        <v>2.7193008620429837</v>
      </c>
      <c r="H1362">
        <f t="shared" si="111"/>
        <v>-1.5117281870924537E-2</v>
      </c>
      <c r="I1362">
        <f t="shared" si="110"/>
        <v>0</v>
      </c>
      <c r="J1362" t="str">
        <f t="shared" si="112"/>
        <v/>
      </c>
      <c r="K1362">
        <v>1.5677927315234999E-2</v>
      </c>
      <c r="L1362">
        <v>-2.7911685407161799E-2</v>
      </c>
      <c r="M1362">
        <v>-4.7551570385694499E-2</v>
      </c>
      <c r="N1362">
        <v>-1.54480636119841E-2</v>
      </c>
      <c r="O1362">
        <f t="shared" si="113"/>
        <v>-1.204497404396529E-2</v>
      </c>
    </row>
    <row r="1363" spans="1:15" x14ac:dyDescent="0.35">
      <c r="A1363" t="s">
        <v>94</v>
      </c>
      <c r="B1363">
        <v>2022</v>
      </c>
      <c r="C1363">
        <v>9742531</v>
      </c>
      <c r="D1363" s="8">
        <v>0.95459681749343905</v>
      </c>
      <c r="E1363" s="8">
        <v>8.9999999999999993E-3</v>
      </c>
      <c r="F1363">
        <v>2.5475231506711702</v>
      </c>
      <c r="G1363">
        <f t="shared" si="109"/>
        <v>2.6686901778704906</v>
      </c>
      <c r="H1363">
        <f t="shared" si="111"/>
        <v>-1.8611653046169296E-2</v>
      </c>
      <c r="I1363">
        <f t="shared" si="110"/>
        <v>0</v>
      </c>
      <c r="J1363" t="str">
        <f t="shared" si="112"/>
        <v/>
      </c>
      <c r="K1363">
        <v>-4.7551570385694499E-2</v>
      </c>
      <c r="L1363">
        <v>-1.49693600833415E-2</v>
      </c>
      <c r="M1363">
        <v>-3.8165144886821503E-2</v>
      </c>
      <c r="N1363">
        <v>-1.8606217112392201E-2</v>
      </c>
      <c r="O1363">
        <f t="shared" si="113"/>
        <v>-8.4275807719677524E-3</v>
      </c>
    </row>
    <row r="1364" spans="1:15" x14ac:dyDescent="0.35">
      <c r="A1364" t="s">
        <v>95</v>
      </c>
      <c r="B1364">
        <v>2006</v>
      </c>
      <c r="C1364">
        <v>1191005</v>
      </c>
      <c r="D1364" s="8">
        <v>0.92997735738754295</v>
      </c>
      <c r="E1364" s="8">
        <v>6.0000000000000001E-3</v>
      </c>
      <c r="F1364">
        <v>2.13482285441762</v>
      </c>
      <c r="G1364">
        <f t="shared" si="109"/>
        <v>2.2955643354744497</v>
      </c>
      <c r="H1364">
        <f t="shared" si="111"/>
        <v>-0.13981609610965806</v>
      </c>
      <c r="I1364">
        <f t="shared" si="110"/>
        <v>0</v>
      </c>
      <c r="J1364" t="str">
        <f t="shared" si="112"/>
        <v/>
      </c>
      <c r="K1364">
        <v>3.1407972455024698E-2</v>
      </c>
      <c r="L1364">
        <v>2.50449329614639E-2</v>
      </c>
      <c r="M1364">
        <v>-4.4420667886733997E-3</v>
      </c>
      <c r="N1364">
        <v>-3.5203108564018999E-3</v>
      </c>
      <c r="O1364" t="str">
        <f t="shared" si="113"/>
        <v/>
      </c>
    </row>
    <row r="1365" spans="1:15" x14ac:dyDescent="0.35">
      <c r="A1365" t="s">
        <v>95</v>
      </c>
      <c r="B1365">
        <v>2007</v>
      </c>
      <c r="C1365">
        <v>1206245</v>
      </c>
      <c r="D1365" s="8">
        <v>0.91400521993637096</v>
      </c>
      <c r="E1365" s="8">
        <v>1.2E-2</v>
      </c>
      <c r="F1365">
        <v>2.1466455613859998</v>
      </c>
      <c r="G1365">
        <f t="shared" si="109"/>
        <v>2.3486141157218334</v>
      </c>
      <c r="H1365">
        <f t="shared" si="111"/>
        <v>2.3109690034637698E-2</v>
      </c>
      <c r="I1365">
        <f t="shared" si="110"/>
        <v>1</v>
      </c>
      <c r="J1365" t="str">
        <f t="shared" si="112"/>
        <v/>
      </c>
      <c r="K1365">
        <v>-4.4420667886733997E-3</v>
      </c>
      <c r="L1365">
        <v>-3.5203108564018999E-3</v>
      </c>
      <c r="M1365">
        <v>-5.08999287262559E-2</v>
      </c>
      <c r="N1365">
        <v>-2.1389124449342399E-2</v>
      </c>
      <c r="O1365" t="str">
        <f t="shared" si="113"/>
        <v/>
      </c>
    </row>
    <row r="1366" spans="1:15" x14ac:dyDescent="0.35">
      <c r="A1366" t="s">
        <v>95</v>
      </c>
      <c r="B1366">
        <v>2008</v>
      </c>
      <c r="C1366">
        <v>1219683</v>
      </c>
      <c r="D1366" s="8">
        <v>0.91252386569976796</v>
      </c>
      <c r="E1366" s="8">
        <v>8.9999999999999993E-3</v>
      </c>
      <c r="F1366">
        <v>2.1421657119301698</v>
      </c>
      <c r="G1366">
        <f t="shared" si="109"/>
        <v>2.3475174649678365</v>
      </c>
      <c r="H1366">
        <f t="shared" si="111"/>
        <v>-4.6693526478269742E-4</v>
      </c>
      <c r="I1366">
        <f t="shared" si="110"/>
        <v>0</v>
      </c>
      <c r="J1366" t="str">
        <f t="shared" si="112"/>
        <v/>
      </c>
      <c r="K1366">
        <v>-5.08999287262559E-2</v>
      </c>
      <c r="L1366">
        <v>-2.1389124449342399E-2</v>
      </c>
      <c r="M1366">
        <v>-2.7827855855226499E-2</v>
      </c>
      <c r="N1366">
        <v>-1.26115418970585E-3</v>
      </c>
      <c r="O1366" t="str">
        <f t="shared" si="113"/>
        <v/>
      </c>
    </row>
    <row r="1367" spans="1:15" x14ac:dyDescent="0.35">
      <c r="A1367" t="s">
        <v>95</v>
      </c>
      <c r="B1367">
        <v>2009</v>
      </c>
      <c r="C1367">
        <v>1230579</v>
      </c>
      <c r="D1367" s="8">
        <v>0.916528820991516</v>
      </c>
      <c r="E1367" s="8">
        <v>1.0999999999999999E-2</v>
      </c>
      <c r="F1367">
        <v>2.25280951426471</v>
      </c>
      <c r="G1367">
        <f t="shared" si="109"/>
        <v>2.4579800031029939</v>
      </c>
      <c r="H1367">
        <f t="shared" si="111"/>
        <v>4.7055044225909892E-2</v>
      </c>
      <c r="I1367">
        <f t="shared" si="110"/>
        <v>1</v>
      </c>
      <c r="J1367" t="str">
        <f t="shared" si="112"/>
        <v/>
      </c>
      <c r="K1367">
        <v>-2.7827855855226499E-2</v>
      </c>
      <c r="L1367">
        <v>-1.26115418970585E-3</v>
      </c>
      <c r="M1367">
        <v>-6.8212060108780899E-3</v>
      </c>
      <c r="N1367">
        <v>2.6389027480035899E-3</v>
      </c>
      <c r="O1367" t="str">
        <f t="shared" si="113"/>
        <v/>
      </c>
    </row>
    <row r="1368" spans="1:15" x14ac:dyDescent="0.35">
      <c r="A1368" t="s">
        <v>95</v>
      </c>
      <c r="B1368">
        <v>2010</v>
      </c>
      <c r="C1368">
        <v>1240353</v>
      </c>
      <c r="D1368" s="8">
        <v>0.92830425500869795</v>
      </c>
      <c r="E1368" s="8">
        <v>0</v>
      </c>
      <c r="F1368">
        <v>2.2087632353983602</v>
      </c>
      <c r="G1368">
        <f t="shared" si="109"/>
        <v>2.3793526998081731</v>
      </c>
      <c r="H1368">
        <f t="shared" si="111"/>
        <v>-3.1988585421997118E-2</v>
      </c>
      <c r="I1368">
        <f t="shared" si="110"/>
        <v>0</v>
      </c>
      <c r="J1368">
        <f t="shared" si="112"/>
        <v>2</v>
      </c>
      <c r="K1368">
        <v>-6.8212060108780899E-3</v>
      </c>
      <c r="L1368">
        <v>2.6389027480035899E-3</v>
      </c>
      <c r="M1368">
        <v>-2.34531437680125E-2</v>
      </c>
      <c r="N1368">
        <v>-2.1693692542612201E-3</v>
      </c>
      <c r="O1368">
        <f t="shared" si="113"/>
        <v>-2.311365678906198E-5</v>
      </c>
    </row>
    <row r="1369" spans="1:15" x14ac:dyDescent="0.35">
      <c r="A1369" t="s">
        <v>95</v>
      </c>
      <c r="B1369">
        <v>2011</v>
      </c>
      <c r="C1369">
        <v>1249306</v>
      </c>
      <c r="D1369" s="8">
        <v>0.92894726991653398</v>
      </c>
      <c r="E1369" s="8">
        <v>2E-3</v>
      </c>
      <c r="F1369">
        <v>2.29396832991115</v>
      </c>
      <c r="G1369">
        <f t="shared" si="109"/>
        <v>2.4694279257823357</v>
      </c>
      <c r="H1369">
        <f t="shared" si="111"/>
        <v>3.7857029763357364E-2</v>
      </c>
      <c r="I1369">
        <f t="shared" si="110"/>
        <v>1</v>
      </c>
      <c r="J1369">
        <f t="shared" si="112"/>
        <v>3</v>
      </c>
      <c r="K1369">
        <v>-2.34531437680125E-2</v>
      </c>
      <c r="L1369">
        <v>-2.1693692542612201E-3</v>
      </c>
      <c r="M1369">
        <v>5.0808430612086898E-3</v>
      </c>
      <c r="N1369">
        <v>1.05190491303801E-2</v>
      </c>
      <c r="O1369">
        <f t="shared" si="113"/>
        <v>9.0116262435912219E-4</v>
      </c>
    </row>
    <row r="1370" spans="1:15" x14ac:dyDescent="0.35">
      <c r="A1370" t="s">
        <v>95</v>
      </c>
      <c r="B1370">
        <v>2012</v>
      </c>
      <c r="C1370">
        <v>1260417</v>
      </c>
      <c r="D1370" s="8">
        <v>0.93494242429733299</v>
      </c>
      <c r="E1370" s="8">
        <v>6.0000000000000001E-3</v>
      </c>
      <c r="F1370">
        <v>2.25423092094141</v>
      </c>
      <c r="G1370">
        <f t="shared" si="109"/>
        <v>2.4110906322767458</v>
      </c>
      <c r="H1370">
        <f t="shared" si="111"/>
        <v>-2.3623808938302293E-2</v>
      </c>
      <c r="I1370">
        <f t="shared" si="110"/>
        <v>0</v>
      </c>
      <c r="J1370">
        <f t="shared" si="112"/>
        <v>2</v>
      </c>
      <c r="K1370">
        <v>5.0808430612086898E-3</v>
      </c>
      <c r="L1370">
        <v>1.0433450341224599E-2</v>
      </c>
      <c r="M1370">
        <v>8.1683328747749005E-3</v>
      </c>
      <c r="N1370">
        <v>2.0415615290403002E-3</v>
      </c>
      <c r="O1370">
        <f t="shared" si="113"/>
        <v>-2.395321987569316E-3</v>
      </c>
    </row>
    <row r="1371" spans="1:15" x14ac:dyDescent="0.35">
      <c r="A1371" t="s">
        <v>95</v>
      </c>
      <c r="B1371">
        <v>2013</v>
      </c>
      <c r="C1371">
        <v>1272802</v>
      </c>
      <c r="D1371" s="8">
        <v>0.92914193868637096</v>
      </c>
      <c r="E1371" s="8">
        <v>0.01</v>
      </c>
      <c r="F1371">
        <v>2.1833448355187399</v>
      </c>
      <c r="G1371">
        <f t="shared" si="109"/>
        <v>2.3498507005351326</v>
      </c>
      <c r="H1371">
        <f t="shared" si="111"/>
        <v>-2.539926576040219E-2</v>
      </c>
      <c r="I1371">
        <f t="shared" si="110"/>
        <v>0</v>
      </c>
      <c r="J1371">
        <f t="shared" si="112"/>
        <v>2</v>
      </c>
      <c r="K1371">
        <v>8.1683328747749005E-3</v>
      </c>
      <c r="L1371">
        <v>2.0415615290403002E-3</v>
      </c>
      <c r="M1371">
        <v>-4.0968062207102996E-3</v>
      </c>
      <c r="N1371">
        <v>-6.1048297211527998E-3</v>
      </c>
      <c r="O1371">
        <f t="shared" si="113"/>
        <v>-3.4211007878183937E-3</v>
      </c>
    </row>
    <row r="1372" spans="1:15" x14ac:dyDescent="0.35">
      <c r="A1372" t="s">
        <v>95</v>
      </c>
      <c r="B1372">
        <v>2014</v>
      </c>
      <c r="C1372">
        <v>1281726</v>
      </c>
      <c r="D1372" s="8">
        <v>0.92679601907730103</v>
      </c>
      <c r="E1372" s="8">
        <v>2.3E-2</v>
      </c>
      <c r="F1372">
        <v>2.1892966212613301</v>
      </c>
      <c r="G1372">
        <f t="shared" si="109"/>
        <v>2.3622205708662287</v>
      </c>
      <c r="H1372">
        <f t="shared" si="111"/>
        <v>5.2641090467062668E-3</v>
      </c>
      <c r="I1372">
        <f t="shared" si="110"/>
        <v>1</v>
      </c>
      <c r="J1372">
        <f t="shared" si="112"/>
        <v>2</v>
      </c>
      <c r="K1372">
        <v>-4.0968062207102996E-3</v>
      </c>
      <c r="L1372">
        <v>-6.1048297211527998E-3</v>
      </c>
      <c r="M1372">
        <v>2.5861472055315901E-2</v>
      </c>
      <c r="N1372">
        <v>-4.4019799679516896E-3</v>
      </c>
      <c r="O1372">
        <f t="shared" si="113"/>
        <v>-2.9101289808749738E-3</v>
      </c>
    </row>
    <row r="1373" spans="1:15" x14ac:dyDescent="0.35">
      <c r="A1373" t="s">
        <v>95</v>
      </c>
      <c r="B1373">
        <v>2015</v>
      </c>
      <c r="C1373">
        <v>1290165</v>
      </c>
      <c r="D1373" s="8">
        <v>0.93215334415435802</v>
      </c>
      <c r="E1373" s="8">
        <v>2.9000000000000001E-2</v>
      </c>
      <c r="F1373">
        <v>2.2466023217977402</v>
      </c>
      <c r="G1373">
        <f t="shared" si="109"/>
        <v>2.4101209697808246</v>
      </c>
      <c r="H1373">
        <f t="shared" si="111"/>
        <v>2.0277699510943936E-2</v>
      </c>
      <c r="I1373">
        <f t="shared" si="110"/>
        <v>1</v>
      </c>
      <c r="J1373">
        <f t="shared" si="112"/>
        <v>3</v>
      </c>
      <c r="K1373">
        <v>2.5861472055315901E-2</v>
      </c>
      <c r="L1373">
        <v>-4.4019799679516896E-3</v>
      </c>
      <c r="M1373">
        <v>1.56055691540241E-2</v>
      </c>
      <c r="N1373">
        <v>2.4520121514796998E-3</v>
      </c>
      <c r="O1373">
        <f t="shared" si="113"/>
        <v>-3.8980845361947765E-3</v>
      </c>
    </row>
    <row r="1374" spans="1:15" x14ac:dyDescent="0.35">
      <c r="A1374" t="s">
        <v>95</v>
      </c>
      <c r="B1374">
        <v>2016</v>
      </c>
      <c r="C1374">
        <v>1298407</v>
      </c>
      <c r="D1374" s="8">
        <v>0.92865264415741</v>
      </c>
      <c r="E1374" s="8">
        <v>2.1000000000000001E-2</v>
      </c>
      <c r="F1374">
        <v>2.1573567989767302</v>
      </c>
      <c r="G1374">
        <f t="shared" si="109"/>
        <v>2.3231041364601448</v>
      </c>
      <c r="H1374">
        <f t="shared" si="111"/>
        <v>-3.6104757566834067E-2</v>
      </c>
      <c r="I1374">
        <f t="shared" si="110"/>
        <v>0</v>
      </c>
      <c r="J1374">
        <f t="shared" si="112"/>
        <v>2</v>
      </c>
      <c r="K1374">
        <v>1.56055691540241E-2</v>
      </c>
      <c r="L1374">
        <v>2.4520121514796998E-3</v>
      </c>
      <c r="M1374">
        <v>-3.1738004684447999E-3</v>
      </c>
      <c r="N1374">
        <v>-5.9633739292620901E-3</v>
      </c>
      <c r="O1374">
        <f t="shared" si="113"/>
        <v>-8.1868927925824973E-3</v>
      </c>
    </row>
    <row r="1375" spans="1:15" x14ac:dyDescent="0.35">
      <c r="A1375" t="s">
        <v>95</v>
      </c>
      <c r="B1375">
        <v>2017</v>
      </c>
      <c r="C1375">
        <v>1306147</v>
      </c>
      <c r="D1375" s="8">
        <v>0.9237419962883</v>
      </c>
      <c r="E1375" s="8">
        <v>1.4E-2</v>
      </c>
      <c r="F1375">
        <v>2.1711492194758701</v>
      </c>
      <c r="G1375">
        <f t="shared" si="109"/>
        <v>2.3503848782450008</v>
      </c>
      <c r="H1375">
        <f t="shared" si="111"/>
        <v>1.1743228104455605E-2</v>
      </c>
      <c r="I1375">
        <f t="shared" si="110"/>
        <v>1</v>
      </c>
      <c r="J1375">
        <f t="shared" si="112"/>
        <v>3</v>
      </c>
      <c r="K1375">
        <v>-3.1738004684447999E-3</v>
      </c>
      <c r="L1375">
        <v>-5.9633739292620901E-3</v>
      </c>
      <c r="M1375">
        <v>6.0476904958487003E-3</v>
      </c>
      <c r="N1375">
        <v>-3.0873324722050901E-3</v>
      </c>
      <c r="O1375">
        <f t="shared" si="113"/>
        <v>-5.6587833911180396E-3</v>
      </c>
    </row>
    <row r="1376" spans="1:15" x14ac:dyDescent="0.35">
      <c r="A1376" t="s">
        <v>95</v>
      </c>
      <c r="B1376">
        <v>2018</v>
      </c>
      <c r="C1376">
        <v>1310495</v>
      </c>
      <c r="D1376" s="8">
        <v>0.91973793506622303</v>
      </c>
      <c r="E1376" s="8">
        <v>3.7999999999999999E-2</v>
      </c>
      <c r="F1376">
        <v>2.1767608270072198</v>
      </c>
      <c r="G1376">
        <f t="shared" si="109"/>
        <v>2.3667185445063637</v>
      </c>
      <c r="H1376">
        <f t="shared" si="111"/>
        <v>6.9493581296178331E-3</v>
      </c>
      <c r="I1376">
        <f t="shared" si="110"/>
        <v>1</v>
      </c>
      <c r="J1376">
        <f t="shared" si="112"/>
        <v>4</v>
      </c>
      <c r="K1376">
        <v>6.0476904958487003E-3</v>
      </c>
      <c r="L1376">
        <v>-3.0873324722050901E-3</v>
      </c>
      <c r="M1376">
        <v>1.42512239217757E-2</v>
      </c>
      <c r="N1376">
        <v>-3.5499706864356999E-3</v>
      </c>
      <c r="O1376">
        <f t="shared" si="113"/>
        <v>-1.5061914920807017E-3</v>
      </c>
    </row>
    <row r="1377" spans="1:15" x14ac:dyDescent="0.35">
      <c r="A1377" t="s">
        <v>95</v>
      </c>
      <c r="B1377">
        <v>2019</v>
      </c>
      <c r="C1377">
        <v>1315686</v>
      </c>
      <c r="D1377" s="8">
        <v>0.91622328758239702</v>
      </c>
      <c r="E1377" s="8">
        <v>2.5999999999999999E-2</v>
      </c>
      <c r="F1377">
        <v>2.2050352542541698</v>
      </c>
      <c r="G1377">
        <f t="shared" si="109"/>
        <v>2.4066570716320812</v>
      </c>
      <c r="H1377">
        <f t="shared" si="111"/>
        <v>1.6875064091766534E-2</v>
      </c>
      <c r="I1377">
        <f t="shared" si="110"/>
        <v>1</v>
      </c>
      <c r="J1377" t="str">
        <f t="shared" si="112"/>
        <v/>
      </c>
      <c r="K1377">
        <v>1.42512239217757E-2</v>
      </c>
      <c r="L1377">
        <v>-3.5499706864356999E-3</v>
      </c>
      <c r="M1377">
        <v>9.5074326843022899E-3</v>
      </c>
      <c r="N1377">
        <v>-9.3417577445506998E-3</v>
      </c>
      <c r="O1377">
        <f t="shared" si="113"/>
        <v>2.0160092040896185E-3</v>
      </c>
    </row>
    <row r="1378" spans="1:15" x14ac:dyDescent="0.35">
      <c r="A1378" t="s">
        <v>95</v>
      </c>
      <c r="B1378">
        <v>2020</v>
      </c>
      <c r="C1378">
        <v>1318634</v>
      </c>
      <c r="D1378" s="8">
        <v>0.92186337709426902</v>
      </c>
      <c r="E1378" s="8">
        <v>3.1E-2</v>
      </c>
      <c r="F1378">
        <v>2.0146376896187101</v>
      </c>
      <c r="G1378">
        <f t="shared" si="109"/>
        <v>2.1853972504785761</v>
      </c>
      <c r="H1378">
        <f t="shared" si="111"/>
        <v>-9.1936580313645266E-2</v>
      </c>
      <c r="I1378">
        <f t="shared" si="110"/>
        <v>0</v>
      </c>
      <c r="J1378" t="str">
        <f t="shared" si="112"/>
        <v/>
      </c>
      <c r="K1378">
        <v>9.5074326843022899E-3</v>
      </c>
      <c r="L1378">
        <v>-9.3417577445506998E-3</v>
      </c>
      <c r="M1378">
        <v>2.4597583591938001E-2</v>
      </c>
      <c r="N1378">
        <v>-1.8992029130458901E-2</v>
      </c>
      <c r="O1378">
        <f t="shared" si="113"/>
        <v>4.1110596619546155E-3</v>
      </c>
    </row>
    <row r="1379" spans="1:15" x14ac:dyDescent="0.35">
      <c r="A1379" t="s">
        <v>95</v>
      </c>
      <c r="B1379">
        <v>2021</v>
      </c>
      <c r="C1379">
        <v>1318255</v>
      </c>
      <c r="D1379" s="8">
        <v>0.94304621219634999</v>
      </c>
      <c r="E1379" s="8">
        <v>2.5999999999999999E-2</v>
      </c>
      <c r="F1379">
        <v>2.1197106163967798</v>
      </c>
      <c r="G1379">
        <f t="shared" si="109"/>
        <v>2.247727194047028</v>
      </c>
      <c r="H1379">
        <f t="shared" si="111"/>
        <v>2.8521104597712066E-2</v>
      </c>
      <c r="I1379">
        <f t="shared" si="110"/>
        <v>1</v>
      </c>
      <c r="J1379" t="str">
        <f t="shared" si="112"/>
        <v/>
      </c>
      <c r="K1379">
        <v>2.4597583591938001E-2</v>
      </c>
      <c r="L1379">
        <v>-1.8992029130458901E-2</v>
      </c>
      <c r="M1379">
        <v>-2.5426333695650099E-2</v>
      </c>
      <c r="N1379">
        <v>6.67717307806019E-3</v>
      </c>
      <c r="O1379">
        <f t="shared" si="113"/>
        <v>7.6813201420009069E-3</v>
      </c>
    </row>
    <row r="1380" spans="1:15" x14ac:dyDescent="0.35">
      <c r="A1380" t="s">
        <v>95</v>
      </c>
      <c r="B1380">
        <v>2022</v>
      </c>
      <c r="C1380">
        <v>1324078</v>
      </c>
      <c r="D1380" s="8">
        <v>0.92945080995559703</v>
      </c>
      <c r="E1380" s="8">
        <v>0.03</v>
      </c>
      <c r="F1380">
        <v>1.99233022407535</v>
      </c>
      <c r="G1380">
        <f t="shared" si="109"/>
        <v>2.1435563912957698</v>
      </c>
      <c r="H1380">
        <f t="shared" si="111"/>
        <v>-4.6344949256808543E-2</v>
      </c>
      <c r="I1380">
        <f t="shared" si="110"/>
        <v>0</v>
      </c>
      <c r="J1380" t="str">
        <f t="shared" si="112"/>
        <v/>
      </c>
      <c r="K1380">
        <v>-2.5426333695650099E-2</v>
      </c>
      <c r="L1380">
        <v>7.1558766067027898E-3</v>
      </c>
      <c r="M1380">
        <v>-1.8833007514476999E-3</v>
      </c>
      <c r="N1380">
        <v>1.7675627022981599E-2</v>
      </c>
      <c r="O1380">
        <f t="shared" si="113"/>
        <v>5.147259554360047E-3</v>
      </c>
    </row>
    <row r="1381" spans="1:15" x14ac:dyDescent="0.35">
      <c r="A1381" t="s">
        <v>96</v>
      </c>
      <c r="B1381">
        <v>2006</v>
      </c>
      <c r="C1381">
        <v>275165.3125</v>
      </c>
      <c r="D1381" s="8">
        <v>0.915926873683929</v>
      </c>
      <c r="E1381" s="8">
        <v>1E-3</v>
      </c>
      <c r="F1381">
        <v>2.3983684086072299</v>
      </c>
      <c r="G1381">
        <f t="shared" si="109"/>
        <v>2.6185151648196605</v>
      </c>
      <c r="H1381">
        <f t="shared" si="111"/>
        <v>0.22157512415000213</v>
      </c>
      <c r="I1381">
        <f t="shared" si="110"/>
        <v>1</v>
      </c>
      <c r="J1381" t="str">
        <f t="shared" si="112"/>
        <v/>
      </c>
      <c r="K1381">
        <v>9.5952503681182993E-3</v>
      </c>
      <c r="L1381">
        <v>3.2322108745574999E-3</v>
      </c>
      <c r="M1381">
        <v>1.3139276862144399E-2</v>
      </c>
      <c r="N1381">
        <v>1.40610327944159E-2</v>
      </c>
      <c r="O1381" t="str">
        <f t="shared" si="113"/>
        <v/>
      </c>
    </row>
    <row r="1382" spans="1:15" x14ac:dyDescent="0.35">
      <c r="A1382" t="s">
        <v>96</v>
      </c>
      <c r="B1382">
        <v>2007</v>
      </c>
      <c r="C1382">
        <v>278177.875</v>
      </c>
      <c r="D1382" s="8">
        <v>0.91310048103332497</v>
      </c>
      <c r="E1382" s="8">
        <v>-5.0000000000000001E-3</v>
      </c>
      <c r="F1382">
        <v>2.3177408003217299</v>
      </c>
      <c r="G1382">
        <f t="shared" si="109"/>
        <v>2.5383195480291731</v>
      </c>
      <c r="H1382">
        <f t="shared" si="111"/>
        <v>-3.0626370955545101E-2</v>
      </c>
      <c r="I1382">
        <f t="shared" si="110"/>
        <v>0</v>
      </c>
      <c r="J1382" t="str">
        <f t="shared" si="112"/>
        <v/>
      </c>
      <c r="K1382">
        <v>1.3139276862144399E-2</v>
      </c>
      <c r="L1382">
        <v>1.40610327944159E-2</v>
      </c>
      <c r="M1382">
        <v>-2.8377309732139099E-2</v>
      </c>
      <c r="N1382">
        <v>1.13349454477429E-3</v>
      </c>
      <c r="O1382" t="str">
        <f t="shared" si="113"/>
        <v/>
      </c>
    </row>
    <row r="1383" spans="1:15" x14ac:dyDescent="0.35">
      <c r="A1383" t="s">
        <v>96</v>
      </c>
      <c r="B1383">
        <v>2008</v>
      </c>
      <c r="C1383">
        <v>281811.71875</v>
      </c>
      <c r="D1383" s="8">
        <v>0.90372580289840698</v>
      </c>
      <c r="E1383" s="8">
        <v>1E-3</v>
      </c>
      <c r="F1383">
        <v>2.1865015078633201</v>
      </c>
      <c r="G1383">
        <f t="shared" si="109"/>
        <v>2.4194302086438459</v>
      </c>
      <c r="H1383">
        <f t="shared" si="111"/>
        <v>-4.6837814205715866E-2</v>
      </c>
      <c r="I1383">
        <f t="shared" si="110"/>
        <v>0</v>
      </c>
      <c r="J1383" t="str">
        <f t="shared" si="112"/>
        <v/>
      </c>
      <c r="K1383">
        <v>-2.8377309732139099E-2</v>
      </c>
      <c r="L1383">
        <v>1.13349454477429E-3</v>
      </c>
      <c r="M1383">
        <v>-2.7707428395748E-2</v>
      </c>
      <c r="N1383">
        <v>-1.14072673022744E-3</v>
      </c>
      <c r="O1383" t="str">
        <f t="shared" si="113"/>
        <v/>
      </c>
    </row>
    <row r="1384" spans="1:15" x14ac:dyDescent="0.35">
      <c r="A1384" t="s">
        <v>96</v>
      </c>
      <c r="B1384">
        <v>2009</v>
      </c>
      <c r="C1384">
        <v>287737</v>
      </c>
      <c r="D1384" s="8">
        <v>0.89146876335143999</v>
      </c>
      <c r="E1384" s="8">
        <v>0</v>
      </c>
      <c r="F1384">
        <v>2.40608795205064</v>
      </c>
      <c r="G1384">
        <f t="shared" si="109"/>
        <v>2.6990154349380138</v>
      </c>
      <c r="H1384">
        <f t="shared" si="111"/>
        <v>0.11555829355825176</v>
      </c>
      <c r="I1384">
        <f t="shared" si="110"/>
        <v>1</v>
      </c>
      <c r="J1384" t="str">
        <f t="shared" si="112"/>
        <v/>
      </c>
      <c r="K1384">
        <v>-2.7707428395748E-2</v>
      </c>
      <c r="L1384">
        <v>-1.14072673022744E-3</v>
      </c>
      <c r="M1384">
        <v>-1.54532386190257E-2</v>
      </c>
      <c r="N1384">
        <v>-5.9931298601441103E-3</v>
      </c>
      <c r="O1384" t="str">
        <f t="shared" si="113"/>
        <v/>
      </c>
    </row>
    <row r="1385" spans="1:15" x14ac:dyDescent="0.35">
      <c r="A1385" t="s">
        <v>96</v>
      </c>
      <c r="B1385">
        <v>2010</v>
      </c>
      <c r="C1385">
        <v>292854.09375</v>
      </c>
      <c r="D1385" s="8">
        <v>0.89643639326095603</v>
      </c>
      <c r="E1385" s="8">
        <v>2.9000000000000001E-2</v>
      </c>
      <c r="F1385">
        <v>2.39131332125576</v>
      </c>
      <c r="G1385">
        <f t="shared" si="109"/>
        <v>2.6675772416567201</v>
      </c>
      <c r="H1385">
        <f t="shared" si="111"/>
        <v>-1.1648022784284562E-2</v>
      </c>
      <c r="I1385">
        <f t="shared" si="110"/>
        <v>0</v>
      </c>
      <c r="J1385">
        <f t="shared" si="112"/>
        <v>2</v>
      </c>
      <c r="K1385">
        <v>-1.54532386190257E-2</v>
      </c>
      <c r="L1385">
        <v>-5.9931298601441103E-3</v>
      </c>
      <c r="M1385">
        <v>-2.1844923838973001E-2</v>
      </c>
      <c r="N1385">
        <v>-5.6114932522169998E-4</v>
      </c>
      <c r="O1385">
        <f t="shared" si="113"/>
        <v>-2.6983211748301621E-3</v>
      </c>
    </row>
    <row r="1386" spans="1:15" x14ac:dyDescent="0.35">
      <c r="A1386" t="s">
        <v>96</v>
      </c>
      <c r="B1386">
        <v>2011</v>
      </c>
      <c r="C1386">
        <v>295364.09375</v>
      </c>
      <c r="D1386" s="8">
        <v>0.89605402946472201</v>
      </c>
      <c r="E1386" s="8">
        <v>0</v>
      </c>
      <c r="F1386">
        <v>2.22207853017904</v>
      </c>
      <c r="G1386">
        <f t="shared" si="109"/>
        <v>2.4798488228510602</v>
      </c>
      <c r="H1386">
        <f t="shared" si="111"/>
        <v>-7.0374126707224982E-2</v>
      </c>
      <c r="I1386">
        <f t="shared" si="110"/>
        <v>0</v>
      </c>
      <c r="J1386">
        <f t="shared" si="112"/>
        <v>1</v>
      </c>
      <c r="K1386">
        <v>-2.1844923838973001E-2</v>
      </c>
      <c r="L1386">
        <v>-5.6114932522169998E-4</v>
      </c>
      <c r="M1386">
        <v>-3.4110176414250998E-3</v>
      </c>
      <c r="N1386">
        <v>2.0271884277462899E-3</v>
      </c>
      <c r="O1386">
        <f t="shared" si="113"/>
        <v>-6.1924450099468025E-3</v>
      </c>
    </row>
    <row r="1387" spans="1:15" x14ac:dyDescent="0.35">
      <c r="A1387" t="s">
        <v>96</v>
      </c>
      <c r="B1387">
        <v>2012</v>
      </c>
      <c r="C1387">
        <v>297691.40625</v>
      </c>
      <c r="D1387" s="8">
        <v>0.90645128488540605</v>
      </c>
      <c r="E1387" s="8">
        <v>2.8000000000000001E-2</v>
      </c>
      <c r="F1387">
        <v>2.2472852804299799</v>
      </c>
      <c r="G1387">
        <f t="shared" si="109"/>
        <v>2.4792124164886395</v>
      </c>
      <c r="H1387">
        <f t="shared" si="111"/>
        <v>-2.5663111257279159E-4</v>
      </c>
      <c r="I1387">
        <f t="shared" si="110"/>
        <v>0</v>
      </c>
      <c r="J1387">
        <f t="shared" si="112"/>
        <v>1</v>
      </c>
      <c r="K1387">
        <v>-3.4110176414250998E-3</v>
      </c>
      <c r="L1387">
        <v>1.9415896385907899E-3</v>
      </c>
      <c r="M1387">
        <v>7.7076746523379999E-3</v>
      </c>
      <c r="N1387">
        <v>1.5809033066034E-3</v>
      </c>
      <c r="O1387">
        <f t="shared" si="113"/>
        <v>-1.0966889723204041E-2</v>
      </c>
    </row>
    <row r="1388" spans="1:15" x14ac:dyDescent="0.35">
      <c r="A1388" t="s">
        <v>96</v>
      </c>
      <c r="B1388">
        <v>2013</v>
      </c>
      <c r="C1388">
        <v>301006.59375</v>
      </c>
      <c r="D1388" s="8">
        <v>0.91003531217575095</v>
      </c>
      <c r="E1388" s="8">
        <v>1.4E-2</v>
      </c>
      <c r="F1388">
        <v>2.3502497908990199</v>
      </c>
      <c r="G1388">
        <f t="shared" si="109"/>
        <v>2.5825918614959491</v>
      </c>
      <c r="H1388">
        <f t="shared" si="111"/>
        <v>4.1698502443662244E-2</v>
      </c>
      <c r="I1388">
        <f t="shared" si="110"/>
        <v>1</v>
      </c>
      <c r="J1388">
        <f t="shared" si="112"/>
        <v>2</v>
      </c>
      <c r="K1388">
        <v>7.7076746523379999E-3</v>
      </c>
      <c r="L1388">
        <v>1.5809033066034E-3</v>
      </c>
      <c r="M1388">
        <v>-7.9417618364100004E-4</v>
      </c>
      <c r="N1388">
        <v>-2.8021996840834999E-3</v>
      </c>
      <c r="O1388">
        <f t="shared" si="113"/>
        <v>-1.4409008040092822E-2</v>
      </c>
    </row>
    <row r="1389" spans="1:15" x14ac:dyDescent="0.35">
      <c r="A1389" t="s">
        <v>96</v>
      </c>
      <c r="B1389">
        <v>2014</v>
      </c>
      <c r="C1389">
        <v>305290.59375</v>
      </c>
      <c r="D1389" s="8">
        <v>0.90982747077941895</v>
      </c>
      <c r="E1389" s="8">
        <v>0.01</v>
      </c>
      <c r="F1389">
        <v>2.3083889225793399</v>
      </c>
      <c r="G1389">
        <f t="shared" si="109"/>
        <v>2.5371721526519968</v>
      </c>
      <c r="H1389">
        <f t="shared" si="111"/>
        <v>-1.7586870585754588E-2</v>
      </c>
      <c r="I1389">
        <f t="shared" si="110"/>
        <v>0</v>
      </c>
      <c r="J1389">
        <f t="shared" si="112"/>
        <v>1</v>
      </c>
      <c r="K1389">
        <v>-7.9417618364100004E-4</v>
      </c>
      <c r="L1389">
        <v>-2.8021996840834999E-3</v>
      </c>
      <c r="M1389">
        <v>1.6527103424072299E-2</v>
      </c>
      <c r="N1389">
        <v>-1.37363485991953E-2</v>
      </c>
      <c r="O1389">
        <f t="shared" si="113"/>
        <v>-1.4444491616450181E-2</v>
      </c>
    </row>
    <row r="1390" spans="1:15" x14ac:dyDescent="0.35">
      <c r="A1390" t="s">
        <v>96</v>
      </c>
      <c r="B1390">
        <v>2015</v>
      </c>
      <c r="C1390">
        <v>308768.71875</v>
      </c>
      <c r="D1390" s="8">
        <v>0.91953992843627896</v>
      </c>
      <c r="E1390" s="8">
        <v>4.9000000000000002E-2</v>
      </c>
      <c r="F1390">
        <v>2.3830875958174</v>
      </c>
      <c r="G1390">
        <f t="shared" si="109"/>
        <v>2.591608610046932</v>
      </c>
      <c r="H1390">
        <f t="shared" si="111"/>
        <v>2.1455563170214909E-2</v>
      </c>
      <c r="I1390">
        <f t="shared" si="110"/>
        <v>1</v>
      </c>
      <c r="J1390">
        <f t="shared" si="112"/>
        <v>2</v>
      </c>
      <c r="K1390">
        <v>1.6527103424072299E-2</v>
      </c>
      <c r="L1390">
        <v>-1.37363485991953E-2</v>
      </c>
      <c r="M1390">
        <v>-4.8782114982604896E-3</v>
      </c>
      <c r="N1390">
        <v>-1.8031768500804901E-2</v>
      </c>
      <c r="O1390">
        <f t="shared" si="113"/>
        <v>-1.406763417180624E-2</v>
      </c>
    </row>
    <row r="1391" spans="1:15" x14ac:dyDescent="0.35">
      <c r="A1391" t="s">
        <v>96</v>
      </c>
      <c r="B1391">
        <v>2016</v>
      </c>
      <c r="C1391">
        <v>312074.40625</v>
      </c>
      <c r="D1391" s="8">
        <v>0.90616184473037698</v>
      </c>
      <c r="E1391" s="8">
        <v>2.5000000000000001E-2</v>
      </c>
      <c r="F1391">
        <v>2.5970268607750602</v>
      </c>
      <c r="G1391">
        <f t="shared" si="109"/>
        <v>2.8659635978689768</v>
      </c>
      <c r="H1391">
        <f t="shared" si="111"/>
        <v>0.1058628169232223</v>
      </c>
      <c r="I1391">
        <f t="shared" si="110"/>
        <v>1</v>
      </c>
      <c r="J1391">
        <f t="shared" si="112"/>
        <v>3</v>
      </c>
      <c r="K1391">
        <v>-4.8782114982604896E-3</v>
      </c>
      <c r="L1391">
        <v>-1.8031768500804901E-2</v>
      </c>
      <c r="M1391">
        <v>-1.9055461677722599E-2</v>
      </c>
      <c r="N1391">
        <v>-2.1845035138539901E-2</v>
      </c>
      <c r="O1391">
        <f t="shared" si="113"/>
        <v>-1.7102088755927961E-2</v>
      </c>
    </row>
    <row r="1392" spans="1:15" x14ac:dyDescent="0.35">
      <c r="A1392" t="s">
        <v>96</v>
      </c>
      <c r="B1392">
        <v>2017</v>
      </c>
      <c r="C1392">
        <v>314732.40625</v>
      </c>
      <c r="D1392" s="8">
        <v>0.89960592985153198</v>
      </c>
      <c r="E1392" s="8">
        <v>3.1E-2</v>
      </c>
      <c r="F1392">
        <v>2.3162296136527001</v>
      </c>
      <c r="G1392">
        <f t="shared" si="109"/>
        <v>2.5747158136618364</v>
      </c>
      <c r="H1392">
        <f t="shared" si="111"/>
        <v>-0.10162298796247837</v>
      </c>
      <c r="I1392">
        <f t="shared" si="110"/>
        <v>0</v>
      </c>
      <c r="J1392">
        <f t="shared" si="112"/>
        <v>3</v>
      </c>
      <c r="K1392">
        <v>-1.9055461677722599E-2</v>
      </c>
      <c r="L1392">
        <v>-2.1845035138539901E-2</v>
      </c>
      <c r="M1392">
        <v>-6.4946653097867997E-3</v>
      </c>
      <c r="N1392">
        <v>-1.56296882778405E-2</v>
      </c>
      <c r="O1392">
        <f t="shared" si="113"/>
        <v>-1.3383755832910521E-2</v>
      </c>
    </row>
    <row r="1393" spans="1:15" x14ac:dyDescent="0.35">
      <c r="A1393" t="s">
        <v>96</v>
      </c>
      <c r="B1393">
        <v>2018</v>
      </c>
      <c r="C1393">
        <v>316792</v>
      </c>
      <c r="D1393" s="8">
        <v>0.88857543468475297</v>
      </c>
      <c r="E1393" s="8">
        <v>2.3E-2</v>
      </c>
      <c r="F1393">
        <v>2.22562624955897</v>
      </c>
      <c r="G1393">
        <f t="shared" si="109"/>
        <v>2.5047127825996824</v>
      </c>
      <c r="H1393">
        <f t="shared" si="111"/>
        <v>-2.7188643768258691E-2</v>
      </c>
      <c r="I1393">
        <f t="shared" si="110"/>
        <v>0</v>
      </c>
      <c r="J1393">
        <f t="shared" si="112"/>
        <v>2</v>
      </c>
      <c r="K1393">
        <v>-6.4946653097867997E-3</v>
      </c>
      <c r="L1393">
        <v>-1.56296882778405E-2</v>
      </c>
      <c r="M1393">
        <v>1.48215770423411E-2</v>
      </c>
      <c r="N1393">
        <v>-2.9796175658703002E-3</v>
      </c>
      <c r="O1393">
        <f t="shared" si="113"/>
        <v>-1.0820633172988901E-2</v>
      </c>
    </row>
    <row r="1394" spans="1:15" x14ac:dyDescent="0.35">
      <c r="A1394" t="s">
        <v>96</v>
      </c>
      <c r="B1394">
        <v>2019</v>
      </c>
      <c r="C1394">
        <v>319643.40625</v>
      </c>
      <c r="D1394" s="8">
        <v>0.89538359642028797</v>
      </c>
      <c r="E1394" s="8">
        <v>1.4E-2</v>
      </c>
      <c r="F1394">
        <v>2.4921720596783499</v>
      </c>
      <c r="G1394">
        <f t="shared" si="109"/>
        <v>2.7833568424102988</v>
      </c>
      <c r="H1394">
        <f t="shared" si="111"/>
        <v>0.11124790904025605</v>
      </c>
      <c r="I1394">
        <f t="shared" si="110"/>
        <v>1</v>
      </c>
      <c r="J1394" t="str">
        <f t="shared" si="112"/>
        <v/>
      </c>
      <c r="K1394">
        <v>1.48215770423411E-2</v>
      </c>
      <c r="L1394">
        <v>-2.9796175658703002E-3</v>
      </c>
      <c r="M1394">
        <v>6.9971290528773903E-3</v>
      </c>
      <c r="N1394">
        <v>-1.18520613759756E-2</v>
      </c>
      <c r="O1394">
        <f t="shared" si="113"/>
        <v>-9.087274409830582E-3</v>
      </c>
    </row>
    <row r="1395" spans="1:15" x14ac:dyDescent="0.35">
      <c r="A1395" t="s">
        <v>96</v>
      </c>
      <c r="B1395">
        <v>2020</v>
      </c>
      <c r="C1395">
        <v>323058.28125</v>
      </c>
      <c r="D1395" s="8">
        <v>0.90744966268539395</v>
      </c>
      <c r="E1395" s="8">
        <v>1.7999999999999999E-2</v>
      </c>
      <c r="F1395">
        <v>2.08169301810908</v>
      </c>
      <c r="G1395">
        <f t="shared" si="109"/>
        <v>2.2940038480468172</v>
      </c>
      <c r="H1395">
        <f t="shared" si="111"/>
        <v>-0.17581396208605338</v>
      </c>
      <c r="I1395">
        <f t="shared" si="110"/>
        <v>0</v>
      </c>
      <c r="J1395" t="str">
        <f t="shared" si="112"/>
        <v/>
      </c>
      <c r="K1395">
        <v>6.9971290528773903E-3</v>
      </c>
      <c r="L1395">
        <v>-1.18520613759756E-2</v>
      </c>
      <c r="M1395">
        <v>1.0385571300983399E-2</v>
      </c>
      <c r="N1395">
        <v>-3.3204041421413498E-2</v>
      </c>
      <c r="O1395">
        <f t="shared" si="113"/>
        <v>-6.8578609265387185E-3</v>
      </c>
    </row>
    <row r="1396" spans="1:15" x14ac:dyDescent="0.35">
      <c r="A1396" t="s">
        <v>96</v>
      </c>
      <c r="B1396">
        <v>2021</v>
      </c>
      <c r="C1396">
        <v>326249.5</v>
      </c>
      <c r="D1396" s="8">
        <v>0.92042058706283603</v>
      </c>
      <c r="E1396" s="8">
        <v>3.1E-2</v>
      </c>
      <c r="F1396">
        <v>2.1470750247879198</v>
      </c>
      <c r="G1396">
        <f t="shared" si="109"/>
        <v>2.3327107791444277</v>
      </c>
      <c r="H1396">
        <f t="shared" si="111"/>
        <v>1.6873089001383734E-2</v>
      </c>
      <c r="I1396">
        <f t="shared" si="110"/>
        <v>1</v>
      </c>
      <c r="J1396" t="str">
        <f t="shared" si="112"/>
        <v/>
      </c>
      <c r="K1396">
        <v>1.0385571300983399E-2</v>
      </c>
      <c r="L1396">
        <v>-3.3204041421413498E-2</v>
      </c>
      <c r="M1396">
        <v>-3.5356877297162997E-2</v>
      </c>
      <c r="N1396">
        <v>-3.2533705234526998E-3</v>
      </c>
      <c r="O1396">
        <f t="shared" si="113"/>
        <v>2.5587668642401077E-4</v>
      </c>
    </row>
    <row r="1397" spans="1:15" x14ac:dyDescent="0.35">
      <c r="A1397" t="s">
        <v>96</v>
      </c>
      <c r="B1397">
        <v>2022</v>
      </c>
      <c r="C1397">
        <v>330062.8125</v>
      </c>
      <c r="D1397" s="8">
        <v>0.904333055019379</v>
      </c>
      <c r="E1397" s="8">
        <v>2.5000000000000001E-2</v>
      </c>
      <c r="F1397">
        <v>2.2051150193698699</v>
      </c>
      <c r="G1397">
        <f t="shared" si="109"/>
        <v>2.4383881658761397</v>
      </c>
      <c r="H1397">
        <f t="shared" si="111"/>
        <v>4.5302395683390895E-2</v>
      </c>
      <c r="I1397">
        <f t="shared" si="110"/>
        <v>1</v>
      </c>
      <c r="J1397" t="str">
        <f t="shared" si="112"/>
        <v/>
      </c>
      <c r="K1397">
        <v>-3.5356877297162997E-2</v>
      </c>
      <c r="L1397">
        <v>-2.7746669948101E-3</v>
      </c>
      <c r="M1397">
        <v>-2.23730027526617E-2</v>
      </c>
      <c r="N1397">
        <v>-2.8140749782324002E-3</v>
      </c>
      <c r="O1397">
        <f t="shared" si="113"/>
        <v>2.3205067496746669E-3</v>
      </c>
    </row>
    <row r="1398" spans="1:15" x14ac:dyDescent="0.35">
      <c r="A1398" t="s">
        <v>97</v>
      </c>
      <c r="B1398">
        <v>2006</v>
      </c>
      <c r="C1398">
        <v>398315.09375</v>
      </c>
      <c r="D1398" s="8">
        <v>0.93423324823379505</v>
      </c>
      <c r="E1398" s="8">
        <v>1.2E-2</v>
      </c>
      <c r="F1398">
        <v>2.1324841360900999</v>
      </c>
      <c r="G1398">
        <f t="shared" si="109"/>
        <v>2.2826035576464929</v>
      </c>
      <c r="H1398">
        <f t="shared" si="111"/>
        <v>-6.388835477868704E-2</v>
      </c>
      <c r="I1398">
        <f t="shared" si="110"/>
        <v>0</v>
      </c>
      <c r="J1398" t="str">
        <f t="shared" si="112"/>
        <v/>
      </c>
      <c r="K1398">
        <v>-6.5833594352006997E-3</v>
      </c>
      <c r="L1398">
        <v>-1.29463989287615E-2</v>
      </c>
      <c r="M1398">
        <v>4.7654203176497904E-3</v>
      </c>
      <c r="N1398">
        <v>5.6871762499212898E-3</v>
      </c>
      <c r="O1398" t="str">
        <f t="shared" si="113"/>
        <v/>
      </c>
    </row>
    <row r="1399" spans="1:15" x14ac:dyDescent="0.35">
      <c r="A1399" t="s">
        <v>97</v>
      </c>
      <c r="B1399">
        <v>2007</v>
      </c>
      <c r="C1399">
        <v>399018.59375</v>
      </c>
      <c r="D1399" s="8">
        <v>0.935843765735626</v>
      </c>
      <c r="E1399" s="8">
        <v>1.7000000000000001E-2</v>
      </c>
      <c r="F1399">
        <v>2.2280032236654899</v>
      </c>
      <c r="G1399">
        <f t="shared" si="109"/>
        <v>2.3807427107388524</v>
      </c>
      <c r="H1399">
        <f t="shared" si="111"/>
        <v>4.2994392418080229E-2</v>
      </c>
      <c r="I1399">
        <f t="shared" si="110"/>
        <v>1</v>
      </c>
      <c r="J1399" t="str">
        <f t="shared" si="112"/>
        <v/>
      </c>
      <c r="K1399">
        <v>4.7654203176497904E-3</v>
      </c>
      <c r="L1399">
        <v>5.6871762499212898E-3</v>
      </c>
      <c r="M1399">
        <v>-3.02157982364296E-2</v>
      </c>
      <c r="N1399">
        <v>-7.0499395951628598E-4</v>
      </c>
      <c r="O1399" t="str">
        <f t="shared" si="113"/>
        <v/>
      </c>
    </row>
    <row r="1400" spans="1:15" x14ac:dyDescent="0.35">
      <c r="A1400" t="s">
        <v>97</v>
      </c>
      <c r="B1400">
        <v>2008</v>
      </c>
      <c r="C1400">
        <v>399721</v>
      </c>
      <c r="D1400" s="8">
        <v>0.93658238649368297</v>
      </c>
      <c r="E1400" s="8">
        <v>1E-3</v>
      </c>
      <c r="F1400">
        <v>2.2337154168392899</v>
      </c>
      <c r="G1400">
        <f t="shared" si="109"/>
        <v>2.3849641516340387</v>
      </c>
      <c r="H1400">
        <f t="shared" si="111"/>
        <v>1.7731613232059296E-3</v>
      </c>
      <c r="I1400">
        <f t="shared" si="110"/>
        <v>1</v>
      </c>
      <c r="J1400" t="str">
        <f t="shared" si="112"/>
        <v/>
      </c>
      <c r="K1400">
        <v>-3.02157982364296E-2</v>
      </c>
      <c r="L1400">
        <v>-7.0499395951628598E-4</v>
      </c>
      <c r="M1400">
        <v>-2.42020550221205E-2</v>
      </c>
      <c r="N1400">
        <v>2.3646466434001502E-3</v>
      </c>
      <c r="O1400" t="str">
        <f t="shared" si="113"/>
        <v/>
      </c>
    </row>
    <row r="1401" spans="1:15" x14ac:dyDescent="0.35">
      <c r="A1401" t="s">
        <v>97</v>
      </c>
      <c r="B1401">
        <v>2009</v>
      </c>
      <c r="C1401">
        <v>400429.6875</v>
      </c>
      <c r="D1401" s="8">
        <v>0.93820542097091697</v>
      </c>
      <c r="E1401" s="8">
        <v>1E-3</v>
      </c>
      <c r="F1401">
        <v>2.2251920259290499</v>
      </c>
      <c r="G1401">
        <f t="shared" si="109"/>
        <v>2.3717535373290364</v>
      </c>
      <c r="H1401">
        <f t="shared" si="111"/>
        <v>-5.5391248945823035E-3</v>
      </c>
      <c r="I1401">
        <f t="shared" si="110"/>
        <v>0</v>
      </c>
      <c r="J1401" t="str">
        <f t="shared" si="112"/>
        <v/>
      </c>
      <c r="K1401">
        <v>-2.42020550221205E-2</v>
      </c>
      <c r="L1401">
        <v>2.3646466434001502E-3</v>
      </c>
      <c r="M1401">
        <v>-2.3903289660810998E-3</v>
      </c>
      <c r="N1401">
        <v>7.0697797928005804E-3</v>
      </c>
      <c r="O1401" t="str">
        <f t="shared" si="113"/>
        <v/>
      </c>
    </row>
    <row r="1402" spans="1:15" x14ac:dyDescent="0.35">
      <c r="A1402" t="s">
        <v>97</v>
      </c>
      <c r="B1402">
        <v>2010</v>
      </c>
      <c r="C1402">
        <v>401737.3125</v>
      </c>
      <c r="D1402" s="8">
        <v>0.92851501703262296</v>
      </c>
      <c r="E1402" s="8">
        <v>2.1999999999999999E-2</v>
      </c>
      <c r="F1402">
        <v>2.2847499836162202</v>
      </c>
      <c r="G1402">
        <f t="shared" si="109"/>
        <v>2.4606494689960909</v>
      </c>
      <c r="H1402">
        <f t="shared" si="111"/>
        <v>3.7481100067068951E-2</v>
      </c>
      <c r="I1402">
        <f t="shared" si="110"/>
        <v>1</v>
      </c>
      <c r="J1402">
        <f t="shared" si="112"/>
        <v>3</v>
      </c>
      <c r="K1402">
        <v>-2.3903289660810998E-3</v>
      </c>
      <c r="L1402">
        <v>7.0697797928005804E-3</v>
      </c>
      <c r="M1402">
        <v>-1.8688344739377499E-2</v>
      </c>
      <c r="N1402">
        <v>2.5954297743738001E-3</v>
      </c>
      <c r="O1402">
        <f t="shared" si="113"/>
        <v>4.5869794674217885E-3</v>
      </c>
    </row>
    <row r="1403" spans="1:15" x14ac:dyDescent="0.35">
      <c r="A1403" t="s">
        <v>97</v>
      </c>
      <c r="B1403">
        <v>2011</v>
      </c>
      <c r="C1403">
        <v>403845.09375</v>
      </c>
      <c r="D1403" s="8">
        <v>0.93990856409072898</v>
      </c>
      <c r="E1403" s="8">
        <v>0</v>
      </c>
      <c r="F1403">
        <v>2.1479293607352998</v>
      </c>
      <c r="G1403">
        <f t="shared" si="109"/>
        <v>2.2852535265632086</v>
      </c>
      <c r="H1403">
        <f t="shared" si="111"/>
        <v>-7.1280344739407919E-2</v>
      </c>
      <c r="I1403">
        <f t="shared" si="110"/>
        <v>0</v>
      </c>
      <c r="J1403">
        <f t="shared" si="112"/>
        <v>3</v>
      </c>
      <c r="K1403">
        <v>-1.8688344739377499E-2</v>
      </c>
      <c r="L1403">
        <v>2.5954297743738001E-3</v>
      </c>
      <c r="M1403">
        <v>-1.32988256439566E-2</v>
      </c>
      <c r="N1403">
        <v>-7.8606195747852603E-3</v>
      </c>
      <c r="O1403">
        <f t="shared" si="113"/>
        <v>5.1045233383774881E-3</v>
      </c>
    </row>
    <row r="1404" spans="1:15" x14ac:dyDescent="0.35">
      <c r="A1404" t="s">
        <v>97</v>
      </c>
      <c r="B1404">
        <v>2012</v>
      </c>
      <c r="C1404">
        <v>405768.09375</v>
      </c>
      <c r="D1404" s="8">
        <v>0.94126915931701705</v>
      </c>
      <c r="E1404" s="8">
        <v>1.4999999999999999E-2</v>
      </c>
      <c r="F1404">
        <v>2.1886287047437998</v>
      </c>
      <c r="G1404">
        <f t="shared" si="109"/>
        <v>2.3251890100509236</v>
      </c>
      <c r="H1404">
        <f t="shared" si="111"/>
        <v>1.7475296733388657E-2</v>
      </c>
      <c r="I1404">
        <f t="shared" si="110"/>
        <v>1</v>
      </c>
      <c r="J1404">
        <f t="shared" si="112"/>
        <v>3</v>
      </c>
      <c r="K1404">
        <v>-1.32988256439566E-2</v>
      </c>
      <c r="L1404">
        <v>-7.9462183639407592E-3</v>
      </c>
      <c r="M1404">
        <v>5.9187399595976003E-3</v>
      </c>
      <c r="N1404">
        <v>-2.0803138613699799E-4</v>
      </c>
      <c r="O1404">
        <f t="shared" si="113"/>
        <v>7.3230152949690999E-3</v>
      </c>
    </row>
    <row r="1405" spans="1:15" x14ac:dyDescent="0.35">
      <c r="A1405" t="s">
        <v>97</v>
      </c>
      <c r="B1405">
        <v>2013</v>
      </c>
      <c r="C1405">
        <v>407377.5</v>
      </c>
      <c r="D1405" s="8">
        <v>0.94387346506118797</v>
      </c>
      <c r="E1405" s="8">
        <v>3.0000000000000001E-3</v>
      </c>
      <c r="F1405">
        <v>2.2137790883009201</v>
      </c>
      <c r="G1405">
        <f t="shared" si="109"/>
        <v>2.3454193493588771</v>
      </c>
      <c r="H1405">
        <f t="shared" si="111"/>
        <v>8.7005139025280176E-3</v>
      </c>
      <c r="I1405">
        <f t="shared" si="110"/>
        <v>1</v>
      </c>
      <c r="J1405">
        <f t="shared" si="112"/>
        <v>3</v>
      </c>
      <c r="K1405">
        <v>5.9187399595976003E-3</v>
      </c>
      <c r="L1405">
        <v>-2.0803138613699799E-4</v>
      </c>
      <c r="M1405">
        <v>-7.8999268263579999E-4</v>
      </c>
      <c r="N1405">
        <v>-2.7980161830782999E-3</v>
      </c>
      <c r="O1405">
        <f t="shared" si="113"/>
        <v>1.241278257220986E-2</v>
      </c>
    </row>
    <row r="1406" spans="1:15" x14ac:dyDescent="0.35">
      <c r="A1406" t="s">
        <v>97</v>
      </c>
      <c r="B1406">
        <v>2014</v>
      </c>
      <c r="C1406">
        <v>409814.78125</v>
      </c>
      <c r="D1406" s="8">
        <v>0.94475299119949296</v>
      </c>
      <c r="E1406" s="8">
        <v>4.9000000000000002E-2</v>
      </c>
      <c r="F1406">
        <v>2.2756952341569301</v>
      </c>
      <c r="G1406">
        <f t="shared" si="109"/>
        <v>2.4087727219234565</v>
      </c>
      <c r="H1406">
        <f t="shared" si="111"/>
        <v>2.701153317503624E-2</v>
      </c>
      <c r="I1406">
        <f t="shared" si="110"/>
        <v>1</v>
      </c>
      <c r="J1406">
        <f t="shared" si="112"/>
        <v>4</v>
      </c>
      <c r="K1406">
        <v>-7.8999268263579999E-4</v>
      </c>
      <c r="L1406">
        <v>-2.7980161830782999E-3</v>
      </c>
      <c r="M1406">
        <v>6.1469586730003398E-2</v>
      </c>
      <c r="N1406">
        <v>3.1206134706735701E-2</v>
      </c>
      <c r="O1406">
        <f t="shared" si="113"/>
        <v>1.3517588749527959E-2</v>
      </c>
    </row>
    <row r="1407" spans="1:15" x14ac:dyDescent="0.35">
      <c r="A1407" t="s">
        <v>97</v>
      </c>
      <c r="B1407">
        <v>2015</v>
      </c>
      <c r="C1407">
        <v>412130</v>
      </c>
      <c r="D1407" s="8">
        <v>0.95583057403564498</v>
      </c>
      <c r="E1407" s="8">
        <v>1E-3</v>
      </c>
      <c r="F1407">
        <v>2.3095441964196799</v>
      </c>
      <c r="G1407">
        <f t="shared" si="109"/>
        <v>2.4162694301234522</v>
      </c>
      <c r="H1407">
        <f t="shared" si="111"/>
        <v>3.1122521987085872E-3</v>
      </c>
      <c r="I1407">
        <f t="shared" si="110"/>
        <v>1</v>
      </c>
      <c r="J1407">
        <f t="shared" si="112"/>
        <v>4</v>
      </c>
      <c r="K1407">
        <v>6.1469586730003398E-2</v>
      </c>
      <c r="L1407">
        <v>3.1206134706735701E-2</v>
      </c>
      <c r="M1407">
        <v>1.83367061316967E-2</v>
      </c>
      <c r="N1407">
        <v>5.1831491291522997E-3</v>
      </c>
      <c r="O1407">
        <f t="shared" si="113"/>
        <v>1.0111200064420697E-2</v>
      </c>
    </row>
    <row r="1408" spans="1:15" x14ac:dyDescent="0.35">
      <c r="A1408" t="s">
        <v>97</v>
      </c>
      <c r="B1408">
        <v>2016</v>
      </c>
      <c r="C1408">
        <v>414837.71875</v>
      </c>
      <c r="D1408" s="8">
        <v>0.94724386930465698</v>
      </c>
      <c r="E1408" s="8">
        <v>1.9E-2</v>
      </c>
      <c r="F1408">
        <v>2.2085397583490698</v>
      </c>
      <c r="G1408">
        <f t="shared" si="109"/>
        <v>2.3315429425479333</v>
      </c>
      <c r="H1408">
        <f t="shared" si="111"/>
        <v>-3.5065000003410285E-2</v>
      </c>
      <c r="I1408">
        <f t="shared" si="110"/>
        <v>0</v>
      </c>
      <c r="J1408">
        <f t="shared" si="112"/>
        <v>4</v>
      </c>
      <c r="K1408">
        <v>1.83367061316967E-2</v>
      </c>
      <c r="L1408">
        <v>5.1831491291522997E-3</v>
      </c>
      <c r="M1408">
        <v>6.0214136689900897E-3</v>
      </c>
      <c r="N1408">
        <v>3.2318402081727999E-3</v>
      </c>
      <c r="O1408">
        <f t="shared" si="113"/>
        <v>1.1716069281101239E-2</v>
      </c>
    </row>
    <row r="1409" spans="1:15" x14ac:dyDescent="0.35">
      <c r="A1409" t="s">
        <v>97</v>
      </c>
      <c r="B1409">
        <v>2017</v>
      </c>
      <c r="C1409">
        <v>417052.40625</v>
      </c>
      <c r="D1409" s="8">
        <v>0.95145905017852805</v>
      </c>
      <c r="E1409" s="8">
        <v>1.0999999999999999E-2</v>
      </c>
      <c r="F1409">
        <v>2.2584520815870301</v>
      </c>
      <c r="G1409">
        <f t="shared" si="109"/>
        <v>2.3736723941647968</v>
      </c>
      <c r="H1409">
        <f t="shared" si="111"/>
        <v>1.8069344058841974E-2</v>
      </c>
      <c r="I1409">
        <f t="shared" si="110"/>
        <v>1</v>
      </c>
      <c r="J1409">
        <f t="shared" si="112"/>
        <v>4</v>
      </c>
      <c r="K1409">
        <v>6.0214136689900897E-3</v>
      </c>
      <c r="L1409">
        <v>3.2318402081727999E-3</v>
      </c>
      <c r="M1409">
        <v>3.4375827968120602E-2</v>
      </c>
      <c r="N1409">
        <v>2.5240805000066799E-2</v>
      </c>
      <c r="O1409">
        <f t="shared" si="113"/>
        <v>1.3608388788998119E-2</v>
      </c>
    </row>
    <row r="1410" spans="1:15" x14ac:dyDescent="0.35">
      <c r="A1410" t="s">
        <v>97</v>
      </c>
      <c r="B1410">
        <v>2018</v>
      </c>
      <c r="C1410">
        <v>419196.59375</v>
      </c>
      <c r="D1410" s="8">
        <v>0.96296072006225597</v>
      </c>
      <c r="E1410" s="8">
        <v>7.0000000000000001E-3</v>
      </c>
      <c r="F1410">
        <v>2.17756397921878</v>
      </c>
      <c r="G1410">
        <f t="shared" si="109"/>
        <v>2.2613217069518674</v>
      </c>
      <c r="H1410">
        <f t="shared" si="111"/>
        <v>-4.733201072276072E-2</v>
      </c>
      <c r="I1410">
        <f t="shared" si="110"/>
        <v>0</v>
      </c>
      <c r="J1410">
        <f t="shared" si="112"/>
        <v>3</v>
      </c>
      <c r="K1410">
        <v>3.4375827968120602E-2</v>
      </c>
      <c r="L1410">
        <v>2.5240805000066799E-2</v>
      </c>
      <c r="M1410">
        <v>2.05272093117237E-2</v>
      </c>
      <c r="N1410">
        <v>2.72601470351219E-3</v>
      </c>
      <c r="O1410">
        <f t="shared" si="113"/>
        <v>9.1512409038841582E-3</v>
      </c>
    </row>
    <row r="1411" spans="1:15" x14ac:dyDescent="0.35">
      <c r="A1411" t="s">
        <v>97</v>
      </c>
      <c r="B1411">
        <v>2019</v>
      </c>
      <c r="C1411">
        <v>422059</v>
      </c>
      <c r="D1411" s="8">
        <v>0.94835680723190297</v>
      </c>
      <c r="E1411" s="8">
        <v>2.4E-2</v>
      </c>
      <c r="F1411">
        <v>2.1015642037231599</v>
      </c>
      <c r="G1411">
        <f t="shared" ref="G1411:G1474" si="114">F1411/D1411</f>
        <v>2.2160058194312739</v>
      </c>
      <c r="H1411">
        <f t="shared" si="111"/>
        <v>-2.0039558007726721E-2</v>
      </c>
      <c r="I1411">
        <f t="shared" ref="I1411:I1474" si="115">IF(H1411&gt;0,1,0)</f>
        <v>0</v>
      </c>
      <c r="J1411" t="str">
        <f t="shared" si="112"/>
        <v/>
      </c>
      <c r="K1411">
        <v>2.05272093117237E-2</v>
      </c>
      <c r="L1411">
        <v>2.72601470351219E-3</v>
      </c>
      <c r="M1411">
        <v>3.3023381710052403E-2</v>
      </c>
      <c r="N1411">
        <v>1.41741912811994E-2</v>
      </c>
      <c r="O1411">
        <f t="shared" si="113"/>
        <v>7.7073627151548699E-3</v>
      </c>
    </row>
    <row r="1412" spans="1:15" x14ac:dyDescent="0.35">
      <c r="A1412" t="s">
        <v>97</v>
      </c>
      <c r="B1412">
        <v>2020</v>
      </c>
      <c r="C1412">
        <v>423302.1875</v>
      </c>
      <c r="D1412" s="8">
        <v>0.96812921762466397</v>
      </c>
      <c r="E1412" s="8">
        <v>3.0000000000000001E-3</v>
      </c>
      <c r="F1412">
        <v>2.0189567154996002</v>
      </c>
      <c r="G1412">
        <f t="shared" si="114"/>
        <v>2.0854207049480182</v>
      </c>
      <c r="H1412">
        <f t="shared" ref="H1412:H1475" si="116">+G1412/G1411-1</f>
        <v>-5.8928146008555893E-2</v>
      </c>
      <c r="I1412">
        <f t="shared" si="115"/>
        <v>0</v>
      </c>
      <c r="J1412" t="str">
        <f t="shared" si="112"/>
        <v/>
      </c>
      <c r="K1412">
        <v>3.3023381710052403E-2</v>
      </c>
      <c r="L1412">
        <v>1.41741912811994E-2</v>
      </c>
      <c r="M1412">
        <v>5.6797107934951997E-2</v>
      </c>
      <c r="N1412">
        <v>1.3207495212554999E-2</v>
      </c>
      <c r="O1412">
        <f t="shared" si="113"/>
        <v>3.7007056991569644E-3</v>
      </c>
    </row>
    <row r="1413" spans="1:15" x14ac:dyDescent="0.35">
      <c r="A1413" t="s">
        <v>98</v>
      </c>
      <c r="B1413">
        <v>2006</v>
      </c>
      <c r="C1413">
        <v>700290.5625</v>
      </c>
      <c r="D1413" s="8">
        <v>0.93336218595504805</v>
      </c>
      <c r="E1413" s="8">
        <v>6.9000000000000006E-2</v>
      </c>
      <c r="F1413">
        <v>3.36178800006754</v>
      </c>
      <c r="G1413">
        <f t="shared" si="114"/>
        <v>3.6018043698948912</v>
      </c>
      <c r="H1413">
        <f t="shared" si="116"/>
        <v>0.72713561409886873</v>
      </c>
      <c r="I1413">
        <f t="shared" si="115"/>
        <v>1</v>
      </c>
      <c r="J1413" t="str">
        <f t="shared" si="112"/>
        <v/>
      </c>
      <c r="K1413">
        <v>1.12747639715672E-2</v>
      </c>
      <c r="L1413">
        <v>4.9117244780064002E-3</v>
      </c>
      <c r="M1413">
        <v>1.1771681815385701E-2</v>
      </c>
      <c r="N1413">
        <v>1.26934377476572E-2</v>
      </c>
      <c r="O1413" t="str">
        <f t="shared" si="113"/>
        <v/>
      </c>
    </row>
    <row r="1414" spans="1:15" x14ac:dyDescent="0.35">
      <c r="A1414" t="s">
        <v>98</v>
      </c>
      <c r="B1414">
        <v>2007</v>
      </c>
      <c r="C1414">
        <v>720616.6875</v>
      </c>
      <c r="D1414" s="8">
        <v>0.93317455053329501</v>
      </c>
      <c r="E1414" s="8">
        <v>5.1999999999999998E-2</v>
      </c>
      <c r="F1414">
        <v>3.3350553137769499</v>
      </c>
      <c r="G1414">
        <f t="shared" si="114"/>
        <v>3.573881555032782</v>
      </c>
      <c r="H1414">
        <f t="shared" si="116"/>
        <v>-7.7524518253955232E-3</v>
      </c>
      <c r="I1414">
        <f t="shared" si="115"/>
        <v>0</v>
      </c>
      <c r="J1414" t="str">
        <f t="shared" si="112"/>
        <v/>
      </c>
      <c r="K1414">
        <v>1.1771681815385701E-2</v>
      </c>
      <c r="L1414">
        <v>1.26934377476572E-2</v>
      </c>
      <c r="M1414">
        <v>-2.6555738702416301E-2</v>
      </c>
      <c r="N1414">
        <v>2.9550655744970001E-3</v>
      </c>
      <c r="O1414" t="str">
        <f t="shared" si="113"/>
        <v/>
      </c>
    </row>
    <row r="1415" spans="1:15" x14ac:dyDescent="0.35">
      <c r="A1415" t="s">
        <v>98</v>
      </c>
      <c r="B1415">
        <v>2008</v>
      </c>
      <c r="C1415">
        <v>741919</v>
      </c>
      <c r="D1415" s="8">
        <v>0.93510460853576705</v>
      </c>
      <c r="E1415" s="8">
        <v>1.4999999999999999E-2</v>
      </c>
      <c r="F1415">
        <v>2.98641098265001</v>
      </c>
      <c r="G1415">
        <f t="shared" si="114"/>
        <v>3.1936651315688409</v>
      </c>
      <c r="H1415">
        <f t="shared" si="116"/>
        <v>-0.106387527848682</v>
      </c>
      <c r="I1415">
        <f t="shared" si="115"/>
        <v>0</v>
      </c>
      <c r="J1415" t="str">
        <f t="shared" ref="J1415:J1478" si="117">IF(AND(B1415&gt;=2010,B1415&lt;=2018),SUM(I1411:I1415),"")</f>
        <v/>
      </c>
      <c r="K1415">
        <v>-2.6555738702416301E-2</v>
      </c>
      <c r="L1415">
        <v>2.9550655744970001E-3</v>
      </c>
      <c r="M1415">
        <v>-3.10600779056549E-2</v>
      </c>
      <c r="N1415">
        <v>-4.4933762401342496E-3</v>
      </c>
      <c r="O1415" t="str">
        <f t="shared" ref="O1415:O1478" si="118">IF(B1415&gt;=2010,AVERAGE(N1415:N1419),"")</f>
        <v/>
      </c>
    </row>
    <row r="1416" spans="1:15" x14ac:dyDescent="0.35">
      <c r="A1416" t="s">
        <v>98</v>
      </c>
      <c r="B1416">
        <v>2009</v>
      </c>
      <c r="C1416">
        <v>762905.1875</v>
      </c>
      <c r="D1416" s="8">
        <v>0.93209666013717696</v>
      </c>
      <c r="E1416" s="8">
        <v>1.2E-2</v>
      </c>
      <c r="F1416">
        <v>3.1076648168056402</v>
      </c>
      <c r="G1416">
        <f t="shared" si="114"/>
        <v>3.3340585260205571</v>
      </c>
      <c r="H1416">
        <f t="shared" si="116"/>
        <v>4.3959960943917187E-2</v>
      </c>
      <c r="I1416">
        <f t="shared" si="115"/>
        <v>1</v>
      </c>
      <c r="J1416" t="str">
        <f t="shared" si="117"/>
        <v/>
      </c>
      <c r="K1416">
        <v>-3.10600779056549E-2</v>
      </c>
      <c r="L1416">
        <v>-4.4933762401342496E-3</v>
      </c>
      <c r="M1416">
        <v>-1.53192025576718E-2</v>
      </c>
      <c r="N1416">
        <v>-5.8590937987901296E-3</v>
      </c>
      <c r="O1416" t="str">
        <f t="shared" si="118"/>
        <v/>
      </c>
    </row>
    <row r="1417" spans="1:15" x14ac:dyDescent="0.35">
      <c r="A1417" t="s">
        <v>98</v>
      </c>
      <c r="B1417">
        <v>2010</v>
      </c>
      <c r="C1417">
        <v>783030.5</v>
      </c>
      <c r="D1417" s="8">
        <v>0.93997675180435203</v>
      </c>
      <c r="E1417" s="8">
        <v>1.7000000000000001E-2</v>
      </c>
      <c r="F1417">
        <v>3.05122627171678</v>
      </c>
      <c r="G1417">
        <f t="shared" si="114"/>
        <v>3.2460656775390824</v>
      </c>
      <c r="H1417">
        <f t="shared" si="116"/>
        <v>-2.6392112734295869E-2</v>
      </c>
      <c r="I1417">
        <f t="shared" si="115"/>
        <v>0</v>
      </c>
      <c r="J1417">
        <f t="shared" si="117"/>
        <v>2</v>
      </c>
      <c r="K1417">
        <v>-1.53192025576718E-2</v>
      </c>
      <c r="L1417">
        <v>-5.8590937987901296E-3</v>
      </c>
      <c r="M1417">
        <v>-2.3733306087553498E-2</v>
      </c>
      <c r="N1417">
        <v>-2.4495315738022002E-3</v>
      </c>
      <c r="O1417">
        <f t="shared" si="118"/>
        <v>-7.1779182180762013E-3</v>
      </c>
    </row>
    <row r="1418" spans="1:15" x14ac:dyDescent="0.35">
      <c r="A1418" t="s">
        <v>98</v>
      </c>
      <c r="B1418">
        <v>2011</v>
      </c>
      <c r="C1418">
        <v>797951.4375</v>
      </c>
      <c r="D1418" s="8">
        <v>0.92483460903167702</v>
      </c>
      <c r="E1418" s="8">
        <v>2.1999999999999999E-2</v>
      </c>
      <c r="F1418">
        <v>3.2080635625603802</v>
      </c>
      <c r="G1418">
        <f t="shared" si="114"/>
        <v>3.4687970489332098</v>
      </c>
      <c r="H1418">
        <f t="shared" si="116"/>
        <v>6.8615793246360024E-2</v>
      </c>
      <c r="I1418">
        <f t="shared" si="115"/>
        <v>1</v>
      </c>
      <c r="J1418">
        <f t="shared" si="117"/>
        <v>2</v>
      </c>
      <c r="K1418">
        <v>-2.3733306087553498E-2</v>
      </c>
      <c r="L1418">
        <v>-2.4495315738022002E-3</v>
      </c>
      <c r="M1418">
        <v>6.0692028701309704E-4</v>
      </c>
      <c r="N1418">
        <v>6.0451263561844904E-3</v>
      </c>
      <c r="O1418">
        <f t="shared" si="118"/>
        <v>-1.0693959984928341E-2</v>
      </c>
    </row>
    <row r="1419" spans="1:15" x14ac:dyDescent="0.35">
      <c r="A1419" t="s">
        <v>98</v>
      </c>
      <c r="B1419">
        <v>2012</v>
      </c>
      <c r="C1419">
        <v>809739.3125</v>
      </c>
      <c r="D1419" s="8">
        <v>0.93238919973373402</v>
      </c>
      <c r="E1419" s="8">
        <v>2.7E-2</v>
      </c>
      <c r="F1419">
        <v>3.0709181478860499</v>
      </c>
      <c r="G1419">
        <f t="shared" si="114"/>
        <v>3.2936011579317133</v>
      </c>
      <c r="H1419">
        <f t="shared" si="116"/>
        <v>-5.0506238482697086E-2</v>
      </c>
      <c r="I1419">
        <f t="shared" si="115"/>
        <v>0</v>
      </c>
      <c r="J1419">
        <f t="shared" si="117"/>
        <v>2</v>
      </c>
      <c r="K1419">
        <v>6.0692028701309704E-4</v>
      </c>
      <c r="L1419">
        <v>5.9595275670289898E-3</v>
      </c>
      <c r="M1419">
        <v>-3.4960485994819902E-4</v>
      </c>
      <c r="N1419">
        <v>-6.4763762056827996E-3</v>
      </c>
      <c r="O1419">
        <f t="shared" si="118"/>
        <v>-1.884734751656646E-2</v>
      </c>
    </row>
    <row r="1420" spans="1:15" x14ac:dyDescent="0.35">
      <c r="A1420" t="s">
        <v>98</v>
      </c>
      <c r="B1420">
        <v>2013</v>
      </c>
      <c r="C1420">
        <v>819658.875</v>
      </c>
      <c r="D1420" s="8">
        <v>0.93059259653091397</v>
      </c>
      <c r="E1420" s="8">
        <v>2.9000000000000001E-2</v>
      </c>
      <c r="F1420">
        <v>3.1763790783720101</v>
      </c>
      <c r="G1420">
        <f t="shared" si="114"/>
        <v>3.413286426534011</v>
      </c>
      <c r="H1420">
        <f t="shared" si="116"/>
        <v>3.633872556610851E-2</v>
      </c>
      <c r="I1420">
        <f t="shared" si="115"/>
        <v>1</v>
      </c>
      <c r="J1420">
        <f t="shared" si="117"/>
        <v>3</v>
      </c>
      <c r="K1420">
        <v>-3.4960485994819902E-4</v>
      </c>
      <c r="L1420">
        <v>-6.4763762056827996E-3</v>
      </c>
      <c r="M1420">
        <v>-8.9545144550502304E-3</v>
      </c>
      <c r="N1420">
        <v>-1.09625379554927E-2</v>
      </c>
      <c r="O1420">
        <f t="shared" si="118"/>
        <v>-1.9194888044148616E-2</v>
      </c>
    </row>
    <row r="1421" spans="1:15" x14ac:dyDescent="0.35">
      <c r="A1421" t="s">
        <v>98</v>
      </c>
      <c r="B1421">
        <v>2014</v>
      </c>
      <c r="C1421">
        <v>830119.625</v>
      </c>
      <c r="D1421" s="8">
        <v>0.92089140415191695</v>
      </c>
      <c r="E1421" s="8">
        <v>0.03</v>
      </c>
      <c r="F1421">
        <v>3.0998365152816598</v>
      </c>
      <c r="G1421">
        <f t="shared" si="114"/>
        <v>3.366126018014485</v>
      </c>
      <c r="H1421">
        <f t="shared" si="116"/>
        <v>-1.3816715805891167E-2</v>
      </c>
      <c r="I1421">
        <f t="shared" si="115"/>
        <v>0</v>
      </c>
      <c r="J1421">
        <f t="shared" si="117"/>
        <v>2</v>
      </c>
      <c r="K1421">
        <v>-8.9545144550502304E-3</v>
      </c>
      <c r="L1421">
        <v>-1.09625379554927E-2</v>
      </c>
      <c r="M1421">
        <v>8.2171803116798392E-3</v>
      </c>
      <c r="N1421">
        <v>-2.2046271711587798E-2</v>
      </c>
      <c r="O1421">
        <f t="shared" si="118"/>
        <v>-2.0047977380454482E-2</v>
      </c>
    </row>
    <row r="1422" spans="1:15" x14ac:dyDescent="0.35">
      <c r="A1422" t="s">
        <v>98</v>
      </c>
      <c r="B1422">
        <v>2015</v>
      </c>
      <c r="C1422">
        <v>839263.125</v>
      </c>
      <c r="D1422" s="8">
        <v>0.91968953609466597</v>
      </c>
      <c r="E1422" s="8">
        <v>1.2999999999999999E-2</v>
      </c>
      <c r="F1422">
        <v>3.12644700372033</v>
      </c>
      <c r="G1422">
        <f t="shared" si="114"/>
        <v>3.3994591446547857</v>
      </c>
      <c r="H1422">
        <f t="shared" si="116"/>
        <v>9.9025189377677236E-3</v>
      </c>
      <c r="I1422">
        <f t="shared" si="115"/>
        <v>1</v>
      </c>
      <c r="J1422">
        <f t="shared" si="117"/>
        <v>3</v>
      </c>
      <c r="K1422">
        <v>8.2171803116798392E-3</v>
      </c>
      <c r="L1422">
        <v>-2.2046271711587798E-2</v>
      </c>
      <c r="M1422">
        <v>-6.8761834055185199E-3</v>
      </c>
      <c r="N1422">
        <v>-2.00297404080629E-2</v>
      </c>
      <c r="O1422">
        <f t="shared" si="118"/>
        <v>-1.7752115987241218E-2</v>
      </c>
    </row>
    <row r="1423" spans="1:15" x14ac:dyDescent="0.35">
      <c r="A1423" t="s">
        <v>98</v>
      </c>
      <c r="B1423">
        <v>2016</v>
      </c>
      <c r="C1423">
        <v>847511.25</v>
      </c>
      <c r="D1423" s="8">
        <v>0.91820830106735196</v>
      </c>
      <c r="E1423" s="8">
        <v>4.2999999999999997E-2</v>
      </c>
      <c r="F1423">
        <v>3.1152458445306999</v>
      </c>
      <c r="G1423">
        <f t="shared" si="114"/>
        <v>3.3927441528348719</v>
      </c>
      <c r="H1423">
        <f t="shared" si="116"/>
        <v>-1.9753118170201533E-3</v>
      </c>
      <c r="I1423">
        <f t="shared" si="115"/>
        <v>0</v>
      </c>
      <c r="J1423">
        <f t="shared" si="117"/>
        <v>2</v>
      </c>
      <c r="K1423">
        <v>-6.8761834055185199E-3</v>
      </c>
      <c r="L1423">
        <v>-2.00297404080629E-2</v>
      </c>
      <c r="M1423">
        <v>-3.1932237841188899E-2</v>
      </c>
      <c r="N1423">
        <v>-3.4721811302006099E-2</v>
      </c>
      <c r="O1423">
        <f t="shared" si="118"/>
        <v>-2.3307584412395915E-2</v>
      </c>
    </row>
    <row r="1424" spans="1:15" x14ac:dyDescent="0.35">
      <c r="A1424" t="s">
        <v>98</v>
      </c>
      <c r="B1424">
        <v>2017</v>
      </c>
      <c r="C1424">
        <v>853909.75</v>
      </c>
      <c r="D1424" s="8">
        <v>0.904929459095001</v>
      </c>
      <c r="E1424" s="8">
        <v>7.0999999999999994E-2</v>
      </c>
      <c r="F1424">
        <v>3.05261385323504</v>
      </c>
      <c r="G1424">
        <f t="shared" si="114"/>
        <v>3.3733169171969366</v>
      </c>
      <c r="H1424">
        <f t="shared" si="116"/>
        <v>-5.7261127756133012E-3</v>
      </c>
      <c r="I1424">
        <f t="shared" si="115"/>
        <v>0</v>
      </c>
      <c r="J1424">
        <f t="shared" si="117"/>
        <v>2</v>
      </c>
      <c r="K1424">
        <v>-3.1932237841188899E-2</v>
      </c>
      <c r="L1424">
        <v>-3.4721811302006099E-2</v>
      </c>
      <c r="M1424">
        <v>9.2094412446019902E-4</v>
      </c>
      <c r="N1424">
        <v>-8.2140788435935905E-3</v>
      </c>
      <c r="O1424">
        <f t="shared" si="118"/>
        <v>-1.8103812634944899E-2</v>
      </c>
    </row>
    <row r="1425" spans="1:15" x14ac:dyDescent="0.35">
      <c r="A1425" t="s">
        <v>98</v>
      </c>
      <c r="B1425">
        <v>2018</v>
      </c>
      <c r="C1425">
        <v>859706.5</v>
      </c>
      <c r="D1425" s="8">
        <v>0.91085189580917403</v>
      </c>
      <c r="E1425" s="8">
        <v>3.7999999999999999E-2</v>
      </c>
      <c r="F1425">
        <v>2.9359163209319199</v>
      </c>
      <c r="G1425">
        <f t="shared" si="114"/>
        <v>3.2232642150058197</v>
      </c>
      <c r="H1425">
        <f t="shared" si="116"/>
        <v>-4.4482242811565875E-2</v>
      </c>
      <c r="I1425">
        <f t="shared" si="115"/>
        <v>0</v>
      </c>
      <c r="J1425">
        <f t="shared" si="117"/>
        <v>1</v>
      </c>
      <c r="K1425">
        <v>9.2094412446019902E-4</v>
      </c>
      <c r="L1425">
        <v>-8.2140788435935905E-3</v>
      </c>
      <c r="M1425">
        <v>2.5732099711894998E-3</v>
      </c>
      <c r="N1425">
        <v>-1.5227984637021999E-2</v>
      </c>
      <c r="O1425">
        <f t="shared" si="118"/>
        <v>-1.9734538346528979E-2</v>
      </c>
    </row>
    <row r="1426" spans="1:15" x14ac:dyDescent="0.35">
      <c r="A1426" t="s">
        <v>98</v>
      </c>
      <c r="B1426">
        <v>2019</v>
      </c>
      <c r="C1426">
        <v>866495.4375</v>
      </c>
      <c r="D1426" s="8">
        <v>0.91738677024841297</v>
      </c>
      <c r="E1426" s="8">
        <v>3.2000000000000001E-2</v>
      </c>
      <c r="F1426">
        <v>3.0100793316215002</v>
      </c>
      <c r="G1426">
        <f t="shared" si="114"/>
        <v>3.2811453459334508</v>
      </c>
      <c r="H1426">
        <f t="shared" si="116"/>
        <v>1.7957302618310633E-2</v>
      </c>
      <c r="I1426">
        <f t="shared" si="115"/>
        <v>1</v>
      </c>
      <c r="J1426" t="str">
        <f t="shared" si="117"/>
        <v/>
      </c>
      <c r="K1426">
        <v>2.5732099711894998E-3</v>
      </c>
      <c r="L1426">
        <v>-1.5227984637021999E-2</v>
      </c>
      <c r="M1426">
        <v>8.2822256833314997E-3</v>
      </c>
      <c r="N1426">
        <v>-1.05669647455215E-2</v>
      </c>
      <c r="O1426">
        <f t="shared" si="118"/>
        <v>-1.7394647561013672E-2</v>
      </c>
    </row>
    <row r="1427" spans="1:15" x14ac:dyDescent="0.35">
      <c r="A1427" t="s">
        <v>98</v>
      </c>
      <c r="B1427">
        <v>2020</v>
      </c>
      <c r="C1427">
        <v>874623.6875</v>
      </c>
      <c r="D1427" s="8">
        <v>0.93777304887771595</v>
      </c>
      <c r="E1427" s="8">
        <v>2.5000000000000001E-2</v>
      </c>
      <c r="F1427">
        <v>2.9504532666458201</v>
      </c>
      <c r="G1427">
        <f t="shared" si="114"/>
        <v>3.146233803772446</v>
      </c>
      <c r="H1427">
        <f t="shared" si="116"/>
        <v>-4.1117209979195213E-2</v>
      </c>
      <c r="I1427">
        <f t="shared" si="115"/>
        <v>0</v>
      </c>
      <c r="J1427" t="str">
        <f t="shared" si="117"/>
        <v/>
      </c>
      <c r="K1427">
        <v>8.2822256833314997E-3</v>
      </c>
      <c r="L1427">
        <v>-1.05669647455215E-2</v>
      </c>
      <c r="M1427">
        <v>-4.2174698114395004E-3</v>
      </c>
      <c r="N1427">
        <v>-4.7807082533836399E-2</v>
      </c>
      <c r="O1427">
        <f t="shared" si="118"/>
        <v>-2.0228554215282173E-2</v>
      </c>
    </row>
    <row r="1428" spans="1:15" x14ac:dyDescent="0.35">
      <c r="A1428" t="s">
        <v>98</v>
      </c>
      <c r="B1428">
        <v>2021</v>
      </c>
      <c r="C1428">
        <v>882200.625</v>
      </c>
      <c r="D1428" s="8">
        <v>0.95539861917495705</v>
      </c>
      <c r="E1428" s="8">
        <v>1.7000000000000001E-2</v>
      </c>
      <c r="F1428">
        <v>2.8873237939319201</v>
      </c>
      <c r="G1428">
        <f t="shared" si="114"/>
        <v>3.0221142630761744</v>
      </c>
      <c r="H1428">
        <f t="shared" si="116"/>
        <v>-3.9450196151172179E-2</v>
      </c>
      <c r="I1428">
        <f t="shared" si="115"/>
        <v>0</v>
      </c>
      <c r="J1428" t="str">
        <f t="shared" si="117"/>
        <v/>
      </c>
      <c r="K1428">
        <v>-4.2174698114395004E-3</v>
      </c>
      <c r="L1428">
        <v>-4.7807082533836399E-2</v>
      </c>
      <c r="M1428">
        <v>-4.0806459188461298E-2</v>
      </c>
      <c r="N1428">
        <v>-8.7029524147509904E-3</v>
      </c>
      <c r="O1428">
        <f t="shared" si="118"/>
        <v>-1.1112860124558184E-2</v>
      </c>
    </row>
    <row r="1429" spans="1:15" x14ac:dyDescent="0.35">
      <c r="A1429" t="s">
        <v>98</v>
      </c>
      <c r="B1429">
        <v>2022</v>
      </c>
      <c r="C1429">
        <v>892798.5</v>
      </c>
      <c r="D1429" s="8">
        <v>0.92822396755218495</v>
      </c>
      <c r="E1429" s="8">
        <v>0.06</v>
      </c>
      <c r="F1429">
        <v>2.89750636361588</v>
      </c>
      <c r="G1429">
        <f t="shared" si="114"/>
        <v>3.121559521089377</v>
      </c>
      <c r="H1429">
        <f t="shared" si="116"/>
        <v>3.2905856415891499E-2</v>
      </c>
      <c r="I1429">
        <f t="shared" si="115"/>
        <v>1</v>
      </c>
      <c r="J1429" t="str">
        <f t="shared" si="117"/>
        <v/>
      </c>
      <c r="K1429">
        <v>-4.0806459188461298E-2</v>
      </c>
      <c r="L1429">
        <v>-8.2242488861083898E-3</v>
      </c>
      <c r="M1429">
        <v>-3.59266351759433E-2</v>
      </c>
      <c r="N1429">
        <v>-1.6367707401514001E-2</v>
      </c>
      <c r="O1429">
        <f t="shared" si="118"/>
        <v>-9.4470383133739115E-3</v>
      </c>
    </row>
    <row r="1430" spans="1:15" x14ac:dyDescent="0.35">
      <c r="A1430" t="s">
        <v>99</v>
      </c>
      <c r="B1430">
        <v>2006</v>
      </c>
      <c r="C1430">
        <v>536253.125</v>
      </c>
      <c r="D1430" s="8">
        <v>0.87858772277831998</v>
      </c>
      <c r="E1430" s="8">
        <v>7.0999999999999994E-2</v>
      </c>
      <c r="F1430">
        <v>2.0911407890712601</v>
      </c>
      <c r="G1430">
        <f t="shared" si="114"/>
        <v>2.3801161054909077</v>
      </c>
      <c r="H1430">
        <f t="shared" si="116"/>
        <v>-0.23752339514567922</v>
      </c>
      <c r="I1430">
        <f t="shared" si="115"/>
        <v>0</v>
      </c>
      <c r="J1430" t="str">
        <f t="shared" si="117"/>
        <v/>
      </c>
      <c r="K1430">
        <v>1.7571648240089398E-2</v>
      </c>
      <c r="L1430">
        <v>1.1208608746528599E-2</v>
      </c>
      <c r="M1430">
        <v>-4.4502866417170002E-3</v>
      </c>
      <c r="N1430">
        <v>-3.52853070944549E-3</v>
      </c>
      <c r="O1430" t="str">
        <f t="shared" si="118"/>
        <v/>
      </c>
    </row>
    <row r="1431" spans="1:15" x14ac:dyDescent="0.35">
      <c r="A1431" t="s">
        <v>99</v>
      </c>
      <c r="B1431">
        <v>2007</v>
      </c>
      <c r="C1431">
        <v>540380.1875</v>
      </c>
      <c r="D1431" s="8">
        <v>0.87024945020675704</v>
      </c>
      <c r="E1431" s="8">
        <v>5.0000000000000001E-3</v>
      </c>
      <c r="F1431">
        <v>2.1104634631788399</v>
      </c>
      <c r="G1431">
        <f t="shared" si="114"/>
        <v>2.4251247302453662</v>
      </c>
      <c r="H1431">
        <f t="shared" si="116"/>
        <v>1.8910264356694295E-2</v>
      </c>
      <c r="I1431">
        <f t="shared" si="115"/>
        <v>1</v>
      </c>
      <c r="J1431" t="str">
        <f t="shared" si="117"/>
        <v/>
      </c>
      <c r="K1431">
        <v>-4.4502866417170002E-3</v>
      </c>
      <c r="L1431">
        <v>-3.52853070944549E-3</v>
      </c>
      <c r="M1431">
        <v>-5.42473022937775E-2</v>
      </c>
      <c r="N1431">
        <v>-2.4736498016863999E-2</v>
      </c>
      <c r="O1431" t="str">
        <f t="shared" si="118"/>
        <v/>
      </c>
    </row>
    <row r="1432" spans="1:15" x14ac:dyDescent="0.35">
      <c r="A1432" t="s">
        <v>99</v>
      </c>
      <c r="B1432">
        <v>2008</v>
      </c>
      <c r="C1432">
        <v>542333.8125</v>
      </c>
      <c r="D1432" s="8">
        <v>0.86849880218505904</v>
      </c>
      <c r="E1432" s="8">
        <v>2.3E-2</v>
      </c>
      <c r="F1432">
        <v>2.2698195533205099</v>
      </c>
      <c r="G1432">
        <f t="shared" si="114"/>
        <v>2.6134976209637402</v>
      </c>
      <c r="H1432">
        <f t="shared" si="116"/>
        <v>7.7675547310638748E-2</v>
      </c>
      <c r="I1432">
        <f t="shared" si="115"/>
        <v>1</v>
      </c>
      <c r="J1432" t="str">
        <f t="shared" si="117"/>
        <v/>
      </c>
      <c r="K1432">
        <v>-5.42473022937775E-2</v>
      </c>
      <c r="L1432">
        <v>-2.4736498016863999E-2</v>
      </c>
      <c r="M1432">
        <v>-2.8795313745736999E-2</v>
      </c>
      <c r="N1432">
        <v>-2.2286120802164399E-3</v>
      </c>
      <c r="O1432" t="str">
        <f t="shared" si="118"/>
        <v/>
      </c>
    </row>
    <row r="1433" spans="1:15" x14ac:dyDescent="0.35">
      <c r="A1433" t="s">
        <v>99</v>
      </c>
      <c r="B1433">
        <v>2009</v>
      </c>
      <c r="C1433">
        <v>542615.5</v>
      </c>
      <c r="D1433" s="8">
        <v>0.88706380128860496</v>
      </c>
      <c r="E1433" s="8">
        <v>0</v>
      </c>
      <c r="F1433">
        <v>2.2422586212731299</v>
      </c>
      <c r="G1433">
        <f t="shared" si="114"/>
        <v>2.5277309456387278</v>
      </c>
      <c r="H1433">
        <f t="shared" si="116"/>
        <v>-3.2816817829505185E-2</v>
      </c>
      <c r="I1433">
        <f t="shared" si="115"/>
        <v>0</v>
      </c>
      <c r="J1433" t="str">
        <f t="shared" si="117"/>
        <v/>
      </c>
      <c r="K1433">
        <v>-2.8795313745736999E-2</v>
      </c>
      <c r="L1433">
        <v>-2.2286120802164399E-3</v>
      </c>
      <c r="M1433">
        <v>-9.8339521177113094E-3</v>
      </c>
      <c r="N1433">
        <v>-3.7384335882962401E-4</v>
      </c>
      <c r="O1433" t="str">
        <f t="shared" si="118"/>
        <v/>
      </c>
    </row>
    <row r="1434" spans="1:15" x14ac:dyDescent="0.35">
      <c r="A1434" t="s">
        <v>99</v>
      </c>
      <c r="B1434">
        <v>2010</v>
      </c>
      <c r="C1434">
        <v>544120.75</v>
      </c>
      <c r="D1434" s="8">
        <v>0.895147144794464</v>
      </c>
      <c r="E1434" s="8">
        <v>1.6E-2</v>
      </c>
      <c r="F1434">
        <v>2.3370994323383898</v>
      </c>
      <c r="G1434">
        <f t="shared" si="114"/>
        <v>2.6108550375536463</v>
      </c>
      <c r="H1434">
        <f t="shared" si="116"/>
        <v>3.2884865400068852E-2</v>
      </c>
      <c r="I1434">
        <f t="shared" si="115"/>
        <v>1</v>
      </c>
      <c r="J1434">
        <f t="shared" si="117"/>
        <v>3</v>
      </c>
      <c r="K1434">
        <v>-9.8339521177113094E-3</v>
      </c>
      <c r="L1434">
        <v>-3.7384335882962401E-4</v>
      </c>
      <c r="M1434">
        <v>-1.9027653492987101E-2</v>
      </c>
      <c r="N1434">
        <v>2.2561210207640999E-3</v>
      </c>
      <c r="O1434">
        <f t="shared" si="118"/>
        <v>5.3895046003162557E-3</v>
      </c>
    </row>
    <row r="1435" spans="1:15" x14ac:dyDescent="0.35">
      <c r="A1435" t="s">
        <v>99</v>
      </c>
      <c r="B1435">
        <v>2011</v>
      </c>
      <c r="C1435">
        <v>545026.8125</v>
      </c>
      <c r="D1435" s="8">
        <v>0.89890670776367199</v>
      </c>
      <c r="E1435" s="8">
        <v>6.0000000000000001E-3</v>
      </c>
      <c r="F1435">
        <v>2.1492529623905199</v>
      </c>
      <c r="G1435">
        <f t="shared" si="114"/>
        <v>2.3909633155786523</v>
      </c>
      <c r="H1435">
        <f t="shared" si="116"/>
        <v>-8.4222110692530494E-2</v>
      </c>
      <c r="I1435">
        <f t="shared" si="115"/>
        <v>0</v>
      </c>
      <c r="J1435">
        <f t="shared" si="117"/>
        <v>3</v>
      </c>
      <c r="K1435">
        <v>-1.9027653492987101E-2</v>
      </c>
      <c r="L1435">
        <v>2.2561210207640999E-3</v>
      </c>
      <c r="M1435">
        <v>-2.521237641573E-3</v>
      </c>
      <c r="N1435">
        <v>2.9169684275983901E-3</v>
      </c>
      <c r="O1435">
        <f t="shared" si="118"/>
        <v>1.1211309395730475E-2</v>
      </c>
    </row>
    <row r="1436" spans="1:15" x14ac:dyDescent="0.35">
      <c r="A1436" t="s">
        <v>99</v>
      </c>
      <c r="B1436">
        <v>2012</v>
      </c>
      <c r="C1436">
        <v>547905.6875</v>
      </c>
      <c r="D1436" s="8">
        <v>0.92217874526977495</v>
      </c>
      <c r="E1436" s="8">
        <v>0</v>
      </c>
      <c r="F1436">
        <v>2.3839900470379698</v>
      </c>
      <c r="G1436">
        <f t="shared" si="114"/>
        <v>2.5851713230937192</v>
      </c>
      <c r="H1436">
        <f t="shared" si="116"/>
        <v>8.1225841588483449E-2</v>
      </c>
      <c r="I1436">
        <f t="shared" si="115"/>
        <v>1</v>
      </c>
      <c r="J1436">
        <f t="shared" si="117"/>
        <v>3</v>
      </c>
      <c r="K1436">
        <v>-2.521237641573E-3</v>
      </c>
      <c r="L1436">
        <v>2.8313696384428899E-3</v>
      </c>
      <c r="M1436">
        <v>5.7099467515944902E-3</v>
      </c>
      <c r="N1436">
        <v>-4.1682459414010099E-4</v>
      </c>
      <c r="O1436">
        <f t="shared" si="118"/>
        <v>1.5928014367818839E-2</v>
      </c>
    </row>
    <row r="1437" spans="1:15" x14ac:dyDescent="0.35">
      <c r="A1437" t="s">
        <v>99</v>
      </c>
      <c r="B1437">
        <v>2013</v>
      </c>
      <c r="C1437">
        <v>551653.625</v>
      </c>
      <c r="D1437" s="8">
        <v>0.93141788244247403</v>
      </c>
      <c r="E1437" s="8">
        <v>0</v>
      </c>
      <c r="F1437">
        <v>2.3012260896324901</v>
      </c>
      <c r="G1437">
        <f t="shared" si="114"/>
        <v>2.4706698604475394</v>
      </c>
      <c r="H1437">
        <f t="shared" si="116"/>
        <v>-4.4291634222970555E-2</v>
      </c>
      <c r="I1437">
        <f t="shared" si="115"/>
        <v>0</v>
      </c>
      <c r="J1437">
        <f t="shared" si="117"/>
        <v>2</v>
      </c>
      <c r="K1437">
        <v>5.7099467515944902E-3</v>
      </c>
      <c r="L1437">
        <v>-4.1682459414010099E-4</v>
      </c>
      <c r="M1437">
        <v>9.7065054029225901E-3</v>
      </c>
      <c r="N1437">
        <v>7.6984819024800899E-3</v>
      </c>
      <c r="O1437">
        <f t="shared" si="118"/>
        <v>1.7421955242753039E-2</v>
      </c>
    </row>
    <row r="1438" spans="1:15" x14ac:dyDescent="0.35">
      <c r="A1438" t="s">
        <v>99</v>
      </c>
      <c r="B1438">
        <v>2014</v>
      </c>
      <c r="C1438">
        <v>558270.3125</v>
      </c>
      <c r="D1438" s="8">
        <v>0.93977981805801403</v>
      </c>
      <c r="E1438" s="8">
        <v>0</v>
      </c>
      <c r="F1438">
        <v>2.2620247562211699</v>
      </c>
      <c r="G1438">
        <f t="shared" si="114"/>
        <v>2.4069731151446496</v>
      </c>
      <c r="H1438">
        <f t="shared" si="116"/>
        <v>-2.5781164178427241E-2</v>
      </c>
      <c r="I1438">
        <f t="shared" si="115"/>
        <v>0</v>
      </c>
      <c r="J1438">
        <f t="shared" si="117"/>
        <v>2</v>
      </c>
      <c r="K1438">
        <v>9.7065054029225901E-3</v>
      </c>
      <c r="L1438">
        <v>7.6984819024800899E-3</v>
      </c>
      <c r="M1438">
        <v>4.47562282681465E-2</v>
      </c>
      <c r="N1438">
        <v>1.44927762448788E-2</v>
      </c>
      <c r="O1438">
        <f t="shared" si="118"/>
        <v>1.51740998029709E-2</v>
      </c>
    </row>
    <row r="1439" spans="1:15" x14ac:dyDescent="0.35">
      <c r="A1439" t="s">
        <v>99</v>
      </c>
      <c r="B1439">
        <v>2015</v>
      </c>
      <c r="C1439">
        <v>568728.5</v>
      </c>
      <c r="D1439" s="8">
        <v>0.95204812288284302</v>
      </c>
      <c r="E1439" s="8">
        <v>0</v>
      </c>
      <c r="F1439">
        <v>2.2617313735126299</v>
      </c>
      <c r="G1439">
        <f t="shared" si="114"/>
        <v>2.3756481622630683</v>
      </c>
      <c r="H1439">
        <f t="shared" si="116"/>
        <v>-1.3014251253778086E-2</v>
      </c>
      <c r="I1439">
        <f t="shared" si="115"/>
        <v>0</v>
      </c>
      <c r="J1439">
        <f t="shared" si="117"/>
        <v>1</v>
      </c>
      <c r="K1439">
        <v>4.47562282681465E-2</v>
      </c>
      <c r="L1439">
        <v>1.44927762448788E-2</v>
      </c>
      <c r="M1439">
        <v>4.4518702000379599E-2</v>
      </c>
      <c r="N1439">
        <v>3.1365144997835201E-2</v>
      </c>
      <c r="O1439">
        <f t="shared" si="118"/>
        <v>1.0160105675458921E-2</v>
      </c>
    </row>
    <row r="1440" spans="1:15" x14ac:dyDescent="0.35">
      <c r="A1440" t="s">
        <v>99</v>
      </c>
      <c r="B1440">
        <v>2016</v>
      </c>
      <c r="C1440">
        <v>579858.0625</v>
      </c>
      <c r="D1440" s="8">
        <v>0.95195472240447998</v>
      </c>
      <c r="E1440" s="8">
        <v>1.4E-2</v>
      </c>
      <c r="F1440">
        <v>2.2642271895632802</v>
      </c>
      <c r="G1440">
        <f t="shared" si="114"/>
        <v>2.3785030277954999</v>
      </c>
      <c r="H1440">
        <f t="shared" si="116"/>
        <v>1.2017206831300697E-3</v>
      </c>
      <c r="I1440">
        <f t="shared" si="115"/>
        <v>1</v>
      </c>
      <c r="J1440">
        <f t="shared" si="117"/>
        <v>2</v>
      </c>
      <c r="K1440">
        <v>4.4518702000379599E-2</v>
      </c>
      <c r="L1440">
        <v>3.1365144997835201E-2</v>
      </c>
      <c r="M1440">
        <v>2.92900667488574E-2</v>
      </c>
      <c r="N1440">
        <v>2.6500493288040199E-2</v>
      </c>
      <c r="O1440">
        <f t="shared" si="118"/>
        <v>1.8547545373439677E-2</v>
      </c>
    </row>
    <row r="1441" spans="1:15" x14ac:dyDescent="0.35">
      <c r="A1441" t="s">
        <v>99</v>
      </c>
      <c r="B1441">
        <v>2017</v>
      </c>
      <c r="C1441">
        <v>589591.9375</v>
      </c>
      <c r="D1441" s="8">
        <v>0.952717065811157</v>
      </c>
      <c r="E1441" s="8">
        <v>1.0999999999999999E-2</v>
      </c>
      <c r="F1441">
        <v>2.1251574545271299</v>
      </c>
      <c r="G1441">
        <f t="shared" si="114"/>
        <v>2.2306280959895899</v>
      </c>
      <c r="H1441">
        <f t="shared" si="116"/>
        <v>-6.2171428868420198E-2</v>
      </c>
      <c r="I1441">
        <f t="shared" si="115"/>
        <v>0</v>
      </c>
      <c r="J1441">
        <f t="shared" si="117"/>
        <v>1</v>
      </c>
      <c r="K1441">
        <v>2.92900667488574E-2</v>
      </c>
      <c r="L1441">
        <v>2.6500493288040199E-2</v>
      </c>
      <c r="M1441">
        <v>1.6187902748584601E-2</v>
      </c>
      <c r="N1441">
        <v>7.0528797805309001E-3</v>
      </c>
      <c r="O1441">
        <f t="shared" si="118"/>
        <v>1.5236684679984938E-2</v>
      </c>
    </row>
    <row r="1442" spans="1:15" x14ac:dyDescent="0.35">
      <c r="A1442" t="s">
        <v>99</v>
      </c>
      <c r="B1442">
        <v>2018</v>
      </c>
      <c r="C1442">
        <v>596159.125</v>
      </c>
      <c r="D1442" s="8">
        <v>0.93256026506423995</v>
      </c>
      <c r="E1442" s="8">
        <v>2.8000000000000001E-2</v>
      </c>
      <c r="F1442">
        <v>2.06197943072354</v>
      </c>
      <c r="G1442">
        <f t="shared" si="114"/>
        <v>2.2110950980540642</v>
      </c>
      <c r="H1442">
        <f t="shared" si="116"/>
        <v>-8.7567255028498936E-3</v>
      </c>
      <c r="I1442">
        <f t="shared" si="115"/>
        <v>0</v>
      </c>
      <c r="J1442">
        <f t="shared" si="117"/>
        <v>1</v>
      </c>
      <c r="K1442">
        <v>1.6187902748584601E-2</v>
      </c>
      <c r="L1442">
        <v>7.0528797805309001E-3</v>
      </c>
      <c r="M1442">
        <v>1.42603993117809E-2</v>
      </c>
      <c r="N1442">
        <v>-3.5407952964305999E-3</v>
      </c>
      <c r="O1442">
        <f t="shared" si="118"/>
        <v>4.8445079475640182E-3</v>
      </c>
    </row>
    <row r="1443" spans="1:15" x14ac:dyDescent="0.35">
      <c r="A1443" t="s">
        <v>99</v>
      </c>
      <c r="B1443">
        <v>2019</v>
      </c>
      <c r="C1443">
        <v>602639.125</v>
      </c>
      <c r="D1443" s="8">
        <v>0.93408811092376698</v>
      </c>
      <c r="E1443" s="8">
        <v>0.03</v>
      </c>
      <c r="F1443">
        <v>2.1291195089200001</v>
      </c>
      <c r="G1443">
        <f t="shared" si="114"/>
        <v>2.2793561806652329</v>
      </c>
      <c r="H1443">
        <f t="shared" si="116"/>
        <v>3.0872069985250272E-2</v>
      </c>
      <c r="I1443">
        <f t="shared" si="115"/>
        <v>1</v>
      </c>
      <c r="J1443" t="str">
        <f t="shared" si="117"/>
        <v/>
      </c>
      <c r="K1443">
        <v>1.42603993117809E-2</v>
      </c>
      <c r="L1443">
        <v>-3.5407952964305999E-3</v>
      </c>
      <c r="M1443">
        <v>8.2719960361718903E-3</v>
      </c>
      <c r="N1443">
        <v>-1.0577194392681099E-2</v>
      </c>
      <c r="O1443">
        <f t="shared" si="118"/>
        <v>2.1774984896181988E-3</v>
      </c>
    </row>
    <row r="1444" spans="1:15" x14ac:dyDescent="0.35">
      <c r="A1444" t="s">
        <v>99</v>
      </c>
      <c r="B1444">
        <v>2020</v>
      </c>
      <c r="C1444">
        <v>611074.8125</v>
      </c>
      <c r="D1444" s="8">
        <v>0.91538727283477805</v>
      </c>
      <c r="E1444" s="8">
        <v>0.125</v>
      </c>
      <c r="F1444">
        <v>2.04872121093495</v>
      </c>
      <c r="G1444">
        <f t="shared" si="114"/>
        <v>2.2380923044630663</v>
      </c>
      <c r="H1444">
        <f t="shared" si="116"/>
        <v>-1.8103303271419291E-2</v>
      </c>
      <c r="I1444">
        <f t="shared" si="115"/>
        <v>0</v>
      </c>
      <c r="J1444" t="str">
        <f t="shared" si="117"/>
        <v/>
      </c>
      <c r="K1444">
        <v>8.2719960361718903E-3</v>
      </c>
      <c r="L1444">
        <v>-1.0577194392681099E-2</v>
      </c>
      <c r="M1444">
        <v>0.116891956210136</v>
      </c>
      <c r="N1444">
        <v>7.3302343487738994E-2</v>
      </c>
      <c r="O1444">
        <f t="shared" si="118"/>
        <v>1.5856838785110975E-3</v>
      </c>
    </row>
    <row r="1445" spans="1:15" x14ac:dyDescent="0.35">
      <c r="A1445" t="s">
        <v>99</v>
      </c>
      <c r="B1445">
        <v>2021</v>
      </c>
      <c r="C1445">
        <v>621351</v>
      </c>
      <c r="D1445" s="8">
        <v>0.95448637008667003</v>
      </c>
      <c r="E1445" s="8">
        <v>4.1000000000000002E-2</v>
      </c>
      <c r="F1445">
        <v>2.1761531825639802</v>
      </c>
      <c r="G1445">
        <f t="shared" si="114"/>
        <v>2.2799206471291771</v>
      </c>
      <c r="H1445">
        <f t="shared" si="116"/>
        <v>1.8689283986500049E-2</v>
      </c>
      <c r="I1445">
        <f t="shared" si="115"/>
        <v>1</v>
      </c>
      <c r="J1445" t="str">
        <f t="shared" si="117"/>
        <v/>
      </c>
      <c r="K1445">
        <v>0.116891956210136</v>
      </c>
      <c r="L1445">
        <v>7.3302343487738994E-2</v>
      </c>
      <c r="M1445">
        <v>-2.21573169529438E-2</v>
      </c>
      <c r="N1445">
        <v>9.9461898207664906E-3</v>
      </c>
      <c r="O1445">
        <f t="shared" si="118"/>
        <v>-1.4804652798920851E-2</v>
      </c>
    </row>
    <row r="1446" spans="1:15" x14ac:dyDescent="0.35">
      <c r="A1446" t="s">
        <v>99</v>
      </c>
      <c r="B1446">
        <v>2022</v>
      </c>
      <c r="C1446">
        <v>635528.3125</v>
      </c>
      <c r="D1446" s="8">
        <v>0.92432171106338501</v>
      </c>
      <c r="E1446" s="8">
        <v>4.9000000000000002E-2</v>
      </c>
      <c r="F1446">
        <v>2.2577497597289402</v>
      </c>
      <c r="G1446">
        <f t="shared" si="114"/>
        <v>2.4426016750504695</v>
      </c>
      <c r="H1446">
        <f t="shared" si="116"/>
        <v>7.1353811425909353E-2</v>
      </c>
      <c r="I1446">
        <f t="shared" si="115"/>
        <v>1</v>
      </c>
      <c r="J1446" t="str">
        <f t="shared" si="117"/>
        <v/>
      </c>
      <c r="K1446">
        <v>-2.21573169529438E-2</v>
      </c>
      <c r="L1446">
        <v>1.0424893349408999E-2</v>
      </c>
      <c r="M1446">
        <v>-6.4466931656002993E-2</v>
      </c>
      <c r="N1446">
        <v>-4.4908003881573698E-2</v>
      </c>
      <c r="O1446">
        <f t="shared" si="118"/>
        <v>-1.9066270766779771E-2</v>
      </c>
    </row>
    <row r="1447" spans="1:15" x14ac:dyDescent="0.35">
      <c r="A1447" t="s">
        <v>100</v>
      </c>
      <c r="B1447">
        <v>2006</v>
      </c>
      <c r="C1447">
        <v>1294396</v>
      </c>
      <c r="D1447" s="8">
        <v>0.87429010868072499</v>
      </c>
      <c r="E1447" s="8">
        <v>8.0000000000000002E-3</v>
      </c>
      <c r="F1447">
        <v>2.3986327406499002</v>
      </c>
      <c r="G1447">
        <f t="shared" si="114"/>
        <v>2.7435203908109611</v>
      </c>
      <c r="H1447">
        <f t="shared" si="116"/>
        <v>0.12319598354253736</v>
      </c>
      <c r="I1447">
        <f t="shared" si="115"/>
        <v>1</v>
      </c>
      <c r="J1447" t="str">
        <f t="shared" si="117"/>
        <v/>
      </c>
      <c r="K1447">
        <v>-2.7557613205164599E-2</v>
      </c>
      <c r="L1447">
        <v>-3.39206526987254E-2</v>
      </c>
      <c r="M1447">
        <v>-1.7797598518431199E-2</v>
      </c>
      <c r="N1447">
        <v>-1.6875842586159699E-2</v>
      </c>
      <c r="O1447" t="str">
        <f t="shared" si="118"/>
        <v/>
      </c>
    </row>
    <row r="1448" spans="1:15" x14ac:dyDescent="0.35">
      <c r="A1448" t="s">
        <v>100</v>
      </c>
      <c r="B1448">
        <v>2007</v>
      </c>
      <c r="C1448">
        <v>1304403</v>
      </c>
      <c r="D1448" s="8">
        <v>0.862707078456879</v>
      </c>
      <c r="E1448" s="8">
        <v>1.0999999999999999E-2</v>
      </c>
      <c r="F1448">
        <v>2.3551570135852402</v>
      </c>
      <c r="G1448">
        <f t="shared" si="114"/>
        <v>2.7299613882824527</v>
      </c>
      <c r="H1448">
        <f t="shared" si="116"/>
        <v>-4.9421912714490146E-3</v>
      </c>
      <c r="I1448">
        <f t="shared" si="115"/>
        <v>0</v>
      </c>
      <c r="J1448" t="str">
        <f t="shared" si="117"/>
        <v/>
      </c>
      <c r="K1448">
        <v>-1.7797598518431199E-2</v>
      </c>
      <c r="L1448">
        <v>-1.6875842586159699E-2</v>
      </c>
      <c r="M1448">
        <v>-4.3047071725129997E-2</v>
      </c>
      <c r="N1448">
        <v>-1.35362674482166E-2</v>
      </c>
      <c r="O1448" t="str">
        <f t="shared" si="118"/>
        <v/>
      </c>
    </row>
    <row r="1449" spans="1:15" x14ac:dyDescent="0.35">
      <c r="A1449" t="s">
        <v>100</v>
      </c>
      <c r="B1449">
        <v>2008</v>
      </c>
      <c r="C1449">
        <v>1312607</v>
      </c>
      <c r="D1449" s="8">
        <v>0.85832327604293801</v>
      </c>
      <c r="E1449" s="8">
        <v>2.1000000000000001E-2</v>
      </c>
      <c r="F1449">
        <v>2.4461896141695898</v>
      </c>
      <c r="G1449">
        <f t="shared" si="114"/>
        <v>2.8499630412530235</v>
      </c>
      <c r="H1449">
        <f t="shared" si="116"/>
        <v>4.3957271148830968E-2</v>
      </c>
      <c r="I1449">
        <f t="shared" si="115"/>
        <v>1</v>
      </c>
      <c r="J1449" t="str">
        <f t="shared" si="117"/>
        <v/>
      </c>
      <c r="K1449">
        <v>-4.3047071725129997E-2</v>
      </c>
      <c r="L1449">
        <v>-1.35362674482166E-2</v>
      </c>
      <c r="M1449">
        <v>-3.5216041564941403E-2</v>
      </c>
      <c r="N1449">
        <v>-8.6493398994207504E-3</v>
      </c>
      <c r="O1449" t="str">
        <f t="shared" si="118"/>
        <v/>
      </c>
    </row>
    <row r="1450" spans="1:15" x14ac:dyDescent="0.35">
      <c r="A1450" t="s">
        <v>100</v>
      </c>
      <c r="B1450">
        <v>2009</v>
      </c>
      <c r="C1450">
        <v>1319861</v>
      </c>
      <c r="D1450" s="8">
        <v>0.866463303565979</v>
      </c>
      <c r="E1450" s="8">
        <v>2E-3</v>
      </c>
      <c r="F1450">
        <v>2.4960259301014598</v>
      </c>
      <c r="G1450">
        <f t="shared" si="114"/>
        <v>2.8807058762084017</v>
      </c>
      <c r="H1450">
        <f t="shared" si="116"/>
        <v>1.0787099520371823E-2</v>
      </c>
      <c r="I1450">
        <f t="shared" si="115"/>
        <v>1</v>
      </c>
      <c r="J1450" t="str">
        <f t="shared" si="117"/>
        <v/>
      </c>
      <c r="K1450">
        <v>-3.5216041564941403E-2</v>
      </c>
      <c r="L1450">
        <v>-8.6493398994207504E-3</v>
      </c>
      <c r="M1450">
        <v>-2.0822008777409699E-2</v>
      </c>
      <c r="N1450">
        <v>-1.13619000185281E-2</v>
      </c>
      <c r="O1450" t="str">
        <f t="shared" si="118"/>
        <v/>
      </c>
    </row>
    <row r="1451" spans="1:15" x14ac:dyDescent="0.35">
      <c r="A1451" t="s">
        <v>100</v>
      </c>
      <c r="B1451">
        <v>2010</v>
      </c>
      <c r="C1451">
        <v>1327327</v>
      </c>
      <c r="D1451" s="8">
        <v>0.87637245655059803</v>
      </c>
      <c r="E1451" s="8">
        <v>-1E-3</v>
      </c>
      <c r="F1451">
        <v>2.49533265202423</v>
      </c>
      <c r="G1451">
        <f t="shared" si="114"/>
        <v>2.8473426262685835</v>
      </c>
      <c r="H1451">
        <f t="shared" si="116"/>
        <v>-1.1581623176237343E-2</v>
      </c>
      <c r="I1451">
        <f t="shared" si="115"/>
        <v>0</v>
      </c>
      <c r="J1451">
        <f t="shared" si="117"/>
        <v>3</v>
      </c>
      <c r="K1451">
        <v>-2.0822008777409699E-2</v>
      </c>
      <c r="L1451">
        <v>-1.13619000185281E-2</v>
      </c>
      <c r="M1451">
        <v>-2.7955690741538999E-2</v>
      </c>
      <c r="N1451">
        <v>-6.6719162277877001E-3</v>
      </c>
      <c r="O1451">
        <f t="shared" si="118"/>
        <v>-5.2436557598411777E-3</v>
      </c>
    </row>
    <row r="1452" spans="1:15" x14ac:dyDescent="0.35">
      <c r="A1452" t="s">
        <v>100</v>
      </c>
      <c r="B1452">
        <v>2011</v>
      </c>
      <c r="C1452">
        <v>1332779</v>
      </c>
      <c r="D1452" s="8">
        <v>0.87785142660141002</v>
      </c>
      <c r="E1452" s="8">
        <v>-4.0000000000000001E-3</v>
      </c>
      <c r="F1452">
        <v>2.3511930491916599</v>
      </c>
      <c r="G1452">
        <f t="shared" si="114"/>
        <v>2.6783496363322801</v>
      </c>
      <c r="H1452">
        <f t="shared" si="116"/>
        <v>-5.9351125634559576E-2</v>
      </c>
      <c r="I1452">
        <f t="shared" si="115"/>
        <v>0</v>
      </c>
      <c r="J1452">
        <f t="shared" si="117"/>
        <v>2</v>
      </c>
      <c r="K1452">
        <v>-2.7955690741538999E-2</v>
      </c>
      <c r="L1452">
        <v>-6.6719162277877001E-3</v>
      </c>
      <c r="M1452">
        <v>-7.8192682042717999E-3</v>
      </c>
      <c r="N1452">
        <v>-2.3810621351003998E-3</v>
      </c>
      <c r="O1452">
        <f t="shared" si="118"/>
        <v>-3.1699808314442379E-3</v>
      </c>
    </row>
    <row r="1453" spans="1:15" x14ac:dyDescent="0.35">
      <c r="A1453" t="s">
        <v>100</v>
      </c>
      <c r="B1453">
        <v>2012</v>
      </c>
      <c r="C1453">
        <v>1337737</v>
      </c>
      <c r="D1453" s="8">
        <v>0.88686960935592696</v>
      </c>
      <c r="E1453" s="8">
        <v>5.0000000000000001E-3</v>
      </c>
      <c r="F1453">
        <v>2.4481526949608301</v>
      </c>
      <c r="G1453">
        <f t="shared" si="114"/>
        <v>2.7604426503449102</v>
      </c>
      <c r="H1453">
        <f t="shared" si="116"/>
        <v>3.0650596508769556E-2</v>
      </c>
      <c r="I1453">
        <f t="shared" si="115"/>
        <v>1</v>
      </c>
      <c r="J1453">
        <f t="shared" si="117"/>
        <v>3</v>
      </c>
      <c r="K1453">
        <v>-7.8192682042717999E-3</v>
      </c>
      <c r="L1453">
        <v>-2.4666609242559E-3</v>
      </c>
      <c r="M1453">
        <v>-2.79439833015199E-3</v>
      </c>
      <c r="N1453">
        <v>-8.9211696758865998E-3</v>
      </c>
      <c r="O1453">
        <f t="shared" si="118"/>
        <v>-2.6636680588125782E-3</v>
      </c>
    </row>
    <row r="1454" spans="1:15" x14ac:dyDescent="0.35">
      <c r="A1454" t="s">
        <v>100</v>
      </c>
      <c r="B1454">
        <v>2013</v>
      </c>
      <c r="C1454">
        <v>1337228</v>
      </c>
      <c r="D1454" s="8">
        <v>0.88724535703659102</v>
      </c>
      <c r="E1454" s="8">
        <v>6.0000000000000001E-3</v>
      </c>
      <c r="F1454">
        <v>2.5334600109369898</v>
      </c>
      <c r="G1454">
        <f t="shared" si="114"/>
        <v>2.8554221116453888</v>
      </c>
      <c r="H1454">
        <f t="shared" si="116"/>
        <v>3.4407330030425065E-2</v>
      </c>
      <c r="I1454">
        <f t="shared" si="115"/>
        <v>1</v>
      </c>
      <c r="J1454">
        <f t="shared" si="117"/>
        <v>3</v>
      </c>
      <c r="K1454">
        <v>-2.79439833015199E-3</v>
      </c>
      <c r="L1454">
        <v>-8.9211696758865998E-3</v>
      </c>
      <c r="M1454">
        <v>-3.1329516172409E-3</v>
      </c>
      <c r="N1454">
        <v>-5.1409751176834002E-3</v>
      </c>
      <c r="O1454">
        <f t="shared" si="118"/>
        <v>4.5603130012751014E-3</v>
      </c>
    </row>
    <row r="1455" spans="1:15" x14ac:dyDescent="0.35">
      <c r="A1455" t="s">
        <v>100</v>
      </c>
      <c r="B1455">
        <v>2014</v>
      </c>
      <c r="C1455">
        <v>1337495</v>
      </c>
      <c r="D1455" s="8">
        <v>0.89332914352417003</v>
      </c>
      <c r="E1455" s="8">
        <v>5.0000000000000001E-3</v>
      </c>
      <c r="F1455">
        <v>2.43901090781717</v>
      </c>
      <c r="G1455">
        <f t="shared" si="114"/>
        <v>2.7302488959391931</v>
      </c>
      <c r="H1455">
        <f t="shared" si="116"/>
        <v>-4.3837026825454872E-2</v>
      </c>
      <c r="I1455">
        <f t="shared" si="115"/>
        <v>0</v>
      </c>
      <c r="J1455">
        <f t="shared" si="117"/>
        <v>2</v>
      </c>
      <c r="K1455">
        <v>-3.1329516172409E-3</v>
      </c>
      <c r="L1455">
        <v>-5.1409751176834002E-3</v>
      </c>
      <c r="M1455">
        <v>2.7160296380519901E-2</v>
      </c>
      <c r="N1455">
        <v>-3.1031556427477901E-3</v>
      </c>
      <c r="O1455">
        <f t="shared" si="118"/>
        <v>7.1254294365644798E-3</v>
      </c>
    </row>
    <row r="1456" spans="1:15" x14ac:dyDescent="0.35">
      <c r="A1456" t="s">
        <v>100</v>
      </c>
      <c r="B1456">
        <v>2015</v>
      </c>
      <c r="C1456">
        <v>1337680</v>
      </c>
      <c r="D1456" s="8">
        <v>0.89676409959793102</v>
      </c>
      <c r="E1456" s="8">
        <v>5.0000000000000001E-3</v>
      </c>
      <c r="F1456">
        <v>2.3603979841799099</v>
      </c>
      <c r="G1456">
        <f t="shared" si="114"/>
        <v>2.6321280983908779</v>
      </c>
      <c r="H1456">
        <f t="shared" si="116"/>
        <v>-3.5938407554803597E-2</v>
      </c>
      <c r="I1456">
        <f t="shared" si="115"/>
        <v>0</v>
      </c>
      <c r="J1456">
        <f t="shared" si="117"/>
        <v>2</v>
      </c>
      <c r="K1456">
        <v>2.7160296380519901E-2</v>
      </c>
      <c r="L1456">
        <v>-3.1031556427477901E-3</v>
      </c>
      <c r="M1456">
        <v>1.6850015416741401E-2</v>
      </c>
      <c r="N1456">
        <v>3.6964584141970002E-3</v>
      </c>
      <c r="O1456">
        <f t="shared" si="118"/>
        <v>1.2868791818618797E-2</v>
      </c>
    </row>
    <row r="1457" spans="1:15" x14ac:dyDescent="0.35">
      <c r="A1457" t="s">
        <v>100</v>
      </c>
      <c r="B1457">
        <v>2016</v>
      </c>
      <c r="C1457">
        <v>1338498</v>
      </c>
      <c r="D1457" s="8">
        <v>0.88530886173248302</v>
      </c>
      <c r="E1457" s="8">
        <v>5.0000000000000001E-3</v>
      </c>
      <c r="F1457">
        <v>2.4116499428426201</v>
      </c>
      <c r="G1457">
        <f t="shared" si="114"/>
        <v>2.7240774910161885</v>
      </c>
      <c r="H1457">
        <f t="shared" si="116"/>
        <v>3.4933479370370613E-2</v>
      </c>
      <c r="I1457">
        <f t="shared" si="115"/>
        <v>1</v>
      </c>
      <c r="J1457">
        <f t="shared" si="117"/>
        <v>3</v>
      </c>
      <c r="K1457">
        <v>1.6850015416741401E-2</v>
      </c>
      <c r="L1457">
        <v>3.6964584141970002E-3</v>
      </c>
      <c r="M1457">
        <v>2.9400751888751901E-3</v>
      </c>
      <c r="N1457">
        <v>1.50501728057899E-4</v>
      </c>
      <c r="O1457">
        <f t="shared" si="118"/>
        <v>1.4492249116301597E-2</v>
      </c>
    </row>
    <row r="1458" spans="1:15" x14ac:dyDescent="0.35">
      <c r="A1458" t="s">
        <v>100</v>
      </c>
      <c r="B1458">
        <v>2017</v>
      </c>
      <c r="C1458">
        <v>1340230</v>
      </c>
      <c r="D1458" s="8">
        <v>0.88534015417098999</v>
      </c>
      <c r="E1458" s="8">
        <v>4.0000000000000001E-3</v>
      </c>
      <c r="F1458">
        <v>2.32348186596872</v>
      </c>
      <c r="G1458">
        <f t="shared" si="114"/>
        <v>2.6243945392314996</v>
      </c>
      <c r="H1458">
        <f t="shared" si="116"/>
        <v>-3.6593287861096502E-2</v>
      </c>
      <c r="I1458">
        <f t="shared" si="115"/>
        <v>0</v>
      </c>
      <c r="J1458">
        <f t="shared" si="117"/>
        <v>2</v>
      </c>
      <c r="K1458">
        <v>2.9400751888751901E-3</v>
      </c>
      <c r="L1458">
        <v>1.50501728057899E-4</v>
      </c>
      <c r="M1458">
        <v>3.6333758592605597E-2</v>
      </c>
      <c r="N1458">
        <v>2.7198735624551801E-2</v>
      </c>
      <c r="O1458">
        <f t="shared" si="118"/>
        <v>1.3923692330718102E-2</v>
      </c>
    </row>
    <row r="1459" spans="1:15" x14ac:dyDescent="0.35">
      <c r="A1459" t="s">
        <v>100</v>
      </c>
      <c r="B1459">
        <v>2018</v>
      </c>
      <c r="C1459">
        <v>1342783</v>
      </c>
      <c r="D1459" s="8">
        <v>0.88516211509704601</v>
      </c>
      <c r="E1459" s="8">
        <v>2E-3</v>
      </c>
      <c r="F1459">
        <v>2.3322049980809401</v>
      </c>
      <c r="G1459">
        <f t="shared" si="114"/>
        <v>2.6347772439687454</v>
      </c>
      <c r="H1459">
        <f t="shared" si="116"/>
        <v>3.9562286013161696E-3</v>
      </c>
      <c r="I1459">
        <f t="shared" si="115"/>
        <v>1</v>
      </c>
      <c r="J1459">
        <f t="shared" si="117"/>
        <v>2</v>
      </c>
      <c r="K1459">
        <v>3.6333758592605597E-2</v>
      </c>
      <c r="L1459">
        <v>2.7198735624551801E-2</v>
      </c>
      <c r="M1459">
        <v>2.5485801666974998E-2</v>
      </c>
      <c r="N1459">
        <v>7.6846070587634902E-3</v>
      </c>
      <c r="O1459">
        <f t="shared" si="118"/>
        <v>5.8512469753623595E-3</v>
      </c>
    </row>
    <row r="1460" spans="1:15" x14ac:dyDescent="0.35">
      <c r="A1460" t="s">
        <v>100</v>
      </c>
      <c r="B1460">
        <v>2019</v>
      </c>
      <c r="C1460">
        <v>1344383</v>
      </c>
      <c r="D1460" s="8">
        <v>0.87781643867492698</v>
      </c>
      <c r="E1460" s="8">
        <v>1.2999999999999999E-2</v>
      </c>
      <c r="F1460">
        <v>2.2538144679800598</v>
      </c>
      <c r="G1460">
        <f t="shared" si="114"/>
        <v>2.5675236515076159</v>
      </c>
      <c r="H1460">
        <f t="shared" si="116"/>
        <v>-2.5525342840681975E-2</v>
      </c>
      <c r="I1460">
        <f t="shared" si="115"/>
        <v>0</v>
      </c>
      <c r="J1460" t="str">
        <f t="shared" si="117"/>
        <v/>
      </c>
      <c r="K1460">
        <v>2.5485801666974998E-2</v>
      </c>
      <c r="L1460">
        <v>7.6846070587634902E-3</v>
      </c>
      <c r="M1460">
        <v>4.4462846696376797E-2</v>
      </c>
      <c r="N1460">
        <v>2.56136562675238E-2</v>
      </c>
      <c r="O1460">
        <f t="shared" si="118"/>
        <v>5.1043193787337019E-3</v>
      </c>
    </row>
    <row r="1461" spans="1:15" x14ac:dyDescent="0.35">
      <c r="A1461" t="s">
        <v>100</v>
      </c>
      <c r="B1461">
        <v>2020</v>
      </c>
      <c r="C1461">
        <v>1345232</v>
      </c>
      <c r="D1461" s="8">
        <v>0.90323096513748202</v>
      </c>
      <c r="E1461" s="8">
        <v>3.0000000000000001E-3</v>
      </c>
      <c r="F1461">
        <v>2.08240746681934</v>
      </c>
      <c r="G1461">
        <f t="shared" si="114"/>
        <v>2.3055093848585826</v>
      </c>
      <c r="H1461">
        <f t="shared" si="116"/>
        <v>-0.10204940721585254</v>
      </c>
      <c r="I1461">
        <f t="shared" si="115"/>
        <v>0</v>
      </c>
      <c r="J1461" t="str">
        <f t="shared" si="117"/>
        <v/>
      </c>
      <c r="K1461">
        <v>4.4462846696376797E-2</v>
      </c>
      <c r="L1461">
        <v>2.56136562675238E-2</v>
      </c>
      <c r="M1461">
        <v>5.5403357625007997E-2</v>
      </c>
      <c r="N1461">
        <v>1.1813744902611001E-2</v>
      </c>
      <c r="O1461">
        <f t="shared" si="118"/>
        <v>1.3496800325811422E-3</v>
      </c>
    </row>
    <row r="1462" spans="1:15" x14ac:dyDescent="0.35">
      <c r="A1462" t="s">
        <v>100</v>
      </c>
      <c r="B1462">
        <v>2021</v>
      </c>
      <c r="C1462">
        <v>1341815</v>
      </c>
      <c r="D1462" s="8">
        <v>0.90918987989425704</v>
      </c>
      <c r="E1462" s="8">
        <v>1.4999999999999999E-2</v>
      </c>
      <c r="F1462">
        <v>2.3506563882971001</v>
      </c>
      <c r="G1462">
        <f t="shared" si="114"/>
        <v>2.5854405556851252</v>
      </c>
      <c r="H1462">
        <f t="shared" si="116"/>
        <v>0.12141836102034054</v>
      </c>
      <c r="I1462">
        <f t="shared" si="115"/>
        <v>1</v>
      </c>
      <c r="J1462" t="str">
        <f t="shared" si="117"/>
        <v/>
      </c>
      <c r="K1462">
        <v>5.5403357625007997E-2</v>
      </c>
      <c r="L1462">
        <v>1.1813744902611001E-2</v>
      </c>
      <c r="M1462">
        <v>-3.4795788973569899E-2</v>
      </c>
      <c r="N1462">
        <v>-2.6922821998595901E-3</v>
      </c>
      <c r="O1462">
        <f t="shared" si="118"/>
        <v>-2.6227396912872664E-3</v>
      </c>
    </row>
    <row r="1463" spans="1:15" x14ac:dyDescent="0.35">
      <c r="A1463" t="s">
        <v>100</v>
      </c>
      <c r="B1463">
        <v>2022</v>
      </c>
      <c r="C1463">
        <v>1340751</v>
      </c>
      <c r="D1463" s="8">
        <v>0.88118523359298695</v>
      </c>
      <c r="E1463" s="8">
        <v>1.0999999999999999E-2</v>
      </c>
      <c r="F1463">
        <v>2.29303630098565</v>
      </c>
      <c r="G1463">
        <f t="shared" si="114"/>
        <v>2.6022182551061528</v>
      </c>
      <c r="H1463">
        <f t="shared" si="116"/>
        <v>6.4893000089036867E-3</v>
      </c>
      <c r="I1463">
        <f t="shared" si="115"/>
        <v>1</v>
      </c>
      <c r="J1463" t="str">
        <f t="shared" si="117"/>
        <v/>
      </c>
      <c r="K1463">
        <v>-3.4795788973569899E-2</v>
      </c>
      <c r="L1463">
        <v>-2.2135786712169899E-3</v>
      </c>
      <c r="M1463">
        <v>-3.2722418926656199E-2</v>
      </c>
      <c r="N1463">
        <v>-1.3163491152226901E-2</v>
      </c>
      <c r="O1463">
        <f t="shared" si="118"/>
        <v>-1.6172845382243339E-3</v>
      </c>
    </row>
    <row r="1464" spans="1:15" x14ac:dyDescent="0.35">
      <c r="A1464" t="s">
        <v>101</v>
      </c>
      <c r="B1464">
        <v>2006</v>
      </c>
      <c r="C1464">
        <v>246124.609375</v>
      </c>
      <c r="D1464" s="8">
        <v>0.94644314050674405</v>
      </c>
      <c r="E1464" s="8">
        <v>1.2E-2</v>
      </c>
      <c r="F1464">
        <v>3.20444845205891</v>
      </c>
      <c r="G1464">
        <f t="shared" si="114"/>
        <v>3.3857802068734801</v>
      </c>
      <c r="H1464">
        <f t="shared" si="116"/>
        <v>0.30111307928525899</v>
      </c>
      <c r="I1464">
        <f t="shared" si="115"/>
        <v>1</v>
      </c>
      <c r="J1464" t="str">
        <f t="shared" si="117"/>
        <v/>
      </c>
      <c r="K1464">
        <v>8.9750975668429905E-3</v>
      </c>
      <c r="L1464">
        <v>2.6120580732822002E-3</v>
      </c>
      <c r="M1464">
        <v>3.0282131433486902E-3</v>
      </c>
      <c r="N1464">
        <v>3.9499690756202004E-3</v>
      </c>
      <c r="O1464" t="str">
        <f t="shared" si="118"/>
        <v/>
      </c>
    </row>
    <row r="1465" spans="1:15" x14ac:dyDescent="0.35">
      <c r="A1465" t="s">
        <v>101</v>
      </c>
      <c r="B1465">
        <v>2007</v>
      </c>
      <c r="C1465">
        <v>249037.796875</v>
      </c>
      <c r="D1465" s="8">
        <v>0.94658386707305897</v>
      </c>
      <c r="E1465" s="8">
        <v>1E-3</v>
      </c>
      <c r="F1465">
        <v>3.1789129340714601</v>
      </c>
      <c r="G1465">
        <f t="shared" si="114"/>
        <v>3.3583003520871397</v>
      </c>
      <c r="H1465">
        <f t="shared" si="116"/>
        <v>-8.1162547794902951E-3</v>
      </c>
      <c r="I1465">
        <f t="shared" si="115"/>
        <v>0</v>
      </c>
      <c r="J1465" t="str">
        <f t="shared" si="117"/>
        <v/>
      </c>
      <c r="K1465">
        <v>3.0282131433486902E-3</v>
      </c>
      <c r="L1465">
        <v>3.9499690756202004E-3</v>
      </c>
      <c r="M1465">
        <v>-2.26703447401524E-2</v>
      </c>
      <c r="N1465">
        <v>6.8404595367610004E-3</v>
      </c>
      <c r="O1465" t="str">
        <f t="shared" si="118"/>
        <v/>
      </c>
    </row>
    <row r="1466" spans="1:15" x14ac:dyDescent="0.35">
      <c r="A1466" t="s">
        <v>101</v>
      </c>
      <c r="B1466">
        <v>2008</v>
      </c>
      <c r="C1466">
        <v>250989.703125</v>
      </c>
      <c r="D1466" s="8">
        <v>0.94212573766708396</v>
      </c>
      <c r="E1466" s="8">
        <v>0</v>
      </c>
      <c r="F1466">
        <v>3.0060550295330999</v>
      </c>
      <c r="G1466">
        <f t="shared" si="114"/>
        <v>3.1907153252991165</v>
      </c>
      <c r="H1466">
        <f t="shared" si="116"/>
        <v>-4.9901738742298973E-2</v>
      </c>
      <c r="I1466">
        <f t="shared" si="115"/>
        <v>0</v>
      </c>
      <c r="J1466" t="str">
        <f t="shared" si="117"/>
        <v/>
      </c>
      <c r="K1466">
        <v>-2.26703447401524E-2</v>
      </c>
      <c r="L1466">
        <v>6.8404595367610004E-3</v>
      </c>
      <c r="M1466">
        <v>-3.4615055382251597E-2</v>
      </c>
      <c r="N1466">
        <v>-8.0483537167310402E-3</v>
      </c>
      <c r="O1466" t="str">
        <f t="shared" si="118"/>
        <v/>
      </c>
    </row>
    <row r="1467" spans="1:15" x14ac:dyDescent="0.35">
      <c r="A1467" t="s">
        <v>101</v>
      </c>
      <c r="B1467">
        <v>2009</v>
      </c>
      <c r="C1467">
        <v>253434.6875</v>
      </c>
      <c r="D1467" s="8">
        <v>0.93471693992614702</v>
      </c>
      <c r="E1467" s="8">
        <v>0</v>
      </c>
      <c r="F1467">
        <v>3.1554639054639</v>
      </c>
      <c r="G1467">
        <f t="shared" si="114"/>
        <v>3.3758497045246836</v>
      </c>
      <c r="H1467">
        <f t="shared" si="116"/>
        <v>5.8022844519421746E-2</v>
      </c>
      <c r="I1467">
        <f t="shared" si="115"/>
        <v>1</v>
      </c>
      <c r="J1467" t="str">
        <f t="shared" si="117"/>
        <v/>
      </c>
      <c r="K1467">
        <v>-3.4615055382251597E-2</v>
      </c>
      <c r="L1467">
        <v>-8.0483537167310402E-3</v>
      </c>
      <c r="M1467">
        <v>-7.1251151934266102E-3</v>
      </c>
      <c r="N1467">
        <v>2.33499356545507E-3</v>
      </c>
      <c r="O1467" t="str">
        <f t="shared" si="118"/>
        <v/>
      </c>
    </row>
    <row r="1468" spans="1:15" x14ac:dyDescent="0.35">
      <c r="A1468" t="s">
        <v>101</v>
      </c>
      <c r="B1468">
        <v>2010</v>
      </c>
      <c r="C1468">
        <v>257470.890625</v>
      </c>
      <c r="D1468" s="8">
        <v>0.94498288631439198</v>
      </c>
      <c r="E1468" s="8">
        <v>4.0000000000000001E-3</v>
      </c>
      <c r="F1468">
        <v>3.1255959475566102</v>
      </c>
      <c r="G1468">
        <f t="shared" si="114"/>
        <v>3.3075688383596158</v>
      </c>
      <c r="H1468">
        <f t="shared" si="116"/>
        <v>-2.0226275498447244E-2</v>
      </c>
      <c r="I1468">
        <f t="shared" si="115"/>
        <v>0</v>
      </c>
      <c r="J1468">
        <f t="shared" si="117"/>
        <v>2</v>
      </c>
      <c r="K1468">
        <v>-7.1251151934266102E-3</v>
      </c>
      <c r="L1468">
        <v>2.33499356545507E-3</v>
      </c>
      <c r="M1468">
        <v>-1.5879856765270199E-2</v>
      </c>
      <c r="N1468">
        <v>5.4039177484811003E-3</v>
      </c>
      <c r="O1468">
        <f t="shared" si="118"/>
        <v>9.2348295263946396E-3</v>
      </c>
    </row>
    <row r="1469" spans="1:15" x14ac:dyDescent="0.35">
      <c r="A1469" t="s">
        <v>101</v>
      </c>
      <c r="B1469">
        <v>2011</v>
      </c>
      <c r="C1469">
        <v>259958.5</v>
      </c>
      <c r="D1469" s="8">
        <v>0.940682113170624</v>
      </c>
      <c r="E1469" s="8">
        <v>0</v>
      </c>
      <c r="F1469">
        <v>3.2121320692316102</v>
      </c>
      <c r="G1469">
        <f t="shared" si="114"/>
        <v>3.4146839025193447</v>
      </c>
      <c r="H1469">
        <f t="shared" si="116"/>
        <v>3.2384832907318195E-2</v>
      </c>
      <c r="I1469">
        <f t="shared" si="115"/>
        <v>1</v>
      </c>
      <c r="J1469">
        <f t="shared" si="117"/>
        <v>2</v>
      </c>
      <c r="K1469">
        <v>-1.5879856765270199E-2</v>
      </c>
      <c r="L1469">
        <v>5.4039177484811003E-3</v>
      </c>
      <c r="M1469">
        <v>5.1374518871309996E-4</v>
      </c>
      <c r="N1469">
        <v>5.9519512578844998E-3</v>
      </c>
      <c r="O1469">
        <f t="shared" si="118"/>
        <v>1.6133315302431599E-2</v>
      </c>
    </row>
    <row r="1470" spans="1:15" x14ac:dyDescent="0.35">
      <c r="A1470" t="s">
        <v>101</v>
      </c>
      <c r="B1470">
        <v>2012</v>
      </c>
      <c r="C1470">
        <v>261643</v>
      </c>
      <c r="D1470" s="8">
        <v>0.93912166357040405</v>
      </c>
      <c r="E1470" s="8">
        <v>-5.0000000000000001E-3</v>
      </c>
      <c r="F1470">
        <v>3.2217465994536498</v>
      </c>
      <c r="G1470">
        <f t="shared" si="114"/>
        <v>3.4305955494680398</v>
      </c>
      <c r="H1470">
        <f t="shared" si="116"/>
        <v>4.6597715639082882E-3</v>
      </c>
      <c r="I1470">
        <f t="shared" si="115"/>
        <v>1</v>
      </c>
      <c r="J1470">
        <f t="shared" si="117"/>
        <v>3</v>
      </c>
      <c r="K1470">
        <v>5.1374518871309996E-4</v>
      </c>
      <c r="L1470">
        <v>5.8663524687290001E-3</v>
      </c>
      <c r="M1470">
        <v>2.01595841348171E-2</v>
      </c>
      <c r="N1470">
        <v>1.4032812789082499E-2</v>
      </c>
      <c r="O1470">
        <f t="shared" si="118"/>
        <v>2.254155613482E-2</v>
      </c>
    </row>
    <row r="1471" spans="1:15" x14ac:dyDescent="0.35">
      <c r="A1471" t="s">
        <v>101</v>
      </c>
      <c r="B1471">
        <v>2013</v>
      </c>
      <c r="C1471">
        <v>263257.59375</v>
      </c>
      <c r="D1471" s="8">
        <v>0.94638353586196899</v>
      </c>
      <c r="E1471" s="8">
        <v>6.0000000000000001E-3</v>
      </c>
      <c r="F1471">
        <v>3.1999833624490401</v>
      </c>
      <c r="G1471">
        <f t="shared" si="114"/>
        <v>3.3812753933155499</v>
      </c>
      <c r="H1471">
        <f t="shared" si="116"/>
        <v>-1.4376558076086177E-2</v>
      </c>
      <c r="I1471">
        <f t="shared" si="115"/>
        <v>0</v>
      </c>
      <c r="J1471">
        <f t="shared" si="117"/>
        <v>3</v>
      </c>
      <c r="K1471">
        <v>2.01595841348171E-2</v>
      </c>
      <c r="L1471">
        <v>1.4032812789082499E-2</v>
      </c>
      <c r="M1471">
        <v>-3.8834448754786902E-3</v>
      </c>
      <c r="N1471">
        <v>-5.8914683759212E-3</v>
      </c>
      <c r="O1471">
        <f t="shared" si="118"/>
        <v>2.4101648479700123E-2</v>
      </c>
    </row>
    <row r="1472" spans="1:15" x14ac:dyDescent="0.35">
      <c r="A1472" t="s">
        <v>101</v>
      </c>
      <c r="B1472">
        <v>2014</v>
      </c>
      <c r="C1472">
        <v>265751.1875</v>
      </c>
      <c r="D1472" s="8">
        <v>0.94873350858688399</v>
      </c>
      <c r="E1472" s="8">
        <v>0</v>
      </c>
      <c r="F1472">
        <v>3.3476845506167998</v>
      </c>
      <c r="G1472">
        <f t="shared" si="114"/>
        <v>3.5285826001899063</v>
      </c>
      <c r="H1472">
        <f t="shared" si="116"/>
        <v>4.3565575038805759E-2</v>
      </c>
      <c r="I1472">
        <f t="shared" si="115"/>
        <v>1</v>
      </c>
      <c r="J1472">
        <f t="shared" si="117"/>
        <v>3</v>
      </c>
      <c r="K1472">
        <v>-3.8834448754786902E-3</v>
      </c>
      <c r="L1472">
        <v>-5.8914683759212E-3</v>
      </c>
      <c r="M1472">
        <v>5.6940386235713999E-2</v>
      </c>
      <c r="N1472">
        <v>2.66769342124463E-2</v>
      </c>
      <c r="O1472">
        <f t="shared" si="118"/>
        <v>2.8150796890258799E-2</v>
      </c>
    </row>
    <row r="1473" spans="1:15" x14ac:dyDescent="0.35">
      <c r="A1473" t="s">
        <v>101</v>
      </c>
      <c r="B1473">
        <v>2015</v>
      </c>
      <c r="C1473">
        <v>267688.8125</v>
      </c>
      <c r="D1473" s="8">
        <v>0.95534032583236705</v>
      </c>
      <c r="E1473" s="8">
        <v>0</v>
      </c>
      <c r="F1473">
        <v>3.37211658354114</v>
      </c>
      <c r="G1473">
        <f t="shared" si="114"/>
        <v>3.5297542586230608</v>
      </c>
      <c r="H1473">
        <f t="shared" si="116"/>
        <v>3.3204789738849882E-4</v>
      </c>
      <c r="I1473">
        <f t="shared" si="115"/>
        <v>1</v>
      </c>
      <c r="J1473">
        <f t="shared" si="117"/>
        <v>4</v>
      </c>
      <c r="K1473">
        <v>5.6940386235713999E-2</v>
      </c>
      <c r="L1473">
        <v>2.66769342124463E-2</v>
      </c>
      <c r="M1473">
        <v>5.3049903631210302E-2</v>
      </c>
      <c r="N1473">
        <v>3.9896346628665903E-2</v>
      </c>
      <c r="O1473">
        <f t="shared" si="118"/>
        <v>2.5650670006871202E-2</v>
      </c>
    </row>
    <row r="1474" spans="1:15" x14ac:dyDescent="0.35">
      <c r="A1474" t="s">
        <v>101</v>
      </c>
      <c r="B1474">
        <v>2016</v>
      </c>
      <c r="C1474">
        <v>269728</v>
      </c>
      <c r="D1474" s="8">
        <v>0.96222114562988303</v>
      </c>
      <c r="E1474" s="8">
        <v>-2E-3</v>
      </c>
      <c r="F1474">
        <v>3.2263809878249701</v>
      </c>
      <c r="G1474">
        <f t="shared" si="114"/>
        <v>3.3530555865231348</v>
      </c>
      <c r="H1474">
        <f t="shared" si="116"/>
        <v>-5.0059765964799885E-2</v>
      </c>
      <c r="I1474">
        <f t="shared" si="115"/>
        <v>0</v>
      </c>
      <c r="J1474">
        <f t="shared" si="117"/>
        <v>3</v>
      </c>
      <c r="K1474">
        <v>5.3049903631210302E-2</v>
      </c>
      <c r="L1474">
        <v>3.9896346628665903E-2</v>
      </c>
      <c r="M1474">
        <v>4.0782728880643798E-2</v>
      </c>
      <c r="N1474">
        <v>3.7993155419826501E-2</v>
      </c>
      <c r="O1474">
        <f t="shared" si="118"/>
        <v>1.5175728872418378E-2</v>
      </c>
    </row>
    <row r="1475" spans="1:15" x14ac:dyDescent="0.35">
      <c r="A1475" t="s">
        <v>101</v>
      </c>
      <c r="B1475">
        <v>2017</v>
      </c>
      <c r="C1475">
        <v>273270.375</v>
      </c>
      <c r="D1475" s="8">
        <v>0.96286737918853804</v>
      </c>
      <c r="E1475" s="8">
        <v>0</v>
      </c>
      <c r="F1475">
        <v>3.2478375693552599</v>
      </c>
      <c r="G1475">
        <f t="shared" ref="G1475:G1538" si="119">F1475/D1475</f>
        <v>3.3730892120287566</v>
      </c>
      <c r="H1475">
        <f t="shared" si="116"/>
        <v>5.9747370685241386E-3</v>
      </c>
      <c r="I1475">
        <f t="shared" ref="I1475:I1538" si="120">IF(H1475&gt;0,1,0)</f>
        <v>1</v>
      </c>
      <c r="J1475">
        <f t="shared" si="117"/>
        <v>3</v>
      </c>
      <c r="K1475">
        <v>4.0782728880643798E-2</v>
      </c>
      <c r="L1475">
        <v>3.7993155419826501E-2</v>
      </c>
      <c r="M1475">
        <v>3.0968297481536899E-2</v>
      </c>
      <c r="N1475">
        <v>2.18332745134831E-2</v>
      </c>
      <c r="O1475">
        <f t="shared" si="118"/>
        <v>6.2367897480726225E-3</v>
      </c>
    </row>
    <row r="1476" spans="1:15" x14ac:dyDescent="0.35">
      <c r="A1476" t="s">
        <v>101</v>
      </c>
      <c r="B1476">
        <v>2018</v>
      </c>
      <c r="C1476">
        <v>276506.8125</v>
      </c>
      <c r="D1476" s="8">
        <v>0.95972847938537598</v>
      </c>
      <c r="E1476" s="8">
        <v>0</v>
      </c>
      <c r="F1476">
        <v>3.2739347748046201</v>
      </c>
      <c r="G1476">
        <f t="shared" si="119"/>
        <v>3.4113135591238217</v>
      </c>
      <c r="H1476">
        <f t="shared" ref="H1476:H1539" si="121">+G1476/G1475-1</f>
        <v>1.1332148274867393E-2</v>
      </c>
      <c r="I1476">
        <f t="shared" si="120"/>
        <v>1</v>
      </c>
      <c r="J1476">
        <f t="shared" si="117"/>
        <v>4</v>
      </c>
      <c r="K1476">
        <v>3.0968297481536899E-2</v>
      </c>
      <c r="L1476">
        <v>2.18332745134831E-2</v>
      </c>
      <c r="M1476">
        <v>3.2155468285083699E-2</v>
      </c>
      <c r="N1476">
        <v>1.43542736768722E-2</v>
      </c>
      <c r="O1476">
        <f t="shared" si="118"/>
        <v>4.1374657303094621E-3</v>
      </c>
    </row>
    <row r="1477" spans="1:15" x14ac:dyDescent="0.35">
      <c r="A1477" t="s">
        <v>101</v>
      </c>
      <c r="B1477">
        <v>2019</v>
      </c>
      <c r="C1477">
        <v>279912.90625</v>
      </c>
      <c r="D1477" s="8">
        <v>0.95477092266082797</v>
      </c>
      <c r="E1477" s="8">
        <v>2.3E-2</v>
      </c>
      <c r="F1477">
        <v>3.45159595428871</v>
      </c>
      <c r="G1477">
        <f t="shared" si="119"/>
        <v>3.6151037619259925</v>
      </c>
      <c r="H1477">
        <f t="shared" si="121"/>
        <v>5.9739510681191543E-2</v>
      </c>
      <c r="I1477">
        <f t="shared" si="120"/>
        <v>1</v>
      </c>
      <c r="J1477" t="str">
        <f t="shared" si="117"/>
        <v/>
      </c>
      <c r="K1477">
        <v>3.2155468285083699E-2</v>
      </c>
      <c r="L1477">
        <v>1.43542736768722E-2</v>
      </c>
      <c r="M1477">
        <v>3.3025490224361298E-2</v>
      </c>
      <c r="N1477">
        <v>1.41762997955083E-2</v>
      </c>
      <c r="O1477">
        <f t="shared" si="118"/>
        <v>2.740187570452621E-4</v>
      </c>
    </row>
    <row r="1478" spans="1:15" x14ac:dyDescent="0.35">
      <c r="A1478" t="s">
        <v>101</v>
      </c>
      <c r="B1478">
        <v>2020</v>
      </c>
      <c r="C1478">
        <v>283421.8125</v>
      </c>
      <c r="D1478" s="8">
        <v>0.98701369762420699</v>
      </c>
      <c r="E1478" s="8">
        <v>0</v>
      </c>
      <c r="F1478">
        <v>3.0779056851459101</v>
      </c>
      <c r="G1478">
        <f t="shared" si="119"/>
        <v>3.118402199031876</v>
      </c>
      <c r="H1478">
        <f t="shared" si="121"/>
        <v>-0.13739621200512719</v>
      </c>
      <c r="I1478">
        <f t="shared" si="120"/>
        <v>0</v>
      </c>
      <c r="J1478" t="str">
        <f t="shared" si="117"/>
        <v/>
      </c>
      <c r="K1478">
        <v>3.3025490224361298E-2</v>
      </c>
      <c r="L1478">
        <v>1.41762997955083E-2</v>
      </c>
      <c r="M1478">
        <v>3.11112536787987E-2</v>
      </c>
      <c r="N1478">
        <v>-1.2478359043598199E-2</v>
      </c>
      <c r="O1478">
        <f t="shared" si="118"/>
        <v>-1.2484595831483578E-2</v>
      </c>
    </row>
    <row r="1479" spans="1:15" x14ac:dyDescent="0.35">
      <c r="A1479" t="s">
        <v>101</v>
      </c>
      <c r="B1479">
        <v>2021</v>
      </c>
      <c r="C1479">
        <v>286570.40625</v>
      </c>
      <c r="D1479" s="8">
        <v>0.986977219581604</v>
      </c>
      <c r="E1479" s="8">
        <v>0</v>
      </c>
      <c r="F1479">
        <v>3.1582596840917598</v>
      </c>
      <c r="G1479">
        <f t="shared" si="119"/>
        <v>3.1999316918688341</v>
      </c>
      <c r="H1479">
        <f t="shared" si="121"/>
        <v>2.6144636782987618E-2</v>
      </c>
      <c r="I1479">
        <f t="shared" si="120"/>
        <v>1</v>
      </c>
      <c r="J1479" t="str">
        <f t="shared" ref="J1479:J1542" si="122">IF(AND(B1479&gt;=2010,B1479&lt;=2018),SUM(I1475:I1479),"")</f>
        <v/>
      </c>
      <c r="K1479">
        <v>3.11112536787987E-2</v>
      </c>
      <c r="L1479">
        <v>-1.2478359043598199E-2</v>
      </c>
      <c r="M1479">
        <v>-3.88050469756126E-2</v>
      </c>
      <c r="N1479">
        <v>-6.7015402019022898E-3</v>
      </c>
      <c r="O1479">
        <f t="shared" ref="O1479:O1542" si="123">IF(B1479&gt;=2010,AVERAGE(N1479:N1483),"")</f>
        <v>-1.1548821162432407E-2</v>
      </c>
    </row>
    <row r="1480" spans="1:15" x14ac:dyDescent="0.35">
      <c r="A1480" t="s">
        <v>101</v>
      </c>
      <c r="B1480">
        <v>2022</v>
      </c>
      <c r="C1480">
        <v>292573.09375</v>
      </c>
      <c r="D1480" s="8">
        <v>0.97584867477417003</v>
      </c>
      <c r="E1480" s="8">
        <v>5.0000000000000001E-3</v>
      </c>
      <c r="F1480">
        <v>3.1906111217066702</v>
      </c>
      <c r="G1480">
        <f t="shared" si="119"/>
        <v>3.2695757079805823</v>
      </c>
      <c r="H1480">
        <f t="shared" si="121"/>
        <v>2.1764219620286518E-2</v>
      </c>
      <c r="I1480">
        <f t="shared" si="120"/>
        <v>1</v>
      </c>
      <c r="J1480" t="str">
        <f t="shared" si="122"/>
        <v/>
      </c>
      <c r="K1480">
        <v>-3.88050469756126E-2</v>
      </c>
      <c r="L1480">
        <v>-6.2228366732597004E-3</v>
      </c>
      <c r="M1480">
        <v>-8.2222733497619993E-3</v>
      </c>
      <c r="N1480">
        <v>1.1336654424667299E-2</v>
      </c>
      <c r="O1480">
        <f t="shared" si="123"/>
        <v>-8.9879626873880548E-3</v>
      </c>
    </row>
    <row r="1481" spans="1:15" x14ac:dyDescent="0.35">
      <c r="A1481" t="s">
        <v>102</v>
      </c>
      <c r="B1481">
        <v>2006</v>
      </c>
      <c r="C1481">
        <v>2408192</v>
      </c>
      <c r="D1481" s="8">
        <v>0.96494942903518699</v>
      </c>
      <c r="E1481" s="8">
        <v>0</v>
      </c>
      <c r="F1481">
        <v>2.3705452379165699</v>
      </c>
      <c r="G1481">
        <f t="shared" si="119"/>
        <v>2.4566523038277559</v>
      </c>
      <c r="H1481">
        <f t="shared" si="121"/>
        <v>-0.24863269021989387</v>
      </c>
      <c r="I1481">
        <f t="shared" si="120"/>
        <v>0</v>
      </c>
      <c r="J1481" t="str">
        <f t="shared" si="122"/>
        <v/>
      </c>
      <c r="K1481">
        <v>3.8549532771110499E-2</v>
      </c>
      <c r="L1481">
        <v>3.2186493277549702E-2</v>
      </c>
      <c r="M1481">
        <v>-5.8847171217202999E-3</v>
      </c>
      <c r="N1481">
        <v>-4.9629611894487996E-3</v>
      </c>
      <c r="O1481" t="str">
        <f t="shared" si="123"/>
        <v/>
      </c>
    </row>
    <row r="1482" spans="1:15" x14ac:dyDescent="0.35">
      <c r="A1482" t="s">
        <v>102</v>
      </c>
      <c r="B1482">
        <v>2007</v>
      </c>
      <c r="C1482">
        <v>2420681</v>
      </c>
      <c r="D1482" s="8">
        <v>0.94883966445922896</v>
      </c>
      <c r="E1482" s="8">
        <v>8.9999999999999993E-3</v>
      </c>
      <c r="F1482">
        <v>2.4199290310902399</v>
      </c>
      <c r="G1482">
        <f t="shared" si="119"/>
        <v>2.5504088011217649</v>
      </c>
      <c r="H1482">
        <f t="shared" si="121"/>
        <v>3.8164333287183272E-2</v>
      </c>
      <c r="I1482">
        <f t="shared" si="120"/>
        <v>1</v>
      </c>
      <c r="J1482" t="str">
        <f t="shared" si="122"/>
        <v/>
      </c>
      <c r="K1482">
        <v>-5.8847171217202999E-3</v>
      </c>
      <c r="L1482">
        <v>-4.9629611894487996E-3</v>
      </c>
      <c r="M1482">
        <v>-7.9127577424049397E-2</v>
      </c>
      <c r="N1482">
        <v>-4.9616773147135897E-2</v>
      </c>
      <c r="O1482" t="str">
        <f t="shared" si="123"/>
        <v/>
      </c>
    </row>
    <row r="1483" spans="1:15" x14ac:dyDescent="0.35">
      <c r="A1483" t="s">
        <v>102</v>
      </c>
      <c r="B1483">
        <v>2008</v>
      </c>
      <c r="C1483">
        <v>2443136</v>
      </c>
      <c r="D1483" s="8">
        <v>0.93510562181472801</v>
      </c>
      <c r="E1483" s="8">
        <v>1.2999999999999999E-2</v>
      </c>
      <c r="F1483">
        <v>2.3522665127301399</v>
      </c>
      <c r="G1483">
        <f t="shared" si="119"/>
        <v>2.5155088985190521</v>
      </c>
      <c r="H1483">
        <f t="shared" si="121"/>
        <v>-1.3684042568925636E-2</v>
      </c>
      <c r="I1483">
        <f t="shared" si="120"/>
        <v>0</v>
      </c>
      <c r="J1483" t="str">
        <f t="shared" si="122"/>
        <v/>
      </c>
      <c r="K1483">
        <v>-7.9127577424049397E-2</v>
      </c>
      <c r="L1483">
        <v>-4.9616773147135897E-2</v>
      </c>
      <c r="M1483">
        <v>-3.4366187363863002E-2</v>
      </c>
      <c r="N1483">
        <v>-7.7994856983423502E-3</v>
      </c>
      <c r="O1483" t="str">
        <f t="shared" si="123"/>
        <v/>
      </c>
    </row>
    <row r="1484" spans="1:15" x14ac:dyDescent="0.35">
      <c r="A1484" t="s">
        <v>102</v>
      </c>
      <c r="B1484">
        <v>2009</v>
      </c>
      <c r="C1484">
        <v>2474814</v>
      </c>
      <c r="D1484" s="8">
        <v>0.939231097698212</v>
      </c>
      <c r="E1484" s="8">
        <v>0.01</v>
      </c>
      <c r="F1484">
        <v>2.4188005775542898</v>
      </c>
      <c r="G1484">
        <f t="shared" si="119"/>
        <v>2.5752986495890959</v>
      </c>
      <c r="H1484">
        <f t="shared" si="121"/>
        <v>2.3768451427559567E-2</v>
      </c>
      <c r="I1484">
        <f t="shared" si="120"/>
        <v>1</v>
      </c>
      <c r="J1484" t="str">
        <f t="shared" si="122"/>
        <v/>
      </c>
      <c r="K1484">
        <v>-3.4366187363863002E-2</v>
      </c>
      <c r="L1484">
        <v>-7.7994856983423502E-3</v>
      </c>
      <c r="M1484">
        <v>-3.3573565855622E-3</v>
      </c>
      <c r="N1484">
        <v>6.1027521733194798E-3</v>
      </c>
      <c r="O1484" t="str">
        <f t="shared" si="123"/>
        <v/>
      </c>
    </row>
    <row r="1485" spans="1:15" x14ac:dyDescent="0.35">
      <c r="A1485" t="s">
        <v>102</v>
      </c>
      <c r="B1485">
        <v>2010</v>
      </c>
      <c r="C1485">
        <v>2516069</v>
      </c>
      <c r="D1485" s="8">
        <v>0.94796591997146595</v>
      </c>
      <c r="E1485" s="8">
        <v>4.0000000000000001E-3</v>
      </c>
      <c r="F1485">
        <v>2.4629655806063999</v>
      </c>
      <c r="G1485">
        <f t="shared" si="119"/>
        <v>2.5981583606724343</v>
      </c>
      <c r="H1485">
        <f t="shared" si="121"/>
        <v>8.8765281987726041E-3</v>
      </c>
      <c r="I1485">
        <f t="shared" si="120"/>
        <v>1</v>
      </c>
      <c r="J1485">
        <f t="shared" si="122"/>
        <v>3</v>
      </c>
      <c r="K1485">
        <v>-3.3573565855622E-3</v>
      </c>
      <c r="L1485">
        <v>6.1027521733194798E-3</v>
      </c>
      <c r="M1485">
        <v>-2.2687541663646699E-2</v>
      </c>
      <c r="N1485">
        <v>-1.4037671498953899E-3</v>
      </c>
      <c r="O1485">
        <f t="shared" si="123"/>
        <v>5.5267049930989602E-3</v>
      </c>
    </row>
    <row r="1486" spans="1:15" x14ac:dyDescent="0.35">
      <c r="A1486" t="s">
        <v>102</v>
      </c>
      <c r="B1486">
        <v>2011</v>
      </c>
      <c r="C1486">
        <v>2551070</v>
      </c>
      <c r="D1486" s="8">
        <v>0.94878286123275801</v>
      </c>
      <c r="E1486" s="8">
        <v>1E-3</v>
      </c>
      <c r="F1486">
        <v>2.3856334627941802</v>
      </c>
      <c r="G1486">
        <f t="shared" si="119"/>
        <v>2.5144145834322043</v>
      </c>
      <c r="H1486">
        <f t="shared" si="121"/>
        <v>-3.2231975736288887E-2</v>
      </c>
      <c r="I1486">
        <f t="shared" si="120"/>
        <v>0</v>
      </c>
      <c r="J1486">
        <f t="shared" si="122"/>
        <v>3</v>
      </c>
      <c r="K1486">
        <v>-2.2687541663646699E-2</v>
      </c>
      <c r="L1486">
        <v>-1.4037671498953899E-3</v>
      </c>
      <c r="M1486">
        <v>7.3940602093935E-3</v>
      </c>
      <c r="N1486">
        <v>1.28322662785649E-2</v>
      </c>
      <c r="O1486">
        <f t="shared" si="123"/>
        <v>3.8451237604021802E-3</v>
      </c>
    </row>
    <row r="1487" spans="1:15" x14ac:dyDescent="0.35">
      <c r="A1487" t="s">
        <v>102</v>
      </c>
      <c r="B1487">
        <v>2012</v>
      </c>
      <c r="C1487">
        <v>2582776</v>
      </c>
      <c r="D1487" s="8">
        <v>0.94810962677001998</v>
      </c>
      <c r="E1487" s="8">
        <v>1E-3</v>
      </c>
      <c r="F1487">
        <v>2.41073632573484</v>
      </c>
      <c r="G1487">
        <f t="shared" si="119"/>
        <v>2.5426767724610446</v>
      </c>
      <c r="H1487">
        <f t="shared" si="121"/>
        <v>1.1240067256634401E-2</v>
      </c>
      <c r="I1487">
        <f t="shared" si="120"/>
        <v>1</v>
      </c>
      <c r="J1487">
        <f t="shared" si="122"/>
        <v>3</v>
      </c>
      <c r="K1487">
        <v>7.3940602093935E-3</v>
      </c>
      <c r="L1487">
        <v>1.27466674894094E-2</v>
      </c>
      <c r="M1487">
        <v>1.5759597197174999E-2</v>
      </c>
      <c r="N1487">
        <v>9.6328258514404002E-3</v>
      </c>
      <c r="O1487">
        <f t="shared" si="123"/>
        <v>8.3665624260902019E-4</v>
      </c>
    </row>
    <row r="1488" spans="1:15" x14ac:dyDescent="0.35">
      <c r="A1488" t="s">
        <v>102</v>
      </c>
      <c r="B1488">
        <v>2013</v>
      </c>
      <c r="C1488">
        <v>2612504</v>
      </c>
      <c r="D1488" s="8">
        <v>0.95102012157440197</v>
      </c>
      <c r="E1488" s="8">
        <v>1.4999999999999999E-2</v>
      </c>
      <c r="F1488">
        <v>2.4510094028994498</v>
      </c>
      <c r="G1488">
        <f t="shared" si="119"/>
        <v>2.5772424234745257</v>
      </c>
      <c r="H1488">
        <f t="shared" si="121"/>
        <v>1.359419781068949E-2</v>
      </c>
      <c r="I1488">
        <f t="shared" si="120"/>
        <v>1</v>
      </c>
      <c r="J1488">
        <f t="shared" si="122"/>
        <v>4</v>
      </c>
      <c r="K1488">
        <v>1.5759597197174999E-2</v>
      </c>
      <c r="L1488">
        <v>9.6328258514404002E-3</v>
      </c>
      <c r="M1488">
        <v>8.1907630115746997E-3</v>
      </c>
      <c r="N1488">
        <v>6.18273951113219E-3</v>
      </c>
      <c r="O1488">
        <f t="shared" si="123"/>
        <v>-2.973954752087578E-3</v>
      </c>
    </row>
    <row r="1489" spans="1:15" x14ac:dyDescent="0.35">
      <c r="A1489" t="s">
        <v>102</v>
      </c>
      <c r="B1489">
        <v>2014</v>
      </c>
      <c r="C1489">
        <v>2636661</v>
      </c>
      <c r="D1489" s="8">
        <v>0.94566899538040206</v>
      </c>
      <c r="E1489" s="8">
        <v>0.02</v>
      </c>
      <c r="F1489">
        <v>2.44688642458964</v>
      </c>
      <c r="G1489">
        <f t="shared" si="119"/>
        <v>2.58746605476408</v>
      </c>
      <c r="H1489">
        <f t="shared" si="121"/>
        <v>3.9668877077427833E-3</v>
      </c>
      <c r="I1489">
        <f t="shared" si="120"/>
        <v>1</v>
      </c>
      <c r="J1489">
        <f t="shared" si="122"/>
        <v>4</v>
      </c>
      <c r="K1489">
        <v>8.1907630115746997E-3</v>
      </c>
      <c r="L1489">
        <v>6.18273951113219E-3</v>
      </c>
      <c r="M1489">
        <v>3.06529124975203E-2</v>
      </c>
      <c r="N1489">
        <v>3.8946047425269999E-4</v>
      </c>
      <c r="O1489">
        <f t="shared" si="123"/>
        <v>-5.6186031550168759E-3</v>
      </c>
    </row>
    <row r="1490" spans="1:15" x14ac:dyDescent="0.35">
      <c r="A1490" t="s">
        <v>102</v>
      </c>
      <c r="B1490">
        <v>2015</v>
      </c>
      <c r="C1490">
        <v>2662323</v>
      </c>
      <c r="D1490" s="8">
        <v>0.94779974222183205</v>
      </c>
      <c r="E1490" s="8">
        <v>2.5999999999999999E-2</v>
      </c>
      <c r="F1490">
        <v>2.4417452912910802</v>
      </c>
      <c r="G1490">
        <f t="shared" si="119"/>
        <v>2.5762248948993602</v>
      </c>
      <c r="H1490">
        <f t="shared" si="121"/>
        <v>-4.3444666043144231E-3</v>
      </c>
      <c r="I1490">
        <f t="shared" si="120"/>
        <v>0</v>
      </c>
      <c r="J1490">
        <f t="shared" si="122"/>
        <v>3</v>
      </c>
      <c r="K1490">
        <v>3.06529124975203E-2</v>
      </c>
      <c r="L1490">
        <v>3.8946047425269999E-4</v>
      </c>
      <c r="M1490">
        <v>3.3418836891650999E-3</v>
      </c>
      <c r="N1490">
        <v>-9.8116733133792895E-3</v>
      </c>
      <c r="O1490">
        <f t="shared" si="123"/>
        <v>-1.1448252899572218E-2</v>
      </c>
    </row>
    <row r="1491" spans="1:15" x14ac:dyDescent="0.35">
      <c r="A1491" t="s">
        <v>102</v>
      </c>
      <c r="B1491">
        <v>2016</v>
      </c>
      <c r="C1491">
        <v>2689186</v>
      </c>
      <c r="D1491" s="8">
        <v>0.94176459312438998</v>
      </c>
      <c r="E1491" s="8">
        <v>4.5999999999999999E-2</v>
      </c>
      <c r="F1491">
        <v>2.4607436997300498</v>
      </c>
      <c r="G1491">
        <f t="shared" si="119"/>
        <v>2.6129074268616406</v>
      </c>
      <c r="H1491">
        <f t="shared" si="121"/>
        <v>1.4238870230199208E-2</v>
      </c>
      <c r="I1491">
        <f t="shared" si="120"/>
        <v>1</v>
      </c>
      <c r="J1491">
        <f t="shared" si="122"/>
        <v>4</v>
      </c>
      <c r="K1491">
        <v>3.3418836891650999E-3</v>
      </c>
      <c r="L1491">
        <v>-9.8116733133792895E-3</v>
      </c>
      <c r="M1491">
        <v>5.7950215041639697E-4</v>
      </c>
      <c r="N1491">
        <v>-2.2100713104008999E-3</v>
      </c>
      <c r="O1491">
        <f t="shared" si="123"/>
        <v>2.6852429378778618E-3</v>
      </c>
    </row>
    <row r="1492" spans="1:15" x14ac:dyDescent="0.35">
      <c r="A1492" t="s">
        <v>102</v>
      </c>
      <c r="B1492">
        <v>2017</v>
      </c>
      <c r="C1492">
        <v>2702797</v>
      </c>
      <c r="D1492" s="8">
        <v>0.93675673007965099</v>
      </c>
      <c r="E1492" s="8">
        <v>2.5000000000000001E-2</v>
      </c>
      <c r="F1492">
        <v>2.4113900747096402</v>
      </c>
      <c r="G1492">
        <f t="shared" si="119"/>
        <v>2.5741902857795358</v>
      </c>
      <c r="H1492">
        <f t="shared" si="121"/>
        <v>-1.4817647454356209E-2</v>
      </c>
      <c r="I1492">
        <f t="shared" si="120"/>
        <v>0</v>
      </c>
      <c r="J1492">
        <f t="shared" si="122"/>
        <v>3</v>
      </c>
      <c r="K1492">
        <v>5.7950215041639697E-4</v>
      </c>
      <c r="L1492">
        <v>-2.2100713104008999E-3</v>
      </c>
      <c r="M1492">
        <v>-2.8520615398879999E-4</v>
      </c>
      <c r="N1492">
        <v>-9.42022912204259E-3</v>
      </c>
      <c r="O1492">
        <f t="shared" si="123"/>
        <v>6.7396689672023806E-3</v>
      </c>
    </row>
    <row r="1493" spans="1:15" x14ac:dyDescent="0.35">
      <c r="A1493" t="s">
        <v>102</v>
      </c>
      <c r="B1493">
        <v>2018</v>
      </c>
      <c r="C1493">
        <v>2702767</v>
      </c>
      <c r="D1493" s="8">
        <v>0.94610184431076005</v>
      </c>
      <c r="E1493" s="8">
        <v>0.03</v>
      </c>
      <c r="F1493">
        <v>2.40782277920809</v>
      </c>
      <c r="G1493">
        <f t="shared" si="119"/>
        <v>2.5449932200081493</v>
      </c>
      <c r="H1493">
        <f t="shared" si="121"/>
        <v>-1.1342232908219008E-2</v>
      </c>
      <c r="I1493">
        <f t="shared" si="120"/>
        <v>0</v>
      </c>
      <c r="J1493">
        <f t="shared" si="122"/>
        <v>2</v>
      </c>
      <c r="K1493">
        <v>-2.8520615398879999E-4</v>
      </c>
      <c r="L1493">
        <v>-9.42022912204259E-3</v>
      </c>
      <c r="M1493">
        <v>1.0760692104697199E-2</v>
      </c>
      <c r="N1493">
        <v>-7.0405025035143003E-3</v>
      </c>
      <c r="O1493">
        <f t="shared" si="123"/>
        <v>7.4590806383640195E-3</v>
      </c>
    </row>
    <row r="1494" spans="1:15" x14ac:dyDescent="0.35">
      <c r="A1494" t="s">
        <v>102</v>
      </c>
      <c r="B1494">
        <v>2019</v>
      </c>
      <c r="C1494">
        <v>2702903</v>
      </c>
      <c r="D1494" s="8">
        <v>0.93474543094634999</v>
      </c>
      <c r="E1494" s="8">
        <v>5.0999999999999997E-2</v>
      </c>
      <c r="F1494">
        <v>2.42568337674465</v>
      </c>
      <c r="G1494">
        <f t="shared" si="119"/>
        <v>2.595020308672547</v>
      </c>
      <c r="H1494">
        <f t="shared" si="121"/>
        <v>1.9657061665664166E-2</v>
      </c>
      <c r="I1494">
        <f t="shared" si="120"/>
        <v>1</v>
      </c>
      <c r="J1494" t="str">
        <f t="shared" si="122"/>
        <v/>
      </c>
      <c r="K1494">
        <v>1.0760692104697199E-2</v>
      </c>
      <c r="L1494">
        <v>-7.0405025035143003E-3</v>
      </c>
      <c r="M1494">
        <v>-9.9095978196710299E-3</v>
      </c>
      <c r="N1494">
        <v>-2.8758788248524E-2</v>
      </c>
      <c r="O1494">
        <f t="shared" si="123"/>
        <v>1.1339980969205559E-2</v>
      </c>
    </row>
    <row r="1495" spans="1:15" x14ac:dyDescent="0.35">
      <c r="A1495" t="s">
        <v>102</v>
      </c>
      <c r="B1495">
        <v>2020</v>
      </c>
      <c r="C1495">
        <v>2689193</v>
      </c>
      <c r="D1495" s="8">
        <v>0.92441964149475098</v>
      </c>
      <c r="E1495" s="8">
        <v>4.9000000000000002E-2</v>
      </c>
      <c r="F1495">
        <v>2.2859931217151299</v>
      </c>
      <c r="G1495">
        <f t="shared" si="119"/>
        <v>2.472895446075515</v>
      </c>
      <c r="H1495">
        <f t="shared" si="121"/>
        <v>-4.7061235778730226E-2</v>
      </c>
      <c r="I1495">
        <f t="shared" si="120"/>
        <v>0</v>
      </c>
      <c r="J1495" t="str">
        <f t="shared" si="122"/>
        <v/>
      </c>
      <c r="K1495">
        <v>-9.9095978196710299E-3</v>
      </c>
      <c r="L1495">
        <v>-2.8758788248524E-2</v>
      </c>
      <c r="M1495">
        <v>0.10444541859626801</v>
      </c>
      <c r="N1495">
        <v>6.0855805873871099E-2</v>
      </c>
      <c r="O1495">
        <f t="shared" si="123"/>
        <v>1.7152777221053888E-2</v>
      </c>
    </row>
    <row r="1496" spans="1:15" x14ac:dyDescent="0.35">
      <c r="A1496" t="s">
        <v>102</v>
      </c>
      <c r="B1496">
        <v>2021</v>
      </c>
      <c r="C1496">
        <v>2680202</v>
      </c>
      <c r="D1496" s="8">
        <v>0.96570277214050304</v>
      </c>
      <c r="E1496" s="8">
        <v>3.6999999999999998E-2</v>
      </c>
      <c r="F1496">
        <v>2.3900012915375499</v>
      </c>
      <c r="G1496">
        <f t="shared" si="119"/>
        <v>2.4748829147917379</v>
      </c>
      <c r="H1496">
        <f t="shared" si="121"/>
        <v>8.0370107008653768E-4</v>
      </c>
      <c r="I1496">
        <f t="shared" si="120"/>
        <v>1</v>
      </c>
      <c r="J1496" t="str">
        <f t="shared" si="122"/>
        <v/>
      </c>
      <c r="K1496">
        <v>0.10444541859626801</v>
      </c>
      <c r="L1496">
        <v>6.0855805873871099E-2</v>
      </c>
      <c r="M1496">
        <v>-1.4041447937488599E-2</v>
      </c>
      <c r="N1496">
        <v>1.8062058836221698E-2</v>
      </c>
      <c r="O1496">
        <f t="shared" si="123"/>
        <v>5.4302218370139588E-3</v>
      </c>
    </row>
    <row r="1497" spans="1:15" x14ac:dyDescent="0.35">
      <c r="A1497" t="s">
        <v>102</v>
      </c>
      <c r="B1497">
        <v>2022</v>
      </c>
      <c r="C1497">
        <v>2728130</v>
      </c>
      <c r="D1497" s="8">
        <v>0.94959282875061002</v>
      </c>
      <c r="E1497" s="8">
        <v>3.4000000000000002E-2</v>
      </c>
      <c r="F1497">
        <v>2.4030469521923399</v>
      </c>
      <c r="G1497">
        <f t="shared" si="119"/>
        <v>2.5306077293718148</v>
      </c>
      <c r="H1497">
        <f t="shared" si="121"/>
        <v>2.2516141772616294E-2</v>
      </c>
      <c r="I1497">
        <f t="shared" si="120"/>
        <v>1</v>
      </c>
      <c r="J1497" t="str">
        <f t="shared" si="122"/>
        <v/>
      </c>
      <c r="K1497">
        <v>-1.4041447937488599E-2</v>
      </c>
      <c r="L1497">
        <v>1.8540762364864301E-2</v>
      </c>
      <c r="M1497">
        <v>-2.53820985406637E-2</v>
      </c>
      <c r="N1497">
        <v>-5.8231707662343901E-3</v>
      </c>
      <c r="O1497">
        <f t="shared" si="123"/>
        <v>3.5706085618585054E-4</v>
      </c>
    </row>
    <row r="1498" spans="1:15" x14ac:dyDescent="0.35">
      <c r="A1498" t="s">
        <v>103</v>
      </c>
      <c r="B1498">
        <v>2006</v>
      </c>
      <c r="C1498">
        <v>131069.8984375</v>
      </c>
      <c r="D1498" s="8">
        <v>0.94766706228256203</v>
      </c>
      <c r="E1498" s="8">
        <v>0</v>
      </c>
      <c r="F1498">
        <v>2.2151907310793399</v>
      </c>
      <c r="G1498">
        <f t="shared" si="119"/>
        <v>2.3375200207378799</v>
      </c>
      <c r="H1498">
        <f t="shared" si="121"/>
        <v>-7.6300924237620138E-2</v>
      </c>
      <c r="I1498">
        <f t="shared" si="120"/>
        <v>0</v>
      </c>
      <c r="J1498" t="str">
        <f t="shared" si="122"/>
        <v/>
      </c>
      <c r="K1498">
        <v>8.1821956038474909E-3</v>
      </c>
      <c r="L1498">
        <v>1.8191561102866901E-3</v>
      </c>
      <c r="M1498">
        <v>1.14422432184219E-2</v>
      </c>
      <c r="N1498">
        <v>1.2363999150693399E-2</v>
      </c>
      <c r="O1498" t="str">
        <f t="shared" si="123"/>
        <v/>
      </c>
    </row>
    <row r="1499" spans="1:15" x14ac:dyDescent="0.35">
      <c r="A1499" t="s">
        <v>103</v>
      </c>
      <c r="B1499">
        <v>2007</v>
      </c>
      <c r="C1499">
        <v>134350.09375</v>
      </c>
      <c r="D1499" s="8">
        <v>0.94638067483902</v>
      </c>
      <c r="E1499" s="8">
        <v>3.5000000000000003E-2</v>
      </c>
      <c r="F1499">
        <v>2.1571976064008598</v>
      </c>
      <c r="G1499">
        <f t="shared" si="119"/>
        <v>2.2794184874578094</v>
      </c>
      <c r="H1499">
        <f t="shared" si="121"/>
        <v>-2.4856058029282591E-2</v>
      </c>
      <c r="I1499">
        <f t="shared" si="120"/>
        <v>0</v>
      </c>
      <c r="J1499" t="str">
        <f t="shared" si="122"/>
        <v/>
      </c>
      <c r="K1499">
        <v>1.14422432184219E-2</v>
      </c>
      <c r="L1499">
        <v>1.2363999150693399E-2</v>
      </c>
      <c r="M1499">
        <v>-2.92056112661957E-2</v>
      </c>
      <c r="N1499">
        <v>3.0519301071763299E-4</v>
      </c>
      <c r="O1499" t="str">
        <f t="shared" si="123"/>
        <v/>
      </c>
    </row>
    <row r="1500" spans="1:15" x14ac:dyDescent="0.35">
      <c r="A1500" t="s">
        <v>103</v>
      </c>
      <c r="B1500">
        <v>2008</v>
      </c>
      <c r="C1500">
        <v>138037.90625</v>
      </c>
      <c r="D1500" s="8">
        <v>0.91916674375534102</v>
      </c>
      <c r="E1500" s="8">
        <v>5.8999999999999997E-2</v>
      </c>
      <c r="F1500">
        <v>2.1224548528671101</v>
      </c>
      <c r="G1500">
        <f t="shared" si="119"/>
        <v>2.3091075338470404</v>
      </c>
      <c r="H1500">
        <f t="shared" si="121"/>
        <v>1.3024833549692971E-2</v>
      </c>
      <c r="I1500">
        <f t="shared" si="120"/>
        <v>1</v>
      </c>
      <c r="J1500" t="str">
        <f t="shared" si="122"/>
        <v/>
      </c>
      <c r="K1500">
        <v>-2.92056112661957E-2</v>
      </c>
      <c r="L1500">
        <v>3.0519301071763299E-4</v>
      </c>
      <c r="M1500">
        <v>-2.4323672711849199E-2</v>
      </c>
      <c r="N1500">
        <v>2.2430289536714502E-3</v>
      </c>
      <c r="O1500" t="str">
        <f t="shared" si="123"/>
        <v/>
      </c>
    </row>
    <row r="1501" spans="1:15" x14ac:dyDescent="0.35">
      <c r="A1501" t="s">
        <v>103</v>
      </c>
      <c r="B1501">
        <v>2009</v>
      </c>
      <c r="C1501">
        <v>141118.390625</v>
      </c>
      <c r="D1501" s="8">
        <v>0.92240583896636996</v>
      </c>
      <c r="E1501" s="8">
        <v>1.0999999999999999E-2</v>
      </c>
      <c r="F1501">
        <v>2.4687257049968099</v>
      </c>
      <c r="G1501">
        <f t="shared" si="119"/>
        <v>2.6763986097087327</v>
      </c>
      <c r="H1501">
        <f t="shared" si="121"/>
        <v>0.15906191915184431</v>
      </c>
      <c r="I1501">
        <f t="shared" si="120"/>
        <v>1</v>
      </c>
      <c r="J1501" t="str">
        <f t="shared" si="122"/>
        <v/>
      </c>
      <c r="K1501">
        <v>-2.4323672711849199E-2</v>
      </c>
      <c r="L1501">
        <v>2.2430289536714502E-3</v>
      </c>
      <c r="M1501">
        <v>-1.6763854826800501E-2</v>
      </c>
      <c r="N1501">
        <v>-7.3037460679188397E-3</v>
      </c>
      <c r="O1501" t="str">
        <f t="shared" si="123"/>
        <v/>
      </c>
    </row>
    <row r="1502" spans="1:15" x14ac:dyDescent="0.35">
      <c r="A1502" t="s">
        <v>103</v>
      </c>
      <c r="B1502">
        <v>2010</v>
      </c>
      <c r="C1502">
        <v>142230.109375</v>
      </c>
      <c r="D1502" s="8">
        <v>0.92834526300430298</v>
      </c>
      <c r="E1502" s="8">
        <v>0.03</v>
      </c>
      <c r="F1502">
        <v>2.2138651848911799</v>
      </c>
      <c r="G1502">
        <f t="shared" si="119"/>
        <v>2.3847433418539654</v>
      </c>
      <c r="H1502">
        <f t="shared" si="121"/>
        <v>-0.10897303069758635</v>
      </c>
      <c r="I1502">
        <f t="shared" si="120"/>
        <v>0</v>
      </c>
      <c r="J1502">
        <f t="shared" si="122"/>
        <v>2</v>
      </c>
      <c r="K1502">
        <v>-1.6763854826800501E-2</v>
      </c>
      <c r="L1502">
        <v>-7.3037460679188397E-3</v>
      </c>
      <c r="M1502">
        <v>-1.8557150259613998E-2</v>
      </c>
      <c r="N1502">
        <v>2.7266242541373002E-3</v>
      </c>
      <c r="O1502">
        <f t="shared" si="123"/>
        <v>-2.0329365599900385E-2</v>
      </c>
    </row>
    <row r="1503" spans="1:15" x14ac:dyDescent="0.35">
      <c r="A1503" t="s">
        <v>103</v>
      </c>
      <c r="B1503">
        <v>2011</v>
      </c>
      <c r="C1503">
        <v>145703.796875</v>
      </c>
      <c r="D1503" s="8">
        <v>0.93219405412673995</v>
      </c>
      <c r="E1503" s="8">
        <v>2E-3</v>
      </c>
      <c r="F1503">
        <v>2.1879014364124698</v>
      </c>
      <c r="G1503">
        <f t="shared" si="119"/>
        <v>2.3470450457464573</v>
      </c>
      <c r="H1503">
        <f t="shared" si="121"/>
        <v>-1.5808114628469982E-2</v>
      </c>
      <c r="I1503">
        <f t="shared" si="120"/>
        <v>0</v>
      </c>
      <c r="J1503">
        <f t="shared" si="122"/>
        <v>2</v>
      </c>
      <c r="K1503">
        <v>-1.8557150259613998E-2</v>
      </c>
      <c r="L1503">
        <v>2.7266242541373002E-3</v>
      </c>
      <c r="M1503">
        <v>1.14068628251552E-2</v>
      </c>
      <c r="N1503">
        <v>1.6845068894326701E-2</v>
      </c>
      <c r="O1503">
        <f t="shared" si="123"/>
        <v>-2.9568203724920621E-2</v>
      </c>
    </row>
    <row r="1504" spans="1:15" x14ac:dyDescent="0.35">
      <c r="A1504" t="s">
        <v>103</v>
      </c>
      <c r="B1504">
        <v>2012</v>
      </c>
      <c r="C1504">
        <v>151640.390625</v>
      </c>
      <c r="D1504" s="8">
        <v>0.93288445472717296</v>
      </c>
      <c r="E1504" s="8">
        <v>1E-3</v>
      </c>
      <c r="F1504">
        <v>2.2491707884783199</v>
      </c>
      <c r="G1504">
        <f t="shared" si="119"/>
        <v>2.4109853873983802</v>
      </c>
      <c r="H1504">
        <f t="shared" si="121"/>
        <v>2.7242912004523223E-2</v>
      </c>
      <c r="I1504">
        <f t="shared" si="120"/>
        <v>1</v>
      </c>
      <c r="J1504">
        <f t="shared" si="122"/>
        <v>3</v>
      </c>
      <c r="K1504">
        <v>1.14068628251552E-2</v>
      </c>
      <c r="L1504">
        <v>1.67594701051712E-2</v>
      </c>
      <c r="M1504">
        <v>1.33091347664595E-2</v>
      </c>
      <c r="N1504">
        <v>7.1823634207249E-3</v>
      </c>
      <c r="O1504">
        <f t="shared" si="123"/>
        <v>8.5221096873282325E-3</v>
      </c>
    </row>
    <row r="1505" spans="1:15" x14ac:dyDescent="0.35">
      <c r="A1505" t="s">
        <v>103</v>
      </c>
      <c r="B1505">
        <v>2013</v>
      </c>
      <c r="C1505">
        <v>155932.09375</v>
      </c>
      <c r="D1505" s="8">
        <v>0.92048758268356301</v>
      </c>
      <c r="E1505" s="8">
        <v>2.7E-2</v>
      </c>
      <c r="F1505">
        <v>2.4800041930918799</v>
      </c>
      <c r="G1505">
        <f t="shared" si="119"/>
        <v>2.6942288410472055</v>
      </c>
      <c r="H1505">
        <f t="shared" si="121"/>
        <v>0.11748036928355865</v>
      </c>
      <c r="I1505">
        <f t="shared" si="120"/>
        <v>1</v>
      </c>
      <c r="J1505">
        <f t="shared" si="122"/>
        <v>3</v>
      </c>
      <c r="K1505">
        <v>1.33091347664595E-2</v>
      </c>
      <c r="L1505">
        <v>7.1823634207249E-3</v>
      </c>
      <c r="M1505">
        <v>2.0019239574670701E-2</v>
      </c>
      <c r="N1505">
        <v>1.80112160742282E-2</v>
      </c>
      <c r="O1505">
        <f t="shared" si="123"/>
        <v>2.3388330638408499E-2</v>
      </c>
    </row>
    <row r="1506" spans="1:15" x14ac:dyDescent="0.35">
      <c r="A1506" t="s">
        <v>103</v>
      </c>
      <c r="B1506">
        <v>2014</v>
      </c>
      <c r="C1506">
        <v>160009.703125</v>
      </c>
      <c r="D1506" s="8">
        <v>0.89648699760437001</v>
      </c>
      <c r="E1506" s="8">
        <v>0.18</v>
      </c>
      <c r="F1506">
        <v>2.4805529650556801</v>
      </c>
      <c r="G1506">
        <f t="shared" si="119"/>
        <v>2.7669703762400539</v>
      </c>
      <c r="H1506">
        <f t="shared" si="121"/>
        <v>2.6999018822979837E-2</v>
      </c>
      <c r="I1506">
        <f t="shared" si="120"/>
        <v>1</v>
      </c>
      <c r="J1506">
        <f t="shared" si="122"/>
        <v>3</v>
      </c>
      <c r="K1506">
        <v>2.0019239574670701E-2</v>
      </c>
      <c r="L1506">
        <v>1.80112160742282E-2</v>
      </c>
      <c r="M1506">
        <v>-0.116148648619652</v>
      </c>
      <c r="N1506">
        <v>-0.14641210064291901</v>
      </c>
      <c r="O1506">
        <f t="shared" si="123"/>
        <v>1.7664752900598934E-3</v>
      </c>
    </row>
    <row r="1507" spans="1:15" x14ac:dyDescent="0.35">
      <c r="A1507" t="s">
        <v>103</v>
      </c>
      <c r="B1507">
        <v>2015</v>
      </c>
      <c r="C1507">
        <v>163914</v>
      </c>
      <c r="D1507" s="8">
        <v>0.85973072052001998</v>
      </c>
      <c r="E1507" s="8">
        <v>8.1000000000000003E-2</v>
      </c>
      <c r="F1507">
        <v>2.0976157567380702</v>
      </c>
      <c r="G1507">
        <f t="shared" si="119"/>
        <v>2.4398520451488559</v>
      </c>
      <c r="H1507">
        <f t="shared" si="121"/>
        <v>-0.11822256353019167</v>
      </c>
      <c r="I1507">
        <f t="shared" si="120"/>
        <v>0</v>
      </c>
      <c r="J1507">
        <f t="shared" si="122"/>
        <v>3</v>
      </c>
      <c r="K1507">
        <v>-0.116148648619652</v>
      </c>
      <c r="L1507">
        <v>-0.14641210064291901</v>
      </c>
      <c r="M1507">
        <v>-3.0314009368419499E-2</v>
      </c>
      <c r="N1507">
        <v>-4.3467566370963898E-2</v>
      </c>
      <c r="O1507">
        <f t="shared" si="123"/>
        <v>-2.11371738463643E-2</v>
      </c>
    </row>
    <row r="1508" spans="1:15" x14ac:dyDescent="0.35">
      <c r="A1508" t="s">
        <v>103</v>
      </c>
      <c r="B1508">
        <v>2016</v>
      </c>
      <c r="C1508">
        <v>164606</v>
      </c>
      <c r="D1508" s="8">
        <v>0.87454009056091297</v>
      </c>
      <c r="E1508" s="8">
        <v>4.7E-2</v>
      </c>
      <c r="F1508">
        <v>2.33346337657271</v>
      </c>
      <c r="G1508">
        <f t="shared" si="119"/>
        <v>2.668217731534837</v>
      </c>
      <c r="H1508">
        <f t="shared" si="121"/>
        <v>9.3598169954624666E-2</v>
      </c>
      <c r="I1508">
        <f t="shared" si="120"/>
        <v>1</v>
      </c>
      <c r="J1508">
        <f t="shared" si="122"/>
        <v>4</v>
      </c>
      <c r="K1508">
        <v>-3.0314009368419499E-2</v>
      </c>
      <c r="L1508">
        <v>-4.3467566370963898E-2</v>
      </c>
      <c r="M1508">
        <v>0.210086209416389</v>
      </c>
      <c r="N1508">
        <v>0.20729663595557099</v>
      </c>
      <c r="O1508">
        <f t="shared" si="123"/>
        <v>-2.6994919776916825E-2</v>
      </c>
    </row>
    <row r="1509" spans="1:15" x14ac:dyDescent="0.35">
      <c r="A1509" t="s">
        <v>103</v>
      </c>
      <c r="B1509">
        <v>2017</v>
      </c>
      <c r="C1509">
        <v>166640.5</v>
      </c>
      <c r="D1509" s="8">
        <v>0.941639184951782</v>
      </c>
      <c r="E1509" s="8">
        <v>2E-3</v>
      </c>
      <c r="F1509">
        <v>2.5706822531422899</v>
      </c>
      <c r="G1509">
        <f t="shared" si="119"/>
        <v>2.7300077293129275</v>
      </c>
      <c r="H1509">
        <f t="shared" si="121"/>
        <v>2.3157779459979544E-2</v>
      </c>
      <c r="I1509">
        <f t="shared" si="120"/>
        <v>1</v>
      </c>
      <c r="J1509">
        <f t="shared" si="122"/>
        <v>4</v>
      </c>
      <c r="K1509">
        <v>0.210086209416389</v>
      </c>
      <c r="L1509">
        <v>0.20729663595557099</v>
      </c>
      <c r="M1509">
        <v>9.0648491144179999E-2</v>
      </c>
      <c r="N1509">
        <v>8.1513468176126203E-2</v>
      </c>
      <c r="O1509">
        <f t="shared" si="123"/>
        <v>-4.2392164468765418E-2</v>
      </c>
    </row>
    <row r="1510" spans="1:15" x14ac:dyDescent="0.35">
      <c r="A1510" t="s">
        <v>103</v>
      </c>
      <c r="B1510">
        <v>2018</v>
      </c>
      <c r="C1510">
        <v>172262.09375</v>
      </c>
      <c r="D1510" s="8">
        <v>0.94172054529190097</v>
      </c>
      <c r="E1510" s="8">
        <v>0</v>
      </c>
      <c r="F1510">
        <v>2.2172777550184302</v>
      </c>
      <c r="G1510">
        <f t="shared" si="119"/>
        <v>2.3544965288308011</v>
      </c>
      <c r="H1510">
        <f t="shared" si="121"/>
        <v>-0.13754950084944739</v>
      </c>
      <c r="I1510">
        <f t="shared" si="120"/>
        <v>0</v>
      </c>
      <c r="J1510">
        <f t="shared" si="122"/>
        <v>3</v>
      </c>
      <c r="K1510">
        <v>9.0648491144179999E-2</v>
      </c>
      <c r="L1510">
        <v>8.1513468176126203E-2</v>
      </c>
      <c r="M1510">
        <v>-7.22968660593033E-2</v>
      </c>
      <c r="N1510">
        <v>-9.0098060667514801E-2</v>
      </c>
      <c r="O1510">
        <f t="shared" si="123"/>
        <v>-4.5416528731584666E-2</v>
      </c>
    </row>
    <row r="1511" spans="1:15" x14ac:dyDescent="0.35">
      <c r="A1511" t="s">
        <v>103</v>
      </c>
      <c r="B1511">
        <v>2019</v>
      </c>
      <c r="C1511">
        <v>174837.09375</v>
      </c>
      <c r="D1511" s="8">
        <v>0.87827080488205</v>
      </c>
      <c r="E1511" s="8">
        <v>3.5000000000000003E-2</v>
      </c>
      <c r="F1511">
        <v>2.2284747318304299</v>
      </c>
      <c r="G1511">
        <f t="shared" si="119"/>
        <v>2.5373435157391002</v>
      </c>
      <c r="H1511">
        <f t="shared" si="121"/>
        <v>7.7658635155897882E-2</v>
      </c>
      <c r="I1511">
        <f t="shared" si="120"/>
        <v>1</v>
      </c>
      <c r="J1511" t="str">
        <f t="shared" si="122"/>
        <v/>
      </c>
      <c r="K1511">
        <v>-7.22968660593033E-2</v>
      </c>
      <c r="L1511">
        <v>-9.0098060667514801E-2</v>
      </c>
      <c r="M1511">
        <v>-0.24208115589618701</v>
      </c>
      <c r="N1511">
        <v>-0.26093034632503997</v>
      </c>
      <c r="O1511">
        <f t="shared" si="123"/>
        <v>-3.009287379682074E-2</v>
      </c>
    </row>
    <row r="1512" spans="1:15" x14ac:dyDescent="0.35">
      <c r="A1512" t="s">
        <v>103</v>
      </c>
      <c r="B1512">
        <v>2020</v>
      </c>
      <c r="C1512">
        <v>175447.203125</v>
      </c>
      <c r="D1512" s="8">
        <v>0.72981554269790605</v>
      </c>
      <c r="E1512" s="8">
        <v>0.13400000000000001</v>
      </c>
      <c r="F1512">
        <v>2.5977244620331401</v>
      </c>
      <c r="G1512">
        <f t="shared" si="119"/>
        <v>3.5594260604948795</v>
      </c>
      <c r="H1512">
        <f t="shared" si="121"/>
        <v>0.40281599177084937</v>
      </c>
      <c r="I1512">
        <f t="shared" si="120"/>
        <v>1</v>
      </c>
      <c r="J1512" t="str">
        <f t="shared" si="122"/>
        <v/>
      </c>
      <c r="K1512">
        <v>-0.24208115589618701</v>
      </c>
      <c r="L1512">
        <v>-0.26093034632503997</v>
      </c>
      <c r="M1512">
        <v>-2.9166683301329599E-2</v>
      </c>
      <c r="N1512">
        <v>-7.2756296023726505E-2</v>
      </c>
      <c r="O1512">
        <f t="shared" si="123"/>
        <v>2.2756912838667556E-2</v>
      </c>
    </row>
    <row r="1513" spans="1:15" x14ac:dyDescent="0.35">
      <c r="A1513" t="s">
        <v>103</v>
      </c>
      <c r="B1513">
        <v>2021</v>
      </c>
      <c r="C1513">
        <v>174833.6875</v>
      </c>
      <c r="D1513" s="8">
        <v>0.83951544761657704</v>
      </c>
      <c r="E1513" s="8">
        <v>3.5999999999999997E-2</v>
      </c>
      <c r="F1513">
        <v>1.90302678759755</v>
      </c>
      <c r="G1513">
        <f t="shared" si="119"/>
        <v>2.266815688740845</v>
      </c>
      <c r="H1513">
        <f t="shared" si="121"/>
        <v>-0.36315134793790838</v>
      </c>
      <c r="I1513">
        <f t="shared" si="120"/>
        <v>0</v>
      </c>
      <c r="J1513" t="str">
        <f t="shared" si="122"/>
        <v/>
      </c>
      <c r="K1513">
        <v>-2.9166683301329599E-2</v>
      </c>
      <c r="L1513">
        <v>-7.2756296023726505E-2</v>
      </c>
      <c r="M1513">
        <v>9.8206905722617893E-2</v>
      </c>
      <c r="N1513">
        <v>0.13031041249632799</v>
      </c>
      <c r="O1513">
        <f t="shared" si="123"/>
        <v>3.7037086766213104E-2</v>
      </c>
    </row>
    <row r="1514" spans="1:15" x14ac:dyDescent="0.35">
      <c r="A1514" t="s">
        <v>103</v>
      </c>
      <c r="B1514">
        <v>2022</v>
      </c>
      <c r="C1514">
        <v>179305.09375</v>
      </c>
      <c r="D1514" s="8">
        <v>0.89400905370712302</v>
      </c>
      <c r="E1514" s="8">
        <v>3.5000000000000003E-2</v>
      </c>
      <c r="F1514">
        <v>2.3363559764073298</v>
      </c>
      <c r="G1514">
        <f t="shared" si="119"/>
        <v>2.6133471095391378</v>
      </c>
      <c r="H1514">
        <f t="shared" si="121"/>
        <v>0.1528714586366664</v>
      </c>
      <c r="I1514">
        <f t="shared" si="120"/>
        <v>1</v>
      </c>
      <c r="J1514" t="str">
        <f t="shared" si="122"/>
        <v/>
      </c>
      <c r="K1514">
        <v>9.8206905722617893E-2</v>
      </c>
      <c r="L1514">
        <v>0.13078911602497001</v>
      </c>
      <c r="M1514">
        <v>4.6832719087600602E-2</v>
      </c>
      <c r="N1514">
        <v>6.6391646862030002E-2</v>
      </c>
      <c r="O1514">
        <f t="shared" si="123"/>
        <v>6.7468527238816103E-3</v>
      </c>
    </row>
    <row r="1515" spans="1:15" x14ac:dyDescent="0.35">
      <c r="A1515" t="s">
        <v>104</v>
      </c>
      <c r="B1515">
        <v>2006</v>
      </c>
      <c r="C1515">
        <v>1525467</v>
      </c>
      <c r="D1515" s="8">
        <v>0.94408583641052202</v>
      </c>
      <c r="E1515" s="8">
        <v>2E-3</v>
      </c>
      <c r="F1515">
        <v>2.0693687993985002</v>
      </c>
      <c r="G1515">
        <f t="shared" si="119"/>
        <v>2.1919286568966863</v>
      </c>
      <c r="H1515">
        <f t="shared" si="121"/>
        <v>-0.16125621089682518</v>
      </c>
      <c r="I1515">
        <f t="shared" si="120"/>
        <v>0</v>
      </c>
      <c r="J1515" t="str">
        <f t="shared" si="122"/>
        <v/>
      </c>
      <c r="K1515">
        <v>-1.6896665439009698E-2</v>
      </c>
      <c r="L1515">
        <v>-2.3259704932570499E-2</v>
      </c>
      <c r="M1515">
        <v>-1.4401541925966699E-2</v>
      </c>
      <c r="N1515">
        <v>-1.34797859936952E-2</v>
      </c>
      <c r="O1515" t="str">
        <f t="shared" si="123"/>
        <v/>
      </c>
    </row>
    <row r="1516" spans="1:15" x14ac:dyDescent="0.35">
      <c r="A1516" t="s">
        <v>104</v>
      </c>
      <c r="B1516">
        <v>2007</v>
      </c>
      <c r="C1516">
        <v>1532417</v>
      </c>
      <c r="D1516" s="8">
        <v>0.94820529222488403</v>
      </c>
      <c r="E1516" s="8">
        <v>3.0000000000000001E-3</v>
      </c>
      <c r="F1516">
        <v>2.1373919407217601</v>
      </c>
      <c r="G1516">
        <f t="shared" si="119"/>
        <v>2.2541447071093113</v>
      </c>
      <c r="H1516">
        <f t="shared" si="121"/>
        <v>2.8384158406282278E-2</v>
      </c>
      <c r="I1516">
        <f t="shared" si="120"/>
        <v>1</v>
      </c>
      <c r="J1516" t="str">
        <f t="shared" si="122"/>
        <v/>
      </c>
      <c r="K1516">
        <v>-1.4401541925966699E-2</v>
      </c>
      <c r="L1516">
        <v>-1.34797859936952E-2</v>
      </c>
      <c r="M1516">
        <v>-2.6192217424511902E-2</v>
      </c>
      <c r="N1516">
        <v>3.3185868524015002E-3</v>
      </c>
      <c r="O1516" t="str">
        <f t="shared" si="123"/>
        <v/>
      </c>
    </row>
    <row r="1517" spans="1:15" x14ac:dyDescent="0.35">
      <c r="A1517" t="s">
        <v>104</v>
      </c>
      <c r="B1517">
        <v>2008</v>
      </c>
      <c r="C1517">
        <v>1541143</v>
      </c>
      <c r="D1517" s="8">
        <v>0.94877237081527699</v>
      </c>
      <c r="E1517" s="8">
        <v>7.0000000000000001E-3</v>
      </c>
      <c r="F1517">
        <v>2.1202927233396198</v>
      </c>
      <c r="G1517">
        <f t="shared" si="119"/>
        <v>2.2347749455621893</v>
      </c>
      <c r="H1517">
        <f t="shared" si="121"/>
        <v>-8.5929538977830289E-3</v>
      </c>
      <c r="I1517">
        <f t="shared" si="120"/>
        <v>0</v>
      </c>
      <c r="J1517" t="str">
        <f t="shared" si="122"/>
        <v/>
      </c>
      <c r="K1517">
        <v>-2.6192217424511902E-2</v>
      </c>
      <c r="L1517">
        <v>3.3185868524015002E-3</v>
      </c>
      <c r="M1517">
        <v>-2.7922128051519401E-2</v>
      </c>
      <c r="N1517">
        <v>-1.35542638599875E-3</v>
      </c>
      <c r="O1517" t="str">
        <f t="shared" si="123"/>
        <v/>
      </c>
    </row>
    <row r="1518" spans="1:15" x14ac:dyDescent="0.35">
      <c r="A1518" t="s">
        <v>104</v>
      </c>
      <c r="B1518">
        <v>2009</v>
      </c>
      <c r="C1518">
        <v>1551467</v>
      </c>
      <c r="D1518" s="8">
        <v>0.94191324710845903</v>
      </c>
      <c r="E1518" s="8">
        <v>8.0000000000000002E-3</v>
      </c>
      <c r="F1518">
        <v>2.1602350878275001</v>
      </c>
      <c r="G1518">
        <f t="shared" si="119"/>
        <v>2.2934544072494121</v>
      </c>
      <c r="H1518">
        <f t="shared" si="121"/>
        <v>2.6257436706881077E-2</v>
      </c>
      <c r="I1518">
        <f t="shared" si="120"/>
        <v>1</v>
      </c>
      <c r="J1518" t="str">
        <f t="shared" si="122"/>
        <v/>
      </c>
      <c r="K1518">
        <v>-2.7922128051519401E-2</v>
      </c>
      <c r="L1518">
        <v>-1.35542638599875E-3</v>
      </c>
      <c r="M1518">
        <v>-3.0600866474211199E-2</v>
      </c>
      <c r="N1518">
        <v>-2.11407577153295E-2</v>
      </c>
      <c r="O1518" t="str">
        <f t="shared" si="123"/>
        <v/>
      </c>
    </row>
    <row r="1519" spans="1:15" x14ac:dyDescent="0.35">
      <c r="A1519" t="s">
        <v>104</v>
      </c>
      <c r="B1519">
        <v>2010</v>
      </c>
      <c r="C1519">
        <v>1557787</v>
      </c>
      <c r="D1519" s="8">
        <v>0.94549483060836803</v>
      </c>
      <c r="E1519" s="8">
        <v>1E-3</v>
      </c>
      <c r="F1519">
        <v>2.10467498364119</v>
      </c>
      <c r="G1519">
        <f t="shared" si="119"/>
        <v>2.226003691936592</v>
      </c>
      <c r="H1519">
        <f t="shared" si="121"/>
        <v>-2.9410096446484513E-2</v>
      </c>
      <c r="I1519">
        <f t="shared" si="120"/>
        <v>0</v>
      </c>
      <c r="J1519">
        <f t="shared" si="122"/>
        <v>2</v>
      </c>
      <c r="K1519">
        <v>-3.0600866474211199E-2</v>
      </c>
      <c r="L1519">
        <v>-2.11407577153295E-2</v>
      </c>
      <c r="M1519">
        <v>-2.5437794037163199E-2</v>
      </c>
      <c r="N1519">
        <v>-4.1540195234119597E-3</v>
      </c>
      <c r="O1519">
        <f t="shared" si="123"/>
        <v>-5.0686017610132705E-3</v>
      </c>
    </row>
    <row r="1520" spans="1:15" x14ac:dyDescent="0.35">
      <c r="A1520" t="s">
        <v>104</v>
      </c>
      <c r="B1520">
        <v>2011</v>
      </c>
      <c r="C1520">
        <v>1562300</v>
      </c>
      <c r="D1520" s="8">
        <v>0.94907402992248502</v>
      </c>
      <c r="E1520" s="8">
        <v>7.0000000000000001E-3</v>
      </c>
      <c r="F1520">
        <v>2.1046080627787598</v>
      </c>
      <c r="G1520">
        <f t="shared" si="119"/>
        <v>2.2175383546746636</v>
      </c>
      <c r="H1520">
        <f t="shared" si="121"/>
        <v>-3.8029304679919607E-3</v>
      </c>
      <c r="I1520">
        <f t="shared" si="120"/>
        <v>0</v>
      </c>
      <c r="J1520">
        <f t="shared" si="122"/>
        <v>2</v>
      </c>
      <c r="K1520">
        <v>-2.5437794037163199E-2</v>
      </c>
      <c r="L1520">
        <v>-4.1540195234119597E-3</v>
      </c>
      <c r="M1520">
        <v>-8.9094576463102995E-3</v>
      </c>
      <c r="N1520">
        <v>-3.4712515771388999E-3</v>
      </c>
      <c r="O1520">
        <f t="shared" si="123"/>
        <v>-6.3520887866616374E-3</v>
      </c>
    </row>
    <row r="1521" spans="1:15" x14ac:dyDescent="0.35">
      <c r="A1521" t="s">
        <v>104</v>
      </c>
      <c r="B1521">
        <v>2012</v>
      </c>
      <c r="C1521">
        <v>1567789</v>
      </c>
      <c r="D1521" s="8">
        <v>0.94992554187774703</v>
      </c>
      <c r="E1521" s="8">
        <v>1.0999999999999999E-2</v>
      </c>
      <c r="F1521">
        <v>2.1652338411347101</v>
      </c>
      <c r="G1521">
        <f t="shared" si="119"/>
        <v>2.2793721672696847</v>
      </c>
      <c r="H1521">
        <f t="shared" si="121"/>
        <v>2.7883987875417349E-2</v>
      </c>
      <c r="I1521">
        <f t="shared" si="120"/>
        <v>1</v>
      </c>
      <c r="J1521">
        <f t="shared" si="122"/>
        <v>2</v>
      </c>
      <c r="K1521">
        <v>-8.9094576463102995E-3</v>
      </c>
      <c r="L1521">
        <v>-3.5568503662943901E-3</v>
      </c>
      <c r="M1521">
        <v>1.0025395452975901E-3</v>
      </c>
      <c r="N1521">
        <v>-5.1242318004369996E-3</v>
      </c>
      <c r="O1521">
        <f t="shared" si="123"/>
        <v>-8.7306082248687789E-3</v>
      </c>
    </row>
    <row r="1522" spans="1:15" x14ac:dyDescent="0.35">
      <c r="A1522" t="s">
        <v>104</v>
      </c>
      <c r="B1522">
        <v>2013</v>
      </c>
      <c r="C1522">
        <v>1571478</v>
      </c>
      <c r="D1522" s="8">
        <v>0.94738411903381303</v>
      </c>
      <c r="E1522" s="8">
        <v>3.0000000000000001E-3</v>
      </c>
      <c r="F1522">
        <v>2.1629974219048602</v>
      </c>
      <c r="G1522">
        <f t="shared" si="119"/>
        <v>2.2831261137359857</v>
      </c>
      <c r="H1522">
        <f t="shared" si="121"/>
        <v>1.6469212532315147E-3</v>
      </c>
      <c r="I1522">
        <f t="shared" si="120"/>
        <v>1</v>
      </c>
      <c r="J1522">
        <f t="shared" si="122"/>
        <v>3</v>
      </c>
      <c r="K1522">
        <v>1.0025395452975901E-3</v>
      </c>
      <c r="L1522">
        <v>-5.1242318004369996E-3</v>
      </c>
      <c r="M1522">
        <v>-9.972147494555E-4</v>
      </c>
      <c r="N1522">
        <v>-3.0052382498980002E-3</v>
      </c>
      <c r="O1522">
        <f t="shared" si="123"/>
        <v>-8.9304596185684169E-3</v>
      </c>
    </row>
    <row r="1523" spans="1:15" x14ac:dyDescent="0.35">
      <c r="A1523" t="s">
        <v>104</v>
      </c>
      <c r="B1523">
        <v>2014</v>
      </c>
      <c r="C1523">
        <v>1574201</v>
      </c>
      <c r="D1523" s="8">
        <v>0.94715201854705799</v>
      </c>
      <c r="E1523" s="8">
        <v>1.2E-2</v>
      </c>
      <c r="F1523">
        <v>2.1280959551378502</v>
      </c>
      <c r="G1523">
        <f t="shared" si="119"/>
        <v>2.2468367415849189</v>
      </c>
      <c r="H1523">
        <f t="shared" si="121"/>
        <v>-1.5894598170788199E-2</v>
      </c>
      <c r="I1523">
        <f t="shared" si="120"/>
        <v>0</v>
      </c>
      <c r="J1523">
        <f t="shared" si="122"/>
        <v>2</v>
      </c>
      <c r="K1523">
        <v>-9.972147494555E-4</v>
      </c>
      <c r="L1523">
        <v>-3.0052382498980002E-3</v>
      </c>
      <c r="M1523">
        <v>2.06751843690871E-2</v>
      </c>
      <c r="N1523">
        <v>-9.5882676541804903E-3</v>
      </c>
      <c r="O1523">
        <f t="shared" si="123"/>
        <v>-1.0063136368989934E-2</v>
      </c>
    </row>
    <row r="1524" spans="1:15" x14ac:dyDescent="0.35">
      <c r="A1524" t="s">
        <v>104</v>
      </c>
      <c r="B1524">
        <v>2015</v>
      </c>
      <c r="C1524">
        <v>1574763</v>
      </c>
      <c r="D1524" s="8">
        <v>0.94751662015914895</v>
      </c>
      <c r="E1524" s="8">
        <v>1.7000000000000001E-2</v>
      </c>
      <c r="F1524">
        <v>2.1705166045836202</v>
      </c>
      <c r="G1524">
        <f t="shared" si="119"/>
        <v>2.2907425140669839</v>
      </c>
      <c r="H1524">
        <f t="shared" si="121"/>
        <v>1.9541149416621106E-2</v>
      </c>
      <c r="I1524">
        <f t="shared" si="120"/>
        <v>1</v>
      </c>
      <c r="J1524">
        <f t="shared" si="122"/>
        <v>3</v>
      </c>
      <c r="K1524">
        <v>2.06751843690871E-2</v>
      </c>
      <c r="L1524">
        <v>-9.5882676541804903E-3</v>
      </c>
      <c r="M1524">
        <v>2.5821023508906002E-3</v>
      </c>
      <c r="N1524">
        <v>-1.05714546516538E-2</v>
      </c>
      <c r="O1524">
        <f t="shared" si="123"/>
        <v>-1.1308357864618299E-2</v>
      </c>
    </row>
    <row r="1525" spans="1:15" x14ac:dyDescent="0.35">
      <c r="A1525" t="s">
        <v>104</v>
      </c>
      <c r="B1525">
        <v>2016</v>
      </c>
      <c r="C1525">
        <v>1573946</v>
      </c>
      <c r="D1525" s="8">
        <v>0.94557940959930398</v>
      </c>
      <c r="E1525" s="8">
        <v>2.7E-2</v>
      </c>
      <c r="F1525">
        <v>2.1090629739164299</v>
      </c>
      <c r="G1525">
        <f t="shared" si="119"/>
        <v>2.2304451138695591</v>
      </c>
      <c r="H1525">
        <f t="shared" si="121"/>
        <v>-2.632220768032667E-2</v>
      </c>
      <c r="I1525">
        <f t="shared" si="120"/>
        <v>0</v>
      </c>
      <c r="J1525">
        <f t="shared" si="122"/>
        <v>3</v>
      </c>
      <c r="K1525">
        <v>2.5821023508906002E-3</v>
      </c>
      <c r="L1525">
        <v>-1.05714546516538E-2</v>
      </c>
      <c r="M1525">
        <v>-1.25742753073573E-2</v>
      </c>
      <c r="N1525">
        <v>-1.53638487681746E-2</v>
      </c>
      <c r="O1525">
        <f t="shared" si="123"/>
        <v>-1.5903080813586719E-2</v>
      </c>
    </row>
    <row r="1526" spans="1:15" x14ac:dyDescent="0.35">
      <c r="A1526" t="s">
        <v>104</v>
      </c>
      <c r="B1526">
        <v>2017</v>
      </c>
      <c r="C1526">
        <v>1572737</v>
      </c>
      <c r="D1526" s="8">
        <v>0.93892562389373802</v>
      </c>
      <c r="E1526" s="8">
        <v>3.3000000000000002E-2</v>
      </c>
      <c r="F1526">
        <v>2.0548197189081701</v>
      </c>
      <c r="G1526">
        <f t="shared" si="119"/>
        <v>2.1884797545377483</v>
      </c>
      <c r="H1526">
        <f t="shared" si="121"/>
        <v>-1.8814791303698897E-2</v>
      </c>
      <c r="I1526">
        <f t="shared" si="120"/>
        <v>0</v>
      </c>
      <c r="J1526">
        <f t="shared" si="122"/>
        <v>2</v>
      </c>
      <c r="K1526">
        <v>-1.25742753073573E-2</v>
      </c>
      <c r="L1526">
        <v>-1.53638487681746E-2</v>
      </c>
      <c r="M1526">
        <v>3.0115341991185998E-3</v>
      </c>
      <c r="N1526">
        <v>-6.1234887689351897E-3</v>
      </c>
      <c r="O1526">
        <f t="shared" si="123"/>
        <v>-1.3754305988550198E-2</v>
      </c>
    </row>
    <row r="1527" spans="1:15" x14ac:dyDescent="0.35">
      <c r="A1527" t="s">
        <v>104</v>
      </c>
      <c r="B1527">
        <v>2018</v>
      </c>
      <c r="C1527">
        <v>1572873</v>
      </c>
      <c r="D1527" s="8">
        <v>0.94498825073242199</v>
      </c>
      <c r="E1527" s="8">
        <v>2.5999999999999999E-2</v>
      </c>
      <c r="F1527">
        <v>2.12843786802111</v>
      </c>
      <c r="G1527">
        <f t="shared" si="119"/>
        <v>2.2523432078350649</v>
      </c>
      <c r="H1527">
        <f t="shared" si="121"/>
        <v>2.9181651402027997E-2</v>
      </c>
      <c r="I1527">
        <f t="shared" si="120"/>
        <v>1</v>
      </c>
      <c r="J1527">
        <f t="shared" si="122"/>
        <v>2</v>
      </c>
      <c r="K1527">
        <v>3.0115341991185998E-3</v>
      </c>
      <c r="L1527">
        <v>-6.1234887689351897E-3</v>
      </c>
      <c r="M1527">
        <v>9.1325726062059E-3</v>
      </c>
      <c r="N1527">
        <v>-8.6686220020055996E-3</v>
      </c>
      <c r="O1527">
        <f t="shared" si="123"/>
        <v>-1.2553995847702041E-2</v>
      </c>
    </row>
    <row r="1528" spans="1:15" x14ac:dyDescent="0.35">
      <c r="A1528" t="s">
        <v>104</v>
      </c>
      <c r="B1528">
        <v>2019</v>
      </c>
      <c r="C1528">
        <v>1574277</v>
      </c>
      <c r="D1528" s="8">
        <v>0.94816190004348799</v>
      </c>
      <c r="E1528" s="8">
        <v>2.4E-2</v>
      </c>
      <c r="F1528">
        <v>2.0566872858626701</v>
      </c>
      <c r="G1528">
        <f t="shared" si="119"/>
        <v>2.1691309108374202</v>
      </c>
      <c r="H1528">
        <f t="shared" si="121"/>
        <v>-3.6944767879149243E-2</v>
      </c>
      <c r="I1528">
        <f t="shared" si="120"/>
        <v>0</v>
      </c>
      <c r="J1528" t="str">
        <f t="shared" si="122"/>
        <v/>
      </c>
      <c r="K1528">
        <v>9.1325726062059E-3</v>
      </c>
      <c r="L1528">
        <v>-8.6686220020055996E-3</v>
      </c>
      <c r="M1528">
        <v>3.0348152965306899E-3</v>
      </c>
      <c r="N1528">
        <v>-1.5814375132322301E-2</v>
      </c>
      <c r="O1528">
        <f t="shared" si="123"/>
        <v>-1.1463245935738098E-2</v>
      </c>
    </row>
    <row r="1529" spans="1:15" x14ac:dyDescent="0.35">
      <c r="A1529" t="s">
        <v>104</v>
      </c>
      <c r="B1529">
        <v>2020</v>
      </c>
      <c r="C1529">
        <v>1571782</v>
      </c>
      <c r="D1529" s="8">
        <v>0.95407372713089</v>
      </c>
      <c r="E1529" s="8">
        <v>2.1999999999999999E-2</v>
      </c>
      <c r="F1529">
        <v>1.95529063739592</v>
      </c>
      <c r="G1529">
        <f t="shared" si="119"/>
        <v>2.0494125158187826</v>
      </c>
      <c r="H1529">
        <f t="shared" si="121"/>
        <v>-5.5191871740197906E-2</v>
      </c>
      <c r="I1529">
        <f t="shared" si="120"/>
        <v>0</v>
      </c>
      <c r="J1529" t="str">
        <f t="shared" si="122"/>
        <v/>
      </c>
      <c r="K1529">
        <v>3.0348152965306899E-3</v>
      </c>
      <c r="L1529">
        <v>-1.5814375132322301E-2</v>
      </c>
      <c r="M1529">
        <v>1.00445433259009E-2</v>
      </c>
      <c r="N1529">
        <v>-3.3545069396495902E-2</v>
      </c>
      <c r="O1529">
        <f t="shared" si="123"/>
        <v>-7.1094998158514585E-3</v>
      </c>
    </row>
    <row r="1530" spans="1:15" x14ac:dyDescent="0.35">
      <c r="A1530" t="s">
        <v>104</v>
      </c>
      <c r="B1530">
        <v>2021</v>
      </c>
      <c r="C1530">
        <v>1563414</v>
      </c>
      <c r="D1530" s="8">
        <v>0.96543294191360496</v>
      </c>
      <c r="E1530" s="8">
        <v>1.7999999999999999E-2</v>
      </c>
      <c r="F1530">
        <v>2.0748881447393099</v>
      </c>
      <c r="G1530">
        <f t="shared" si="119"/>
        <v>2.1491789379246065</v>
      </c>
      <c r="H1530">
        <f t="shared" si="121"/>
        <v>4.8680498111413728E-2</v>
      </c>
      <c r="I1530">
        <f t="shared" si="120"/>
        <v>1</v>
      </c>
      <c r="J1530" t="str">
        <f t="shared" si="122"/>
        <v/>
      </c>
      <c r="K1530">
        <v>1.00445433259009E-2</v>
      </c>
      <c r="L1530">
        <v>-3.3545069396495902E-2</v>
      </c>
      <c r="M1530">
        <v>-3.67234814167023E-2</v>
      </c>
      <c r="N1530">
        <v>-4.6199746429919902E-3</v>
      </c>
      <c r="O1530">
        <f t="shared" si="123"/>
        <v>1.4997227117419183E-4</v>
      </c>
    </row>
    <row r="1531" spans="1:15" x14ac:dyDescent="0.35">
      <c r="A1531" t="s">
        <v>104</v>
      </c>
      <c r="B1531">
        <v>2022</v>
      </c>
      <c r="C1531">
        <v>1564803</v>
      </c>
      <c r="D1531" s="8">
        <v>0.95859551429748502</v>
      </c>
      <c r="E1531" s="8">
        <v>2.1999999999999999E-2</v>
      </c>
      <c r="F1531">
        <v>1.9790809112333001</v>
      </c>
      <c r="G1531">
        <f t="shared" si="119"/>
        <v>2.0645630839235531</v>
      </c>
      <c r="H1531">
        <f t="shared" si="121"/>
        <v>-3.9371246622565637E-2</v>
      </c>
      <c r="I1531">
        <f t="shared" si="120"/>
        <v>0</v>
      </c>
      <c r="J1531" t="str">
        <f t="shared" si="122"/>
        <v/>
      </c>
      <c r="K1531">
        <v>-3.67234814167023E-2</v>
      </c>
      <c r="L1531">
        <v>-4.1412711143493999E-3</v>
      </c>
      <c r="M1531">
        <v>-1.96808658391237E-2</v>
      </c>
      <c r="N1531">
        <v>-1.21938064694401E-4</v>
      </c>
      <c r="O1531">
        <f t="shared" si="123"/>
        <v>2.4255638476461056E-3</v>
      </c>
    </row>
    <row r="1532" spans="1:15" x14ac:dyDescent="0.35">
      <c r="A1532" t="s">
        <v>105</v>
      </c>
      <c r="B1532">
        <v>2006</v>
      </c>
      <c r="C1532">
        <v>3242996</v>
      </c>
      <c r="D1532" s="8">
        <v>0.93312543630599998</v>
      </c>
      <c r="E1532" s="8">
        <v>2E-3</v>
      </c>
      <c r="F1532">
        <v>2.04299075533073</v>
      </c>
      <c r="G1532">
        <f t="shared" si="119"/>
        <v>2.1894063497169225</v>
      </c>
      <c r="H1532">
        <f t="shared" si="121"/>
        <v>6.046958156207749E-2</v>
      </c>
      <c r="I1532">
        <f t="shared" si="120"/>
        <v>1</v>
      </c>
      <c r="J1532" t="str">
        <f t="shared" si="122"/>
        <v/>
      </c>
      <c r="K1532">
        <v>-3.1334109306335001E-3</v>
      </c>
      <c r="L1532">
        <v>-9.4964504241942908E-3</v>
      </c>
      <c r="M1532">
        <v>-4.1366283744573998E-3</v>
      </c>
      <c r="N1532">
        <v>-3.2148724421859E-3</v>
      </c>
      <c r="O1532" t="str">
        <f t="shared" si="123"/>
        <v/>
      </c>
    </row>
    <row r="1533" spans="1:15" x14ac:dyDescent="0.35">
      <c r="A1533" t="s">
        <v>105</v>
      </c>
      <c r="B1533">
        <v>2007</v>
      </c>
      <c r="C1533">
        <v>3277501</v>
      </c>
      <c r="D1533" s="8">
        <v>0.936734318733215</v>
      </c>
      <c r="E1533" s="8">
        <v>5.0000000000000001E-3</v>
      </c>
      <c r="F1533">
        <v>2.0863361759163901</v>
      </c>
      <c r="G1533">
        <f t="shared" si="119"/>
        <v>2.2272443041670873</v>
      </c>
      <c r="H1533">
        <f t="shared" si="121"/>
        <v>1.7282289537096318E-2</v>
      </c>
      <c r="I1533">
        <f t="shared" si="120"/>
        <v>1</v>
      </c>
      <c r="J1533" t="str">
        <f t="shared" si="122"/>
        <v/>
      </c>
      <c r="K1533">
        <v>-4.1366283744573998E-3</v>
      </c>
      <c r="L1533">
        <v>-3.2148724421859E-3</v>
      </c>
      <c r="M1533">
        <v>-2.3556448809802399E-2</v>
      </c>
      <c r="N1533">
        <v>5.9543554671109E-3</v>
      </c>
      <c r="O1533" t="str">
        <f t="shared" si="123"/>
        <v/>
      </c>
    </row>
    <row r="1534" spans="1:15" x14ac:dyDescent="0.35">
      <c r="A1534" t="s">
        <v>105</v>
      </c>
      <c r="B1534">
        <v>2008</v>
      </c>
      <c r="C1534">
        <v>3308707</v>
      </c>
      <c r="D1534" s="8">
        <v>0.94062703847885099</v>
      </c>
      <c r="E1534" s="8">
        <v>7.0000000000000001E-3</v>
      </c>
      <c r="F1534">
        <v>2.0505861184632801</v>
      </c>
      <c r="G1534">
        <f t="shared" si="119"/>
        <v>2.1800203848907169</v>
      </c>
      <c r="H1534">
        <f t="shared" si="121"/>
        <v>-2.120284657952265E-2</v>
      </c>
      <c r="I1534">
        <f t="shared" si="120"/>
        <v>0</v>
      </c>
      <c r="J1534" t="str">
        <f t="shared" si="122"/>
        <v/>
      </c>
      <c r="K1534">
        <v>-2.3556448809802399E-2</v>
      </c>
      <c r="L1534">
        <v>5.9543554671109E-3</v>
      </c>
      <c r="M1534">
        <v>-2.3814410626888299E-2</v>
      </c>
      <c r="N1534">
        <v>2.7522910386323499E-3</v>
      </c>
      <c r="O1534" t="str">
        <f t="shared" si="123"/>
        <v/>
      </c>
    </row>
    <row r="1535" spans="1:15" x14ac:dyDescent="0.35">
      <c r="A1535" t="s">
        <v>105</v>
      </c>
      <c r="B1535">
        <v>2009</v>
      </c>
      <c r="C1535">
        <v>3337156</v>
      </c>
      <c r="D1535" s="8">
        <v>0.93684822320938099</v>
      </c>
      <c r="E1535" s="8">
        <v>3.0000000000000001E-3</v>
      </c>
      <c r="F1535">
        <v>2.1076704638474002</v>
      </c>
      <c r="G1535">
        <f t="shared" si="119"/>
        <v>2.249745915754751</v>
      </c>
      <c r="H1535">
        <f t="shared" si="121"/>
        <v>3.1983889392634968E-2</v>
      </c>
      <c r="I1535">
        <f t="shared" si="120"/>
        <v>1</v>
      </c>
      <c r="J1535" t="str">
        <f t="shared" si="122"/>
        <v/>
      </c>
      <c r="K1535">
        <v>-2.3814410626888299E-2</v>
      </c>
      <c r="L1535">
        <v>2.7522910386323499E-3</v>
      </c>
      <c r="M1535">
        <v>-2.7021255195140998E-3</v>
      </c>
      <c r="N1535">
        <v>6.75798323936758E-3</v>
      </c>
      <c r="O1535" t="str">
        <f t="shared" si="123"/>
        <v/>
      </c>
    </row>
    <row r="1536" spans="1:15" x14ac:dyDescent="0.35">
      <c r="A1536" t="s">
        <v>105</v>
      </c>
      <c r="B1536">
        <v>2010</v>
      </c>
      <c r="C1536">
        <v>3365686</v>
      </c>
      <c r="D1536" s="8">
        <v>0.94344407320022605</v>
      </c>
      <c r="E1536" s="8">
        <v>0</v>
      </c>
      <c r="F1536">
        <v>2.1782705099778199</v>
      </c>
      <c r="G1536">
        <f t="shared" si="119"/>
        <v>2.30884964128184</v>
      </c>
      <c r="H1536">
        <f t="shared" si="121"/>
        <v>2.6271289176787116E-2</v>
      </c>
      <c r="I1536">
        <f t="shared" si="120"/>
        <v>1</v>
      </c>
      <c r="J1536">
        <f t="shared" si="122"/>
        <v>4</v>
      </c>
      <c r="K1536">
        <v>-2.7021255195140998E-3</v>
      </c>
      <c r="L1536">
        <v>6.75798323936758E-3</v>
      </c>
      <c r="M1536">
        <v>-2.3996791213750798E-2</v>
      </c>
      <c r="N1536">
        <v>-2.7130166999995301E-3</v>
      </c>
      <c r="O1536">
        <f t="shared" si="123"/>
        <v>-3.3024906180799058E-3</v>
      </c>
    </row>
    <row r="1537" spans="1:15" x14ac:dyDescent="0.35">
      <c r="A1537" t="s">
        <v>105</v>
      </c>
      <c r="B1537">
        <v>2011</v>
      </c>
      <c r="C1537">
        <v>3402280</v>
      </c>
      <c r="D1537" s="8">
        <v>0.94645088911056496</v>
      </c>
      <c r="E1537" s="8">
        <v>5.0000000000000001E-3</v>
      </c>
      <c r="F1537">
        <v>2.1863111441291099</v>
      </c>
      <c r="G1537">
        <f t="shared" si="119"/>
        <v>2.310010132891009</v>
      </c>
      <c r="H1537">
        <f t="shared" si="121"/>
        <v>5.026276239126215E-4</v>
      </c>
      <c r="I1537">
        <f t="shared" si="120"/>
        <v>1</v>
      </c>
      <c r="J1537">
        <f t="shared" si="122"/>
        <v>4</v>
      </c>
      <c r="K1537">
        <v>-2.3996791213750798E-2</v>
      </c>
      <c r="L1537">
        <v>-2.7130166999995301E-3</v>
      </c>
      <c r="M1537">
        <v>-7.5514300763607003E-3</v>
      </c>
      <c r="N1537">
        <v>-2.1132240071892999E-3</v>
      </c>
      <c r="O1537">
        <f t="shared" si="123"/>
        <v>-1.8665459007024814E-3</v>
      </c>
    </row>
    <row r="1538" spans="1:15" x14ac:dyDescent="0.35">
      <c r="A1538" t="s">
        <v>105</v>
      </c>
      <c r="B1538">
        <v>2012</v>
      </c>
      <c r="C1538">
        <v>3439590</v>
      </c>
      <c r="D1538" s="8">
        <v>0.95019388198852495</v>
      </c>
      <c r="E1538" s="8">
        <v>6.0000000000000001E-3</v>
      </c>
      <c r="F1538">
        <v>2.2156790863779698</v>
      </c>
      <c r="G1538">
        <f t="shared" si="119"/>
        <v>2.3318178830420289</v>
      </c>
      <c r="H1538">
        <f t="shared" si="121"/>
        <v>9.4405430697082071E-3</v>
      </c>
      <c r="I1538">
        <f t="shared" si="120"/>
        <v>1</v>
      </c>
      <c r="J1538">
        <f t="shared" si="122"/>
        <v>4</v>
      </c>
      <c r="K1538">
        <v>-7.5514300763607003E-3</v>
      </c>
      <c r="L1538">
        <v>-2.1988227963448E-3</v>
      </c>
      <c r="M1538">
        <v>-7.6161101460499593E-5</v>
      </c>
      <c r="N1538">
        <v>-6.2029324471950999E-3</v>
      </c>
      <c r="O1538">
        <f t="shared" si="123"/>
        <v>4.3015759438277853E-4</v>
      </c>
    </row>
    <row r="1539" spans="1:15" x14ac:dyDescent="0.35">
      <c r="A1539" t="s">
        <v>105</v>
      </c>
      <c r="B1539">
        <v>2013</v>
      </c>
      <c r="C1539">
        <v>3477883</v>
      </c>
      <c r="D1539" s="8">
        <v>0.94854950904846203</v>
      </c>
      <c r="E1539" s="8">
        <v>1.7000000000000001E-2</v>
      </c>
      <c r="F1539">
        <v>2.1647429453359801</v>
      </c>
      <c r="G1539">
        <f t="shared" ref="G1539:G1602" si="124">F1539/D1539</f>
        <v>2.2821612627342387</v>
      </c>
      <c r="H1539">
        <f t="shared" si="121"/>
        <v>-2.1295239507730934E-2</v>
      </c>
      <c r="I1539">
        <f t="shared" ref="I1539:I1602" si="125">IF(H1539&gt;0,1,0)</f>
        <v>0</v>
      </c>
      <c r="J1539">
        <f t="shared" si="122"/>
        <v>4</v>
      </c>
      <c r="K1539">
        <v>-7.6161101460499593E-5</v>
      </c>
      <c r="L1539">
        <v>-6.2029324471950999E-3</v>
      </c>
      <c r="M1539">
        <v>-3.3571312054991999E-3</v>
      </c>
      <c r="N1539">
        <v>-5.3651547059416996E-3</v>
      </c>
      <c r="O1539">
        <f t="shared" si="123"/>
        <v>7.2106625884774058E-4</v>
      </c>
    </row>
    <row r="1540" spans="1:15" x14ac:dyDescent="0.35">
      <c r="A1540" t="s">
        <v>105</v>
      </c>
      <c r="B1540">
        <v>2014</v>
      </c>
      <c r="C1540">
        <v>3515398</v>
      </c>
      <c r="D1540" s="8">
        <v>0.94940078258514404</v>
      </c>
      <c r="E1540" s="8">
        <v>1.4999999999999999E-2</v>
      </c>
      <c r="F1540">
        <v>2.1819554147838298</v>
      </c>
      <c r="G1540">
        <f t="shared" si="124"/>
        <v>2.2982448032563614</v>
      </c>
      <c r="H1540">
        <f t="shared" ref="H1540:H1603" si="126">+G1540/G1539-1</f>
        <v>7.0475039537096773E-3</v>
      </c>
      <c r="I1540">
        <f t="shared" si="125"/>
        <v>1</v>
      </c>
      <c r="J1540">
        <f t="shared" si="122"/>
        <v>4</v>
      </c>
      <c r="K1540">
        <v>-3.3571312054991999E-3</v>
      </c>
      <c r="L1540">
        <v>-5.3651547059416996E-3</v>
      </c>
      <c r="M1540">
        <v>3.0145326793193799E-2</v>
      </c>
      <c r="N1540">
        <v>-1.18125230073897E-4</v>
      </c>
      <c r="O1540">
        <f t="shared" si="123"/>
        <v>9.5259211957458086E-4</v>
      </c>
    </row>
    <row r="1541" spans="1:15" x14ac:dyDescent="0.35">
      <c r="A1541" t="s">
        <v>105</v>
      </c>
      <c r="B1541">
        <v>2015</v>
      </c>
      <c r="C1541">
        <v>3548349</v>
      </c>
      <c r="D1541" s="8">
        <v>0.94921070337295499</v>
      </c>
      <c r="E1541" s="8">
        <v>1.7999999999999999E-2</v>
      </c>
      <c r="F1541">
        <v>2.2102666672934101</v>
      </c>
      <c r="G1541">
        <f t="shared" si="124"/>
        <v>2.3285311253227334</v>
      </c>
      <c r="H1541">
        <f t="shared" si="126"/>
        <v>1.3178022647308829E-2</v>
      </c>
      <c r="I1541">
        <f t="shared" si="125"/>
        <v>1</v>
      </c>
      <c r="J1541">
        <f t="shared" si="122"/>
        <v>4</v>
      </c>
      <c r="K1541">
        <v>3.0145326793193799E-2</v>
      </c>
      <c r="L1541">
        <v>-1.18125230073897E-4</v>
      </c>
      <c r="M1541">
        <v>1.76202638894319E-2</v>
      </c>
      <c r="N1541">
        <v>4.4667068868875903E-3</v>
      </c>
      <c r="O1541">
        <f t="shared" si="123"/>
        <v>-5.8419439941644197E-3</v>
      </c>
    </row>
    <row r="1542" spans="1:15" x14ac:dyDescent="0.35">
      <c r="A1542" t="s">
        <v>105</v>
      </c>
      <c r="B1542">
        <v>2016</v>
      </c>
      <c r="C1542">
        <v>3587930</v>
      </c>
      <c r="D1542" s="8">
        <v>0.95112669467926003</v>
      </c>
      <c r="E1542" s="8">
        <v>0.02</v>
      </c>
      <c r="F1542">
        <v>2.1418948446729198</v>
      </c>
      <c r="G1542">
        <f t="shared" si="124"/>
        <v>2.2519553458597983</v>
      </c>
      <c r="H1542">
        <f t="shared" si="126"/>
        <v>-3.2885873257254339E-2</v>
      </c>
      <c r="I1542">
        <f t="shared" si="125"/>
        <v>0</v>
      </c>
      <c r="J1542">
        <f t="shared" si="122"/>
        <v>3</v>
      </c>
      <c r="K1542">
        <v>1.76202638894319E-2</v>
      </c>
      <c r="L1542">
        <v>4.4667068868875903E-3</v>
      </c>
      <c r="M1542">
        <v>1.2159866929054301E-2</v>
      </c>
      <c r="N1542">
        <v>9.3702934682369995E-3</v>
      </c>
      <c r="O1542">
        <f t="shared" si="123"/>
        <v>-1.7519806325435615E-2</v>
      </c>
    </row>
    <row r="1543" spans="1:15" x14ac:dyDescent="0.35">
      <c r="A1543" t="s">
        <v>105</v>
      </c>
      <c r="B1543">
        <v>2017</v>
      </c>
      <c r="C1543">
        <v>3627962</v>
      </c>
      <c r="D1543" s="8">
        <v>0.95341134071350098</v>
      </c>
      <c r="E1543" s="8">
        <v>1.6E-2</v>
      </c>
      <c r="F1543">
        <v>2.1688119714727199</v>
      </c>
      <c r="G1543">
        <f t="shared" si="124"/>
        <v>2.2747914555428448</v>
      </c>
      <c r="H1543">
        <f t="shared" si="126"/>
        <v>1.0140569494430984E-2</v>
      </c>
      <c r="I1543">
        <f t="shared" si="125"/>
        <v>1</v>
      </c>
      <c r="J1543">
        <f t="shared" ref="J1543:J1606" si="127">IF(AND(B1543&gt;=2010,B1543&lt;=2018),SUM(I1539:I1543),"")</f>
        <v>3</v>
      </c>
      <c r="K1543">
        <v>1.2159866929054301E-2</v>
      </c>
      <c r="L1543">
        <v>9.3702934682369995E-3</v>
      </c>
      <c r="M1543">
        <v>4.3866338431834996E-3</v>
      </c>
      <c r="N1543">
        <v>-4.7483891248702899E-3</v>
      </c>
      <c r="O1543">
        <f t="shared" ref="O1543:O1606" si="128">IF(B1543&gt;=2010,AVERAGE(N1543:N1547),"")</f>
        <v>-2.3692051693797098E-2</v>
      </c>
    </row>
    <row r="1544" spans="1:15" x14ac:dyDescent="0.35">
      <c r="A1544" t="s">
        <v>105</v>
      </c>
      <c r="B1544">
        <v>2018</v>
      </c>
      <c r="C1544">
        <v>3663897</v>
      </c>
      <c r="D1544" s="8">
        <v>0.950372815132141</v>
      </c>
      <c r="E1544" s="8">
        <v>2.7E-2</v>
      </c>
      <c r="F1544">
        <v>2.1459173753985801</v>
      </c>
      <c r="G1544">
        <f t="shared" si="124"/>
        <v>2.2579742825453284</v>
      </c>
      <c r="H1544">
        <f t="shared" si="126"/>
        <v>-7.392841641170711E-3</v>
      </c>
      <c r="I1544">
        <f t="shared" si="125"/>
        <v>0</v>
      </c>
      <c r="J1544">
        <f t="shared" si="127"/>
        <v>3</v>
      </c>
      <c r="K1544">
        <v>4.3866338431834996E-3</v>
      </c>
      <c r="L1544">
        <v>-4.7483891248702899E-3</v>
      </c>
      <c r="M1544">
        <v>1.3593669205904E-2</v>
      </c>
      <c r="N1544">
        <v>-4.2075254023075E-3</v>
      </c>
      <c r="O1544">
        <f t="shared" si="128"/>
        <v>-2.5433573685586436E-2</v>
      </c>
    </row>
    <row r="1545" spans="1:15" x14ac:dyDescent="0.35">
      <c r="A1545" t="s">
        <v>105</v>
      </c>
      <c r="B1545">
        <v>2019</v>
      </c>
      <c r="C1545">
        <v>3693365</v>
      </c>
      <c r="D1545" s="8">
        <v>0.94899547100067105</v>
      </c>
      <c r="E1545" s="8">
        <v>2.5000000000000001E-2</v>
      </c>
      <c r="F1545">
        <v>2.0669670569852499</v>
      </c>
      <c r="G1545">
        <f t="shared" si="124"/>
        <v>2.1780578729271811</v>
      </c>
      <c r="H1545">
        <f t="shared" si="126"/>
        <v>-3.5392967154639354E-2</v>
      </c>
      <c r="I1545">
        <f t="shared" si="125"/>
        <v>0</v>
      </c>
      <c r="J1545" t="str">
        <f t="shared" si="127"/>
        <v/>
      </c>
      <c r="K1545">
        <v>1.3593669205904E-2</v>
      </c>
      <c r="L1545">
        <v>-4.2075254023075E-3</v>
      </c>
      <c r="M1545">
        <v>-1.52416153699159E-2</v>
      </c>
      <c r="N1545">
        <v>-3.40908057987689E-2</v>
      </c>
      <c r="O1545">
        <f t="shared" si="128"/>
        <v>-2.5644796341657623E-2</v>
      </c>
    </row>
    <row r="1546" spans="1:15" x14ac:dyDescent="0.35">
      <c r="A1546" t="s">
        <v>105</v>
      </c>
      <c r="B1546">
        <v>2020</v>
      </c>
      <c r="C1546">
        <v>3709596</v>
      </c>
      <c r="D1546" s="8">
        <v>0.92833119630813599</v>
      </c>
      <c r="E1546" s="8">
        <v>4.2000000000000003E-2</v>
      </c>
      <c r="F1546">
        <v>1.9977790915046201</v>
      </c>
      <c r="G1546">
        <f t="shared" si="124"/>
        <v>2.1520111566319784</v>
      </c>
      <c r="H1546">
        <f t="shared" si="126"/>
        <v>-1.1958688802055306E-2</v>
      </c>
      <c r="I1546">
        <f t="shared" si="125"/>
        <v>0</v>
      </c>
      <c r="J1546" t="str">
        <f t="shared" si="127"/>
        <v/>
      </c>
      <c r="K1546">
        <v>-1.52416153699159E-2</v>
      </c>
      <c r="L1546">
        <v>-3.40908057987689E-2</v>
      </c>
      <c r="M1546">
        <v>-1.03329920470714E-2</v>
      </c>
      <c r="N1546">
        <v>-5.3922604769468398E-2</v>
      </c>
      <c r="O1546">
        <f t="shared" si="128"/>
        <v>-2.3315086495131244E-2</v>
      </c>
    </row>
    <row r="1547" spans="1:15" x14ac:dyDescent="0.35">
      <c r="A1547" t="s">
        <v>105</v>
      </c>
      <c r="B1547">
        <v>2021</v>
      </c>
      <c r="C1547">
        <v>3710896</v>
      </c>
      <c r="D1547" s="8">
        <v>0.93860721588134799</v>
      </c>
      <c r="E1547" s="8">
        <v>4.4999999999999998E-2</v>
      </c>
      <c r="F1547">
        <v>2.0502245893378501</v>
      </c>
      <c r="G1547">
        <f t="shared" si="124"/>
        <v>2.1843264729354317</v>
      </c>
      <c r="H1547">
        <f t="shared" si="126"/>
        <v>1.5016333072375154E-2</v>
      </c>
      <c r="I1547">
        <f t="shared" si="125"/>
        <v>1</v>
      </c>
      <c r="J1547" t="str">
        <f t="shared" si="127"/>
        <v/>
      </c>
      <c r="K1547">
        <v>-1.03329920470714E-2</v>
      </c>
      <c r="L1547">
        <v>-5.3922604769468398E-2</v>
      </c>
      <c r="M1547">
        <v>-5.3594440147280702E-2</v>
      </c>
      <c r="N1547">
        <v>-2.1490933373570401E-2</v>
      </c>
      <c r="O1547">
        <f t="shared" si="128"/>
        <v>-1.2480874266475411E-2</v>
      </c>
    </row>
    <row r="1548" spans="1:15" x14ac:dyDescent="0.35">
      <c r="A1548" t="s">
        <v>105</v>
      </c>
      <c r="B1548">
        <v>2022</v>
      </c>
      <c r="C1548">
        <v>3717635</v>
      </c>
      <c r="D1548" s="8">
        <v>0.92753314971923795</v>
      </c>
      <c r="E1548" s="8">
        <v>4.2999999999999997E-2</v>
      </c>
      <c r="F1548">
        <v>2.0114736283454202</v>
      </c>
      <c r="G1548">
        <f t="shared" si="124"/>
        <v>2.1686272118191017</v>
      </c>
      <c r="H1548">
        <f t="shared" si="126"/>
        <v>-7.187231996155008E-3</v>
      </c>
      <c r="I1548">
        <f t="shared" si="125"/>
        <v>0</v>
      </c>
      <c r="J1548" t="str">
        <f t="shared" si="127"/>
        <v/>
      </c>
      <c r="K1548">
        <v>-5.3594440147280702E-2</v>
      </c>
      <c r="L1548">
        <v>-2.1012229844927802E-2</v>
      </c>
      <c r="M1548">
        <v>-3.30149268582463E-2</v>
      </c>
      <c r="N1548">
        <v>-1.3455999083817E-2</v>
      </c>
      <c r="O1548">
        <f t="shared" si="128"/>
        <v>-8.3454253617673904E-3</v>
      </c>
    </row>
    <row r="1549" spans="1:15" x14ac:dyDescent="0.35">
      <c r="A1549" t="s">
        <v>106</v>
      </c>
      <c r="B1549">
        <v>2006</v>
      </c>
      <c r="C1549">
        <v>403593</v>
      </c>
      <c r="D1549" s="8">
        <v>0.90403759479522705</v>
      </c>
      <c r="E1549" s="8">
        <v>0</v>
      </c>
      <c r="F1549">
        <v>2.4704503861089999</v>
      </c>
      <c r="G1549">
        <f t="shared" si="124"/>
        <v>2.7326854550430282</v>
      </c>
      <c r="H1549">
        <f t="shared" si="126"/>
        <v>0.260099218597732</v>
      </c>
      <c r="I1549">
        <f t="shared" si="125"/>
        <v>1</v>
      </c>
      <c r="J1549" t="str">
        <f t="shared" si="127"/>
        <v/>
      </c>
      <c r="K1549">
        <v>3.0203895300626799E-2</v>
      </c>
      <c r="L1549">
        <v>2.3840855807065998E-2</v>
      </c>
      <c r="M1549">
        <v>-6.1853946149349002E-3</v>
      </c>
      <c r="N1549">
        <v>-5.2636386826633999E-3</v>
      </c>
      <c r="O1549" t="str">
        <f t="shared" si="128"/>
        <v/>
      </c>
    </row>
    <row r="1550" spans="1:15" x14ac:dyDescent="0.35">
      <c r="A1550" t="s">
        <v>106</v>
      </c>
      <c r="B1550">
        <v>2007</v>
      </c>
      <c r="C1550">
        <v>406582.625</v>
      </c>
      <c r="D1550" s="8">
        <v>0.876131951808929</v>
      </c>
      <c r="E1550" s="8">
        <v>0.01</v>
      </c>
      <c r="F1550">
        <v>2.4413879899316702</v>
      </c>
      <c r="G1550">
        <f t="shared" si="124"/>
        <v>2.7865528530160257</v>
      </c>
      <c r="H1550">
        <f t="shared" si="126"/>
        <v>1.971225699378909E-2</v>
      </c>
      <c r="I1550">
        <f t="shared" si="125"/>
        <v>1</v>
      </c>
      <c r="J1550" t="str">
        <f t="shared" si="127"/>
        <v/>
      </c>
      <c r="K1550">
        <v>-6.1853946149349002E-3</v>
      </c>
      <c r="L1550">
        <v>-5.2636386826633999E-3</v>
      </c>
      <c r="M1550">
        <v>-5.19530608430505E-2</v>
      </c>
      <c r="N1550">
        <v>-2.2442256566136999E-2</v>
      </c>
      <c r="O1550" t="str">
        <f t="shared" si="128"/>
        <v/>
      </c>
    </row>
    <row r="1551" spans="1:15" x14ac:dyDescent="0.35">
      <c r="A1551" t="s">
        <v>106</v>
      </c>
      <c r="B1551">
        <v>2008</v>
      </c>
      <c r="C1551">
        <v>409912.90625</v>
      </c>
      <c r="D1551" s="8">
        <v>0.86982709169387795</v>
      </c>
      <c r="E1551" s="8">
        <v>1.7999999999999999E-2</v>
      </c>
      <c r="F1551">
        <v>2.3210318018361802</v>
      </c>
      <c r="G1551">
        <f t="shared" si="124"/>
        <v>2.668382974041732</v>
      </c>
      <c r="H1551">
        <f t="shared" si="126"/>
        <v>-4.2407190965853214E-2</v>
      </c>
      <c r="I1551">
        <f t="shared" si="125"/>
        <v>0</v>
      </c>
      <c r="J1551" t="str">
        <f t="shared" si="127"/>
        <v/>
      </c>
      <c r="K1551">
        <v>-5.19530608430505E-2</v>
      </c>
      <c r="L1551">
        <v>-2.2442256566136999E-2</v>
      </c>
      <c r="M1551">
        <v>-2.63182452917099E-2</v>
      </c>
      <c r="N1551">
        <v>2.4845637381075002E-4</v>
      </c>
      <c r="O1551" t="str">
        <f t="shared" si="128"/>
        <v/>
      </c>
    </row>
    <row r="1552" spans="1:15" x14ac:dyDescent="0.35">
      <c r="A1552" t="s">
        <v>106</v>
      </c>
      <c r="B1552">
        <v>2009</v>
      </c>
      <c r="C1552">
        <v>412365.5</v>
      </c>
      <c r="D1552" s="8">
        <v>0.87720870971679699</v>
      </c>
      <c r="E1552" s="8">
        <v>4.2000000000000003E-2</v>
      </c>
      <c r="F1552">
        <v>2.35979304723767</v>
      </c>
      <c r="G1552">
        <f t="shared" si="124"/>
        <v>2.6901158425564642</v>
      </c>
      <c r="H1552">
        <f t="shared" si="126"/>
        <v>8.1445837146134625E-3</v>
      </c>
      <c r="I1552">
        <f t="shared" si="125"/>
        <v>1</v>
      </c>
      <c r="J1552" t="str">
        <f t="shared" si="127"/>
        <v/>
      </c>
      <c r="K1552">
        <v>-2.63182452917099E-2</v>
      </c>
      <c r="L1552">
        <v>2.4845637381075002E-4</v>
      </c>
      <c r="M1552">
        <v>-1.02737976089119E-2</v>
      </c>
      <c r="N1552">
        <v>-8.1368885003030604E-4</v>
      </c>
      <c r="O1552" t="str">
        <f t="shared" si="128"/>
        <v/>
      </c>
    </row>
    <row r="1553" spans="1:15" x14ac:dyDescent="0.35">
      <c r="A1553" t="s">
        <v>106</v>
      </c>
      <c r="B1553">
        <v>2010</v>
      </c>
      <c r="C1553">
        <v>413384.5</v>
      </c>
      <c r="D1553" s="8">
        <v>0.88809978961944602</v>
      </c>
      <c r="E1553" s="8">
        <v>2.5999999999999999E-2</v>
      </c>
      <c r="F1553">
        <v>2.2954179184656001</v>
      </c>
      <c r="G1553">
        <f t="shared" si="124"/>
        <v>2.5846396376798997</v>
      </c>
      <c r="H1553">
        <f t="shared" si="126"/>
        <v>-3.9208796590829542E-2</v>
      </c>
      <c r="I1553">
        <f t="shared" si="125"/>
        <v>0</v>
      </c>
      <c r="J1553">
        <f t="shared" si="127"/>
        <v>3</v>
      </c>
      <c r="K1553">
        <v>-1.02737976089119E-2</v>
      </c>
      <c r="L1553">
        <v>-8.1368885003030604E-4</v>
      </c>
      <c r="M1553">
        <v>-2.13888952210546E-2</v>
      </c>
      <c r="N1553">
        <v>-1.05120707303302E-4</v>
      </c>
      <c r="O1553">
        <f t="shared" si="128"/>
        <v>5.8295624330639926E-4</v>
      </c>
    </row>
    <row r="1554" spans="1:15" x14ac:dyDescent="0.35">
      <c r="A1554" t="s">
        <v>106</v>
      </c>
      <c r="B1554">
        <v>2011</v>
      </c>
      <c r="C1554">
        <v>413551.59375</v>
      </c>
      <c r="D1554" s="8">
        <v>0.88521033525466897</v>
      </c>
      <c r="E1554" s="8">
        <v>2.7E-2</v>
      </c>
      <c r="F1554">
        <v>2.3891484351261001</v>
      </c>
      <c r="G1554">
        <f t="shared" si="124"/>
        <v>2.6989612976431849</v>
      </c>
      <c r="H1554">
        <f t="shared" si="126"/>
        <v>4.4231179579798496E-2</v>
      </c>
      <c r="I1554">
        <f t="shared" si="125"/>
        <v>1</v>
      </c>
      <c r="J1554">
        <f t="shared" si="127"/>
        <v>3</v>
      </c>
      <c r="K1554">
        <v>-2.13888952210546E-2</v>
      </c>
      <c r="L1554">
        <v>-1.05120707303302E-4</v>
      </c>
      <c r="M1554">
        <v>-9.8210389763117006E-3</v>
      </c>
      <c r="N1554">
        <v>-4.3828329071403001E-3</v>
      </c>
      <c r="O1554">
        <f t="shared" si="128"/>
        <v>-1.3606788590550399E-3</v>
      </c>
    </row>
    <row r="1555" spans="1:15" x14ac:dyDescent="0.35">
      <c r="A1555" t="s">
        <v>106</v>
      </c>
      <c r="B1555">
        <v>2012</v>
      </c>
      <c r="C1555">
        <v>414382.59375</v>
      </c>
      <c r="D1555" s="8">
        <v>0.88495135307312001</v>
      </c>
      <c r="E1555" s="8">
        <v>2.9000000000000001E-2</v>
      </c>
      <c r="F1555">
        <v>2.38099614372724</v>
      </c>
      <c r="G1555">
        <f t="shared" si="124"/>
        <v>2.6905390171548875</v>
      </c>
      <c r="H1555">
        <f t="shared" si="126"/>
        <v>-3.1205636389273206E-3</v>
      </c>
      <c r="I1555">
        <f t="shared" si="125"/>
        <v>0</v>
      </c>
      <c r="J1555">
        <f t="shared" si="127"/>
        <v>2</v>
      </c>
      <c r="K1555">
        <v>-9.8210389763117006E-3</v>
      </c>
      <c r="L1555">
        <v>-4.4684316962957903E-3</v>
      </c>
      <c r="M1555">
        <v>-2.4222204089164902E-3</v>
      </c>
      <c r="N1555">
        <v>-8.5489917546510905E-3</v>
      </c>
      <c r="O1555">
        <f t="shared" si="128"/>
        <v>-1.7402838915586201E-3</v>
      </c>
    </row>
    <row r="1556" spans="1:15" x14ac:dyDescent="0.35">
      <c r="A1556" t="s">
        <v>106</v>
      </c>
      <c r="B1556">
        <v>2013</v>
      </c>
      <c r="C1556">
        <v>414664.09375</v>
      </c>
      <c r="D1556" s="8">
        <v>0.90881830453872703</v>
      </c>
      <c r="E1556" s="8">
        <v>3.0000000000000001E-3</v>
      </c>
      <c r="F1556">
        <v>2.3300438596491202</v>
      </c>
      <c r="G1556">
        <f t="shared" si="124"/>
        <v>2.5638170446310933</v>
      </c>
      <c r="H1556">
        <f t="shared" si="126"/>
        <v>-4.7099102341878085E-2</v>
      </c>
      <c r="I1556">
        <f t="shared" si="125"/>
        <v>0</v>
      </c>
      <c r="J1556">
        <f t="shared" si="127"/>
        <v>2</v>
      </c>
      <c r="K1556">
        <v>-2.4222204089164902E-3</v>
      </c>
      <c r="L1556">
        <v>-8.5489917546510905E-3</v>
      </c>
      <c r="M1556">
        <v>8.2927335202694005E-3</v>
      </c>
      <c r="N1556">
        <v>6.2847100198268899E-3</v>
      </c>
      <c r="O1556">
        <f t="shared" si="128"/>
        <v>1.110266894102138E-3</v>
      </c>
    </row>
    <row r="1557" spans="1:15" x14ac:dyDescent="0.35">
      <c r="A1557" t="s">
        <v>106</v>
      </c>
      <c r="B1557">
        <v>2014</v>
      </c>
      <c r="C1557">
        <v>415172.90625</v>
      </c>
      <c r="D1557" s="8">
        <v>0.90852689743042003</v>
      </c>
      <c r="E1557" s="8">
        <v>8.9999999999999993E-3</v>
      </c>
      <c r="F1557">
        <v>2.41479352304302</v>
      </c>
      <c r="G1557">
        <f t="shared" si="124"/>
        <v>2.6579218841762007</v>
      </c>
      <c r="H1557">
        <f t="shared" si="126"/>
        <v>3.6704974616723618E-2</v>
      </c>
      <c r="I1557">
        <f t="shared" si="125"/>
        <v>1</v>
      </c>
      <c r="J1557">
        <f t="shared" si="127"/>
        <v>2</v>
      </c>
      <c r="K1557">
        <v>8.2927335202694005E-3</v>
      </c>
      <c r="L1557">
        <v>6.2847100198268899E-3</v>
      </c>
      <c r="M1557">
        <v>3.99304685890675E-2</v>
      </c>
      <c r="N1557">
        <v>9.6670165657997999E-3</v>
      </c>
      <c r="O1557">
        <f t="shared" si="128"/>
        <v>5.2692741155658821E-5</v>
      </c>
    </row>
    <row r="1558" spans="1:15" x14ac:dyDescent="0.35">
      <c r="A1558" t="s">
        <v>106</v>
      </c>
      <c r="B1558">
        <v>2015</v>
      </c>
      <c r="C1558">
        <v>415711.5</v>
      </c>
      <c r="D1558" s="8">
        <v>0.91028964519500699</v>
      </c>
      <c r="E1558" s="8">
        <v>2E-3</v>
      </c>
      <c r="F1558">
        <v>2.2457082951120402</v>
      </c>
      <c r="G1558">
        <f t="shared" si="124"/>
        <v>2.4670260800681225</v>
      </c>
      <c r="H1558">
        <f t="shared" si="126"/>
        <v>-7.1821450150422517E-2</v>
      </c>
      <c r="I1558">
        <f t="shared" si="125"/>
        <v>0</v>
      </c>
      <c r="J1558">
        <f t="shared" si="127"/>
        <v>2</v>
      </c>
      <c r="K1558">
        <v>3.99304685890675E-2</v>
      </c>
      <c r="L1558">
        <v>9.6670165657997999E-3</v>
      </c>
      <c r="M1558">
        <v>3.3302607834339E-3</v>
      </c>
      <c r="N1558">
        <v>-9.8232962191104993E-3</v>
      </c>
      <c r="O1558">
        <f t="shared" si="128"/>
        <v>2.6066903024911992E-3</v>
      </c>
    </row>
    <row r="1559" spans="1:15" x14ac:dyDescent="0.35">
      <c r="A1559" t="s">
        <v>106</v>
      </c>
      <c r="B1559">
        <v>2016</v>
      </c>
      <c r="C1559">
        <v>416054.59375</v>
      </c>
      <c r="D1559" s="8">
        <v>0.912730693817139</v>
      </c>
      <c r="E1559" s="8">
        <v>0</v>
      </c>
      <c r="F1559">
        <v>2.2485156755756899</v>
      </c>
      <c r="G1559">
        <f t="shared" si="124"/>
        <v>2.4635039566513894</v>
      </c>
      <c r="H1559">
        <f t="shared" si="126"/>
        <v>-1.4276798470795882E-3</v>
      </c>
      <c r="I1559">
        <f t="shared" si="125"/>
        <v>0</v>
      </c>
      <c r="J1559">
        <f t="shared" si="127"/>
        <v>1</v>
      </c>
      <c r="K1559">
        <v>3.3302607834339E-3</v>
      </c>
      <c r="L1559">
        <v>-9.8232962191104993E-3</v>
      </c>
      <c r="M1559">
        <v>-3.4912846088408999E-3</v>
      </c>
      <c r="N1559">
        <v>-6.2808580696581996E-3</v>
      </c>
      <c r="O1559">
        <f t="shared" si="128"/>
        <v>1.1009481176733898E-2</v>
      </c>
    </row>
    <row r="1560" spans="1:15" x14ac:dyDescent="0.35">
      <c r="A1560" t="s">
        <v>106</v>
      </c>
      <c r="B1560">
        <v>2017</v>
      </c>
      <c r="C1560">
        <v>415505.8125</v>
      </c>
      <c r="D1560" s="8">
        <v>0.90175729990005504</v>
      </c>
      <c r="E1560" s="8">
        <v>0.01</v>
      </c>
      <c r="F1560">
        <v>2.1996723400382199</v>
      </c>
      <c r="G1560">
        <f t="shared" si="124"/>
        <v>2.4393174752031586</v>
      </c>
      <c r="H1560">
        <f t="shared" si="126"/>
        <v>-9.8179186531964779E-3</v>
      </c>
      <c r="I1560">
        <f t="shared" si="125"/>
        <v>0</v>
      </c>
      <c r="J1560">
        <f t="shared" si="127"/>
        <v>1</v>
      </c>
      <c r="K1560">
        <v>-3.4912846088408999E-3</v>
      </c>
      <c r="L1560">
        <v>-6.2808580696581996E-3</v>
      </c>
      <c r="M1560">
        <v>1.4838785141706499E-2</v>
      </c>
      <c r="N1560">
        <v>5.7037621736527001E-3</v>
      </c>
      <c r="O1560">
        <f t="shared" si="128"/>
        <v>1.5070889517664821E-2</v>
      </c>
    </row>
    <row r="1561" spans="1:15" x14ac:dyDescent="0.35">
      <c r="A1561" t="s">
        <v>106</v>
      </c>
      <c r="B1561">
        <v>2018</v>
      </c>
      <c r="C1561">
        <v>415523.8125</v>
      </c>
      <c r="D1561" s="8">
        <v>0.89151799678802501</v>
      </c>
      <c r="E1561" s="8">
        <v>1.2999999999999999E-2</v>
      </c>
      <c r="F1561">
        <v>2.2013586178370201</v>
      </c>
      <c r="G1561">
        <f t="shared" si="124"/>
        <v>2.4692251034394253</v>
      </c>
      <c r="H1561">
        <f t="shared" si="126"/>
        <v>1.226065427739198E-2</v>
      </c>
      <c r="I1561">
        <f t="shared" si="125"/>
        <v>1</v>
      </c>
      <c r="J1561">
        <f t="shared" si="127"/>
        <v>2</v>
      </c>
      <c r="K1561">
        <v>1.4838785141706499E-2</v>
      </c>
      <c r="L1561">
        <v>5.7037621736527001E-3</v>
      </c>
      <c r="M1561">
        <v>1.8798033863305998E-2</v>
      </c>
      <c r="N1561">
        <v>9.9683925509449307E-4</v>
      </c>
      <c r="O1561">
        <f t="shared" si="128"/>
        <v>1.6769311204552519E-2</v>
      </c>
    </row>
    <row r="1562" spans="1:15" x14ac:dyDescent="0.35">
      <c r="A1562" t="s">
        <v>106</v>
      </c>
      <c r="B1562">
        <v>2019</v>
      </c>
      <c r="C1562">
        <v>415012.78125</v>
      </c>
      <c r="D1562" s="8">
        <v>0.89643812179565396</v>
      </c>
      <c r="E1562" s="8">
        <v>1.4999999999999999E-2</v>
      </c>
      <c r="F1562">
        <v>2.0802174328337402</v>
      </c>
      <c r="G1562">
        <f t="shared" si="124"/>
        <v>2.3205365571321974</v>
      </c>
      <c r="H1562">
        <f t="shared" si="126"/>
        <v>-6.0216683404083704E-2</v>
      </c>
      <c r="I1562">
        <f t="shared" si="125"/>
        <v>0</v>
      </c>
      <c r="J1562" t="str">
        <f t="shared" si="127"/>
        <v/>
      </c>
      <c r="K1562">
        <v>1.8798033863305998E-2</v>
      </c>
      <c r="L1562">
        <v>9.9683925509449307E-4</v>
      </c>
      <c r="M1562">
        <v>4.1286194801330597E-2</v>
      </c>
      <c r="N1562">
        <v>2.24370043724775E-2</v>
      </c>
      <c r="O1562">
        <f t="shared" si="128"/>
        <v>1.7361533083021519E-2</v>
      </c>
    </row>
    <row r="1563" spans="1:15" x14ac:dyDescent="0.35">
      <c r="A1563" t="s">
        <v>106</v>
      </c>
      <c r="B1563">
        <v>2020</v>
      </c>
      <c r="C1563">
        <v>414084.6875</v>
      </c>
      <c r="D1563" s="8">
        <v>0.91924959421157804</v>
      </c>
      <c r="E1563" s="8">
        <v>1.2E-2</v>
      </c>
      <c r="F1563">
        <v>2.2659443881090802</v>
      </c>
      <c r="G1563">
        <f t="shared" si="124"/>
        <v>2.464993623470169</v>
      </c>
      <c r="H1563">
        <f t="shared" si="126"/>
        <v>6.2251579659015066E-2</v>
      </c>
      <c r="I1563">
        <f t="shared" si="125"/>
        <v>1</v>
      </c>
      <c r="J1563" t="str">
        <f t="shared" si="127"/>
        <v/>
      </c>
      <c r="K1563">
        <v>4.1286194801330597E-2</v>
      </c>
      <c r="L1563">
        <v>2.24370043724775E-2</v>
      </c>
      <c r="M1563">
        <v>7.5780270874499997E-2</v>
      </c>
      <c r="N1563">
        <v>3.2190658152103001E-2</v>
      </c>
      <c r="O1563">
        <f t="shared" si="128"/>
        <v>1.2008568085729959E-2</v>
      </c>
    </row>
    <row r="1564" spans="1:15" x14ac:dyDescent="0.35">
      <c r="A1564" t="s">
        <v>106</v>
      </c>
      <c r="B1564">
        <v>2021</v>
      </c>
      <c r="C1564">
        <v>412604.09375</v>
      </c>
      <c r="D1564" s="8">
        <v>0.94117110967636097</v>
      </c>
      <c r="E1564" s="8">
        <v>4.0000000000000001E-3</v>
      </c>
      <c r="F1564">
        <v>2.1930646835005101</v>
      </c>
      <c r="G1564">
        <f t="shared" si="124"/>
        <v>2.3301444986498105</v>
      </c>
      <c r="H1564">
        <f t="shared" si="126"/>
        <v>-5.4705668824619691E-2</v>
      </c>
      <c r="I1564">
        <f t="shared" si="125"/>
        <v>0</v>
      </c>
      <c r="J1564" t="str">
        <f t="shared" si="127"/>
        <v/>
      </c>
      <c r="K1564">
        <v>7.5780270874499997E-2</v>
      </c>
      <c r="L1564">
        <v>3.2190658152103001E-2</v>
      </c>
      <c r="M1564">
        <v>-1.80773231387138E-2</v>
      </c>
      <c r="N1564">
        <v>1.40261836349964E-2</v>
      </c>
      <c r="O1564">
        <f t="shared" si="128"/>
        <v>1.1281756684183811E-3</v>
      </c>
    </row>
    <row r="1565" spans="1:15" x14ac:dyDescent="0.35">
      <c r="A1565" t="s">
        <v>106</v>
      </c>
      <c r="B1565">
        <v>2022</v>
      </c>
      <c r="C1565">
        <v>411330.09375</v>
      </c>
      <c r="D1565" s="8">
        <v>0.92743343114852905</v>
      </c>
      <c r="E1565" s="8">
        <v>3.0000000000000001E-3</v>
      </c>
      <c r="F1565">
        <v>2.0856696120141001</v>
      </c>
      <c r="G1565">
        <f t="shared" si="124"/>
        <v>2.2488617964000035</v>
      </c>
      <c r="H1565">
        <f t="shared" si="126"/>
        <v>-3.4883116603672382E-2</v>
      </c>
      <c r="I1565">
        <f t="shared" si="125"/>
        <v>0</v>
      </c>
      <c r="J1565" t="str">
        <f t="shared" si="127"/>
        <v/>
      </c>
      <c r="K1565">
        <v>-1.80773231387138E-2</v>
      </c>
      <c r="L1565">
        <v>1.4504887163638999E-2</v>
      </c>
      <c r="M1565">
        <v>-5.3630571663379999E-3</v>
      </c>
      <c r="N1565">
        <v>1.41958706080912E-2</v>
      </c>
      <c r="O1565">
        <f t="shared" si="128"/>
        <v>-1.7297183629125614E-3</v>
      </c>
    </row>
    <row r="1566" spans="1:15" x14ac:dyDescent="0.35">
      <c r="A1566" t="s">
        <v>107</v>
      </c>
      <c r="B1566">
        <v>2006</v>
      </c>
      <c r="C1566">
        <v>505418.3125</v>
      </c>
      <c r="D1566" s="8">
        <v>0.94640433788299605</v>
      </c>
      <c r="E1566" s="8">
        <v>2E-3</v>
      </c>
      <c r="F1566">
        <v>2.67385047506761</v>
      </c>
      <c r="G1566">
        <f t="shared" si="124"/>
        <v>2.8252728437918235</v>
      </c>
      <c r="H1566">
        <f t="shared" si="126"/>
        <v>0.25631234801291192</v>
      </c>
      <c r="I1566">
        <f t="shared" si="125"/>
        <v>1</v>
      </c>
      <c r="J1566" t="str">
        <f t="shared" si="127"/>
        <v/>
      </c>
      <c r="K1566">
        <v>4.2623035907744999E-3</v>
      </c>
      <c r="L1566">
        <v>-2.10073590278629E-3</v>
      </c>
      <c r="M1566">
        <v>3.03619271516799E-3</v>
      </c>
      <c r="N1566">
        <v>3.9579486474394902E-3</v>
      </c>
      <c r="O1566" t="str">
        <f t="shared" si="128"/>
        <v/>
      </c>
    </row>
    <row r="1567" spans="1:15" x14ac:dyDescent="0.35">
      <c r="A1567" t="s">
        <v>107</v>
      </c>
      <c r="B1567">
        <v>2007</v>
      </c>
      <c r="C1567">
        <v>508130.09375</v>
      </c>
      <c r="D1567" s="8">
        <v>0.94272726774215698</v>
      </c>
      <c r="E1567" s="8">
        <v>5.0000000000000001E-3</v>
      </c>
      <c r="F1567">
        <v>2.8058439736214398</v>
      </c>
      <c r="G1567">
        <f t="shared" si="124"/>
        <v>2.9763050986543216</v>
      </c>
      <c r="H1567">
        <f t="shared" si="126"/>
        <v>5.3457582050658203E-2</v>
      </c>
      <c r="I1567">
        <f t="shared" si="125"/>
        <v>1</v>
      </c>
      <c r="J1567" t="str">
        <f t="shared" si="127"/>
        <v/>
      </c>
      <c r="K1567">
        <v>3.03619271516799E-3</v>
      </c>
      <c r="L1567">
        <v>3.9579486474394902E-3</v>
      </c>
      <c r="M1567">
        <v>-3.3838624890893697E-2</v>
      </c>
      <c r="N1567">
        <v>-4.3278206139802898E-3</v>
      </c>
      <c r="O1567" t="str">
        <f t="shared" si="128"/>
        <v/>
      </c>
    </row>
    <row r="1568" spans="1:15" x14ac:dyDescent="0.35">
      <c r="A1568" t="s">
        <v>107</v>
      </c>
      <c r="B1568">
        <v>2008</v>
      </c>
      <c r="C1568">
        <v>509679.6875</v>
      </c>
      <c r="D1568" s="8">
        <v>0.92901271581649802</v>
      </c>
      <c r="E1568" s="8">
        <v>2E-3</v>
      </c>
      <c r="F1568">
        <v>2.7787520357971198</v>
      </c>
      <c r="G1568">
        <f t="shared" si="124"/>
        <v>2.9910807338680057</v>
      </c>
      <c r="H1568">
        <f t="shared" si="126"/>
        <v>4.9644222362703605E-3</v>
      </c>
      <c r="I1568">
        <f t="shared" si="125"/>
        <v>1</v>
      </c>
      <c r="J1568" t="str">
        <f t="shared" si="127"/>
        <v/>
      </c>
      <c r="K1568">
        <v>-3.3838624890893697E-2</v>
      </c>
      <c r="L1568">
        <v>-4.3278206139802898E-3</v>
      </c>
      <c r="M1568">
        <v>-4.8778005599975499E-2</v>
      </c>
      <c r="N1568">
        <v>-2.2211303934454901E-2</v>
      </c>
      <c r="O1568" t="str">
        <f t="shared" si="128"/>
        <v/>
      </c>
    </row>
    <row r="1569" spans="1:15" x14ac:dyDescent="0.35">
      <c r="A1569" t="s">
        <v>107</v>
      </c>
      <c r="B1569">
        <v>2009</v>
      </c>
      <c r="C1569">
        <v>512486.03125</v>
      </c>
      <c r="D1569" s="8">
        <v>0.91207206249237105</v>
      </c>
      <c r="E1569" s="8">
        <v>0.03</v>
      </c>
      <c r="F1569">
        <v>3.08641760604575</v>
      </c>
      <c r="G1569">
        <f t="shared" si="124"/>
        <v>3.3839624443836818</v>
      </c>
      <c r="H1569">
        <f t="shared" si="126"/>
        <v>0.13135108861057376</v>
      </c>
      <c r="I1569">
        <f t="shared" si="125"/>
        <v>1</v>
      </c>
      <c r="J1569" t="str">
        <f t="shared" si="127"/>
        <v/>
      </c>
      <c r="K1569">
        <v>-4.8778005599975499E-2</v>
      </c>
      <c r="L1569">
        <v>-2.2211303934454901E-2</v>
      </c>
      <c r="M1569">
        <v>-9.7233952805399898E-3</v>
      </c>
      <c r="N1569">
        <v>-2.6328652165830401E-4</v>
      </c>
      <c r="O1569" t="str">
        <f t="shared" si="128"/>
        <v/>
      </c>
    </row>
    <row r="1570" spans="1:15" x14ac:dyDescent="0.35">
      <c r="A1570" t="s">
        <v>107</v>
      </c>
      <c r="B1570">
        <v>2010</v>
      </c>
      <c r="C1570">
        <v>515883.90625</v>
      </c>
      <c r="D1570" s="8">
        <v>0.927381932735443</v>
      </c>
      <c r="E1570" s="8">
        <v>0</v>
      </c>
      <c r="F1570">
        <v>3.1064886911383001</v>
      </c>
      <c r="G1570">
        <f t="shared" si="124"/>
        <v>3.3497403620698929</v>
      </c>
      <c r="H1570">
        <f t="shared" si="126"/>
        <v>-1.011302071941933E-2</v>
      </c>
      <c r="I1570">
        <f t="shared" si="125"/>
        <v>0</v>
      </c>
      <c r="J1570">
        <f t="shared" si="127"/>
        <v>4</v>
      </c>
      <c r="K1570">
        <v>-9.7233952805399898E-3</v>
      </c>
      <c r="L1570">
        <v>-2.6328652165830401E-4</v>
      </c>
      <c r="M1570">
        <v>-1.9894528545439199E-2</v>
      </c>
      <c r="N1570">
        <v>1.3892459683120899E-3</v>
      </c>
      <c r="O1570">
        <f t="shared" si="128"/>
        <v>1.8661190290004036E-2</v>
      </c>
    </row>
    <row r="1571" spans="1:15" x14ac:dyDescent="0.35">
      <c r="A1571" t="s">
        <v>107</v>
      </c>
      <c r="B1571">
        <v>2011</v>
      </c>
      <c r="C1571">
        <v>518568.46875</v>
      </c>
      <c r="D1571" s="8">
        <v>0.92849832773208596</v>
      </c>
      <c r="E1571" s="8">
        <v>0</v>
      </c>
      <c r="F1571">
        <v>2.9177107879763202</v>
      </c>
      <c r="G1571">
        <f t="shared" si="124"/>
        <v>3.142397461396627</v>
      </c>
      <c r="H1571">
        <f t="shared" si="126"/>
        <v>-6.1898200535501546E-2</v>
      </c>
      <c r="I1571">
        <f t="shared" si="125"/>
        <v>0</v>
      </c>
      <c r="J1571">
        <f t="shared" si="127"/>
        <v>3</v>
      </c>
      <c r="K1571">
        <v>-1.9894528545439199E-2</v>
      </c>
      <c r="L1571">
        <v>1.3892459683120899E-3</v>
      </c>
      <c r="M1571">
        <v>-5.7270660102366998E-3</v>
      </c>
      <c r="N1571">
        <v>-2.8885994106530102E-4</v>
      </c>
      <c r="O1571">
        <f t="shared" si="128"/>
        <v>3.1358916126191613E-2</v>
      </c>
    </row>
    <row r="1572" spans="1:15" x14ac:dyDescent="0.35">
      <c r="A1572" t="s">
        <v>107</v>
      </c>
      <c r="B1572">
        <v>2012</v>
      </c>
      <c r="C1572">
        <v>521745.96875</v>
      </c>
      <c r="D1572" s="8">
        <v>0.93743050098419201</v>
      </c>
      <c r="E1572" s="8">
        <v>0</v>
      </c>
      <c r="F1572">
        <v>3.0956423989949</v>
      </c>
      <c r="G1572">
        <f t="shared" si="124"/>
        <v>3.3022633632518237</v>
      </c>
      <c r="H1572">
        <f t="shared" si="126"/>
        <v>5.0873864245086553E-2</v>
      </c>
      <c r="I1572">
        <f t="shared" si="125"/>
        <v>1</v>
      </c>
      <c r="J1572">
        <f t="shared" si="127"/>
        <v>3</v>
      </c>
      <c r="K1572">
        <v>-5.7270660102366998E-3</v>
      </c>
      <c r="L1572">
        <v>-3.7445873022079901E-4</v>
      </c>
      <c r="M1572">
        <v>1.19032213836908E-2</v>
      </c>
      <c r="N1572">
        <v>5.7764500379561996E-3</v>
      </c>
      <c r="O1572">
        <f t="shared" si="128"/>
        <v>3.9408053457736979E-2</v>
      </c>
    </row>
    <row r="1573" spans="1:15" x14ac:dyDescent="0.35">
      <c r="A1573" t="s">
        <v>107</v>
      </c>
      <c r="B1573">
        <v>2013</v>
      </c>
      <c r="C1573">
        <v>525284</v>
      </c>
      <c r="D1573" s="8">
        <v>0.94107359647750899</v>
      </c>
      <c r="E1573" s="8">
        <v>0</v>
      </c>
      <c r="F1573">
        <v>2.96097163794273</v>
      </c>
      <c r="G1573">
        <f t="shared" si="124"/>
        <v>3.1463762760168938</v>
      </c>
      <c r="H1573">
        <f t="shared" si="126"/>
        <v>-4.7206134122937948E-2</v>
      </c>
      <c r="I1573">
        <f t="shared" si="125"/>
        <v>0</v>
      </c>
      <c r="J1573">
        <f t="shared" si="127"/>
        <v>2</v>
      </c>
      <c r="K1573">
        <v>1.19032213836908E-2</v>
      </c>
      <c r="L1573">
        <v>5.7764500379561996E-3</v>
      </c>
      <c r="M1573">
        <v>2.3227508008480099E-2</v>
      </c>
      <c r="N1573">
        <v>2.1219484508037598E-2</v>
      </c>
      <c r="O1573">
        <f t="shared" si="128"/>
        <v>4.0967766195535681E-2</v>
      </c>
    </row>
    <row r="1574" spans="1:15" x14ac:dyDescent="0.35">
      <c r="A1574" t="s">
        <v>107</v>
      </c>
      <c r="B1574">
        <v>2014</v>
      </c>
      <c r="C1574">
        <v>530252.375</v>
      </c>
      <c r="D1574" s="8">
        <v>0.94967859983444203</v>
      </c>
      <c r="E1574" s="8">
        <v>0</v>
      </c>
      <c r="F1574">
        <v>3.01989707067293</v>
      </c>
      <c r="G1574">
        <f t="shared" si="124"/>
        <v>3.1799148377139277</v>
      </c>
      <c r="H1574">
        <f t="shared" si="126"/>
        <v>1.065942492405636E-2</v>
      </c>
      <c r="I1574">
        <f t="shared" si="125"/>
        <v>1</v>
      </c>
      <c r="J1574">
        <f t="shared" si="127"/>
        <v>2</v>
      </c>
      <c r="K1574">
        <v>2.3227508008480099E-2</v>
      </c>
      <c r="L1574">
        <v>2.1219484508037598E-2</v>
      </c>
      <c r="M1574">
        <v>9.5473082900047301E-2</v>
      </c>
      <c r="N1574">
        <v>6.5209630876779598E-2</v>
      </c>
      <c r="O1574">
        <f t="shared" si="128"/>
        <v>4.1995068639516839E-2</v>
      </c>
    </row>
    <row r="1575" spans="1:15" x14ac:dyDescent="0.35">
      <c r="A1575" t="s">
        <v>107</v>
      </c>
      <c r="B1575">
        <v>2015</v>
      </c>
      <c r="C1575">
        <v>535830</v>
      </c>
      <c r="D1575" s="8">
        <v>0.96082073450088501</v>
      </c>
      <c r="E1575" s="8">
        <v>0</v>
      </c>
      <c r="F1575">
        <v>2.9747199575793699</v>
      </c>
      <c r="G1575">
        <f t="shared" si="124"/>
        <v>3.096019736839505</v>
      </c>
      <c r="H1575">
        <f t="shared" si="126"/>
        <v>-2.6382813740614353E-2</v>
      </c>
      <c r="I1575">
        <f t="shared" si="125"/>
        <v>0</v>
      </c>
      <c r="J1575">
        <f t="shared" si="127"/>
        <v>2</v>
      </c>
      <c r="K1575">
        <v>9.5473082900047301E-2</v>
      </c>
      <c r="L1575">
        <v>6.5209630876779598E-2</v>
      </c>
      <c r="M1575">
        <v>7.8031432151794394E-2</v>
      </c>
      <c r="N1575">
        <v>6.4877875149250003E-2</v>
      </c>
      <c r="O1575">
        <f t="shared" si="128"/>
        <v>3.6409677192568782E-2</v>
      </c>
    </row>
    <row r="1576" spans="1:15" x14ac:dyDescent="0.35">
      <c r="A1576" t="s">
        <v>107</v>
      </c>
      <c r="B1576">
        <v>2016</v>
      </c>
      <c r="C1576">
        <v>542015.1875</v>
      </c>
      <c r="D1576" s="8">
        <v>0.96730679273605302</v>
      </c>
      <c r="E1576" s="8">
        <v>0</v>
      </c>
      <c r="F1576">
        <v>2.9797326833662199</v>
      </c>
      <c r="G1576">
        <f t="shared" si="124"/>
        <v>3.0804422193066241</v>
      </c>
      <c r="H1576">
        <f t="shared" si="126"/>
        <v>-5.0314658358033837E-3</v>
      </c>
      <c r="I1576">
        <f t="shared" si="125"/>
        <v>0</v>
      </c>
      <c r="J1576">
        <f t="shared" si="127"/>
        <v>2</v>
      </c>
      <c r="K1576">
        <v>7.8031432151794394E-2</v>
      </c>
      <c r="L1576">
        <v>6.4877875149250003E-2</v>
      </c>
      <c r="M1576">
        <v>4.2746400177478799E-2</v>
      </c>
      <c r="N1576">
        <v>3.9956826716661502E-2</v>
      </c>
      <c r="O1576">
        <f t="shared" si="128"/>
        <v>2.5948680564761177E-2</v>
      </c>
    </row>
    <row r="1577" spans="1:15" x14ac:dyDescent="0.35">
      <c r="A1577" t="s">
        <v>107</v>
      </c>
      <c r="B1577">
        <v>2017</v>
      </c>
      <c r="C1577">
        <v>547217.3125</v>
      </c>
      <c r="D1577" s="8">
        <v>0.96480917930603005</v>
      </c>
      <c r="E1577" s="8">
        <v>0</v>
      </c>
      <c r="F1577">
        <v>3.0319678331143698</v>
      </c>
      <c r="G1577">
        <f t="shared" si="124"/>
        <v>3.1425569927674299</v>
      </c>
      <c r="H1577">
        <f t="shared" si="126"/>
        <v>2.0164239105509685E-2</v>
      </c>
      <c r="I1577">
        <f t="shared" si="125"/>
        <v>1</v>
      </c>
      <c r="J1577">
        <f t="shared" si="127"/>
        <v>2</v>
      </c>
      <c r="K1577">
        <v>4.2746400177478799E-2</v>
      </c>
      <c r="L1577">
        <v>3.9956826716661502E-2</v>
      </c>
      <c r="M1577">
        <v>2.2710036695003499E-2</v>
      </c>
      <c r="N1577">
        <v>1.35750137269497E-2</v>
      </c>
      <c r="O1577">
        <f t="shared" si="128"/>
        <v>1.4345557987689999E-2</v>
      </c>
    </row>
    <row r="1578" spans="1:15" x14ac:dyDescent="0.35">
      <c r="A1578" t="s">
        <v>107</v>
      </c>
      <c r="B1578">
        <v>2018</v>
      </c>
      <c r="C1578">
        <v>550449.5625</v>
      </c>
      <c r="D1578" s="8">
        <v>0.96689236164092995</v>
      </c>
      <c r="E1578" s="8">
        <v>0</v>
      </c>
      <c r="F1578">
        <v>2.8699719880224599</v>
      </c>
      <c r="G1578">
        <f t="shared" si="124"/>
        <v>2.9682435210800304</v>
      </c>
      <c r="H1578">
        <f t="shared" si="126"/>
        <v>-5.5468674741168011E-2</v>
      </c>
      <c r="I1578">
        <f t="shared" si="125"/>
        <v>0</v>
      </c>
      <c r="J1578">
        <f t="shared" si="127"/>
        <v>2</v>
      </c>
      <c r="K1578">
        <v>2.2710036695003499E-2</v>
      </c>
      <c r="L1578">
        <v>1.35750137269497E-2</v>
      </c>
      <c r="M1578">
        <v>4.4157191336154901E-2</v>
      </c>
      <c r="N1578">
        <v>2.63559967279434E-2</v>
      </c>
      <c r="O1578">
        <f t="shared" si="128"/>
        <v>1.1043776571750661E-2</v>
      </c>
    </row>
    <row r="1579" spans="1:15" x14ac:dyDescent="0.35">
      <c r="A1579" t="s">
        <v>107</v>
      </c>
      <c r="B1579">
        <v>2019</v>
      </c>
      <c r="C1579">
        <v>552409.5</v>
      </c>
      <c r="D1579" s="8">
        <v>0.96282881498336803</v>
      </c>
      <c r="E1579" s="8">
        <v>0</v>
      </c>
      <c r="F1579">
        <v>2.9423889560715701</v>
      </c>
      <c r="G1579">
        <f t="shared" si="124"/>
        <v>3.0559834835462389</v>
      </c>
      <c r="H1579">
        <f t="shared" si="126"/>
        <v>2.9559556634451312E-2</v>
      </c>
      <c r="I1579">
        <f t="shared" si="125"/>
        <v>1</v>
      </c>
      <c r="J1579" t="str">
        <f t="shared" si="127"/>
        <v/>
      </c>
      <c r="K1579">
        <v>4.4157191336154901E-2</v>
      </c>
      <c r="L1579">
        <v>2.63559967279434E-2</v>
      </c>
      <c r="M1579">
        <v>5.6131864070892303E-2</v>
      </c>
      <c r="N1579">
        <v>3.7282673642039299E-2</v>
      </c>
      <c r="O1579">
        <f t="shared" si="128"/>
        <v>4.7047464177012817E-3</v>
      </c>
    </row>
    <row r="1580" spans="1:15" x14ac:dyDescent="0.35">
      <c r="A1580" t="s">
        <v>107</v>
      </c>
      <c r="B1580">
        <v>2020</v>
      </c>
      <c r="C1580">
        <v>553499.8125</v>
      </c>
      <c r="D1580" s="8">
        <v>0.97589099407196001</v>
      </c>
      <c r="E1580" s="8">
        <v>6.0000000000000001E-3</v>
      </c>
      <c r="F1580">
        <v>2.8300790398126399</v>
      </c>
      <c r="G1580">
        <f t="shared" si="124"/>
        <v>2.8999950373596297</v>
      </c>
      <c r="H1580">
        <f t="shared" si="126"/>
        <v>-5.1043615591009783E-2</v>
      </c>
      <c r="I1580">
        <f t="shared" si="125"/>
        <v>0</v>
      </c>
      <c r="J1580" t="str">
        <f t="shared" si="127"/>
        <v/>
      </c>
      <c r="K1580">
        <v>5.6131864070892303E-2</v>
      </c>
      <c r="L1580">
        <v>3.7282673642039299E-2</v>
      </c>
      <c r="M1580">
        <v>5.6162504732609003E-2</v>
      </c>
      <c r="N1580">
        <v>1.2572892010212E-2</v>
      </c>
      <c r="O1580">
        <f t="shared" si="128"/>
        <v>-7.5532316230237182E-3</v>
      </c>
    </row>
    <row r="1581" spans="1:15" x14ac:dyDescent="0.35">
      <c r="A1581" t="s">
        <v>107</v>
      </c>
      <c r="B1581">
        <v>2021</v>
      </c>
      <c r="C1581">
        <v>552684</v>
      </c>
      <c r="D1581" s="8">
        <v>0.97165435552597001</v>
      </c>
      <c r="E1581" s="8">
        <v>0</v>
      </c>
      <c r="F1581">
        <v>2.8944180452892101</v>
      </c>
      <c r="G1581">
        <f t="shared" si="124"/>
        <v>2.978855627855876</v>
      </c>
      <c r="H1581">
        <f t="shared" si="126"/>
        <v>2.7193353602441572E-2</v>
      </c>
      <c r="I1581">
        <f t="shared" si="125"/>
        <v>1</v>
      </c>
      <c r="J1581" t="str">
        <f t="shared" si="127"/>
        <v/>
      </c>
      <c r="K1581">
        <v>5.6162504732609003E-2</v>
      </c>
      <c r="L1581">
        <v>1.2572892010212E-2</v>
      </c>
      <c r="M1581">
        <v>-5.01622929424047E-2</v>
      </c>
      <c r="N1581">
        <v>-1.8058786168694399E-2</v>
      </c>
      <c r="O1581">
        <f t="shared" si="128"/>
        <v>-9.4132195226847883E-3</v>
      </c>
    </row>
    <row r="1582" spans="1:15" x14ac:dyDescent="0.35">
      <c r="A1582" t="s">
        <v>107</v>
      </c>
      <c r="B1582">
        <v>2022</v>
      </c>
      <c r="C1582">
        <v>552687.6875</v>
      </c>
      <c r="D1582" s="8">
        <v>0.95753943920135498</v>
      </c>
      <c r="E1582" s="8">
        <v>2E-3</v>
      </c>
      <c r="F1582">
        <v>2.9055527824416498</v>
      </c>
      <c r="G1582">
        <f t="shared" si="124"/>
        <v>3.0343948912068357</v>
      </c>
      <c r="H1582">
        <f t="shared" si="126"/>
        <v>1.8644496507853825E-2</v>
      </c>
      <c r="I1582">
        <f t="shared" si="125"/>
        <v>1</v>
      </c>
      <c r="J1582" t="str">
        <f t="shared" si="127"/>
        <v/>
      </c>
      <c r="K1582">
        <v>-5.01622929424047E-2</v>
      </c>
      <c r="L1582">
        <v>-1.75800826400518E-2</v>
      </c>
      <c r="M1582">
        <v>-2.24928211271763E-2</v>
      </c>
      <c r="N1582">
        <v>-2.93389335274699E-3</v>
      </c>
      <c r="O1582">
        <f t="shared" si="128"/>
        <v>-6.0728433076292221E-3</v>
      </c>
    </row>
    <row r="1583" spans="1:15" x14ac:dyDescent="0.35">
      <c r="A1583" t="s">
        <v>108</v>
      </c>
      <c r="B1583">
        <v>2006</v>
      </c>
      <c r="C1583">
        <v>366818.59375</v>
      </c>
      <c r="D1583" s="8">
        <v>0.89290577173232999</v>
      </c>
      <c r="E1583" s="8">
        <v>8.0000000000000002E-3</v>
      </c>
      <c r="F1583">
        <v>2.31040852064192</v>
      </c>
      <c r="G1583">
        <f t="shared" si="124"/>
        <v>2.5875166157336933</v>
      </c>
      <c r="H1583">
        <f t="shared" si="126"/>
        <v>-0.14727096884064772</v>
      </c>
      <c r="I1583">
        <f t="shared" si="125"/>
        <v>0</v>
      </c>
      <c r="J1583" t="str">
        <f t="shared" si="127"/>
        <v/>
      </c>
      <c r="K1583">
        <v>2.98861205875873E-2</v>
      </c>
      <c r="L1583">
        <v>2.35230810940266E-2</v>
      </c>
      <c r="M1583">
        <v>-6.260909974575E-3</v>
      </c>
      <c r="N1583">
        <v>-5.3391540423034997E-3</v>
      </c>
      <c r="O1583" t="str">
        <f t="shared" si="128"/>
        <v/>
      </c>
    </row>
    <row r="1584" spans="1:15" x14ac:dyDescent="0.35">
      <c r="A1584" t="s">
        <v>108</v>
      </c>
      <c r="B1584">
        <v>2007</v>
      </c>
      <c r="C1584">
        <v>369602.28125</v>
      </c>
      <c r="D1584" s="8">
        <v>0.86696600914001498</v>
      </c>
      <c r="E1584" s="8">
        <v>2.1000000000000001E-2</v>
      </c>
      <c r="F1584">
        <v>2.3153998491135401</v>
      </c>
      <c r="G1584">
        <f t="shared" si="124"/>
        <v>2.6706927661561908</v>
      </c>
      <c r="H1584">
        <f t="shared" si="126"/>
        <v>3.2145165722506031E-2</v>
      </c>
      <c r="I1584">
        <f t="shared" si="125"/>
        <v>1</v>
      </c>
      <c r="J1584" t="str">
        <f t="shared" si="127"/>
        <v/>
      </c>
      <c r="K1584">
        <v>-6.260909974575E-3</v>
      </c>
      <c r="L1584">
        <v>-5.3391540423034997E-3</v>
      </c>
      <c r="M1584">
        <v>-5.3518020838499103E-2</v>
      </c>
      <c r="N1584">
        <v>-2.4007216561585699E-2</v>
      </c>
      <c r="O1584" t="str">
        <f t="shared" si="128"/>
        <v/>
      </c>
    </row>
    <row r="1585" spans="1:15" x14ac:dyDescent="0.35">
      <c r="A1585" t="s">
        <v>108</v>
      </c>
      <c r="B1585">
        <v>2008</v>
      </c>
      <c r="C1585">
        <v>370667.5</v>
      </c>
      <c r="D1585" s="8">
        <v>0.85133826732635498</v>
      </c>
      <c r="E1585" s="8">
        <v>5.3999999999999999E-2</v>
      </c>
      <c r="F1585">
        <v>2.35151884835915</v>
      </c>
      <c r="G1585">
        <f t="shared" si="124"/>
        <v>2.7621439545342445</v>
      </c>
      <c r="H1585">
        <f t="shared" si="126"/>
        <v>3.4242496754756102E-2</v>
      </c>
      <c r="I1585">
        <f t="shared" si="125"/>
        <v>1</v>
      </c>
      <c r="J1585" t="str">
        <f t="shared" si="127"/>
        <v/>
      </c>
      <c r="K1585">
        <v>-5.3518020838499103E-2</v>
      </c>
      <c r="L1585">
        <v>-2.4007216561585699E-2</v>
      </c>
      <c r="M1585">
        <v>-2.3293749153613999E-2</v>
      </c>
      <c r="N1585">
        <v>3.2729525119066499E-3</v>
      </c>
      <c r="O1585" t="str">
        <f t="shared" si="128"/>
        <v/>
      </c>
    </row>
    <row r="1586" spans="1:15" x14ac:dyDescent="0.35">
      <c r="A1586" t="s">
        <v>108</v>
      </c>
      <c r="B1586">
        <v>2009</v>
      </c>
      <c r="C1586">
        <v>372779.125</v>
      </c>
      <c r="D1586" s="8">
        <v>0.87245357036590598</v>
      </c>
      <c r="E1586" s="8">
        <v>2.5999999999999999E-2</v>
      </c>
      <c r="F1586">
        <v>2.3855666650719898</v>
      </c>
      <c r="G1586">
        <f t="shared" si="124"/>
        <v>2.734319333545149</v>
      </c>
      <c r="H1586">
        <f t="shared" si="126"/>
        <v>-1.007355932460352E-2</v>
      </c>
      <c r="I1586">
        <f t="shared" si="125"/>
        <v>0</v>
      </c>
      <c r="J1586" t="str">
        <f t="shared" si="127"/>
        <v/>
      </c>
      <c r="K1586">
        <v>-2.3293749153613999E-2</v>
      </c>
      <c r="L1586">
        <v>3.2729525119066499E-3</v>
      </c>
      <c r="M1586">
        <v>-1.0817013852298199E-2</v>
      </c>
      <c r="N1586">
        <v>-1.3569050934165701E-3</v>
      </c>
      <c r="O1586" t="str">
        <f t="shared" si="128"/>
        <v/>
      </c>
    </row>
    <row r="1587" spans="1:15" x14ac:dyDescent="0.35">
      <c r="A1587" t="s">
        <v>108</v>
      </c>
      <c r="B1587">
        <v>2010</v>
      </c>
      <c r="C1587">
        <v>375905.90625</v>
      </c>
      <c r="D1587" s="8">
        <v>0.88288021087646495</v>
      </c>
      <c r="E1587" s="8">
        <v>1.7000000000000001E-2</v>
      </c>
      <c r="F1587">
        <v>2.5420845193781401</v>
      </c>
      <c r="G1587">
        <f t="shared" si="124"/>
        <v>2.8793085268663199</v>
      </c>
      <c r="H1587">
        <f t="shared" si="126"/>
        <v>5.3025698769860519E-2</v>
      </c>
      <c r="I1587">
        <f t="shared" si="125"/>
        <v>1</v>
      </c>
      <c r="J1587">
        <f t="shared" si="127"/>
        <v>3</v>
      </c>
      <c r="K1587">
        <v>-1.0817013852298199E-2</v>
      </c>
      <c r="L1587">
        <v>-1.3569050934165701E-3</v>
      </c>
      <c r="M1587">
        <v>-2.19942278862E-2</v>
      </c>
      <c r="N1587">
        <v>-7.1045337244870002E-4</v>
      </c>
      <c r="O1587">
        <f t="shared" si="128"/>
        <v>-4.2578386142849648E-3</v>
      </c>
    </row>
    <row r="1588" spans="1:15" x14ac:dyDescent="0.35">
      <c r="A1588" t="s">
        <v>108</v>
      </c>
      <c r="B1588">
        <v>2011</v>
      </c>
      <c r="C1588">
        <v>377381.8125</v>
      </c>
      <c r="D1588" s="8">
        <v>0.88615983724594105</v>
      </c>
      <c r="E1588" s="8">
        <v>3.0000000000000001E-3</v>
      </c>
      <c r="F1588">
        <v>2.3580517170611501</v>
      </c>
      <c r="G1588">
        <f t="shared" si="124"/>
        <v>2.660977870978265</v>
      </c>
      <c r="H1588">
        <f t="shared" si="126"/>
        <v>-7.5827461298728527E-2</v>
      </c>
      <c r="I1588">
        <f t="shared" si="125"/>
        <v>0</v>
      </c>
      <c r="J1588">
        <f t="shared" si="127"/>
        <v>3</v>
      </c>
      <c r="K1588">
        <v>-2.19942278862E-2</v>
      </c>
      <c r="L1588">
        <v>-7.1045337244870002E-4</v>
      </c>
      <c r="M1588">
        <v>-3.5896769762038998E-3</v>
      </c>
      <c r="N1588">
        <v>1.8485290929674901E-3</v>
      </c>
      <c r="O1588">
        <f t="shared" si="128"/>
        <v>-4.5434805564582015E-3</v>
      </c>
    </row>
    <row r="1589" spans="1:15" x14ac:dyDescent="0.35">
      <c r="A1589" t="s">
        <v>108</v>
      </c>
      <c r="B1589">
        <v>2012</v>
      </c>
      <c r="C1589">
        <v>378083.71875</v>
      </c>
      <c r="D1589" s="8">
        <v>0.89056706428527799</v>
      </c>
      <c r="E1589" s="8">
        <v>-4.0000000000000001E-3</v>
      </c>
      <c r="F1589">
        <v>2.2960672044134198</v>
      </c>
      <c r="G1589">
        <f t="shared" si="124"/>
        <v>2.5782080839202401</v>
      </c>
      <c r="H1589">
        <f t="shared" si="126"/>
        <v>-3.1105026449391615E-2</v>
      </c>
      <c r="I1589">
        <f t="shared" si="125"/>
        <v>0</v>
      </c>
      <c r="J1589">
        <f t="shared" si="127"/>
        <v>2</v>
      </c>
      <c r="K1589">
        <v>-3.5896769762038998E-3</v>
      </c>
      <c r="L1589">
        <v>1.7629303038119899E-3</v>
      </c>
      <c r="M1589">
        <v>1.1181336492299999E-2</v>
      </c>
      <c r="N1589">
        <v>5.0545651465653896E-3</v>
      </c>
      <c r="O1589">
        <f t="shared" si="128"/>
        <v>-7.1173711679875405E-3</v>
      </c>
    </row>
    <row r="1590" spans="1:15" x14ac:dyDescent="0.35">
      <c r="A1590" t="s">
        <v>108</v>
      </c>
      <c r="B1590">
        <v>2013</v>
      </c>
      <c r="C1590">
        <v>378644</v>
      </c>
      <c r="D1590" s="8">
        <v>0.88624626398086503</v>
      </c>
      <c r="E1590" s="8">
        <v>-1E-3</v>
      </c>
      <c r="F1590">
        <v>2.4473753148614601</v>
      </c>
      <c r="G1590">
        <f t="shared" si="124"/>
        <v>2.761507059977069</v>
      </c>
      <c r="H1590">
        <f t="shared" si="126"/>
        <v>7.1095493494116146E-2</v>
      </c>
      <c r="I1590">
        <f t="shared" si="125"/>
        <v>1</v>
      </c>
      <c r="J1590">
        <f t="shared" si="127"/>
        <v>2</v>
      </c>
      <c r="K1590">
        <v>1.1181336492299999E-2</v>
      </c>
      <c r="L1590">
        <v>5.0545651465653896E-3</v>
      </c>
      <c r="M1590">
        <v>-1.0489802513271499E-2</v>
      </c>
      <c r="N1590">
        <v>-1.2497826013714E-2</v>
      </c>
      <c r="O1590">
        <f t="shared" si="128"/>
        <v>-1.0631034802645357E-2</v>
      </c>
    </row>
    <row r="1591" spans="1:15" x14ac:dyDescent="0.35">
      <c r="A1591" t="s">
        <v>108</v>
      </c>
      <c r="B1591">
        <v>2014</v>
      </c>
      <c r="C1591">
        <v>379530.3125</v>
      </c>
      <c r="D1591" s="8">
        <v>0.88307219743728604</v>
      </c>
      <c r="E1591" s="8">
        <v>4.0000000000000001E-3</v>
      </c>
      <c r="F1591">
        <v>2.4520801785287301</v>
      </c>
      <c r="G1591">
        <f t="shared" si="124"/>
        <v>2.7767607061401929</v>
      </c>
      <c r="H1591">
        <f t="shared" si="126"/>
        <v>5.5236672700198497E-3</v>
      </c>
      <c r="I1591">
        <f t="shared" si="125"/>
        <v>1</v>
      </c>
      <c r="J1591">
        <f t="shared" si="127"/>
        <v>3</v>
      </c>
      <c r="K1591">
        <v>-1.0489802513271499E-2</v>
      </c>
      <c r="L1591">
        <v>-1.2497826013714E-2</v>
      </c>
      <c r="M1591">
        <v>1.5279444098472501E-2</v>
      </c>
      <c r="N1591">
        <v>-1.4984007924795E-2</v>
      </c>
      <c r="O1591">
        <f t="shared" si="128"/>
        <v>-6.331739388406199E-3</v>
      </c>
    </row>
    <row r="1592" spans="1:15" x14ac:dyDescent="0.35">
      <c r="A1592" t="s">
        <v>108</v>
      </c>
      <c r="B1592">
        <v>2015</v>
      </c>
      <c r="C1592">
        <v>380932.1875</v>
      </c>
      <c r="D1592" s="8">
        <v>0.88724523782730103</v>
      </c>
      <c r="E1592" s="8">
        <v>0.01</v>
      </c>
      <c r="F1592">
        <v>2.39947957913791</v>
      </c>
      <c r="G1592">
        <f t="shared" si="124"/>
        <v>2.7044152809586111</v>
      </c>
      <c r="H1592">
        <f t="shared" si="126"/>
        <v>-2.6053892588441596E-2</v>
      </c>
      <c r="I1592">
        <f t="shared" si="125"/>
        <v>0</v>
      </c>
      <c r="J1592">
        <f t="shared" si="127"/>
        <v>2</v>
      </c>
      <c r="K1592">
        <v>1.5279444098472501E-2</v>
      </c>
      <c r="L1592">
        <v>-1.4984007924795E-2</v>
      </c>
      <c r="M1592">
        <v>1.1014893919229499E-2</v>
      </c>
      <c r="N1592">
        <v>-2.13866308331489E-3</v>
      </c>
      <c r="O1592">
        <f t="shared" si="128"/>
        <v>1.1741822585464002E-3</v>
      </c>
    </row>
    <row r="1593" spans="1:15" x14ac:dyDescent="0.35">
      <c r="A1593" t="s">
        <v>108</v>
      </c>
      <c r="B1593">
        <v>2016</v>
      </c>
      <c r="C1593">
        <v>382814.3125</v>
      </c>
      <c r="D1593" s="8">
        <v>0.87878310680389404</v>
      </c>
      <c r="E1593" s="8">
        <v>1.9E-2</v>
      </c>
      <c r="F1593">
        <v>2.2893443242834399</v>
      </c>
      <c r="G1593">
        <f t="shared" si="124"/>
        <v>2.6051301015670543</v>
      </c>
      <c r="H1593">
        <f t="shared" si="126"/>
        <v>-3.6712253510253756E-2</v>
      </c>
      <c r="I1593">
        <f t="shared" si="125"/>
        <v>0</v>
      </c>
      <c r="J1593">
        <f t="shared" si="127"/>
        <v>2</v>
      </c>
      <c r="K1593">
        <v>1.1014893919229499E-2</v>
      </c>
      <c r="L1593">
        <v>-2.13866308331489E-3</v>
      </c>
      <c r="M1593">
        <v>-8.2313505038619002E-3</v>
      </c>
      <c r="N1593">
        <v>-1.10209239646792E-2</v>
      </c>
      <c r="O1593">
        <f t="shared" si="128"/>
        <v>3.5079671069979958E-3</v>
      </c>
    </row>
    <row r="1594" spans="1:15" x14ac:dyDescent="0.35">
      <c r="A1594" t="s">
        <v>108</v>
      </c>
      <c r="B1594">
        <v>2017</v>
      </c>
      <c r="C1594">
        <v>384045.90625</v>
      </c>
      <c r="D1594" s="8">
        <v>0.87301307916641202</v>
      </c>
      <c r="E1594" s="8">
        <v>1E-3</v>
      </c>
      <c r="F1594">
        <v>2.2685020552528399</v>
      </c>
      <c r="G1594">
        <f t="shared" si="124"/>
        <v>2.5984743062714442</v>
      </c>
      <c r="H1594">
        <f t="shared" si="126"/>
        <v>-2.5548801925886488E-3</v>
      </c>
      <c r="I1594">
        <f t="shared" si="125"/>
        <v>0</v>
      </c>
      <c r="J1594">
        <f t="shared" si="127"/>
        <v>2</v>
      </c>
      <c r="K1594">
        <v>-8.2313505038619002E-3</v>
      </c>
      <c r="L1594">
        <v>-1.10209239646792E-2</v>
      </c>
      <c r="M1594">
        <v>-3.3787300586699898E-3</v>
      </c>
      <c r="N1594">
        <v>-1.25137530267237E-2</v>
      </c>
      <c r="O1594">
        <f t="shared" si="128"/>
        <v>2.5033239275217369E-3</v>
      </c>
    </row>
    <row r="1595" spans="1:15" x14ac:dyDescent="0.35">
      <c r="A1595" t="s">
        <v>108</v>
      </c>
      <c r="B1595">
        <v>2018</v>
      </c>
      <c r="C1595">
        <v>384405.6875</v>
      </c>
      <c r="D1595" s="8">
        <v>0.87938779592514005</v>
      </c>
      <c r="E1595" s="8">
        <v>1E-3</v>
      </c>
      <c r="F1595">
        <v>2.3432864722512599</v>
      </c>
      <c r="G1595">
        <f t="shared" si="124"/>
        <v>2.6646793179407933</v>
      </c>
      <c r="H1595">
        <f t="shared" si="126"/>
        <v>2.5478416896238976E-2</v>
      </c>
      <c r="I1595">
        <f t="shared" si="125"/>
        <v>1</v>
      </c>
      <c r="J1595">
        <f t="shared" si="127"/>
        <v>2</v>
      </c>
      <c r="K1595">
        <v>-3.3787300586699898E-3</v>
      </c>
      <c r="L1595">
        <v>-1.25137530267237E-2</v>
      </c>
      <c r="M1595">
        <v>2.6799845665693298E-2</v>
      </c>
      <c r="N1595">
        <v>8.99865105748179E-3</v>
      </c>
      <c r="O1595">
        <f t="shared" si="128"/>
        <v>5.3743567317724146E-3</v>
      </c>
    </row>
    <row r="1596" spans="1:15" x14ac:dyDescent="0.35">
      <c r="A1596" t="s">
        <v>108</v>
      </c>
      <c r="B1596">
        <v>2019</v>
      </c>
      <c r="C1596">
        <v>385543.90625</v>
      </c>
      <c r="D1596" s="8">
        <v>0.88805359601974498</v>
      </c>
      <c r="E1596" s="8">
        <v>0</v>
      </c>
      <c r="F1596">
        <v>2.2101794645483901</v>
      </c>
      <c r="G1596">
        <f t="shared" si="124"/>
        <v>2.4887906253118186</v>
      </c>
      <c r="H1596">
        <f t="shared" si="126"/>
        <v>-6.6007452170603997E-2</v>
      </c>
      <c r="I1596">
        <f t="shared" si="125"/>
        <v>0</v>
      </c>
      <c r="J1596" t="str">
        <f t="shared" si="127"/>
        <v/>
      </c>
      <c r="K1596">
        <v>2.6799845665693298E-2</v>
      </c>
      <c r="L1596">
        <v>8.99865105748179E-3</v>
      </c>
      <c r="M1596">
        <v>4.1394790738820998E-2</v>
      </c>
      <c r="N1596">
        <v>2.2545600309968002E-2</v>
      </c>
      <c r="O1596">
        <f t="shared" si="128"/>
        <v>2.4935020133852958E-3</v>
      </c>
    </row>
    <row r="1597" spans="1:15" x14ac:dyDescent="0.35">
      <c r="A1597" t="s">
        <v>108</v>
      </c>
      <c r="B1597">
        <v>2020</v>
      </c>
      <c r="C1597">
        <v>385226.09375</v>
      </c>
      <c r="D1597" s="8">
        <v>0.91213846206664995</v>
      </c>
      <c r="E1597" s="8">
        <v>5.0000000000000001E-3</v>
      </c>
      <c r="F1597">
        <v>2.0425949440147702</v>
      </c>
      <c r="G1597">
        <f t="shared" si="124"/>
        <v>2.239347455414634</v>
      </c>
      <c r="H1597">
        <f t="shared" si="126"/>
        <v>-0.10022665922969398</v>
      </c>
      <c r="I1597">
        <f t="shared" si="125"/>
        <v>0</v>
      </c>
      <c r="J1597" t="str">
        <f t="shared" si="127"/>
        <v/>
      </c>
      <c r="K1597">
        <v>4.1394790738820998E-2</v>
      </c>
      <c r="L1597">
        <v>2.2545600309968002E-2</v>
      </c>
      <c r="M1597">
        <v>5.3119873881339999E-2</v>
      </c>
      <c r="N1597">
        <v>9.5302611589430895E-3</v>
      </c>
      <c r="O1597">
        <f t="shared" si="128"/>
        <v>-7.9403265379369044E-3</v>
      </c>
    </row>
    <row r="1598" spans="1:15" x14ac:dyDescent="0.35">
      <c r="A1598" t="s">
        <v>108</v>
      </c>
      <c r="B1598">
        <v>2021</v>
      </c>
      <c r="C1598">
        <v>384827.09375</v>
      </c>
      <c r="D1598" s="8">
        <v>0.91473996639251698</v>
      </c>
      <c r="E1598" s="8">
        <v>0</v>
      </c>
      <c r="F1598">
        <v>2.26578403612152</v>
      </c>
      <c r="G1598">
        <f t="shared" si="124"/>
        <v>2.476970635772207</v>
      </c>
      <c r="H1598">
        <f t="shared" si="126"/>
        <v>0.10611268911530969</v>
      </c>
      <c r="I1598">
        <f t="shared" si="125"/>
        <v>1</v>
      </c>
      <c r="J1598" t="str">
        <f t="shared" si="127"/>
        <v/>
      </c>
      <c r="K1598">
        <v>5.3119873881339999E-2</v>
      </c>
      <c r="L1598">
        <v>9.5302611589430895E-3</v>
      </c>
      <c r="M1598">
        <v>-4.8147646635770799E-2</v>
      </c>
      <c r="N1598">
        <v>-1.6044139862060498E-2</v>
      </c>
      <c r="O1598">
        <f t="shared" si="128"/>
        <v>-1.0331139247864451E-2</v>
      </c>
    </row>
    <row r="1599" spans="1:15" x14ac:dyDescent="0.35">
      <c r="A1599" t="s">
        <v>108</v>
      </c>
      <c r="B1599">
        <v>2022</v>
      </c>
      <c r="C1599">
        <v>385780.6875</v>
      </c>
      <c r="D1599" s="8">
        <v>0.88976633548736594</v>
      </c>
      <c r="E1599" s="8">
        <v>0</v>
      </c>
      <c r="F1599">
        <v>2.2317722143993501</v>
      </c>
      <c r="G1599">
        <f t="shared" si="124"/>
        <v>2.5082677613071369</v>
      </c>
      <c r="H1599">
        <f t="shared" si="126"/>
        <v>1.2635242857924611E-2</v>
      </c>
      <c r="I1599">
        <f t="shared" si="125"/>
        <v>1</v>
      </c>
      <c r="J1599" t="str">
        <f t="shared" si="127"/>
        <v/>
      </c>
      <c r="K1599">
        <v>-4.8147646635770799E-2</v>
      </c>
      <c r="L1599">
        <v>-1.5565436333417899E-2</v>
      </c>
      <c r="M1599">
        <v>-1.7717516779899599E-2</v>
      </c>
      <c r="N1599">
        <v>1.8414109945296901E-3</v>
      </c>
      <c r="O1599">
        <f t="shared" si="128"/>
        <v>-7.6580336783081031E-3</v>
      </c>
    </row>
    <row r="1600" spans="1:15" x14ac:dyDescent="0.35">
      <c r="A1600" t="s">
        <v>109</v>
      </c>
      <c r="B1600">
        <v>2006</v>
      </c>
      <c r="C1600">
        <v>313057.40625</v>
      </c>
      <c r="D1600" s="8">
        <v>0.94002360105514504</v>
      </c>
      <c r="E1600" s="8">
        <v>0</v>
      </c>
      <c r="F1600">
        <v>2.39099129841324</v>
      </c>
      <c r="G1600">
        <f t="shared" si="124"/>
        <v>2.5435439022269573</v>
      </c>
      <c r="H1600">
        <f t="shared" si="126"/>
        <v>1.4063945430386138E-2</v>
      </c>
      <c r="I1600">
        <f t="shared" si="125"/>
        <v>1</v>
      </c>
      <c r="J1600" t="str">
        <f t="shared" si="127"/>
        <v/>
      </c>
      <c r="K1600">
        <v>2.6916054666042299E-2</v>
      </c>
      <c r="L1600">
        <v>2.0553015172481499E-2</v>
      </c>
      <c r="M1600">
        <v>-6.3273784667252997E-3</v>
      </c>
      <c r="N1600">
        <v>-5.4056225344538003E-3</v>
      </c>
      <c r="O1600" t="str">
        <f t="shared" si="128"/>
        <v/>
      </c>
    </row>
    <row r="1601" spans="1:15" x14ac:dyDescent="0.35">
      <c r="A1601" t="s">
        <v>109</v>
      </c>
      <c r="B1601">
        <v>2007</v>
      </c>
      <c r="C1601">
        <v>314985.90625</v>
      </c>
      <c r="D1601" s="8">
        <v>0.90183192491531405</v>
      </c>
      <c r="E1601" s="8">
        <v>3.7999999999999999E-2</v>
      </c>
      <c r="F1601">
        <v>2.4637809790400702</v>
      </c>
      <c r="G1601">
        <f t="shared" si="124"/>
        <v>2.7319735651090751</v>
      </c>
      <c r="H1601">
        <f t="shared" si="126"/>
        <v>7.4081545326244003E-2</v>
      </c>
      <c r="I1601">
        <f t="shared" si="125"/>
        <v>1</v>
      </c>
      <c r="J1601" t="str">
        <f t="shared" si="127"/>
        <v/>
      </c>
      <c r="K1601">
        <v>-6.3273784667252997E-3</v>
      </c>
      <c r="L1601">
        <v>-5.4056225344538003E-3</v>
      </c>
      <c r="M1601">
        <v>-5.9134346723556497E-2</v>
      </c>
      <c r="N1601">
        <v>-2.9623542446643E-2</v>
      </c>
      <c r="O1601" t="str">
        <f t="shared" si="128"/>
        <v/>
      </c>
    </row>
    <row r="1602" spans="1:15" x14ac:dyDescent="0.35">
      <c r="A1602" t="s">
        <v>109</v>
      </c>
      <c r="B1602">
        <v>2008</v>
      </c>
      <c r="C1602">
        <v>317115.5</v>
      </c>
      <c r="D1602" s="8">
        <v>0.90968579053878795</v>
      </c>
      <c r="E1602" s="8">
        <v>0.01</v>
      </c>
      <c r="F1602">
        <v>2.4356668563839801</v>
      </c>
      <c r="G1602">
        <f t="shared" si="124"/>
        <v>2.6774814795572275</v>
      </c>
      <c r="H1602">
        <f t="shared" si="126"/>
        <v>-1.9946051545953414E-2</v>
      </c>
      <c r="I1602">
        <f t="shared" si="125"/>
        <v>0</v>
      </c>
      <c r="J1602" t="str">
        <f t="shared" si="127"/>
        <v/>
      </c>
      <c r="K1602">
        <v>-5.9134346723556497E-2</v>
      </c>
      <c r="L1602">
        <v>-2.9623542446643E-2</v>
      </c>
      <c r="M1602">
        <v>-2.89905040562153E-2</v>
      </c>
      <c r="N1602">
        <v>-2.4238023906946399E-3</v>
      </c>
      <c r="O1602" t="str">
        <f t="shared" si="128"/>
        <v/>
      </c>
    </row>
    <row r="1603" spans="1:15" x14ac:dyDescent="0.35">
      <c r="A1603" t="s">
        <v>109</v>
      </c>
      <c r="B1603">
        <v>2009</v>
      </c>
      <c r="C1603">
        <v>319430.3125</v>
      </c>
      <c r="D1603" s="8">
        <v>0.91963481903076205</v>
      </c>
      <c r="E1603" s="8">
        <v>0</v>
      </c>
      <c r="F1603">
        <v>2.4023365913255899</v>
      </c>
      <c r="G1603">
        <f t="shared" ref="G1603:G1666" si="129">F1603/D1603</f>
        <v>2.6122723298553479</v>
      </c>
      <c r="H1603">
        <f t="shared" si="126"/>
        <v>-2.4354659481216401E-2</v>
      </c>
      <c r="I1603">
        <f t="shared" ref="I1603:I1666" si="130">IF(H1603&gt;0,1,0)</f>
        <v>0</v>
      </c>
      <c r="J1603" t="str">
        <f t="shared" si="127"/>
        <v/>
      </c>
      <c r="K1603">
        <v>-2.89905040562153E-2</v>
      </c>
      <c r="L1603">
        <v>-2.4238023906946399E-3</v>
      </c>
      <c r="M1603">
        <v>-1.2138720773160401E-2</v>
      </c>
      <c r="N1603">
        <v>-2.6786120142787699E-3</v>
      </c>
      <c r="O1603" t="str">
        <f t="shared" si="128"/>
        <v/>
      </c>
    </row>
    <row r="1604" spans="1:15" x14ac:dyDescent="0.35">
      <c r="A1604" t="s">
        <v>109</v>
      </c>
      <c r="B1604">
        <v>2010</v>
      </c>
      <c r="C1604">
        <v>323076.8125</v>
      </c>
      <c r="D1604" s="8">
        <v>0.93715173006057695</v>
      </c>
      <c r="E1604" s="8">
        <v>0</v>
      </c>
      <c r="F1604">
        <v>2.4835270674194598</v>
      </c>
      <c r="G1604">
        <f t="shared" si="129"/>
        <v>2.6500800113327712</v>
      </c>
      <c r="H1604">
        <f t="shared" ref="H1604:H1667" si="131">+G1604/G1603-1</f>
        <v>1.4473101079594208E-2</v>
      </c>
      <c r="I1604">
        <f t="shared" si="130"/>
        <v>1</v>
      </c>
      <c r="J1604">
        <f t="shared" si="127"/>
        <v>3</v>
      </c>
      <c r="K1604">
        <v>-1.2138720773160401E-2</v>
      </c>
      <c r="L1604">
        <v>-2.6786120142787699E-3</v>
      </c>
      <c r="M1604">
        <v>-2.3634405218064699E-2</v>
      </c>
      <c r="N1604">
        <v>-2.3506307043134902E-3</v>
      </c>
      <c r="O1604">
        <f t="shared" si="128"/>
        <v>1.3548798952251662E-2</v>
      </c>
    </row>
    <row r="1605" spans="1:15" x14ac:dyDescent="0.35">
      <c r="A1605" t="s">
        <v>109</v>
      </c>
      <c r="B1605">
        <v>2011</v>
      </c>
      <c r="C1605">
        <v>326446.40625</v>
      </c>
      <c r="D1605" s="8">
        <v>0.94464713335037198</v>
      </c>
      <c r="E1605" s="8">
        <v>0</v>
      </c>
      <c r="F1605">
        <v>2.5225658997409699</v>
      </c>
      <c r="G1605">
        <f t="shared" si="129"/>
        <v>2.6703790343323299</v>
      </c>
      <c r="H1605">
        <f t="shared" si="131"/>
        <v>7.6597774077582503E-3</v>
      </c>
      <c r="I1605">
        <f t="shared" si="130"/>
        <v>1</v>
      </c>
      <c r="J1605">
        <f t="shared" si="127"/>
        <v>3</v>
      </c>
      <c r="K1605">
        <v>-2.3634405218064699E-2</v>
      </c>
      <c r="L1605">
        <v>-2.3506307043134902E-3</v>
      </c>
      <c r="M1605">
        <v>3.0218397229909901E-3</v>
      </c>
      <c r="N1605">
        <v>8.4600457921623993E-3</v>
      </c>
      <c r="O1605">
        <f t="shared" si="128"/>
        <v>1.5058235637843601E-2</v>
      </c>
    </row>
    <row r="1606" spans="1:15" x14ac:dyDescent="0.35">
      <c r="A1606" t="s">
        <v>109</v>
      </c>
      <c r="B1606">
        <v>2012</v>
      </c>
      <c r="C1606">
        <v>330099.90625</v>
      </c>
      <c r="D1606" s="8">
        <v>0.95325469970703103</v>
      </c>
      <c r="E1606" s="8">
        <v>0</v>
      </c>
      <c r="F1606">
        <v>2.5850918234189502</v>
      </c>
      <c r="G1606">
        <f t="shared" si="129"/>
        <v>2.7118584615564347</v>
      </c>
      <c r="H1606">
        <f t="shared" si="131"/>
        <v>1.5533160907427401E-2</v>
      </c>
      <c r="I1606">
        <f t="shared" si="130"/>
        <v>1</v>
      </c>
      <c r="J1606">
        <f t="shared" si="127"/>
        <v>3</v>
      </c>
      <c r="K1606">
        <v>3.0218397229909901E-3</v>
      </c>
      <c r="L1606">
        <v>8.3744470030069004E-3</v>
      </c>
      <c r="M1606">
        <v>1.8273827284574499E-2</v>
      </c>
      <c r="N1606">
        <v>1.21470559388399E-2</v>
      </c>
      <c r="O1606">
        <f t="shared" si="128"/>
        <v>1.40486989170313E-2</v>
      </c>
    </row>
    <row r="1607" spans="1:15" x14ac:dyDescent="0.35">
      <c r="A1607" t="s">
        <v>109</v>
      </c>
      <c r="B1607">
        <v>2013</v>
      </c>
      <c r="C1607">
        <v>335642</v>
      </c>
      <c r="D1607" s="8">
        <v>0.94411510229110696</v>
      </c>
      <c r="E1607" s="8">
        <v>3.5000000000000003E-2</v>
      </c>
      <c r="F1607">
        <v>2.2852764753647401</v>
      </c>
      <c r="G1607">
        <f t="shared" si="129"/>
        <v>2.4205485854627304</v>
      </c>
      <c r="H1607">
        <f t="shared" si="131"/>
        <v>-0.10742075230818315</v>
      </c>
      <c r="I1607">
        <f t="shared" si="130"/>
        <v>0</v>
      </c>
      <c r="J1607">
        <f t="shared" ref="J1607:J1670" si="132">IF(AND(B1607&gt;=2010,B1607&lt;=2018),SUM(I1603:I1607),"")</f>
        <v>3</v>
      </c>
      <c r="K1607">
        <v>1.8273827284574499E-2</v>
      </c>
      <c r="L1607">
        <v>1.21470559388399E-2</v>
      </c>
      <c r="M1607">
        <v>1.7386390656232799E-2</v>
      </c>
      <c r="N1607">
        <v>1.5378367155790201E-2</v>
      </c>
      <c r="O1607">
        <f t="shared" ref="O1607:O1670" si="133">IF(B1607&gt;=2010,AVERAGE(N1607:N1611),"")</f>
        <v>7.7612640336156185E-3</v>
      </c>
    </row>
    <row r="1608" spans="1:15" x14ac:dyDescent="0.35">
      <c r="A1608" t="s">
        <v>109</v>
      </c>
      <c r="B1608">
        <v>2014</v>
      </c>
      <c r="C1608">
        <v>342521.09375</v>
      </c>
      <c r="D1608" s="8">
        <v>0.96272480487823497</v>
      </c>
      <c r="E1608" s="8">
        <v>0</v>
      </c>
      <c r="F1608">
        <v>2.7365487281482199</v>
      </c>
      <c r="G1608">
        <f t="shared" si="129"/>
        <v>2.8425036046457093</v>
      </c>
      <c r="H1608">
        <f t="shared" si="131"/>
        <v>0.17432206141911211</v>
      </c>
      <c r="I1608">
        <f t="shared" si="130"/>
        <v>1</v>
      </c>
      <c r="J1608">
        <f t="shared" si="132"/>
        <v>4</v>
      </c>
      <c r="K1608">
        <v>1.7386390656232799E-2</v>
      </c>
      <c r="L1608">
        <v>1.5378367155790201E-2</v>
      </c>
      <c r="M1608">
        <v>6.4372608602046993E-2</v>
      </c>
      <c r="N1608">
        <v>3.4109156578779297E-2</v>
      </c>
      <c r="O1608">
        <f t="shared" si="133"/>
        <v>-2.7324116090312019E-3</v>
      </c>
    </row>
    <row r="1609" spans="1:15" x14ac:dyDescent="0.35">
      <c r="A1609" t="s">
        <v>109</v>
      </c>
      <c r="B1609">
        <v>2015</v>
      </c>
      <c r="C1609">
        <v>349982.59375</v>
      </c>
      <c r="D1609" s="8">
        <v>0.95340907573699996</v>
      </c>
      <c r="E1609" s="8">
        <v>6.7000000000000004E-2</v>
      </c>
      <c r="F1609">
        <v>2.76127120926474</v>
      </c>
      <c r="G1609">
        <f t="shared" si="129"/>
        <v>2.8962082274392391</v>
      </c>
      <c r="H1609">
        <f t="shared" si="131"/>
        <v>1.8893422933837778E-2</v>
      </c>
      <c r="I1609">
        <f t="shared" si="130"/>
        <v>1</v>
      </c>
      <c r="J1609">
        <f t="shared" si="132"/>
        <v>4</v>
      </c>
      <c r="K1609">
        <v>6.4372608602046993E-2</v>
      </c>
      <c r="L1609">
        <v>3.4109156578779297E-2</v>
      </c>
      <c r="M1609">
        <v>1.8350109726190601E-2</v>
      </c>
      <c r="N1609">
        <v>5.1965527236462004E-3</v>
      </c>
      <c r="O1609">
        <f t="shared" si="133"/>
        <v>-9.023651690222281E-3</v>
      </c>
    </row>
    <row r="1610" spans="1:15" x14ac:dyDescent="0.35">
      <c r="A1610" t="s">
        <v>109</v>
      </c>
      <c r="B1610">
        <v>2016</v>
      </c>
      <c r="C1610">
        <v>357472</v>
      </c>
      <c r="D1610" s="8">
        <v>0.95556962490081798</v>
      </c>
      <c r="E1610" s="8">
        <v>1E-3</v>
      </c>
      <c r="F1610">
        <v>2.4474798703335701</v>
      </c>
      <c r="G1610">
        <f t="shared" si="129"/>
        <v>2.5612784317915116</v>
      </c>
      <c r="H1610">
        <f t="shared" si="131"/>
        <v>-0.11564423872376905</v>
      </c>
      <c r="I1610">
        <f t="shared" si="130"/>
        <v>0</v>
      </c>
      <c r="J1610">
        <f t="shared" si="132"/>
        <v>3</v>
      </c>
      <c r="K1610">
        <v>1.8350109726190601E-2</v>
      </c>
      <c r="L1610">
        <v>5.1965527236462004E-3</v>
      </c>
      <c r="M1610">
        <v>6.2019356489181896E-3</v>
      </c>
      <c r="N1610">
        <v>3.4123621881008998E-3</v>
      </c>
      <c r="O1610">
        <f t="shared" si="133"/>
        <v>3.5977459489367883E-2</v>
      </c>
    </row>
    <row r="1611" spans="1:15" x14ac:dyDescent="0.35">
      <c r="A1611" t="s">
        <v>109</v>
      </c>
      <c r="B1611">
        <v>2017</v>
      </c>
      <c r="C1611">
        <v>362765.40625</v>
      </c>
      <c r="D1611" s="8">
        <v>0.94744086265563998</v>
      </c>
      <c r="E1611" s="8">
        <v>0</v>
      </c>
      <c r="F1611">
        <v>2.5672789955747599</v>
      </c>
      <c r="G1611">
        <f t="shared" si="129"/>
        <v>2.7096984062717926</v>
      </c>
      <c r="H1611">
        <f t="shared" si="131"/>
        <v>5.7947614221881771E-2</v>
      </c>
      <c r="I1611">
        <f t="shared" si="130"/>
        <v>1</v>
      </c>
      <c r="J1611">
        <f t="shared" si="132"/>
        <v>3</v>
      </c>
      <c r="K1611">
        <v>6.2019356489181896E-3</v>
      </c>
      <c r="L1611">
        <v>3.4123621881008998E-3</v>
      </c>
      <c r="M1611">
        <v>-1.01550955101848E-2</v>
      </c>
      <c r="N1611">
        <v>-1.9290118478238499E-2</v>
      </c>
      <c r="O1611">
        <f t="shared" si="133"/>
        <v>3.9212254225276383E-2</v>
      </c>
    </row>
    <row r="1612" spans="1:15" x14ac:dyDescent="0.35">
      <c r="A1612" t="s">
        <v>109</v>
      </c>
      <c r="B1612">
        <v>2018</v>
      </c>
      <c r="C1612">
        <v>367017.3125</v>
      </c>
      <c r="D1612" s="8">
        <v>0.88993507623672496</v>
      </c>
      <c r="E1612" s="8">
        <v>9.5000000000000001E-2</v>
      </c>
      <c r="F1612">
        <v>2.3716902356902301</v>
      </c>
      <c r="G1612">
        <f t="shared" si="129"/>
        <v>2.6650148971758862</v>
      </c>
      <c r="H1612">
        <f t="shared" si="131"/>
        <v>-1.6490214922990409E-2</v>
      </c>
      <c r="I1612">
        <f t="shared" si="130"/>
        <v>0</v>
      </c>
      <c r="J1612">
        <f t="shared" si="132"/>
        <v>3</v>
      </c>
      <c r="K1612">
        <v>-1.01550955101848E-2</v>
      </c>
      <c r="L1612">
        <v>-1.9290118478238499E-2</v>
      </c>
      <c r="M1612">
        <v>-1.9288816449232301E-2</v>
      </c>
      <c r="N1612">
        <v>-3.7090011057443903E-2</v>
      </c>
      <c r="O1612">
        <f t="shared" si="133"/>
        <v>3.110779260750856E-2</v>
      </c>
    </row>
    <row r="1613" spans="1:15" x14ac:dyDescent="0.35">
      <c r="A1613" t="s">
        <v>109</v>
      </c>
      <c r="B1613">
        <v>2019</v>
      </c>
      <c r="C1613">
        <v>372763.6875</v>
      </c>
      <c r="D1613" s="8">
        <v>0.88532000780105602</v>
      </c>
      <c r="E1613" s="8">
        <v>6.2E-2</v>
      </c>
      <c r="F1613">
        <v>2.2872322623828598</v>
      </c>
      <c r="G1613">
        <f t="shared" si="129"/>
        <v>2.5835090613888321</v>
      </c>
      <c r="H1613">
        <f t="shared" si="131"/>
        <v>-3.0583632336699473E-2</v>
      </c>
      <c r="I1613">
        <f t="shared" si="130"/>
        <v>0</v>
      </c>
      <c r="J1613" t="str">
        <f t="shared" si="132"/>
        <v/>
      </c>
      <c r="K1613">
        <v>-1.9288816449232301E-2</v>
      </c>
      <c r="L1613">
        <v>-3.7090011057443903E-2</v>
      </c>
      <c r="M1613">
        <v>2.1502146601676899E-2</v>
      </c>
      <c r="N1613">
        <v>2.6529561728238899E-3</v>
      </c>
      <c r="O1613">
        <f t="shared" si="133"/>
        <v>3.8693543337285474E-2</v>
      </c>
    </row>
    <row r="1614" spans="1:15" x14ac:dyDescent="0.35">
      <c r="A1614" t="s">
        <v>109</v>
      </c>
      <c r="B1614">
        <v>2020</v>
      </c>
      <c r="C1614">
        <v>379815.3125</v>
      </c>
      <c r="D1614" s="8">
        <v>0.918101966381073</v>
      </c>
      <c r="E1614" s="8">
        <v>2.9000000000000001E-2</v>
      </c>
      <c r="F1614">
        <v>2.7136935640000899</v>
      </c>
      <c r="G1614">
        <f t="shared" si="129"/>
        <v>2.955764896895698</v>
      </c>
      <c r="H1614">
        <f t="shared" si="131"/>
        <v>0.14408923160762988</v>
      </c>
      <c r="I1614">
        <f t="shared" si="130"/>
        <v>1</v>
      </c>
      <c r="J1614" t="str">
        <f t="shared" si="132"/>
        <v/>
      </c>
      <c r="K1614">
        <v>2.1502146601676899E-2</v>
      </c>
      <c r="L1614">
        <v>2.6529561728238899E-3</v>
      </c>
      <c r="M1614">
        <v>0.27379172134399399</v>
      </c>
      <c r="N1614">
        <v>0.23020210862159701</v>
      </c>
      <c r="O1614">
        <f t="shared" si="133"/>
        <v>3.8542323838919361E-2</v>
      </c>
    </row>
    <row r="1615" spans="1:15" x14ac:dyDescent="0.35">
      <c r="A1615" t="s">
        <v>109</v>
      </c>
      <c r="B1615">
        <v>2021</v>
      </c>
      <c r="C1615">
        <v>390527.8125</v>
      </c>
      <c r="D1615" s="8">
        <v>0.96154367923736594</v>
      </c>
      <c r="E1615" s="8">
        <v>7.1999999999999995E-2</v>
      </c>
      <c r="F1615">
        <v>2.63985104091888</v>
      </c>
      <c r="G1615">
        <f t="shared" si="129"/>
        <v>2.7454301847344453</v>
      </c>
      <c r="H1615">
        <f t="shared" si="131"/>
        <v>-7.1160839748167226E-2</v>
      </c>
      <c r="I1615">
        <f t="shared" si="130"/>
        <v>0</v>
      </c>
      <c r="J1615" t="str">
        <f t="shared" si="132"/>
        <v/>
      </c>
      <c r="K1615">
        <v>0.27379172134399399</v>
      </c>
      <c r="L1615">
        <v>0.23020210862159701</v>
      </c>
      <c r="M1615">
        <v>-1.2517170906066801E-2</v>
      </c>
      <c r="N1615">
        <v>1.9586335867643401E-2</v>
      </c>
      <c r="O1615">
        <f t="shared" si="133"/>
        <v>-6.5332361496984919E-3</v>
      </c>
    </row>
    <row r="1616" spans="1:15" x14ac:dyDescent="0.35">
      <c r="A1616" t="s">
        <v>109</v>
      </c>
      <c r="B1616">
        <v>2022</v>
      </c>
      <c r="C1616">
        <v>402825.90625</v>
      </c>
      <c r="D1616" s="8">
        <v>0.92272299528121904</v>
      </c>
      <c r="E1616" s="8">
        <v>9.4E-2</v>
      </c>
      <c r="F1616">
        <v>2.3131996679328801</v>
      </c>
      <c r="G1616">
        <f t="shared" si="129"/>
        <v>2.5069275175350803</v>
      </c>
      <c r="H1616">
        <f t="shared" si="131"/>
        <v>-8.6872603253771885E-2</v>
      </c>
      <c r="I1616">
        <f t="shared" si="130"/>
        <v>0</v>
      </c>
      <c r="J1616" t="str">
        <f t="shared" si="132"/>
        <v/>
      </c>
      <c r="K1616">
        <v>-1.2517170906066801E-2</v>
      </c>
      <c r="L1616">
        <v>2.0065039396286E-2</v>
      </c>
      <c r="M1616">
        <v>-7.9371354341506994E-2</v>
      </c>
      <c r="N1616">
        <v>-5.9812426567077602E-2</v>
      </c>
      <c r="O1616">
        <f t="shared" si="133"/>
        <v>-7.8857144806534323E-3</v>
      </c>
    </row>
    <row r="1617" spans="1:15" x14ac:dyDescent="0.35">
      <c r="A1617" t="s">
        <v>110</v>
      </c>
      <c r="B1617">
        <v>2006</v>
      </c>
      <c r="C1617">
        <v>1563051</v>
      </c>
      <c r="D1617" s="8">
        <v>0.93744754791259799</v>
      </c>
      <c r="E1617" s="8">
        <v>0.02</v>
      </c>
      <c r="F1617">
        <v>2.2072343592477401</v>
      </c>
      <c r="G1617">
        <f t="shared" si="129"/>
        <v>2.3545150490420075</v>
      </c>
      <c r="H1617">
        <f t="shared" si="131"/>
        <v>-6.0796519814394712E-2</v>
      </c>
      <c r="I1617">
        <f t="shared" si="130"/>
        <v>0</v>
      </c>
      <c r="J1617" t="str">
        <f t="shared" si="132"/>
        <v/>
      </c>
      <c r="K1617">
        <v>-8.4546435326337994E-3</v>
      </c>
      <c r="L1617">
        <v>-1.48176830261945E-2</v>
      </c>
      <c r="M1617">
        <v>-8.3013340830800906E-5</v>
      </c>
      <c r="N1617">
        <v>8.3874259144069998E-4</v>
      </c>
      <c r="O1617" t="str">
        <f t="shared" si="133"/>
        <v/>
      </c>
    </row>
    <row r="1618" spans="1:15" x14ac:dyDescent="0.35">
      <c r="A1618" t="s">
        <v>110</v>
      </c>
      <c r="B1618">
        <v>2007</v>
      </c>
      <c r="C1618">
        <v>1600994</v>
      </c>
      <c r="D1618" s="8">
        <v>0.92670947313308705</v>
      </c>
      <c r="E1618" s="8">
        <v>2.1000000000000001E-2</v>
      </c>
      <c r="F1618">
        <v>2.1887538684614798</v>
      </c>
      <c r="G1618">
        <f t="shared" si="129"/>
        <v>2.3618555026329675</v>
      </c>
      <c r="H1618">
        <f t="shared" si="131"/>
        <v>3.1176074215140126E-3</v>
      </c>
      <c r="I1618">
        <f t="shared" si="130"/>
        <v>1</v>
      </c>
      <c r="J1618" t="str">
        <f t="shared" si="132"/>
        <v/>
      </c>
      <c r="K1618">
        <v>-8.3013340830800906E-5</v>
      </c>
      <c r="L1618">
        <v>8.3874259144069998E-4</v>
      </c>
      <c r="M1618">
        <v>-2.7613945595920099E-2</v>
      </c>
      <c r="N1618">
        <v>1.8968586809932999E-3</v>
      </c>
      <c r="O1618" t="str">
        <f t="shared" si="133"/>
        <v/>
      </c>
    </row>
    <row r="1619" spans="1:15" x14ac:dyDescent="0.35">
      <c r="A1619" t="s">
        <v>110</v>
      </c>
      <c r="B1619">
        <v>2008</v>
      </c>
      <c r="C1619">
        <v>1633824</v>
      </c>
      <c r="D1619" s="8">
        <v>0.92493313550949097</v>
      </c>
      <c r="E1619" s="8">
        <v>1.9E-2</v>
      </c>
      <c r="F1619">
        <v>2.2602815743500102</v>
      </c>
      <c r="G1619">
        <f t="shared" si="129"/>
        <v>2.4437242948431668</v>
      </c>
      <c r="H1619">
        <f t="shared" si="131"/>
        <v>3.4662913170993237E-2</v>
      </c>
      <c r="I1619">
        <f t="shared" si="130"/>
        <v>1</v>
      </c>
      <c r="J1619" t="str">
        <f t="shared" si="132"/>
        <v/>
      </c>
      <c r="K1619">
        <v>-2.7613945595920099E-2</v>
      </c>
      <c r="L1619">
        <v>1.8968586809932999E-3</v>
      </c>
      <c r="M1619">
        <v>-2.1742392987012901E-2</v>
      </c>
      <c r="N1619">
        <v>4.8243086785077398E-3</v>
      </c>
      <c r="O1619" t="str">
        <f t="shared" si="133"/>
        <v/>
      </c>
    </row>
    <row r="1620" spans="1:15" x14ac:dyDescent="0.35">
      <c r="A1620" t="s">
        <v>110</v>
      </c>
      <c r="B1620">
        <v>2009</v>
      </c>
      <c r="C1620">
        <v>1659890</v>
      </c>
      <c r="D1620" s="8">
        <v>0.92794346809387196</v>
      </c>
      <c r="E1620" s="8">
        <v>1.0999999999999999E-2</v>
      </c>
      <c r="F1620">
        <v>2.23274717817187</v>
      </c>
      <c r="G1620">
        <f t="shared" si="129"/>
        <v>2.4061241389610197</v>
      </c>
      <c r="H1620">
        <f t="shared" si="131"/>
        <v>-1.5386414892012201E-2</v>
      </c>
      <c r="I1620">
        <f t="shared" si="130"/>
        <v>0</v>
      </c>
      <c r="J1620" t="str">
        <f t="shared" si="132"/>
        <v/>
      </c>
      <c r="K1620">
        <v>-2.1742392987012901E-2</v>
      </c>
      <c r="L1620">
        <v>4.8243086785077398E-3</v>
      </c>
      <c r="M1620">
        <v>3.3638354539871E-3</v>
      </c>
      <c r="N1620">
        <v>1.28239442128687E-2</v>
      </c>
      <c r="O1620" t="str">
        <f t="shared" si="133"/>
        <v/>
      </c>
    </row>
    <row r="1621" spans="1:15" x14ac:dyDescent="0.35">
      <c r="A1621" t="s">
        <v>110</v>
      </c>
      <c r="B1621">
        <v>2010</v>
      </c>
      <c r="C1621">
        <v>1683245</v>
      </c>
      <c r="D1621" s="8">
        <v>0.93683582544326804</v>
      </c>
      <c r="E1621" s="8">
        <v>1.4999999999999999E-2</v>
      </c>
      <c r="F1621">
        <v>2.2950121134387902</v>
      </c>
      <c r="G1621">
        <f t="shared" si="129"/>
        <v>2.4497484522999482</v>
      </c>
      <c r="H1621">
        <f t="shared" si="131"/>
        <v>1.8130533097833412E-2</v>
      </c>
      <c r="I1621">
        <f t="shared" si="130"/>
        <v>1</v>
      </c>
      <c r="J1621">
        <f t="shared" si="132"/>
        <v>3</v>
      </c>
      <c r="K1621">
        <v>3.3638354539871E-3</v>
      </c>
      <c r="L1621">
        <v>1.28239442128687E-2</v>
      </c>
      <c r="M1621">
        <v>-2.2764036774635302E-2</v>
      </c>
      <c r="N1621">
        <v>-1.4802622608839999E-3</v>
      </c>
      <c r="O1621">
        <f t="shared" si="133"/>
        <v>6.2900046817958386E-3</v>
      </c>
    </row>
    <row r="1622" spans="1:15" x14ac:dyDescent="0.35">
      <c r="A1622" t="s">
        <v>110</v>
      </c>
      <c r="B1622">
        <v>2011</v>
      </c>
      <c r="C1622">
        <v>1711519</v>
      </c>
      <c r="D1622" s="8">
        <v>0.93908488750457797</v>
      </c>
      <c r="E1622" s="8">
        <v>1.2999999999999999E-2</v>
      </c>
      <c r="F1622">
        <v>2.26087568377329</v>
      </c>
      <c r="G1622">
        <f t="shared" si="129"/>
        <v>2.4075306863696797</v>
      </c>
      <c r="H1622">
        <f t="shared" si="131"/>
        <v>-1.723351060417333E-2</v>
      </c>
      <c r="I1622">
        <f t="shared" si="130"/>
        <v>0</v>
      </c>
      <c r="J1622">
        <f t="shared" si="132"/>
        <v>3</v>
      </c>
      <c r="K1622">
        <v>-2.2764036774635302E-2</v>
      </c>
      <c r="L1622">
        <v>-1.4802622608839999E-3</v>
      </c>
      <c r="M1622">
        <v>9.4749005138869695E-4</v>
      </c>
      <c r="N1622">
        <v>6.3856961205600903E-3</v>
      </c>
      <c r="O1622">
        <f t="shared" si="133"/>
        <v>5.5402876809239401E-3</v>
      </c>
    </row>
    <row r="1623" spans="1:15" x14ac:dyDescent="0.35">
      <c r="A1623" t="s">
        <v>110</v>
      </c>
      <c r="B1623">
        <v>2012</v>
      </c>
      <c r="C1623">
        <v>1744957</v>
      </c>
      <c r="D1623" s="8">
        <v>0.94565945863723799</v>
      </c>
      <c r="E1623" s="8">
        <v>1.4E-2</v>
      </c>
      <c r="F1623">
        <v>2.2330722561113898</v>
      </c>
      <c r="G1623">
        <f t="shared" si="129"/>
        <v>2.3613915513829942</v>
      </c>
      <c r="H1623">
        <f t="shared" si="131"/>
        <v>-1.9164505461095049E-2</v>
      </c>
      <c r="I1623">
        <f t="shared" si="130"/>
        <v>0</v>
      </c>
      <c r="J1623">
        <f t="shared" si="132"/>
        <v>2</v>
      </c>
      <c r="K1623">
        <v>9.4749005138869695E-4</v>
      </c>
      <c r="L1623">
        <v>6.3000973314045897E-3</v>
      </c>
      <c r="M1623">
        <v>1.0372287258505799E-2</v>
      </c>
      <c r="N1623">
        <v>4.2455159127711998E-3</v>
      </c>
      <c r="O1623">
        <f t="shared" si="133"/>
        <v>9.8816454410556175E-4</v>
      </c>
    </row>
    <row r="1624" spans="1:15" x14ac:dyDescent="0.35">
      <c r="A1624" t="s">
        <v>110</v>
      </c>
      <c r="B1624">
        <v>2013</v>
      </c>
      <c r="C1624">
        <v>1780340</v>
      </c>
      <c r="D1624" s="8">
        <v>0.93913364410400402</v>
      </c>
      <c r="E1624" s="8">
        <v>3.3000000000000002E-2</v>
      </c>
      <c r="F1624">
        <v>2.3018316024232699</v>
      </c>
      <c r="G1624">
        <f t="shared" si="129"/>
        <v>2.4510160155313896</v>
      </c>
      <c r="H1624">
        <f t="shared" si="131"/>
        <v>3.7954088594881696E-2</v>
      </c>
      <c r="I1624">
        <f t="shared" si="130"/>
        <v>1</v>
      </c>
      <c r="J1624">
        <f t="shared" si="132"/>
        <v>2</v>
      </c>
      <c r="K1624">
        <v>1.0372287258505799E-2</v>
      </c>
      <c r="L1624">
        <v>4.2455159127711998E-3</v>
      </c>
      <c r="M1624">
        <v>8.0055210888385995E-3</v>
      </c>
      <c r="N1624">
        <v>5.9974975883961001E-3</v>
      </c>
      <c r="O1624">
        <f t="shared" si="133"/>
        <v>2.6525408029560288E-4</v>
      </c>
    </row>
    <row r="1625" spans="1:15" x14ac:dyDescent="0.35">
      <c r="A1625" t="s">
        <v>110</v>
      </c>
      <c r="B1625">
        <v>2014</v>
      </c>
      <c r="C1625">
        <v>1818453</v>
      </c>
      <c r="D1625" s="8">
        <v>0.93472129106521595</v>
      </c>
      <c r="E1625" s="8">
        <v>5.0999999999999997E-2</v>
      </c>
      <c r="F1625">
        <v>2.4084534544502998</v>
      </c>
      <c r="G1625">
        <f t="shared" si="129"/>
        <v>2.5766541079914922</v>
      </c>
      <c r="H1625">
        <f t="shared" si="131"/>
        <v>5.1259596699478882E-2</v>
      </c>
      <c r="I1625">
        <f t="shared" si="130"/>
        <v>1</v>
      </c>
      <c r="J1625">
        <f t="shared" si="132"/>
        <v>3</v>
      </c>
      <c r="K1625">
        <v>8.0055210888385995E-3</v>
      </c>
      <c r="L1625">
        <v>5.9974975883961001E-3</v>
      </c>
      <c r="M1625">
        <v>4.6565028071403503E-2</v>
      </c>
      <c r="N1625">
        <v>1.6301576048135799E-2</v>
      </c>
      <c r="O1625">
        <f t="shared" si="133"/>
        <v>2.0072892308235423E-3</v>
      </c>
    </row>
    <row r="1626" spans="1:15" x14ac:dyDescent="0.35">
      <c r="A1626" t="s">
        <v>110</v>
      </c>
      <c r="B1626">
        <v>2015</v>
      </c>
      <c r="C1626">
        <v>1858437</v>
      </c>
      <c r="D1626" s="8">
        <v>0.93041509389877297</v>
      </c>
      <c r="E1626" s="8">
        <v>4.8000000000000001E-2</v>
      </c>
      <c r="F1626">
        <v>2.3647992325065399</v>
      </c>
      <c r="G1626">
        <f t="shared" si="129"/>
        <v>2.5416604352334642</v>
      </c>
      <c r="H1626">
        <f t="shared" si="131"/>
        <v>-1.3581051740509165E-2</v>
      </c>
      <c r="I1626">
        <f t="shared" si="130"/>
        <v>0</v>
      </c>
      <c r="J1626">
        <f t="shared" si="132"/>
        <v>2</v>
      </c>
      <c r="K1626">
        <v>4.6565028071403503E-2</v>
      </c>
      <c r="L1626">
        <v>1.6301576048135799E-2</v>
      </c>
      <c r="M1626">
        <v>7.9247097373008994E-3</v>
      </c>
      <c r="N1626">
        <v>-5.2288472652434904E-3</v>
      </c>
      <c r="O1626">
        <f t="shared" si="133"/>
        <v>-7.8646368347107965E-3</v>
      </c>
    </row>
    <row r="1627" spans="1:15" x14ac:dyDescent="0.35">
      <c r="A1627" t="s">
        <v>110</v>
      </c>
      <c r="B1627">
        <v>2016</v>
      </c>
      <c r="C1627">
        <v>1898341</v>
      </c>
      <c r="D1627" s="8">
        <v>0.91317772865295399</v>
      </c>
      <c r="E1627" s="8">
        <v>5.6000000000000001E-2</v>
      </c>
      <c r="F1627">
        <v>2.3510065798894999</v>
      </c>
      <c r="G1627">
        <f t="shared" si="129"/>
        <v>2.574533418984621</v>
      </c>
      <c r="H1627">
        <f t="shared" si="131"/>
        <v>1.2933664660888189E-2</v>
      </c>
      <c r="I1627">
        <f t="shared" si="130"/>
        <v>1</v>
      </c>
      <c r="J1627">
        <f t="shared" si="132"/>
        <v>3</v>
      </c>
      <c r="K1627">
        <v>7.9247097373008994E-3</v>
      </c>
      <c r="L1627">
        <v>-5.2288472652434904E-3</v>
      </c>
      <c r="M1627">
        <v>-1.35853461027145E-2</v>
      </c>
      <c r="N1627">
        <v>-1.6374919563531799E-2</v>
      </c>
      <c r="O1627">
        <f t="shared" si="133"/>
        <v>2.7864241041243216E-3</v>
      </c>
    </row>
    <row r="1628" spans="1:15" x14ac:dyDescent="0.35">
      <c r="A1628" t="s">
        <v>110</v>
      </c>
      <c r="B1628">
        <v>2017</v>
      </c>
      <c r="C1628">
        <v>1934555</v>
      </c>
      <c r="D1628" s="8">
        <v>0.90682959556579601</v>
      </c>
      <c r="E1628" s="8">
        <v>7.1999999999999995E-2</v>
      </c>
      <c r="F1628">
        <v>2.2919494583487499</v>
      </c>
      <c r="G1628">
        <f t="shared" si="129"/>
        <v>2.5274312501002343</v>
      </c>
      <c r="H1628">
        <f t="shared" si="131"/>
        <v>-1.8295419487296294E-2</v>
      </c>
      <c r="I1628">
        <f t="shared" si="130"/>
        <v>0</v>
      </c>
      <c r="J1628">
        <f t="shared" si="132"/>
        <v>3</v>
      </c>
      <c r="K1628">
        <v>-1.35853461027145E-2</v>
      </c>
      <c r="L1628">
        <v>-1.6374919563531799E-2</v>
      </c>
      <c r="M1628">
        <v>9.7659865617752001E-3</v>
      </c>
      <c r="N1628">
        <v>6.30963593721403E-4</v>
      </c>
      <c r="O1628">
        <f t="shared" si="133"/>
        <v>4.379475954920063E-3</v>
      </c>
    </row>
    <row r="1629" spans="1:15" x14ac:dyDescent="0.35">
      <c r="A1629" t="s">
        <v>110</v>
      </c>
      <c r="B1629">
        <v>2018</v>
      </c>
      <c r="C1629">
        <v>1967478</v>
      </c>
      <c r="D1629" s="8">
        <v>0.91525375843048096</v>
      </c>
      <c r="E1629" s="8">
        <v>4.9000000000000002E-2</v>
      </c>
      <c r="F1629">
        <v>2.3495799389955998</v>
      </c>
      <c r="G1629">
        <f t="shared" si="129"/>
        <v>2.567134980166339</v>
      </c>
      <c r="H1629">
        <f t="shared" si="131"/>
        <v>1.5709123666382663E-2</v>
      </c>
      <c r="I1629">
        <f t="shared" si="130"/>
        <v>1</v>
      </c>
      <c r="J1629">
        <f t="shared" si="132"/>
        <v>3</v>
      </c>
      <c r="K1629">
        <v>9.7659865617752001E-3</v>
      </c>
      <c r="L1629">
        <v>6.30963593721403E-4</v>
      </c>
      <c r="M1629">
        <v>3.25088679492474E-2</v>
      </c>
      <c r="N1629">
        <v>1.47076733410358E-2</v>
      </c>
      <c r="O1629">
        <f t="shared" si="133"/>
        <v>-5.0404625944793172E-3</v>
      </c>
    </row>
    <row r="1630" spans="1:15" x14ac:dyDescent="0.35">
      <c r="A1630" t="s">
        <v>110</v>
      </c>
      <c r="B1630">
        <v>2019</v>
      </c>
      <c r="C1630">
        <v>1998345</v>
      </c>
      <c r="D1630" s="8">
        <v>0.926033616065979</v>
      </c>
      <c r="E1630" s="8">
        <v>3.2000000000000001E-2</v>
      </c>
      <c r="F1630">
        <v>2.2692943315154501</v>
      </c>
      <c r="G1630">
        <f t="shared" si="129"/>
        <v>2.450552865624875</v>
      </c>
      <c r="H1630">
        <f t="shared" si="131"/>
        <v>-4.5413316963142325E-2</v>
      </c>
      <c r="I1630">
        <f t="shared" si="130"/>
        <v>0</v>
      </c>
      <c r="J1630" t="str">
        <f t="shared" si="132"/>
        <v/>
      </c>
      <c r="K1630">
        <v>3.25088679492474E-2</v>
      </c>
      <c r="L1630">
        <v>1.47076733410358E-2</v>
      </c>
      <c r="M1630">
        <v>-1.42088638506829E-2</v>
      </c>
      <c r="N1630">
        <v>-3.3058054279535898E-2</v>
      </c>
      <c r="O1630">
        <f t="shared" si="133"/>
        <v>-7.6270648278295786E-3</v>
      </c>
    </row>
    <row r="1631" spans="1:15" x14ac:dyDescent="0.35">
      <c r="A1631" t="s">
        <v>110</v>
      </c>
      <c r="B1631">
        <v>2020</v>
      </c>
      <c r="C1631">
        <v>2024726</v>
      </c>
      <c r="D1631" s="8">
        <v>0.90793305635452304</v>
      </c>
      <c r="E1631" s="8">
        <v>5.3999999999999999E-2</v>
      </c>
      <c r="F1631">
        <v>2.11864673898768</v>
      </c>
      <c r="G1631">
        <f t="shared" si="129"/>
        <v>2.3334834260736579</v>
      </c>
      <c r="H1631">
        <f t="shared" si="131"/>
        <v>-4.7772664362156103E-2</v>
      </c>
      <c r="I1631">
        <f t="shared" si="130"/>
        <v>0</v>
      </c>
      <c r="J1631" t="str">
        <f t="shared" si="132"/>
        <v/>
      </c>
      <c r="K1631">
        <v>-1.42088638506829E-2</v>
      </c>
      <c r="L1631">
        <v>-3.3058054279535898E-2</v>
      </c>
      <c r="M1631">
        <v>9.1616070151328999E-2</v>
      </c>
      <c r="N1631">
        <v>4.80264574289321E-2</v>
      </c>
      <c r="O1631">
        <f t="shared" si="133"/>
        <v>-1.2180606834590435E-3</v>
      </c>
    </row>
    <row r="1632" spans="1:15" x14ac:dyDescent="0.35">
      <c r="A1632" t="s">
        <v>110</v>
      </c>
      <c r="B1632">
        <v>2021</v>
      </c>
      <c r="C1632">
        <v>2044290</v>
      </c>
      <c r="D1632" s="8">
        <v>0.94021201133728005</v>
      </c>
      <c r="E1632" s="8">
        <v>4.5999999999999999E-2</v>
      </c>
      <c r="F1632">
        <v>2.2629762099848199</v>
      </c>
      <c r="G1632">
        <f t="shared" si="129"/>
        <v>2.4068786430053675</v>
      </c>
      <c r="H1632">
        <f t="shared" si="131"/>
        <v>3.1453069737549022E-2</v>
      </c>
      <c r="I1632">
        <f t="shared" si="130"/>
        <v>1</v>
      </c>
      <c r="J1632" t="str">
        <f t="shared" si="132"/>
        <v/>
      </c>
      <c r="K1632">
        <v>9.1616070151328999E-2</v>
      </c>
      <c r="L1632">
        <v>4.80264574289321E-2</v>
      </c>
      <c r="M1632">
        <v>-4.0513167083263399E-2</v>
      </c>
      <c r="N1632">
        <v>-8.4096603095530909E-3</v>
      </c>
      <c r="O1632">
        <f t="shared" si="133"/>
        <v>-1.0363657306879753E-2</v>
      </c>
    </row>
    <row r="1633" spans="1:15" x14ac:dyDescent="0.35">
      <c r="A1633" t="s">
        <v>110</v>
      </c>
      <c r="B1633">
        <v>2022</v>
      </c>
      <c r="C1633">
        <v>2086560</v>
      </c>
      <c r="D1633" s="8">
        <v>0.90995782613754295</v>
      </c>
      <c r="E1633" s="8">
        <v>6.2E-2</v>
      </c>
      <c r="F1633">
        <v>2.2321428571428501</v>
      </c>
      <c r="G1633">
        <f t="shared" si="129"/>
        <v>2.4530179234981984</v>
      </c>
      <c r="H1633">
        <f t="shared" si="131"/>
        <v>1.9169757738686233E-2</v>
      </c>
      <c r="I1633">
        <f t="shared" si="130"/>
        <v>1</v>
      </c>
      <c r="J1633" t="str">
        <f t="shared" si="132"/>
        <v/>
      </c>
      <c r="K1633">
        <v>-4.0513167083263399E-2</v>
      </c>
      <c r="L1633">
        <v>-7.9309567809104902E-3</v>
      </c>
      <c r="M1633">
        <v>-6.6027656927704806E-2</v>
      </c>
      <c r="N1633">
        <v>-4.6468729153275497E-2</v>
      </c>
      <c r="O1633">
        <f t="shared" si="133"/>
        <v>-7.0814203936606784E-3</v>
      </c>
    </row>
    <row r="1634" spans="1:15" x14ac:dyDescent="0.35">
      <c r="A1634" t="s">
        <v>111</v>
      </c>
      <c r="B1634">
        <v>2006</v>
      </c>
      <c r="C1634">
        <v>851006.75</v>
      </c>
      <c r="D1634" s="8">
        <v>0.95372015237808205</v>
      </c>
      <c r="E1634" s="8">
        <v>0</v>
      </c>
      <c r="F1634">
        <v>2.1760339734121099</v>
      </c>
      <c r="G1634">
        <f t="shared" si="129"/>
        <v>2.2816273389905968</v>
      </c>
      <c r="H1634">
        <f t="shared" si="131"/>
        <v>-6.986927525714326E-2</v>
      </c>
      <c r="I1634">
        <f t="shared" si="130"/>
        <v>0</v>
      </c>
      <c r="J1634" t="str">
        <f t="shared" si="132"/>
        <v/>
      </c>
      <c r="K1634">
        <v>5.4334256052970104E-4</v>
      </c>
      <c r="L1634">
        <v>-5.81969693303109E-3</v>
      </c>
      <c r="M1634">
        <v>8.5290624201299597E-4</v>
      </c>
      <c r="N1634">
        <v>1.77466217428449E-3</v>
      </c>
      <c r="O1634" t="str">
        <f t="shared" si="133"/>
        <v/>
      </c>
    </row>
    <row r="1635" spans="1:15" x14ac:dyDescent="0.35">
      <c r="A1635" t="s">
        <v>111</v>
      </c>
      <c r="B1635">
        <v>2007</v>
      </c>
      <c r="C1635">
        <v>854348.3125</v>
      </c>
      <c r="D1635" s="8">
        <v>0.95236390829086304</v>
      </c>
      <c r="E1635" s="8">
        <v>1.7000000000000001E-2</v>
      </c>
      <c r="F1635">
        <v>2.1845944039501499</v>
      </c>
      <c r="G1635">
        <f t="shared" si="129"/>
        <v>2.2938651758346027</v>
      </c>
      <c r="H1635">
        <f t="shared" si="131"/>
        <v>5.3636440249791306E-3</v>
      </c>
      <c r="I1635">
        <f t="shared" si="130"/>
        <v>1</v>
      </c>
      <c r="J1635" t="str">
        <f t="shared" si="132"/>
        <v/>
      </c>
      <c r="K1635">
        <v>8.5290624201299597E-4</v>
      </c>
      <c r="L1635">
        <v>1.77466217428449E-3</v>
      </c>
      <c r="M1635">
        <v>-3.0523837834596598E-2</v>
      </c>
      <c r="N1635">
        <v>-1.0130335576832199E-3</v>
      </c>
      <c r="O1635" t="str">
        <f t="shared" si="133"/>
        <v/>
      </c>
    </row>
    <row r="1636" spans="1:15" x14ac:dyDescent="0.35">
      <c r="A1636" t="s">
        <v>111</v>
      </c>
      <c r="B1636">
        <v>2008</v>
      </c>
      <c r="C1636">
        <v>857509.1875</v>
      </c>
      <c r="D1636" s="8">
        <v>0.94745039939880404</v>
      </c>
      <c r="E1636" s="8">
        <v>0</v>
      </c>
      <c r="F1636">
        <v>2.1672804655606699</v>
      </c>
      <c r="G1636">
        <f t="shared" si="129"/>
        <v>2.2874869934467257</v>
      </c>
      <c r="H1636">
        <f t="shared" si="131"/>
        <v>-2.7805393512529974E-3</v>
      </c>
      <c r="I1636">
        <f t="shared" si="130"/>
        <v>0</v>
      </c>
      <c r="J1636" t="str">
        <f t="shared" si="132"/>
        <v/>
      </c>
      <c r="K1636">
        <v>-3.0523837834596598E-2</v>
      </c>
      <c r="L1636">
        <v>-1.0130335576832199E-3</v>
      </c>
      <c r="M1636">
        <v>-2.42682273536921E-2</v>
      </c>
      <c r="N1636">
        <v>2.29847431182855E-3</v>
      </c>
      <c r="O1636" t="str">
        <f t="shared" si="133"/>
        <v/>
      </c>
    </row>
    <row r="1637" spans="1:15" x14ac:dyDescent="0.35">
      <c r="A1637" t="s">
        <v>111</v>
      </c>
      <c r="B1637">
        <v>2009</v>
      </c>
      <c r="C1637">
        <v>860999.8125</v>
      </c>
      <c r="D1637" s="8">
        <v>0.94382625818252597</v>
      </c>
      <c r="E1637" s="8">
        <v>0</v>
      </c>
      <c r="F1637">
        <v>2.2307005957119199</v>
      </c>
      <c r="G1637">
        <f t="shared" si="129"/>
        <v>2.3634652843919142</v>
      </c>
      <c r="H1637">
        <f t="shared" si="131"/>
        <v>3.3214742275192721E-2</v>
      </c>
      <c r="I1637">
        <f t="shared" si="130"/>
        <v>1</v>
      </c>
      <c r="J1637" t="str">
        <f t="shared" si="132"/>
        <v/>
      </c>
      <c r="K1637">
        <v>-2.42682273536921E-2</v>
      </c>
      <c r="L1637">
        <v>2.29847431182855E-3</v>
      </c>
      <c r="M1637">
        <v>-1.4585845023393901E-3</v>
      </c>
      <c r="N1637">
        <v>8.0015242565422799E-3</v>
      </c>
      <c r="O1637" t="str">
        <f t="shared" si="133"/>
        <v/>
      </c>
    </row>
    <row r="1638" spans="1:15" x14ac:dyDescent="0.35">
      <c r="A1638" t="s">
        <v>111</v>
      </c>
      <c r="B1638">
        <v>2010</v>
      </c>
      <c r="C1638">
        <v>864182.6875</v>
      </c>
      <c r="D1638" s="8">
        <v>0.94118899106979403</v>
      </c>
      <c r="E1638" s="8">
        <v>1.6E-2</v>
      </c>
      <c r="F1638">
        <v>2.1578287204370201</v>
      </c>
      <c r="G1638">
        <f t="shared" si="129"/>
        <v>2.292662516148158</v>
      </c>
      <c r="H1638">
        <f t="shared" si="131"/>
        <v>-2.9957185625416383E-2</v>
      </c>
      <c r="I1638">
        <f t="shared" si="130"/>
        <v>0</v>
      </c>
      <c r="J1638">
        <f t="shared" si="132"/>
        <v>2</v>
      </c>
      <c r="K1638">
        <v>-1.4585845023393901E-3</v>
      </c>
      <c r="L1638">
        <v>8.0015242565422799E-3</v>
      </c>
      <c r="M1638">
        <v>-1.7688087530434101E-2</v>
      </c>
      <c r="N1638">
        <v>3.5956869833171901E-3</v>
      </c>
      <c r="O1638">
        <f t="shared" si="133"/>
        <v>-7.4332986725493865E-3</v>
      </c>
    </row>
    <row r="1639" spans="1:15" x14ac:dyDescent="0.35">
      <c r="A1639" t="s">
        <v>111</v>
      </c>
      <c r="B1639">
        <v>2011</v>
      </c>
      <c r="C1639">
        <v>865906.5</v>
      </c>
      <c r="D1639" s="8">
        <v>0.94145673513412498</v>
      </c>
      <c r="E1639" s="8">
        <v>3.0000000000000001E-3</v>
      </c>
      <c r="F1639">
        <v>2.2397560831810202</v>
      </c>
      <c r="G1639">
        <f t="shared" si="129"/>
        <v>2.379032407540143</v>
      </c>
      <c r="H1639">
        <f t="shared" si="131"/>
        <v>3.7672309283920624E-2</v>
      </c>
      <c r="I1639">
        <f t="shared" si="130"/>
        <v>1</v>
      </c>
      <c r="J1639">
        <f t="shared" si="132"/>
        <v>3</v>
      </c>
      <c r="K1639">
        <v>-1.7688087530434101E-2</v>
      </c>
      <c r="L1639">
        <v>3.5956869833171901E-3</v>
      </c>
      <c r="M1639">
        <v>-1.4818079587072101E-2</v>
      </c>
      <c r="N1639">
        <v>-9.3798735179007296E-3</v>
      </c>
      <c r="O1639">
        <f t="shared" si="133"/>
        <v>-9.1150987660512002E-3</v>
      </c>
    </row>
    <row r="1640" spans="1:15" x14ac:dyDescent="0.35">
      <c r="A1640" t="s">
        <v>111</v>
      </c>
      <c r="B1640">
        <v>2012</v>
      </c>
      <c r="C1640">
        <v>867355.875</v>
      </c>
      <c r="D1640" s="8">
        <v>0.94131004810333296</v>
      </c>
      <c r="E1640" s="8">
        <v>4.0000000000000001E-3</v>
      </c>
      <c r="F1640">
        <v>2.2655109413622299</v>
      </c>
      <c r="G1640">
        <f t="shared" si="129"/>
        <v>2.4067637925751026</v>
      </c>
      <c r="H1640">
        <f t="shared" si="131"/>
        <v>1.1656581451798376E-2</v>
      </c>
      <c r="I1640">
        <f t="shared" si="130"/>
        <v>1</v>
      </c>
      <c r="J1640">
        <f t="shared" si="132"/>
        <v>3</v>
      </c>
      <c r="K1640">
        <v>-1.4818079587072101E-2</v>
      </c>
      <c r="L1640">
        <v>-9.4654723070562302E-3</v>
      </c>
      <c r="M1640">
        <v>4.5204298943280997E-3</v>
      </c>
      <c r="N1640">
        <v>-1.6063414514064899E-3</v>
      </c>
      <c r="O1640">
        <f t="shared" si="133"/>
        <v>-8.0561204580589744E-3</v>
      </c>
    </row>
    <row r="1641" spans="1:15" x14ac:dyDescent="0.35">
      <c r="A1641" t="s">
        <v>111</v>
      </c>
      <c r="B1641">
        <v>2013</v>
      </c>
      <c r="C1641">
        <v>867186.8125</v>
      </c>
      <c r="D1641" s="8">
        <v>0.94124877452850297</v>
      </c>
      <c r="E1641" s="8">
        <v>0</v>
      </c>
      <c r="F1641">
        <v>2.1528764832620499</v>
      </c>
      <c r="G1641">
        <f t="shared" si="129"/>
        <v>2.2872555497779894</v>
      </c>
      <c r="H1641">
        <f t="shared" si="131"/>
        <v>-4.9655160662545161E-2</v>
      </c>
      <c r="I1641">
        <f t="shared" si="130"/>
        <v>0</v>
      </c>
      <c r="J1641">
        <f t="shared" si="132"/>
        <v>3</v>
      </c>
      <c r="K1641">
        <v>4.5204298943280997E-3</v>
      </c>
      <c r="L1641">
        <v>-1.6063414514064899E-3</v>
      </c>
      <c r="M1641">
        <v>-1.41743165990337E-2</v>
      </c>
      <c r="N1641">
        <v>-1.6182340099476202E-2</v>
      </c>
      <c r="O1641">
        <f t="shared" si="133"/>
        <v>-9.2265414772554743E-3</v>
      </c>
    </row>
    <row r="1642" spans="1:15" x14ac:dyDescent="0.35">
      <c r="A1642" t="s">
        <v>111</v>
      </c>
      <c r="B1642">
        <v>2014</v>
      </c>
      <c r="C1642">
        <v>867898.375</v>
      </c>
      <c r="D1642" s="8">
        <v>0.94122499227523804</v>
      </c>
      <c r="E1642" s="8">
        <v>5.0000000000000001E-3</v>
      </c>
      <c r="F1642">
        <v>2.0352556237218802</v>
      </c>
      <c r="G1642">
        <f t="shared" si="129"/>
        <v>2.1623476219028404</v>
      </c>
      <c r="H1642">
        <f t="shared" si="131"/>
        <v>-5.4610394491019232E-2</v>
      </c>
      <c r="I1642">
        <f t="shared" si="130"/>
        <v>0</v>
      </c>
      <c r="J1642">
        <f t="shared" si="132"/>
        <v>2</v>
      </c>
      <c r="K1642">
        <v>-1.41743165990337E-2</v>
      </c>
      <c r="L1642">
        <v>-1.6182340099476202E-2</v>
      </c>
      <c r="M1642">
        <v>1.6669826745986899E-2</v>
      </c>
      <c r="N1642">
        <v>-1.35936252772807E-2</v>
      </c>
      <c r="O1642">
        <f t="shared" si="133"/>
        <v>-8.7479457259177738E-3</v>
      </c>
    </row>
    <row r="1643" spans="1:15" x14ac:dyDescent="0.35">
      <c r="A1643" t="s">
        <v>111</v>
      </c>
      <c r="B1643">
        <v>2015</v>
      </c>
      <c r="C1643">
        <v>866464</v>
      </c>
      <c r="D1643" s="8">
        <v>0.93566751480102495</v>
      </c>
      <c r="E1643" s="8">
        <v>1.9E-2</v>
      </c>
      <c r="F1643">
        <v>2.07057284770868</v>
      </c>
      <c r="G1643">
        <f t="shared" si="129"/>
        <v>2.2129365559399581</v>
      </c>
      <c r="H1643">
        <f t="shared" si="131"/>
        <v>2.3395375250811812E-2</v>
      </c>
      <c r="I1643">
        <f t="shared" si="130"/>
        <v>1</v>
      </c>
      <c r="J1643">
        <f t="shared" si="132"/>
        <v>3</v>
      </c>
      <c r="K1643">
        <v>1.6669826745986899E-2</v>
      </c>
      <c r="L1643">
        <v>-1.35936252772807E-2</v>
      </c>
      <c r="M1643">
        <v>8.3402435183525005E-3</v>
      </c>
      <c r="N1643">
        <v>-4.8133134841918902E-3</v>
      </c>
      <c r="O1643">
        <f t="shared" si="133"/>
        <v>-6.4395483583211521E-3</v>
      </c>
    </row>
    <row r="1644" spans="1:15" x14ac:dyDescent="0.35">
      <c r="A1644" t="s">
        <v>111</v>
      </c>
      <c r="B1644">
        <v>2016</v>
      </c>
      <c r="C1644">
        <v>865872.6875</v>
      </c>
      <c r="D1644" s="8">
        <v>0.93953043222427401</v>
      </c>
      <c r="E1644" s="8">
        <v>1.2999999999999999E-2</v>
      </c>
      <c r="F1644">
        <v>2.1349695157469601</v>
      </c>
      <c r="G1644">
        <f t="shared" si="129"/>
        <v>2.2723793104738137</v>
      </c>
      <c r="H1644">
        <f t="shared" si="131"/>
        <v>2.6861481579442348E-2</v>
      </c>
      <c r="I1644">
        <f t="shared" si="130"/>
        <v>1</v>
      </c>
      <c r="J1644">
        <f t="shared" si="132"/>
        <v>3</v>
      </c>
      <c r="K1644">
        <v>8.3402435183525005E-3</v>
      </c>
      <c r="L1644">
        <v>-4.8133134841918902E-3</v>
      </c>
      <c r="M1644">
        <v>-1.2954085171222999E-3</v>
      </c>
      <c r="N1644">
        <v>-4.0849819779395901E-3</v>
      </c>
      <c r="O1644">
        <f t="shared" si="133"/>
        <v>-1.1786146089434592E-2</v>
      </c>
    </row>
    <row r="1645" spans="1:15" x14ac:dyDescent="0.35">
      <c r="A1645" t="s">
        <v>111</v>
      </c>
      <c r="B1645">
        <v>2017</v>
      </c>
      <c r="C1645">
        <v>866559.1875</v>
      </c>
      <c r="D1645" s="8">
        <v>0.94766080379486095</v>
      </c>
      <c r="E1645" s="8">
        <v>1.2E-2</v>
      </c>
      <c r="F1645">
        <v>2.0360654145863801</v>
      </c>
      <c r="G1645">
        <f t="shared" si="129"/>
        <v>2.1485170711219213</v>
      </c>
      <c r="H1645">
        <f t="shared" si="131"/>
        <v>-5.4507730633256757E-2</v>
      </c>
      <c r="I1645">
        <f t="shared" si="130"/>
        <v>0</v>
      </c>
      <c r="J1645">
        <f t="shared" si="132"/>
        <v>2</v>
      </c>
      <c r="K1645">
        <v>-1.2954085171222999E-3</v>
      </c>
      <c r="L1645">
        <v>-4.0849819779395901E-3</v>
      </c>
      <c r="M1645">
        <v>1.6765764206648E-3</v>
      </c>
      <c r="N1645">
        <v>-7.4584465473889897E-3</v>
      </c>
      <c r="O1645">
        <f t="shared" si="133"/>
        <v>-1.2828361615538556E-2</v>
      </c>
    </row>
    <row r="1646" spans="1:15" x14ac:dyDescent="0.35">
      <c r="A1646" t="s">
        <v>111</v>
      </c>
      <c r="B1646">
        <v>2018</v>
      </c>
      <c r="C1646">
        <v>866244.5</v>
      </c>
      <c r="D1646" s="8">
        <v>0.94934660196304299</v>
      </c>
      <c r="E1646" s="8">
        <v>7.0000000000000001E-3</v>
      </c>
      <c r="F1646">
        <v>2.1037391145484401</v>
      </c>
      <c r="G1646">
        <f t="shared" si="129"/>
        <v>2.2159863533490967</v>
      </c>
      <c r="H1646">
        <f t="shared" si="131"/>
        <v>3.1402721036768E-2</v>
      </c>
      <c r="I1646">
        <f t="shared" si="130"/>
        <v>1</v>
      </c>
      <c r="J1646">
        <f t="shared" si="132"/>
        <v>3</v>
      </c>
      <c r="K1646">
        <v>1.6765764206648E-3</v>
      </c>
      <c r="L1646">
        <v>-7.4584465473889897E-3</v>
      </c>
      <c r="M1646">
        <v>4.0118332654238004E-3</v>
      </c>
      <c r="N1646">
        <v>-1.3789361342787699E-2</v>
      </c>
      <c r="O1646">
        <f t="shared" si="133"/>
        <v>-9.3946069478988373E-3</v>
      </c>
    </row>
    <row r="1647" spans="1:15" x14ac:dyDescent="0.35">
      <c r="A1647" t="s">
        <v>111</v>
      </c>
      <c r="B1647">
        <v>2019</v>
      </c>
      <c r="C1647">
        <v>865045.25</v>
      </c>
      <c r="D1647" s="8">
        <v>0.94670760631561302</v>
      </c>
      <c r="E1647" s="8">
        <v>2.5999999999999999E-2</v>
      </c>
      <c r="F1647">
        <v>2.0903553062542302</v>
      </c>
      <c r="G1647">
        <f t="shared" si="129"/>
        <v>2.2080263138367013</v>
      </c>
      <c r="H1647">
        <f t="shared" si="131"/>
        <v>-3.5920977132214427E-3</v>
      </c>
      <c r="I1647">
        <f t="shared" si="130"/>
        <v>0</v>
      </c>
      <c r="J1647" t="str">
        <f t="shared" si="132"/>
        <v/>
      </c>
      <c r="K1647">
        <v>4.0118332654238004E-3</v>
      </c>
      <c r="L1647">
        <v>-1.3789361342787699E-2</v>
      </c>
      <c r="M1647">
        <v>1.67975519895554E-2</v>
      </c>
      <c r="N1647">
        <v>-2.0516384392975898E-3</v>
      </c>
      <c r="O1647">
        <f t="shared" si="133"/>
        <v>3.6796713247895228E-3</v>
      </c>
    </row>
    <row r="1648" spans="1:15" x14ac:dyDescent="0.35">
      <c r="A1648" t="s">
        <v>111</v>
      </c>
      <c r="B1648">
        <v>2020</v>
      </c>
      <c r="C1648">
        <v>860539.125</v>
      </c>
      <c r="D1648" s="8">
        <v>0.96349096298217796</v>
      </c>
      <c r="E1648" s="8">
        <v>1.2E-2</v>
      </c>
      <c r="F1648">
        <v>2.11238101251835</v>
      </c>
      <c r="G1648">
        <f t="shared" si="129"/>
        <v>2.1924243129174252</v>
      </c>
      <c r="H1648">
        <f t="shared" si="131"/>
        <v>-7.0660393952306499E-3</v>
      </c>
      <c r="I1648">
        <f t="shared" si="130"/>
        <v>0</v>
      </c>
      <c r="J1648" t="str">
        <f t="shared" si="132"/>
        <v/>
      </c>
      <c r="K1648">
        <v>1.67975519895554E-2</v>
      </c>
      <c r="L1648">
        <v>-2.0516384392975898E-3</v>
      </c>
      <c r="M1648">
        <v>1.2043310582637801E-2</v>
      </c>
      <c r="N1648">
        <v>-3.1546302139759098E-2</v>
      </c>
      <c r="O1648">
        <f t="shared" si="133"/>
        <v>-7.6283793896439461E-5</v>
      </c>
    </row>
    <row r="1649" spans="1:15" x14ac:dyDescent="0.35">
      <c r="A1649" t="s">
        <v>111</v>
      </c>
      <c r="B1649">
        <v>2021</v>
      </c>
      <c r="C1649">
        <v>865533.6875</v>
      </c>
      <c r="D1649" s="8">
        <v>0.97072458267211903</v>
      </c>
      <c r="E1649" s="8">
        <v>1.6E-2</v>
      </c>
      <c r="F1649">
        <v>2.0729691655178102</v>
      </c>
      <c r="G1649">
        <f t="shared" si="129"/>
        <v>2.1354864217114358</v>
      </c>
      <c r="H1649">
        <f t="shared" si="131"/>
        <v>-2.5970288173926992E-2</v>
      </c>
      <c r="I1649">
        <f t="shared" si="130"/>
        <v>0</v>
      </c>
      <c r="J1649" t="str">
        <f t="shared" si="132"/>
        <v/>
      </c>
      <c r="K1649">
        <v>1.2043310582637801E-2</v>
      </c>
      <c r="L1649">
        <v>-3.1546302139759098E-2</v>
      </c>
      <c r="M1649">
        <v>-4.1399566382169697E-2</v>
      </c>
      <c r="N1649">
        <v>-9.2960596084593998E-3</v>
      </c>
      <c r="O1649">
        <f t="shared" si="133"/>
        <v>-4.6256243251264007E-3</v>
      </c>
    </row>
    <row r="1650" spans="1:15" x14ac:dyDescent="0.35">
      <c r="A1650" t="s">
        <v>111</v>
      </c>
      <c r="B1650">
        <v>2022</v>
      </c>
      <c r="C1650">
        <v>868888.9375</v>
      </c>
      <c r="D1650" s="8">
        <v>0.95317387580871604</v>
      </c>
      <c r="E1650" s="8">
        <v>3.3000000000000002E-2</v>
      </c>
      <c r="F1650">
        <v>2.0899693320367998</v>
      </c>
      <c r="G1650">
        <f t="shared" si="129"/>
        <v>2.1926422713417053</v>
      </c>
      <c r="H1650">
        <f t="shared" si="131"/>
        <v>2.6764791875596883E-2</v>
      </c>
      <c r="I1650">
        <f t="shared" si="130"/>
        <v>1</v>
      </c>
      <c r="J1650" t="str">
        <f t="shared" si="132"/>
        <v/>
      </c>
      <c r="K1650">
        <v>-4.1399566382169697E-2</v>
      </c>
      <c r="L1650">
        <v>-8.8173560798167992E-3</v>
      </c>
      <c r="M1650">
        <v>-9.8486009836197003E-3</v>
      </c>
      <c r="N1650">
        <v>9.7103267908096001E-3</v>
      </c>
      <c r="O1650">
        <f t="shared" si="133"/>
        <v>2.4696539621799998E-3</v>
      </c>
    </row>
    <row r="1651" spans="1:15" x14ac:dyDescent="0.35">
      <c r="A1651" t="s">
        <v>112</v>
      </c>
      <c r="B1651">
        <v>2006</v>
      </c>
      <c r="C1651">
        <v>13570790</v>
      </c>
      <c r="D1651" s="8">
        <v>0.96498364210128795</v>
      </c>
      <c r="E1651" s="8">
        <v>7.0000000000000001E-3</v>
      </c>
      <c r="F1651">
        <v>2.3486712787473798</v>
      </c>
      <c r="G1651">
        <f t="shared" si="129"/>
        <v>2.4338975048665699</v>
      </c>
      <c r="H1651">
        <f t="shared" si="131"/>
        <v>0.11002945472598102</v>
      </c>
      <c r="I1651">
        <f t="shared" si="130"/>
        <v>1</v>
      </c>
      <c r="J1651" t="str">
        <f t="shared" si="132"/>
        <v/>
      </c>
      <c r="K1651">
        <v>3.69573064446449E-2</v>
      </c>
      <c r="L1651">
        <v>3.0594266951084099E-2</v>
      </c>
      <c r="M1651">
        <v>5.0660274088382598E-2</v>
      </c>
      <c r="N1651">
        <v>5.1582030020654097E-2</v>
      </c>
      <c r="O1651" t="str">
        <f t="shared" si="133"/>
        <v/>
      </c>
    </row>
    <row r="1652" spans="1:15" x14ac:dyDescent="0.35">
      <c r="A1652" t="s">
        <v>112</v>
      </c>
      <c r="B1652">
        <v>2007</v>
      </c>
      <c r="C1652">
        <v>13620770</v>
      </c>
      <c r="D1652" s="8">
        <v>0.96450549364089999</v>
      </c>
      <c r="E1652" s="8">
        <v>8.0000000000000002E-3</v>
      </c>
      <c r="F1652">
        <v>2.3313143456207301</v>
      </c>
      <c r="G1652">
        <f t="shared" si="129"/>
        <v>2.4171084156506772</v>
      </c>
      <c r="H1652">
        <f t="shared" si="131"/>
        <v>-6.898026388671985E-3</v>
      </c>
      <c r="I1652">
        <f t="shared" si="130"/>
        <v>0</v>
      </c>
      <c r="J1652" t="str">
        <f t="shared" si="132"/>
        <v/>
      </c>
      <c r="K1652">
        <v>5.0660274088382598E-2</v>
      </c>
      <c r="L1652">
        <v>5.1582030020654097E-2</v>
      </c>
      <c r="M1652">
        <v>-5.0342218309640897E-2</v>
      </c>
      <c r="N1652">
        <v>-2.08314140327274E-2</v>
      </c>
      <c r="O1652" t="str">
        <f t="shared" si="133"/>
        <v/>
      </c>
    </row>
    <row r="1653" spans="1:15" x14ac:dyDescent="0.35">
      <c r="A1653" t="s">
        <v>112</v>
      </c>
      <c r="B1653">
        <v>2008</v>
      </c>
      <c r="C1653">
        <v>13713630</v>
      </c>
      <c r="D1653" s="8">
        <v>0.96135348081588701</v>
      </c>
      <c r="E1653" s="8">
        <v>5.0000000000000001E-3</v>
      </c>
      <c r="F1653">
        <v>2.3305330529634301</v>
      </c>
      <c r="G1653">
        <f t="shared" si="129"/>
        <v>2.4242207465515597</v>
      </c>
      <c r="H1653">
        <f t="shared" si="131"/>
        <v>2.9424956095598365E-3</v>
      </c>
      <c r="I1653">
        <f t="shared" si="130"/>
        <v>1</v>
      </c>
      <c r="J1653" t="str">
        <f t="shared" si="132"/>
        <v/>
      </c>
      <c r="K1653">
        <v>-5.0342218309640897E-2</v>
      </c>
      <c r="L1653">
        <v>-2.08314140327274E-2</v>
      </c>
      <c r="M1653">
        <v>-8.0859706461429495E-2</v>
      </c>
      <c r="N1653">
        <v>-5.42930047959089E-2</v>
      </c>
      <c r="O1653" t="str">
        <f t="shared" si="133"/>
        <v/>
      </c>
    </row>
    <row r="1654" spans="1:15" x14ac:dyDescent="0.35">
      <c r="A1654" t="s">
        <v>112</v>
      </c>
      <c r="B1654">
        <v>2009</v>
      </c>
      <c r="C1654">
        <v>13821420</v>
      </c>
      <c r="D1654" s="8">
        <v>0.96126794815063499</v>
      </c>
      <c r="E1654" s="8">
        <v>8.0000000000000002E-3</v>
      </c>
      <c r="F1654">
        <v>2.36544225835876</v>
      </c>
      <c r="G1654">
        <f t="shared" si="129"/>
        <v>2.4607522417756558</v>
      </c>
      <c r="H1654">
        <f t="shared" si="131"/>
        <v>1.506937653102014E-2</v>
      </c>
      <c r="I1654">
        <f t="shared" si="130"/>
        <v>1</v>
      </c>
      <c r="J1654" t="str">
        <f t="shared" si="132"/>
        <v/>
      </c>
      <c r="K1654">
        <v>-8.0859706461429495E-2</v>
      </c>
      <c r="L1654">
        <v>-5.42930047959089E-2</v>
      </c>
      <c r="M1654">
        <v>1.6720223069190999E-2</v>
      </c>
      <c r="N1654">
        <v>2.6180331828072601E-2</v>
      </c>
      <c r="O1654" t="str">
        <f t="shared" si="133"/>
        <v/>
      </c>
    </row>
    <row r="1655" spans="1:15" x14ac:dyDescent="0.35">
      <c r="A1655" t="s">
        <v>112</v>
      </c>
      <c r="B1655">
        <v>2010</v>
      </c>
      <c r="C1655">
        <v>13957350</v>
      </c>
      <c r="D1655" s="8">
        <v>0.96276098489761397</v>
      </c>
      <c r="E1655" s="8">
        <v>6.0000000000000001E-3</v>
      </c>
      <c r="F1655">
        <v>2.4322695760313899</v>
      </c>
      <c r="G1655">
        <f t="shared" si="129"/>
        <v>2.5263482984720791</v>
      </c>
      <c r="H1655">
        <f t="shared" si="131"/>
        <v>2.6656912298123059E-2</v>
      </c>
      <c r="I1655">
        <f t="shared" si="130"/>
        <v>1</v>
      </c>
      <c r="J1655">
        <f t="shared" si="132"/>
        <v>4</v>
      </c>
      <c r="K1655">
        <v>1.6720223069190999E-2</v>
      </c>
      <c r="L1655">
        <v>2.6180331828072601E-2</v>
      </c>
      <c r="M1655">
        <v>-2.0944734446704399E-2</v>
      </c>
      <c r="N1655">
        <v>3.3904006704689802E-4</v>
      </c>
      <c r="O1655">
        <f t="shared" si="133"/>
        <v>6.6531812772156155E-4</v>
      </c>
    </row>
    <row r="1656" spans="1:15" x14ac:dyDescent="0.35">
      <c r="A1656" t="s">
        <v>112</v>
      </c>
      <c r="B1656">
        <v>2011</v>
      </c>
      <c r="C1656">
        <v>14141820</v>
      </c>
      <c r="D1656" s="8">
        <v>0.96300733089446999</v>
      </c>
      <c r="E1656" s="8">
        <v>6.0000000000000001E-3</v>
      </c>
      <c r="F1656">
        <v>2.4227862773673299</v>
      </c>
      <c r="G1656">
        <f t="shared" si="129"/>
        <v>2.5158544484983034</v>
      </c>
      <c r="H1656">
        <f t="shared" si="131"/>
        <v>-4.153762163404906E-3</v>
      </c>
      <c r="I1656">
        <f t="shared" si="130"/>
        <v>0</v>
      </c>
      <c r="J1656">
        <f t="shared" si="132"/>
        <v>3</v>
      </c>
      <c r="K1656">
        <v>-2.0944734446704399E-2</v>
      </c>
      <c r="L1656">
        <v>3.3904006704689802E-4</v>
      </c>
      <c r="M1656">
        <v>-6.1394006982445999E-3</v>
      </c>
      <c r="N1656">
        <v>-7.0119462907320003E-4</v>
      </c>
      <c r="O1656">
        <f t="shared" si="133"/>
        <v>-1.1906433850526778E-3</v>
      </c>
    </row>
    <row r="1657" spans="1:15" x14ac:dyDescent="0.35">
      <c r="A1657" t="s">
        <v>112</v>
      </c>
      <c r="B1657">
        <v>2012</v>
      </c>
      <c r="C1657">
        <v>14308750</v>
      </c>
      <c r="D1657" s="8">
        <v>0.96528148651123002</v>
      </c>
      <c r="E1657" s="8">
        <v>5.0000000000000001E-3</v>
      </c>
      <c r="F1657">
        <v>2.4135408333768602</v>
      </c>
      <c r="G1657">
        <f t="shared" si="129"/>
        <v>2.5003492422712918</v>
      </c>
      <c r="H1657">
        <f t="shared" si="131"/>
        <v>-6.1629981163124903E-3</v>
      </c>
      <c r="I1657">
        <f t="shared" si="130"/>
        <v>0</v>
      </c>
      <c r="J1657">
        <f t="shared" si="132"/>
        <v>3</v>
      </c>
      <c r="K1657">
        <v>-6.1394006982445999E-3</v>
      </c>
      <c r="L1657">
        <v>-7.86793418228699E-4</v>
      </c>
      <c r="M1657">
        <v>3.5046624392271E-3</v>
      </c>
      <c r="N1657">
        <v>-2.6221089065074899E-3</v>
      </c>
      <c r="O1657">
        <f t="shared" si="133"/>
        <v>-3.5435823723673375E-3</v>
      </c>
    </row>
    <row r="1658" spans="1:15" x14ac:dyDescent="0.35">
      <c r="A1658" t="s">
        <v>112</v>
      </c>
      <c r="B1658">
        <v>2013</v>
      </c>
      <c r="C1658">
        <v>14449810</v>
      </c>
      <c r="D1658" s="8">
        <v>0.96741575002670299</v>
      </c>
      <c r="E1658" s="8">
        <v>6.0000000000000001E-3</v>
      </c>
      <c r="F1658">
        <v>2.41358706398927</v>
      </c>
      <c r="G1658">
        <f t="shared" si="129"/>
        <v>2.4948808864468552</v>
      </c>
      <c r="H1658">
        <f t="shared" si="131"/>
        <v>-2.1870368074937696E-3</v>
      </c>
      <c r="I1658">
        <f t="shared" si="130"/>
        <v>0</v>
      </c>
      <c r="J1658">
        <f t="shared" si="132"/>
        <v>2</v>
      </c>
      <c r="K1658">
        <v>3.5046624392271E-3</v>
      </c>
      <c r="L1658">
        <v>-2.6221089065074899E-3</v>
      </c>
      <c r="M1658">
        <v>9.8270911872386998E-3</v>
      </c>
      <c r="N1658">
        <v>7.8190676867961901E-3</v>
      </c>
      <c r="O1658">
        <f t="shared" si="133"/>
        <v>-4.8820922151207374E-3</v>
      </c>
    </row>
    <row r="1659" spans="1:15" x14ac:dyDescent="0.35">
      <c r="A1659" t="s">
        <v>112</v>
      </c>
      <c r="B1659">
        <v>2014</v>
      </c>
      <c r="C1659">
        <v>14579630</v>
      </c>
      <c r="D1659" s="8">
        <v>0.96779066324233998</v>
      </c>
      <c r="E1659" s="8">
        <v>8.0000000000000002E-3</v>
      </c>
      <c r="F1659">
        <v>2.4128595047338601</v>
      </c>
      <c r="G1659">
        <f t="shared" si="129"/>
        <v>2.4931626191248624</v>
      </c>
      <c r="H1659">
        <f t="shared" si="131"/>
        <v>-6.8871717737195581E-4</v>
      </c>
      <c r="I1659">
        <f t="shared" si="130"/>
        <v>0</v>
      </c>
      <c r="J1659">
        <f t="shared" si="132"/>
        <v>1</v>
      </c>
      <c r="K1659">
        <v>9.8270911872386998E-3</v>
      </c>
      <c r="L1659">
        <v>7.8190676867961901E-3</v>
      </c>
      <c r="M1659">
        <v>2.87552384436131E-2</v>
      </c>
      <c r="N1659">
        <v>-1.50821357965459E-3</v>
      </c>
      <c r="O1659">
        <f t="shared" si="133"/>
        <v>-9.3920817598699951E-3</v>
      </c>
    </row>
    <row r="1660" spans="1:15" x14ac:dyDescent="0.35">
      <c r="A1660" t="s">
        <v>112</v>
      </c>
      <c r="B1660">
        <v>2015</v>
      </c>
      <c r="C1660">
        <v>14693130</v>
      </c>
      <c r="D1660" s="8">
        <v>0.96586233377456698</v>
      </c>
      <c r="E1660" s="8">
        <v>1.0999999999999999E-2</v>
      </c>
      <c r="F1660">
        <v>2.40848860957691</v>
      </c>
      <c r="G1660">
        <f t="shared" si="129"/>
        <v>2.4936147992898676</v>
      </c>
      <c r="H1660">
        <f t="shared" si="131"/>
        <v>1.8136809911095675E-4</v>
      </c>
      <c r="I1660">
        <f t="shared" si="130"/>
        <v>1</v>
      </c>
      <c r="J1660">
        <f t="shared" si="132"/>
        <v>1</v>
      </c>
      <c r="K1660">
        <v>2.87552384436131E-2</v>
      </c>
      <c r="L1660">
        <v>-1.50821357965459E-3</v>
      </c>
      <c r="M1660">
        <v>4.2127895057201001E-3</v>
      </c>
      <c r="N1660">
        <v>-8.9407674968242992E-3</v>
      </c>
      <c r="O1660">
        <f t="shared" si="133"/>
        <v>-1.8633154593408058E-2</v>
      </c>
    </row>
    <row r="1661" spans="1:15" x14ac:dyDescent="0.35">
      <c r="A1661" t="s">
        <v>112</v>
      </c>
      <c r="B1661">
        <v>2016</v>
      </c>
      <c r="C1661">
        <v>14781160</v>
      </c>
      <c r="D1661" s="8">
        <v>0.96937310695648204</v>
      </c>
      <c r="E1661" s="8">
        <v>1.2E-2</v>
      </c>
      <c r="F1661">
        <v>2.4291497638224802</v>
      </c>
      <c r="G1661">
        <f t="shared" si="129"/>
        <v>2.5058976222779941</v>
      </c>
      <c r="H1661">
        <f t="shared" si="131"/>
        <v>4.9257098536727995E-3</v>
      </c>
      <c r="I1661">
        <f t="shared" si="130"/>
        <v>1</v>
      </c>
      <c r="J1661">
        <f t="shared" si="132"/>
        <v>2</v>
      </c>
      <c r="K1661">
        <v>4.2127895057201001E-3</v>
      </c>
      <c r="L1661">
        <v>-8.9407674968242992E-3</v>
      </c>
      <c r="M1661">
        <v>-9.6763161048293005E-3</v>
      </c>
      <c r="N1661">
        <v>-1.2465889565646499E-2</v>
      </c>
      <c r="O1661">
        <f t="shared" si="133"/>
        <v>-2.2809754870831919E-2</v>
      </c>
    </row>
    <row r="1662" spans="1:15" x14ac:dyDescent="0.35">
      <c r="A1662" t="s">
        <v>112</v>
      </c>
      <c r="B1662">
        <v>2017</v>
      </c>
      <c r="C1662">
        <v>14838010</v>
      </c>
      <c r="D1662" s="8">
        <v>0.96770882606506303</v>
      </c>
      <c r="E1662" s="8">
        <v>2.1000000000000001E-2</v>
      </c>
      <c r="F1662">
        <v>2.4085964269788001</v>
      </c>
      <c r="G1662">
        <f t="shared" si="129"/>
        <v>2.4889681297759085</v>
      </c>
      <c r="H1662">
        <f t="shared" si="131"/>
        <v>-6.755859597606273E-3</v>
      </c>
      <c r="I1662">
        <f t="shared" si="130"/>
        <v>0</v>
      </c>
      <c r="J1662">
        <f t="shared" si="132"/>
        <v>2</v>
      </c>
      <c r="K1662">
        <v>-9.6763161048293005E-3</v>
      </c>
      <c r="L1662">
        <v>-1.2465889565646499E-2</v>
      </c>
      <c r="M1662">
        <v>-1.7963515222070201E-4</v>
      </c>
      <c r="N1662">
        <v>-9.31465812027449E-3</v>
      </c>
      <c r="O1662">
        <f t="shared" si="133"/>
        <v>-2.2539428621530477E-2</v>
      </c>
    </row>
    <row r="1663" spans="1:15" x14ac:dyDescent="0.35">
      <c r="A1663" t="s">
        <v>112</v>
      </c>
      <c r="B1663">
        <v>2018</v>
      </c>
      <c r="C1663">
        <v>14875710</v>
      </c>
      <c r="D1663" s="8">
        <v>0.97210711240768399</v>
      </c>
      <c r="E1663" s="8">
        <v>1.7000000000000001E-2</v>
      </c>
      <c r="F1663">
        <v>2.3806297892904502</v>
      </c>
      <c r="G1663">
        <f t="shared" si="129"/>
        <v>2.4489377342319636</v>
      </c>
      <c r="H1663">
        <f t="shared" si="131"/>
        <v>-1.6083129014411668E-2</v>
      </c>
      <c r="I1663">
        <f t="shared" si="130"/>
        <v>0</v>
      </c>
      <c r="J1663">
        <f t="shared" si="132"/>
        <v>2</v>
      </c>
      <c r="K1663">
        <v>-1.7963515222070201E-4</v>
      </c>
      <c r="L1663">
        <v>-9.31465812027449E-3</v>
      </c>
      <c r="M1663">
        <v>3.0703145712613999E-3</v>
      </c>
      <c r="N1663">
        <v>-1.4730880036950099E-2</v>
      </c>
      <c r="O1663">
        <f t="shared" si="133"/>
        <v>-2.0511204004287679E-2</v>
      </c>
    </row>
    <row r="1664" spans="1:15" x14ac:dyDescent="0.35">
      <c r="A1664" t="s">
        <v>112</v>
      </c>
      <c r="B1664">
        <v>2019</v>
      </c>
      <c r="C1664">
        <v>14897850</v>
      </c>
      <c r="D1664" s="8">
        <v>0.97183603048324596</v>
      </c>
      <c r="E1664" s="8">
        <v>1.4999999999999999E-2</v>
      </c>
      <c r="F1664">
        <v>2.3632116761289299</v>
      </c>
      <c r="G1664">
        <f t="shared" si="129"/>
        <v>2.4316979428657546</v>
      </c>
      <c r="H1664">
        <f t="shared" si="131"/>
        <v>-7.0397017960996955E-3</v>
      </c>
      <c r="I1664">
        <f t="shared" si="130"/>
        <v>0</v>
      </c>
      <c r="J1664" t="str">
        <f t="shared" si="132"/>
        <v/>
      </c>
      <c r="K1664">
        <v>3.0703145712613999E-3</v>
      </c>
      <c r="L1664">
        <v>-1.4730880036950099E-2</v>
      </c>
      <c r="M1664">
        <v>-2.8864387318491901E-2</v>
      </c>
      <c r="N1664">
        <v>-4.7713577747344901E-2</v>
      </c>
      <c r="O1664">
        <f t="shared" si="133"/>
        <v>-1.6870797984302001E-2</v>
      </c>
    </row>
    <row r="1665" spans="1:15" x14ac:dyDescent="0.35">
      <c r="A1665" t="s">
        <v>112</v>
      </c>
      <c r="B1665">
        <v>2020</v>
      </c>
      <c r="C1665">
        <v>14749930</v>
      </c>
      <c r="D1665" s="8">
        <v>0.96398824453353904</v>
      </c>
      <c r="E1665" s="8">
        <v>1.2E-2</v>
      </c>
      <c r="F1665">
        <v>2.4379991990277299</v>
      </c>
      <c r="G1665">
        <f t="shared" si="129"/>
        <v>2.5290756529997362</v>
      </c>
      <c r="H1665">
        <f t="shared" si="131"/>
        <v>4.0045150517017847E-2</v>
      </c>
      <c r="I1665">
        <f t="shared" si="130"/>
        <v>1</v>
      </c>
      <c r="J1665" t="str">
        <f t="shared" si="132"/>
        <v/>
      </c>
      <c r="K1665">
        <v>-2.8864387318491901E-2</v>
      </c>
      <c r="L1665">
        <v>-4.7713577747344901E-2</v>
      </c>
      <c r="M1665">
        <v>1.37658438384533E-2</v>
      </c>
      <c r="N1665">
        <v>-2.9823768883943599E-2</v>
      </c>
      <c r="O1665">
        <f t="shared" si="133"/>
        <v>-6.3703459687530798E-3</v>
      </c>
    </row>
    <row r="1666" spans="1:15" x14ac:dyDescent="0.35">
      <c r="A1666" t="s">
        <v>112</v>
      </c>
      <c r="B1666">
        <v>2021</v>
      </c>
      <c r="C1666">
        <v>14510080</v>
      </c>
      <c r="D1666" s="8">
        <v>0.97492724657058705</v>
      </c>
      <c r="E1666" s="8">
        <v>1.4E-2</v>
      </c>
      <c r="F1666">
        <v>2.3405066648701598</v>
      </c>
      <c r="G1666">
        <f t="shared" si="129"/>
        <v>2.4006987937850206</v>
      </c>
      <c r="H1666">
        <f t="shared" si="131"/>
        <v>-5.0760387125014628E-2</v>
      </c>
      <c r="I1666">
        <f t="shared" si="130"/>
        <v>0</v>
      </c>
      <c r="J1666" t="str">
        <f t="shared" si="132"/>
        <v/>
      </c>
      <c r="K1666">
        <v>1.37658438384533E-2</v>
      </c>
      <c r="L1666">
        <v>-2.9823768883943599E-2</v>
      </c>
      <c r="M1666">
        <v>-4.3217765092849698E-2</v>
      </c>
      <c r="N1666">
        <v>-1.11142583191393E-2</v>
      </c>
      <c r="O1666">
        <f t="shared" si="133"/>
        <v>7.0740852504968792E-3</v>
      </c>
    </row>
    <row r="1667" spans="1:15" x14ac:dyDescent="0.35">
      <c r="A1667" t="s">
        <v>112</v>
      </c>
      <c r="B1667">
        <v>2022</v>
      </c>
      <c r="C1667">
        <v>14464830</v>
      </c>
      <c r="D1667" s="8">
        <v>0.97359549999237105</v>
      </c>
      <c r="E1667" s="8">
        <v>0.02</v>
      </c>
      <c r="F1667">
        <v>2.3231686227520898</v>
      </c>
      <c r="G1667">
        <f t="shared" ref="G1667:G1730" si="134">F1667/D1667</f>
        <v>2.3861743637581458</v>
      </c>
      <c r="H1667">
        <f t="shared" si="131"/>
        <v>-6.0500842773262287E-3</v>
      </c>
      <c r="I1667">
        <f t="shared" ref="I1667:I1730" si="135">IF(H1667&gt;0,1,0)</f>
        <v>0</v>
      </c>
      <c r="J1667" t="str">
        <f t="shared" si="132"/>
        <v/>
      </c>
      <c r="K1667">
        <v>-4.3217765092849698E-2</v>
      </c>
      <c r="L1667">
        <v>-1.06355547904967E-2</v>
      </c>
      <c r="M1667">
        <v>-1.8732462808489801E-2</v>
      </c>
      <c r="N1667">
        <v>8.2646496593950097E-4</v>
      </c>
      <c r="O1667">
        <f t="shared" si="133"/>
        <v>8.7483854498713997E-3</v>
      </c>
    </row>
    <row r="1668" spans="1:15" x14ac:dyDescent="0.35">
      <c r="A1668" t="s">
        <v>113</v>
      </c>
      <c r="B1668">
        <v>2006</v>
      </c>
      <c r="C1668">
        <v>1665115</v>
      </c>
      <c r="D1668" s="8">
        <v>0.93273597955703702</v>
      </c>
      <c r="E1668" s="8">
        <v>2.7E-2</v>
      </c>
      <c r="F1668">
        <v>2.35427294278273</v>
      </c>
      <c r="G1668">
        <f t="shared" si="134"/>
        <v>2.524050743599267</v>
      </c>
      <c r="H1668">
        <f t="shared" ref="H1668:H1731" si="136">+G1668/G1667-1</f>
        <v>5.7781351579006213E-2</v>
      </c>
      <c r="I1668">
        <f t="shared" si="135"/>
        <v>1</v>
      </c>
      <c r="J1668" t="str">
        <f t="shared" si="132"/>
        <v/>
      </c>
      <c r="K1668">
        <v>1.08469404578208E-2</v>
      </c>
      <c r="L1668">
        <v>4.4839009642600996E-3</v>
      </c>
      <c r="M1668">
        <v>2.54939413070679E-3</v>
      </c>
      <c r="N1668">
        <v>3.4711500629783002E-3</v>
      </c>
      <c r="O1668" t="str">
        <f t="shared" si="133"/>
        <v/>
      </c>
    </row>
    <row r="1669" spans="1:15" x14ac:dyDescent="0.35">
      <c r="A1669" t="s">
        <v>113</v>
      </c>
      <c r="B1669">
        <v>2007</v>
      </c>
      <c r="C1669">
        <v>1663293</v>
      </c>
      <c r="D1669" s="8">
        <v>0.93364971876144398</v>
      </c>
      <c r="E1669" s="8">
        <v>8.0000000000000002E-3</v>
      </c>
      <c r="F1669">
        <v>2.3766572024168302</v>
      </c>
      <c r="G1669">
        <f t="shared" si="134"/>
        <v>2.5455555275801327</v>
      </c>
      <c r="H1669">
        <f t="shared" si="136"/>
        <v>8.5199491473773037E-3</v>
      </c>
      <c r="I1669">
        <f t="shared" si="135"/>
        <v>1</v>
      </c>
      <c r="J1669" t="str">
        <f t="shared" si="132"/>
        <v/>
      </c>
      <c r="K1669">
        <v>2.54939413070679E-3</v>
      </c>
      <c r="L1669">
        <v>3.4711500629783002E-3</v>
      </c>
      <c r="M1669">
        <v>-2.47221219465137E-2</v>
      </c>
      <c r="N1669">
        <v>4.7886823303996996E-3</v>
      </c>
      <c r="O1669" t="str">
        <f t="shared" si="133"/>
        <v/>
      </c>
    </row>
    <row r="1670" spans="1:15" x14ac:dyDescent="0.35">
      <c r="A1670" t="s">
        <v>113</v>
      </c>
      <c r="B1670">
        <v>2008</v>
      </c>
      <c r="C1670">
        <v>1664077</v>
      </c>
      <c r="D1670" s="8">
        <v>0.92923361063003496</v>
      </c>
      <c r="E1670" s="8">
        <v>1.4E-2</v>
      </c>
      <c r="F1670">
        <v>2.4141174899272002</v>
      </c>
      <c r="G1670">
        <f t="shared" si="134"/>
        <v>2.5979661759010102</v>
      </c>
      <c r="H1670">
        <f t="shared" si="136"/>
        <v>2.0589080753897537E-2</v>
      </c>
      <c r="I1670">
        <f t="shared" si="135"/>
        <v>1</v>
      </c>
      <c r="J1670" t="str">
        <f t="shared" si="132"/>
        <v/>
      </c>
      <c r="K1670">
        <v>-2.47221219465137E-2</v>
      </c>
      <c r="L1670">
        <v>4.7886823303996996E-3</v>
      </c>
      <c r="M1670">
        <v>1.0831685546785499E-2</v>
      </c>
      <c r="N1670">
        <v>3.7398387212306199E-2</v>
      </c>
      <c r="O1670" t="str">
        <f t="shared" si="133"/>
        <v/>
      </c>
    </row>
    <row r="1671" spans="1:15" x14ac:dyDescent="0.35">
      <c r="A1671" t="s">
        <v>113</v>
      </c>
      <c r="B1671">
        <v>2009</v>
      </c>
      <c r="C1671">
        <v>1671540</v>
      </c>
      <c r="D1671" s="8">
        <v>0.92822659015655495</v>
      </c>
      <c r="E1671" s="8">
        <v>1.2999999999999999E-2</v>
      </c>
      <c r="F1671">
        <v>2.31686891877118</v>
      </c>
      <c r="G1671">
        <f t="shared" si="134"/>
        <v>2.4960165366307985</v>
      </c>
      <c r="H1671">
        <f t="shared" si="136"/>
        <v>-3.924209645833987E-2</v>
      </c>
      <c r="I1671">
        <f t="shared" si="135"/>
        <v>0</v>
      </c>
      <c r="J1671" t="str">
        <f t="shared" ref="J1671:J1734" si="137">IF(AND(B1671&gt;=2010,B1671&lt;=2018),SUM(I1667:I1671),"")</f>
        <v/>
      </c>
      <c r="K1671">
        <v>1.0831685546785499E-2</v>
      </c>
      <c r="L1671">
        <v>3.7398387212306199E-2</v>
      </c>
      <c r="M1671">
        <v>-1.22028660811483E-2</v>
      </c>
      <c r="N1671">
        <v>-2.7427573222667001E-3</v>
      </c>
      <c r="O1671" t="str">
        <f t="shared" ref="O1671:O1734" si="138">IF(B1671&gt;=2010,AVERAGE(N1671:N1675),"")</f>
        <v/>
      </c>
    </row>
    <row r="1672" spans="1:15" x14ac:dyDescent="0.35">
      <c r="A1672" t="s">
        <v>113</v>
      </c>
      <c r="B1672">
        <v>2010</v>
      </c>
      <c r="C1672">
        <v>1682631</v>
      </c>
      <c r="D1672" s="8">
        <v>0.92700779438018799</v>
      </c>
      <c r="E1672" s="8">
        <v>0.01</v>
      </c>
      <c r="F1672">
        <v>2.3672812631843501</v>
      </c>
      <c r="G1672">
        <f t="shared" si="134"/>
        <v>2.5536799987395487</v>
      </c>
      <c r="H1672">
        <f t="shared" si="136"/>
        <v>2.3102195543378112E-2</v>
      </c>
      <c r="I1672">
        <f t="shared" si="135"/>
        <v>1</v>
      </c>
      <c r="J1672">
        <f t="shared" si="137"/>
        <v>4</v>
      </c>
      <c r="K1672">
        <v>-1.22028660811483E-2</v>
      </c>
      <c r="L1672">
        <v>-2.7427573222667001E-3</v>
      </c>
      <c r="M1672">
        <v>-2.8075808070599999E-2</v>
      </c>
      <c r="N1672">
        <v>-6.7920335568487297E-3</v>
      </c>
      <c r="O1672">
        <f t="shared" si="138"/>
        <v>-1.1545325722545328E-2</v>
      </c>
    </row>
    <row r="1673" spans="1:15" x14ac:dyDescent="0.35">
      <c r="A1673" t="s">
        <v>113</v>
      </c>
      <c r="B1673">
        <v>2011</v>
      </c>
      <c r="C1673">
        <v>1692270</v>
      </c>
      <c r="D1673" s="8">
        <v>0.92332381010055498</v>
      </c>
      <c r="E1673" s="8">
        <v>1.2999999999999999E-2</v>
      </c>
      <c r="F1673">
        <v>2.3774330549624798</v>
      </c>
      <c r="G1673">
        <f t="shared" si="134"/>
        <v>2.5748638007110034</v>
      </c>
      <c r="H1673">
        <f t="shared" si="136"/>
        <v>8.2954019226804121E-3</v>
      </c>
      <c r="I1673">
        <f t="shared" si="135"/>
        <v>1</v>
      </c>
      <c r="J1673">
        <f t="shared" si="137"/>
        <v>4</v>
      </c>
      <c r="K1673">
        <v>-2.8075808070599999E-2</v>
      </c>
      <c r="L1673">
        <v>-6.7920335568487297E-3</v>
      </c>
      <c r="M1673">
        <v>-1.8122065629809999E-2</v>
      </c>
      <c r="N1673">
        <v>-1.26838595606386E-2</v>
      </c>
      <c r="O1673">
        <f t="shared" si="138"/>
        <v>-1.1271074973046722E-2</v>
      </c>
    </row>
    <row r="1674" spans="1:15" x14ac:dyDescent="0.35">
      <c r="A1674" t="s">
        <v>113</v>
      </c>
      <c r="B1674">
        <v>2012</v>
      </c>
      <c r="C1674">
        <v>1704917</v>
      </c>
      <c r="D1674" s="8">
        <v>0.92688482999801602</v>
      </c>
      <c r="E1674" s="8">
        <v>1.4E-2</v>
      </c>
      <c r="F1674">
        <v>2.3914525112370502</v>
      </c>
      <c r="G1674">
        <f t="shared" si="134"/>
        <v>2.580096721663002</v>
      </c>
      <c r="H1674">
        <f t="shared" si="136"/>
        <v>2.0323098062715594E-3</v>
      </c>
      <c r="I1674">
        <f t="shared" si="135"/>
        <v>1</v>
      </c>
      <c r="J1674">
        <f t="shared" si="137"/>
        <v>4</v>
      </c>
      <c r="K1674">
        <v>-1.8122065629809999E-2</v>
      </c>
      <c r="L1674">
        <v>-1.2769458349794101E-2</v>
      </c>
      <c r="M1674">
        <v>-5.7180890440940799E-3</v>
      </c>
      <c r="N1674">
        <v>-1.18448603898286E-2</v>
      </c>
      <c r="O1674">
        <f t="shared" si="138"/>
        <v>-9.6994985826312982E-3</v>
      </c>
    </row>
    <row r="1675" spans="1:15" x14ac:dyDescent="0.35">
      <c r="A1675" t="s">
        <v>113</v>
      </c>
      <c r="B1675">
        <v>2013</v>
      </c>
      <c r="C1675">
        <v>1714862</v>
      </c>
      <c r="D1675" s="8">
        <v>0.92228907346725497</v>
      </c>
      <c r="E1675" s="8">
        <v>1.7999999999999999E-2</v>
      </c>
      <c r="F1675">
        <v>2.3398484012429899</v>
      </c>
      <c r="G1675">
        <f t="shared" si="134"/>
        <v>2.537001107956923</v>
      </c>
      <c r="H1675">
        <f t="shared" si="136"/>
        <v>-1.6703100059869747E-2</v>
      </c>
      <c r="I1675">
        <f t="shared" si="135"/>
        <v>0</v>
      </c>
      <c r="J1675">
        <f t="shared" si="137"/>
        <v>3</v>
      </c>
      <c r="K1675">
        <v>-5.7180890440940799E-3</v>
      </c>
      <c r="L1675">
        <v>-1.18448603898286E-2</v>
      </c>
      <c r="M1675">
        <v>-1.27655655927956E-2</v>
      </c>
      <c r="N1675">
        <v>-1.47735890932381E-2</v>
      </c>
      <c r="O1675">
        <f t="shared" si="138"/>
        <v>-7.4842029251157762E-3</v>
      </c>
    </row>
    <row r="1676" spans="1:15" x14ac:dyDescent="0.35">
      <c r="A1676" t="s">
        <v>113</v>
      </c>
      <c r="B1676">
        <v>2014</v>
      </c>
      <c r="C1676">
        <v>1725993</v>
      </c>
      <c r="D1676" s="8">
        <v>0.91280108690261796</v>
      </c>
      <c r="E1676" s="8">
        <v>0.03</v>
      </c>
      <c r="F1676">
        <v>2.3938275892004501</v>
      </c>
      <c r="G1676">
        <f t="shared" si="134"/>
        <v>2.6225073825485432</v>
      </c>
      <c r="H1676">
        <f t="shared" si="136"/>
        <v>3.3703680429402416E-2</v>
      </c>
      <c r="I1676">
        <f t="shared" si="135"/>
        <v>1</v>
      </c>
      <c r="J1676">
        <f t="shared" si="137"/>
        <v>4</v>
      </c>
      <c r="K1676">
        <v>-1.27655655927956E-2</v>
      </c>
      <c r="L1676">
        <v>-1.47735890932381E-2</v>
      </c>
      <c r="M1676">
        <v>1.86311660110949E-2</v>
      </c>
      <c r="N1676">
        <v>-1.16322860121726E-2</v>
      </c>
      <c r="O1676">
        <f t="shared" si="138"/>
        <v>-2.9133863747119399E-3</v>
      </c>
    </row>
    <row r="1677" spans="1:15" x14ac:dyDescent="0.35">
      <c r="A1677" t="s">
        <v>113</v>
      </c>
      <c r="B1677">
        <v>2015</v>
      </c>
      <c r="C1677">
        <v>1733087</v>
      </c>
      <c r="D1677" s="8">
        <v>0.92115533351898204</v>
      </c>
      <c r="E1677" s="8">
        <v>1.2E-2</v>
      </c>
      <c r="F1677">
        <v>2.3559561539859</v>
      </c>
      <c r="G1677">
        <f t="shared" si="134"/>
        <v>2.557610066681931</v>
      </c>
      <c r="H1677">
        <f t="shared" si="136"/>
        <v>-2.4746285291119108E-2</v>
      </c>
      <c r="I1677">
        <f t="shared" si="135"/>
        <v>0</v>
      </c>
      <c r="J1677">
        <f t="shared" si="137"/>
        <v>3</v>
      </c>
      <c r="K1677">
        <v>1.86311660110949E-2</v>
      </c>
      <c r="L1677">
        <v>-1.16322860121726E-2</v>
      </c>
      <c r="M1677">
        <v>7.7327771931886896E-3</v>
      </c>
      <c r="N1677">
        <v>-5.4207798093557002E-3</v>
      </c>
      <c r="O1677">
        <f t="shared" si="138"/>
        <v>4.0328908711672207E-3</v>
      </c>
    </row>
    <row r="1678" spans="1:15" x14ac:dyDescent="0.35">
      <c r="A1678" t="s">
        <v>113</v>
      </c>
      <c r="B1678">
        <v>2016</v>
      </c>
      <c r="C1678">
        <v>1738343</v>
      </c>
      <c r="D1678" s="8">
        <v>0.91917675733566295</v>
      </c>
      <c r="E1678" s="8">
        <v>0.02</v>
      </c>
      <c r="F1678">
        <v>2.35810756652773</v>
      </c>
      <c r="G1678">
        <f t="shared" si="134"/>
        <v>2.5654560428213715</v>
      </c>
      <c r="H1678">
        <f t="shared" si="136"/>
        <v>3.0676983335538033E-3</v>
      </c>
      <c r="I1678">
        <f t="shared" si="135"/>
        <v>1</v>
      </c>
      <c r="J1678">
        <f t="shared" si="137"/>
        <v>3</v>
      </c>
      <c r="K1678">
        <v>7.7327771931886896E-3</v>
      </c>
      <c r="L1678">
        <v>-5.4207798093557002E-3</v>
      </c>
      <c r="M1678">
        <v>-2.0364041477442E-3</v>
      </c>
      <c r="N1678">
        <v>-4.8259776085614898E-3</v>
      </c>
      <c r="O1678">
        <f t="shared" si="138"/>
        <v>8.7947413325309611E-3</v>
      </c>
    </row>
    <row r="1679" spans="1:15" x14ac:dyDescent="0.35">
      <c r="A1679" t="s">
        <v>113</v>
      </c>
      <c r="B1679">
        <v>2017</v>
      </c>
      <c r="C1679">
        <v>1743217</v>
      </c>
      <c r="D1679" s="8">
        <v>0.92569750547409102</v>
      </c>
      <c r="E1679" s="8">
        <v>1.2E-2</v>
      </c>
      <c r="F1679">
        <v>2.3439373364687102</v>
      </c>
      <c r="G1679">
        <f t="shared" si="134"/>
        <v>2.5320769718054659</v>
      </c>
      <c r="H1679">
        <f t="shared" si="136"/>
        <v>-1.3010969768633029E-2</v>
      </c>
      <c r="I1679">
        <f t="shared" si="135"/>
        <v>0</v>
      </c>
      <c r="J1679">
        <f t="shared" si="137"/>
        <v>2</v>
      </c>
      <c r="K1679">
        <v>-2.0364041477442E-3</v>
      </c>
      <c r="L1679">
        <v>-4.8259776085614898E-3</v>
      </c>
      <c r="M1679">
        <v>8.3666408658027904E-3</v>
      </c>
      <c r="N1679">
        <v>-7.6838210225099702E-4</v>
      </c>
      <c r="O1679">
        <f t="shared" si="138"/>
        <v>1.0675030574202519E-2</v>
      </c>
    </row>
    <row r="1680" spans="1:15" x14ac:dyDescent="0.35">
      <c r="A1680" t="s">
        <v>113</v>
      </c>
      <c r="B1680">
        <v>2018</v>
      </c>
      <c r="C1680">
        <v>1749649</v>
      </c>
      <c r="D1680" s="8">
        <v>0.93438547849655196</v>
      </c>
      <c r="E1680" s="8">
        <v>1.7999999999999999E-2</v>
      </c>
      <c r="F1680">
        <v>2.2259811406891901</v>
      </c>
      <c r="G1680">
        <f t="shared" si="134"/>
        <v>2.3822942371395217</v>
      </c>
      <c r="H1680">
        <f t="shared" si="136"/>
        <v>-5.915410010586819E-2</v>
      </c>
      <c r="I1680">
        <f t="shared" si="135"/>
        <v>0</v>
      </c>
      <c r="J1680">
        <f t="shared" si="137"/>
        <v>2</v>
      </c>
      <c r="K1680">
        <v>8.3666408658027904E-3</v>
      </c>
      <c r="L1680">
        <v>-7.6838210225099702E-4</v>
      </c>
      <c r="M1680">
        <v>2.5881688266992501E-2</v>
      </c>
      <c r="N1680">
        <v>8.0804936587810898E-3</v>
      </c>
      <c r="O1680">
        <f t="shared" si="138"/>
        <v>1.2290969118475879E-2</v>
      </c>
    </row>
    <row r="1681" spans="1:15" x14ac:dyDescent="0.35">
      <c r="A1681" t="s">
        <v>113</v>
      </c>
      <c r="B1681">
        <v>2019</v>
      </c>
      <c r="C1681">
        <v>1758447</v>
      </c>
      <c r="D1681" s="8">
        <v>0.93720352649688698</v>
      </c>
      <c r="E1681" s="8">
        <v>1.6E-2</v>
      </c>
      <c r="F1681">
        <v>2.2977959317945</v>
      </c>
      <c r="G1681">
        <f t="shared" si="134"/>
        <v>2.4517576671774637</v>
      </c>
      <c r="H1681">
        <f t="shared" si="136"/>
        <v>2.9158207644975231E-2</v>
      </c>
      <c r="I1681">
        <f t="shared" si="135"/>
        <v>1</v>
      </c>
      <c r="J1681" t="str">
        <f t="shared" si="137"/>
        <v/>
      </c>
      <c r="K1681">
        <v>2.5881688266992501E-2</v>
      </c>
      <c r="L1681">
        <v>8.0804936587810898E-3</v>
      </c>
      <c r="M1681">
        <v>4.1948290646076199E-2</v>
      </c>
      <c r="N1681">
        <v>2.3099100217223199E-2</v>
      </c>
      <c r="O1681">
        <f t="shared" si="138"/>
        <v>1.0318986512720544E-2</v>
      </c>
    </row>
    <row r="1682" spans="1:15" x14ac:dyDescent="0.35">
      <c r="A1682" t="s">
        <v>113</v>
      </c>
      <c r="B1682">
        <v>2020</v>
      </c>
      <c r="C1682">
        <v>1765671</v>
      </c>
      <c r="D1682" s="8">
        <v>0.95994818210601796</v>
      </c>
      <c r="E1682" s="8">
        <v>0.02</v>
      </c>
      <c r="F1682">
        <v>2.0651219699325201</v>
      </c>
      <c r="G1682">
        <f t="shared" si="134"/>
        <v>2.1512848385231331</v>
      </c>
      <c r="H1682">
        <f t="shared" si="136"/>
        <v>-0.1225540487450556</v>
      </c>
      <c r="I1682">
        <f t="shared" si="135"/>
        <v>0</v>
      </c>
      <c r="J1682" t="str">
        <f t="shared" si="137"/>
        <v/>
      </c>
      <c r="K1682">
        <v>4.1948290646076199E-2</v>
      </c>
      <c r="L1682">
        <v>2.3099100217223199E-2</v>
      </c>
      <c r="M1682">
        <v>6.1978085219859903E-2</v>
      </c>
      <c r="N1682">
        <v>1.8388472497463001E-2</v>
      </c>
      <c r="O1682">
        <f t="shared" si="138"/>
        <v>1.1423940770327622E-3</v>
      </c>
    </row>
    <row r="1683" spans="1:15" x14ac:dyDescent="0.35">
      <c r="A1683" t="s">
        <v>113</v>
      </c>
      <c r="B1683">
        <v>2021</v>
      </c>
      <c r="C1683">
        <v>1768028</v>
      </c>
      <c r="D1683" s="8">
        <v>0.96354705095291104</v>
      </c>
      <c r="E1683" s="8">
        <v>1.2999999999999999E-2</v>
      </c>
      <c r="F1683">
        <v>2.2568826752023599</v>
      </c>
      <c r="G1683">
        <f t="shared" si="134"/>
        <v>2.3422651472705867</v>
      </c>
      <c r="H1683">
        <f t="shared" si="136"/>
        <v>8.8774998701967478E-2</v>
      </c>
      <c r="I1683">
        <f t="shared" si="135"/>
        <v>1</v>
      </c>
      <c r="J1683" t="str">
        <f t="shared" si="137"/>
        <v/>
      </c>
      <c r="K1683">
        <v>6.1978085219859903E-2</v>
      </c>
      <c r="L1683">
        <v>1.8388472497463001E-2</v>
      </c>
      <c r="M1683">
        <v>-2.7528038173913999E-2</v>
      </c>
      <c r="N1683">
        <v>4.5754685997963004E-3</v>
      </c>
      <c r="O1683">
        <f t="shared" si="138"/>
        <v>-3.197075519710788E-3</v>
      </c>
    </row>
    <row r="1684" spans="1:15" x14ac:dyDescent="0.35">
      <c r="A1684" t="s">
        <v>113</v>
      </c>
      <c r="B1684">
        <v>2022</v>
      </c>
      <c r="C1684">
        <v>1768581</v>
      </c>
      <c r="D1684" s="8">
        <v>0.934953272342682</v>
      </c>
      <c r="E1684" s="8">
        <v>1.6E-2</v>
      </c>
      <c r="F1684">
        <v>2.1943007364893301</v>
      </c>
      <c r="G1684">
        <f t="shared" si="134"/>
        <v>2.3469629995423644</v>
      </c>
      <c r="H1684">
        <f t="shared" si="136"/>
        <v>2.0056876469567442E-3</v>
      </c>
      <c r="I1684">
        <f t="shared" si="135"/>
        <v>1</v>
      </c>
      <c r="J1684" t="str">
        <f t="shared" si="137"/>
        <v/>
      </c>
      <c r="K1684">
        <v>-2.7528038173913999E-2</v>
      </c>
      <c r="L1684">
        <v>5.0541721284389001E-3</v>
      </c>
      <c r="M1684">
        <v>-1.22476171553135E-2</v>
      </c>
      <c r="N1684">
        <v>7.3113106191158E-3</v>
      </c>
      <c r="O1684">
        <f t="shared" si="138"/>
        <v>-3.7174961064010978E-3</v>
      </c>
    </row>
    <row r="1685" spans="1:15" x14ac:dyDescent="0.35">
      <c r="A1685" t="s">
        <v>114</v>
      </c>
      <c r="B1685">
        <v>2006</v>
      </c>
      <c r="C1685">
        <v>427122.71875</v>
      </c>
      <c r="D1685" s="8">
        <v>0.94951975345611594</v>
      </c>
      <c r="E1685" s="8">
        <v>8.2000000000000003E-2</v>
      </c>
      <c r="F1685">
        <v>2.3951943222786301</v>
      </c>
      <c r="G1685">
        <f t="shared" si="134"/>
        <v>2.5225323786687595</v>
      </c>
      <c r="H1685">
        <f t="shared" si="136"/>
        <v>7.480705028610557E-2</v>
      </c>
      <c r="I1685">
        <f t="shared" si="135"/>
        <v>1</v>
      </c>
      <c r="J1685" t="str">
        <f t="shared" si="137"/>
        <v/>
      </c>
      <c r="K1685">
        <v>3.4762506961822398E-2</v>
      </c>
      <c r="L1685">
        <v>2.8399467468261601E-2</v>
      </c>
      <c r="M1685">
        <v>-2.7011753022670999E-3</v>
      </c>
      <c r="N1685">
        <v>-1.7794193699955899E-3</v>
      </c>
      <c r="O1685" t="str">
        <f t="shared" si="138"/>
        <v/>
      </c>
    </row>
    <row r="1686" spans="1:15" x14ac:dyDescent="0.35">
      <c r="A1686" t="s">
        <v>114</v>
      </c>
      <c r="B1686">
        <v>2007</v>
      </c>
      <c r="C1686">
        <v>439049.28125</v>
      </c>
      <c r="D1686" s="8">
        <v>0.92233377695083596</v>
      </c>
      <c r="E1686" s="8">
        <v>5.8999999999999997E-2</v>
      </c>
      <c r="F1686">
        <v>2.4355256544097701</v>
      </c>
      <c r="G1686">
        <f t="shared" si="134"/>
        <v>2.6406120162501576</v>
      </c>
      <c r="H1686">
        <f t="shared" si="136"/>
        <v>4.6809959142610991E-2</v>
      </c>
      <c r="I1686">
        <f t="shared" si="135"/>
        <v>1</v>
      </c>
      <c r="J1686" t="str">
        <f t="shared" si="137"/>
        <v/>
      </c>
      <c r="K1686">
        <v>-2.7011753022670999E-3</v>
      </c>
      <c r="L1686">
        <v>-1.7794193699955899E-3</v>
      </c>
      <c r="M1686">
        <v>-5.2294666238129103E-2</v>
      </c>
      <c r="N1686">
        <v>-2.27838619612157E-2</v>
      </c>
      <c r="O1686" t="str">
        <f t="shared" si="138"/>
        <v/>
      </c>
    </row>
    <row r="1687" spans="1:15" x14ac:dyDescent="0.35">
      <c r="A1687" t="s">
        <v>114</v>
      </c>
      <c r="B1687">
        <v>2008</v>
      </c>
      <c r="C1687">
        <v>448748.8125</v>
      </c>
      <c r="D1687" s="8">
        <v>0.90915453433990501</v>
      </c>
      <c r="E1687" s="8">
        <v>4.9000000000000002E-2</v>
      </c>
      <c r="F1687">
        <v>2.1839211154190199</v>
      </c>
      <c r="G1687">
        <f t="shared" si="134"/>
        <v>2.4021451061723669</v>
      </c>
      <c r="H1687">
        <f t="shared" si="136"/>
        <v>-9.0307439567146042E-2</v>
      </c>
      <c r="I1687">
        <f t="shared" si="135"/>
        <v>0</v>
      </c>
      <c r="J1687" t="str">
        <f t="shared" si="137"/>
        <v/>
      </c>
      <c r="K1687">
        <v>-5.2294666238129103E-2</v>
      </c>
      <c r="L1687">
        <v>-2.27838619612157E-2</v>
      </c>
      <c r="M1687">
        <v>-2.9875577151775402E-2</v>
      </c>
      <c r="N1687">
        <v>-3.3088754862547502E-3</v>
      </c>
      <c r="O1687" t="str">
        <f t="shared" si="138"/>
        <v/>
      </c>
    </row>
    <row r="1688" spans="1:15" x14ac:dyDescent="0.35">
      <c r="A1688" t="s">
        <v>114</v>
      </c>
      <c r="B1688">
        <v>2009</v>
      </c>
      <c r="C1688">
        <v>457742.09375</v>
      </c>
      <c r="D1688" s="8">
        <v>0.92068749666214</v>
      </c>
      <c r="E1688" s="8">
        <v>4.1000000000000002E-2</v>
      </c>
      <c r="F1688">
        <v>2.4002691985885201</v>
      </c>
      <c r="G1688">
        <f t="shared" si="134"/>
        <v>2.6070400730871821</v>
      </c>
      <c r="H1688">
        <f t="shared" si="136"/>
        <v>8.5296665213243417E-2</v>
      </c>
      <c r="I1688">
        <f t="shared" si="135"/>
        <v>1</v>
      </c>
      <c r="J1688" t="str">
        <f t="shared" si="137"/>
        <v/>
      </c>
      <c r="K1688">
        <v>-2.9875577151775402E-2</v>
      </c>
      <c r="L1688">
        <v>-3.3088754862547502E-3</v>
      </c>
      <c r="M1688">
        <v>-7.4867430925369301E-3</v>
      </c>
      <c r="N1688">
        <v>1.9733656663447501E-3</v>
      </c>
      <c r="O1688" t="str">
        <f t="shared" si="138"/>
        <v/>
      </c>
    </row>
    <row r="1689" spans="1:15" x14ac:dyDescent="0.35">
      <c r="A1689" t="s">
        <v>114</v>
      </c>
      <c r="B1689">
        <v>2010</v>
      </c>
      <c r="C1689">
        <v>468099</v>
      </c>
      <c r="D1689" s="8">
        <v>0.93087750673294101</v>
      </c>
      <c r="E1689" s="8">
        <v>6.0000000000000001E-3</v>
      </c>
      <c r="F1689">
        <v>2.3861693325979001</v>
      </c>
      <c r="G1689">
        <f t="shared" si="134"/>
        <v>2.5633548080590449</v>
      </c>
      <c r="H1689">
        <f t="shared" si="136"/>
        <v>-1.6756652680219974E-2</v>
      </c>
      <c r="I1689">
        <f t="shared" si="135"/>
        <v>0</v>
      </c>
      <c r="J1689">
        <f t="shared" si="137"/>
        <v>3</v>
      </c>
      <c r="K1689">
        <v>-7.4867430925369301E-3</v>
      </c>
      <c r="L1689">
        <v>1.9733656663447501E-3</v>
      </c>
      <c r="M1689">
        <v>-1.94918926507235E-2</v>
      </c>
      <c r="N1689">
        <v>1.7918818630278E-3</v>
      </c>
      <c r="O1689">
        <f t="shared" si="138"/>
        <v>-1.1571514420211421E-3</v>
      </c>
    </row>
    <row r="1690" spans="1:15" x14ac:dyDescent="0.35">
      <c r="A1690" t="s">
        <v>114</v>
      </c>
      <c r="B1690">
        <v>2011</v>
      </c>
      <c r="C1690">
        <v>478446.40625</v>
      </c>
      <c r="D1690" s="8">
        <v>0.93890494108200095</v>
      </c>
      <c r="E1690" s="8">
        <v>4.0000000000000001E-3</v>
      </c>
      <c r="F1690">
        <v>2.43966407273287</v>
      </c>
      <c r="G1690">
        <f t="shared" si="134"/>
        <v>2.5984143505745996</v>
      </c>
      <c r="H1690">
        <f t="shared" si="136"/>
        <v>1.3677210195533362E-2</v>
      </c>
      <c r="I1690">
        <f t="shared" si="135"/>
        <v>1</v>
      </c>
      <c r="J1690">
        <f t="shared" si="137"/>
        <v>3</v>
      </c>
      <c r="K1690">
        <v>-1.94918926507235E-2</v>
      </c>
      <c r="L1690">
        <v>1.7918818630278E-3</v>
      </c>
      <c r="M1690">
        <v>-1.0608400255442E-3</v>
      </c>
      <c r="N1690">
        <v>4.3773660436271901E-3</v>
      </c>
      <c r="O1690">
        <f t="shared" si="138"/>
        <v>-1.8140584230423023E-3</v>
      </c>
    </row>
    <row r="1691" spans="1:15" x14ac:dyDescent="0.35">
      <c r="A1691" t="s">
        <v>114</v>
      </c>
      <c r="B1691">
        <v>2012</v>
      </c>
      <c r="C1691">
        <v>487974.3125</v>
      </c>
      <c r="D1691" s="8">
        <v>0.95174449682235696</v>
      </c>
      <c r="E1691" s="8">
        <v>1E-3</v>
      </c>
      <c r="F1691">
        <v>2.3389642974021698</v>
      </c>
      <c r="G1691">
        <f t="shared" si="134"/>
        <v>2.4575548429346341</v>
      </c>
      <c r="H1691">
        <f t="shared" si="136"/>
        <v>-5.4209794372793718E-2</v>
      </c>
      <c r="I1691">
        <f t="shared" si="135"/>
        <v>0</v>
      </c>
      <c r="J1691">
        <f t="shared" si="137"/>
        <v>2</v>
      </c>
      <c r="K1691">
        <v>-1.0608400255442E-3</v>
      </c>
      <c r="L1691">
        <v>4.2917672544716904E-3</v>
      </c>
      <c r="M1691">
        <v>-1.53382342308759E-3</v>
      </c>
      <c r="N1691">
        <v>-7.6605947688222001E-3</v>
      </c>
      <c r="O1691">
        <f t="shared" si="138"/>
        <v>-6.1113433912396205E-3</v>
      </c>
    </row>
    <row r="1692" spans="1:15" x14ac:dyDescent="0.35">
      <c r="A1692" t="s">
        <v>114</v>
      </c>
      <c r="B1692">
        <v>2013</v>
      </c>
      <c r="C1692">
        <v>496906.8125</v>
      </c>
      <c r="D1692" s="8">
        <v>0.95358300209045399</v>
      </c>
      <c r="E1692" s="8">
        <v>3.0000000000000001E-3</v>
      </c>
      <c r="F1692">
        <v>2.6514770043942599</v>
      </c>
      <c r="G1692">
        <f t="shared" si="134"/>
        <v>2.7805413881976357</v>
      </c>
      <c r="H1692">
        <f t="shared" si="136"/>
        <v>0.13142597659278055</v>
      </c>
      <c r="I1692">
        <f t="shared" si="135"/>
        <v>1</v>
      </c>
      <c r="J1692">
        <f t="shared" si="137"/>
        <v>3</v>
      </c>
      <c r="K1692">
        <v>-1.53382342308759E-3</v>
      </c>
      <c r="L1692">
        <v>-7.6605947688222001E-3</v>
      </c>
      <c r="M1692">
        <v>3.4125324487685898E-3</v>
      </c>
      <c r="N1692">
        <v>1.40450894832609E-3</v>
      </c>
      <c r="O1692">
        <f t="shared" si="138"/>
        <v>-4.1868999600410206E-3</v>
      </c>
    </row>
    <row r="1693" spans="1:15" x14ac:dyDescent="0.35">
      <c r="A1693" t="s">
        <v>114</v>
      </c>
      <c r="B1693">
        <v>2014</v>
      </c>
      <c r="C1693">
        <v>507121.3125</v>
      </c>
      <c r="D1693" s="8">
        <v>0.95367634296417203</v>
      </c>
      <c r="E1693" s="8">
        <v>1E-3</v>
      </c>
      <c r="F1693">
        <v>2.50041156027071</v>
      </c>
      <c r="G1693">
        <f t="shared" si="134"/>
        <v>2.621865980757212</v>
      </c>
      <c r="H1693">
        <f t="shared" si="136"/>
        <v>-5.706637135988768E-2</v>
      </c>
      <c r="I1693">
        <f t="shared" si="135"/>
        <v>0</v>
      </c>
      <c r="J1693">
        <f t="shared" si="137"/>
        <v>2</v>
      </c>
      <c r="K1693">
        <v>3.4125324487685898E-3</v>
      </c>
      <c r="L1693">
        <v>1.40450894832609E-3</v>
      </c>
      <c r="M1693">
        <v>2.45645327270031E-2</v>
      </c>
      <c r="N1693">
        <v>-5.6989192962645903E-3</v>
      </c>
      <c r="O1693">
        <f t="shared" si="138"/>
        <v>-8.6746053770184184E-3</v>
      </c>
    </row>
    <row r="1694" spans="1:15" x14ac:dyDescent="0.35">
      <c r="A1694" t="s">
        <v>114</v>
      </c>
      <c r="B1694">
        <v>2015</v>
      </c>
      <c r="C1694">
        <v>518669.375</v>
      </c>
      <c r="D1694" s="8">
        <v>0.96497595310211204</v>
      </c>
      <c r="E1694" s="8">
        <v>2.5000000000000001E-2</v>
      </c>
      <c r="F1694">
        <v>2.4661432777232499</v>
      </c>
      <c r="G1694">
        <f t="shared" si="134"/>
        <v>2.5556525733054065</v>
      </c>
      <c r="H1694">
        <f t="shared" si="136"/>
        <v>-2.5254306641822599E-2</v>
      </c>
      <c r="I1694">
        <f t="shared" si="135"/>
        <v>0</v>
      </c>
      <c r="J1694">
        <f t="shared" si="137"/>
        <v>2</v>
      </c>
      <c r="K1694">
        <v>2.45645327270031E-2</v>
      </c>
      <c r="L1694">
        <v>-5.6989192962645903E-3</v>
      </c>
      <c r="M1694">
        <v>1.1660903960466399E-2</v>
      </c>
      <c r="N1694">
        <v>-1.492653042078E-3</v>
      </c>
      <c r="O1694">
        <f t="shared" si="138"/>
        <v>-9.5722621306776803E-3</v>
      </c>
    </row>
    <row r="1695" spans="1:15" x14ac:dyDescent="0.35">
      <c r="A1695" t="s">
        <v>114</v>
      </c>
      <c r="B1695">
        <v>2016</v>
      </c>
      <c r="C1695">
        <v>530986.875</v>
      </c>
      <c r="D1695" s="8">
        <v>0.95263880491256703</v>
      </c>
      <c r="E1695" s="8">
        <v>3.9E-2</v>
      </c>
      <c r="F1695">
        <v>2.3329890491134599</v>
      </c>
      <c r="G1695">
        <f t="shared" si="134"/>
        <v>2.4489754533226065</v>
      </c>
      <c r="H1695">
        <f t="shared" si="136"/>
        <v>-4.1741636205592236E-2</v>
      </c>
      <c r="I1695">
        <f t="shared" si="135"/>
        <v>0</v>
      </c>
      <c r="J1695">
        <f t="shared" si="137"/>
        <v>1</v>
      </c>
      <c r="K1695">
        <v>1.1660903960466399E-2</v>
      </c>
      <c r="L1695">
        <v>-1.492653042078E-3</v>
      </c>
      <c r="M1695">
        <v>-1.43194853365421E-2</v>
      </c>
      <c r="N1695">
        <v>-1.7109058797359401E-2</v>
      </c>
      <c r="O1695">
        <f t="shared" si="138"/>
        <v>-1.43901152536273E-2</v>
      </c>
    </row>
    <row r="1696" spans="1:15" x14ac:dyDescent="0.35">
      <c r="A1696" t="s">
        <v>114</v>
      </c>
      <c r="B1696">
        <v>2017</v>
      </c>
      <c r="C1696">
        <v>542506.25</v>
      </c>
      <c r="D1696" s="8">
        <v>0.93064785003662098</v>
      </c>
      <c r="E1696" s="8">
        <v>6.3E-2</v>
      </c>
      <c r="F1696">
        <v>2.4963541740123798</v>
      </c>
      <c r="G1696">
        <f t="shared" si="134"/>
        <v>2.6823832171472253</v>
      </c>
      <c r="H1696">
        <f t="shared" si="136"/>
        <v>9.5308331289293502E-2</v>
      </c>
      <c r="I1696">
        <f t="shared" si="135"/>
        <v>1</v>
      </c>
      <c r="J1696">
        <f t="shared" si="137"/>
        <v>2</v>
      </c>
      <c r="K1696">
        <v>-1.43194853365421E-2</v>
      </c>
      <c r="L1696">
        <v>-1.7109058797359401E-2</v>
      </c>
      <c r="M1696">
        <v>1.10966453552246E-2</v>
      </c>
      <c r="N1696">
        <v>1.9616223871707999E-3</v>
      </c>
      <c r="O1696">
        <f t="shared" si="138"/>
        <v>-1.3563564047217411E-3</v>
      </c>
    </row>
    <row r="1697" spans="1:15" x14ac:dyDescent="0.35">
      <c r="A1697" t="s">
        <v>114</v>
      </c>
      <c r="B1697">
        <v>2018</v>
      </c>
      <c r="C1697">
        <v>552533.3125</v>
      </c>
      <c r="D1697" s="8">
        <v>0.94018501043319702</v>
      </c>
      <c r="E1697" s="8">
        <v>3.7999999999999999E-2</v>
      </c>
      <c r="F1697">
        <v>2.45371979666244</v>
      </c>
      <c r="G1697">
        <f t="shared" si="134"/>
        <v>2.6098265441733335</v>
      </c>
      <c r="H1697">
        <f t="shared" si="136"/>
        <v>-2.7049331545944244E-2</v>
      </c>
      <c r="I1697">
        <f t="shared" si="135"/>
        <v>0</v>
      </c>
      <c r="J1697">
        <f t="shared" si="137"/>
        <v>1</v>
      </c>
      <c r="K1697">
        <v>1.10966453552246E-2</v>
      </c>
      <c r="L1697">
        <v>1.9616223871707999E-3</v>
      </c>
      <c r="M1697">
        <v>-3.23282352834939E-3</v>
      </c>
      <c r="N1697">
        <v>-2.10340181365609E-2</v>
      </c>
      <c r="O1697">
        <f t="shared" si="138"/>
        <v>-1.2273835018277214E-3</v>
      </c>
    </row>
    <row r="1698" spans="1:15" x14ac:dyDescent="0.35">
      <c r="A1698" t="s">
        <v>114</v>
      </c>
      <c r="B1698">
        <v>2019</v>
      </c>
      <c r="C1698">
        <v>563359.0625</v>
      </c>
      <c r="D1698" s="8">
        <v>0.93957328796386697</v>
      </c>
      <c r="E1698" s="8">
        <v>6.8000000000000005E-2</v>
      </c>
      <c r="F1698">
        <v>2.37025093490867</v>
      </c>
      <c r="G1698">
        <f t="shared" si="134"/>
        <v>2.5226887197327628</v>
      </c>
      <c r="H1698">
        <f t="shared" si="136"/>
        <v>-3.3388358561649789E-2</v>
      </c>
      <c r="I1698">
        <f t="shared" si="135"/>
        <v>0</v>
      </c>
      <c r="J1698" t="str">
        <f t="shared" si="137"/>
        <v/>
      </c>
      <c r="K1698">
        <v>-3.23282352834939E-3</v>
      </c>
      <c r="L1698">
        <v>-2.10340181365609E-2</v>
      </c>
      <c r="M1698">
        <v>8.6619873642920994E-3</v>
      </c>
      <c r="N1698">
        <v>-1.0187203064560901E-2</v>
      </c>
      <c r="O1698">
        <f t="shared" si="138"/>
        <v>3.5857876762747779E-3</v>
      </c>
    </row>
    <row r="1699" spans="1:15" x14ac:dyDescent="0.35">
      <c r="A1699" t="s">
        <v>114</v>
      </c>
      <c r="B1699">
        <v>2020</v>
      </c>
      <c r="C1699">
        <v>576466.625</v>
      </c>
      <c r="D1699" s="8">
        <v>0.93569195270538297</v>
      </c>
      <c r="E1699" s="8">
        <v>4.2999999999999997E-2</v>
      </c>
      <c r="F1699">
        <v>2.4115656845894602</v>
      </c>
      <c r="G1699">
        <f t="shared" si="134"/>
        <v>2.5773072832537003</v>
      </c>
      <c r="H1699">
        <f t="shared" si="136"/>
        <v>2.1650932631404274E-2</v>
      </c>
      <c r="I1699">
        <f t="shared" si="135"/>
        <v>1</v>
      </c>
      <c r="J1699" t="str">
        <f t="shared" si="137"/>
        <v/>
      </c>
      <c r="K1699">
        <v>8.6619873642920994E-3</v>
      </c>
      <c r="L1699">
        <v>-1.0187203064560901E-2</v>
      </c>
      <c r="M1699">
        <v>1.80076940655708E-2</v>
      </c>
      <c r="N1699">
        <v>-2.5581918656826099E-2</v>
      </c>
      <c r="O1699">
        <f t="shared" si="138"/>
        <v>5.4144219495356107E-3</v>
      </c>
    </row>
    <row r="1700" spans="1:15" x14ac:dyDescent="0.35">
      <c r="A1700" t="s">
        <v>114</v>
      </c>
      <c r="B1700">
        <v>2021</v>
      </c>
      <c r="C1700">
        <v>590035.1875</v>
      </c>
      <c r="D1700" s="8">
        <v>0.95481592416763295</v>
      </c>
      <c r="E1700" s="8">
        <v>6.5000000000000002E-2</v>
      </c>
      <c r="F1700">
        <v>2.3941465890347202</v>
      </c>
      <c r="G1700">
        <f t="shared" si="134"/>
        <v>2.507443087652558</v>
      </c>
      <c r="H1700">
        <f t="shared" si="136"/>
        <v>-2.7107437306793658E-2</v>
      </c>
      <c r="I1700">
        <f t="shared" si="135"/>
        <v>0</v>
      </c>
      <c r="J1700" t="str">
        <f t="shared" si="137"/>
        <v/>
      </c>
      <c r="K1700">
        <v>1.80076940655708E-2</v>
      </c>
      <c r="L1700">
        <v>-2.5581918656826099E-2</v>
      </c>
      <c r="M1700">
        <v>1.5956228673458001E-2</v>
      </c>
      <c r="N1700">
        <v>4.8059735447168399E-2</v>
      </c>
      <c r="O1700">
        <f t="shared" si="138"/>
        <v>1.1293885204941042E-2</v>
      </c>
    </row>
    <row r="1701" spans="1:15" x14ac:dyDescent="0.35">
      <c r="A1701" t="s">
        <v>114</v>
      </c>
      <c r="B1701">
        <v>2022</v>
      </c>
      <c r="C1701">
        <v>605385.9375</v>
      </c>
      <c r="D1701" s="8">
        <v>0.94483309984207198</v>
      </c>
      <c r="E1701" s="8">
        <v>4.9000000000000002E-2</v>
      </c>
      <c r="F1701">
        <v>2.32384639400561</v>
      </c>
      <c r="G1701">
        <f t="shared" si="134"/>
        <v>2.4595311006716836</v>
      </c>
      <c r="H1701">
        <f t="shared" si="136"/>
        <v>-1.910790606447188E-2</v>
      </c>
      <c r="I1701">
        <f t="shared" si="135"/>
        <v>0</v>
      </c>
      <c r="J1701" t="str">
        <f t="shared" si="137"/>
        <v/>
      </c>
      <c r="K1701">
        <v>1.5956228673458001E-2</v>
      </c>
      <c r="L1701">
        <v>4.8538438975810998E-2</v>
      </c>
      <c r="M1701">
        <v>-1.69524408727884E-2</v>
      </c>
      <c r="N1701">
        <v>2.6064869016408899E-3</v>
      </c>
      <c r="O1701">
        <f t="shared" si="138"/>
        <v>3.5073447506874787E-3</v>
      </c>
    </row>
    <row r="1702" spans="1:15" x14ac:dyDescent="0.35">
      <c r="A1702" t="s">
        <v>115</v>
      </c>
      <c r="B1702">
        <v>2006</v>
      </c>
      <c r="C1702">
        <v>270762.5</v>
      </c>
      <c r="D1702" s="8">
        <v>0.94968146085739102</v>
      </c>
      <c r="E1702" s="8">
        <v>1.0999999999999999E-2</v>
      </c>
      <c r="F1702">
        <v>2.1096823968110998</v>
      </c>
      <c r="G1702">
        <f t="shared" si="134"/>
        <v>2.2214631787235661</v>
      </c>
      <c r="H1702">
        <f t="shared" si="136"/>
        <v>-9.6794027887308509E-2</v>
      </c>
      <c r="I1702">
        <f t="shared" si="135"/>
        <v>0</v>
      </c>
      <c r="J1702" t="str">
        <f t="shared" si="137"/>
        <v/>
      </c>
      <c r="K1702">
        <v>-5.6946992874097602E-5</v>
      </c>
      <c r="L1702">
        <v>-6.4199864864348897E-3</v>
      </c>
      <c r="M1702">
        <v>2.1100818216800901E-3</v>
      </c>
      <c r="N1702">
        <v>3.0318377539515998E-3</v>
      </c>
      <c r="O1702" t="str">
        <f t="shared" si="138"/>
        <v/>
      </c>
    </row>
    <row r="1703" spans="1:15" x14ac:dyDescent="0.35">
      <c r="A1703" t="s">
        <v>115</v>
      </c>
      <c r="B1703">
        <v>2007</v>
      </c>
      <c r="C1703">
        <v>271158.375</v>
      </c>
      <c r="D1703" s="8">
        <v>0.94822686910629295</v>
      </c>
      <c r="E1703" s="8">
        <v>0</v>
      </c>
      <c r="F1703">
        <v>2.2012499999999999</v>
      </c>
      <c r="G1703">
        <f t="shared" si="134"/>
        <v>2.321438119629204</v>
      </c>
      <c r="H1703">
        <f t="shared" si="136"/>
        <v>4.5004095437261693E-2</v>
      </c>
      <c r="I1703">
        <f t="shared" si="135"/>
        <v>1</v>
      </c>
      <c r="J1703" t="str">
        <f t="shared" si="137"/>
        <v/>
      </c>
      <c r="K1703">
        <v>2.1100818216800901E-3</v>
      </c>
      <c r="L1703">
        <v>3.0318377539515998E-3</v>
      </c>
      <c r="M1703">
        <v>-3.05548359751701E-2</v>
      </c>
      <c r="N1703">
        <v>-1.0440316982567299E-3</v>
      </c>
      <c r="O1703" t="str">
        <f t="shared" si="138"/>
        <v/>
      </c>
    </row>
    <row r="1704" spans="1:15" x14ac:dyDescent="0.35">
      <c r="A1704" t="s">
        <v>115</v>
      </c>
      <c r="B1704">
        <v>2008</v>
      </c>
      <c r="C1704">
        <v>272894.59375</v>
      </c>
      <c r="D1704" s="8">
        <v>0.94653892517089799</v>
      </c>
      <c r="E1704" s="8">
        <v>0</v>
      </c>
      <c r="F1704">
        <v>2.2240547063555902</v>
      </c>
      <c r="G1704">
        <f t="shared" si="134"/>
        <v>2.3496706233756166</v>
      </c>
      <c r="H1704">
        <f t="shared" si="136"/>
        <v>1.2161643899826213E-2</v>
      </c>
      <c r="I1704">
        <f t="shared" si="135"/>
        <v>1</v>
      </c>
      <c r="J1704" t="str">
        <f t="shared" si="137"/>
        <v/>
      </c>
      <c r="K1704">
        <v>-3.05548359751701E-2</v>
      </c>
      <c r="L1704">
        <v>-1.0440316982567299E-3</v>
      </c>
      <c r="M1704">
        <v>-2.2751304045319599E-2</v>
      </c>
      <c r="N1704">
        <v>3.8153976202010501E-3</v>
      </c>
      <c r="O1704" t="str">
        <f t="shared" si="138"/>
        <v/>
      </c>
    </row>
    <row r="1705" spans="1:15" x14ac:dyDescent="0.35">
      <c r="A1705" t="s">
        <v>115</v>
      </c>
      <c r="B1705">
        <v>2009</v>
      </c>
      <c r="C1705">
        <v>273765.5</v>
      </c>
      <c r="D1705" s="8">
        <v>0.94701212644577004</v>
      </c>
      <c r="E1705" s="8">
        <v>0</v>
      </c>
      <c r="F1705">
        <v>2.3290453200435999</v>
      </c>
      <c r="G1705">
        <f t="shared" si="134"/>
        <v>2.4593616649712149</v>
      </c>
      <c r="H1705">
        <f t="shared" si="136"/>
        <v>4.6683582160129466E-2</v>
      </c>
      <c r="I1705">
        <f t="shared" si="135"/>
        <v>1</v>
      </c>
      <c r="J1705" t="str">
        <f t="shared" si="137"/>
        <v/>
      </c>
      <c r="K1705">
        <v>-2.2751304045319599E-2</v>
      </c>
      <c r="L1705">
        <v>3.8153976202010501E-3</v>
      </c>
      <c r="M1705">
        <v>-3.33075582981099E-4</v>
      </c>
      <c r="N1705">
        <v>9.1270331759005802E-3</v>
      </c>
      <c r="O1705" t="str">
        <f t="shared" si="138"/>
        <v/>
      </c>
    </row>
    <row r="1706" spans="1:15" x14ac:dyDescent="0.35">
      <c r="A1706" t="s">
        <v>115</v>
      </c>
      <c r="B1706">
        <v>2010</v>
      </c>
      <c r="C1706">
        <v>273961.3125</v>
      </c>
      <c r="D1706" s="8">
        <v>0.94690316915512096</v>
      </c>
      <c r="E1706" s="8">
        <v>4.0000000000000001E-3</v>
      </c>
      <c r="F1706">
        <v>2.0657991363863299</v>
      </c>
      <c r="G1706">
        <f t="shared" si="134"/>
        <v>2.1816371553910305</v>
      </c>
      <c r="H1706">
        <f t="shared" si="136"/>
        <v>-0.11292544465331211</v>
      </c>
      <c r="I1706">
        <f t="shared" si="135"/>
        <v>0</v>
      </c>
      <c r="J1706">
        <f t="shared" si="137"/>
        <v>3</v>
      </c>
      <c r="K1706">
        <v>-3.33075582981099E-4</v>
      </c>
      <c r="L1706">
        <v>9.1270331759005802E-3</v>
      </c>
      <c r="M1706">
        <v>-2.2908566862344701E-2</v>
      </c>
      <c r="N1706">
        <v>-1.62479234859344E-3</v>
      </c>
      <c r="O1706">
        <f t="shared" si="138"/>
        <v>-6.4335267059504719E-3</v>
      </c>
    </row>
    <row r="1707" spans="1:15" x14ac:dyDescent="0.35">
      <c r="A1707" t="s">
        <v>115</v>
      </c>
      <c r="B1707">
        <v>2011</v>
      </c>
      <c r="C1707">
        <v>273827.59375</v>
      </c>
      <c r="D1707" s="8">
        <v>0.949751317501068</v>
      </c>
      <c r="E1707" s="8">
        <v>1E-3</v>
      </c>
      <c r="F1707">
        <v>2.17028057425388</v>
      </c>
      <c r="G1707">
        <f t="shared" si="134"/>
        <v>2.2851040417234687</v>
      </c>
      <c r="H1707">
        <f t="shared" si="136"/>
        <v>4.7426257880125444E-2</v>
      </c>
      <c r="I1707">
        <f t="shared" si="135"/>
        <v>1</v>
      </c>
      <c r="J1707">
        <f t="shared" si="137"/>
        <v>4</v>
      </c>
      <c r="K1707">
        <v>-2.2908566862344701E-2</v>
      </c>
      <c r="L1707">
        <v>-1.62479234859344E-3</v>
      </c>
      <c r="M1707">
        <v>-3.9607754945755001E-3</v>
      </c>
      <c r="N1707">
        <v>1.47743057459589E-3</v>
      </c>
      <c r="O1707">
        <f t="shared" si="138"/>
        <v>-5.1537584513425662E-3</v>
      </c>
    </row>
    <row r="1708" spans="1:15" x14ac:dyDescent="0.35">
      <c r="A1708" t="s">
        <v>115</v>
      </c>
      <c r="B1708">
        <v>2012</v>
      </c>
      <c r="C1708">
        <v>274730.90625</v>
      </c>
      <c r="D1708" s="8">
        <v>0.94770222902297996</v>
      </c>
      <c r="E1708" s="8">
        <v>0</v>
      </c>
      <c r="F1708">
        <v>2.1076577673185599</v>
      </c>
      <c r="G1708">
        <f t="shared" si="134"/>
        <v>2.2239662446414412</v>
      </c>
      <c r="H1708">
        <f t="shared" si="136"/>
        <v>-2.6754929301125441E-2</v>
      </c>
      <c r="I1708">
        <f t="shared" si="135"/>
        <v>0</v>
      </c>
      <c r="J1708">
        <f t="shared" si="137"/>
        <v>3</v>
      </c>
      <c r="K1708">
        <v>-3.9607754945755001E-3</v>
      </c>
      <c r="L1708">
        <v>1.3918317854403901E-3</v>
      </c>
      <c r="M1708">
        <v>-1.0087153278291201E-2</v>
      </c>
      <c r="N1708">
        <v>-1.6213924624025801E-2</v>
      </c>
      <c r="O1708">
        <f t="shared" si="138"/>
        <v>-7.290639542043181E-3</v>
      </c>
    </row>
    <row r="1709" spans="1:15" x14ac:dyDescent="0.35">
      <c r="A1709" t="s">
        <v>115</v>
      </c>
      <c r="B1709">
        <v>2013</v>
      </c>
      <c r="C1709">
        <v>273831.59375</v>
      </c>
      <c r="D1709" s="8">
        <v>0.94143587350845304</v>
      </c>
      <c r="E1709" s="8">
        <v>0</v>
      </c>
      <c r="F1709">
        <v>2.42742641040837</v>
      </c>
      <c r="G1709">
        <f t="shared" si="134"/>
        <v>2.5784299055463755</v>
      </c>
      <c r="H1709">
        <f t="shared" si="136"/>
        <v>0.15938356158012756</v>
      </c>
      <c r="I1709">
        <f t="shared" si="135"/>
        <v>1</v>
      </c>
      <c r="J1709">
        <f t="shared" si="137"/>
        <v>3</v>
      </c>
      <c r="K1709">
        <v>-1.0087153278291201E-2</v>
      </c>
      <c r="L1709">
        <v>-1.6213924624025801E-2</v>
      </c>
      <c r="M1709">
        <v>4.1968755573033997E-3</v>
      </c>
      <c r="N1709">
        <v>2.1888520568608899E-3</v>
      </c>
      <c r="O1709">
        <f t="shared" si="138"/>
        <v>-2.0661231130361226E-3</v>
      </c>
    </row>
    <row r="1710" spans="1:15" x14ac:dyDescent="0.35">
      <c r="A1710" t="s">
        <v>115</v>
      </c>
      <c r="B1710">
        <v>2014</v>
      </c>
      <c r="C1710">
        <v>272614.90625</v>
      </c>
      <c r="D1710" s="8">
        <v>0.94347345829009999</v>
      </c>
      <c r="E1710" s="8">
        <v>0.01</v>
      </c>
      <c r="F1710">
        <v>2.1535704996676501</v>
      </c>
      <c r="G1710">
        <f t="shared" si="134"/>
        <v>2.2825978629760972</v>
      </c>
      <c r="H1710">
        <f t="shared" si="136"/>
        <v>-0.11473340498181617</v>
      </c>
      <c r="I1710">
        <f t="shared" si="135"/>
        <v>0</v>
      </c>
      <c r="J1710">
        <f t="shared" si="137"/>
        <v>2</v>
      </c>
      <c r="K1710">
        <v>4.1968755573033997E-3</v>
      </c>
      <c r="L1710">
        <v>2.1888520568608899E-3</v>
      </c>
      <c r="M1710">
        <v>1.22682528346776E-2</v>
      </c>
      <c r="N1710">
        <v>-1.7995199188589901E-2</v>
      </c>
      <c r="O1710">
        <f t="shared" si="138"/>
        <v>-1.6217373311519221E-3</v>
      </c>
    </row>
    <row r="1711" spans="1:15" x14ac:dyDescent="0.35">
      <c r="A1711" t="s">
        <v>115</v>
      </c>
      <c r="B1711">
        <v>2015</v>
      </c>
      <c r="C1711">
        <v>271293.625</v>
      </c>
      <c r="D1711" s="8">
        <v>0.92783612012863204</v>
      </c>
      <c r="E1711" s="8">
        <v>3.5000000000000003E-2</v>
      </c>
      <c r="F1711">
        <v>2.1553168985436399</v>
      </c>
      <c r="G1711">
        <f t="shared" si="134"/>
        <v>2.3229499819912531</v>
      </c>
      <c r="H1711">
        <f t="shared" si="136"/>
        <v>1.7678155083587166E-2</v>
      </c>
      <c r="I1711">
        <f t="shared" si="135"/>
        <v>1</v>
      </c>
      <c r="J1711">
        <f t="shared" si="137"/>
        <v>3</v>
      </c>
      <c r="K1711">
        <v>1.22682528346776E-2</v>
      </c>
      <c r="L1711">
        <v>-1.7995199188589901E-2</v>
      </c>
      <c r="M1711">
        <v>1.79276059269904E-2</v>
      </c>
      <c r="N1711">
        <v>4.7740489244460903E-3</v>
      </c>
      <c r="O1711">
        <f t="shared" si="138"/>
        <v>3.0025638639927183E-3</v>
      </c>
    </row>
    <row r="1712" spans="1:15" x14ac:dyDescent="0.35">
      <c r="A1712" t="s">
        <v>115</v>
      </c>
      <c r="B1712">
        <v>2016</v>
      </c>
      <c r="C1712">
        <v>270546.59375</v>
      </c>
      <c r="D1712" s="8">
        <v>0.94439607858657804</v>
      </c>
      <c r="E1712" s="8">
        <v>6.0000000000000001E-3</v>
      </c>
      <c r="F1712">
        <v>2.0001964691683698</v>
      </c>
      <c r="G1712">
        <f t="shared" si="134"/>
        <v>2.1179635478388961</v>
      </c>
      <c r="H1712">
        <f t="shared" si="136"/>
        <v>-8.8244015472361048E-2</v>
      </c>
      <c r="I1712">
        <f t="shared" si="135"/>
        <v>0</v>
      </c>
      <c r="J1712">
        <f t="shared" si="137"/>
        <v>2</v>
      </c>
      <c r="K1712">
        <v>1.79276059269904E-2</v>
      </c>
      <c r="L1712">
        <v>4.7740489244460903E-3</v>
      </c>
      <c r="M1712">
        <v>-6.4174014180899E-3</v>
      </c>
      <c r="N1712">
        <v>-9.2069748789071898E-3</v>
      </c>
      <c r="O1712">
        <f t="shared" si="138"/>
        <v>1.2312777340412404E-3</v>
      </c>
    </row>
    <row r="1713" spans="1:15" x14ac:dyDescent="0.35">
      <c r="A1713" t="s">
        <v>115</v>
      </c>
      <c r="B1713">
        <v>2017</v>
      </c>
      <c r="C1713">
        <v>270067.28125</v>
      </c>
      <c r="D1713" s="8">
        <v>0.91671788692474399</v>
      </c>
      <c r="E1713" s="8">
        <v>3.2000000000000001E-2</v>
      </c>
      <c r="F1713">
        <v>2.1393705663776599</v>
      </c>
      <c r="G1713">
        <f t="shared" si="134"/>
        <v>2.3337283987710462</v>
      </c>
      <c r="H1713">
        <f t="shared" si="136"/>
        <v>0.10187373203486438</v>
      </c>
      <c r="I1713">
        <f t="shared" si="135"/>
        <v>1</v>
      </c>
      <c r="J1713">
        <f t="shared" si="137"/>
        <v>3</v>
      </c>
      <c r="K1713">
        <v>-6.4174014180899E-3</v>
      </c>
      <c r="L1713">
        <v>-9.2069748789071898E-3</v>
      </c>
      <c r="M1713">
        <v>1.90436804890632E-2</v>
      </c>
      <c r="N1713">
        <v>9.9086575210095007E-3</v>
      </c>
      <c r="O1713">
        <f t="shared" si="138"/>
        <v>7.3985967785120173E-3</v>
      </c>
    </row>
    <row r="1714" spans="1:15" x14ac:dyDescent="0.35">
      <c r="A1714" t="s">
        <v>115</v>
      </c>
      <c r="B1714">
        <v>2018</v>
      </c>
      <c r="C1714">
        <v>269501.1875</v>
      </c>
      <c r="D1714" s="8">
        <v>0.93911689519882202</v>
      </c>
      <c r="E1714" s="8">
        <v>1.2E-2</v>
      </c>
      <c r="F1714">
        <v>2.1528099173553699</v>
      </c>
      <c r="G1714">
        <f t="shared" si="134"/>
        <v>2.2923769430211292</v>
      </c>
      <c r="H1714">
        <f t="shared" si="136"/>
        <v>-1.7719052384884582E-2</v>
      </c>
      <c r="I1714">
        <f t="shared" si="135"/>
        <v>0</v>
      </c>
      <c r="J1714">
        <f t="shared" si="137"/>
        <v>2</v>
      </c>
      <c r="K1714">
        <v>1.90436804890632E-2</v>
      </c>
      <c r="L1714">
        <v>9.9086575210095007E-3</v>
      </c>
      <c r="M1714">
        <v>2.2211975574493399E-2</v>
      </c>
      <c r="N1714">
        <v>4.41078096628189E-3</v>
      </c>
      <c r="O1714">
        <f t="shared" si="138"/>
        <v>1.5153504535555839E-2</v>
      </c>
    </row>
    <row r="1715" spans="1:15" x14ac:dyDescent="0.35">
      <c r="A1715" t="s">
        <v>115</v>
      </c>
      <c r="B1715">
        <v>2019</v>
      </c>
      <c r="C1715">
        <v>268684.59375</v>
      </c>
      <c r="D1715" s="8">
        <v>0.93430763483047496</v>
      </c>
      <c r="E1715" s="8">
        <v>-1E-3</v>
      </c>
      <c r="F1715">
        <v>2.1726594301221098</v>
      </c>
      <c r="G1715">
        <f t="shared" si="134"/>
        <v>2.325421894380995</v>
      </c>
      <c r="H1715">
        <f t="shared" si="136"/>
        <v>1.4415147325777866E-2</v>
      </c>
      <c r="I1715">
        <f t="shared" si="135"/>
        <v>1</v>
      </c>
      <c r="J1715" t="str">
        <f t="shared" si="137"/>
        <v/>
      </c>
      <c r="K1715">
        <v>2.2211975574493399E-2</v>
      </c>
      <c r="L1715">
        <v>4.41078096628189E-3</v>
      </c>
      <c r="M1715">
        <v>2.39754972159863E-2</v>
      </c>
      <c r="N1715">
        <v>5.1263067871333001E-3</v>
      </c>
      <c r="O1715">
        <f t="shared" si="138"/>
        <v>1.705437917262316E-2</v>
      </c>
    </row>
    <row r="1716" spans="1:15" x14ac:dyDescent="0.35">
      <c r="A1716" t="s">
        <v>115</v>
      </c>
      <c r="B1716">
        <v>2020</v>
      </c>
      <c r="C1716">
        <v>266543.09375</v>
      </c>
      <c r="D1716" s="8">
        <v>0.95806473493576005</v>
      </c>
      <c r="E1716" s="8">
        <v>7.2999999999999995E-2</v>
      </c>
      <c r="F1716">
        <v>1.8093654313166501</v>
      </c>
      <c r="G1716">
        <f t="shared" si="134"/>
        <v>1.8885628134908559</v>
      </c>
      <c r="H1716">
        <f t="shared" si="136"/>
        <v>-0.18786228939606109</v>
      </c>
      <c r="I1716">
        <f t="shared" si="135"/>
        <v>0</v>
      </c>
      <c r="J1716" t="str">
        <f t="shared" si="137"/>
        <v/>
      </c>
      <c r="K1716">
        <v>2.39754972159863E-2</v>
      </c>
      <c r="L1716">
        <v>5.1263067871333001E-3</v>
      </c>
      <c r="M1716">
        <v>3.9507230997085599E-2</v>
      </c>
      <c r="N1716">
        <v>-4.0823817253113001E-3</v>
      </c>
      <c r="O1716">
        <f t="shared" si="138"/>
        <v>1.6424850840121498E-2</v>
      </c>
    </row>
    <row r="1717" spans="1:15" x14ac:dyDescent="0.35">
      <c r="A1717" t="s">
        <v>115</v>
      </c>
      <c r="B1717">
        <v>2021</v>
      </c>
      <c r="C1717">
        <v>267252.40625</v>
      </c>
      <c r="D1717" s="8">
        <v>0.97047317028045699</v>
      </c>
      <c r="E1717" s="8">
        <v>2.4E-2</v>
      </c>
      <c r="F1717">
        <v>2.1407413402395599</v>
      </c>
      <c r="G1717">
        <f t="shared" si="134"/>
        <v>2.2058738003245439</v>
      </c>
      <c r="H1717">
        <f t="shared" si="136"/>
        <v>0.16801717399442184</v>
      </c>
      <c r="I1717">
        <f t="shared" si="135"/>
        <v>1</v>
      </c>
      <c r="J1717" t="str">
        <f t="shared" si="137"/>
        <v/>
      </c>
      <c r="K1717">
        <v>3.9507230997085599E-2</v>
      </c>
      <c r="L1717">
        <v>-4.0823817253113001E-3</v>
      </c>
      <c r="M1717">
        <v>-1.04738864302635E-2</v>
      </c>
      <c r="N1717">
        <v>2.16296203434467E-2</v>
      </c>
      <c r="O1717">
        <f t="shared" si="138"/>
        <v>1.6700477246195066E-2</v>
      </c>
    </row>
    <row r="1718" spans="1:15" x14ac:dyDescent="0.35">
      <c r="A1718" t="s">
        <v>115</v>
      </c>
      <c r="B1718">
        <v>2022</v>
      </c>
      <c r="C1718">
        <v>268483.78125</v>
      </c>
      <c r="D1718" s="8">
        <v>0.96116393804550204</v>
      </c>
      <c r="E1718" s="8">
        <v>0</v>
      </c>
      <c r="F1718">
        <v>1.9701435455495699</v>
      </c>
      <c r="G1718">
        <f t="shared" si="134"/>
        <v>2.0497476731761259</v>
      </c>
      <c r="H1718">
        <f t="shared" si="136"/>
        <v>-7.0777452057977031E-2</v>
      </c>
      <c r="I1718">
        <f t="shared" si="135"/>
        <v>0</v>
      </c>
      <c r="J1718" t="str">
        <f t="shared" si="137"/>
        <v/>
      </c>
      <c r="K1718">
        <v>-1.04738864302635E-2</v>
      </c>
      <c r="L1718">
        <v>2.2108323872089299E-2</v>
      </c>
      <c r="M1718">
        <v>2.9124268531799301E-2</v>
      </c>
      <c r="N1718">
        <v>4.8683196306228603E-2</v>
      </c>
      <c r="O1718">
        <f t="shared" si="138"/>
        <v>1.1188052245415745E-2</v>
      </c>
    </row>
    <row r="1719" spans="1:15" x14ac:dyDescent="0.35">
      <c r="A1719" t="s">
        <v>116</v>
      </c>
      <c r="B1719">
        <v>2006</v>
      </c>
      <c r="C1719">
        <v>128214.4921875</v>
      </c>
      <c r="D1719" s="8">
        <v>0.95253503322601296</v>
      </c>
      <c r="E1719" s="8">
        <v>0</v>
      </c>
      <c r="F1719">
        <v>2.3332565637954801</v>
      </c>
      <c r="G1719">
        <f t="shared" si="134"/>
        <v>2.4495230961671686</v>
      </c>
      <c r="H1719">
        <f t="shared" si="136"/>
        <v>0.19503640776017206</v>
      </c>
      <c r="I1719">
        <f t="shared" si="135"/>
        <v>1</v>
      </c>
      <c r="J1719" t="str">
        <f t="shared" si="137"/>
        <v/>
      </c>
      <c r="K1719">
        <v>1.07901595830917E-2</v>
      </c>
      <c r="L1719">
        <v>4.4271200895308997E-3</v>
      </c>
      <c r="M1719">
        <v>1.29933982193469E-2</v>
      </c>
      <c r="N1719">
        <v>1.39151541516185E-2</v>
      </c>
      <c r="O1719" t="str">
        <f t="shared" si="138"/>
        <v/>
      </c>
    </row>
    <row r="1720" spans="1:15" x14ac:dyDescent="0.35">
      <c r="A1720" t="s">
        <v>116</v>
      </c>
      <c r="B1720">
        <v>2007</v>
      </c>
      <c r="C1720">
        <v>131109.40625</v>
      </c>
      <c r="D1720" s="8">
        <v>0.95200949907302901</v>
      </c>
      <c r="E1720" s="8">
        <v>0</v>
      </c>
      <c r="F1720">
        <v>2.3222422297032801</v>
      </c>
      <c r="G1720">
        <f t="shared" si="134"/>
        <v>2.4393057337814863</v>
      </c>
      <c r="H1720">
        <f t="shared" si="136"/>
        <v>-4.171163930509425E-3</v>
      </c>
      <c r="I1720">
        <f t="shared" si="135"/>
        <v>0</v>
      </c>
      <c r="J1720" t="str">
        <f t="shared" si="137"/>
        <v/>
      </c>
      <c r="K1720">
        <v>1.29933982193469E-2</v>
      </c>
      <c r="L1720">
        <v>1.39151541516185E-2</v>
      </c>
      <c r="M1720">
        <v>-2.7532139152288401E-2</v>
      </c>
      <c r="N1720">
        <v>1.9786651246250001E-3</v>
      </c>
      <c r="O1720" t="str">
        <f t="shared" si="138"/>
        <v/>
      </c>
    </row>
    <row r="1721" spans="1:15" x14ac:dyDescent="0.35">
      <c r="A1721" t="s">
        <v>116</v>
      </c>
      <c r="B1721">
        <v>2008</v>
      </c>
      <c r="C1721">
        <v>134036.1875</v>
      </c>
      <c r="D1721" s="8">
        <v>0.94504553079605103</v>
      </c>
      <c r="E1721" s="8">
        <v>0</v>
      </c>
      <c r="F1721">
        <v>2.5310626523486301</v>
      </c>
      <c r="G1721">
        <f t="shared" si="134"/>
        <v>2.678244137313269</v>
      </c>
      <c r="H1721">
        <f t="shared" si="136"/>
        <v>9.7953446434684066E-2</v>
      </c>
      <c r="I1721">
        <f t="shared" si="135"/>
        <v>1</v>
      </c>
      <c r="J1721" t="str">
        <f t="shared" si="137"/>
        <v/>
      </c>
      <c r="K1721">
        <v>-2.7532139152288401E-2</v>
      </c>
      <c r="L1721">
        <v>1.9786651246250001E-3</v>
      </c>
      <c r="M1721">
        <v>-2.9270951360464099E-2</v>
      </c>
      <c r="N1721">
        <v>-2.7042496949434502E-3</v>
      </c>
      <c r="O1721" t="str">
        <f t="shared" si="138"/>
        <v/>
      </c>
    </row>
    <row r="1722" spans="1:15" x14ac:dyDescent="0.35">
      <c r="A1722" t="s">
        <v>116</v>
      </c>
      <c r="B1722">
        <v>2009</v>
      </c>
      <c r="C1722">
        <v>136957.59375</v>
      </c>
      <c r="D1722" s="8">
        <v>0.93322867155075095</v>
      </c>
      <c r="E1722" s="8">
        <v>0</v>
      </c>
      <c r="F1722">
        <v>2.5715696494211802</v>
      </c>
      <c r="G1722">
        <f t="shared" si="134"/>
        <v>2.7555621980066145</v>
      </c>
      <c r="H1722">
        <f t="shared" si="136"/>
        <v>2.8868936784421928E-2</v>
      </c>
      <c r="I1722">
        <f t="shared" si="135"/>
        <v>1</v>
      </c>
      <c r="J1722" t="str">
        <f t="shared" si="137"/>
        <v/>
      </c>
      <c r="K1722">
        <v>-2.9270951360464099E-2</v>
      </c>
      <c r="L1722">
        <v>-2.7042496949434502E-3</v>
      </c>
      <c r="M1722">
        <v>-1.53926134193316E-2</v>
      </c>
      <c r="N1722">
        <v>-5.9325046604499204E-3</v>
      </c>
      <c r="O1722" t="str">
        <f t="shared" si="138"/>
        <v/>
      </c>
    </row>
    <row r="1723" spans="1:15" x14ac:dyDescent="0.35">
      <c r="A1723" t="s">
        <v>116</v>
      </c>
      <c r="B1723">
        <v>2010</v>
      </c>
      <c r="C1723">
        <v>137597.59375</v>
      </c>
      <c r="D1723" s="8">
        <v>0.93726330995559703</v>
      </c>
      <c r="E1723" s="8">
        <v>0</v>
      </c>
      <c r="F1723">
        <v>2.18441544492776</v>
      </c>
      <c r="G1723">
        <f t="shared" si="134"/>
        <v>2.3306315543614384</v>
      </c>
      <c r="H1723">
        <f t="shared" si="136"/>
        <v>-0.15420832959334863</v>
      </c>
      <c r="I1723">
        <f t="shared" si="135"/>
        <v>0</v>
      </c>
      <c r="J1723">
        <f t="shared" si="137"/>
        <v>3</v>
      </c>
      <c r="K1723">
        <v>-1.53926134193316E-2</v>
      </c>
      <c r="L1723">
        <v>-5.9325046604499204E-3</v>
      </c>
      <c r="M1723">
        <v>-2.51796407327055E-2</v>
      </c>
      <c r="N1723">
        <v>-3.89586621895429E-3</v>
      </c>
      <c r="O1723">
        <f t="shared" si="138"/>
        <v>-1.6237636189907617E-2</v>
      </c>
    </row>
    <row r="1724" spans="1:15" x14ac:dyDescent="0.35">
      <c r="A1724" t="s">
        <v>116</v>
      </c>
      <c r="B1724">
        <v>2011</v>
      </c>
      <c r="C1724">
        <v>140495.296875</v>
      </c>
      <c r="D1724" s="8">
        <v>0.93745034933090199</v>
      </c>
      <c r="E1724" s="8">
        <v>4.3999999999999997E-2</v>
      </c>
      <c r="F1724">
        <v>2.3339221608068801</v>
      </c>
      <c r="G1724">
        <f t="shared" si="134"/>
        <v>2.4896488251059901</v>
      </c>
      <c r="H1724">
        <f t="shared" si="136"/>
        <v>6.8229261912709394E-2</v>
      </c>
      <c r="I1724">
        <f t="shared" si="135"/>
        <v>1</v>
      </c>
      <c r="J1724">
        <f t="shared" si="137"/>
        <v>3</v>
      </c>
      <c r="K1724">
        <v>-2.51796407327055E-2</v>
      </c>
      <c r="L1724">
        <v>-3.89586621895429E-3</v>
      </c>
      <c r="M1724">
        <v>1.66789085566998E-2</v>
      </c>
      <c r="N1724">
        <v>2.2117114625871199E-2</v>
      </c>
      <c r="O1724">
        <f t="shared" si="138"/>
        <v>-3.0913394503295256E-2</v>
      </c>
    </row>
    <row r="1725" spans="1:15" x14ac:dyDescent="0.35">
      <c r="A1725" t="s">
        <v>116</v>
      </c>
      <c r="B1725">
        <v>2012</v>
      </c>
      <c r="C1725">
        <v>145208.09375</v>
      </c>
      <c r="D1725" s="8">
        <v>0.937475144863129</v>
      </c>
      <c r="E1725" s="8">
        <v>0</v>
      </c>
      <c r="F1725">
        <v>2.1560090702947798</v>
      </c>
      <c r="G1725">
        <f t="shared" si="134"/>
        <v>2.2998039810533393</v>
      </c>
      <c r="H1725">
        <f t="shared" si="136"/>
        <v>-7.6253663624454626E-2</v>
      </c>
      <c r="I1725">
        <f t="shared" si="135"/>
        <v>0</v>
      </c>
      <c r="J1725">
        <f t="shared" si="137"/>
        <v>3</v>
      </c>
      <c r="K1725">
        <v>1.66789085566998E-2</v>
      </c>
      <c r="L1725">
        <v>2.2031515836715702E-2</v>
      </c>
      <c r="M1725">
        <v>6.9359397888183998E-3</v>
      </c>
      <c r="N1725">
        <v>8.0916844308380096E-4</v>
      </c>
      <c r="O1725">
        <f t="shared" si="138"/>
        <v>1.6674257442355102E-2</v>
      </c>
    </row>
    <row r="1726" spans="1:15" x14ac:dyDescent="0.35">
      <c r="A1726" t="s">
        <v>116</v>
      </c>
      <c r="B1726">
        <v>2013</v>
      </c>
      <c r="C1726">
        <v>150061.59375</v>
      </c>
      <c r="D1726" s="8">
        <v>0.92028987407684304</v>
      </c>
      <c r="E1726" s="8">
        <v>5.0999999999999997E-2</v>
      </c>
      <c r="F1726">
        <v>2.7237209302325498</v>
      </c>
      <c r="G1726">
        <f t="shared" si="134"/>
        <v>2.9596337055916826</v>
      </c>
      <c r="H1726">
        <f t="shared" si="136"/>
        <v>0.28690694075419976</v>
      </c>
      <c r="I1726">
        <f t="shared" si="135"/>
        <v>1</v>
      </c>
      <c r="J1726">
        <f t="shared" si="137"/>
        <v>3</v>
      </c>
      <c r="K1726">
        <v>6.9359397888183998E-3</v>
      </c>
      <c r="L1726">
        <v>8.0916844308380096E-4</v>
      </c>
      <c r="M1726">
        <v>2.0455310881137799E-2</v>
      </c>
      <c r="N1726">
        <v>1.8447287380695201E-2</v>
      </c>
      <c r="O1726">
        <f t="shared" si="138"/>
        <v>3.4926215559244189E-2</v>
      </c>
    </row>
    <row r="1727" spans="1:15" x14ac:dyDescent="0.35">
      <c r="A1727" t="s">
        <v>116</v>
      </c>
      <c r="B1727">
        <v>2014</v>
      </c>
      <c r="C1727">
        <v>154872.296875</v>
      </c>
      <c r="D1727" s="8">
        <v>0.92479956150054898</v>
      </c>
      <c r="E1727" s="8">
        <v>5.0999999999999997E-2</v>
      </c>
      <c r="F1727">
        <v>2.6147384091875798</v>
      </c>
      <c r="G1727">
        <f t="shared" si="134"/>
        <v>2.8273568868750245</v>
      </c>
      <c r="H1727">
        <f t="shared" si="136"/>
        <v>-4.4693645185465147E-2</v>
      </c>
      <c r="I1727">
        <f t="shared" si="135"/>
        <v>0</v>
      </c>
      <c r="J1727">
        <f t="shared" si="137"/>
        <v>2</v>
      </c>
      <c r="K1727">
        <v>2.0455310881137799E-2</v>
      </c>
      <c r="L1727">
        <v>1.8447287380695201E-2</v>
      </c>
      <c r="M1727">
        <v>-8.8402433156967206E-2</v>
      </c>
      <c r="N1727">
        <v>-0.11866588518023399</v>
      </c>
      <c r="O1727">
        <f t="shared" si="138"/>
        <v>1.8910111486911844E-2</v>
      </c>
    </row>
    <row r="1728" spans="1:15" x14ac:dyDescent="0.35">
      <c r="A1728" t="s">
        <v>116</v>
      </c>
      <c r="B1728">
        <v>2015</v>
      </c>
      <c r="C1728">
        <v>158088</v>
      </c>
      <c r="D1728" s="8">
        <v>0.87304908037185702</v>
      </c>
      <c r="E1728" s="8">
        <v>0</v>
      </c>
      <c r="F1728">
        <v>2.3540258920113599</v>
      </c>
      <c r="G1728">
        <f t="shared" si="134"/>
        <v>2.6963270965347239</v>
      </c>
      <c r="H1728">
        <f t="shared" si="136"/>
        <v>-4.6343562409315475E-2</v>
      </c>
      <c r="I1728">
        <f t="shared" si="135"/>
        <v>0</v>
      </c>
      <c r="J1728">
        <f t="shared" si="137"/>
        <v>2</v>
      </c>
      <c r="K1728">
        <v>-8.8402433156967206E-2</v>
      </c>
      <c r="L1728">
        <v>-0.11866588518023399</v>
      </c>
      <c r="M1728">
        <v>-6.4121100783348095E-2</v>
      </c>
      <c r="N1728">
        <v>-7.72746577858925E-2</v>
      </c>
      <c r="O1728">
        <f t="shared" si="138"/>
        <v>-1.5997698530554959E-2</v>
      </c>
    </row>
    <row r="1729" spans="1:15" x14ac:dyDescent="0.35">
      <c r="A1729" t="s">
        <v>116</v>
      </c>
      <c r="B1729">
        <v>2016</v>
      </c>
      <c r="C1729">
        <v>156057</v>
      </c>
      <c r="D1729" s="8">
        <v>0.88803714513778698</v>
      </c>
      <c r="E1729" s="8">
        <v>8.0000000000000002E-3</v>
      </c>
      <c r="F1729">
        <v>2.1255404148196702</v>
      </c>
      <c r="G1729">
        <f t="shared" si="134"/>
        <v>2.3935264717895031</v>
      </c>
      <c r="H1729">
        <f t="shared" si="136"/>
        <v>-0.1123011466725885</v>
      </c>
      <c r="I1729">
        <f t="shared" si="135"/>
        <v>0</v>
      </c>
      <c r="J1729">
        <f t="shared" si="137"/>
        <v>1</v>
      </c>
      <c r="K1729">
        <v>-6.4121100783348095E-2</v>
      </c>
      <c r="L1729">
        <v>-7.72746577858925E-2</v>
      </c>
      <c r="M1729">
        <v>0.262844947814941</v>
      </c>
      <c r="N1729">
        <v>0.26005537435412301</v>
      </c>
      <c r="O1729">
        <f t="shared" si="138"/>
        <v>-1.7953426251188103E-2</v>
      </c>
    </row>
    <row r="1730" spans="1:15" x14ac:dyDescent="0.35">
      <c r="A1730" t="s">
        <v>116</v>
      </c>
      <c r="B1730">
        <v>2017</v>
      </c>
      <c r="C1730">
        <v>156391.40625</v>
      </c>
      <c r="D1730" s="8">
        <v>0.94915926456451405</v>
      </c>
      <c r="E1730" s="8">
        <v>4.1000000000000002E-2</v>
      </c>
      <c r="F1730">
        <v>2.2959947899706901</v>
      </c>
      <c r="G1730">
        <f t="shared" si="134"/>
        <v>2.4189773789166149</v>
      </c>
      <c r="H1730">
        <f t="shared" si="136"/>
        <v>1.0633225672279201E-2</v>
      </c>
      <c r="I1730">
        <f t="shared" si="135"/>
        <v>1</v>
      </c>
      <c r="J1730">
        <f t="shared" si="137"/>
        <v>2</v>
      </c>
      <c r="K1730">
        <v>0.262844947814941</v>
      </c>
      <c r="L1730">
        <v>0.26005537435412301</v>
      </c>
      <c r="M1730">
        <v>0.101203981995583</v>
      </c>
      <c r="N1730">
        <v>9.2068959027529207E-2</v>
      </c>
      <c r="O1730">
        <f t="shared" si="138"/>
        <v>-4.5589805254712713E-2</v>
      </c>
    </row>
    <row r="1731" spans="1:15" x14ac:dyDescent="0.35">
      <c r="A1731" t="s">
        <v>116</v>
      </c>
      <c r="B1731">
        <v>2018</v>
      </c>
      <c r="C1731">
        <v>161025.296875</v>
      </c>
      <c r="D1731" s="8">
        <v>0.93813306093215898</v>
      </c>
      <c r="E1731" s="8">
        <v>0</v>
      </c>
      <c r="F1731">
        <v>2.6248809901618499</v>
      </c>
      <c r="G1731">
        <f t="shared" ref="G1731:G1794" si="139">F1731/D1731</f>
        <v>2.7979836757417806</v>
      </c>
      <c r="H1731">
        <f t="shared" si="136"/>
        <v>0.15668038077929891</v>
      </c>
      <c r="I1731">
        <f t="shared" ref="I1731:I1794" si="140">IF(H1731&gt;0,1,0)</f>
        <v>1</v>
      </c>
      <c r="J1731">
        <f t="shared" si="137"/>
        <v>2</v>
      </c>
      <c r="K1731">
        <v>0.101203981995583</v>
      </c>
      <c r="L1731">
        <v>9.2068959027529207E-2</v>
      </c>
      <c r="M1731">
        <v>-4.3832038372754997E-2</v>
      </c>
      <c r="N1731">
        <v>-6.1633232980966499E-2</v>
      </c>
      <c r="O1731">
        <f t="shared" si="138"/>
        <v>-4.5268745580688295E-2</v>
      </c>
    </row>
    <row r="1732" spans="1:15" x14ac:dyDescent="0.35">
      <c r="A1732" t="s">
        <v>116</v>
      </c>
      <c r="B1732">
        <v>2019</v>
      </c>
      <c r="C1732">
        <v>164470.703125</v>
      </c>
      <c r="D1732" s="8">
        <v>0.90124005079269398</v>
      </c>
      <c r="E1732" s="8">
        <v>0</v>
      </c>
      <c r="F1732">
        <v>2.51954860937734</v>
      </c>
      <c r="G1732">
        <f t="shared" si="139"/>
        <v>2.7956465174414387</v>
      </c>
      <c r="H1732">
        <f t="shared" ref="H1732:H1795" si="141">+G1732/G1731-1</f>
        <v>-8.3530090636518839E-4</v>
      </c>
      <c r="I1732">
        <f t="shared" si="140"/>
        <v>0</v>
      </c>
      <c r="J1732" t="str">
        <f t="shared" si="137"/>
        <v/>
      </c>
      <c r="K1732">
        <v>-4.3832038372754997E-2</v>
      </c>
      <c r="L1732">
        <v>-6.1633232980966499E-2</v>
      </c>
      <c r="M1732">
        <v>-0.274355744838715</v>
      </c>
      <c r="N1732">
        <v>-0.29320493526756802</v>
      </c>
      <c r="O1732">
        <f t="shared" si="138"/>
        <v>-2.9702088283375082E-2</v>
      </c>
    </row>
    <row r="1733" spans="1:15" x14ac:dyDescent="0.35">
      <c r="A1733" t="s">
        <v>116</v>
      </c>
      <c r="B1733">
        <v>2020</v>
      </c>
      <c r="C1733">
        <v>164330.3125</v>
      </c>
      <c r="D1733" s="8">
        <v>0.77393198013305697</v>
      </c>
      <c r="E1733" s="8">
        <v>3.5999999999999997E-2</v>
      </c>
      <c r="F1733">
        <v>2.6612505440301701</v>
      </c>
      <c r="G1733">
        <f t="shared" si="139"/>
        <v>3.4386103848204321</v>
      </c>
      <c r="H1733">
        <f t="shared" si="141"/>
        <v>0.22998754075942007</v>
      </c>
      <c r="I1733">
        <f t="shared" si="140"/>
        <v>1</v>
      </c>
      <c r="J1733" t="str">
        <f t="shared" si="137"/>
        <v/>
      </c>
      <c r="K1733">
        <v>-0.274355744838715</v>
      </c>
      <c r="L1733">
        <v>-0.29320493526756802</v>
      </c>
      <c r="M1733">
        <v>-4.3463683666661299E-2</v>
      </c>
      <c r="N1733">
        <v>-8.7053296389058205E-2</v>
      </c>
      <c r="O1733">
        <f t="shared" si="138"/>
        <v>2.938594077713778E-2</v>
      </c>
    </row>
    <row r="1734" spans="1:15" x14ac:dyDescent="0.35">
      <c r="A1734" t="s">
        <v>116</v>
      </c>
      <c r="B1734">
        <v>2021</v>
      </c>
      <c r="C1734">
        <v>160941</v>
      </c>
      <c r="D1734" s="8">
        <v>0.84494227170944203</v>
      </c>
      <c r="E1734" s="8">
        <v>0</v>
      </c>
      <c r="F1734">
        <v>2.62015620306398</v>
      </c>
      <c r="G1734">
        <f t="shared" si="139"/>
        <v>3.1009884234611911</v>
      </c>
      <c r="H1734">
        <f t="shared" si="141"/>
        <v>-9.8185581841332081E-2</v>
      </c>
      <c r="I1734">
        <f t="shared" si="140"/>
        <v>0</v>
      </c>
      <c r="J1734" t="str">
        <f t="shared" si="137"/>
        <v/>
      </c>
      <c r="K1734">
        <v>-4.3463683666661299E-2</v>
      </c>
      <c r="L1734">
        <v>-8.7053296389058205E-2</v>
      </c>
      <c r="M1734">
        <v>8.9769972562789999E-2</v>
      </c>
      <c r="N1734">
        <v>0.1218734793365</v>
      </c>
      <c r="O1734">
        <f t="shared" si="138"/>
        <v>4.5441806223243369E-2</v>
      </c>
    </row>
    <row r="1735" spans="1:15" x14ac:dyDescent="0.35">
      <c r="A1735" t="s">
        <v>116</v>
      </c>
      <c r="B1735">
        <v>2022</v>
      </c>
      <c r="C1735">
        <v>162443.09375</v>
      </c>
      <c r="D1735" s="8">
        <v>0.90787202119827304</v>
      </c>
      <c r="E1735" s="8">
        <v>6.0000000000000001E-3</v>
      </c>
      <c r="F1735">
        <v>2.3769418410579002</v>
      </c>
      <c r="G1735">
        <f t="shared" si="139"/>
        <v>2.6181463747727856</v>
      </c>
      <c r="H1735">
        <f t="shared" si="141"/>
        <v>-0.15570585334513365</v>
      </c>
      <c r="I1735">
        <f t="shared" si="140"/>
        <v>0</v>
      </c>
      <c r="J1735" t="str">
        <f t="shared" ref="J1735:J1798" si="142">IF(AND(B1735&gt;=2010,B1735&lt;=2018),SUM(I1731:I1735),"")</f>
        <v/>
      </c>
      <c r="K1735">
        <v>8.9769972562789999E-2</v>
      </c>
      <c r="L1735">
        <v>0.122352182865142</v>
      </c>
      <c r="M1735">
        <v>7.4115329623221995E-2</v>
      </c>
      <c r="N1735">
        <v>9.3674257397651298E-2</v>
      </c>
      <c r="O1735">
        <f t="shared" ref="O1735:O1798" si="143">IF(B1735&gt;=2010,AVERAGE(N1735:N1739),"")</f>
        <v>2.0329051977023414E-2</v>
      </c>
    </row>
    <row r="1736" spans="1:15" x14ac:dyDescent="0.35">
      <c r="A1736" t="s">
        <v>117</v>
      </c>
      <c r="B1736">
        <v>2006</v>
      </c>
      <c r="C1736">
        <v>549720.25</v>
      </c>
      <c r="D1736" s="8">
        <v>0.94475144147872903</v>
      </c>
      <c r="E1736" s="8">
        <v>5.0000000000000001E-3</v>
      </c>
      <c r="F1736">
        <v>2.51077252071638</v>
      </c>
      <c r="G1736">
        <f t="shared" si="139"/>
        <v>2.6576011535759161</v>
      </c>
      <c r="H1736">
        <f t="shared" si="141"/>
        <v>1.506973757590413E-2</v>
      </c>
      <c r="I1736">
        <f t="shared" si="140"/>
        <v>1</v>
      </c>
      <c r="J1736" t="str">
        <f t="shared" si="142"/>
        <v/>
      </c>
      <c r="K1736">
        <v>9.3724817335605892E-3</v>
      </c>
      <c r="L1736">
        <v>3.0094422399997902E-3</v>
      </c>
      <c r="M1736">
        <v>1.52782975733279E-2</v>
      </c>
      <c r="N1736">
        <v>1.6200053505599499E-2</v>
      </c>
      <c r="O1736" t="str">
        <f t="shared" si="143"/>
        <v/>
      </c>
    </row>
    <row r="1737" spans="1:15" x14ac:dyDescent="0.35">
      <c r="A1737" t="s">
        <v>117</v>
      </c>
      <c r="B1737">
        <v>2007</v>
      </c>
      <c r="C1737">
        <v>565581.5</v>
      </c>
      <c r="D1737" s="8">
        <v>0.94675087928771995</v>
      </c>
      <c r="E1737" s="8">
        <v>4.0000000000000001E-3</v>
      </c>
      <c r="F1737">
        <v>2.6068247666058499</v>
      </c>
      <c r="G1737">
        <f t="shared" si="139"/>
        <v>2.7534431957085403</v>
      </c>
      <c r="H1737">
        <f t="shared" si="141"/>
        <v>3.6063365642231338E-2</v>
      </c>
      <c r="I1737">
        <f t="shared" si="140"/>
        <v>1</v>
      </c>
      <c r="J1737" t="str">
        <f t="shared" si="142"/>
        <v/>
      </c>
      <c r="K1737">
        <v>1.52782975733279E-2</v>
      </c>
      <c r="L1737">
        <v>1.6200053505599499E-2</v>
      </c>
      <c r="M1737">
        <v>-2.7275594241917001E-2</v>
      </c>
      <c r="N1737">
        <v>2.2352100349963002E-3</v>
      </c>
      <c r="O1737" t="str">
        <f t="shared" si="143"/>
        <v/>
      </c>
    </row>
    <row r="1738" spans="1:15" x14ac:dyDescent="0.35">
      <c r="A1738" t="s">
        <v>117</v>
      </c>
      <c r="B1738">
        <v>2008</v>
      </c>
      <c r="C1738">
        <v>579997.9375</v>
      </c>
      <c r="D1738" s="8">
        <v>0.92624282836914096</v>
      </c>
      <c r="E1738" s="8">
        <v>3.9E-2</v>
      </c>
      <c r="F1738">
        <v>2.5081377597226102</v>
      </c>
      <c r="G1738">
        <f t="shared" si="139"/>
        <v>2.7078620021692923</v>
      </c>
      <c r="H1738">
        <f t="shared" si="141"/>
        <v>-1.6554252366742128E-2</v>
      </c>
      <c r="I1738">
        <f t="shared" si="140"/>
        <v>0</v>
      </c>
      <c r="J1738" t="str">
        <f t="shared" si="142"/>
        <v/>
      </c>
      <c r="K1738">
        <v>-2.7275594241917001E-2</v>
      </c>
      <c r="L1738">
        <v>2.2352100349963002E-3</v>
      </c>
      <c r="M1738">
        <v>-3.33406708240509E-2</v>
      </c>
      <c r="N1738">
        <v>-6.7739691585302396E-3</v>
      </c>
      <c r="O1738" t="str">
        <f t="shared" si="143"/>
        <v/>
      </c>
    </row>
    <row r="1739" spans="1:15" x14ac:dyDescent="0.35">
      <c r="A1739" t="s">
        <v>117</v>
      </c>
      <c r="B1739">
        <v>2009</v>
      </c>
      <c r="C1739">
        <v>591591.1875</v>
      </c>
      <c r="D1739" s="8">
        <v>0.92282897233963002</v>
      </c>
      <c r="E1739" s="8">
        <v>3.3000000000000002E-2</v>
      </c>
      <c r="F1739">
        <v>2.6430657471715699</v>
      </c>
      <c r="G1739">
        <f t="shared" si="139"/>
        <v>2.8640905589154375</v>
      </c>
      <c r="H1739">
        <f t="shared" si="141"/>
        <v>5.7694430743143066E-2</v>
      </c>
      <c r="I1739">
        <f t="shared" si="140"/>
        <v>1</v>
      </c>
      <c r="J1739" t="str">
        <f t="shared" si="142"/>
        <v/>
      </c>
      <c r="K1739">
        <v>-3.33406708240509E-2</v>
      </c>
      <c r="L1739">
        <v>-6.7739691585302396E-3</v>
      </c>
      <c r="M1739">
        <v>-1.3150400653481401E-2</v>
      </c>
      <c r="N1739">
        <v>-3.6902918945997901E-3</v>
      </c>
      <c r="O1739" t="str">
        <f t="shared" si="143"/>
        <v/>
      </c>
    </row>
    <row r="1740" spans="1:15" x14ac:dyDescent="0.35">
      <c r="A1740" t="s">
        <v>117</v>
      </c>
      <c r="B1740">
        <v>2010</v>
      </c>
      <c r="C1740">
        <v>601528.0625</v>
      </c>
      <c r="D1740" s="8">
        <v>0.93018043041229204</v>
      </c>
      <c r="E1740" s="8">
        <v>0</v>
      </c>
      <c r="F1740">
        <v>2.7937208786332302</v>
      </c>
      <c r="G1740">
        <f t="shared" si="139"/>
        <v>3.0034182480004925</v>
      </c>
      <c r="H1740">
        <f t="shared" si="141"/>
        <v>4.8646397946933373E-2</v>
      </c>
      <c r="I1740">
        <f t="shared" si="140"/>
        <v>1</v>
      </c>
      <c r="J1740">
        <f t="shared" si="142"/>
        <v>4</v>
      </c>
      <c r="K1740">
        <v>-1.3150400653481401E-2</v>
      </c>
      <c r="L1740">
        <v>-3.6902918945997901E-3</v>
      </c>
      <c r="M1740">
        <v>-2.3037604399025399E-2</v>
      </c>
      <c r="N1740">
        <v>-1.75382988527414E-3</v>
      </c>
      <c r="O1740">
        <f t="shared" si="143"/>
        <v>-2.2396613843738678E-3</v>
      </c>
    </row>
    <row r="1741" spans="1:15" x14ac:dyDescent="0.35">
      <c r="A1741" t="s">
        <v>117</v>
      </c>
      <c r="B1741">
        <v>2011</v>
      </c>
      <c r="C1741">
        <v>608084.875</v>
      </c>
      <c r="D1741" s="8">
        <v>0.93063837289810203</v>
      </c>
      <c r="E1741" s="8">
        <v>7.0000000000000001E-3</v>
      </c>
      <c r="F1741">
        <v>2.58098064931777</v>
      </c>
      <c r="G1741">
        <f t="shared" si="139"/>
        <v>2.7733443241549725</v>
      </c>
      <c r="H1741">
        <f t="shared" si="141"/>
        <v>-7.6604024097772672E-2</v>
      </c>
      <c r="I1741">
        <f t="shared" si="140"/>
        <v>0</v>
      </c>
      <c r="J1741">
        <f t="shared" si="142"/>
        <v>3</v>
      </c>
      <c r="K1741">
        <v>-2.3037604399025399E-2</v>
      </c>
      <c r="L1741">
        <v>-1.75382988527414E-3</v>
      </c>
      <c r="M1741">
        <v>-8.9562649875879006E-3</v>
      </c>
      <c r="N1741">
        <v>-3.5180589184165001E-3</v>
      </c>
      <c r="O1741">
        <f t="shared" si="143"/>
        <v>-2.5352332741021802E-3</v>
      </c>
    </row>
    <row r="1742" spans="1:15" x14ac:dyDescent="0.35">
      <c r="A1742" t="s">
        <v>117</v>
      </c>
      <c r="B1742">
        <v>2012</v>
      </c>
      <c r="C1742">
        <v>615961.1875</v>
      </c>
      <c r="D1742" s="8">
        <v>0.92819708585739102</v>
      </c>
      <c r="E1742" s="8">
        <v>5.5E-2</v>
      </c>
      <c r="F1742">
        <v>2.69412140283668</v>
      </c>
      <c r="G1742">
        <f t="shared" si="139"/>
        <v>2.9025316324367423</v>
      </c>
      <c r="H1742">
        <f t="shared" si="141"/>
        <v>4.6581777515539047E-2</v>
      </c>
      <c r="I1742">
        <f t="shared" si="140"/>
        <v>1</v>
      </c>
      <c r="J1742">
        <f t="shared" si="142"/>
        <v>3</v>
      </c>
      <c r="K1742">
        <v>-8.9562649875879006E-3</v>
      </c>
      <c r="L1742">
        <v>-3.6036577075719898E-3</v>
      </c>
      <c r="M1742">
        <v>-3.8099459931254E-3</v>
      </c>
      <c r="N1742">
        <v>-9.9367173388600002E-3</v>
      </c>
      <c r="O1742">
        <f t="shared" si="143"/>
        <v>2.0066620782017994E-3</v>
      </c>
    </row>
    <row r="1743" spans="1:15" x14ac:dyDescent="0.35">
      <c r="A1743" t="s">
        <v>117</v>
      </c>
      <c r="B1743">
        <v>2013</v>
      </c>
      <c r="C1743">
        <v>625626.5625</v>
      </c>
      <c r="D1743" s="8">
        <v>0.93213129043579102</v>
      </c>
      <c r="E1743" s="8">
        <v>8.1000000000000003E-2</v>
      </c>
      <c r="F1743">
        <v>2.8054312404953201</v>
      </c>
      <c r="G1743">
        <f t="shared" si="139"/>
        <v>3.0096953822714414</v>
      </c>
      <c r="H1743">
        <f t="shared" si="141"/>
        <v>3.6920786198196387E-2</v>
      </c>
      <c r="I1743">
        <f t="shared" si="140"/>
        <v>1</v>
      </c>
      <c r="J1743">
        <f t="shared" si="142"/>
        <v>4</v>
      </c>
      <c r="K1743">
        <v>-3.8099459931254E-3</v>
      </c>
      <c r="L1743">
        <v>-9.9367173388600002E-3</v>
      </c>
      <c r="M1743">
        <v>1.95787116885198E-4</v>
      </c>
      <c r="N1743">
        <v>-1.8122363835572999E-3</v>
      </c>
      <c r="O1743">
        <f t="shared" si="143"/>
        <v>8.1948261708021403E-3</v>
      </c>
    </row>
    <row r="1744" spans="1:15" x14ac:dyDescent="0.35">
      <c r="A1744" t="s">
        <v>117</v>
      </c>
      <c r="B1744">
        <v>2014</v>
      </c>
      <c r="C1744">
        <v>635833.9375</v>
      </c>
      <c r="D1744" s="8">
        <v>0.93912613391876198</v>
      </c>
      <c r="E1744" s="8">
        <v>3.6999999999999998E-2</v>
      </c>
      <c r="F1744">
        <v>2.7234863518101999</v>
      </c>
      <c r="G1744">
        <f t="shared" si="139"/>
        <v>2.9000218963619981</v>
      </c>
      <c r="H1744">
        <f t="shared" si="141"/>
        <v>-3.6440061859905448E-2</v>
      </c>
      <c r="I1744">
        <f t="shared" si="140"/>
        <v>0</v>
      </c>
      <c r="J1744">
        <f t="shared" si="142"/>
        <v>3</v>
      </c>
      <c r="K1744">
        <v>1.95787116885198E-4</v>
      </c>
      <c r="L1744">
        <v>-1.8122363835572999E-3</v>
      </c>
      <c r="M1744">
        <v>3.6085987627506297E-2</v>
      </c>
      <c r="N1744">
        <v>5.8225356042386003E-3</v>
      </c>
      <c r="O1744">
        <f t="shared" si="143"/>
        <v>1.0187389701604857E-2</v>
      </c>
    </row>
    <row r="1745" spans="1:15" x14ac:dyDescent="0.35">
      <c r="A1745" t="s">
        <v>117</v>
      </c>
      <c r="B1745">
        <v>2015</v>
      </c>
      <c r="C1745">
        <v>646580.6875</v>
      </c>
      <c r="D1745" s="8">
        <v>0.93662637472152699</v>
      </c>
      <c r="E1745" s="8">
        <v>3.3000000000000002E-2</v>
      </c>
      <c r="F1745">
        <v>2.5982711084392198</v>
      </c>
      <c r="G1745">
        <f t="shared" si="139"/>
        <v>2.7740742504840572</v>
      </c>
      <c r="H1745">
        <f t="shared" si="141"/>
        <v>-4.3429894800428581E-2</v>
      </c>
      <c r="I1745">
        <f t="shared" si="140"/>
        <v>0</v>
      </c>
      <c r="J1745">
        <f t="shared" si="142"/>
        <v>2</v>
      </c>
      <c r="K1745">
        <v>3.6085987627506297E-2</v>
      </c>
      <c r="L1745">
        <v>5.8225356042386003E-3</v>
      </c>
      <c r="M1745">
        <v>9.9218676686287002E-3</v>
      </c>
      <c r="N1745">
        <v>-3.2316893339157E-3</v>
      </c>
      <c r="O1745">
        <f t="shared" si="143"/>
        <v>1.1536983773112299E-2</v>
      </c>
    </row>
    <row r="1746" spans="1:15" x14ac:dyDescent="0.35">
      <c r="A1746" t="s">
        <v>117</v>
      </c>
      <c r="B1746">
        <v>2016</v>
      </c>
      <c r="C1746">
        <v>659121</v>
      </c>
      <c r="D1746" s="8">
        <v>0.93474406003952004</v>
      </c>
      <c r="E1746" s="8">
        <v>4.2999999999999997E-2</v>
      </c>
      <c r="F1746">
        <v>2.64469751856547</v>
      </c>
      <c r="G1746">
        <f t="shared" si="139"/>
        <v>2.8293279750327107</v>
      </c>
      <c r="H1746">
        <f t="shared" si="141"/>
        <v>1.9917896768268495E-2</v>
      </c>
      <c r="I1746">
        <f t="shared" si="140"/>
        <v>1</v>
      </c>
      <c r="J1746">
        <f t="shared" si="142"/>
        <v>3</v>
      </c>
      <c r="K1746">
        <v>9.9218676686287002E-3</v>
      </c>
      <c r="L1746">
        <v>-3.2316893339157E-3</v>
      </c>
      <c r="M1746">
        <v>2.1980991303920599E-2</v>
      </c>
      <c r="N1746">
        <v>1.9191417843103398E-2</v>
      </c>
      <c r="O1746">
        <f t="shared" si="143"/>
        <v>1.5651876851916238E-2</v>
      </c>
    </row>
    <row r="1747" spans="1:15" x14ac:dyDescent="0.35">
      <c r="A1747" t="s">
        <v>117</v>
      </c>
      <c r="B1747">
        <v>2017</v>
      </c>
      <c r="C1747">
        <v>670482.8125</v>
      </c>
      <c r="D1747" s="8">
        <v>0.94237637519836404</v>
      </c>
      <c r="E1747" s="8">
        <v>4.4999999999999998E-2</v>
      </c>
      <c r="F1747">
        <v>2.6614699806189099</v>
      </c>
      <c r="G1747">
        <f t="shared" si="139"/>
        <v>2.8242112712754373</v>
      </c>
      <c r="H1747">
        <f t="shared" si="141"/>
        <v>-1.808451972491576E-3</v>
      </c>
      <c r="I1747">
        <f t="shared" si="140"/>
        <v>0</v>
      </c>
      <c r="J1747">
        <f t="shared" si="142"/>
        <v>2</v>
      </c>
      <c r="K1747">
        <v>2.1980991303920599E-2</v>
      </c>
      <c r="L1747">
        <v>1.9191417843103398E-2</v>
      </c>
      <c r="M1747">
        <v>3.0139126092195399E-2</v>
      </c>
      <c r="N1747">
        <v>2.10041031241417E-2</v>
      </c>
      <c r="O1747">
        <f t="shared" si="143"/>
        <v>9.3993332237004758E-3</v>
      </c>
    </row>
    <row r="1748" spans="1:15" x14ac:dyDescent="0.35">
      <c r="A1748" t="s">
        <v>117</v>
      </c>
      <c r="B1748">
        <v>2018</v>
      </c>
      <c r="C1748">
        <v>680328.5</v>
      </c>
      <c r="D1748" s="8">
        <v>0.93536186218261697</v>
      </c>
      <c r="E1748" s="8">
        <v>0.05</v>
      </c>
      <c r="F1748">
        <v>2.6136586587631201</v>
      </c>
      <c r="G1748">
        <f t="shared" si="139"/>
        <v>2.7942754183544398</v>
      </c>
      <c r="H1748">
        <f t="shared" si="141"/>
        <v>-1.059972149586319E-2</v>
      </c>
      <c r="I1748">
        <f t="shared" si="140"/>
        <v>0</v>
      </c>
      <c r="J1748">
        <f t="shared" si="142"/>
        <v>1</v>
      </c>
      <c r="K1748">
        <v>3.0139126092195399E-2</v>
      </c>
      <c r="L1748">
        <v>2.10041031241417E-2</v>
      </c>
      <c r="M1748">
        <v>2.5951775878667701E-2</v>
      </c>
      <c r="N1748">
        <v>8.1505812704562898E-3</v>
      </c>
      <c r="O1748">
        <f t="shared" si="143"/>
        <v>-7.137281820178427E-4</v>
      </c>
    </row>
    <row r="1749" spans="1:15" x14ac:dyDescent="0.35">
      <c r="A1749" t="s">
        <v>117</v>
      </c>
      <c r="B1749">
        <v>2019</v>
      </c>
      <c r="C1749">
        <v>690264.125</v>
      </c>
      <c r="D1749" s="8">
        <v>0.93734747171402</v>
      </c>
      <c r="E1749" s="8">
        <v>3.6999999999999998E-2</v>
      </c>
      <c r="F1749">
        <v>2.4631663811347302</v>
      </c>
      <c r="G1749">
        <f t="shared" si="139"/>
        <v>2.6278050087771825</v>
      </c>
      <c r="H1749">
        <f t="shared" si="141"/>
        <v>-5.9575519465183024E-2</v>
      </c>
      <c r="I1749">
        <f t="shared" si="140"/>
        <v>0</v>
      </c>
      <c r="J1749" t="str">
        <f t="shared" si="142"/>
        <v/>
      </c>
      <c r="K1749">
        <v>2.5951775878667701E-2</v>
      </c>
      <c r="L1749">
        <v>8.1505812704562898E-3</v>
      </c>
      <c r="M1749">
        <v>3.1419696390628797E-2</v>
      </c>
      <c r="N1749">
        <v>1.2570505961775801E-2</v>
      </c>
      <c r="O1749">
        <f t="shared" si="143"/>
        <v>-6.9576799869539995E-4</v>
      </c>
    </row>
    <row r="1750" spans="1:15" x14ac:dyDescent="0.35">
      <c r="A1750" t="s">
        <v>117</v>
      </c>
      <c r="B1750">
        <v>2020</v>
      </c>
      <c r="C1750">
        <v>699431.25</v>
      </c>
      <c r="D1750" s="8">
        <v>0.94701981544494596</v>
      </c>
      <c r="E1750" s="8">
        <v>6.4000000000000001E-2</v>
      </c>
      <c r="F1750">
        <v>2.8192663219857201</v>
      </c>
      <c r="G1750">
        <f t="shared" si="139"/>
        <v>2.9769876786169691</v>
      </c>
      <c r="H1750">
        <f t="shared" si="141"/>
        <v>0.13287997727132517</v>
      </c>
      <c r="I1750">
        <f t="shared" si="140"/>
        <v>1</v>
      </c>
      <c r="J1750" t="str">
        <f t="shared" si="142"/>
        <v/>
      </c>
      <c r="K1750">
        <v>3.1419696390628797E-2</v>
      </c>
      <c r="L1750">
        <v>1.2570505961775801E-2</v>
      </c>
      <c r="M1750">
        <v>6.0932388782500999E-2</v>
      </c>
      <c r="N1750">
        <v>1.7342776060103999E-2</v>
      </c>
      <c r="O1750">
        <f t="shared" si="143"/>
        <v>1.1422491632401596E-3</v>
      </c>
    </row>
    <row r="1751" spans="1:15" x14ac:dyDescent="0.35">
      <c r="A1751" t="s">
        <v>117</v>
      </c>
      <c r="B1751">
        <v>2021</v>
      </c>
      <c r="C1751">
        <v>708395</v>
      </c>
      <c r="D1751" s="8">
        <v>0.93698137998580899</v>
      </c>
      <c r="E1751" s="8">
        <v>8.4000000000000005E-2</v>
      </c>
      <c r="F1751">
        <v>2.5602803370344098</v>
      </c>
      <c r="G1751">
        <f t="shared" si="139"/>
        <v>2.7324772847387706</v>
      </c>
      <c r="H1751">
        <f t="shared" si="141"/>
        <v>-8.2133492064633495E-2</v>
      </c>
      <c r="I1751">
        <f t="shared" si="140"/>
        <v>0</v>
      </c>
      <c r="J1751" t="str">
        <f t="shared" si="142"/>
        <v/>
      </c>
      <c r="K1751">
        <v>6.0932388782500999E-2</v>
      </c>
      <c r="L1751">
        <v>1.7342776060103999E-2</v>
      </c>
      <c r="M1751">
        <v>-4.41748070716858E-2</v>
      </c>
      <c r="N1751">
        <v>-1.20713002979754E-2</v>
      </c>
      <c r="O1751">
        <f t="shared" si="143"/>
        <v>-1.8231005407869506E-3</v>
      </c>
    </row>
    <row r="1752" spans="1:15" x14ac:dyDescent="0.35">
      <c r="A1752" t="s">
        <v>117</v>
      </c>
      <c r="B1752">
        <v>2022</v>
      </c>
      <c r="C1752">
        <v>716642.5625</v>
      </c>
      <c r="D1752" s="8">
        <v>0.89197909832000699</v>
      </c>
      <c r="E1752" s="8">
        <v>0.115</v>
      </c>
      <c r="F1752">
        <v>2.6231875618703699</v>
      </c>
      <c r="G1752">
        <f t="shared" si="139"/>
        <v>2.9408621421858401</v>
      </c>
      <c r="H1752">
        <f t="shared" si="141"/>
        <v>7.6262246940139278E-2</v>
      </c>
      <c r="I1752">
        <f t="shared" si="140"/>
        <v>1</v>
      </c>
      <c r="J1752" t="str">
        <f t="shared" si="142"/>
        <v/>
      </c>
      <c r="K1752">
        <v>-4.41748070716858E-2</v>
      </c>
      <c r="L1752">
        <v>-1.15925967693329E-2</v>
      </c>
      <c r="M1752">
        <v>-4.91201316788792E-2</v>
      </c>
      <c r="N1752">
        <v>-2.9561203904449902E-2</v>
      </c>
      <c r="O1752">
        <f t="shared" si="143"/>
        <v>-4.9917271826415983E-4</v>
      </c>
    </row>
    <row r="1753" spans="1:15" x14ac:dyDescent="0.35">
      <c r="A1753" t="s">
        <v>118</v>
      </c>
      <c r="B1753">
        <v>2006</v>
      </c>
      <c r="C1753">
        <v>1186850</v>
      </c>
      <c r="D1753" s="8">
        <v>0.91749471426010099</v>
      </c>
      <c r="E1753" s="8">
        <v>1.9E-2</v>
      </c>
      <c r="F1753">
        <v>2.2137481919496298</v>
      </c>
      <c r="G1753">
        <f t="shared" si="139"/>
        <v>2.4128184691885357</v>
      </c>
      <c r="H1753">
        <f t="shared" si="141"/>
        <v>-0.17955403805661829</v>
      </c>
      <c r="I1753">
        <f t="shared" si="140"/>
        <v>0</v>
      </c>
      <c r="J1753" t="str">
        <f t="shared" si="142"/>
        <v/>
      </c>
      <c r="K1753">
        <v>-1.5210040256381001E-2</v>
      </c>
      <c r="L1753">
        <v>-2.1573079749941701E-2</v>
      </c>
      <c r="M1753">
        <v>7.3186262547970003E-3</v>
      </c>
      <c r="N1753">
        <v>8.2403821870685005E-3</v>
      </c>
      <c r="O1753" t="str">
        <f t="shared" si="143"/>
        <v/>
      </c>
    </row>
    <row r="1754" spans="1:15" x14ac:dyDescent="0.35">
      <c r="A1754" t="s">
        <v>118</v>
      </c>
      <c r="B1754">
        <v>2007</v>
      </c>
      <c r="C1754">
        <v>1203902</v>
      </c>
      <c r="D1754" s="8">
        <v>0.91229057312011697</v>
      </c>
      <c r="E1754" s="8">
        <v>4.0000000000000001E-3</v>
      </c>
      <c r="F1754">
        <v>2.2663481764492999</v>
      </c>
      <c r="G1754">
        <f t="shared" si="139"/>
        <v>2.4842393895381187</v>
      </c>
      <c r="H1754">
        <f t="shared" si="141"/>
        <v>2.9600619052623012E-2</v>
      </c>
      <c r="I1754">
        <f t="shared" si="140"/>
        <v>1</v>
      </c>
      <c r="J1754" t="str">
        <f t="shared" si="142"/>
        <v/>
      </c>
      <c r="K1754">
        <v>7.3186262547970003E-3</v>
      </c>
      <c r="L1754">
        <v>8.2403821870685005E-3</v>
      </c>
      <c r="M1754">
        <v>-7.7502125054597897E-3</v>
      </c>
      <c r="N1754">
        <v>2.1760591771453602E-2</v>
      </c>
      <c r="O1754" t="str">
        <f t="shared" si="143"/>
        <v/>
      </c>
    </row>
    <row r="1755" spans="1:15" x14ac:dyDescent="0.35">
      <c r="A1755" t="s">
        <v>118</v>
      </c>
      <c r="B1755">
        <v>2008</v>
      </c>
      <c r="C1755">
        <v>1221981</v>
      </c>
      <c r="D1755" s="8">
        <v>0.91277688741684004</v>
      </c>
      <c r="E1755" s="8">
        <v>0</v>
      </c>
      <c r="F1755">
        <v>2.3164009808094601</v>
      </c>
      <c r="G1755">
        <f t="shared" si="139"/>
        <v>2.5377515718708419</v>
      </c>
      <c r="H1755">
        <f t="shared" si="141"/>
        <v>2.1540670580330934E-2</v>
      </c>
      <c r="I1755">
        <f t="shared" si="140"/>
        <v>1</v>
      </c>
      <c r="J1755" t="str">
        <f t="shared" si="142"/>
        <v/>
      </c>
      <c r="K1755">
        <v>-7.7502125054597897E-3</v>
      </c>
      <c r="L1755">
        <v>2.1760591771453602E-2</v>
      </c>
      <c r="M1755">
        <v>-2.4050674125552202E-2</v>
      </c>
      <c r="N1755">
        <v>2.5160275399684399E-3</v>
      </c>
      <c r="O1755" t="str">
        <f t="shared" si="143"/>
        <v/>
      </c>
    </row>
    <row r="1756" spans="1:15" x14ac:dyDescent="0.35">
      <c r="A1756" t="s">
        <v>118</v>
      </c>
      <c r="B1756">
        <v>2009</v>
      </c>
      <c r="C1756">
        <v>1242890</v>
      </c>
      <c r="D1756" s="8">
        <v>0.90522962808608998</v>
      </c>
      <c r="E1756" s="8">
        <v>1.0999999999999999E-2</v>
      </c>
      <c r="F1756">
        <v>2.3444729925282699</v>
      </c>
      <c r="G1756">
        <f t="shared" si="139"/>
        <v>2.5899207447342891</v>
      </c>
      <c r="H1756">
        <f t="shared" si="141"/>
        <v>2.0557241867842801E-2</v>
      </c>
      <c r="I1756">
        <f t="shared" si="140"/>
        <v>1</v>
      </c>
      <c r="J1756" t="str">
        <f t="shared" si="142"/>
        <v/>
      </c>
      <c r="K1756">
        <v>-2.4050674125552202E-2</v>
      </c>
      <c r="L1756">
        <v>2.5160275399684399E-3</v>
      </c>
      <c r="M1756">
        <v>-1.49117699442431E-2</v>
      </c>
      <c r="N1756">
        <v>-5.4516611853614397E-3</v>
      </c>
      <c r="O1756" t="str">
        <f t="shared" si="143"/>
        <v/>
      </c>
    </row>
    <row r="1757" spans="1:15" x14ac:dyDescent="0.35">
      <c r="A1757" t="s">
        <v>118</v>
      </c>
      <c r="B1757">
        <v>2010</v>
      </c>
      <c r="C1757">
        <v>1262885</v>
      </c>
      <c r="D1757" s="8">
        <v>0.91284990310668901</v>
      </c>
      <c r="E1757" s="8">
        <v>0.01</v>
      </c>
      <c r="F1757">
        <v>2.3401649527018402</v>
      </c>
      <c r="G1757">
        <f t="shared" si="139"/>
        <v>2.5635813124781963</v>
      </c>
      <c r="H1757">
        <f t="shared" si="141"/>
        <v>-1.0169976169983164E-2</v>
      </c>
      <c r="I1757">
        <f t="shared" si="140"/>
        <v>0</v>
      </c>
      <c r="J1757">
        <f t="shared" si="142"/>
        <v>3</v>
      </c>
      <c r="K1757">
        <v>-1.49117699442431E-2</v>
      </c>
      <c r="L1757">
        <v>-5.4516611853614397E-3</v>
      </c>
      <c r="M1757">
        <v>-1.8687958240508999E-2</v>
      </c>
      <c r="N1757">
        <v>2.5958162732422998E-3</v>
      </c>
      <c r="O1757">
        <f t="shared" si="143"/>
        <v>2.1394873037937565E-4</v>
      </c>
    </row>
    <row r="1758" spans="1:15" x14ac:dyDescent="0.35">
      <c r="A1758" t="s">
        <v>118</v>
      </c>
      <c r="B1758">
        <v>2011</v>
      </c>
      <c r="C1758">
        <v>1282842</v>
      </c>
      <c r="D1758" s="8">
        <v>0.91397958993911699</v>
      </c>
      <c r="E1758" s="8">
        <v>1.0999999999999999E-2</v>
      </c>
      <c r="F1758">
        <v>2.2756024182688099</v>
      </c>
      <c r="G1758">
        <f t="shared" si="139"/>
        <v>2.4897737797628445</v>
      </c>
      <c r="H1758">
        <f t="shared" si="141"/>
        <v>-2.8790790585067283E-2</v>
      </c>
      <c r="I1758">
        <f t="shared" si="140"/>
        <v>0</v>
      </c>
      <c r="J1758">
        <f t="shared" si="142"/>
        <v>3</v>
      </c>
      <c r="K1758">
        <v>-1.8687958240508999E-2</v>
      </c>
      <c r="L1758">
        <v>2.5958162732422998E-3</v>
      </c>
      <c r="M1758">
        <v>3.9284543097018896E-3</v>
      </c>
      <c r="N1758">
        <v>9.3666603788732893E-3</v>
      </c>
      <c r="O1758">
        <f t="shared" si="143"/>
        <v>-6.3114223070442439E-3</v>
      </c>
    </row>
    <row r="1759" spans="1:15" x14ac:dyDescent="0.35">
      <c r="A1759" t="s">
        <v>118</v>
      </c>
      <c r="B1759">
        <v>2012</v>
      </c>
      <c r="C1759">
        <v>1304591</v>
      </c>
      <c r="D1759" s="8">
        <v>0.917827248573303</v>
      </c>
      <c r="E1759" s="8">
        <v>1.4E-2</v>
      </c>
      <c r="F1759">
        <v>2.2611841818261098</v>
      </c>
      <c r="G1759">
        <f t="shared" si="139"/>
        <v>2.4636272079968853</v>
      </c>
      <c r="H1759">
        <f t="shared" si="141"/>
        <v>-1.0501585316096351E-2</v>
      </c>
      <c r="I1759">
        <f t="shared" si="140"/>
        <v>0</v>
      </c>
      <c r="J1759">
        <f t="shared" si="142"/>
        <v>2</v>
      </c>
      <c r="K1759">
        <v>3.9284543097018896E-3</v>
      </c>
      <c r="L1759">
        <v>9.2810615897177904E-3</v>
      </c>
      <c r="M1759">
        <v>1.5389627441763899E-2</v>
      </c>
      <c r="N1759">
        <v>9.2628560960292903E-3</v>
      </c>
      <c r="O1759">
        <f t="shared" si="143"/>
        <v>-1.0397223103791422E-2</v>
      </c>
    </row>
    <row r="1760" spans="1:15" x14ac:dyDescent="0.35">
      <c r="A1760" t="s">
        <v>118</v>
      </c>
      <c r="B1760">
        <v>2013</v>
      </c>
      <c r="C1760">
        <v>1325571</v>
      </c>
      <c r="D1760" s="8">
        <v>0.91275107860565197</v>
      </c>
      <c r="E1760" s="8">
        <v>1.9E-2</v>
      </c>
      <c r="F1760">
        <v>2.2992701887989799</v>
      </c>
      <c r="G1760">
        <f t="shared" si="139"/>
        <v>2.5190550224398742</v>
      </c>
      <c r="H1760">
        <f t="shared" si="141"/>
        <v>2.2498458477431704E-2</v>
      </c>
      <c r="I1760">
        <f t="shared" si="140"/>
        <v>1</v>
      </c>
      <c r="J1760">
        <f t="shared" si="142"/>
        <v>2</v>
      </c>
      <c r="K1760">
        <v>1.5389627441763899E-2</v>
      </c>
      <c r="L1760">
        <v>9.2628560960292903E-3</v>
      </c>
      <c r="M1760">
        <v>2.0080235004425002E-3</v>
      </c>
      <c r="N1760">
        <v>0</v>
      </c>
      <c r="O1760">
        <f t="shared" si="143"/>
        <v>-1.2422145623713679E-2</v>
      </c>
    </row>
    <row r="1761" spans="1:15" x14ac:dyDescent="0.35">
      <c r="A1761" t="s">
        <v>118</v>
      </c>
      <c r="B1761">
        <v>2014</v>
      </c>
      <c r="C1761">
        <v>1343397</v>
      </c>
      <c r="D1761" s="8">
        <v>0.91576433181762695</v>
      </c>
      <c r="E1761" s="8">
        <v>1.7000000000000001E-2</v>
      </c>
      <c r="F1761">
        <v>2.3365345723441902</v>
      </c>
      <c r="G1761">
        <f t="shared" si="139"/>
        <v>2.5514583732548206</v>
      </c>
      <c r="H1761">
        <f t="shared" si="141"/>
        <v>1.2863296167132443E-2</v>
      </c>
      <c r="I1761">
        <f t="shared" si="140"/>
        <v>1</v>
      </c>
      <c r="J1761">
        <f t="shared" si="142"/>
        <v>2</v>
      </c>
      <c r="K1761">
        <v>2.0080235004425002E-3</v>
      </c>
      <c r="L1761">
        <v>0</v>
      </c>
      <c r="M1761">
        <v>1.01078629270195E-2</v>
      </c>
      <c r="N1761">
        <v>-2.0155589096248001E-2</v>
      </c>
      <c r="O1761">
        <f t="shared" si="143"/>
        <v>-1.232892991974944E-2</v>
      </c>
    </row>
    <row r="1762" spans="1:15" x14ac:dyDescent="0.35">
      <c r="A1762" t="s">
        <v>118</v>
      </c>
      <c r="B1762">
        <v>2015</v>
      </c>
      <c r="C1762">
        <v>1363382</v>
      </c>
      <c r="D1762" s="8">
        <v>0.89398133754730202</v>
      </c>
      <c r="E1762" s="8">
        <v>3.6999999999999998E-2</v>
      </c>
      <c r="F1762">
        <v>2.3770399223087799</v>
      </c>
      <c r="G1762">
        <f t="shared" si="139"/>
        <v>2.6589368507740319</v>
      </c>
      <c r="H1762">
        <f t="shared" si="141"/>
        <v>4.2124331184797636E-2</v>
      </c>
      <c r="I1762">
        <f t="shared" si="140"/>
        <v>1</v>
      </c>
      <c r="J1762">
        <f t="shared" si="142"/>
        <v>3</v>
      </c>
      <c r="K1762">
        <v>1.01078629270195E-2</v>
      </c>
      <c r="L1762">
        <v>-2.0155589096248001E-2</v>
      </c>
      <c r="M1762">
        <v>-1.6877481911331399E-2</v>
      </c>
      <c r="N1762">
        <v>-3.0031038913875801E-2</v>
      </c>
      <c r="O1762">
        <f t="shared" si="143"/>
        <v>-8.1825437955557988E-3</v>
      </c>
    </row>
    <row r="1763" spans="1:15" x14ac:dyDescent="0.35">
      <c r="A1763" t="s">
        <v>118</v>
      </c>
      <c r="B1763">
        <v>2016</v>
      </c>
      <c r="C1763">
        <v>1377889</v>
      </c>
      <c r="D1763" s="8">
        <v>0.87316817045211803</v>
      </c>
      <c r="E1763" s="8">
        <v>2.1999999999999999E-2</v>
      </c>
      <c r="F1763">
        <v>2.2916078463349598</v>
      </c>
      <c r="G1763">
        <f t="shared" si="139"/>
        <v>2.6244747849069983</v>
      </c>
      <c r="H1763">
        <f t="shared" si="141"/>
        <v>-1.2960844052013254E-2</v>
      </c>
      <c r="I1763">
        <f t="shared" si="140"/>
        <v>0</v>
      </c>
      <c r="J1763">
        <f t="shared" si="142"/>
        <v>3</v>
      </c>
      <c r="K1763">
        <v>-1.6877481911331399E-2</v>
      </c>
      <c r="L1763">
        <v>-3.0031038913875801E-2</v>
      </c>
      <c r="M1763">
        <v>-8.2727701440453993E-3</v>
      </c>
      <c r="N1763">
        <v>-1.10623436048626E-2</v>
      </c>
      <c r="O1763">
        <f t="shared" si="143"/>
        <v>-3.2259484753012421E-3</v>
      </c>
    </row>
    <row r="1764" spans="1:15" x14ac:dyDescent="0.35">
      <c r="A1764" t="s">
        <v>118</v>
      </c>
      <c r="B1764">
        <v>2017</v>
      </c>
      <c r="C1764">
        <v>1387621</v>
      </c>
      <c r="D1764" s="8">
        <v>0.87823313474655196</v>
      </c>
      <c r="E1764" s="8">
        <v>1.2E-2</v>
      </c>
      <c r="F1764">
        <v>2.33379910592287</v>
      </c>
      <c r="G1764">
        <f t="shared" si="139"/>
        <v>2.6573799297567811</v>
      </c>
      <c r="H1764">
        <f t="shared" si="141"/>
        <v>1.2537801863830467E-2</v>
      </c>
      <c r="I1764">
        <f t="shared" si="140"/>
        <v>1</v>
      </c>
      <c r="J1764">
        <f t="shared" si="142"/>
        <v>4</v>
      </c>
      <c r="K1764">
        <v>-8.2727701440453993E-3</v>
      </c>
      <c r="L1764">
        <v>-1.10623436048626E-2</v>
      </c>
      <c r="M1764">
        <v>8.2732664644717992E-3</v>
      </c>
      <c r="N1764">
        <v>-8.6175650358199303E-4</v>
      </c>
      <c r="O1764">
        <f t="shared" si="143"/>
        <v>-1.2522678822278822E-3</v>
      </c>
    </row>
    <row r="1765" spans="1:15" x14ac:dyDescent="0.35">
      <c r="A1765" t="s">
        <v>118</v>
      </c>
      <c r="B1765">
        <v>2018</v>
      </c>
      <c r="C1765">
        <v>1401224</v>
      </c>
      <c r="D1765" s="8">
        <v>0.88944095373153698</v>
      </c>
      <c r="E1765" s="8">
        <v>1.0999999999999999E-2</v>
      </c>
      <c r="F1765">
        <v>2.3880847565897301</v>
      </c>
      <c r="G1765">
        <f t="shared" si="139"/>
        <v>2.6849278151301923</v>
      </c>
      <c r="H1765">
        <f t="shared" si="141"/>
        <v>1.0366558829219663E-2</v>
      </c>
      <c r="I1765">
        <f t="shared" si="140"/>
        <v>1</v>
      </c>
      <c r="J1765">
        <f t="shared" si="142"/>
        <v>4</v>
      </c>
      <c r="K1765">
        <v>8.2732664644717992E-3</v>
      </c>
      <c r="L1765">
        <v>-8.6175650358199303E-4</v>
      </c>
      <c r="M1765">
        <v>1.82672731280327E-2</v>
      </c>
      <c r="N1765">
        <v>4.6607851982119399E-4</v>
      </c>
      <c r="O1765">
        <f t="shared" si="143"/>
        <v>-4.8911720514296562E-4</v>
      </c>
    </row>
    <row r="1766" spans="1:15" x14ac:dyDescent="0.35">
      <c r="A1766" t="s">
        <v>118</v>
      </c>
      <c r="B1766">
        <v>2019</v>
      </c>
      <c r="C1766">
        <v>1417298</v>
      </c>
      <c r="D1766" s="8">
        <v>0.89802169799804699</v>
      </c>
      <c r="E1766" s="8">
        <v>8.9999999999999993E-3</v>
      </c>
      <c r="F1766">
        <v>2.2844385464269301</v>
      </c>
      <c r="G1766">
        <f t="shared" si="139"/>
        <v>2.5438567370026934</v>
      </c>
      <c r="H1766">
        <f t="shared" si="141"/>
        <v>-5.2541851342345458E-2</v>
      </c>
      <c r="I1766">
        <f t="shared" si="140"/>
        <v>0</v>
      </c>
      <c r="J1766" t="str">
        <f t="shared" si="142"/>
        <v/>
      </c>
      <c r="K1766">
        <v>1.82672731280327E-2</v>
      </c>
      <c r="L1766">
        <v>4.6607851982119399E-4</v>
      </c>
      <c r="M1766">
        <v>1.9425531953573199E-2</v>
      </c>
      <c r="N1766">
        <v>5.7634152472019803E-4</v>
      </c>
      <c r="O1766">
        <f t="shared" si="143"/>
        <v>3.2174957916140555E-3</v>
      </c>
    </row>
    <row r="1767" spans="1:15" x14ac:dyDescent="0.35">
      <c r="A1767" t="s">
        <v>118</v>
      </c>
      <c r="B1767">
        <v>2020</v>
      </c>
      <c r="C1767">
        <v>1433498</v>
      </c>
      <c r="D1767" s="8">
        <v>0.90943378210067705</v>
      </c>
      <c r="E1767" s="8">
        <v>6.0000000000000001E-3</v>
      </c>
      <c r="F1767">
        <v>2.1517763626461099</v>
      </c>
      <c r="G1767">
        <f t="shared" si="139"/>
        <v>2.3660616143770015</v>
      </c>
      <c r="H1767">
        <f t="shared" si="141"/>
        <v>-6.9891955800616135E-2</v>
      </c>
      <c r="I1767">
        <f t="shared" si="140"/>
        <v>0</v>
      </c>
      <c r="J1767" t="str">
        <f t="shared" si="142"/>
        <v/>
      </c>
      <c r="K1767">
        <v>1.9425531953573199E-2</v>
      </c>
      <c r="L1767">
        <v>5.7634152472019803E-4</v>
      </c>
      <c r="M1767">
        <v>3.8341550409793798E-2</v>
      </c>
      <c r="N1767">
        <v>-5.2480623126030098E-3</v>
      </c>
      <c r="O1767">
        <f t="shared" si="143"/>
        <v>3.2593891955912105E-3</v>
      </c>
    </row>
    <row r="1768" spans="1:15" x14ac:dyDescent="0.35">
      <c r="A1768" t="s">
        <v>118</v>
      </c>
      <c r="B1768">
        <v>2021</v>
      </c>
      <c r="C1768">
        <v>1448468</v>
      </c>
      <c r="D1768" s="8">
        <v>0.92633771896362305</v>
      </c>
      <c r="E1768" s="8">
        <v>1.7999999999999999E-2</v>
      </c>
      <c r="F1768">
        <v>2.1992862527314099</v>
      </c>
      <c r="G1768">
        <f t="shared" si="139"/>
        <v>2.37417327148456</v>
      </c>
      <c r="H1768">
        <f t="shared" si="141"/>
        <v>3.4283372243011367E-3</v>
      </c>
      <c r="I1768">
        <f t="shared" si="140"/>
        <v>1</v>
      </c>
      <c r="J1768" t="str">
        <f t="shared" si="142"/>
        <v/>
      </c>
      <c r="K1768">
        <v>3.8341550409793798E-2</v>
      </c>
      <c r="L1768">
        <v>-5.2480623126030098E-3</v>
      </c>
      <c r="M1768">
        <v>-3.3297447413206102E-2</v>
      </c>
      <c r="N1768">
        <v>-1.1939406394958E-3</v>
      </c>
      <c r="O1768">
        <f t="shared" si="143"/>
        <v>-1.6539665870368473E-3</v>
      </c>
    </row>
    <row r="1769" spans="1:15" x14ac:dyDescent="0.35">
      <c r="A1769" t="s">
        <v>118</v>
      </c>
      <c r="B1769">
        <v>2022</v>
      </c>
      <c r="C1769">
        <v>1467299</v>
      </c>
      <c r="D1769" s="8">
        <v>0.89614003896713301</v>
      </c>
      <c r="E1769" s="8">
        <v>1.2E-2</v>
      </c>
      <c r="F1769">
        <v>2.2107136553509399</v>
      </c>
      <c r="G1769">
        <f t="shared" si="139"/>
        <v>2.466928782580621</v>
      </c>
      <c r="H1769">
        <f t="shared" si="141"/>
        <v>3.9068551655482731E-2</v>
      </c>
      <c r="I1769">
        <f t="shared" si="140"/>
        <v>1</v>
      </c>
      <c r="J1769" t="str">
        <f t="shared" si="142"/>
        <v/>
      </c>
      <c r="K1769">
        <v>-3.3297447413206102E-2</v>
      </c>
      <c r="L1769">
        <v>-7.1523711085320202E-4</v>
      </c>
      <c r="M1769">
        <v>-1.6604930892586699E-2</v>
      </c>
      <c r="N1769">
        <v>2.9539968818425898E-3</v>
      </c>
      <c r="O1769">
        <f t="shared" si="143"/>
        <v>1.2308056466280807E-4</v>
      </c>
    </row>
    <row r="1770" spans="1:15" x14ac:dyDescent="0.35">
      <c r="A1770" t="s">
        <v>119</v>
      </c>
      <c r="B1770">
        <v>2006</v>
      </c>
      <c r="C1770">
        <v>233945.796875</v>
      </c>
      <c r="D1770" s="8">
        <v>0.94001406431198098</v>
      </c>
      <c r="E1770" s="8">
        <v>1.4999999999999999E-2</v>
      </c>
      <c r="F1770">
        <v>2.25238177128116</v>
      </c>
      <c r="G1770">
        <f t="shared" si="139"/>
        <v>2.3961149697581736</v>
      </c>
      <c r="H1770">
        <f t="shared" si="141"/>
        <v>-2.8705252183393037E-2</v>
      </c>
      <c r="I1770">
        <f t="shared" si="140"/>
        <v>0</v>
      </c>
      <c r="J1770" t="str">
        <f t="shared" si="142"/>
        <v/>
      </c>
      <c r="K1770">
        <v>2.7902258217334601E-2</v>
      </c>
      <c r="L1770">
        <v>2.1539218723773901E-2</v>
      </c>
      <c r="M1770">
        <v>1.8077387571334699E-2</v>
      </c>
      <c r="N1770">
        <v>1.8999143503606299E-2</v>
      </c>
      <c r="O1770" t="str">
        <f t="shared" si="143"/>
        <v/>
      </c>
    </row>
    <row r="1771" spans="1:15" x14ac:dyDescent="0.35">
      <c r="A1771" t="s">
        <v>119</v>
      </c>
      <c r="B1771">
        <v>2007</v>
      </c>
      <c r="C1771">
        <v>239410.40625</v>
      </c>
      <c r="D1771" s="8">
        <v>0.93796497583389304</v>
      </c>
      <c r="E1771" s="8">
        <v>4.3999999999999997E-2</v>
      </c>
      <c r="F1771">
        <v>2.3774796329386101</v>
      </c>
      <c r="G1771">
        <f t="shared" si="139"/>
        <v>2.5347211187975582</v>
      </c>
      <c r="H1771">
        <f t="shared" si="141"/>
        <v>5.7846201367112826E-2</v>
      </c>
      <c r="I1771">
        <f t="shared" si="140"/>
        <v>1</v>
      </c>
      <c r="J1771" t="str">
        <f t="shared" si="142"/>
        <v/>
      </c>
      <c r="K1771">
        <v>1.8077387571334699E-2</v>
      </c>
      <c r="L1771">
        <v>1.8999143503606299E-2</v>
      </c>
      <c r="M1771">
        <v>-2.8724995732307398E-2</v>
      </c>
      <c r="N1771">
        <v>7.8580854460597298E-4</v>
      </c>
      <c r="O1771" t="str">
        <f t="shared" si="143"/>
        <v/>
      </c>
    </row>
    <row r="1772" spans="1:15" x14ac:dyDescent="0.35">
      <c r="A1772" t="s">
        <v>119</v>
      </c>
      <c r="B1772">
        <v>2008</v>
      </c>
      <c r="C1772">
        <v>245743.390625</v>
      </c>
      <c r="D1772" s="8">
        <v>0.92560321092605602</v>
      </c>
      <c r="E1772" s="8">
        <v>2.3E-2</v>
      </c>
      <c r="F1772">
        <v>2.39098496452127</v>
      </c>
      <c r="G1772">
        <f t="shared" si="139"/>
        <v>2.583164077541515</v>
      </c>
      <c r="H1772">
        <f t="shared" si="141"/>
        <v>1.911175094755091E-2</v>
      </c>
      <c r="I1772">
        <f t="shared" si="140"/>
        <v>1</v>
      </c>
      <c r="J1772" t="str">
        <f t="shared" si="142"/>
        <v/>
      </c>
      <c r="K1772">
        <v>-2.8724995732307398E-2</v>
      </c>
      <c r="L1772">
        <v>7.8580854460597298E-4</v>
      </c>
      <c r="M1772">
        <v>-5.6381542891264E-2</v>
      </c>
      <c r="N1772">
        <v>-2.9814841225743301E-2</v>
      </c>
      <c r="O1772" t="str">
        <f t="shared" si="143"/>
        <v/>
      </c>
    </row>
    <row r="1773" spans="1:15" x14ac:dyDescent="0.35">
      <c r="A1773" t="s">
        <v>119</v>
      </c>
      <c r="B1773">
        <v>2009</v>
      </c>
      <c r="C1773">
        <v>250732</v>
      </c>
      <c r="D1773" s="8">
        <v>0.92069554328918501</v>
      </c>
      <c r="E1773" s="8">
        <v>1.7000000000000001E-2</v>
      </c>
      <c r="F1773">
        <v>2.3008542354422601</v>
      </c>
      <c r="G1773">
        <f t="shared" si="139"/>
        <v>2.4990391799035518</v>
      </c>
      <c r="H1773">
        <f t="shared" si="141"/>
        <v>-3.2566610216269165E-2</v>
      </c>
      <c r="I1773">
        <f t="shared" si="140"/>
        <v>0</v>
      </c>
      <c r="J1773" t="str">
        <f t="shared" si="142"/>
        <v/>
      </c>
      <c r="K1773">
        <v>-5.6381542891264E-2</v>
      </c>
      <c r="L1773">
        <v>-2.9814841225743301E-2</v>
      </c>
      <c r="M1773">
        <v>-1.7688136398791999E-3</v>
      </c>
      <c r="N1773">
        <v>7.6912951190024796E-3</v>
      </c>
      <c r="O1773" t="str">
        <f t="shared" si="143"/>
        <v/>
      </c>
    </row>
    <row r="1774" spans="1:15" x14ac:dyDescent="0.35">
      <c r="A1774" t="s">
        <v>119</v>
      </c>
      <c r="B1774">
        <v>2010</v>
      </c>
      <c r="C1774">
        <v>253966.203125</v>
      </c>
      <c r="D1774" s="8">
        <v>0.92405897378921498</v>
      </c>
      <c r="E1774" s="8">
        <v>7.0000000000000001E-3</v>
      </c>
      <c r="F1774">
        <v>2.2486402257960099</v>
      </c>
      <c r="G1774">
        <f t="shared" si="139"/>
        <v>2.4334380051255713</v>
      </c>
      <c r="H1774">
        <f t="shared" si="141"/>
        <v>-2.6250558736943153E-2</v>
      </c>
      <c r="I1774">
        <f t="shared" si="140"/>
        <v>0</v>
      </c>
      <c r="J1774">
        <f t="shared" si="142"/>
        <v>2</v>
      </c>
      <c r="K1774">
        <v>-1.7688136398791999E-3</v>
      </c>
      <c r="L1774">
        <v>7.6912951190024796E-3</v>
      </c>
      <c r="M1774">
        <v>-2.4317555472254698E-2</v>
      </c>
      <c r="N1774">
        <v>-3.03378095850345E-3</v>
      </c>
      <c r="O1774">
        <f t="shared" si="143"/>
        <v>5.9195957146585074E-3</v>
      </c>
    </row>
    <row r="1775" spans="1:15" x14ac:dyDescent="0.35">
      <c r="A1775" t="s">
        <v>119</v>
      </c>
      <c r="B1775">
        <v>2011</v>
      </c>
      <c r="C1775">
        <v>257224.09375</v>
      </c>
      <c r="D1775" s="8">
        <v>0.91875195503234897</v>
      </c>
      <c r="E1775" s="8">
        <v>2.5000000000000001E-2</v>
      </c>
      <c r="F1775">
        <v>2.3378354571613098</v>
      </c>
      <c r="G1775">
        <f t="shared" si="139"/>
        <v>2.5445773958423796</v>
      </c>
      <c r="H1775">
        <f t="shared" si="141"/>
        <v>4.5671757604966556E-2</v>
      </c>
      <c r="I1775">
        <f t="shared" si="140"/>
        <v>1</v>
      </c>
      <c r="J1775">
        <f t="shared" si="142"/>
        <v>3</v>
      </c>
      <c r="K1775">
        <v>-2.4317555472254698E-2</v>
      </c>
      <c r="L1775">
        <v>-3.03378095850345E-3</v>
      </c>
      <c r="M1775">
        <v>-1.27756374925375E-2</v>
      </c>
      <c r="N1775">
        <v>-7.3374314233661002E-3</v>
      </c>
      <c r="O1775">
        <f t="shared" si="143"/>
        <v>1.2229873426258558E-2</v>
      </c>
    </row>
    <row r="1776" spans="1:15" x14ac:dyDescent="0.35">
      <c r="A1776" t="s">
        <v>119</v>
      </c>
      <c r="B1776">
        <v>2012</v>
      </c>
      <c r="C1776">
        <v>259898.890625</v>
      </c>
      <c r="D1776" s="8">
        <v>0.92517983913421598</v>
      </c>
      <c r="E1776" s="8">
        <v>2.9000000000000001E-2</v>
      </c>
      <c r="F1776">
        <v>2.2667097760272701</v>
      </c>
      <c r="G1776">
        <f t="shared" si="139"/>
        <v>2.4500207204563158</v>
      </c>
      <c r="H1776">
        <f t="shared" si="141"/>
        <v>-3.7160070485795171E-2</v>
      </c>
      <c r="I1776">
        <f t="shared" si="140"/>
        <v>0</v>
      </c>
      <c r="J1776">
        <f t="shared" si="142"/>
        <v>2</v>
      </c>
      <c r="K1776">
        <v>-1.27756374925375E-2</v>
      </c>
      <c r="L1776">
        <v>-7.4230302125215999E-3</v>
      </c>
      <c r="M1776">
        <v>1.46832732856274E-2</v>
      </c>
      <c r="N1776">
        <v>8.5565019398928001E-3</v>
      </c>
      <c r="O1776">
        <f t="shared" si="143"/>
        <v>1.8297512829303759E-2</v>
      </c>
    </row>
    <row r="1777" spans="1:15" x14ac:dyDescent="0.35">
      <c r="A1777" t="s">
        <v>119</v>
      </c>
      <c r="B1777">
        <v>2013</v>
      </c>
      <c r="C1777">
        <v>263329.09375</v>
      </c>
      <c r="D1777" s="8">
        <v>0.93834143877029397</v>
      </c>
      <c r="E1777" s="8">
        <v>0</v>
      </c>
      <c r="F1777">
        <v>2.2499450005499901</v>
      </c>
      <c r="G1777">
        <f t="shared" si="139"/>
        <v>2.3977892349063961</v>
      </c>
      <c r="H1777">
        <f t="shared" si="141"/>
        <v>-2.1318793393792834E-2</v>
      </c>
      <c r="I1777">
        <f t="shared" si="140"/>
        <v>0</v>
      </c>
      <c r="J1777">
        <f t="shared" si="142"/>
        <v>1</v>
      </c>
      <c r="K1777">
        <v>1.46832732856274E-2</v>
      </c>
      <c r="L1777">
        <v>8.5565019398928001E-3</v>
      </c>
      <c r="M1777">
        <v>5.7075217515230002E-3</v>
      </c>
      <c r="N1777">
        <v>3.69949825108049E-3</v>
      </c>
      <c r="O1777">
        <f t="shared" si="143"/>
        <v>1.9038596376776719E-2</v>
      </c>
    </row>
    <row r="1778" spans="1:15" x14ac:dyDescent="0.35">
      <c r="A1778" t="s">
        <v>119</v>
      </c>
      <c r="B1778">
        <v>2014</v>
      </c>
      <c r="C1778">
        <v>266626</v>
      </c>
      <c r="D1778" s="8">
        <v>0.93510097265243497</v>
      </c>
      <c r="E1778" s="8">
        <v>1.4E-2</v>
      </c>
      <c r="F1778">
        <v>2.3576947070396801</v>
      </c>
      <c r="G1778">
        <f t="shared" si="139"/>
        <v>2.5213263337241818</v>
      </c>
      <c r="H1778">
        <f t="shared" si="141"/>
        <v>5.1521250082936731E-2</v>
      </c>
      <c r="I1778">
        <f t="shared" si="140"/>
        <v>1</v>
      </c>
      <c r="J1778">
        <f t="shared" si="142"/>
        <v>2</v>
      </c>
      <c r="K1778">
        <v>5.7075217515230002E-3</v>
      </c>
      <c r="L1778">
        <v>3.69949825108049E-3</v>
      </c>
      <c r="M1778">
        <v>5.7976642787456498E-2</v>
      </c>
      <c r="N1778">
        <v>2.7713190764188801E-2</v>
      </c>
      <c r="O1778">
        <f t="shared" si="143"/>
        <v>2.0212089270353339E-2</v>
      </c>
    </row>
    <row r="1779" spans="1:15" x14ac:dyDescent="0.35">
      <c r="A1779" t="s">
        <v>119</v>
      </c>
      <c r="B1779">
        <v>2015</v>
      </c>
      <c r="C1779">
        <v>270519.09375</v>
      </c>
      <c r="D1779" s="8">
        <v>0.95018768310546897</v>
      </c>
      <c r="E1779" s="8">
        <v>1.0999999999999999E-2</v>
      </c>
      <c r="F1779">
        <v>2.3272421814422302</v>
      </c>
      <c r="G1779">
        <f t="shared" si="139"/>
        <v>2.4492447364042613</v>
      </c>
      <c r="H1779">
        <f t="shared" si="141"/>
        <v>-2.8588761540221053E-2</v>
      </c>
      <c r="I1779">
        <f t="shared" si="140"/>
        <v>0</v>
      </c>
      <c r="J1779">
        <f t="shared" si="142"/>
        <v>2</v>
      </c>
      <c r="K1779">
        <v>5.7976642787456498E-2</v>
      </c>
      <c r="L1779">
        <v>2.7713190764188801E-2</v>
      </c>
      <c r="M1779">
        <v>4.1671164602041198E-2</v>
      </c>
      <c r="N1779">
        <v>2.85176075994968E-2</v>
      </c>
      <c r="O1779">
        <f t="shared" si="143"/>
        <v>1.8891731277108199E-2</v>
      </c>
    </row>
    <row r="1780" spans="1:15" x14ac:dyDescent="0.35">
      <c r="A1780" t="s">
        <v>119</v>
      </c>
      <c r="B1780">
        <v>2016</v>
      </c>
      <c r="C1780">
        <v>276552.1875</v>
      </c>
      <c r="D1780" s="8">
        <v>0.93250465393066395</v>
      </c>
      <c r="E1780" s="8">
        <v>4.1000000000000002E-2</v>
      </c>
      <c r="F1780">
        <v>2.1669814209881499</v>
      </c>
      <c r="G1780">
        <f t="shared" si="139"/>
        <v>2.3238290681488385</v>
      </c>
      <c r="H1780">
        <f t="shared" si="141"/>
        <v>-5.1205853948081081E-2</v>
      </c>
      <c r="I1780">
        <f t="shared" si="140"/>
        <v>0</v>
      </c>
      <c r="J1780">
        <f t="shared" si="142"/>
        <v>1</v>
      </c>
      <c r="K1780">
        <v>4.1671164602041198E-2</v>
      </c>
      <c r="L1780">
        <v>2.85176075994968E-2</v>
      </c>
      <c r="M1780">
        <v>2.5790339052677198E-2</v>
      </c>
      <c r="N1780">
        <v>2.3000765591859901E-2</v>
      </c>
      <c r="O1780">
        <f t="shared" si="143"/>
        <v>9.3980100005865187E-3</v>
      </c>
    </row>
    <row r="1781" spans="1:15" x14ac:dyDescent="0.35">
      <c r="A1781" t="s">
        <v>119</v>
      </c>
      <c r="B1781">
        <v>2017</v>
      </c>
      <c r="C1781">
        <v>282887.78125</v>
      </c>
      <c r="D1781" s="8">
        <v>0.943217992782593</v>
      </c>
      <c r="E1781" s="8">
        <v>4.3999999999999997E-2</v>
      </c>
      <c r="F1781">
        <v>2.4556805959969501</v>
      </c>
      <c r="G1781">
        <f t="shared" si="139"/>
        <v>2.6035133074088548</v>
      </c>
      <c r="H1781">
        <f t="shared" si="141"/>
        <v>0.12035491039055324</v>
      </c>
      <c r="I1781">
        <f t="shared" si="140"/>
        <v>1</v>
      </c>
      <c r="J1781">
        <f t="shared" si="142"/>
        <v>2</v>
      </c>
      <c r="K1781">
        <v>2.5790339052677198E-2</v>
      </c>
      <c r="L1781">
        <v>2.3000765591859901E-2</v>
      </c>
      <c r="M1781">
        <v>2.13969426453113E-2</v>
      </c>
      <c r="N1781">
        <v>1.22619196772576E-2</v>
      </c>
      <c r="O1781">
        <f t="shared" si="143"/>
        <v>-3.1187087297440198E-4</v>
      </c>
    </row>
    <row r="1782" spans="1:15" x14ac:dyDescent="0.35">
      <c r="A1782" t="s">
        <v>119</v>
      </c>
      <c r="B1782">
        <v>2018</v>
      </c>
      <c r="C1782">
        <v>288109.71875</v>
      </c>
      <c r="D1782" s="8">
        <v>0.95416021347045898</v>
      </c>
      <c r="E1782" s="8">
        <v>8.0000000000000002E-3</v>
      </c>
      <c r="F1782">
        <v>2.43266425193681</v>
      </c>
      <c r="G1782">
        <f t="shared" si="139"/>
        <v>2.5495343628810048</v>
      </c>
      <c r="H1782">
        <f t="shared" si="141"/>
        <v>-2.0733116429342391E-2</v>
      </c>
      <c r="I1782">
        <f t="shared" si="140"/>
        <v>0</v>
      </c>
      <c r="J1782">
        <f t="shared" si="142"/>
        <v>2</v>
      </c>
      <c r="K1782">
        <v>2.13969426453113E-2</v>
      </c>
      <c r="L1782">
        <v>1.22619196772576E-2</v>
      </c>
      <c r="M1782">
        <v>2.73681573271751E-2</v>
      </c>
      <c r="N1782">
        <v>9.5669627189635901E-3</v>
      </c>
      <c r="O1782">
        <f t="shared" si="143"/>
        <v>-2.4630300700664819E-3</v>
      </c>
    </row>
    <row r="1783" spans="1:15" x14ac:dyDescent="0.35">
      <c r="A1783" t="s">
        <v>119</v>
      </c>
      <c r="B1783">
        <v>2019</v>
      </c>
      <c r="C1783">
        <v>292440.78125</v>
      </c>
      <c r="D1783" s="8">
        <v>0.94228059053420998</v>
      </c>
      <c r="E1783" s="8">
        <v>5.6000000000000001E-2</v>
      </c>
      <c r="F1783">
        <v>2.2434217892733099</v>
      </c>
      <c r="G1783">
        <f t="shared" si="139"/>
        <v>2.3808426192896959</v>
      </c>
      <c r="H1783">
        <f t="shared" si="141"/>
        <v>-6.6165706980581773E-2</v>
      </c>
      <c r="I1783">
        <f t="shared" si="140"/>
        <v>0</v>
      </c>
      <c r="J1783" t="str">
        <f t="shared" si="142"/>
        <v/>
      </c>
      <c r="K1783">
        <v>2.73681573271751E-2</v>
      </c>
      <c r="L1783">
        <v>9.5669627189635901E-3</v>
      </c>
      <c r="M1783">
        <v>3.9960591226816097E-2</v>
      </c>
      <c r="N1783">
        <v>2.1111400797963101E-2</v>
      </c>
      <c r="O1783">
        <f t="shared" si="143"/>
        <v>-5.233240686357039E-3</v>
      </c>
    </row>
    <row r="1784" spans="1:15" x14ac:dyDescent="0.35">
      <c r="A1784" t="s">
        <v>119</v>
      </c>
      <c r="B1784">
        <v>2020</v>
      </c>
      <c r="C1784">
        <v>296564.40625</v>
      </c>
      <c r="D1784" s="8">
        <v>0.93817186355590798</v>
      </c>
      <c r="E1784" s="8">
        <v>3.9E-2</v>
      </c>
      <c r="F1784">
        <v>2.1823092327150002</v>
      </c>
      <c r="G1784">
        <f t="shared" si="139"/>
        <v>2.3261294838277262</v>
      </c>
      <c r="H1784">
        <f t="shared" si="141"/>
        <v>-2.2980576296258048E-2</v>
      </c>
      <c r="I1784">
        <f t="shared" si="140"/>
        <v>0</v>
      </c>
      <c r="J1784" t="str">
        <f t="shared" si="142"/>
        <v/>
      </c>
      <c r="K1784">
        <v>3.9960591226816097E-2</v>
      </c>
      <c r="L1784">
        <v>2.1111400797963101E-2</v>
      </c>
      <c r="M1784">
        <v>2.4638613939285299E-2</v>
      </c>
      <c r="N1784">
        <v>-1.89509987831116E-2</v>
      </c>
      <c r="O1784">
        <f t="shared" si="143"/>
        <v>-8.4085852839052792E-3</v>
      </c>
    </row>
    <row r="1785" spans="1:15" x14ac:dyDescent="0.35">
      <c r="A1785" t="s">
        <v>119</v>
      </c>
      <c r="B1785">
        <v>2021</v>
      </c>
      <c r="C1785">
        <v>298275.78125</v>
      </c>
      <c r="D1785" s="8">
        <v>0.96019852161407504</v>
      </c>
      <c r="E1785" s="8">
        <v>5.5E-2</v>
      </c>
      <c r="F1785">
        <v>2.2772208154617299</v>
      </c>
      <c r="G1785">
        <f t="shared" si="139"/>
        <v>2.3716145819864063</v>
      </c>
      <c r="H1785">
        <f t="shared" si="141"/>
        <v>1.9553983763548999E-2</v>
      </c>
      <c r="I1785">
        <f t="shared" si="140"/>
        <v>1</v>
      </c>
      <c r="J1785" t="str">
        <f t="shared" si="142"/>
        <v/>
      </c>
      <c r="K1785">
        <v>2.4638613939285299E-2</v>
      </c>
      <c r="L1785">
        <v>-1.89509987831116E-2</v>
      </c>
      <c r="M1785">
        <v>-5.7652145549654997E-2</v>
      </c>
      <c r="N1785">
        <v>-2.5548638775944699E-2</v>
      </c>
      <c r="O1785">
        <f t="shared" si="143"/>
        <v>-3.4655814059078695E-3</v>
      </c>
    </row>
    <row r="1786" spans="1:15" x14ac:dyDescent="0.35">
      <c r="A1786" t="s">
        <v>119</v>
      </c>
      <c r="B1786">
        <v>2022</v>
      </c>
      <c r="C1786">
        <v>298809.375</v>
      </c>
      <c r="D1786" s="8">
        <v>0.92798042297363303</v>
      </c>
      <c r="E1786" s="8">
        <v>4.4999999999999998E-2</v>
      </c>
      <c r="F1786">
        <v>2.0627194544806802</v>
      </c>
      <c r="G1786">
        <f t="shared" si="139"/>
        <v>2.2228049249906308</v>
      </c>
      <c r="H1786">
        <f t="shared" si="141"/>
        <v>-6.274613848559496E-2</v>
      </c>
      <c r="I1786">
        <f t="shared" si="140"/>
        <v>0</v>
      </c>
      <c r="J1786" t="str">
        <f t="shared" si="142"/>
        <v/>
      </c>
      <c r="K1786">
        <v>-5.7652145549654997E-2</v>
      </c>
      <c r="L1786">
        <v>-2.50699352473021E-2</v>
      </c>
      <c r="M1786">
        <v>-1.8052804082632101E-2</v>
      </c>
      <c r="N1786">
        <v>1.5061236917972001E-3</v>
      </c>
      <c r="O1786">
        <f t="shared" si="143"/>
        <v>6.1859043780713974E-4</v>
      </c>
    </row>
    <row r="1787" spans="1:15" x14ac:dyDescent="0.35">
      <c r="A1787" t="s">
        <v>120</v>
      </c>
      <c r="B1787">
        <v>2006</v>
      </c>
      <c r="C1787">
        <v>827312.6875</v>
      </c>
      <c r="D1787" s="8">
        <v>0.93172806501388505</v>
      </c>
      <c r="E1787" s="8">
        <v>1.6E-2</v>
      </c>
      <c r="F1787">
        <v>2.1763754186056601</v>
      </c>
      <c r="G1787">
        <f t="shared" si="139"/>
        <v>2.3358483020184937</v>
      </c>
      <c r="H1787">
        <f t="shared" si="141"/>
        <v>5.0856184344804545E-2</v>
      </c>
      <c r="I1787">
        <f t="shared" si="140"/>
        <v>1</v>
      </c>
      <c r="J1787" t="str">
        <f t="shared" si="142"/>
        <v/>
      </c>
      <c r="K1787">
        <v>-1.2781452730298E-2</v>
      </c>
      <c r="L1787">
        <v>-1.9144492223858799E-2</v>
      </c>
      <c r="M1787">
        <v>-5.2058462947607003E-3</v>
      </c>
      <c r="N1787">
        <v>-4.2840903624892001E-3</v>
      </c>
      <c r="O1787" t="str">
        <f t="shared" si="143"/>
        <v/>
      </c>
    </row>
    <row r="1788" spans="1:15" x14ac:dyDescent="0.35">
      <c r="A1788" t="s">
        <v>120</v>
      </c>
      <c r="B1788">
        <v>2007</v>
      </c>
      <c r="C1788">
        <v>837189.6875</v>
      </c>
      <c r="D1788" s="8">
        <v>0.93511825799942005</v>
      </c>
      <c r="E1788" s="8">
        <v>0</v>
      </c>
      <c r="F1788">
        <v>2.23623776514501</v>
      </c>
      <c r="G1788">
        <f t="shared" si="139"/>
        <v>2.3913956828617464</v>
      </c>
      <c r="H1788">
        <f t="shared" si="141"/>
        <v>2.3780388818594123E-2</v>
      </c>
      <c r="I1788">
        <f t="shared" si="140"/>
        <v>1</v>
      </c>
      <c r="J1788" t="str">
        <f t="shared" si="142"/>
        <v/>
      </c>
      <c r="K1788">
        <v>-5.2058462947607003E-3</v>
      </c>
      <c r="L1788">
        <v>-4.2840903624892001E-3</v>
      </c>
      <c r="M1788">
        <v>-2.42761264666915E-2</v>
      </c>
      <c r="N1788">
        <v>5.2346778102219001E-3</v>
      </c>
      <c r="O1788" t="str">
        <f t="shared" si="143"/>
        <v/>
      </c>
    </row>
    <row r="1789" spans="1:15" x14ac:dyDescent="0.35">
      <c r="A1789" t="s">
        <v>120</v>
      </c>
      <c r="B1789">
        <v>2008</v>
      </c>
      <c r="C1789">
        <v>847933.5</v>
      </c>
      <c r="D1789" s="8">
        <v>0.93229484558105502</v>
      </c>
      <c r="E1789" s="8">
        <v>6.0000000000000001E-3</v>
      </c>
      <c r="F1789">
        <v>2.0732976560735299</v>
      </c>
      <c r="G1789">
        <f t="shared" si="139"/>
        <v>2.2238647632781259</v>
      </c>
      <c r="H1789">
        <f t="shared" si="141"/>
        <v>-7.0055708799782956E-2</v>
      </c>
      <c r="I1789">
        <f t="shared" si="140"/>
        <v>0</v>
      </c>
      <c r="J1789" t="str">
        <f t="shared" si="142"/>
        <v/>
      </c>
      <c r="K1789">
        <v>-2.42761264666915E-2</v>
      </c>
      <c r="L1789">
        <v>5.2346778102219001E-3</v>
      </c>
      <c r="M1789">
        <v>-2.08026810586452E-2</v>
      </c>
      <c r="N1789">
        <v>5.76402060687545E-3</v>
      </c>
      <c r="O1789" t="str">
        <f t="shared" si="143"/>
        <v/>
      </c>
    </row>
    <row r="1790" spans="1:15" x14ac:dyDescent="0.35">
      <c r="A1790" t="s">
        <v>120</v>
      </c>
      <c r="B1790">
        <v>2009</v>
      </c>
      <c r="C1790">
        <v>859247.9375</v>
      </c>
      <c r="D1790" s="8">
        <v>0.92291456460952803</v>
      </c>
      <c r="E1790" s="8">
        <v>1.4E-2</v>
      </c>
      <c r="F1790">
        <v>2.1349770128296601</v>
      </c>
      <c r="G1790">
        <f t="shared" si="139"/>
        <v>2.3132986461568503</v>
      </c>
      <c r="H1790">
        <f t="shared" si="141"/>
        <v>4.0215522254551495E-2</v>
      </c>
      <c r="I1790">
        <f t="shared" si="140"/>
        <v>1</v>
      </c>
      <c r="J1790" t="str">
        <f t="shared" si="142"/>
        <v/>
      </c>
      <c r="K1790">
        <v>-2.08026810586452E-2</v>
      </c>
      <c r="L1790">
        <v>5.76402060687545E-3</v>
      </c>
      <c r="M1790">
        <v>-1.45878883162513E-2</v>
      </c>
      <c r="N1790">
        <v>-5.1277795573696503E-3</v>
      </c>
      <c r="O1790" t="str">
        <f t="shared" si="143"/>
        <v/>
      </c>
    </row>
    <row r="1791" spans="1:15" x14ac:dyDescent="0.35">
      <c r="A1791" t="s">
        <v>120</v>
      </c>
      <c r="B1791">
        <v>2010</v>
      </c>
      <c r="C1791">
        <v>870584.625</v>
      </c>
      <c r="D1791" s="8">
        <v>0.92848259210586503</v>
      </c>
      <c r="E1791" s="8">
        <v>1.4999999999999999E-2</v>
      </c>
      <c r="F1791">
        <v>2.1550472193074501</v>
      </c>
      <c r="G1791">
        <f t="shared" si="139"/>
        <v>2.3210421365247664</v>
      </c>
      <c r="H1791">
        <f t="shared" si="141"/>
        <v>3.347380322372473E-3</v>
      </c>
      <c r="I1791">
        <f t="shared" si="140"/>
        <v>1</v>
      </c>
      <c r="J1791">
        <f t="shared" si="142"/>
        <v>4</v>
      </c>
      <c r="K1791">
        <v>-1.45878883162513E-2</v>
      </c>
      <c r="L1791">
        <v>-5.1277795573696503E-3</v>
      </c>
      <c r="M1791">
        <v>-2.2918450988829098E-2</v>
      </c>
      <c r="N1791">
        <v>-1.63467647507783E-3</v>
      </c>
      <c r="O1791">
        <f t="shared" si="143"/>
        <v>-3.0122932977974465E-3</v>
      </c>
    </row>
    <row r="1792" spans="1:15" x14ac:dyDescent="0.35">
      <c r="A1792" t="s">
        <v>120</v>
      </c>
      <c r="B1792">
        <v>2011</v>
      </c>
      <c r="C1792">
        <v>880434.5625</v>
      </c>
      <c r="D1792" s="8">
        <v>0.93287485837936401</v>
      </c>
      <c r="E1792" s="8">
        <v>8.0000000000000002E-3</v>
      </c>
      <c r="F1792">
        <v>2.09183579912481</v>
      </c>
      <c r="G1792">
        <f t="shared" si="139"/>
        <v>2.2423541382161911</v>
      </c>
      <c r="H1792">
        <f t="shared" si="141"/>
        <v>-3.3902011975703639E-2</v>
      </c>
      <c r="I1792">
        <f t="shared" si="140"/>
        <v>0</v>
      </c>
      <c r="J1792">
        <f t="shared" si="142"/>
        <v>3</v>
      </c>
      <c r="K1792">
        <v>-2.2918450988829098E-2</v>
      </c>
      <c r="L1792">
        <v>-1.63467647507783E-3</v>
      </c>
      <c r="M1792">
        <v>-1.07476434707642E-2</v>
      </c>
      <c r="N1792">
        <v>-5.3094374015928E-3</v>
      </c>
      <c r="O1792">
        <f t="shared" si="143"/>
        <v>-4.039422795176521E-3</v>
      </c>
    </row>
    <row r="1793" spans="1:15" x14ac:dyDescent="0.35">
      <c r="A1793" t="s">
        <v>120</v>
      </c>
      <c r="B1793">
        <v>2012</v>
      </c>
      <c r="C1793">
        <v>890810.1875</v>
      </c>
      <c r="D1793" s="8">
        <v>0.93624281883239702</v>
      </c>
      <c r="E1793" s="8">
        <v>0.01</v>
      </c>
      <c r="F1793">
        <v>2.2781627507695101</v>
      </c>
      <c r="G1793">
        <f t="shared" si="139"/>
        <v>2.4333033107913633</v>
      </c>
      <c r="H1793">
        <f t="shared" si="141"/>
        <v>8.5155671586769843E-2</v>
      </c>
      <c r="I1793">
        <f t="shared" si="140"/>
        <v>1</v>
      </c>
      <c r="J1793">
        <f t="shared" si="142"/>
        <v>3</v>
      </c>
      <c r="K1793">
        <v>-1.07476434707642E-2</v>
      </c>
      <c r="L1793">
        <v>-5.3950361907482997E-3</v>
      </c>
      <c r="M1793">
        <v>1.91679656505579E-3</v>
      </c>
      <c r="N1793">
        <v>-4.2099747806788003E-3</v>
      </c>
      <c r="O1793">
        <f t="shared" si="143"/>
        <v>-4.3360983952879777E-3</v>
      </c>
    </row>
    <row r="1794" spans="1:15" x14ac:dyDescent="0.35">
      <c r="A1794" t="s">
        <v>120</v>
      </c>
      <c r="B1794">
        <v>2013</v>
      </c>
      <c r="C1794">
        <v>901559.0625</v>
      </c>
      <c r="D1794" s="8">
        <v>0.93468976020812999</v>
      </c>
      <c r="E1794" s="8">
        <v>1.2E-2</v>
      </c>
      <c r="F1794">
        <v>2.1928575172795899</v>
      </c>
      <c r="G1794">
        <f t="shared" si="139"/>
        <v>2.3460806041047246</v>
      </c>
      <c r="H1794">
        <f t="shared" si="141"/>
        <v>-3.5845390214946926E-2</v>
      </c>
      <c r="I1794">
        <f t="shared" si="140"/>
        <v>0</v>
      </c>
      <c r="J1794">
        <f t="shared" si="142"/>
        <v>3</v>
      </c>
      <c r="K1794">
        <v>1.91679656505579E-3</v>
      </c>
      <c r="L1794">
        <v>-4.2099747806788003E-3</v>
      </c>
      <c r="M1794">
        <v>-5.1222780570388E-3</v>
      </c>
      <c r="N1794">
        <v>-7.1303015574813002E-3</v>
      </c>
      <c r="O1794">
        <f t="shared" si="143"/>
        <v>-4.3625919148325568E-3</v>
      </c>
    </row>
    <row r="1795" spans="1:15" x14ac:dyDescent="0.35">
      <c r="A1795" t="s">
        <v>120</v>
      </c>
      <c r="B1795">
        <v>2014</v>
      </c>
      <c r="C1795">
        <v>912716.9375</v>
      </c>
      <c r="D1795" s="8">
        <v>0.93508416414260898</v>
      </c>
      <c r="E1795" s="8">
        <v>1.4E-2</v>
      </c>
      <c r="F1795">
        <v>2.1787881890109202</v>
      </c>
      <c r="G1795">
        <f t="shared" ref="G1795:G1858" si="144">F1795/D1795</f>
        <v>2.3300450083107545</v>
      </c>
      <c r="H1795">
        <f t="shared" si="141"/>
        <v>-6.8350574852007462E-3</v>
      </c>
      <c r="I1795">
        <f t="shared" ref="I1795:I1858" si="145">IF(H1795&gt;0,1,0)</f>
        <v>0</v>
      </c>
      <c r="J1795">
        <f t="shared" si="142"/>
        <v>2</v>
      </c>
      <c r="K1795">
        <v>-5.1222780570388E-3</v>
      </c>
      <c r="L1795">
        <v>-7.1303015574813002E-3</v>
      </c>
      <c r="M1795">
        <v>3.3486375749111202E-2</v>
      </c>
      <c r="N1795">
        <v>3.2229237258434998E-3</v>
      </c>
      <c r="O1795">
        <f t="shared" si="143"/>
        <v>-3.4727342426776561E-3</v>
      </c>
    </row>
    <row r="1796" spans="1:15" x14ac:dyDescent="0.35">
      <c r="A1796" t="s">
        <v>120</v>
      </c>
      <c r="B1796">
        <v>2015</v>
      </c>
      <c r="C1796">
        <v>924055.9375</v>
      </c>
      <c r="D1796" s="8">
        <v>0.94148296117782604</v>
      </c>
      <c r="E1796" s="8">
        <v>8.9999999999999993E-3</v>
      </c>
      <c r="F1796">
        <v>2.2265602180897601</v>
      </c>
      <c r="G1796">
        <f t="shared" si="144"/>
        <v>2.3649500945872246</v>
      </c>
      <c r="H1796">
        <f t="shared" ref="H1796:H1859" si="146">+G1796/G1795-1</f>
        <v>1.4980434348680571E-2</v>
      </c>
      <c r="I1796">
        <f t="shared" si="145"/>
        <v>1</v>
      </c>
      <c r="J1796">
        <f t="shared" si="142"/>
        <v>2</v>
      </c>
      <c r="K1796">
        <v>3.3486375749111202E-2</v>
      </c>
      <c r="L1796">
        <v>3.2229237258434998E-3</v>
      </c>
      <c r="M1796">
        <v>6.3832330405711899E-3</v>
      </c>
      <c r="N1796">
        <v>-6.7703239619731998E-3</v>
      </c>
      <c r="O1796">
        <f t="shared" si="143"/>
        <v>-6.9231852889060754E-3</v>
      </c>
    </row>
    <row r="1797" spans="1:15" x14ac:dyDescent="0.35">
      <c r="A1797" t="s">
        <v>120</v>
      </c>
      <c r="B1797">
        <v>2016</v>
      </c>
      <c r="C1797">
        <v>935453</v>
      </c>
      <c r="D1797" s="8">
        <v>0.93873590230941795</v>
      </c>
      <c r="E1797" s="8">
        <v>2.9000000000000001E-2</v>
      </c>
      <c r="F1797">
        <v>2.23505505933722</v>
      </c>
      <c r="G1797">
        <f t="shared" si="144"/>
        <v>2.3809199731667667</v>
      </c>
      <c r="H1797">
        <f t="shared" si="146"/>
        <v>6.752733859413329E-3</v>
      </c>
      <c r="I1797">
        <f t="shared" si="145"/>
        <v>1</v>
      </c>
      <c r="J1797">
        <f t="shared" si="142"/>
        <v>3</v>
      </c>
      <c r="K1797">
        <v>6.3832330405711899E-3</v>
      </c>
      <c r="L1797">
        <v>-6.7703239619731998E-3</v>
      </c>
      <c r="M1797">
        <v>-4.0032419413328002E-3</v>
      </c>
      <c r="N1797">
        <v>-6.7928154021500899E-3</v>
      </c>
      <c r="O1797">
        <f t="shared" si="143"/>
        <v>-1.1893720924854256E-2</v>
      </c>
    </row>
    <row r="1798" spans="1:15" x14ac:dyDescent="0.35">
      <c r="A1798" t="s">
        <v>120</v>
      </c>
      <c r="B1798">
        <v>2017</v>
      </c>
      <c r="C1798">
        <v>945558</v>
      </c>
      <c r="D1798" s="8">
        <v>0.93107587099075295</v>
      </c>
      <c r="E1798" s="8">
        <v>3.6999999999999998E-2</v>
      </c>
      <c r="F1798">
        <v>2.2516399261678202</v>
      </c>
      <c r="G1798">
        <f t="shared" si="144"/>
        <v>2.4183205647589836</v>
      </c>
      <c r="H1798">
        <f t="shared" si="146"/>
        <v>1.5708462280851876E-2</v>
      </c>
      <c r="I1798">
        <f t="shared" si="145"/>
        <v>1</v>
      </c>
      <c r="J1798">
        <f t="shared" si="142"/>
        <v>3</v>
      </c>
      <c r="K1798">
        <v>-4.0032419413328002E-3</v>
      </c>
      <c r="L1798">
        <v>-6.7928154021500899E-3</v>
      </c>
      <c r="M1798">
        <v>4.7925805896520896E-3</v>
      </c>
      <c r="N1798">
        <v>-4.3424423784016904E-3</v>
      </c>
      <c r="O1798">
        <f t="shared" si="143"/>
        <v>-6.0533154755830591E-3</v>
      </c>
    </row>
    <row r="1799" spans="1:15" x14ac:dyDescent="0.35">
      <c r="A1799" t="s">
        <v>120</v>
      </c>
      <c r="B1799">
        <v>2018</v>
      </c>
      <c r="C1799">
        <v>955356.8125</v>
      </c>
      <c r="D1799" s="8">
        <v>0.93799120187759399</v>
      </c>
      <c r="E1799" s="8">
        <v>2.9000000000000001E-2</v>
      </c>
      <c r="F1799">
        <v>2.1974764366068702</v>
      </c>
      <c r="G1799">
        <f t="shared" si="144"/>
        <v>2.3427473863381039</v>
      </c>
      <c r="H1799">
        <f t="shared" si="146"/>
        <v>-3.1250273235968407E-2</v>
      </c>
      <c r="I1799">
        <f t="shared" si="145"/>
        <v>0</v>
      </c>
      <c r="J1799">
        <f t="shared" ref="J1799:J1862" si="147">IF(AND(B1799&gt;=2010,B1799&lt;=2018),SUM(I1795:I1799),"")</f>
        <v>3</v>
      </c>
      <c r="K1799">
        <v>4.7925805896520896E-3</v>
      </c>
      <c r="L1799">
        <v>-4.3424423784016904E-3</v>
      </c>
      <c r="M1799">
        <v>1.5120181411504599E-2</v>
      </c>
      <c r="N1799">
        <v>-2.6810131967068E-3</v>
      </c>
      <c r="O1799">
        <f t="shared" ref="O1799:O1862" si="148">IF(B1799&gt;=2010,AVERAGE(N1799:N1803),"")</f>
        <v>-3.7658404558897026E-3</v>
      </c>
    </row>
    <row r="1800" spans="1:15" x14ac:dyDescent="0.35">
      <c r="A1800" t="s">
        <v>120</v>
      </c>
      <c r="B1800">
        <v>2019</v>
      </c>
      <c r="C1800">
        <v>963872.3125</v>
      </c>
      <c r="D1800" s="8">
        <v>0.93621623516082797</v>
      </c>
      <c r="E1800" s="8">
        <v>3.1E-2</v>
      </c>
      <c r="F1800">
        <v>2.2026114958754199</v>
      </c>
      <c r="G1800">
        <f t="shared" si="144"/>
        <v>2.3526738942922134</v>
      </c>
      <c r="H1800">
        <f t="shared" si="146"/>
        <v>4.2371226244863891E-3</v>
      </c>
      <c r="I1800">
        <f t="shared" si="145"/>
        <v>1</v>
      </c>
      <c r="J1800" t="str">
        <f t="shared" si="147"/>
        <v/>
      </c>
      <c r="K1800">
        <v>1.5120181411504599E-2</v>
      </c>
      <c r="L1800">
        <v>-2.6810131967068E-3</v>
      </c>
      <c r="M1800">
        <v>4.8198589235543899E-3</v>
      </c>
      <c r="N1800">
        <v>-1.4029331505298601E-2</v>
      </c>
      <c r="O1800">
        <f t="shared" si="148"/>
        <v>-7.4563286267220839E-3</v>
      </c>
    </row>
    <row r="1801" spans="1:15" x14ac:dyDescent="0.35">
      <c r="A1801" t="s">
        <v>120</v>
      </c>
      <c r="B1801">
        <v>2020</v>
      </c>
      <c r="C1801">
        <v>970070.3125</v>
      </c>
      <c r="D1801" s="8">
        <v>0.93037986755371105</v>
      </c>
      <c r="E1801" s="8">
        <v>3.3000000000000002E-2</v>
      </c>
      <c r="F1801">
        <v>2.04548864083654</v>
      </c>
      <c r="G1801">
        <f t="shared" si="144"/>
        <v>2.1985521314157772</v>
      </c>
      <c r="H1801">
        <f t="shared" si="146"/>
        <v>-6.5509190734146627E-2</v>
      </c>
      <c r="I1801">
        <f t="shared" si="145"/>
        <v>0</v>
      </c>
      <c r="J1801" t="str">
        <f t="shared" si="147"/>
        <v/>
      </c>
      <c r="K1801">
        <v>4.8198589235543899E-3</v>
      </c>
      <c r="L1801">
        <v>-1.4029331505298601E-2</v>
      </c>
      <c r="M1801">
        <v>1.19666105806828E-2</v>
      </c>
      <c r="N1801">
        <v>-3.1623002141714103E-2</v>
      </c>
      <c r="O1801">
        <f t="shared" si="148"/>
        <v>-1.0265063121914822E-2</v>
      </c>
    </row>
    <row r="1802" spans="1:15" x14ac:dyDescent="0.35">
      <c r="A1802" t="s">
        <v>120</v>
      </c>
      <c r="B1802">
        <v>2021</v>
      </c>
      <c r="C1802">
        <v>974037.5</v>
      </c>
      <c r="D1802" s="8">
        <v>0.94687932729721103</v>
      </c>
      <c r="E1802" s="8">
        <v>2.1000000000000001E-2</v>
      </c>
      <c r="F1802">
        <v>2.0567358590712801</v>
      </c>
      <c r="G1802">
        <f t="shared" si="144"/>
        <v>2.1721203534372888</v>
      </c>
      <c r="H1802">
        <f t="shared" si="146"/>
        <v>-1.2022356714128657E-2</v>
      </c>
      <c r="I1802">
        <f t="shared" si="145"/>
        <v>0</v>
      </c>
      <c r="J1802" t="str">
        <f t="shared" si="147"/>
        <v/>
      </c>
      <c r="K1802">
        <v>1.19666105806828E-2</v>
      </c>
      <c r="L1802">
        <v>-3.1623002141714103E-2</v>
      </c>
      <c r="M1802">
        <v>-9.6942949295043893E-3</v>
      </c>
      <c r="N1802">
        <v>2.2409211844205901E-2</v>
      </c>
      <c r="O1802">
        <f t="shared" si="148"/>
        <v>-6.0298472642898015E-3</v>
      </c>
    </row>
    <row r="1803" spans="1:15" x14ac:dyDescent="0.35">
      <c r="A1803" t="s">
        <v>120</v>
      </c>
      <c r="B1803">
        <v>2022</v>
      </c>
      <c r="C1803">
        <v>980831.5</v>
      </c>
      <c r="D1803" s="8">
        <v>0.947859346866608</v>
      </c>
      <c r="E1803" s="8">
        <v>0.02</v>
      </c>
      <c r="F1803">
        <v>2.1405090101514102</v>
      </c>
      <c r="G1803">
        <f t="shared" si="144"/>
        <v>2.2582559503447546</v>
      </c>
      <c r="H1803">
        <f t="shared" si="146"/>
        <v>3.9655075636651382E-2</v>
      </c>
      <c r="I1803">
        <f t="shared" si="145"/>
        <v>1</v>
      </c>
      <c r="J1803" t="str">
        <f t="shared" si="147"/>
        <v/>
      </c>
      <c r="K1803">
        <v>-9.6942949295043893E-3</v>
      </c>
      <c r="L1803">
        <v>2.28879153728485E-2</v>
      </c>
      <c r="M1803">
        <v>-1.2463995054364199E-2</v>
      </c>
      <c r="N1803">
        <v>7.09493272006509E-3</v>
      </c>
      <c r="O1803">
        <f t="shared" si="148"/>
        <v>-1.1787319855648048E-2</v>
      </c>
    </row>
    <row r="1804" spans="1:15" x14ac:dyDescent="0.35">
      <c r="A1804" t="s">
        <v>121</v>
      </c>
      <c r="B1804">
        <v>2006</v>
      </c>
      <c r="C1804">
        <v>2029395</v>
      </c>
      <c r="D1804" s="8">
        <v>0.92342698574066195</v>
      </c>
      <c r="E1804" s="8">
        <v>2.1000000000000001E-2</v>
      </c>
      <c r="F1804">
        <v>2.4355633408520099</v>
      </c>
      <c r="G1804">
        <f t="shared" si="144"/>
        <v>2.6375267113279066</v>
      </c>
      <c r="H1804">
        <f t="shared" si="146"/>
        <v>0.16794852723636167</v>
      </c>
      <c r="I1804">
        <f t="shared" si="145"/>
        <v>1</v>
      </c>
      <c r="J1804" t="str">
        <f t="shared" si="147"/>
        <v/>
      </c>
      <c r="K1804">
        <v>3.9913324296474498E-2</v>
      </c>
      <c r="L1804">
        <v>3.35502848029137E-2</v>
      </c>
      <c r="M1804">
        <v>-2.20552099831402E-2</v>
      </c>
      <c r="N1804">
        <v>-2.1133454050868701E-2</v>
      </c>
      <c r="O1804" t="str">
        <f t="shared" si="148"/>
        <v/>
      </c>
    </row>
    <row r="1805" spans="1:15" x14ac:dyDescent="0.35">
      <c r="A1805" t="s">
        <v>121</v>
      </c>
      <c r="B1805">
        <v>2007</v>
      </c>
      <c r="C1805">
        <v>2065257.125</v>
      </c>
      <c r="D1805" s="8">
        <v>0.896401107311249</v>
      </c>
      <c r="E1805" s="8">
        <v>2.7E-2</v>
      </c>
      <c r="F1805">
        <v>2.4484442270843099</v>
      </c>
      <c r="G1805">
        <f t="shared" si="144"/>
        <v>2.7314158886175486</v>
      </c>
      <c r="H1805">
        <f t="shared" si="146"/>
        <v>3.5597431823684467E-2</v>
      </c>
      <c r="I1805">
        <f t="shared" si="145"/>
        <v>1</v>
      </c>
      <c r="J1805" t="str">
        <f t="shared" si="147"/>
        <v/>
      </c>
      <c r="K1805">
        <v>-2.20552099831402E-2</v>
      </c>
      <c r="L1805">
        <v>-2.1133454050868701E-2</v>
      </c>
      <c r="M1805">
        <v>-5.75838082581758E-2</v>
      </c>
      <c r="N1805">
        <v>-2.80730039812623E-2</v>
      </c>
      <c r="O1805" t="str">
        <f t="shared" si="148"/>
        <v/>
      </c>
    </row>
    <row r="1806" spans="1:15" x14ac:dyDescent="0.35">
      <c r="A1806" t="s">
        <v>121</v>
      </c>
      <c r="B1806">
        <v>2008</v>
      </c>
      <c r="C1806">
        <v>2093685</v>
      </c>
      <c r="D1806" s="8">
        <v>0.88313364982605003</v>
      </c>
      <c r="E1806" s="8">
        <v>5.1999999999999998E-2</v>
      </c>
      <c r="F1806">
        <v>2.3666945987943002</v>
      </c>
      <c r="G1806">
        <f t="shared" si="144"/>
        <v>2.6798827100071043</v>
      </c>
      <c r="H1806">
        <f t="shared" si="146"/>
        <v>-1.8866837095440125E-2</v>
      </c>
      <c r="I1806">
        <f t="shared" si="145"/>
        <v>0</v>
      </c>
      <c r="J1806" t="str">
        <f t="shared" si="147"/>
        <v/>
      </c>
      <c r="K1806">
        <v>-5.75838082581758E-2</v>
      </c>
      <c r="L1806">
        <v>-2.80730039812623E-2</v>
      </c>
      <c r="M1806">
        <v>-3.7013624519109597E-2</v>
      </c>
      <c r="N1806">
        <v>-1.0446922853589001E-2</v>
      </c>
      <c r="O1806" t="str">
        <f t="shared" si="148"/>
        <v/>
      </c>
    </row>
    <row r="1807" spans="1:15" x14ac:dyDescent="0.35">
      <c r="A1807" t="s">
        <v>121</v>
      </c>
      <c r="B1807">
        <v>2009</v>
      </c>
      <c r="C1807">
        <v>2119135</v>
      </c>
      <c r="D1807" s="8">
        <v>0.89556711912155196</v>
      </c>
      <c r="E1807" s="8">
        <v>0.02</v>
      </c>
      <c r="F1807">
        <v>2.4060914926803401</v>
      </c>
      <c r="G1807">
        <f t="shared" si="144"/>
        <v>2.6866679686056787</v>
      </c>
      <c r="H1807">
        <f t="shared" si="146"/>
        <v>2.5319237193617283E-3</v>
      </c>
      <c r="I1807">
        <f t="shared" si="145"/>
        <v>1</v>
      </c>
      <c r="J1807" t="str">
        <f t="shared" si="147"/>
        <v/>
      </c>
      <c r="K1807">
        <v>-3.7013624519109597E-2</v>
      </c>
      <c r="L1807">
        <v>-1.0446922853589001E-2</v>
      </c>
      <c r="M1807">
        <v>-1.5838259871467E-2</v>
      </c>
      <c r="N1807">
        <v>-6.3781511125853303E-3</v>
      </c>
      <c r="O1807" t="str">
        <f t="shared" si="148"/>
        <v/>
      </c>
    </row>
    <row r="1808" spans="1:15" x14ac:dyDescent="0.35">
      <c r="A1808" t="s">
        <v>121</v>
      </c>
      <c r="B1808">
        <v>2010</v>
      </c>
      <c r="C1808">
        <v>2150613</v>
      </c>
      <c r="D1808" s="8">
        <v>0.90958404541015603</v>
      </c>
      <c r="E1808" s="8">
        <v>7.0000000000000001E-3</v>
      </c>
      <c r="F1808">
        <v>2.3659722115488</v>
      </c>
      <c r="G1808">
        <f t="shared" si="144"/>
        <v>2.6011584344379295</v>
      </c>
      <c r="H1808">
        <f t="shared" si="146"/>
        <v>-3.1827354614320513E-2</v>
      </c>
      <c r="I1808">
        <f t="shared" si="145"/>
        <v>0</v>
      </c>
      <c r="J1808">
        <f t="shared" si="147"/>
        <v>3</v>
      </c>
      <c r="K1808">
        <v>-1.5838259871467E-2</v>
      </c>
      <c r="L1808">
        <v>-6.3781511125853303E-3</v>
      </c>
      <c r="M1808">
        <v>-1.54207743406295E-2</v>
      </c>
      <c r="N1808">
        <v>5.8630001731217003E-3</v>
      </c>
      <c r="O1808">
        <f t="shared" si="148"/>
        <v>1.0766362678259599E-2</v>
      </c>
    </row>
    <row r="1809" spans="1:15" x14ac:dyDescent="0.35">
      <c r="A1809" t="s">
        <v>121</v>
      </c>
      <c r="B1809">
        <v>2011</v>
      </c>
      <c r="C1809">
        <v>2194652</v>
      </c>
      <c r="D1809" s="8">
        <v>0.91863387823104903</v>
      </c>
      <c r="E1809" s="8">
        <v>3.0000000000000001E-3</v>
      </c>
      <c r="F1809">
        <v>2.42035656106055</v>
      </c>
      <c r="G1809">
        <f t="shared" si="144"/>
        <v>2.6347347059758635</v>
      </c>
      <c r="H1809">
        <f t="shared" si="146"/>
        <v>1.2908199321272518E-2</v>
      </c>
      <c r="I1809">
        <f t="shared" si="145"/>
        <v>1</v>
      </c>
      <c r="J1809">
        <f t="shared" si="147"/>
        <v>3</v>
      </c>
      <c r="K1809">
        <v>-1.54207743406295E-2</v>
      </c>
      <c r="L1809">
        <v>5.8630001731217003E-3</v>
      </c>
      <c r="M1809">
        <v>8.7093719840049895E-4</v>
      </c>
      <c r="N1809">
        <v>6.3091432675719001E-3</v>
      </c>
      <c r="O1809">
        <f t="shared" si="148"/>
        <v>1.1193060316145398E-2</v>
      </c>
    </row>
    <row r="1810" spans="1:15" x14ac:dyDescent="0.35">
      <c r="A1810" t="s">
        <v>121</v>
      </c>
      <c r="B1810">
        <v>2012</v>
      </c>
      <c r="C1810">
        <v>2247481</v>
      </c>
      <c r="D1810" s="8">
        <v>0.92686176300048795</v>
      </c>
      <c r="E1810" s="8">
        <v>8.0000000000000002E-3</v>
      </c>
      <c r="F1810">
        <v>2.42740577821223</v>
      </c>
      <c r="G1810">
        <f t="shared" si="144"/>
        <v>2.6189512558529744</v>
      </c>
      <c r="H1810">
        <f t="shared" si="146"/>
        <v>-5.9905272766516138E-3</v>
      </c>
      <c r="I1810">
        <f t="shared" si="145"/>
        <v>0</v>
      </c>
      <c r="J1810">
        <f t="shared" si="147"/>
        <v>2</v>
      </c>
      <c r="K1810">
        <v>8.7093719840049895E-4</v>
      </c>
      <c r="L1810">
        <v>6.2235444784164004E-3</v>
      </c>
      <c r="M1810">
        <v>1.25775231420994E-2</v>
      </c>
      <c r="N1810">
        <v>6.4507517963647999E-3</v>
      </c>
      <c r="O1810">
        <f t="shared" si="148"/>
        <v>1.5658945962786656E-2</v>
      </c>
    </row>
    <row r="1811" spans="1:15" x14ac:dyDescent="0.35">
      <c r="A1811" t="s">
        <v>121</v>
      </c>
      <c r="B1811">
        <v>2013</v>
      </c>
      <c r="C1811">
        <v>2298351</v>
      </c>
      <c r="D1811" s="8">
        <v>0.92529124021530196</v>
      </c>
      <c r="E1811" s="8">
        <v>2.9000000000000001E-2</v>
      </c>
      <c r="F1811">
        <v>2.42301095394944</v>
      </c>
      <c r="G1811">
        <f t="shared" si="144"/>
        <v>2.6186468093933755</v>
      </c>
      <c r="H1811">
        <f t="shared" si="146"/>
        <v>-1.1624747078375908E-4</v>
      </c>
      <c r="I1811">
        <f t="shared" si="145"/>
        <v>0</v>
      </c>
      <c r="J1811">
        <f t="shared" si="147"/>
        <v>2</v>
      </c>
      <c r="K1811">
        <v>1.25775231420994E-2</v>
      </c>
      <c r="L1811">
        <v>6.4507517963647999E-3</v>
      </c>
      <c r="M1811">
        <v>1.26896713078022E-2</v>
      </c>
      <c r="N1811">
        <v>1.06816478073596E-2</v>
      </c>
      <c r="O1811">
        <f t="shared" si="148"/>
        <v>1.571474820375442E-2</v>
      </c>
    </row>
    <row r="1812" spans="1:15" x14ac:dyDescent="0.35">
      <c r="A1812" t="s">
        <v>121</v>
      </c>
      <c r="B1812">
        <v>2014</v>
      </c>
      <c r="C1812">
        <v>2359536</v>
      </c>
      <c r="D1812" s="8">
        <v>0.93427765369415305</v>
      </c>
      <c r="E1812" s="8">
        <v>3.2000000000000001E-2</v>
      </c>
      <c r="F1812">
        <v>2.4835957984293602</v>
      </c>
      <c r="G1812">
        <f t="shared" si="144"/>
        <v>2.6583058993321433</v>
      </c>
      <c r="H1812">
        <f t="shared" si="146"/>
        <v>1.514487933099895E-2</v>
      </c>
      <c r="I1812">
        <f t="shared" si="145"/>
        <v>1</v>
      </c>
      <c r="J1812">
        <f t="shared" si="147"/>
        <v>2</v>
      </c>
      <c r="K1812">
        <v>1.26896713078022E-2</v>
      </c>
      <c r="L1812">
        <v>1.06816478073596E-2</v>
      </c>
      <c r="M1812">
        <v>5.4790722370147697E-2</v>
      </c>
      <c r="N1812">
        <v>2.4527270346880001E-2</v>
      </c>
      <c r="O1812">
        <f t="shared" si="148"/>
        <v>1.2873396277427701E-2</v>
      </c>
    </row>
    <row r="1813" spans="1:15" x14ac:dyDescent="0.35">
      <c r="A1813" t="s">
        <v>121</v>
      </c>
      <c r="B1813">
        <v>2015</v>
      </c>
      <c r="C1813">
        <v>2428600</v>
      </c>
      <c r="D1813" s="8">
        <v>0.92979782819747903</v>
      </c>
      <c r="E1813" s="8">
        <v>4.2999999999999997E-2</v>
      </c>
      <c r="F1813">
        <v>2.4990951111914099</v>
      </c>
      <c r="G1813">
        <f t="shared" si="144"/>
        <v>2.6877833389180914</v>
      </c>
      <c r="H1813">
        <f t="shared" si="146"/>
        <v>1.1088806443740662E-2</v>
      </c>
      <c r="I1813">
        <f t="shared" si="145"/>
        <v>1</v>
      </c>
      <c r="J1813">
        <f t="shared" si="147"/>
        <v>3</v>
      </c>
      <c r="K1813">
        <v>5.4790722370147697E-2</v>
      </c>
      <c r="L1813">
        <v>2.4527270346880001E-2</v>
      </c>
      <c r="M1813">
        <v>2.1150045365095099E-2</v>
      </c>
      <c r="N1813">
        <v>7.9964883625506904E-3</v>
      </c>
      <c r="O1813">
        <f t="shared" si="148"/>
        <v>1.0985629633069385E-3</v>
      </c>
    </row>
    <row r="1814" spans="1:15" x14ac:dyDescent="0.35">
      <c r="A1814" t="s">
        <v>121</v>
      </c>
      <c r="B1814">
        <v>2016</v>
      </c>
      <c r="C1814">
        <v>2499294</v>
      </c>
      <c r="D1814" s="8">
        <v>0.93449717760086104</v>
      </c>
      <c r="E1814" s="8">
        <v>2.8000000000000001E-2</v>
      </c>
      <c r="F1814">
        <v>2.5220288954030501</v>
      </c>
      <c r="G1814">
        <f t="shared" si="144"/>
        <v>2.6988084671136905</v>
      </c>
      <c r="H1814">
        <f t="shared" si="146"/>
        <v>4.1019408208835539E-3</v>
      </c>
      <c r="I1814">
        <f t="shared" si="145"/>
        <v>1</v>
      </c>
      <c r="J1814">
        <f t="shared" si="147"/>
        <v>3</v>
      </c>
      <c r="K1814">
        <v>2.1150045365095099E-2</v>
      </c>
      <c r="L1814">
        <v>7.9964883625506904E-3</v>
      </c>
      <c r="M1814">
        <v>3.1428144961595503E-2</v>
      </c>
      <c r="N1814">
        <v>2.8638571500778202E-2</v>
      </c>
      <c r="O1814">
        <f t="shared" si="148"/>
        <v>2.0133356191218001E-2</v>
      </c>
    </row>
    <row r="1815" spans="1:15" x14ac:dyDescent="0.35">
      <c r="A1815" t="s">
        <v>121</v>
      </c>
      <c r="B1815">
        <v>2017</v>
      </c>
      <c r="C1815">
        <v>2564186</v>
      </c>
      <c r="D1815" s="8">
        <v>0.93750476837158203</v>
      </c>
      <c r="E1815" s="8">
        <v>4.2999999999999997E-2</v>
      </c>
      <c r="F1815">
        <v>2.5057419946187198</v>
      </c>
      <c r="G1815">
        <f t="shared" si="144"/>
        <v>2.6727778664754092</v>
      </c>
      <c r="H1815">
        <f t="shared" si="146"/>
        <v>-9.645219716581277E-3</v>
      </c>
      <c r="I1815">
        <f t="shared" si="145"/>
        <v>0</v>
      </c>
      <c r="J1815">
        <f t="shared" si="147"/>
        <v>3</v>
      </c>
      <c r="K1815">
        <v>3.1428144961595503E-2</v>
      </c>
      <c r="L1815">
        <v>2.8638571500778202E-2</v>
      </c>
      <c r="M1815">
        <v>1.5864785969257399E-2</v>
      </c>
      <c r="N1815">
        <v>6.7297630012036003E-3</v>
      </c>
      <c r="O1815">
        <f t="shared" si="148"/>
        <v>1.7026574350893602E-2</v>
      </c>
    </row>
    <row r="1816" spans="1:15" x14ac:dyDescent="0.35">
      <c r="A1816" t="s">
        <v>121</v>
      </c>
      <c r="B1816">
        <v>2018</v>
      </c>
      <c r="C1816">
        <v>2618401</v>
      </c>
      <c r="D1816" s="8">
        <v>0.923231601715088</v>
      </c>
      <c r="E1816" s="8">
        <v>5.8000000000000003E-2</v>
      </c>
      <c r="F1816">
        <v>2.4428539166829699</v>
      </c>
      <c r="G1816">
        <f t="shared" si="144"/>
        <v>2.6459816931579017</v>
      </c>
      <c r="H1816">
        <f t="shared" si="146"/>
        <v>-1.0025589351667197E-2</v>
      </c>
      <c r="I1816">
        <f t="shared" si="145"/>
        <v>0</v>
      </c>
      <c r="J1816">
        <f t="shared" si="147"/>
        <v>3</v>
      </c>
      <c r="K1816">
        <v>1.5864785969257399E-2</v>
      </c>
      <c r="L1816">
        <v>6.7297630012036003E-3</v>
      </c>
      <c r="M1816">
        <v>1.4276082783937501E-2</v>
      </c>
      <c r="N1816">
        <v>-3.5251118242739998E-3</v>
      </c>
      <c r="O1816">
        <f t="shared" si="148"/>
        <v>5.1982590928674622E-3</v>
      </c>
    </row>
    <row r="1817" spans="1:15" x14ac:dyDescent="0.35">
      <c r="A1817" t="s">
        <v>121</v>
      </c>
      <c r="B1817">
        <v>2019</v>
      </c>
      <c r="C1817">
        <v>2654677</v>
      </c>
      <c r="D1817" s="8">
        <v>0.91402786970138505</v>
      </c>
      <c r="E1817" s="8">
        <v>4.3999999999999997E-2</v>
      </c>
      <c r="F1817">
        <v>2.4759019512061902</v>
      </c>
      <c r="G1817">
        <f t="shared" si="144"/>
        <v>2.7087816830082794</v>
      </c>
      <c r="H1817">
        <f t="shared" si="146"/>
        <v>2.3734098392580893E-2</v>
      </c>
      <c r="I1817">
        <f t="shared" si="145"/>
        <v>1</v>
      </c>
      <c r="J1817" t="str">
        <f t="shared" si="147"/>
        <v/>
      </c>
      <c r="K1817">
        <v>1.4276082783937501E-2</v>
      </c>
      <c r="L1817">
        <v>-3.5251118242739998E-3</v>
      </c>
      <c r="M1817">
        <v>-1.54977057948708E-2</v>
      </c>
      <c r="N1817">
        <v>-3.4346896223723798E-2</v>
      </c>
      <c r="O1817">
        <f t="shared" si="148"/>
        <v>4.7204699367285633E-3</v>
      </c>
    </row>
    <row r="1818" spans="1:15" x14ac:dyDescent="0.35">
      <c r="A1818" t="s">
        <v>121</v>
      </c>
      <c r="B1818">
        <v>2020</v>
      </c>
      <c r="C1818">
        <v>2685188</v>
      </c>
      <c r="D1818" s="8">
        <v>0.89977502822875999</v>
      </c>
      <c r="E1818" s="8">
        <v>4.4999999999999998E-2</v>
      </c>
      <c r="F1818">
        <v>2.3878855744065799</v>
      </c>
      <c r="G1818">
        <f t="shared" si="144"/>
        <v>2.653869577940188</v>
      </c>
      <c r="H1818">
        <f t="shared" si="146"/>
        <v>-2.0271882895748106E-2</v>
      </c>
      <c r="I1818">
        <f t="shared" si="145"/>
        <v>0</v>
      </c>
      <c r="J1818" t="str">
        <f t="shared" si="147"/>
        <v/>
      </c>
      <c r="K1818">
        <v>-1.54977057948708E-2</v>
      </c>
      <c r="L1818">
        <v>-3.4346896223723798E-2</v>
      </c>
      <c r="M1818">
        <v>0.14676006722450299</v>
      </c>
      <c r="N1818">
        <v>0.103170454502106</v>
      </c>
      <c r="O1818">
        <f t="shared" si="148"/>
        <v>6.1951619572938408E-3</v>
      </c>
    </row>
    <row r="1819" spans="1:15" x14ac:dyDescent="0.35">
      <c r="A1819" t="s">
        <v>121</v>
      </c>
      <c r="B1819">
        <v>2021</v>
      </c>
      <c r="C1819">
        <v>2719823</v>
      </c>
      <c r="D1819" s="8">
        <v>0.94421583414077803</v>
      </c>
      <c r="E1819" s="8">
        <v>4.8000000000000001E-2</v>
      </c>
      <c r="F1819">
        <v>2.3940566988459802</v>
      </c>
      <c r="G1819">
        <f t="shared" si="144"/>
        <v>2.5354973008099733</v>
      </c>
      <c r="H1819">
        <f t="shared" si="146"/>
        <v>-4.4603652762050916E-2</v>
      </c>
      <c r="I1819">
        <f t="shared" si="145"/>
        <v>0</v>
      </c>
      <c r="J1819" t="str">
        <f t="shared" si="147"/>
        <v/>
      </c>
      <c r="K1819">
        <v>0.14676006722450299</v>
      </c>
      <c r="L1819">
        <v>0.103170454502106</v>
      </c>
      <c r="M1819">
        <v>-1.8998844474554001E-2</v>
      </c>
      <c r="N1819">
        <v>1.3104662299156199E-2</v>
      </c>
      <c r="O1819">
        <f t="shared" si="148"/>
        <v>-1.5122367348521909E-2</v>
      </c>
    </row>
    <row r="1820" spans="1:15" x14ac:dyDescent="0.35">
      <c r="A1820" t="s">
        <v>121</v>
      </c>
      <c r="B1820">
        <v>2022</v>
      </c>
      <c r="C1820">
        <v>2803454</v>
      </c>
      <c r="D1820" s="8">
        <v>0.92069011926651001</v>
      </c>
      <c r="E1820" s="8">
        <v>4.5999999999999999E-2</v>
      </c>
      <c r="F1820">
        <v>2.4210007110737202</v>
      </c>
      <c r="G1820">
        <f t="shared" si="144"/>
        <v>2.6295500086418531</v>
      </c>
      <c r="H1820">
        <f t="shared" si="146"/>
        <v>3.7094382944850457E-2</v>
      </c>
      <c r="I1820">
        <f t="shared" si="145"/>
        <v>1</v>
      </c>
      <c r="J1820" t="str">
        <f t="shared" si="147"/>
        <v/>
      </c>
      <c r="K1820">
        <v>-1.8998844474554001E-2</v>
      </c>
      <c r="L1820">
        <v>1.35833658277988E-2</v>
      </c>
      <c r="M1820">
        <v>-7.1970741063356394E-2</v>
      </c>
      <c r="N1820">
        <v>-5.2411813288927099E-2</v>
      </c>
      <c r="O1820">
        <f t="shared" si="148"/>
        <v>-1.6576850833371251E-2</v>
      </c>
    </row>
    <row r="1821" spans="1:15" x14ac:dyDescent="0.35">
      <c r="A1821" t="s">
        <v>122</v>
      </c>
      <c r="B1821">
        <v>2006</v>
      </c>
      <c r="C1821">
        <v>443396.3125</v>
      </c>
      <c r="D1821" s="8">
        <v>0.90550798177719105</v>
      </c>
      <c r="E1821" s="8">
        <v>1.4999999999999999E-2</v>
      </c>
      <c r="F1821">
        <v>2.37498180305708</v>
      </c>
      <c r="G1821">
        <f t="shared" si="144"/>
        <v>2.6228170826234276</v>
      </c>
      <c r="H1821">
        <f t="shared" si="146"/>
        <v>-2.5604860133094931E-3</v>
      </c>
      <c r="I1821">
        <f t="shared" si="145"/>
        <v>0</v>
      </c>
      <c r="J1821" t="str">
        <f t="shared" si="147"/>
        <v/>
      </c>
      <c r="K1821">
        <v>2.8166783630847899E-2</v>
      </c>
      <c r="L1821">
        <v>2.1803744137287102E-2</v>
      </c>
      <c r="M1821">
        <v>-6.8358135372400004E-3</v>
      </c>
      <c r="N1821">
        <v>-5.9140576049685001E-3</v>
      </c>
      <c r="O1821" t="str">
        <f t="shared" si="148"/>
        <v/>
      </c>
    </row>
    <row r="1822" spans="1:15" x14ac:dyDescent="0.35">
      <c r="A1822" t="s">
        <v>122</v>
      </c>
      <c r="B1822">
        <v>2007</v>
      </c>
      <c r="C1822">
        <v>444008.3125</v>
      </c>
      <c r="D1822" s="8">
        <v>0.87409740686416604</v>
      </c>
      <c r="E1822" s="8">
        <v>1.4999999999999999E-2</v>
      </c>
      <c r="F1822">
        <v>2.3385366480375098</v>
      </c>
      <c r="G1822">
        <f t="shared" si="144"/>
        <v>2.6753730530182391</v>
      </c>
      <c r="H1822">
        <f t="shared" si="146"/>
        <v>2.0037985394789182E-2</v>
      </c>
      <c r="I1822">
        <f t="shared" si="145"/>
        <v>1</v>
      </c>
      <c r="J1822" t="str">
        <f t="shared" si="147"/>
        <v/>
      </c>
      <c r="K1822">
        <v>-6.8358135372400004E-3</v>
      </c>
      <c r="L1822">
        <v>-5.9140576049685001E-3</v>
      </c>
      <c r="M1822">
        <v>-5.64842403978109E-2</v>
      </c>
      <c r="N1822">
        <v>-2.69734361208974E-2</v>
      </c>
      <c r="O1822" t="str">
        <f t="shared" si="148"/>
        <v/>
      </c>
    </row>
    <row r="1823" spans="1:15" x14ac:dyDescent="0.35">
      <c r="A1823" t="s">
        <v>122</v>
      </c>
      <c r="B1823">
        <v>2008</v>
      </c>
      <c r="C1823">
        <v>445702.6875</v>
      </c>
      <c r="D1823" s="8">
        <v>0.86394548416137695</v>
      </c>
      <c r="E1823" s="8">
        <v>5.0999999999999997E-2</v>
      </c>
      <c r="F1823">
        <v>2.3364682427893402</v>
      </c>
      <c r="G1823">
        <f t="shared" si="144"/>
        <v>2.7044162920271826</v>
      </c>
      <c r="H1823">
        <f t="shared" si="146"/>
        <v>1.0855771674973758E-2</v>
      </c>
      <c r="I1823">
        <f t="shared" si="145"/>
        <v>1</v>
      </c>
      <c r="J1823" t="str">
        <f t="shared" si="147"/>
        <v/>
      </c>
      <c r="K1823">
        <v>-5.64842403978109E-2</v>
      </c>
      <c r="L1823">
        <v>-2.69734361208974E-2</v>
      </c>
      <c r="M1823">
        <v>-2.99838936924933E-2</v>
      </c>
      <c r="N1823">
        <v>-3.4171920269727399E-3</v>
      </c>
      <c r="O1823" t="str">
        <f t="shared" si="148"/>
        <v/>
      </c>
    </row>
    <row r="1824" spans="1:15" x14ac:dyDescent="0.35">
      <c r="A1824" t="s">
        <v>122</v>
      </c>
      <c r="B1824">
        <v>2009</v>
      </c>
      <c r="C1824">
        <v>447697.375</v>
      </c>
      <c r="D1824" s="8">
        <v>0.88491410017013505</v>
      </c>
      <c r="E1824" s="8">
        <v>0</v>
      </c>
      <c r="F1824">
        <v>2.3403013917535298</v>
      </c>
      <c r="G1824">
        <f t="shared" si="144"/>
        <v>2.6446650486228886</v>
      </c>
      <c r="H1824">
        <f t="shared" si="146"/>
        <v>-2.2093951874363804E-2</v>
      </c>
      <c r="I1824">
        <f t="shared" si="145"/>
        <v>0</v>
      </c>
      <c r="J1824" t="str">
        <f t="shared" si="147"/>
        <v/>
      </c>
      <c r="K1824">
        <v>-2.99838936924933E-2</v>
      </c>
      <c r="L1824">
        <v>-3.4171920269727399E-3</v>
      </c>
      <c r="M1824">
        <v>-3.62786388397219E-3</v>
      </c>
      <c r="N1824">
        <v>5.8322448749094803E-3</v>
      </c>
      <c r="O1824" t="str">
        <f t="shared" si="148"/>
        <v/>
      </c>
    </row>
    <row r="1825" spans="1:15" x14ac:dyDescent="0.35">
      <c r="A1825" t="s">
        <v>122</v>
      </c>
      <c r="B1825">
        <v>2010</v>
      </c>
      <c r="C1825">
        <v>452089.59375</v>
      </c>
      <c r="D1825" s="8">
        <v>0.89766502380371105</v>
      </c>
      <c r="E1825" s="8">
        <v>3.0000000000000001E-3</v>
      </c>
      <c r="F1825">
        <v>2.3072527300481398</v>
      </c>
      <c r="G1825">
        <f t="shared" si="144"/>
        <v>2.5702825317527997</v>
      </c>
      <c r="H1825">
        <f t="shared" si="146"/>
        <v>-2.8125496235835601E-2</v>
      </c>
      <c r="I1825">
        <f t="shared" si="145"/>
        <v>0</v>
      </c>
      <c r="J1825">
        <f t="shared" si="147"/>
        <v>2</v>
      </c>
      <c r="K1825">
        <v>-3.62786388397219E-3</v>
      </c>
      <c r="L1825">
        <v>5.8322448749094803E-3</v>
      </c>
      <c r="M1825">
        <v>-2.1724712446331999E-2</v>
      </c>
      <c r="N1825">
        <v>-4.4093793258069899E-4</v>
      </c>
      <c r="O1825">
        <f t="shared" si="148"/>
        <v>1.3926642015576383E-3</v>
      </c>
    </row>
    <row r="1826" spans="1:15" x14ac:dyDescent="0.35">
      <c r="A1826" t="s">
        <v>122</v>
      </c>
      <c r="B1826">
        <v>2011</v>
      </c>
      <c r="C1826">
        <v>456901.875</v>
      </c>
      <c r="D1826" s="8">
        <v>0.88907128572464</v>
      </c>
      <c r="E1826" s="8">
        <v>1.7000000000000001E-2</v>
      </c>
      <c r="F1826">
        <v>2.4615871797332298</v>
      </c>
      <c r="G1826">
        <f t="shared" si="144"/>
        <v>2.7687174462359407</v>
      </c>
      <c r="H1826">
        <f t="shared" si="146"/>
        <v>7.7203541646380325E-2</v>
      </c>
      <c r="I1826">
        <f t="shared" si="145"/>
        <v>1</v>
      </c>
      <c r="J1826">
        <f t="shared" si="147"/>
        <v>3</v>
      </c>
      <c r="K1826">
        <v>-2.1724712446331999E-2</v>
      </c>
      <c r="L1826">
        <v>-4.4093793258069899E-4</v>
      </c>
      <c r="M1826">
        <v>-3.5945645570755001E-3</v>
      </c>
      <c r="N1826">
        <v>1.84364151209589E-3</v>
      </c>
      <c r="O1826">
        <f t="shared" si="148"/>
        <v>-2.1548671647905992E-4</v>
      </c>
    </row>
    <row r="1827" spans="1:15" x14ac:dyDescent="0.35">
      <c r="A1827" t="s">
        <v>122</v>
      </c>
      <c r="B1827">
        <v>2012</v>
      </c>
      <c r="C1827">
        <v>463281.71875</v>
      </c>
      <c r="D1827" s="8">
        <v>0.912123143672943</v>
      </c>
      <c r="E1827" s="8">
        <v>-1E-3</v>
      </c>
      <c r="F1827">
        <v>2.2034769952292299</v>
      </c>
      <c r="G1827">
        <f t="shared" si="144"/>
        <v>2.4157670052710816</v>
      </c>
      <c r="H1827">
        <f t="shared" si="146"/>
        <v>-0.12747795606398682</v>
      </c>
      <c r="I1827">
        <f t="shared" si="145"/>
        <v>0</v>
      </c>
      <c r="J1827">
        <f t="shared" si="147"/>
        <v>2</v>
      </c>
      <c r="K1827">
        <v>-3.5945645570755001E-3</v>
      </c>
      <c r="L1827">
        <v>1.7580427229403901E-3</v>
      </c>
      <c r="M1827">
        <v>6.0914760828018003E-3</v>
      </c>
      <c r="N1827">
        <v>-3.5295262932798201E-5</v>
      </c>
      <c r="O1827">
        <f t="shared" si="148"/>
        <v>4.6970201656224215E-4</v>
      </c>
    </row>
    <row r="1828" spans="1:15" x14ac:dyDescent="0.35">
      <c r="A1828" t="s">
        <v>122</v>
      </c>
      <c r="B1828">
        <v>2013</v>
      </c>
      <c r="C1828">
        <v>468303.40625</v>
      </c>
      <c r="D1828" s="8">
        <v>0.924460649490356</v>
      </c>
      <c r="E1828" s="8">
        <v>-3.0000000000000001E-3</v>
      </c>
      <c r="F1828">
        <v>2.2613976326742899</v>
      </c>
      <c r="G1828">
        <f t="shared" si="144"/>
        <v>2.446180520415846</v>
      </c>
      <c r="H1828">
        <f t="shared" si="146"/>
        <v>1.25895895913819E-2</v>
      </c>
      <c r="I1828">
        <f t="shared" si="145"/>
        <v>1</v>
      </c>
      <c r="J1828">
        <f t="shared" si="147"/>
        <v>2</v>
      </c>
      <c r="K1828">
        <v>6.0914760828018003E-3</v>
      </c>
      <c r="L1828">
        <v>-3.5295262932798201E-5</v>
      </c>
      <c r="M1828">
        <v>-1.19102445282042E-2</v>
      </c>
      <c r="N1828">
        <v>-1.3918268028646701E-2</v>
      </c>
      <c r="O1828">
        <f t="shared" si="148"/>
        <v>5.4477936588228021E-3</v>
      </c>
    </row>
    <row r="1829" spans="1:15" x14ac:dyDescent="0.35">
      <c r="A1829" t="s">
        <v>122</v>
      </c>
      <c r="B1829">
        <v>2014</v>
      </c>
      <c r="C1829">
        <v>472353.78125</v>
      </c>
      <c r="D1829" s="8">
        <v>0.93442863225936901</v>
      </c>
      <c r="E1829" s="8">
        <v>-2E-3</v>
      </c>
      <c r="F1829">
        <v>2.1179718875501998</v>
      </c>
      <c r="G1829">
        <f t="shared" si="144"/>
        <v>2.2665956654486537</v>
      </c>
      <c r="H1829">
        <f t="shared" si="146"/>
        <v>-7.3414391729627271E-2</v>
      </c>
      <c r="I1829">
        <f t="shared" si="145"/>
        <v>0</v>
      </c>
      <c r="J1829">
        <f t="shared" si="147"/>
        <v>2</v>
      </c>
      <c r="K1829">
        <v>-1.19102445282042E-2</v>
      </c>
      <c r="L1829">
        <v>-1.3918268028646701E-2</v>
      </c>
      <c r="M1829">
        <v>4.97776327431202E-2</v>
      </c>
      <c r="N1829">
        <v>1.95141807198525E-2</v>
      </c>
      <c r="O1829">
        <f t="shared" si="148"/>
        <v>1.0434242710471161E-2</v>
      </c>
    </row>
    <row r="1830" spans="1:15" x14ac:dyDescent="0.35">
      <c r="A1830" t="s">
        <v>122</v>
      </c>
      <c r="B1830">
        <v>2015</v>
      </c>
      <c r="C1830">
        <v>477638.21875</v>
      </c>
      <c r="D1830" s="8">
        <v>0.94110864400863603</v>
      </c>
      <c r="E1830" s="8">
        <v>0</v>
      </c>
      <c r="F1830">
        <v>2.23218533952834</v>
      </c>
      <c r="G1830">
        <f t="shared" si="144"/>
        <v>2.3718678536628728</v>
      </c>
      <c r="H1830">
        <f t="shared" si="146"/>
        <v>4.6445067295838749E-2</v>
      </c>
      <c r="I1830">
        <f t="shared" si="145"/>
        <v>1</v>
      </c>
      <c r="J1830">
        <f t="shared" si="147"/>
        <v>3</v>
      </c>
      <c r="K1830">
        <v>4.97776327431202E-2</v>
      </c>
      <c r="L1830">
        <v>1.95141807198525E-2</v>
      </c>
      <c r="M1830">
        <v>4.6718644797802003E-3</v>
      </c>
      <c r="N1830">
        <v>-8.4816925227641903E-3</v>
      </c>
      <c r="O1830">
        <f t="shared" si="148"/>
        <v>9.2035070061683624E-3</v>
      </c>
    </row>
    <row r="1831" spans="1:15" x14ac:dyDescent="0.35">
      <c r="A1831" t="s">
        <v>122</v>
      </c>
      <c r="B1831">
        <v>2016</v>
      </c>
      <c r="C1831">
        <v>483787.1875</v>
      </c>
      <c r="D1831" s="8">
        <v>0.92076909542083696</v>
      </c>
      <c r="E1831" s="8">
        <v>3.9E-2</v>
      </c>
      <c r="F1831">
        <v>2.1825418789782902</v>
      </c>
      <c r="G1831">
        <f t="shared" si="144"/>
        <v>2.3703465829082382</v>
      </c>
      <c r="H1831">
        <f t="shared" si="146"/>
        <v>-6.4138090673360182E-4</v>
      </c>
      <c r="I1831">
        <f t="shared" si="145"/>
        <v>0</v>
      </c>
      <c r="J1831">
        <f t="shared" si="147"/>
        <v>2</v>
      </c>
      <c r="K1831">
        <v>4.6718644797802003E-3</v>
      </c>
      <c r="L1831">
        <v>-8.4816925227641903E-3</v>
      </c>
      <c r="M1831">
        <v>8.0591586381196997E-3</v>
      </c>
      <c r="N1831">
        <v>5.2695851773024004E-3</v>
      </c>
      <c r="O1831">
        <f t="shared" si="148"/>
        <v>1.3308940082788401E-2</v>
      </c>
    </row>
    <row r="1832" spans="1:15" x14ac:dyDescent="0.35">
      <c r="A1832" t="s">
        <v>122</v>
      </c>
      <c r="B1832">
        <v>2017</v>
      </c>
      <c r="C1832">
        <v>490131.5</v>
      </c>
      <c r="D1832" s="8">
        <v>0.934795022010803</v>
      </c>
      <c r="E1832" s="8">
        <v>4.1000000000000002E-2</v>
      </c>
      <c r="F1832">
        <v>2.3372096837685299</v>
      </c>
      <c r="G1832">
        <f t="shared" si="144"/>
        <v>2.5002376229401015</v>
      </c>
      <c r="H1832">
        <f t="shared" si="146"/>
        <v>5.4798332433097841E-2</v>
      </c>
      <c r="I1832">
        <f t="shared" si="145"/>
        <v>1</v>
      </c>
      <c r="J1832">
        <f t="shared" si="147"/>
        <v>3</v>
      </c>
      <c r="K1832">
        <v>8.0591586381196997E-3</v>
      </c>
      <c r="L1832">
        <v>5.2695851773024004E-3</v>
      </c>
      <c r="M1832">
        <v>3.3990185916423797E-2</v>
      </c>
      <c r="N1832">
        <v>2.4855162948370001E-2</v>
      </c>
      <c r="O1832">
        <f t="shared" si="148"/>
        <v>8.8458038866519213E-3</v>
      </c>
    </row>
    <row r="1833" spans="1:15" x14ac:dyDescent="0.35">
      <c r="A1833" t="s">
        <v>122</v>
      </c>
      <c r="B1833">
        <v>2018</v>
      </c>
      <c r="C1833">
        <v>497608.71875</v>
      </c>
      <c r="D1833" s="8">
        <v>0.93772417306900002</v>
      </c>
      <c r="E1833" s="8">
        <v>3.1E-2</v>
      </c>
      <c r="F1833">
        <v>2.23907805133577</v>
      </c>
      <c r="G1833">
        <f t="shared" si="144"/>
        <v>2.3877789606379416</v>
      </c>
      <c r="H1833">
        <f t="shared" si="146"/>
        <v>-4.4979189685945387E-2</v>
      </c>
      <c r="I1833">
        <f t="shared" si="145"/>
        <v>0</v>
      </c>
      <c r="J1833">
        <f t="shared" si="147"/>
        <v>2</v>
      </c>
      <c r="K1833">
        <v>3.3990185916423797E-2</v>
      </c>
      <c r="L1833">
        <v>2.4855162948370001E-2</v>
      </c>
      <c r="M1833">
        <v>2.88151718378067E-2</v>
      </c>
      <c r="N1833">
        <v>1.1013977229595099E-2</v>
      </c>
      <c r="O1833">
        <f t="shared" si="148"/>
        <v>-3.3624719828367995E-3</v>
      </c>
    </row>
    <row r="1834" spans="1:15" x14ac:dyDescent="0.35">
      <c r="A1834" t="s">
        <v>122</v>
      </c>
      <c r="B1834">
        <v>2019</v>
      </c>
      <c r="C1834">
        <v>505967.40625</v>
      </c>
      <c r="D1834" s="8">
        <v>0.94288963079452504</v>
      </c>
      <c r="E1834" s="8">
        <v>0</v>
      </c>
      <c r="F1834">
        <v>2.3347525530243498</v>
      </c>
      <c r="G1834">
        <f t="shared" si="144"/>
        <v>2.4761673866929397</v>
      </c>
      <c r="H1834">
        <f t="shared" si="146"/>
        <v>3.7017005138274328E-2</v>
      </c>
      <c r="I1834">
        <f t="shared" si="145"/>
        <v>1</v>
      </c>
      <c r="J1834" t="str">
        <f t="shared" si="147"/>
        <v/>
      </c>
      <c r="K1834">
        <v>2.88151718378067E-2</v>
      </c>
      <c r="L1834">
        <v>1.1013977229595099E-2</v>
      </c>
      <c r="M1834">
        <v>3.2209692627191498E-2</v>
      </c>
      <c r="N1834">
        <v>1.33605021983385E-2</v>
      </c>
      <c r="O1834">
        <f t="shared" si="148"/>
        <v>-6.6263085231185598E-3</v>
      </c>
    </row>
    <row r="1835" spans="1:15" x14ac:dyDescent="0.35">
      <c r="A1835" t="s">
        <v>122</v>
      </c>
      <c r="B1835">
        <v>2020</v>
      </c>
      <c r="C1835">
        <v>513014.09375</v>
      </c>
      <c r="D1835" s="8">
        <v>0.95092099905014005</v>
      </c>
      <c r="E1835" s="8">
        <v>7.0000000000000001E-3</v>
      </c>
      <c r="F1835">
        <v>2.0144491985873398</v>
      </c>
      <c r="G1835">
        <f t="shared" si="144"/>
        <v>2.1184190911753356</v>
      </c>
      <c r="H1835">
        <f t="shared" si="146"/>
        <v>-0.14447662037718578</v>
      </c>
      <c r="I1835">
        <f t="shared" si="145"/>
        <v>0</v>
      </c>
      <c r="J1835" t="str">
        <f t="shared" si="147"/>
        <v/>
      </c>
      <c r="K1835">
        <v>3.2209692627191498E-2</v>
      </c>
      <c r="L1835">
        <v>1.33605021983385E-2</v>
      </c>
      <c r="M1835">
        <v>5.5635085582733002E-2</v>
      </c>
      <c r="N1835">
        <v>1.2045472860336E-2</v>
      </c>
      <c r="O1835">
        <f t="shared" si="148"/>
        <v>-8.1958751194179599E-3</v>
      </c>
    </row>
    <row r="1836" spans="1:15" x14ac:dyDescent="0.35">
      <c r="A1836" t="s">
        <v>122</v>
      </c>
      <c r="B1836">
        <v>2021</v>
      </c>
      <c r="C1836">
        <v>518446.59375</v>
      </c>
      <c r="D1836" s="8">
        <v>0.91098040342330899</v>
      </c>
      <c r="E1836" s="8">
        <v>7.2999999999999995E-2</v>
      </c>
      <c r="F1836">
        <v>2.1488803475935798</v>
      </c>
      <c r="G1836">
        <f t="shared" si="144"/>
        <v>2.3588656128259773</v>
      </c>
      <c r="H1836">
        <f t="shared" si="146"/>
        <v>0.11350281096515125</v>
      </c>
      <c r="I1836">
        <f t="shared" si="145"/>
        <v>1</v>
      </c>
      <c r="J1836" t="str">
        <f t="shared" si="147"/>
        <v/>
      </c>
      <c r="K1836">
        <v>5.5635085582733002E-2</v>
      </c>
      <c r="L1836">
        <v>1.2045472860336E-2</v>
      </c>
      <c r="M1836">
        <v>-4.91496025770903E-2</v>
      </c>
      <c r="N1836">
        <v>-1.7046095803379999E-2</v>
      </c>
      <c r="O1836">
        <f t="shared" si="148"/>
        <v>-8.4837111644446989E-3</v>
      </c>
    </row>
    <row r="1837" spans="1:15" x14ac:dyDescent="0.35">
      <c r="A1837" t="s">
        <v>122</v>
      </c>
      <c r="B1837">
        <v>2022</v>
      </c>
      <c r="C1837">
        <v>524748.3125</v>
      </c>
      <c r="D1837" s="8">
        <v>0.88031882047653198</v>
      </c>
      <c r="E1837" s="8">
        <v>7.0999999999999994E-2</v>
      </c>
      <c r="F1837">
        <v>2.1693136435404399</v>
      </c>
      <c r="G1837">
        <f t="shared" si="144"/>
        <v>2.4642363574212265</v>
      </c>
      <c r="H1837">
        <f t="shared" si="146"/>
        <v>4.4670092277538709E-2</v>
      </c>
      <c r="I1837">
        <f t="shared" si="145"/>
        <v>1</v>
      </c>
      <c r="J1837" t="str">
        <f t="shared" si="147"/>
        <v/>
      </c>
      <c r="K1837">
        <v>-4.91496025770903E-2</v>
      </c>
      <c r="L1837">
        <v>-1.65673922747374E-2</v>
      </c>
      <c r="M1837">
        <v>-5.5745144173502903E-2</v>
      </c>
      <c r="N1837">
        <v>-3.6186216399073601E-2</v>
      </c>
      <c r="O1837">
        <f t="shared" si="148"/>
        <v>-6.1135758180171414E-3</v>
      </c>
    </row>
    <row r="1838" spans="1:15" x14ac:dyDescent="0.35">
      <c r="A1838" t="s">
        <v>123</v>
      </c>
      <c r="B1838">
        <v>2006</v>
      </c>
      <c r="C1838">
        <v>372289</v>
      </c>
      <c r="D1838" s="8">
        <v>0.90684258937835704</v>
      </c>
      <c r="E1838" s="8">
        <v>3.3000000000000002E-2</v>
      </c>
      <c r="F1838">
        <v>2.0667345626071998</v>
      </c>
      <c r="G1838">
        <f t="shared" si="144"/>
        <v>2.2790444414658024</v>
      </c>
      <c r="H1838">
        <f t="shared" si="146"/>
        <v>-7.5151847913332293E-2</v>
      </c>
      <c r="I1838">
        <f t="shared" si="145"/>
        <v>0</v>
      </c>
      <c r="J1838" t="str">
        <f t="shared" si="147"/>
        <v/>
      </c>
      <c r="K1838">
        <v>-1.1541925713419899E-2</v>
      </c>
      <c r="L1838">
        <v>-1.7904965206980698E-2</v>
      </c>
      <c r="M1838">
        <v>-6.2269614040851998E-3</v>
      </c>
      <c r="N1838">
        <v>-5.3052054718137004E-3</v>
      </c>
      <c r="O1838" t="str">
        <f t="shared" si="148"/>
        <v/>
      </c>
    </row>
    <row r="1839" spans="1:15" x14ac:dyDescent="0.35">
      <c r="A1839" t="s">
        <v>123</v>
      </c>
      <c r="B1839">
        <v>2007</v>
      </c>
      <c r="C1839">
        <v>374627.28125</v>
      </c>
      <c r="D1839" s="8">
        <v>0.91707062721252397</v>
      </c>
      <c r="E1839" s="8">
        <v>0</v>
      </c>
      <c r="F1839">
        <v>2.0964866825577699</v>
      </c>
      <c r="G1839">
        <f t="shared" si="144"/>
        <v>2.2860689464345101</v>
      </c>
      <c r="H1839">
        <f t="shared" si="146"/>
        <v>3.0822150024374384E-3</v>
      </c>
      <c r="I1839">
        <f t="shared" si="145"/>
        <v>1</v>
      </c>
      <c r="J1839" t="str">
        <f t="shared" si="147"/>
        <v/>
      </c>
      <c r="K1839">
        <v>-6.2269614040851998E-3</v>
      </c>
      <c r="L1839">
        <v>-5.3052054718137004E-3</v>
      </c>
      <c r="M1839">
        <v>-2.3998135060071899E-2</v>
      </c>
      <c r="N1839">
        <v>5.5126692168415E-3</v>
      </c>
      <c r="O1839" t="str">
        <f t="shared" si="148"/>
        <v/>
      </c>
    </row>
    <row r="1840" spans="1:15" x14ac:dyDescent="0.35">
      <c r="A1840" t="s">
        <v>123</v>
      </c>
      <c r="B1840">
        <v>2008</v>
      </c>
      <c r="C1840">
        <v>376845.78125</v>
      </c>
      <c r="D1840" s="8">
        <v>0.92617559432983398</v>
      </c>
      <c r="E1840" s="8">
        <v>0</v>
      </c>
      <c r="F1840">
        <v>1.9514804039021001</v>
      </c>
      <c r="G1840">
        <f t="shared" si="144"/>
        <v>2.1070306925050866</v>
      </c>
      <c r="H1840">
        <f t="shared" si="146"/>
        <v>-7.8317084096987677E-2</v>
      </c>
      <c r="I1840">
        <f t="shared" si="145"/>
        <v>0</v>
      </c>
      <c r="J1840" t="str">
        <f t="shared" si="147"/>
        <v/>
      </c>
      <c r="K1840">
        <v>-2.3998135060071899E-2</v>
      </c>
      <c r="L1840">
        <v>5.5126692168415E-3</v>
      </c>
      <c r="M1840">
        <v>-1.5960409030318298E-2</v>
      </c>
      <c r="N1840">
        <v>1.06062926352023E-2</v>
      </c>
      <c r="O1840" t="str">
        <f t="shared" si="148"/>
        <v/>
      </c>
    </row>
    <row r="1841" spans="1:15" x14ac:dyDescent="0.35">
      <c r="A1841" t="s">
        <v>123</v>
      </c>
      <c r="B1841">
        <v>2009</v>
      </c>
      <c r="C1841">
        <v>379329.8125</v>
      </c>
      <c r="D1841" s="8">
        <v>0.92272508144378695</v>
      </c>
      <c r="E1841" s="8">
        <v>0</v>
      </c>
      <c r="F1841">
        <v>2.07167523788228</v>
      </c>
      <c r="G1841">
        <f t="shared" si="144"/>
        <v>2.2451706142426864</v>
      </c>
      <c r="H1841">
        <f t="shared" si="146"/>
        <v>6.556141883883182E-2</v>
      </c>
      <c r="I1841">
        <f t="shared" si="145"/>
        <v>1</v>
      </c>
      <c r="J1841" t="str">
        <f t="shared" si="147"/>
        <v/>
      </c>
      <c r="K1841">
        <v>-1.5960409030318298E-2</v>
      </c>
      <c r="L1841">
        <v>1.06062926352023E-2</v>
      </c>
      <c r="M1841">
        <v>-1.46555278301239E-2</v>
      </c>
      <c r="N1841">
        <v>-5.1954190712422098E-3</v>
      </c>
      <c r="O1841" t="str">
        <f t="shared" si="148"/>
        <v/>
      </c>
    </row>
    <row r="1842" spans="1:15" x14ac:dyDescent="0.35">
      <c r="A1842" t="s">
        <v>123</v>
      </c>
      <c r="B1842">
        <v>2010</v>
      </c>
      <c r="C1842">
        <v>379447.8125</v>
      </c>
      <c r="D1842" s="8">
        <v>0.92286741733551003</v>
      </c>
      <c r="E1842" s="8">
        <v>1.4E-2</v>
      </c>
      <c r="F1842">
        <v>2.2065206158933499</v>
      </c>
      <c r="G1842">
        <f t="shared" si="144"/>
        <v>2.3909399925115848</v>
      </c>
      <c r="H1842">
        <f t="shared" si="146"/>
        <v>6.4925746553148977E-2</v>
      </c>
      <c r="I1842">
        <f t="shared" si="145"/>
        <v>1</v>
      </c>
      <c r="J1842">
        <f t="shared" si="147"/>
        <v>3</v>
      </c>
      <c r="K1842">
        <v>-1.46555278301239E-2</v>
      </c>
      <c r="L1842">
        <v>-5.1954190712422098E-3</v>
      </c>
      <c r="M1842">
        <v>-2.43555464483797E-2</v>
      </c>
      <c r="N1842">
        <v>-3.0717719346284602E-3</v>
      </c>
      <c r="O1842">
        <f t="shared" si="148"/>
        <v>1.2897883052937664E-2</v>
      </c>
    </row>
    <row r="1843" spans="1:15" x14ac:dyDescent="0.35">
      <c r="A1843" t="s">
        <v>124</v>
      </c>
      <c r="B1843">
        <v>2006</v>
      </c>
      <c r="C1843">
        <v>5862295</v>
      </c>
      <c r="D1843" s="8">
        <v>0.92594182491302501</v>
      </c>
      <c r="E1843" s="8">
        <v>6.0000000000000001E-3</v>
      </c>
      <c r="F1843">
        <v>2.0567519373438499</v>
      </c>
      <c r="G1843">
        <f t="shared" si="144"/>
        <v>2.2212539513884075</v>
      </c>
      <c r="H1843">
        <f t="shared" si="146"/>
        <v>-7.0970430732110956E-2</v>
      </c>
      <c r="I1843">
        <f t="shared" si="145"/>
        <v>0</v>
      </c>
      <c r="J1843" t="str">
        <f t="shared" si="147"/>
        <v/>
      </c>
      <c r="K1843">
        <v>-1.01762715429068E-2</v>
      </c>
      <c r="L1843">
        <v>-1.65393110364675E-2</v>
      </c>
      <c r="M1843">
        <v>5.3701131641864901E-3</v>
      </c>
      <c r="N1843">
        <v>6.2918690964579903E-3</v>
      </c>
      <c r="O1843" t="str">
        <f t="shared" si="148"/>
        <v/>
      </c>
    </row>
    <row r="1844" spans="1:15" x14ac:dyDescent="0.35">
      <c r="A1844" t="s">
        <v>124</v>
      </c>
      <c r="B1844">
        <v>2007</v>
      </c>
      <c r="C1844">
        <v>5888285</v>
      </c>
      <c r="D1844" s="8">
        <v>0.92805826663970903</v>
      </c>
      <c r="E1844" s="8">
        <v>4.0000000000000001E-3</v>
      </c>
      <c r="F1844">
        <v>2.11443081286026</v>
      </c>
      <c r="G1844">
        <f t="shared" si="144"/>
        <v>2.2783384285947261</v>
      </c>
      <c r="H1844">
        <f t="shared" si="146"/>
        <v>2.5699212451884446E-2</v>
      </c>
      <c r="I1844">
        <f t="shared" si="145"/>
        <v>1</v>
      </c>
      <c r="J1844" t="str">
        <f t="shared" si="147"/>
        <v/>
      </c>
      <c r="K1844">
        <v>5.3701131641864901E-3</v>
      </c>
      <c r="L1844">
        <v>6.2918690964579903E-3</v>
      </c>
      <c r="M1844">
        <v>-1.5678496390581099E-2</v>
      </c>
      <c r="N1844">
        <v>1.38323078863323E-2</v>
      </c>
      <c r="O1844" t="str">
        <f t="shared" si="148"/>
        <v/>
      </c>
    </row>
    <row r="1845" spans="1:15" x14ac:dyDescent="0.35">
      <c r="A1845" t="s">
        <v>124</v>
      </c>
      <c r="B1845">
        <v>2008</v>
      </c>
      <c r="C1845">
        <v>5915824</v>
      </c>
      <c r="D1845" s="8">
        <v>0.92638993263244596</v>
      </c>
      <c r="E1845" s="8">
        <v>6.0000000000000001E-3</v>
      </c>
      <c r="F1845">
        <v>2.1069944686409099</v>
      </c>
      <c r="G1845">
        <f t="shared" si="144"/>
        <v>2.2744142551869464</v>
      </c>
      <c r="H1845">
        <f t="shared" si="146"/>
        <v>-1.7223838910535028E-3</v>
      </c>
      <c r="I1845">
        <f t="shared" si="145"/>
        <v>0</v>
      </c>
      <c r="J1845" t="str">
        <f t="shared" si="147"/>
        <v/>
      </c>
      <c r="K1845">
        <v>-1.5678496390581099E-2</v>
      </c>
      <c r="L1845">
        <v>1.38323078863323E-2</v>
      </c>
      <c r="M1845">
        <v>2.0610000202432302E-3</v>
      </c>
      <c r="N1845">
        <v>2.8627701685763798E-2</v>
      </c>
      <c r="O1845" t="str">
        <f t="shared" si="148"/>
        <v/>
      </c>
    </row>
    <row r="1846" spans="1:15" x14ac:dyDescent="0.35">
      <c r="A1846" t="s">
        <v>124</v>
      </c>
      <c r="B1846">
        <v>2009</v>
      </c>
      <c r="C1846">
        <v>5950187</v>
      </c>
      <c r="D1846" s="8">
        <v>0.92764300107955899</v>
      </c>
      <c r="E1846" s="8">
        <v>7.0000000000000001E-3</v>
      </c>
      <c r="F1846">
        <v>2.1324391032937502</v>
      </c>
      <c r="G1846">
        <f t="shared" si="144"/>
        <v>2.2987712954359498</v>
      </c>
      <c r="H1846">
        <f t="shared" si="146"/>
        <v>1.0709148605385188E-2</v>
      </c>
      <c r="I1846">
        <f t="shared" si="145"/>
        <v>1</v>
      </c>
      <c r="J1846" t="str">
        <f t="shared" si="147"/>
        <v/>
      </c>
      <c r="K1846">
        <v>2.0610000202432302E-3</v>
      </c>
      <c r="L1846">
        <v>2.8627701685763798E-2</v>
      </c>
      <c r="M1846">
        <v>9.3491997718810997E-3</v>
      </c>
      <c r="N1846">
        <v>1.8809308530762701E-2</v>
      </c>
      <c r="O1846" t="str">
        <f t="shared" si="148"/>
        <v/>
      </c>
    </row>
    <row r="1847" spans="1:15" x14ac:dyDescent="0.35">
      <c r="A1847" t="s">
        <v>124</v>
      </c>
      <c r="B1847">
        <v>2010</v>
      </c>
      <c r="C1847">
        <v>5984665</v>
      </c>
      <c r="D1847" s="8">
        <v>0.93224465847015403</v>
      </c>
      <c r="E1847" s="8">
        <v>4.0000000000000001E-3</v>
      </c>
      <c r="F1847">
        <v>2.13873129218429</v>
      </c>
      <c r="G1847">
        <f t="shared" si="144"/>
        <v>2.2941738230970641</v>
      </c>
      <c r="H1847">
        <f t="shared" si="146"/>
        <v>-1.9999694393321166E-3</v>
      </c>
      <c r="I1847">
        <f t="shared" si="145"/>
        <v>0</v>
      </c>
      <c r="J1847">
        <f t="shared" si="147"/>
        <v>2</v>
      </c>
      <c r="K1847">
        <v>9.3491997718810997E-3</v>
      </c>
      <c r="L1847">
        <v>1.8809308530762701E-2</v>
      </c>
      <c r="M1847">
        <v>-2.3153636947274198E-2</v>
      </c>
      <c r="N1847">
        <v>-1.8698624335229E-3</v>
      </c>
      <c r="O1847">
        <f t="shared" si="148"/>
        <v>-3.4843943081795995E-3</v>
      </c>
    </row>
    <row r="1848" spans="1:15" x14ac:dyDescent="0.35">
      <c r="A1848" t="s">
        <v>124</v>
      </c>
      <c r="B1848">
        <v>2011</v>
      </c>
      <c r="C1848">
        <v>6021996</v>
      </c>
      <c r="D1848" s="8">
        <v>0.93335181474685702</v>
      </c>
      <c r="E1848" s="8">
        <v>2E-3</v>
      </c>
      <c r="F1848">
        <v>2.14018325124264</v>
      </c>
      <c r="G1848">
        <f t="shared" si="144"/>
        <v>2.293008078441567</v>
      </c>
      <c r="H1848">
        <f t="shared" si="146"/>
        <v>-5.0813266360238973E-4</v>
      </c>
      <c r="I1848">
        <f t="shared" si="145"/>
        <v>0</v>
      </c>
      <c r="J1848">
        <f t="shared" si="147"/>
        <v>2</v>
      </c>
      <c r="K1848">
        <v>-2.3153636947274198E-2</v>
      </c>
      <c r="L1848">
        <v>-1.8698624335229E-3</v>
      </c>
      <c r="M1848">
        <v>-8.0276600122452003E-3</v>
      </c>
      <c r="N1848">
        <v>-2.5894539430737998E-3</v>
      </c>
      <c r="O1848">
        <f t="shared" si="148"/>
        <v>-4.1954062879085395E-3</v>
      </c>
    </row>
    <row r="1849" spans="1:15" x14ac:dyDescent="0.35">
      <c r="A1849" t="s">
        <v>124</v>
      </c>
      <c r="B1849">
        <v>2012</v>
      </c>
      <c r="C1849">
        <v>6055300</v>
      </c>
      <c r="D1849" s="8">
        <v>0.93672275543212902</v>
      </c>
      <c r="E1849" s="8">
        <v>6.0000000000000001E-3</v>
      </c>
      <c r="F1849">
        <v>2.1688613317296701</v>
      </c>
      <c r="G1849">
        <f t="shared" si="144"/>
        <v>2.3153716712359902</v>
      </c>
      <c r="H1849">
        <f t="shared" si="146"/>
        <v>9.7529498498856171E-3</v>
      </c>
      <c r="I1849">
        <f t="shared" si="145"/>
        <v>1</v>
      </c>
      <c r="J1849">
        <f t="shared" si="147"/>
        <v>2</v>
      </c>
      <c r="K1849">
        <v>-8.0276600122452003E-3</v>
      </c>
      <c r="L1849">
        <v>-2.6750527322293E-3</v>
      </c>
      <c r="M1849">
        <v>-1.2953359261154999E-3</v>
      </c>
      <c r="N1849">
        <v>-7.4221072718501004E-3</v>
      </c>
      <c r="O1849">
        <f t="shared" si="148"/>
        <v>-4.20800652354952E-3</v>
      </c>
    </row>
    <row r="1850" spans="1:15" x14ac:dyDescent="0.35">
      <c r="A1850" t="s">
        <v>124</v>
      </c>
      <c r="B1850">
        <v>2013</v>
      </c>
      <c r="C1850">
        <v>6082910</v>
      </c>
      <c r="D1850" s="8">
        <v>0.93584614992141701</v>
      </c>
      <c r="E1850" s="8">
        <v>1.4E-2</v>
      </c>
      <c r="F1850">
        <v>2.1667371813154599</v>
      </c>
      <c r="G1850">
        <f t="shared" si="144"/>
        <v>2.3152707114277287</v>
      </c>
      <c r="H1850">
        <f t="shared" si="146"/>
        <v>-4.3604147669129567E-5</v>
      </c>
      <c r="I1850">
        <f t="shared" si="145"/>
        <v>0</v>
      </c>
      <c r="J1850">
        <f t="shared" si="147"/>
        <v>2</v>
      </c>
      <c r="K1850">
        <v>-1.2953359261154999E-3</v>
      </c>
      <c r="L1850">
        <v>-7.4221072718501004E-3</v>
      </c>
      <c r="M1850">
        <v>-2.7358841001987001E-3</v>
      </c>
      <c r="N1850">
        <v>-4.7439076006412003E-3</v>
      </c>
      <c r="O1850">
        <f t="shared" si="148"/>
        <v>-2.4685107171535194E-3</v>
      </c>
    </row>
    <row r="1851" spans="1:15" x14ac:dyDescent="0.35">
      <c r="A1851" t="s">
        <v>124</v>
      </c>
      <c r="B1851">
        <v>2014</v>
      </c>
      <c r="C1851">
        <v>6113104</v>
      </c>
      <c r="D1851" s="8">
        <v>0.93796712160110496</v>
      </c>
      <c r="E1851" s="8">
        <v>1.2E-2</v>
      </c>
      <c r="F1851">
        <v>2.1516849912303999</v>
      </c>
      <c r="G1851">
        <f t="shared" si="144"/>
        <v>2.2939876480504826</v>
      </c>
      <c r="H1851">
        <f t="shared" si="146"/>
        <v>-9.1924729459051946E-3</v>
      </c>
      <c r="I1851">
        <f t="shared" si="145"/>
        <v>0</v>
      </c>
      <c r="J1851">
        <f t="shared" si="147"/>
        <v>1</v>
      </c>
      <c r="K1851">
        <v>-2.7358841001987001E-3</v>
      </c>
      <c r="L1851">
        <v>-4.7439076006412003E-3</v>
      </c>
      <c r="M1851">
        <v>2.9466811731457699E-2</v>
      </c>
      <c r="N1851">
        <v>-7.96640291809997E-4</v>
      </c>
      <c r="O1851">
        <f t="shared" si="148"/>
        <v>-1.4250054955482205E-3</v>
      </c>
    </row>
    <row r="1852" spans="1:15" x14ac:dyDescent="0.35">
      <c r="A1852" t="s">
        <v>124</v>
      </c>
      <c r="B1852">
        <v>2015</v>
      </c>
      <c r="C1852">
        <v>6136328</v>
      </c>
      <c r="D1852" s="8">
        <v>0.93904161453247104</v>
      </c>
      <c r="E1852" s="8">
        <v>1.6E-2</v>
      </c>
      <c r="F1852">
        <v>2.23979078628712</v>
      </c>
      <c r="G1852">
        <f t="shared" si="144"/>
        <v>2.3851879955312358</v>
      </c>
      <c r="H1852">
        <f t="shared" si="146"/>
        <v>3.9756250456822961E-2</v>
      </c>
      <c r="I1852">
        <f t="shared" si="145"/>
        <v>1</v>
      </c>
      <c r="J1852">
        <f t="shared" si="147"/>
        <v>2</v>
      </c>
      <c r="K1852">
        <v>2.9466811731457699E-2</v>
      </c>
      <c r="L1852">
        <v>-7.96640291809997E-4</v>
      </c>
      <c r="M1852">
        <v>7.7286346703767904E-3</v>
      </c>
      <c r="N1852">
        <v>-5.4249223321676003E-3</v>
      </c>
      <c r="O1852">
        <f t="shared" si="148"/>
        <v>-3.7178482860326404E-3</v>
      </c>
    </row>
    <row r="1853" spans="1:15" x14ac:dyDescent="0.35">
      <c r="A1853" t="s">
        <v>124</v>
      </c>
      <c r="B1853">
        <v>2016</v>
      </c>
      <c r="C1853">
        <v>6160716</v>
      </c>
      <c r="D1853" s="8">
        <v>0.93719428777694702</v>
      </c>
      <c r="E1853" s="8">
        <v>1.4E-2</v>
      </c>
      <c r="F1853">
        <v>2.1753028201079401</v>
      </c>
      <c r="G1853">
        <f t="shared" si="144"/>
        <v>2.3210798961097208</v>
      </c>
      <c r="H1853">
        <f t="shared" si="146"/>
        <v>-2.687758765414916E-2</v>
      </c>
      <c r="I1853">
        <f t="shared" si="145"/>
        <v>0</v>
      </c>
      <c r="J1853">
        <f t="shared" si="147"/>
        <v>2</v>
      </c>
      <c r="K1853">
        <v>7.7286346703767904E-3</v>
      </c>
      <c r="L1853">
        <v>-5.4249223321676003E-3</v>
      </c>
      <c r="M1853">
        <v>1.3711833953859701E-4</v>
      </c>
      <c r="N1853">
        <v>-2.6524551212786999E-3</v>
      </c>
      <c r="O1853">
        <f t="shared" si="148"/>
        <v>-2.6207759976386831E-3</v>
      </c>
    </row>
    <row r="1854" spans="1:15" x14ac:dyDescent="0.35">
      <c r="A1854" t="s">
        <v>124</v>
      </c>
      <c r="B1854">
        <v>2017</v>
      </c>
      <c r="C1854">
        <v>6186663</v>
      </c>
      <c r="D1854" s="8">
        <v>0.93705135583877597</v>
      </c>
      <c r="E1854" s="8">
        <v>1.7999999999999999E-2</v>
      </c>
      <c r="F1854">
        <v>2.0828838155433198</v>
      </c>
      <c r="G1854">
        <f t="shared" si="144"/>
        <v>2.2228064689996452</v>
      </c>
      <c r="H1854">
        <f t="shared" si="146"/>
        <v>-4.2339527939037391E-2</v>
      </c>
      <c r="I1854">
        <f t="shared" si="145"/>
        <v>0</v>
      </c>
      <c r="J1854">
        <f t="shared" si="147"/>
        <v>1</v>
      </c>
      <c r="K1854">
        <v>1.3711833953859701E-4</v>
      </c>
      <c r="L1854">
        <v>-2.6524551212786999E-3</v>
      </c>
      <c r="M1854">
        <v>1.04103947281836E-2</v>
      </c>
      <c r="N1854">
        <v>1.2753717601299E-3</v>
      </c>
      <c r="O1854">
        <f t="shared" si="148"/>
        <v>-4.1809864342212425E-3</v>
      </c>
    </row>
    <row r="1855" spans="1:15" x14ac:dyDescent="0.35">
      <c r="A1855" t="s">
        <v>124</v>
      </c>
      <c r="B1855">
        <v>2018</v>
      </c>
      <c r="C1855">
        <v>6212725</v>
      </c>
      <c r="D1855" s="8">
        <v>0.94012361764907804</v>
      </c>
      <c r="E1855" s="8">
        <v>2.1000000000000001E-2</v>
      </c>
      <c r="F1855">
        <v>2.1410064877675099</v>
      </c>
      <c r="G1855">
        <f t="shared" si="144"/>
        <v>2.2773669840583537</v>
      </c>
      <c r="H1855">
        <f t="shared" si="146"/>
        <v>2.454577842004535E-2</v>
      </c>
      <c r="I1855">
        <f t="shared" si="145"/>
        <v>1</v>
      </c>
      <c r="J1855">
        <f t="shared" si="147"/>
        <v>2</v>
      </c>
      <c r="K1855">
        <v>1.04103947281836E-2</v>
      </c>
      <c r="L1855">
        <v>1.2753717601299E-3</v>
      </c>
      <c r="M1855">
        <v>1.82748131155968E-2</v>
      </c>
      <c r="N1855">
        <v>4.73618507385295E-4</v>
      </c>
      <c r="O1855">
        <f t="shared" si="148"/>
        <v>-4.4523973017930631E-3</v>
      </c>
    </row>
    <row r="1856" spans="1:15" x14ac:dyDescent="0.35">
      <c r="A1856" t="s">
        <v>124</v>
      </c>
      <c r="B1856">
        <v>2019</v>
      </c>
      <c r="C1856">
        <v>6234104</v>
      </c>
      <c r="D1856" s="8">
        <v>0.94243681430816695</v>
      </c>
      <c r="E1856" s="8">
        <v>1.7999999999999999E-2</v>
      </c>
      <c r="F1856">
        <v>2.1431116343554599</v>
      </c>
      <c r="G1856">
        <f t="shared" si="144"/>
        <v>2.2740109488705573</v>
      </c>
      <c r="H1856">
        <f t="shared" si="146"/>
        <v>-1.4736470719426409E-3</v>
      </c>
      <c r="I1856">
        <f t="shared" si="145"/>
        <v>0</v>
      </c>
      <c r="J1856" t="str">
        <f t="shared" si="147"/>
        <v/>
      </c>
      <c r="K1856">
        <v>1.82748131155968E-2</v>
      </c>
      <c r="L1856">
        <v>4.73618507385295E-4</v>
      </c>
      <c r="M1856">
        <v>6.5883361846208899E-3</v>
      </c>
      <c r="N1856">
        <v>-1.22608542442321E-2</v>
      </c>
      <c r="O1856">
        <f t="shared" si="148"/>
        <v>-6.0070650652050625E-3</v>
      </c>
    </row>
    <row r="1857" spans="1:15" x14ac:dyDescent="0.35">
      <c r="A1857" t="s">
        <v>124</v>
      </c>
      <c r="B1857">
        <v>2020</v>
      </c>
      <c r="C1857">
        <v>6245126</v>
      </c>
      <c r="D1857" s="8">
        <v>0.94071018695831299</v>
      </c>
      <c r="E1857" s="8">
        <v>2.5999999999999999E-2</v>
      </c>
      <c r="F1857">
        <v>2.1091501179708998</v>
      </c>
      <c r="G1857">
        <f t="shared" si="144"/>
        <v>2.2420827872509959</v>
      </c>
      <c r="H1857">
        <f t="shared" si="146"/>
        <v>-1.4040460814588096E-2</v>
      </c>
      <c r="I1857">
        <f t="shared" si="145"/>
        <v>0</v>
      </c>
      <c r="J1857" t="str">
        <f t="shared" si="147"/>
        <v/>
      </c>
      <c r="K1857">
        <v>6.5883361846208899E-3</v>
      </c>
      <c r="L1857">
        <v>-1.22608542442321E-2</v>
      </c>
      <c r="M1857">
        <v>4.3650051832199097E-2</v>
      </c>
      <c r="N1857">
        <v>6.0439109802190501E-5</v>
      </c>
      <c r="O1857">
        <f t="shared" si="148"/>
        <v>-1.2267779838293762E-2</v>
      </c>
    </row>
    <row r="1858" spans="1:15" x14ac:dyDescent="0.35">
      <c r="A1858" t="s">
        <v>124</v>
      </c>
      <c r="B1858">
        <v>2021</v>
      </c>
      <c r="C1858">
        <v>6252441</v>
      </c>
      <c r="D1858" s="8">
        <v>0.95946186780929599</v>
      </c>
      <c r="E1858" s="8">
        <v>2.1000000000000001E-2</v>
      </c>
      <c r="F1858">
        <v>2.09202156804144</v>
      </c>
      <c r="G1858">
        <f t="shared" si="144"/>
        <v>2.1804113724895351</v>
      </c>
      <c r="H1858">
        <f t="shared" si="146"/>
        <v>-2.7506305793942532E-2</v>
      </c>
      <c r="I1858">
        <f t="shared" si="145"/>
        <v>0</v>
      </c>
      <c r="J1858" t="str">
        <f t="shared" si="147"/>
        <v/>
      </c>
      <c r="K1858">
        <v>4.3650051832199097E-2</v>
      </c>
      <c r="L1858">
        <v>6.0439109802190501E-5</v>
      </c>
      <c r="M1858">
        <v>-4.25570140779018E-2</v>
      </c>
      <c r="N1858">
        <v>-1.0453507304191499E-2</v>
      </c>
      <c r="O1858">
        <f t="shared" si="148"/>
        <v>-1.98659560643136E-2</v>
      </c>
    </row>
    <row r="1859" spans="1:15" x14ac:dyDescent="0.35">
      <c r="A1859" t="s">
        <v>124</v>
      </c>
      <c r="B1859">
        <v>2022</v>
      </c>
      <c r="C1859">
        <v>6258111</v>
      </c>
      <c r="D1859" s="8">
        <v>0.94658333063125599</v>
      </c>
      <c r="E1859" s="8">
        <v>1.7999999999999999E-2</v>
      </c>
      <c r="F1859">
        <v>2.0784766845772502</v>
      </c>
      <c r="G1859">
        <f t="shared" ref="G1859:G1922" si="149">F1859/D1859</f>
        <v>2.1957672582203185</v>
      </c>
      <c r="H1859">
        <f t="shared" si="146"/>
        <v>7.0426553101539113E-3</v>
      </c>
      <c r="I1859">
        <f t="shared" ref="I1859:I1922" si="150">IF(H1859&gt;0,1,0)</f>
        <v>1</v>
      </c>
      <c r="J1859" t="str">
        <f t="shared" si="147"/>
        <v/>
      </c>
      <c r="K1859">
        <v>-4.25570140779018E-2</v>
      </c>
      <c r="L1859">
        <v>-9.9748037755489002E-3</v>
      </c>
      <c r="M1859">
        <v>-1.96406103521585E-2</v>
      </c>
      <c r="N1859">
        <v>-8.1682577729200805E-5</v>
      </c>
      <c r="O1859">
        <f t="shared" si="148"/>
        <v>-1.5803995030000784E-2</v>
      </c>
    </row>
    <row r="1860" spans="1:15" x14ac:dyDescent="0.35">
      <c r="A1860" t="s">
        <v>125</v>
      </c>
      <c r="B1860">
        <v>2006</v>
      </c>
      <c r="C1860">
        <v>3939969</v>
      </c>
      <c r="D1860" s="8">
        <v>0.92511963844299305</v>
      </c>
      <c r="E1860" s="8">
        <v>1.2999999999999999E-2</v>
      </c>
      <c r="F1860">
        <v>2.4916974210514602</v>
      </c>
      <c r="G1860">
        <f t="shared" si="149"/>
        <v>2.6933785831690584</v>
      </c>
      <c r="H1860">
        <f t="shared" ref="H1860:H1923" si="151">+G1860/G1859-1</f>
        <v>0.2266229825068331</v>
      </c>
      <c r="I1860">
        <f t="shared" si="150"/>
        <v>1</v>
      </c>
      <c r="J1860" t="str">
        <f t="shared" si="147"/>
        <v/>
      </c>
      <c r="K1860">
        <v>2.3744357407092999E-2</v>
      </c>
      <c r="L1860">
        <v>1.7381317913532202E-2</v>
      </c>
      <c r="M1860">
        <v>-8.2214762419461993E-3</v>
      </c>
      <c r="N1860">
        <v>-7.2997203096746999E-3</v>
      </c>
      <c r="O1860" t="str">
        <f t="shared" si="148"/>
        <v/>
      </c>
    </row>
    <row r="1861" spans="1:15" x14ac:dyDescent="0.35">
      <c r="A1861" t="s">
        <v>125</v>
      </c>
      <c r="B1861">
        <v>2007</v>
      </c>
      <c r="C1861">
        <v>4040162</v>
      </c>
      <c r="D1861" s="8">
        <v>0.89435559511184703</v>
      </c>
      <c r="E1861" s="8">
        <v>1.7000000000000001E-2</v>
      </c>
      <c r="F1861">
        <v>2.5109214089193799</v>
      </c>
      <c r="G1861">
        <f t="shared" si="149"/>
        <v>2.8075202108009032</v>
      </c>
      <c r="H1861">
        <f t="shared" si="151"/>
        <v>4.2378605200589448E-2</v>
      </c>
      <c r="I1861">
        <f t="shared" si="150"/>
        <v>1</v>
      </c>
      <c r="J1861" t="str">
        <f t="shared" si="147"/>
        <v/>
      </c>
      <c r="K1861">
        <v>-8.2214762419461993E-3</v>
      </c>
      <c r="L1861">
        <v>-7.2997203096746999E-3</v>
      </c>
      <c r="M1861">
        <v>-7.3075232386589098E-2</v>
      </c>
      <c r="N1861">
        <v>-4.3564428109675597E-2</v>
      </c>
      <c r="O1861" t="str">
        <f t="shared" si="148"/>
        <v/>
      </c>
    </row>
    <row r="1862" spans="1:15" x14ac:dyDescent="0.35">
      <c r="A1862" t="s">
        <v>125</v>
      </c>
      <c r="B1862">
        <v>2008</v>
      </c>
      <c r="C1862">
        <v>4118356</v>
      </c>
      <c r="D1862" s="8">
        <v>0.87782853841781605</v>
      </c>
      <c r="E1862" s="8">
        <v>3.4000000000000002E-2</v>
      </c>
      <c r="F1862">
        <v>2.5304129290181998</v>
      </c>
      <c r="G1862">
        <f t="shared" si="149"/>
        <v>2.8825822108483452</v>
      </c>
      <c r="H1862">
        <f t="shared" si="151"/>
        <v>2.6736049756175717E-2</v>
      </c>
      <c r="I1862">
        <f t="shared" si="150"/>
        <v>1</v>
      </c>
      <c r="J1862" t="str">
        <f t="shared" si="147"/>
        <v/>
      </c>
      <c r="K1862">
        <v>-7.3075232386589098E-2</v>
      </c>
      <c r="L1862">
        <v>-4.3564428109675597E-2</v>
      </c>
      <c r="M1862">
        <v>-6.4497143685817701E-2</v>
      </c>
      <c r="N1862">
        <v>-3.7930442020297002E-2</v>
      </c>
      <c r="O1862" t="str">
        <f t="shared" si="148"/>
        <v/>
      </c>
    </row>
    <row r="1863" spans="1:15" x14ac:dyDescent="0.35">
      <c r="A1863" t="s">
        <v>125</v>
      </c>
      <c r="B1863">
        <v>2009</v>
      </c>
      <c r="C1863">
        <v>4165369.25</v>
      </c>
      <c r="D1863" s="8">
        <v>0.87123697996139504</v>
      </c>
      <c r="E1863" s="8">
        <v>2.4E-2</v>
      </c>
      <c r="F1863">
        <v>2.5701708124287199</v>
      </c>
      <c r="G1863">
        <f t="shared" si="149"/>
        <v>2.950024931841857</v>
      </c>
      <c r="H1863">
        <f t="shared" si="151"/>
        <v>2.3396634010886874E-2</v>
      </c>
      <c r="I1863">
        <f t="shared" si="150"/>
        <v>1</v>
      </c>
      <c r="J1863" t="str">
        <f t="shared" ref="J1863:J1926" si="152">IF(AND(B1863&gt;=2010,B1863&lt;=2018),SUM(I1859:I1863),"")</f>
        <v/>
      </c>
      <c r="K1863">
        <v>-6.4497143685817701E-2</v>
      </c>
      <c r="L1863">
        <v>-3.7930442020297002E-2</v>
      </c>
      <c r="M1863">
        <v>3.9618910849089798E-4</v>
      </c>
      <c r="N1863">
        <v>9.85629786737258E-3</v>
      </c>
      <c r="O1863" t="str">
        <f t="shared" ref="O1863:O1926" si="153">IF(B1863&gt;=2010,AVERAGE(N1863:N1867),"")</f>
        <v/>
      </c>
    </row>
    <row r="1864" spans="1:15" x14ac:dyDescent="0.35">
      <c r="A1864" t="s">
        <v>125</v>
      </c>
      <c r="B1864">
        <v>2010</v>
      </c>
      <c r="C1864">
        <v>4207301</v>
      </c>
      <c r="D1864" s="8">
        <v>0.89023494720458995</v>
      </c>
      <c r="E1864" s="8">
        <v>0</v>
      </c>
      <c r="F1864">
        <v>2.5899074295599598</v>
      </c>
      <c r="G1864">
        <f t="shared" si="149"/>
        <v>2.9092403501934849</v>
      </c>
      <c r="H1864">
        <f t="shared" si="151"/>
        <v>-1.3825165071709389E-2</v>
      </c>
      <c r="I1864">
        <f t="shared" si="150"/>
        <v>0</v>
      </c>
      <c r="J1864">
        <f t="shared" si="152"/>
        <v>4</v>
      </c>
      <c r="K1864">
        <v>3.9618910849089798E-4</v>
      </c>
      <c r="L1864">
        <v>9.85629786737258E-3</v>
      </c>
      <c r="M1864">
        <v>-1.9079500220716E-2</v>
      </c>
      <c r="N1864">
        <v>2.2042742930353E-3</v>
      </c>
      <c r="O1864">
        <f t="shared" si="153"/>
        <v>7.922768685966735E-3</v>
      </c>
    </row>
    <row r="1865" spans="1:15" x14ac:dyDescent="0.35">
      <c r="A1865" t="s">
        <v>125</v>
      </c>
      <c r="B1865">
        <v>2011</v>
      </c>
      <c r="C1865">
        <v>4243959</v>
      </c>
      <c r="D1865" s="8">
        <v>0.90227365493774403</v>
      </c>
      <c r="E1865" s="8">
        <v>0</v>
      </c>
      <c r="F1865">
        <v>2.55893690968675</v>
      </c>
      <c r="G1865">
        <f t="shared" si="149"/>
        <v>2.8360984449482944</v>
      </c>
      <c r="H1865">
        <f t="shared" si="151"/>
        <v>-2.5141238413088129E-2</v>
      </c>
      <c r="I1865">
        <f t="shared" si="150"/>
        <v>0</v>
      </c>
      <c r="J1865">
        <f t="shared" si="152"/>
        <v>3</v>
      </c>
      <c r="K1865">
        <v>-1.9079500220716E-2</v>
      </c>
      <c r="L1865">
        <v>2.2042742930353E-3</v>
      </c>
      <c r="M1865">
        <v>-2.9199703633785001E-3</v>
      </c>
      <c r="N1865">
        <v>2.51823570579289E-3</v>
      </c>
      <c r="O1865">
        <f t="shared" si="153"/>
        <v>1.0371859185397616E-2</v>
      </c>
    </row>
    <row r="1866" spans="1:15" x14ac:dyDescent="0.35">
      <c r="A1866" t="s">
        <v>125</v>
      </c>
      <c r="B1866">
        <v>2012</v>
      </c>
      <c r="C1866">
        <v>4301633</v>
      </c>
      <c r="D1866" s="8">
        <v>0.91559576988220204</v>
      </c>
      <c r="E1866" s="8">
        <v>2E-3</v>
      </c>
      <c r="F1866">
        <v>2.5465208205776801</v>
      </c>
      <c r="G1866">
        <f t="shared" si="149"/>
        <v>2.7812719371839258</v>
      </c>
      <c r="H1866">
        <f t="shared" si="151"/>
        <v>-1.9331665958925548E-2</v>
      </c>
      <c r="I1866">
        <f t="shared" si="150"/>
        <v>0</v>
      </c>
      <c r="J1866">
        <f t="shared" si="152"/>
        <v>2</v>
      </c>
      <c r="K1866">
        <v>-2.9199703633785001E-3</v>
      </c>
      <c r="L1866">
        <v>2.4326369166373998E-3</v>
      </c>
      <c r="M1866">
        <v>8.7337015569209902E-3</v>
      </c>
      <c r="N1866">
        <v>2.6069302111863899E-3</v>
      </c>
      <c r="O1866">
        <f t="shared" si="153"/>
        <v>1.3226202130317699E-2</v>
      </c>
    </row>
    <row r="1867" spans="1:15" x14ac:dyDescent="0.35">
      <c r="A1867" t="s">
        <v>125</v>
      </c>
      <c r="B1867">
        <v>2013</v>
      </c>
      <c r="C1867">
        <v>4358818</v>
      </c>
      <c r="D1867" s="8">
        <v>0.92094480991363503</v>
      </c>
      <c r="E1867" s="8">
        <v>0.01</v>
      </c>
      <c r="F1867">
        <v>2.5906097710663101</v>
      </c>
      <c r="G1867">
        <f t="shared" si="149"/>
        <v>2.8129913358317897</v>
      </c>
      <c r="H1867">
        <f t="shared" si="151"/>
        <v>1.1404637649341076E-2</v>
      </c>
      <c r="I1867">
        <f t="shared" si="150"/>
        <v>1</v>
      </c>
      <c r="J1867">
        <f t="shared" si="152"/>
        <v>2</v>
      </c>
      <c r="K1867">
        <v>8.7337015569209902E-3</v>
      </c>
      <c r="L1867">
        <v>2.6069302111863899E-3</v>
      </c>
      <c r="M1867">
        <v>1.2363136574626E-2</v>
      </c>
      <c r="N1867">
        <v>1.03551130741834E-2</v>
      </c>
      <c r="O1867">
        <f t="shared" si="153"/>
        <v>1.9685179367661499E-2</v>
      </c>
    </row>
    <row r="1868" spans="1:15" x14ac:dyDescent="0.35">
      <c r="A1868" t="s">
        <v>125</v>
      </c>
      <c r="B1868">
        <v>2014</v>
      </c>
      <c r="C1868">
        <v>4427369</v>
      </c>
      <c r="D1868" s="8">
        <v>0.92220377922058105</v>
      </c>
      <c r="E1868" s="8">
        <v>2.4E-2</v>
      </c>
      <c r="F1868">
        <v>2.5833896740321398</v>
      </c>
      <c r="G1868">
        <f t="shared" si="149"/>
        <v>2.8013219336571611</v>
      </c>
      <c r="H1868">
        <f t="shared" si="151"/>
        <v>-4.148396060088877E-3</v>
      </c>
      <c r="I1868">
        <f t="shared" si="150"/>
        <v>0</v>
      </c>
      <c r="J1868">
        <f t="shared" si="152"/>
        <v>1</v>
      </c>
      <c r="K1868">
        <v>1.2363136574626E-2</v>
      </c>
      <c r="L1868">
        <v>1.03551130741834E-2</v>
      </c>
      <c r="M1868">
        <v>5.2192742168903399E-2</v>
      </c>
      <c r="N1868">
        <v>2.1929290145635699E-2</v>
      </c>
      <c r="O1868">
        <f t="shared" si="153"/>
        <v>2.4586828798055675E-2</v>
      </c>
    </row>
    <row r="1869" spans="1:15" x14ac:dyDescent="0.35">
      <c r="A1869" t="s">
        <v>125</v>
      </c>
      <c r="B1869">
        <v>2015</v>
      </c>
      <c r="C1869">
        <v>4499213</v>
      </c>
      <c r="D1869" s="8">
        <v>0.924982368946075</v>
      </c>
      <c r="E1869" s="8">
        <v>2.1999999999999999E-2</v>
      </c>
      <c r="F1869">
        <v>2.5699579389616201</v>
      </c>
      <c r="G1869">
        <f t="shared" si="149"/>
        <v>2.7783858646839188</v>
      </c>
      <c r="H1869">
        <f t="shared" si="151"/>
        <v>-8.1875876876810194E-3</v>
      </c>
      <c r="I1869">
        <f t="shared" si="150"/>
        <v>0</v>
      </c>
      <c r="J1869">
        <f t="shared" si="152"/>
        <v>1</v>
      </c>
      <c r="K1869">
        <v>5.2192742168903399E-2</v>
      </c>
      <c r="L1869">
        <v>2.1929290145635699E-2</v>
      </c>
      <c r="M1869">
        <v>2.76032837927341E-2</v>
      </c>
      <c r="N1869">
        <v>1.44497267901897E-2</v>
      </c>
      <c r="O1869">
        <f t="shared" si="153"/>
        <v>2.5068790093064296E-2</v>
      </c>
    </row>
    <row r="1870" spans="1:15" x14ac:dyDescent="0.35">
      <c r="A1870" t="s">
        <v>125</v>
      </c>
      <c r="B1870">
        <v>2016</v>
      </c>
      <c r="C1870">
        <v>4572998</v>
      </c>
      <c r="D1870" s="8">
        <v>0.92648541927337602</v>
      </c>
      <c r="E1870" s="8">
        <v>1.4999999999999999E-2</v>
      </c>
      <c r="F1870">
        <v>2.6203168656337299</v>
      </c>
      <c r="G1870">
        <f t="shared" si="149"/>
        <v>2.8282332469827662</v>
      </c>
      <c r="H1870">
        <f t="shared" si="151"/>
        <v>1.7941130111716275E-2</v>
      </c>
      <c r="I1870">
        <f t="shared" si="150"/>
        <v>1</v>
      </c>
      <c r="J1870">
        <f t="shared" si="152"/>
        <v>2</v>
      </c>
      <c r="K1870">
        <v>2.76032837927341E-2</v>
      </c>
      <c r="L1870">
        <v>1.44497267901897E-2</v>
      </c>
      <c r="M1870">
        <v>1.9579523891210499E-2</v>
      </c>
      <c r="N1870">
        <v>1.6789950430393299E-2</v>
      </c>
      <c r="O1870">
        <f t="shared" si="153"/>
        <v>3.7625474855303778E-2</v>
      </c>
    </row>
    <row r="1871" spans="1:15" x14ac:dyDescent="0.35">
      <c r="A1871" t="s">
        <v>125</v>
      </c>
      <c r="B1871">
        <v>2017</v>
      </c>
      <c r="C1871">
        <v>4640609</v>
      </c>
      <c r="D1871" s="8">
        <v>0.92852461338043202</v>
      </c>
      <c r="E1871" s="8">
        <v>2.1000000000000001E-2</v>
      </c>
      <c r="F1871">
        <v>2.4948473137834299</v>
      </c>
      <c r="G1871">
        <f t="shared" si="149"/>
        <v>2.6868941090323575</v>
      </c>
      <c r="H1871">
        <f t="shared" si="151"/>
        <v>-4.9974356995199365E-2</v>
      </c>
      <c r="I1871">
        <f t="shared" si="150"/>
        <v>0</v>
      </c>
      <c r="J1871">
        <f t="shared" si="152"/>
        <v>2</v>
      </c>
      <c r="K1871">
        <v>1.9579523891210499E-2</v>
      </c>
      <c r="L1871">
        <v>1.6789950430393299E-2</v>
      </c>
      <c r="M1871">
        <v>4.4036839365959098E-2</v>
      </c>
      <c r="N1871">
        <v>3.4901816397905398E-2</v>
      </c>
      <c r="O1871">
        <f t="shared" si="153"/>
        <v>2.5430444162339E-2</v>
      </c>
    </row>
    <row r="1872" spans="1:15" x14ac:dyDescent="0.35">
      <c r="A1872" t="s">
        <v>125</v>
      </c>
      <c r="B1872">
        <v>2018</v>
      </c>
      <c r="C1872">
        <v>4715284</v>
      </c>
      <c r="D1872" s="8">
        <v>0.93315732479095503</v>
      </c>
      <c r="E1872" s="8">
        <v>2.9000000000000001E-2</v>
      </c>
      <c r="F1872">
        <v>2.52017912668494</v>
      </c>
      <c r="G1872">
        <f t="shared" si="149"/>
        <v>2.7007012212538846</v>
      </c>
      <c r="H1872">
        <f t="shared" si="151"/>
        <v>5.1386886349977789E-3</v>
      </c>
      <c r="I1872">
        <f t="shared" si="150"/>
        <v>1</v>
      </c>
      <c r="J1872">
        <f t="shared" si="152"/>
        <v>2</v>
      </c>
      <c r="K1872">
        <v>4.4036839365959098E-2</v>
      </c>
      <c r="L1872">
        <v>3.4901816397905398E-2</v>
      </c>
      <c r="M1872">
        <v>5.2664554834365801E-2</v>
      </c>
      <c r="N1872">
        <v>3.48633602261543E-2</v>
      </c>
      <c r="O1872">
        <f t="shared" si="153"/>
        <v>9.7055776976049182E-3</v>
      </c>
    </row>
    <row r="1873" spans="1:15" x14ac:dyDescent="0.35">
      <c r="A1873" t="s">
        <v>125</v>
      </c>
      <c r="B1873">
        <v>2019</v>
      </c>
      <c r="C1873">
        <v>4802028</v>
      </c>
      <c r="D1873" s="8">
        <v>0.932151198387146</v>
      </c>
      <c r="E1873" s="8">
        <v>2.8000000000000001E-2</v>
      </c>
      <c r="F1873">
        <v>2.4896704381708901</v>
      </c>
      <c r="G1873">
        <f t="shared" si="149"/>
        <v>2.6708869145677663</v>
      </c>
      <c r="H1873">
        <f t="shared" si="151"/>
        <v>-1.1039468731856239E-2</v>
      </c>
      <c r="I1873">
        <f t="shared" si="150"/>
        <v>0</v>
      </c>
      <c r="J1873" t="str">
        <f t="shared" si="152"/>
        <v/>
      </c>
      <c r="K1873">
        <v>5.2664554834365801E-2</v>
      </c>
      <c r="L1873">
        <v>3.48633602261543E-2</v>
      </c>
      <c r="M1873">
        <v>4.3188287049531898E-2</v>
      </c>
      <c r="N1873">
        <v>2.4339096620678801E-2</v>
      </c>
      <c r="O1873">
        <f t="shared" si="153"/>
        <v>1.7896492965519817E-3</v>
      </c>
    </row>
    <row r="1874" spans="1:15" x14ac:dyDescent="0.35">
      <c r="A1874" t="s">
        <v>125</v>
      </c>
      <c r="B1874">
        <v>2020</v>
      </c>
      <c r="C1874">
        <v>4893875</v>
      </c>
      <c r="D1874" s="8">
        <v>0.93954735994339</v>
      </c>
      <c r="E1874" s="8">
        <v>2.5000000000000001E-2</v>
      </c>
      <c r="F1874">
        <v>2.3823203229974901</v>
      </c>
      <c r="G1874">
        <f t="shared" si="149"/>
        <v>2.5356042968829486</v>
      </c>
      <c r="H1874">
        <f t="shared" si="151"/>
        <v>-5.0650821997347939E-2</v>
      </c>
      <c r="I1874">
        <f t="shared" si="150"/>
        <v>0</v>
      </c>
      <c r="J1874" t="str">
        <f t="shared" si="152"/>
        <v/>
      </c>
      <c r="K1874">
        <v>4.3188287049531898E-2</v>
      </c>
      <c r="L1874">
        <v>2.4339096620678801E-2</v>
      </c>
      <c r="M1874">
        <v>0.120822763323784</v>
      </c>
      <c r="N1874">
        <v>7.7233150601387093E-2</v>
      </c>
      <c r="O1874">
        <f t="shared" si="153"/>
        <v>-2.9228620231151006E-3</v>
      </c>
    </row>
    <row r="1875" spans="1:15" x14ac:dyDescent="0.35">
      <c r="A1875" t="s">
        <v>125</v>
      </c>
      <c r="B1875">
        <v>2021</v>
      </c>
      <c r="C1875">
        <v>4968305</v>
      </c>
      <c r="D1875" s="8">
        <v>0.93936419486999501</v>
      </c>
      <c r="E1875" s="8">
        <v>3.5999999999999997E-2</v>
      </c>
      <c r="F1875">
        <v>2.4590924347733498</v>
      </c>
      <c r="G1875">
        <f t="shared" si="149"/>
        <v>2.6178264492119379</v>
      </c>
      <c r="H1875">
        <f t="shared" si="151"/>
        <v>3.2427044089673673E-2</v>
      </c>
      <c r="I1875">
        <f t="shared" si="150"/>
        <v>1</v>
      </c>
      <c r="J1875" t="str">
        <f t="shared" si="152"/>
        <v/>
      </c>
      <c r="K1875">
        <v>0.120822763323784</v>
      </c>
      <c r="L1875">
        <v>7.7233150601387093E-2</v>
      </c>
      <c r="M1875">
        <v>-7.6288709808140995E-2</v>
      </c>
      <c r="N1875">
        <v>-4.4185203034430597E-2</v>
      </c>
      <c r="O1875">
        <f t="shared" si="153"/>
        <v>-1.51531787589192E-2</v>
      </c>
    </row>
    <row r="1876" spans="1:15" x14ac:dyDescent="0.35">
      <c r="A1876" t="s">
        <v>125</v>
      </c>
      <c r="B1876">
        <v>2022</v>
      </c>
      <c r="C1876">
        <v>5047042</v>
      </c>
      <c r="D1876" s="8">
        <v>0.90740054845809903</v>
      </c>
      <c r="E1876" s="8">
        <v>4.3999999999999997E-2</v>
      </c>
      <c r="F1876">
        <v>2.4394526745109002</v>
      </c>
      <c r="G1876">
        <f t="shared" si="149"/>
        <v>2.6883967379743616</v>
      </c>
      <c r="H1876">
        <f t="shared" si="151"/>
        <v>2.6957588721616021E-2</v>
      </c>
      <c r="I1876">
        <f t="shared" si="150"/>
        <v>1</v>
      </c>
      <c r="J1876" t="str">
        <f t="shared" si="152"/>
        <v/>
      </c>
      <c r="K1876">
        <v>-7.6288709808140995E-2</v>
      </c>
      <c r="L1876">
        <v>-4.3706499505787998E-2</v>
      </c>
      <c r="M1876">
        <v>-6.3281443700194395E-2</v>
      </c>
      <c r="N1876">
        <v>-4.3722515925765003E-2</v>
      </c>
      <c r="O1876">
        <f t="shared" si="153"/>
        <v>-3.9666014257818613E-3</v>
      </c>
    </row>
    <row r="1877" spans="1:15" x14ac:dyDescent="0.35">
      <c r="A1877" t="s">
        <v>126</v>
      </c>
      <c r="B1877">
        <v>2006</v>
      </c>
      <c r="C1877">
        <v>2362625</v>
      </c>
      <c r="D1877" s="8">
        <v>0.90065312385559104</v>
      </c>
      <c r="E1877" s="8">
        <v>4.0000000000000001E-3</v>
      </c>
      <c r="F1877">
        <v>1.85606549369958</v>
      </c>
      <c r="G1877">
        <f t="shared" si="149"/>
        <v>2.0607994848826814</v>
      </c>
      <c r="H1877">
        <f t="shared" si="151"/>
        <v>-0.2334466651542505</v>
      </c>
      <c r="I1877">
        <f t="shared" si="150"/>
        <v>0</v>
      </c>
      <c r="J1877" t="str">
        <f t="shared" si="152"/>
        <v/>
      </c>
      <c r="K1877">
        <v>-1.17426108270884E-2</v>
      </c>
      <c r="L1877">
        <v>-1.8105650320649199E-2</v>
      </c>
      <c r="M1877">
        <v>-5.6380377113818998E-3</v>
      </c>
      <c r="N1877">
        <v>-4.71628177911039E-3</v>
      </c>
      <c r="O1877" t="str">
        <f t="shared" si="153"/>
        <v/>
      </c>
    </row>
    <row r="1878" spans="1:15" x14ac:dyDescent="0.35">
      <c r="A1878" t="s">
        <v>126</v>
      </c>
      <c r="B1878">
        <v>2007</v>
      </c>
      <c r="C1878">
        <v>2358370</v>
      </c>
      <c r="D1878" s="8">
        <v>0.90847617387771595</v>
      </c>
      <c r="E1878" s="8">
        <v>2E-3</v>
      </c>
      <c r="F1878">
        <v>1.93064927806241</v>
      </c>
      <c r="G1878">
        <f t="shared" si="149"/>
        <v>2.1251512517072157</v>
      </c>
      <c r="H1878">
        <f t="shared" si="151"/>
        <v>3.1226602731899478E-2</v>
      </c>
      <c r="I1878">
        <f t="shared" si="150"/>
        <v>1</v>
      </c>
      <c r="J1878" t="str">
        <f t="shared" si="152"/>
        <v/>
      </c>
      <c r="K1878">
        <v>-5.6380377113818998E-3</v>
      </c>
      <c r="L1878">
        <v>-4.71628177911039E-3</v>
      </c>
      <c r="M1878">
        <v>-2.8734264254569999E-2</v>
      </c>
      <c r="N1878">
        <v>7.7654002234339302E-4</v>
      </c>
      <c r="O1878" t="str">
        <f t="shared" si="153"/>
        <v/>
      </c>
    </row>
    <row r="1879" spans="1:15" x14ac:dyDescent="0.35">
      <c r="A1879" t="s">
        <v>126</v>
      </c>
      <c r="B1879">
        <v>2008</v>
      </c>
      <c r="C1879">
        <v>2356560</v>
      </c>
      <c r="D1879" s="8">
        <v>0.92974656820297197</v>
      </c>
      <c r="E1879" s="8">
        <v>2E-3</v>
      </c>
      <c r="F1879">
        <v>1.9744703480569901</v>
      </c>
      <c r="G1879">
        <f t="shared" si="149"/>
        <v>2.1236651100237731</v>
      </c>
      <c r="H1879">
        <f t="shared" si="151"/>
        <v>-6.993110171564787E-4</v>
      </c>
      <c r="I1879">
        <f t="shared" si="150"/>
        <v>0</v>
      </c>
      <c r="J1879" t="str">
        <f t="shared" si="152"/>
        <v/>
      </c>
      <c r="K1879">
        <v>-2.8734264254569999E-2</v>
      </c>
      <c r="L1879">
        <v>7.7654002234339302E-4</v>
      </c>
      <c r="M1879">
        <v>-1.0485134743154E-2</v>
      </c>
      <c r="N1879">
        <v>1.6081566922366598E-2</v>
      </c>
      <c r="O1879" t="str">
        <f t="shared" si="153"/>
        <v/>
      </c>
    </row>
    <row r="1880" spans="1:15" x14ac:dyDescent="0.35">
      <c r="A1880" t="s">
        <v>126</v>
      </c>
      <c r="B1880">
        <v>2009</v>
      </c>
      <c r="C1880">
        <v>2356374</v>
      </c>
      <c r="D1880" s="8">
        <v>0.93570989370346103</v>
      </c>
      <c r="E1880" s="8">
        <v>4.0000000000000001E-3</v>
      </c>
      <c r="F1880">
        <v>1.92076678189345</v>
      </c>
      <c r="G1880">
        <f t="shared" si="149"/>
        <v>2.0527374935528537</v>
      </c>
      <c r="H1880">
        <f t="shared" si="151"/>
        <v>-3.3398682370463506E-2</v>
      </c>
      <c r="I1880">
        <f t="shared" si="150"/>
        <v>0</v>
      </c>
      <c r="J1880" t="str">
        <f t="shared" si="152"/>
        <v/>
      </c>
      <c r="K1880">
        <v>-1.0485134743154E-2</v>
      </c>
      <c r="L1880">
        <v>1.6081566922366598E-2</v>
      </c>
      <c r="M1880">
        <v>2.28757487237449E-3</v>
      </c>
      <c r="N1880">
        <v>1.17476836312561E-2</v>
      </c>
      <c r="O1880" t="str">
        <f t="shared" si="153"/>
        <v/>
      </c>
    </row>
    <row r="1881" spans="1:15" x14ac:dyDescent="0.35">
      <c r="A1881" t="s">
        <v>126</v>
      </c>
      <c r="B1881">
        <v>2010</v>
      </c>
      <c r="C1881">
        <v>2361062</v>
      </c>
      <c r="D1881" s="8">
        <v>0.93808460235595703</v>
      </c>
      <c r="E1881" s="8">
        <v>2E-3</v>
      </c>
      <c r="F1881">
        <v>1.9116896357878299</v>
      </c>
      <c r="G1881">
        <f t="shared" si="149"/>
        <v>2.0378648482095407</v>
      </c>
      <c r="H1881">
        <f t="shared" si="151"/>
        <v>-7.2452738794046567E-3</v>
      </c>
      <c r="I1881">
        <f t="shared" si="150"/>
        <v>0</v>
      </c>
      <c r="J1881">
        <f t="shared" si="152"/>
        <v>1</v>
      </c>
      <c r="K1881">
        <v>2.28757487237449E-3</v>
      </c>
      <c r="L1881">
        <v>1.17476836312561E-2</v>
      </c>
      <c r="M1881">
        <v>-2.1097380079329001E-2</v>
      </c>
      <c r="N1881">
        <v>1.8639443442229899E-4</v>
      </c>
      <c r="O1881">
        <f t="shared" si="153"/>
        <v>-7.7583765611052135E-3</v>
      </c>
    </row>
    <row r="1882" spans="1:15" x14ac:dyDescent="0.35">
      <c r="A1882" t="s">
        <v>126</v>
      </c>
      <c r="B1882">
        <v>2011</v>
      </c>
      <c r="C1882">
        <v>2369409</v>
      </c>
      <c r="D1882" s="8">
        <v>0.94029128551483199</v>
      </c>
      <c r="E1882" s="8">
        <v>2E-3</v>
      </c>
      <c r="F1882">
        <v>1.9298957498537499</v>
      </c>
      <c r="G1882">
        <f t="shared" si="149"/>
        <v>2.0524445771047275</v>
      </c>
      <c r="H1882">
        <f t="shared" si="151"/>
        <v>7.1544140466412998E-3</v>
      </c>
      <c r="I1882">
        <f t="shared" si="150"/>
        <v>1</v>
      </c>
      <c r="J1882">
        <f t="shared" si="152"/>
        <v>2</v>
      </c>
      <c r="K1882">
        <v>-2.1097380079329001E-2</v>
      </c>
      <c r="L1882">
        <v>1.8639443442229899E-4</v>
      </c>
      <c r="M1882">
        <v>-1.1768132731318401E-2</v>
      </c>
      <c r="N1882">
        <v>-6.3299266621470703E-3</v>
      </c>
      <c r="O1882">
        <f t="shared" si="153"/>
        <v>-9.8599025048315136E-3</v>
      </c>
    </row>
    <row r="1883" spans="1:15" x14ac:dyDescent="0.35">
      <c r="A1883" t="s">
        <v>126</v>
      </c>
      <c r="B1883">
        <v>2012</v>
      </c>
      <c r="C1883">
        <v>2375563</v>
      </c>
      <c r="D1883" s="8">
        <v>0.94139349460601796</v>
      </c>
      <c r="E1883" s="8">
        <v>6.0000000000000001E-3</v>
      </c>
      <c r="F1883">
        <v>1.92852762483705</v>
      </c>
      <c r="G1883">
        <f t="shared" si="149"/>
        <v>2.0485882214898425</v>
      </c>
      <c r="H1883">
        <f t="shared" si="151"/>
        <v>-1.8789085259125482E-3</v>
      </c>
      <c r="I1883">
        <f t="shared" si="150"/>
        <v>0</v>
      </c>
      <c r="J1883">
        <f t="shared" si="152"/>
        <v>1</v>
      </c>
      <c r="K1883">
        <v>-1.1768132731318401E-2</v>
      </c>
      <c r="L1883">
        <v>-6.41552545130257E-3</v>
      </c>
      <c r="M1883">
        <v>-2.73994296789169E-3</v>
      </c>
      <c r="N1883">
        <v>-8.8667143136262998E-3</v>
      </c>
      <c r="O1883">
        <f t="shared" si="153"/>
        <v>-1.1170454602688498E-2</v>
      </c>
    </row>
    <row r="1884" spans="1:15" x14ac:dyDescent="0.35">
      <c r="A1884" t="s">
        <v>126</v>
      </c>
      <c r="B1884">
        <v>2013</v>
      </c>
      <c r="C1884">
        <v>2379831</v>
      </c>
      <c r="D1884" s="8">
        <v>0.93989795446395896</v>
      </c>
      <c r="E1884" s="8">
        <v>8.9999999999999993E-3</v>
      </c>
      <c r="F1884">
        <v>1.9120489183621701</v>
      </c>
      <c r="G1884">
        <f t="shared" si="149"/>
        <v>2.0343154374164443</v>
      </c>
      <c r="H1884">
        <f t="shared" si="151"/>
        <v>-6.9671317660013887E-3</v>
      </c>
      <c r="I1884">
        <f t="shared" si="150"/>
        <v>0</v>
      </c>
      <c r="J1884">
        <f t="shared" si="152"/>
        <v>1</v>
      </c>
      <c r="K1884">
        <v>-2.73994296789169E-3</v>
      </c>
      <c r="L1884">
        <v>-8.8667143136262998E-3</v>
      </c>
      <c r="M1884">
        <v>-1.0931442197412201E-2</v>
      </c>
      <c r="N1884">
        <v>-1.29394656978547E-2</v>
      </c>
      <c r="O1884">
        <f t="shared" si="153"/>
        <v>-8.7163879536091803E-3</v>
      </c>
    </row>
    <row r="1885" spans="1:15" x14ac:dyDescent="0.35">
      <c r="A1885" t="s">
        <v>126</v>
      </c>
      <c r="B1885">
        <v>2014</v>
      </c>
      <c r="C1885">
        <v>2381261</v>
      </c>
      <c r="D1885" s="8">
        <v>0.93610519170761097</v>
      </c>
      <c r="E1885" s="8">
        <v>1.7000000000000001E-2</v>
      </c>
      <c r="F1885">
        <v>1.9298958648604601</v>
      </c>
      <c r="G1885">
        <f t="shared" si="149"/>
        <v>2.0616228624264012</v>
      </c>
      <c r="H1885">
        <f t="shared" si="151"/>
        <v>1.3423397624430011E-2</v>
      </c>
      <c r="I1885">
        <f t="shared" si="150"/>
        <v>1</v>
      </c>
      <c r="J1885">
        <f t="shared" si="152"/>
        <v>2</v>
      </c>
      <c r="K1885">
        <v>-1.0931442197412201E-2</v>
      </c>
      <c r="L1885">
        <v>-1.29394656978547E-2</v>
      </c>
      <c r="M1885">
        <v>1.9421281456947201E-2</v>
      </c>
      <c r="N1885">
        <v>-1.08421705663203E-2</v>
      </c>
      <c r="O1885">
        <f t="shared" si="153"/>
        <v>-6.9374416023492399E-3</v>
      </c>
    </row>
    <row r="1886" spans="1:15" x14ac:dyDescent="0.35">
      <c r="A1886" t="s">
        <v>126</v>
      </c>
      <c r="B1886">
        <v>2015</v>
      </c>
      <c r="C1886">
        <v>2378913</v>
      </c>
      <c r="D1886" s="8">
        <v>0.92291736602783203</v>
      </c>
      <c r="E1886" s="8">
        <v>3.2000000000000001E-2</v>
      </c>
      <c r="F1886">
        <v>1.9286142670950801</v>
      </c>
      <c r="G1886">
        <f t="shared" si="149"/>
        <v>2.0896933334299397</v>
      </c>
      <c r="H1886">
        <f t="shared" si="151"/>
        <v>1.3615715810650908E-2</v>
      </c>
      <c r="I1886">
        <f t="shared" si="150"/>
        <v>1</v>
      </c>
      <c r="J1886">
        <f t="shared" si="152"/>
        <v>3</v>
      </c>
      <c r="K1886">
        <v>1.9421281456947201E-2</v>
      </c>
      <c r="L1886">
        <v>-1.08421705663203E-2</v>
      </c>
      <c r="M1886">
        <v>2.8323217183352E-3</v>
      </c>
      <c r="N1886">
        <v>-1.0321235284209199E-2</v>
      </c>
      <c r="O1886">
        <f t="shared" si="153"/>
        <v>-1.031433031894264E-2</v>
      </c>
    </row>
    <row r="1887" spans="1:15" x14ac:dyDescent="0.35">
      <c r="A1887" t="s">
        <v>126</v>
      </c>
      <c r="B1887">
        <v>2016</v>
      </c>
      <c r="C1887">
        <v>2376518</v>
      </c>
      <c r="D1887" s="8">
        <v>0.91882574558258101</v>
      </c>
      <c r="E1887" s="8">
        <v>2.3E-2</v>
      </c>
      <c r="F1887">
        <v>1.88256886331052</v>
      </c>
      <c r="G1887">
        <f t="shared" si="149"/>
        <v>2.0488856264218827</v>
      </c>
      <c r="H1887">
        <f t="shared" si="151"/>
        <v>-1.9528084028041071E-2</v>
      </c>
      <c r="I1887">
        <f t="shared" si="150"/>
        <v>0</v>
      </c>
      <c r="J1887">
        <f t="shared" si="152"/>
        <v>2</v>
      </c>
      <c r="K1887">
        <v>2.8323217183352E-3</v>
      </c>
      <c r="L1887">
        <v>-1.0321235284209199E-2</v>
      </c>
      <c r="M1887">
        <v>-1.00931136906147E-2</v>
      </c>
      <c r="N1887">
        <v>-1.2882687151431999E-2</v>
      </c>
      <c r="O1887">
        <f t="shared" si="153"/>
        <v>-1.4441711688414219E-2</v>
      </c>
    </row>
    <row r="1888" spans="1:15" x14ac:dyDescent="0.35">
      <c r="A1888" t="s">
        <v>126</v>
      </c>
      <c r="B1888">
        <v>2017</v>
      </c>
      <c r="C1888">
        <v>2372210</v>
      </c>
      <c r="D1888" s="8">
        <v>0.92590582370758101</v>
      </c>
      <c r="E1888" s="8">
        <v>2.1999999999999999E-2</v>
      </c>
      <c r="F1888">
        <v>1.8923998598307099</v>
      </c>
      <c r="G1888">
        <f t="shared" si="149"/>
        <v>2.043836221110503</v>
      </c>
      <c r="H1888">
        <f t="shared" si="151"/>
        <v>-2.4644642171646192E-3</v>
      </c>
      <c r="I1888">
        <f t="shared" si="150"/>
        <v>0</v>
      </c>
      <c r="J1888">
        <f t="shared" si="152"/>
        <v>2</v>
      </c>
      <c r="K1888">
        <v>-1.00931136906147E-2</v>
      </c>
      <c r="L1888">
        <v>-1.2882687151431999E-2</v>
      </c>
      <c r="M1888">
        <v>1.25386418998241E-2</v>
      </c>
      <c r="N1888">
        <v>3.4036189317703E-3</v>
      </c>
      <c r="O1888">
        <f t="shared" si="153"/>
        <v>-1.0988480085507039E-2</v>
      </c>
    </row>
    <row r="1889" spans="1:15" x14ac:dyDescent="0.35">
      <c r="A1889" t="s">
        <v>126</v>
      </c>
      <c r="B1889">
        <v>2018</v>
      </c>
      <c r="C1889">
        <v>2371867</v>
      </c>
      <c r="D1889" s="8">
        <v>0.93784761428832997</v>
      </c>
      <c r="E1889" s="8">
        <v>1.2E-2</v>
      </c>
      <c r="F1889">
        <v>1.8547321648975501</v>
      </c>
      <c r="G1889">
        <f t="shared" si="149"/>
        <v>1.9776476867246526</v>
      </c>
      <c r="H1889">
        <f t="shared" si="151"/>
        <v>-3.2384460996531028E-2</v>
      </c>
      <c r="I1889">
        <f t="shared" si="150"/>
        <v>0</v>
      </c>
      <c r="J1889">
        <f t="shared" si="152"/>
        <v>2</v>
      </c>
      <c r="K1889">
        <v>1.25386418998241E-2</v>
      </c>
      <c r="L1889">
        <v>3.4036189317703E-3</v>
      </c>
      <c r="M1889">
        <v>1.3756460666656501E-2</v>
      </c>
      <c r="N1889">
        <v>-4.0447339415549998E-3</v>
      </c>
      <c r="O1889">
        <f t="shared" si="153"/>
        <v>-1.4331004815176119E-2</v>
      </c>
    </row>
    <row r="1890" spans="1:15" x14ac:dyDescent="0.35">
      <c r="A1890" t="s">
        <v>126</v>
      </c>
      <c r="B1890">
        <v>2019</v>
      </c>
      <c r="C1890">
        <v>2371510</v>
      </c>
      <c r="D1890" s="8">
        <v>0.94796031713485696</v>
      </c>
      <c r="E1890" s="8">
        <v>5.0000000000000001E-3</v>
      </c>
      <c r="F1890">
        <v>1.8779265109219601</v>
      </c>
      <c r="G1890">
        <f t="shared" si="149"/>
        <v>1.9810180626525171</v>
      </c>
      <c r="H1890">
        <f t="shared" si="151"/>
        <v>1.7042347585409789E-3</v>
      </c>
      <c r="I1890">
        <f t="shared" si="150"/>
        <v>1</v>
      </c>
      <c r="J1890" t="str">
        <f t="shared" si="152"/>
        <v/>
      </c>
      <c r="K1890">
        <v>1.3756460666656501E-2</v>
      </c>
      <c r="L1890">
        <v>-4.0447339415549998E-3</v>
      </c>
      <c r="M1890">
        <v>-8.87742372043431E-3</v>
      </c>
      <c r="N1890">
        <v>-2.7726614149287301E-2</v>
      </c>
      <c r="O1890">
        <f t="shared" si="153"/>
        <v>-1.3155892724171277E-2</v>
      </c>
    </row>
    <row r="1891" spans="1:15" x14ac:dyDescent="0.35">
      <c r="A1891" t="s">
        <v>126</v>
      </c>
      <c r="B1891">
        <v>2020</v>
      </c>
      <c r="C1891">
        <v>2368314</v>
      </c>
      <c r="D1891" s="8">
        <v>0.93815672397613503</v>
      </c>
      <c r="E1891" s="8">
        <v>1.4E-2</v>
      </c>
      <c r="F1891">
        <v>1.80135264582409</v>
      </c>
      <c r="G1891">
        <f t="shared" si="149"/>
        <v>1.9200977830116934</v>
      </c>
      <c r="H1891">
        <f t="shared" si="151"/>
        <v>-3.0752006147411581E-2</v>
      </c>
      <c r="I1891">
        <f t="shared" si="150"/>
        <v>0</v>
      </c>
      <c r="J1891" t="str">
        <f t="shared" si="152"/>
        <v/>
      </c>
      <c r="K1891">
        <v>-8.87742372043431E-3</v>
      </c>
      <c r="L1891">
        <v>-2.7726614149287301E-2</v>
      </c>
      <c r="M1891">
        <v>1.2631470590829801E-2</v>
      </c>
      <c r="N1891">
        <v>-3.0958142131567098E-2</v>
      </c>
      <c r="O1891">
        <f t="shared" si="153"/>
        <v>-7.4132529087364745E-3</v>
      </c>
    </row>
    <row r="1892" spans="1:15" x14ac:dyDescent="0.35">
      <c r="A1892" t="s">
        <v>126</v>
      </c>
      <c r="B1892">
        <v>2021</v>
      </c>
      <c r="C1892">
        <v>2360794</v>
      </c>
      <c r="D1892" s="8">
        <v>0.95259702205658003</v>
      </c>
      <c r="E1892" s="8">
        <v>1.4999999999999999E-2</v>
      </c>
      <c r="F1892">
        <v>1.8385155120227199</v>
      </c>
      <c r="G1892">
        <f t="shared" si="149"/>
        <v>1.930003421649916</v>
      </c>
      <c r="H1892">
        <f t="shared" si="151"/>
        <v>5.1589240536935588E-3</v>
      </c>
      <c r="I1892">
        <f t="shared" si="150"/>
        <v>1</v>
      </c>
      <c r="J1892" t="str">
        <f t="shared" si="152"/>
        <v/>
      </c>
      <c r="K1892">
        <v>1.2631470590829801E-2</v>
      </c>
      <c r="L1892">
        <v>-3.0958142131567098E-2</v>
      </c>
      <c r="M1892">
        <v>-2.77200359106064E-2</v>
      </c>
      <c r="N1892">
        <v>4.3834708631039004E-3</v>
      </c>
      <c r="O1892">
        <f t="shared" si="153"/>
        <v>-1.6339601017534629E-3</v>
      </c>
    </row>
    <row r="1893" spans="1:15" x14ac:dyDescent="0.35">
      <c r="A1893" t="s">
        <v>126</v>
      </c>
      <c r="B1893">
        <v>2022</v>
      </c>
      <c r="C1893">
        <v>2347724</v>
      </c>
      <c r="D1893" s="8">
        <v>0.942945957183838</v>
      </c>
      <c r="E1893" s="8">
        <v>8.0000000000000002E-3</v>
      </c>
      <c r="F1893">
        <v>1.7794803711923799</v>
      </c>
      <c r="G1893">
        <f t="shared" si="149"/>
        <v>1.887149902531954</v>
      </c>
      <c r="H1893">
        <f t="shared" si="151"/>
        <v>-2.2203856551366918E-2</v>
      </c>
      <c r="I1893">
        <f t="shared" si="150"/>
        <v>0</v>
      </c>
      <c r="J1893" t="str">
        <f t="shared" si="152"/>
        <v/>
      </c>
      <c r="K1893">
        <v>-2.77200359106064E-2</v>
      </c>
      <c r="L1893">
        <v>4.8621743917465002E-3</v>
      </c>
      <c r="M1893">
        <v>-3.2867932491004399E-2</v>
      </c>
      <c r="N1893">
        <v>-1.3309004716575101E-2</v>
      </c>
      <c r="O1893">
        <f t="shared" si="153"/>
        <v>-5.1614218391478719E-4</v>
      </c>
    </row>
    <row r="1894" spans="1:15" x14ac:dyDescent="0.35">
      <c r="A1894" t="s">
        <v>127</v>
      </c>
      <c r="B1894">
        <v>2006</v>
      </c>
      <c r="C1894">
        <v>510998</v>
      </c>
      <c r="D1894" s="8">
        <v>0.95104795694351196</v>
      </c>
      <c r="E1894" s="8">
        <v>8.0000000000000002E-3</v>
      </c>
      <c r="F1894">
        <v>2.0517406740589901</v>
      </c>
      <c r="G1894">
        <f t="shared" si="149"/>
        <v>2.1573472284750981</v>
      </c>
      <c r="H1894">
        <f t="shared" si="151"/>
        <v>0.14317745801784221</v>
      </c>
      <c r="I1894">
        <f t="shared" si="150"/>
        <v>1</v>
      </c>
      <c r="J1894" t="str">
        <f t="shared" si="152"/>
        <v/>
      </c>
      <c r="K1894">
        <v>-2.6252086907624901E-3</v>
      </c>
      <c r="L1894">
        <v>-8.98824818432329E-3</v>
      </c>
      <c r="M1894">
        <v>9.0907058119769901E-4</v>
      </c>
      <c r="N1894">
        <v>1.8308265134691999E-3</v>
      </c>
      <c r="O1894" t="str">
        <f t="shared" si="153"/>
        <v/>
      </c>
    </row>
    <row r="1895" spans="1:15" x14ac:dyDescent="0.35">
      <c r="A1895" t="s">
        <v>127</v>
      </c>
      <c r="B1895">
        <v>2007</v>
      </c>
      <c r="C1895">
        <v>512743.09375</v>
      </c>
      <c r="D1895" s="8">
        <v>0.94664460420608498</v>
      </c>
      <c r="E1895" s="8">
        <v>5.0000000000000001E-3</v>
      </c>
      <c r="F1895">
        <v>1.94603125853125</v>
      </c>
      <c r="G1895">
        <f t="shared" si="149"/>
        <v>2.0557147316793856</v>
      </c>
      <c r="H1895">
        <f t="shared" si="151"/>
        <v>-4.7109939213424878E-2</v>
      </c>
      <c r="I1895">
        <f t="shared" si="150"/>
        <v>0</v>
      </c>
      <c r="J1895" t="str">
        <f t="shared" si="152"/>
        <v/>
      </c>
      <c r="K1895">
        <v>9.0907058119769901E-4</v>
      </c>
      <c r="L1895">
        <v>1.8308265134691999E-3</v>
      </c>
      <c r="M1895">
        <v>-2.8524219349026599E-2</v>
      </c>
      <c r="N1895">
        <v>9.8658492788672404E-4</v>
      </c>
      <c r="O1895" t="str">
        <f t="shared" si="153"/>
        <v/>
      </c>
    </row>
    <row r="1896" spans="1:15" x14ac:dyDescent="0.35">
      <c r="A1896" t="s">
        <v>127</v>
      </c>
      <c r="B1896">
        <v>2008</v>
      </c>
      <c r="C1896">
        <v>514347.09375</v>
      </c>
      <c r="D1896" s="8">
        <v>0.95257115364074696</v>
      </c>
      <c r="E1896" s="8">
        <v>1.2999999999999999E-2</v>
      </c>
      <c r="F1896">
        <v>2.0409295397896501</v>
      </c>
      <c r="G1896">
        <f t="shared" si="149"/>
        <v>2.1425481256588284</v>
      </c>
      <c r="H1896">
        <f t="shared" si="151"/>
        <v>4.2240001806333138E-2</v>
      </c>
      <c r="I1896">
        <f t="shared" si="150"/>
        <v>1</v>
      </c>
      <c r="J1896" t="str">
        <f t="shared" si="152"/>
        <v/>
      </c>
      <c r="K1896">
        <v>-2.8524219349026599E-2</v>
      </c>
      <c r="L1896">
        <v>9.8658492788672404E-4</v>
      </c>
      <c r="M1896">
        <v>-2.8628379762172699E-2</v>
      </c>
      <c r="N1896">
        <v>-2.0616780966520401E-3</v>
      </c>
      <c r="O1896" t="str">
        <f t="shared" si="153"/>
        <v/>
      </c>
    </row>
    <row r="1897" spans="1:15" x14ac:dyDescent="0.35">
      <c r="A1897" t="s">
        <v>127</v>
      </c>
      <c r="B1897">
        <v>2009</v>
      </c>
      <c r="C1897">
        <v>514618.28125</v>
      </c>
      <c r="D1897" s="8">
        <v>0.94365251064300504</v>
      </c>
      <c r="E1897" s="8">
        <v>7.0000000000000001E-3</v>
      </c>
      <c r="F1897">
        <v>2.0207834388635502</v>
      </c>
      <c r="G1897">
        <f t="shared" si="149"/>
        <v>2.1414486964980233</v>
      </c>
      <c r="H1897">
        <f t="shared" si="151"/>
        <v>-5.1314094075105565E-4</v>
      </c>
      <c r="I1897">
        <f t="shared" si="150"/>
        <v>0</v>
      </c>
      <c r="J1897" t="str">
        <f t="shared" si="152"/>
        <v/>
      </c>
      <c r="K1897">
        <v>-2.8628379762172699E-2</v>
      </c>
      <c r="L1897">
        <v>-2.0616780966520401E-3</v>
      </c>
      <c r="M1897">
        <v>5.1245169341559895E-4</v>
      </c>
      <c r="N1897">
        <v>9.9725604522972796E-3</v>
      </c>
      <c r="O1897" t="str">
        <f t="shared" si="153"/>
        <v/>
      </c>
    </row>
    <row r="1898" spans="1:15" x14ac:dyDescent="0.35">
      <c r="A1898" t="s">
        <v>127</v>
      </c>
      <c r="B1898">
        <v>2010</v>
      </c>
      <c r="C1898">
        <v>514966.8125</v>
      </c>
      <c r="D1898" s="8">
        <v>0.94088137149810802</v>
      </c>
      <c r="E1898" s="8">
        <v>1.4E-2</v>
      </c>
      <c r="F1898">
        <v>2.0258478343706301</v>
      </c>
      <c r="G1898">
        <f t="shared" si="149"/>
        <v>2.1531384250333239</v>
      </c>
      <c r="H1898">
        <f t="shared" si="151"/>
        <v>5.4587945788369119E-3</v>
      </c>
      <c r="I1898">
        <f t="shared" si="150"/>
        <v>1</v>
      </c>
      <c r="J1898">
        <f t="shared" si="152"/>
        <v>3</v>
      </c>
      <c r="K1898">
        <v>5.1245169341559895E-4</v>
      </c>
      <c r="L1898">
        <v>9.9725604522972796E-3</v>
      </c>
      <c r="M1898">
        <v>-1.64486592337489E-2</v>
      </c>
      <c r="N1898">
        <v>4.8351152800023998E-3</v>
      </c>
      <c r="O1898">
        <f t="shared" si="153"/>
        <v>2.0579212345182979E-3</v>
      </c>
    </row>
    <row r="1899" spans="1:15" x14ac:dyDescent="0.35">
      <c r="A1899" t="s">
        <v>127</v>
      </c>
      <c r="B1899">
        <v>2011</v>
      </c>
      <c r="C1899">
        <v>517916.8125</v>
      </c>
      <c r="D1899" s="8">
        <v>0.95042943954467796</v>
      </c>
      <c r="E1899" s="8">
        <v>0</v>
      </c>
      <c r="F1899">
        <v>1.9457409481149599</v>
      </c>
      <c r="G1899">
        <f t="shared" si="149"/>
        <v>2.047222936451869</v>
      </c>
      <c r="H1899">
        <f t="shared" si="151"/>
        <v>-4.9191211930471046E-2</v>
      </c>
      <c r="I1899">
        <f t="shared" si="150"/>
        <v>0</v>
      </c>
      <c r="J1899">
        <f t="shared" si="152"/>
        <v>2</v>
      </c>
      <c r="K1899">
        <v>-1.64486592337489E-2</v>
      </c>
      <c r="L1899">
        <v>4.8351152800023998E-3</v>
      </c>
      <c r="M1899">
        <v>-1.05249903202057E-2</v>
      </c>
      <c r="N1899">
        <v>-5.0867842510342997E-3</v>
      </c>
      <c r="O1899">
        <f t="shared" si="153"/>
        <v>-6.9787744432688178E-4</v>
      </c>
    </row>
    <row r="1900" spans="1:15" x14ac:dyDescent="0.35">
      <c r="A1900" t="s">
        <v>127</v>
      </c>
      <c r="B1900">
        <v>2012</v>
      </c>
      <c r="C1900">
        <v>520750.125</v>
      </c>
      <c r="D1900" s="8">
        <v>0.95468616485595703</v>
      </c>
      <c r="E1900" s="8">
        <v>2E-3</v>
      </c>
      <c r="F1900">
        <v>2.0654204167180299</v>
      </c>
      <c r="G1900">
        <f t="shared" si="149"/>
        <v>2.1634548532811935</v>
      </c>
      <c r="H1900">
        <f t="shared" si="151"/>
        <v>5.6775407680206502E-2</v>
      </c>
      <c r="I1900">
        <f t="shared" si="150"/>
        <v>1</v>
      </c>
      <c r="J1900">
        <f t="shared" si="152"/>
        <v>3</v>
      </c>
      <c r="K1900">
        <v>-1.05249903202057E-2</v>
      </c>
      <c r="L1900">
        <v>-5.1723830401898003E-3</v>
      </c>
      <c r="M1900">
        <v>9.5059635490178998E-3</v>
      </c>
      <c r="N1900">
        <v>3.37919220328329E-3</v>
      </c>
      <c r="O1900">
        <f t="shared" si="153"/>
        <v>-2.085215970873802E-3</v>
      </c>
    </row>
    <row r="1901" spans="1:15" x14ac:dyDescent="0.35">
      <c r="A1901" t="s">
        <v>127</v>
      </c>
      <c r="B1901">
        <v>2013</v>
      </c>
      <c r="C1901">
        <v>524441.5</v>
      </c>
      <c r="D1901" s="8">
        <v>0.95412737131118797</v>
      </c>
      <c r="E1901" s="8">
        <v>1E-3</v>
      </c>
      <c r="F1901">
        <v>2.0387862638843099</v>
      </c>
      <c r="G1901">
        <f t="shared" si="149"/>
        <v>2.1368072284547859</v>
      </c>
      <c r="H1901">
        <f t="shared" si="151"/>
        <v>-1.2317162424717365E-2</v>
      </c>
      <c r="I1901">
        <f t="shared" si="150"/>
        <v>0</v>
      </c>
      <c r="J1901">
        <f t="shared" si="152"/>
        <v>2</v>
      </c>
      <c r="K1901">
        <v>9.5059635490178998E-3</v>
      </c>
      <c r="L1901">
        <v>3.37919220328329E-3</v>
      </c>
      <c r="M1901">
        <v>5.2291404604912E-3</v>
      </c>
      <c r="N1901">
        <v>3.2211169600486998E-3</v>
      </c>
      <c r="O1901">
        <f t="shared" si="153"/>
        <v>-3.3939484506844983E-3</v>
      </c>
    </row>
    <row r="1902" spans="1:15" x14ac:dyDescent="0.35">
      <c r="A1902" t="s">
        <v>127</v>
      </c>
      <c r="B1902">
        <v>2014</v>
      </c>
      <c r="C1902">
        <v>528955.5</v>
      </c>
      <c r="D1902" s="8">
        <v>0.95598775148391701</v>
      </c>
      <c r="E1902" s="8">
        <v>1E-3</v>
      </c>
      <c r="F1902">
        <v>2.22178296419782</v>
      </c>
      <c r="G1902">
        <f t="shared" si="149"/>
        <v>2.3240705341141581</v>
      </c>
      <c r="H1902">
        <f t="shared" si="151"/>
        <v>8.7636967511940833E-2</v>
      </c>
      <c r="I1902">
        <f t="shared" si="150"/>
        <v>1</v>
      </c>
      <c r="J1902">
        <f t="shared" si="152"/>
        <v>3</v>
      </c>
      <c r="K1902">
        <v>5.2291404604912E-3</v>
      </c>
      <c r="L1902">
        <v>3.2211169600486998E-3</v>
      </c>
      <c r="M1902">
        <v>3.4204418003559098E-2</v>
      </c>
      <c r="N1902">
        <v>3.9409659802914004E-3</v>
      </c>
      <c r="O1902">
        <f t="shared" si="153"/>
        <v>-3.3123489469289403E-3</v>
      </c>
    </row>
    <row r="1903" spans="1:15" x14ac:dyDescent="0.35">
      <c r="A1903" t="s">
        <v>127</v>
      </c>
      <c r="B1903">
        <v>2015</v>
      </c>
      <c r="C1903">
        <v>532073.75</v>
      </c>
      <c r="D1903" s="8">
        <v>0.95238667726516701</v>
      </c>
      <c r="E1903" s="8">
        <v>8.9999999999999993E-3</v>
      </c>
      <c r="F1903">
        <v>2.0248287811177001</v>
      </c>
      <c r="G1903">
        <f t="shared" si="149"/>
        <v>2.1260574401692724</v>
      </c>
      <c r="H1903">
        <f t="shared" si="151"/>
        <v>-8.5200982947086112E-2</v>
      </c>
      <c r="I1903">
        <f t="shared" si="150"/>
        <v>0</v>
      </c>
      <c r="J1903">
        <f t="shared" si="152"/>
        <v>2</v>
      </c>
      <c r="K1903">
        <v>3.4204418003559098E-2</v>
      </c>
      <c r="L1903">
        <v>3.9409659802914004E-3</v>
      </c>
      <c r="M1903">
        <v>4.2096788883208896E-3</v>
      </c>
      <c r="N1903">
        <v>-8.9438781142234993E-3</v>
      </c>
      <c r="O1903">
        <f t="shared" si="153"/>
        <v>-2.685982733964881E-3</v>
      </c>
    </row>
    <row r="1904" spans="1:15" x14ac:dyDescent="0.35">
      <c r="A1904" t="s">
        <v>127</v>
      </c>
      <c r="B1904">
        <v>2016</v>
      </c>
      <c r="C1904">
        <v>536214.5</v>
      </c>
      <c r="D1904" s="8">
        <v>0.94757896661758401</v>
      </c>
      <c r="E1904" s="8">
        <v>8.9999999999999993E-3</v>
      </c>
      <c r="F1904">
        <v>1.8532901174168199</v>
      </c>
      <c r="G1904">
        <f t="shared" si="149"/>
        <v>1.955816013975282</v>
      </c>
      <c r="H1904">
        <f t="shared" si="151"/>
        <v>-8.0073766106919519E-2</v>
      </c>
      <c r="I1904">
        <f t="shared" si="150"/>
        <v>0</v>
      </c>
      <c r="J1904">
        <f t="shared" si="152"/>
        <v>2</v>
      </c>
      <c r="K1904">
        <v>4.2096788883208896E-3</v>
      </c>
      <c r="L1904">
        <v>-8.9438781142234993E-3</v>
      </c>
      <c r="M1904">
        <v>-9.2339034229516996E-3</v>
      </c>
      <c r="N1904">
        <v>-1.20234768837689E-2</v>
      </c>
      <c r="O1904">
        <f t="shared" si="153"/>
        <v>-9.8405003547668221E-3</v>
      </c>
    </row>
    <row r="1905" spans="1:15" x14ac:dyDescent="0.35">
      <c r="A1905" t="s">
        <v>127</v>
      </c>
      <c r="B1905">
        <v>2017</v>
      </c>
      <c r="C1905">
        <v>540335.875</v>
      </c>
      <c r="D1905" s="8">
        <v>0.94879549741744995</v>
      </c>
      <c r="E1905" s="8">
        <v>0.04</v>
      </c>
      <c r="F1905">
        <v>1.9669508454020099</v>
      </c>
      <c r="G1905">
        <f t="shared" si="149"/>
        <v>2.0731030561969384</v>
      </c>
      <c r="H1905">
        <f t="shared" si="151"/>
        <v>5.9968341287514715E-2</v>
      </c>
      <c r="I1905">
        <f t="shared" si="150"/>
        <v>1</v>
      </c>
      <c r="J1905">
        <f t="shared" si="152"/>
        <v>2</v>
      </c>
      <c r="K1905">
        <v>-9.2339034229516996E-3</v>
      </c>
      <c r="L1905">
        <v>-1.20234768837689E-2</v>
      </c>
      <c r="M1905">
        <v>5.97055277228359E-3</v>
      </c>
      <c r="N1905">
        <v>-3.1644701957701899E-3</v>
      </c>
      <c r="O1905">
        <f t="shared" si="153"/>
        <v>-6.2006313353776838E-3</v>
      </c>
    </row>
    <row r="1906" spans="1:15" x14ac:dyDescent="0.35">
      <c r="A1906" t="s">
        <v>127</v>
      </c>
      <c r="B1906">
        <v>2018</v>
      </c>
      <c r="C1906">
        <v>544951.75</v>
      </c>
      <c r="D1906" s="8">
        <v>0.95521849393844604</v>
      </c>
      <c r="E1906" s="8">
        <v>2.1999999999999999E-2</v>
      </c>
      <c r="F1906">
        <v>1.90578642899439</v>
      </c>
      <c r="G1906">
        <f t="shared" si="149"/>
        <v>1.9951314187151805</v>
      </c>
      <c r="H1906">
        <f t="shared" si="151"/>
        <v>-3.761107642414796E-2</v>
      </c>
      <c r="I1906">
        <f t="shared" si="150"/>
        <v>0</v>
      </c>
      <c r="J1906">
        <f t="shared" si="152"/>
        <v>2</v>
      </c>
      <c r="K1906">
        <v>5.97055277228359E-3</v>
      </c>
      <c r="L1906">
        <v>-3.1644701957701899E-3</v>
      </c>
      <c r="M1906">
        <v>2.1430309087038E-2</v>
      </c>
      <c r="N1906">
        <v>3.6291144788264899E-3</v>
      </c>
      <c r="O1906">
        <f t="shared" si="153"/>
        <v>-5.567737296223646E-3</v>
      </c>
    </row>
    <row r="1907" spans="1:15" x14ac:dyDescent="0.35">
      <c r="A1907" t="s">
        <v>127</v>
      </c>
      <c r="B1907">
        <v>2019</v>
      </c>
      <c r="C1907">
        <v>549594.4375</v>
      </c>
      <c r="D1907" s="8">
        <v>0.95493549108505205</v>
      </c>
      <c r="E1907" s="8">
        <v>1.2E-2</v>
      </c>
      <c r="F1907">
        <v>1.9414359956665701</v>
      </c>
      <c r="G1907">
        <f t="shared" si="149"/>
        <v>2.0330546029455876</v>
      </c>
      <c r="H1907">
        <f t="shared" si="151"/>
        <v>1.9007862777695506E-2</v>
      </c>
      <c r="I1907">
        <f t="shared" si="150"/>
        <v>1</v>
      </c>
      <c r="J1907" t="str">
        <f t="shared" si="152"/>
        <v/>
      </c>
      <c r="K1907">
        <v>2.1430309087038E-2</v>
      </c>
      <c r="L1907">
        <v>3.6291144788264899E-3</v>
      </c>
      <c r="M1907">
        <v>2.5921987473964601E-2</v>
      </c>
      <c r="N1907">
        <v>7.07279704511169E-3</v>
      </c>
      <c r="O1907">
        <f t="shared" si="153"/>
        <v>-1.7110107466578434E-3</v>
      </c>
    </row>
    <row r="1908" spans="1:15" x14ac:dyDescent="0.35">
      <c r="A1908" t="s">
        <v>127</v>
      </c>
      <c r="B1908">
        <v>2020</v>
      </c>
      <c r="C1908">
        <v>554025.0625</v>
      </c>
      <c r="D1908" s="8">
        <v>0.9615119099617</v>
      </c>
      <c r="E1908" s="8">
        <v>2.7E-2</v>
      </c>
      <c r="F1908">
        <v>1.8574343519957299</v>
      </c>
      <c r="G1908">
        <f t="shared" si="149"/>
        <v>1.9317850696927064</v>
      </c>
      <c r="H1908">
        <f t="shared" si="151"/>
        <v>-4.9811516673559653E-2</v>
      </c>
      <c r="I1908">
        <f t="shared" si="150"/>
        <v>0</v>
      </c>
      <c r="J1908" t="str">
        <f t="shared" si="152"/>
        <v/>
      </c>
      <c r="K1908">
        <v>2.5921987473964601E-2</v>
      </c>
      <c r="L1908">
        <v>7.07279704511169E-3</v>
      </c>
      <c r="M1908">
        <v>-1.1268534958362899E-3</v>
      </c>
      <c r="N1908">
        <v>-4.4716466218233199E-2</v>
      </c>
      <c r="O1908">
        <f t="shared" si="153"/>
        <v>-1.2921295128762815E-3</v>
      </c>
    </row>
    <row r="1909" spans="1:15" x14ac:dyDescent="0.35">
      <c r="A1909" t="s">
        <v>127</v>
      </c>
      <c r="B1909">
        <v>2021</v>
      </c>
      <c r="C1909">
        <v>559604.1875</v>
      </c>
      <c r="D1909" s="8">
        <v>0.97166228294372603</v>
      </c>
      <c r="E1909" s="8">
        <v>3.2000000000000001E-2</v>
      </c>
      <c r="F1909">
        <v>1.81843876617435</v>
      </c>
      <c r="G1909">
        <f t="shared" si="149"/>
        <v>1.8714720104862455</v>
      </c>
      <c r="H1909">
        <f t="shared" si="151"/>
        <v>-3.1221412854202768E-2</v>
      </c>
      <c r="I1909">
        <f t="shared" si="150"/>
        <v>0</v>
      </c>
      <c r="J1909" t="str">
        <f t="shared" si="152"/>
        <v/>
      </c>
      <c r="K1909">
        <v>-1.1268534958362899E-3</v>
      </c>
      <c r="L1909">
        <v>-4.4716466218233199E-2</v>
      </c>
      <c r="M1909">
        <v>-2.5927638560533501E-2</v>
      </c>
      <c r="N1909">
        <v>6.1758682131767897E-3</v>
      </c>
      <c r="O1909">
        <f t="shared" si="153"/>
        <v>4.895614553242938E-3</v>
      </c>
    </row>
    <row r="1910" spans="1:15" x14ac:dyDescent="0.35">
      <c r="A1910" t="s">
        <v>127</v>
      </c>
      <c r="B1910">
        <v>2022</v>
      </c>
      <c r="C1910">
        <v>564723.0625</v>
      </c>
      <c r="D1910" s="8">
        <v>0.97087985277175903</v>
      </c>
      <c r="E1910" s="8">
        <v>1.9E-2</v>
      </c>
      <c r="F1910">
        <v>1.93560910722019</v>
      </c>
      <c r="G1910">
        <f t="shared" si="149"/>
        <v>1.9936649233107797</v>
      </c>
      <c r="H1910">
        <f t="shared" si="151"/>
        <v>6.5292407334901048E-2</v>
      </c>
      <c r="I1910">
        <f t="shared" si="150"/>
        <v>1</v>
      </c>
      <c r="J1910" t="str">
        <f t="shared" si="152"/>
        <v/>
      </c>
      <c r="K1910">
        <v>-2.5927638560533501E-2</v>
      </c>
      <c r="L1910">
        <v>6.6545717418193904E-3</v>
      </c>
      <c r="M1910">
        <v>-1.9558927774429299E-2</v>
      </c>
      <c r="N1910">
        <v>0</v>
      </c>
      <c r="O1910">
        <f t="shared" si="153"/>
        <v>5.98582359962164E-3</v>
      </c>
    </row>
    <row r="1911" spans="1:15" x14ac:dyDescent="0.35">
      <c r="A1911" t="s">
        <v>128</v>
      </c>
      <c r="B1911">
        <v>2006</v>
      </c>
      <c r="C1911">
        <v>2111711</v>
      </c>
      <c r="D1911" s="8">
        <v>0.96008592844009399</v>
      </c>
      <c r="E1911" s="8">
        <v>6.0000000000000001E-3</v>
      </c>
      <c r="F1911">
        <v>2.2356419301257402</v>
      </c>
      <c r="G1911">
        <f t="shared" si="149"/>
        <v>2.3285852483622111</v>
      </c>
      <c r="H1911">
        <f t="shared" si="151"/>
        <v>0.16799228452855863</v>
      </c>
      <c r="I1911">
        <f t="shared" si="150"/>
        <v>1</v>
      </c>
      <c r="J1911" t="str">
        <f t="shared" si="152"/>
        <v/>
      </c>
      <c r="K1911">
        <v>4.8150174617766902E-3</v>
      </c>
      <c r="L1911">
        <v>-1.5480220317840899E-3</v>
      </c>
      <c r="M1911">
        <v>2.1990991294384001E-2</v>
      </c>
      <c r="N1911">
        <v>2.2912747226655501E-2</v>
      </c>
      <c r="O1911" t="str">
        <f t="shared" si="153"/>
        <v/>
      </c>
    </row>
    <row r="1912" spans="1:15" x14ac:dyDescent="0.35">
      <c r="A1912" t="s">
        <v>128</v>
      </c>
      <c r="B1912">
        <v>2007</v>
      </c>
      <c r="C1912">
        <v>2146570</v>
      </c>
      <c r="D1912" s="8">
        <v>0.95592856407165505</v>
      </c>
      <c r="E1912" s="8">
        <v>0.01</v>
      </c>
      <c r="F1912">
        <v>2.2082437324767898</v>
      </c>
      <c r="G1912">
        <f t="shared" si="149"/>
        <v>2.310050996981468</v>
      </c>
      <c r="H1912">
        <f t="shared" si="151"/>
        <v>-7.9594472196279353E-3</v>
      </c>
      <c r="I1912">
        <f t="shared" si="150"/>
        <v>0</v>
      </c>
      <c r="J1912" t="str">
        <f t="shared" si="152"/>
        <v/>
      </c>
      <c r="K1912">
        <v>2.1990991294384001E-2</v>
      </c>
      <c r="L1912">
        <v>2.2912747226655501E-2</v>
      </c>
      <c r="M1912">
        <v>-2.0343601062893801E-2</v>
      </c>
      <c r="N1912">
        <v>9.1672032140195005E-3</v>
      </c>
      <c r="O1912" t="str">
        <f t="shared" si="153"/>
        <v/>
      </c>
    </row>
    <row r="1913" spans="1:15" x14ac:dyDescent="0.35">
      <c r="A1913" t="s">
        <v>128</v>
      </c>
      <c r="B1913">
        <v>2008</v>
      </c>
      <c r="C1913">
        <v>2181417</v>
      </c>
      <c r="D1913" s="8">
        <v>0.943206787109375</v>
      </c>
      <c r="E1913" s="8">
        <v>1.4999999999999999E-2</v>
      </c>
      <c r="F1913">
        <v>2.16967370177812</v>
      </c>
      <c r="G1913">
        <f t="shared" si="149"/>
        <v>2.3003160403748484</v>
      </c>
      <c r="H1913">
        <f t="shared" si="151"/>
        <v>-4.2141738945764562E-3</v>
      </c>
      <c r="I1913">
        <f t="shared" si="150"/>
        <v>0</v>
      </c>
      <c r="J1913" t="str">
        <f t="shared" si="152"/>
        <v/>
      </c>
      <c r="K1913">
        <v>-2.0343601062893801E-2</v>
      </c>
      <c r="L1913">
        <v>9.1672032140195005E-3</v>
      </c>
      <c r="M1913">
        <v>-4.0344447553157803E-2</v>
      </c>
      <c r="N1913">
        <v>-1.37777458876371E-2</v>
      </c>
      <c r="O1913" t="str">
        <f t="shared" si="153"/>
        <v/>
      </c>
    </row>
    <row r="1914" spans="1:15" x14ac:dyDescent="0.35">
      <c r="A1914" t="s">
        <v>128</v>
      </c>
      <c r="B1914">
        <v>2009</v>
      </c>
      <c r="C1914">
        <v>2213304</v>
      </c>
      <c r="D1914" s="8">
        <v>0.93632352352142301</v>
      </c>
      <c r="E1914" s="8">
        <v>2.1000000000000001E-2</v>
      </c>
      <c r="F1914">
        <v>2.2732548073950398</v>
      </c>
      <c r="G1914">
        <f t="shared" si="149"/>
        <v>2.4278518592009166</v>
      </c>
      <c r="H1914">
        <f t="shared" si="151"/>
        <v>5.5442737688029098E-2</v>
      </c>
      <c r="I1914">
        <f t="shared" si="150"/>
        <v>1</v>
      </c>
      <c r="J1914" t="str">
        <f t="shared" si="152"/>
        <v/>
      </c>
      <c r="K1914">
        <v>-4.0344447553157803E-2</v>
      </c>
      <c r="L1914">
        <v>-1.37777458876371E-2</v>
      </c>
      <c r="M1914">
        <v>2.1668046861887001E-3</v>
      </c>
      <c r="N1914">
        <v>1.1626913445070299E-2</v>
      </c>
      <c r="O1914" t="str">
        <f t="shared" si="153"/>
        <v/>
      </c>
    </row>
    <row r="1915" spans="1:15" x14ac:dyDescent="0.35">
      <c r="A1915" t="s">
        <v>128</v>
      </c>
      <c r="B1915">
        <v>2010</v>
      </c>
      <c r="C1915">
        <v>2240432</v>
      </c>
      <c r="D1915" s="8">
        <v>0.94979560375213601</v>
      </c>
      <c r="E1915" s="8">
        <v>4.0000000000000001E-3</v>
      </c>
      <c r="F1915">
        <v>2.2729094410009001</v>
      </c>
      <c r="G1915">
        <f t="shared" si="149"/>
        <v>2.3930511280762374</v>
      </c>
      <c r="H1915">
        <f t="shared" si="151"/>
        <v>-1.4333959871889901E-2</v>
      </c>
      <c r="I1915">
        <f t="shared" si="150"/>
        <v>0</v>
      </c>
      <c r="J1915">
        <f t="shared" si="152"/>
        <v>2</v>
      </c>
      <c r="K1915">
        <v>2.1668046861887001E-3</v>
      </c>
      <c r="L1915">
        <v>1.1626913445070299E-2</v>
      </c>
      <c r="M1915">
        <v>-1.4776559889316599E-2</v>
      </c>
      <c r="N1915">
        <v>6.5072146244346896E-3</v>
      </c>
      <c r="O1915">
        <f t="shared" si="153"/>
        <v>1.9252440612763159E-2</v>
      </c>
    </row>
    <row r="1916" spans="1:15" x14ac:dyDescent="0.35">
      <c r="A1916" t="s">
        <v>128</v>
      </c>
      <c r="B1916">
        <v>2011</v>
      </c>
      <c r="C1916">
        <v>2270517</v>
      </c>
      <c r="D1916" s="8">
        <v>0.948572337627411</v>
      </c>
      <c r="E1916" s="8">
        <v>3.0000000000000001E-3</v>
      </c>
      <c r="F1916">
        <v>2.3140215362526901</v>
      </c>
      <c r="G1916">
        <f t="shared" si="149"/>
        <v>2.4394781973513684</v>
      </c>
      <c r="H1916">
        <f t="shared" si="151"/>
        <v>1.9400784517484837E-2</v>
      </c>
      <c r="I1916">
        <f t="shared" si="150"/>
        <v>1</v>
      </c>
      <c r="J1916">
        <f t="shared" si="152"/>
        <v>2</v>
      </c>
      <c r="K1916">
        <v>-1.4776559889316599E-2</v>
      </c>
      <c r="L1916">
        <v>6.5072146244346896E-3</v>
      </c>
      <c r="M1916">
        <v>5.1332169175147997E-3</v>
      </c>
      <c r="N1916">
        <v>1.05714229866862E-2</v>
      </c>
      <c r="O1916">
        <f t="shared" si="153"/>
        <v>1.7874015308916559E-2</v>
      </c>
    </row>
    <row r="1917" spans="1:15" x14ac:dyDescent="0.35">
      <c r="A1917" t="s">
        <v>128</v>
      </c>
      <c r="B1917">
        <v>2012</v>
      </c>
      <c r="C1917">
        <v>2296577</v>
      </c>
      <c r="D1917" s="8">
        <v>0.94703882932662997</v>
      </c>
      <c r="E1917" s="8">
        <v>1.4E-2</v>
      </c>
      <c r="F1917">
        <v>2.3344353189267402</v>
      </c>
      <c r="G1917">
        <f t="shared" si="149"/>
        <v>2.4649837436830193</v>
      </c>
      <c r="H1917">
        <f t="shared" si="151"/>
        <v>1.0455328667968056E-2</v>
      </c>
      <c r="I1917">
        <f t="shared" si="150"/>
        <v>1</v>
      </c>
      <c r="J1917">
        <f t="shared" si="152"/>
        <v>3</v>
      </c>
      <c r="K1917">
        <v>5.1332169175147997E-3</v>
      </c>
      <c r="L1917">
        <v>1.04858241975307E-2</v>
      </c>
      <c r="M1917">
        <v>2.0221993923187201E-2</v>
      </c>
      <c r="N1917">
        <v>1.4095222577452601E-2</v>
      </c>
      <c r="O1917">
        <f t="shared" si="153"/>
        <v>1.4737038314342501E-2</v>
      </c>
    </row>
    <row r="1918" spans="1:15" x14ac:dyDescent="0.35">
      <c r="A1918" t="s">
        <v>128</v>
      </c>
      <c r="B1918">
        <v>2013</v>
      </c>
      <c r="C1918">
        <v>2322337</v>
      </c>
      <c r="D1918" s="8">
        <v>0.94991755485534701</v>
      </c>
      <c r="E1918" s="8">
        <v>1.7000000000000001E-2</v>
      </c>
      <c r="F1918">
        <v>2.3452961849371801</v>
      </c>
      <c r="G1918">
        <f t="shared" si="149"/>
        <v>2.4689470922498327</v>
      </c>
      <c r="H1918">
        <f t="shared" si="151"/>
        <v>1.6078599207682842E-3</v>
      </c>
      <c r="I1918">
        <f t="shared" si="150"/>
        <v>1</v>
      </c>
      <c r="J1918">
        <f t="shared" si="152"/>
        <v>4</v>
      </c>
      <c r="K1918">
        <v>2.0221993923187201E-2</v>
      </c>
      <c r="L1918">
        <v>1.4095222577452601E-2</v>
      </c>
      <c r="M1918">
        <v>2.1704810500145E-2</v>
      </c>
      <c r="N1918">
        <v>1.9696786999702499E-2</v>
      </c>
      <c r="O1918">
        <f t="shared" si="153"/>
        <v>1.1084282025694865E-2</v>
      </c>
    </row>
    <row r="1919" spans="1:15" x14ac:dyDescent="0.35">
      <c r="A1919" t="s">
        <v>128</v>
      </c>
      <c r="B1919">
        <v>2014</v>
      </c>
      <c r="C1919">
        <v>2357625</v>
      </c>
      <c r="D1919" s="8">
        <v>0.95228379964828502</v>
      </c>
      <c r="E1919" s="8">
        <v>2.5999999999999999E-2</v>
      </c>
      <c r="F1919">
        <v>2.3580082377653802</v>
      </c>
      <c r="G1919">
        <f t="shared" si="149"/>
        <v>2.4761612437765748</v>
      </c>
      <c r="H1919">
        <f t="shared" si="151"/>
        <v>2.9219546864278634E-3</v>
      </c>
      <c r="I1919">
        <f t="shared" si="150"/>
        <v>1</v>
      </c>
      <c r="J1919">
        <f t="shared" si="152"/>
        <v>4</v>
      </c>
      <c r="K1919">
        <v>2.1704810500145E-2</v>
      </c>
      <c r="L1919">
        <v>1.9696786999702499E-2</v>
      </c>
      <c r="M1919">
        <v>7.5655007898807497E-2</v>
      </c>
      <c r="N1919">
        <v>4.53915558755398E-2</v>
      </c>
      <c r="O1919">
        <f t="shared" si="153"/>
        <v>6.2752816826105225E-3</v>
      </c>
    </row>
    <row r="1920" spans="1:15" x14ac:dyDescent="0.35">
      <c r="A1920" t="s">
        <v>128</v>
      </c>
      <c r="B1920">
        <v>2015</v>
      </c>
      <c r="C1920">
        <v>2397875</v>
      </c>
      <c r="D1920" s="8">
        <v>0.95033735036849998</v>
      </c>
      <c r="E1920" s="8">
        <v>2.5000000000000001E-2</v>
      </c>
      <c r="F1920">
        <v>2.2301149490858201</v>
      </c>
      <c r="G1920">
        <f t="shared" si="149"/>
        <v>2.3466561092448668</v>
      </c>
      <c r="H1920">
        <f t="shared" si="151"/>
        <v>-5.2300767915335888E-2</v>
      </c>
      <c r="I1920">
        <f t="shared" si="150"/>
        <v>0</v>
      </c>
      <c r="J1920">
        <f t="shared" si="152"/>
        <v>4</v>
      </c>
      <c r="K1920">
        <v>7.5655007898807497E-2</v>
      </c>
      <c r="L1920">
        <v>4.53915558755398E-2</v>
      </c>
      <c r="M1920">
        <v>1.2768645107746101E-2</v>
      </c>
      <c r="N1920">
        <v>-3.8491189479829897E-4</v>
      </c>
      <c r="O1920">
        <f t="shared" si="153"/>
        <v>-6.0984054580330762E-3</v>
      </c>
    </row>
    <row r="1921" spans="1:15" x14ac:dyDescent="0.35">
      <c r="A1921" t="s">
        <v>128</v>
      </c>
      <c r="B1921">
        <v>2016</v>
      </c>
      <c r="C1921">
        <v>2439731</v>
      </c>
      <c r="D1921" s="8">
        <v>0.938679218292236</v>
      </c>
      <c r="E1921" s="8">
        <v>2.9000000000000001E-2</v>
      </c>
      <c r="F1921">
        <v>2.2802009953461702</v>
      </c>
      <c r="G1921">
        <f t="shared" si="149"/>
        <v>2.429158919161543</v>
      </c>
      <c r="H1921">
        <f t="shared" si="151"/>
        <v>3.5157605578273188E-2</v>
      </c>
      <c r="I1921">
        <f t="shared" si="150"/>
        <v>1</v>
      </c>
      <c r="J1921">
        <f t="shared" si="152"/>
        <v>4</v>
      </c>
      <c r="K1921">
        <v>1.2768645107746101E-2</v>
      </c>
      <c r="L1921">
        <v>-3.8491189479829897E-4</v>
      </c>
      <c r="M1921">
        <v>-2.3238885253668001E-3</v>
      </c>
      <c r="N1921">
        <v>-5.1134619861840898E-3</v>
      </c>
      <c r="O1921">
        <f t="shared" si="153"/>
        <v>-7.4459204450249561E-3</v>
      </c>
    </row>
    <row r="1922" spans="1:15" x14ac:dyDescent="0.35">
      <c r="A1922" t="s">
        <v>128</v>
      </c>
      <c r="B1922">
        <v>2017</v>
      </c>
      <c r="C1922">
        <v>2466205</v>
      </c>
      <c r="D1922" s="8">
        <v>0.93681615591049205</v>
      </c>
      <c r="E1922" s="8">
        <v>0.03</v>
      </c>
      <c r="F1922">
        <v>2.2742654018832802</v>
      </c>
      <c r="G1922">
        <f t="shared" si="149"/>
        <v>2.4276539079035424</v>
      </c>
      <c r="H1922">
        <f t="shared" si="151"/>
        <v>-6.1956064139279121E-4</v>
      </c>
      <c r="I1922">
        <f t="shared" si="150"/>
        <v>0</v>
      </c>
      <c r="J1922">
        <f t="shared" si="152"/>
        <v>3</v>
      </c>
      <c r="K1922">
        <v>-2.3238885253668001E-3</v>
      </c>
      <c r="L1922">
        <v>-5.1134619861840898E-3</v>
      </c>
      <c r="M1922">
        <v>4.9664641022682003E-3</v>
      </c>
      <c r="N1922">
        <v>-4.1685588657855901E-3</v>
      </c>
      <c r="O1922">
        <f t="shared" si="153"/>
        <v>-6.4232280477881376E-3</v>
      </c>
    </row>
    <row r="1923" spans="1:15" x14ac:dyDescent="0.35">
      <c r="A1923" t="s">
        <v>128</v>
      </c>
      <c r="B1923">
        <v>2018</v>
      </c>
      <c r="C1923">
        <v>2484526</v>
      </c>
      <c r="D1923" s="8">
        <v>0.93947923183441195</v>
      </c>
      <c r="E1923" s="8">
        <v>3.6999999999999998E-2</v>
      </c>
      <c r="F1923">
        <v>2.2788665399699002</v>
      </c>
      <c r="G1923">
        <f t="shared" ref="G1923:G1986" si="154">F1923/D1923</f>
        <v>2.4256699485737672</v>
      </c>
      <c r="H1923">
        <f t="shared" si="151"/>
        <v>-8.1723318275150891E-4</v>
      </c>
      <c r="I1923">
        <f t="shared" ref="I1923:I1986" si="155">IF(H1923&gt;0,1,0)</f>
        <v>0</v>
      </c>
      <c r="J1923">
        <f t="shared" si="152"/>
        <v>2</v>
      </c>
      <c r="K1923">
        <v>4.9664641022682003E-3</v>
      </c>
      <c r="L1923">
        <v>-4.1685588657855901E-3</v>
      </c>
      <c r="M1923">
        <v>1.3452979892492299E-2</v>
      </c>
      <c r="N1923">
        <v>-4.3482147157191996E-3</v>
      </c>
      <c r="O1923">
        <f t="shared" si="153"/>
        <v>-1.2977106124162679E-2</v>
      </c>
    </row>
    <row r="1924" spans="1:15" x14ac:dyDescent="0.35">
      <c r="A1924" t="s">
        <v>128</v>
      </c>
      <c r="B1924">
        <v>2019</v>
      </c>
      <c r="C1924">
        <v>2502871</v>
      </c>
      <c r="D1924" s="8">
        <v>0.93470585346221902</v>
      </c>
      <c r="E1924" s="8">
        <v>3.5999999999999997E-2</v>
      </c>
      <c r="F1924">
        <v>2.2219955654101899</v>
      </c>
      <c r="G1924">
        <f t="shared" si="154"/>
        <v>2.3772137054451465</v>
      </c>
      <c r="H1924">
        <f t="shared" ref="H1924:H1987" si="156">+G1924/G1923-1</f>
        <v>-1.9976437089931243E-2</v>
      </c>
      <c r="I1924">
        <f t="shared" si="155"/>
        <v>0</v>
      </c>
      <c r="J1924" t="str">
        <f t="shared" si="152"/>
        <v/>
      </c>
      <c r="K1924">
        <v>1.3452979892492299E-2</v>
      </c>
      <c r="L1924">
        <v>-4.3482147157191996E-3</v>
      </c>
      <c r="M1924">
        <v>2.3723106011747999E-3</v>
      </c>
      <c r="N1924">
        <v>-1.64768798276782E-2</v>
      </c>
      <c r="O1924">
        <f t="shared" si="153"/>
        <v>-1.1687857098877442E-2</v>
      </c>
    </row>
    <row r="1925" spans="1:15" x14ac:dyDescent="0.35">
      <c r="A1925" t="s">
        <v>128</v>
      </c>
      <c r="B1925">
        <v>2020</v>
      </c>
      <c r="C1925">
        <v>2517556</v>
      </c>
      <c r="D1925" s="8">
        <v>0.93104350566864003</v>
      </c>
      <c r="E1925" s="8">
        <v>3.6999999999999998E-2</v>
      </c>
      <c r="F1925">
        <v>2.1701616059945201</v>
      </c>
      <c r="G1925">
        <f t="shared" si="154"/>
        <v>2.3308917282399091</v>
      </c>
      <c r="H1925">
        <f t="shared" si="156"/>
        <v>-1.9485827924992316E-2</v>
      </c>
      <c r="I1925">
        <f t="shared" si="155"/>
        <v>0</v>
      </c>
      <c r="J1925" t="str">
        <f t="shared" si="152"/>
        <v/>
      </c>
      <c r="K1925">
        <v>2.3723106011747999E-3</v>
      </c>
      <c r="L1925">
        <v>-1.64768798276782E-2</v>
      </c>
      <c r="M1925">
        <v>3.6467125892639202E-2</v>
      </c>
      <c r="N1925">
        <v>-7.1224868297577E-3</v>
      </c>
      <c r="O1925">
        <f t="shared" si="153"/>
        <v>-8.9301487430930269E-3</v>
      </c>
    </row>
    <row r="1926" spans="1:15" x14ac:dyDescent="0.35">
      <c r="A1926" t="s">
        <v>128</v>
      </c>
      <c r="B1926">
        <v>2021</v>
      </c>
      <c r="C1926">
        <v>2515004</v>
      </c>
      <c r="D1926" s="8">
        <v>0.94605481624603305</v>
      </c>
      <c r="E1926" s="8">
        <v>3.3000000000000002E-2</v>
      </c>
      <c r="F1926">
        <v>2.1429198104930598</v>
      </c>
      <c r="G1926">
        <f t="shared" si="154"/>
        <v>2.2651116760825913</v>
      </c>
      <c r="H1926">
        <f t="shared" si="156"/>
        <v>-2.8220981421127278E-2</v>
      </c>
      <c r="I1926">
        <f t="shared" si="155"/>
        <v>0</v>
      </c>
      <c r="J1926" t="str">
        <f t="shared" si="152"/>
        <v/>
      </c>
      <c r="K1926">
        <v>3.6467125892639202E-2</v>
      </c>
      <c r="L1926">
        <v>-7.1224868297577E-3</v>
      </c>
      <c r="M1926">
        <v>-3.2103506773710301E-2</v>
      </c>
      <c r="N1926">
        <v>0</v>
      </c>
      <c r="O1926">
        <f t="shared" si="153"/>
        <v>-7.1581838652491764E-3</v>
      </c>
    </row>
    <row r="1927" spans="1:15" x14ac:dyDescent="0.35">
      <c r="A1927" t="s">
        <v>128</v>
      </c>
      <c r="B1927">
        <v>2022</v>
      </c>
      <c r="C1927">
        <v>2512689</v>
      </c>
      <c r="D1927" s="8">
        <v>0.94470882415771495</v>
      </c>
      <c r="E1927" s="8">
        <v>1.7000000000000001E-2</v>
      </c>
      <c r="F1927">
        <v>2.0906960825610699</v>
      </c>
      <c r="G1927">
        <f t="shared" si="154"/>
        <v>2.2130587003091624</v>
      </c>
      <c r="H1927">
        <f t="shared" si="156"/>
        <v>-2.2980313210628212E-2</v>
      </c>
      <c r="I1927">
        <f t="shared" si="155"/>
        <v>0</v>
      </c>
      <c r="J1927" t="str">
        <f t="shared" ref="J1927:J1990" si="157">IF(AND(B1927&gt;=2010,B1927&lt;=2018),SUM(I1923:I1927),"")</f>
        <v/>
      </c>
      <c r="K1927">
        <v>-3.2103506773710301E-2</v>
      </c>
      <c r="L1927">
        <v>4.7870352864259799E-4</v>
      </c>
      <c r="M1927">
        <v>-5.6496877022087597E-2</v>
      </c>
      <c r="N1927">
        <v>-3.6937949247658301E-2</v>
      </c>
      <c r="O1927">
        <f t="shared" ref="O1927:O1990" si="158">IF(B1927&gt;=2010,AVERAGE(N1927:N1931),"")</f>
        <v>-5.2174735348671803E-3</v>
      </c>
    </row>
    <row r="1928" spans="1:15" x14ac:dyDescent="0.35">
      <c r="A1928" t="s">
        <v>129</v>
      </c>
      <c r="B1928">
        <v>2006</v>
      </c>
      <c r="C1928">
        <v>1606248</v>
      </c>
      <c r="D1928" s="8">
        <v>0.93945652246475198</v>
      </c>
      <c r="E1928" s="8">
        <v>8.9999999999999993E-3</v>
      </c>
      <c r="F1928">
        <v>2.1241352499933699</v>
      </c>
      <c r="G1928">
        <f t="shared" si="154"/>
        <v>2.2610256027820239</v>
      </c>
      <c r="H1928">
        <f t="shared" si="156"/>
        <v>2.1674482681440121E-2</v>
      </c>
      <c r="I1928">
        <f t="shared" si="155"/>
        <v>1</v>
      </c>
      <c r="J1928" t="str">
        <f t="shared" si="157"/>
        <v/>
      </c>
      <c r="K1928">
        <v>-3.6080203652381999E-3</v>
      </c>
      <c r="L1928">
        <v>-9.9710598587989894E-3</v>
      </c>
      <c r="M1928">
        <v>1.1762744784354899E-3</v>
      </c>
      <c r="N1928">
        <v>2.09803041070699E-3</v>
      </c>
      <c r="O1928" t="str">
        <f t="shared" si="158"/>
        <v/>
      </c>
    </row>
    <row r="1929" spans="1:15" x14ac:dyDescent="0.35">
      <c r="A1929" t="s">
        <v>129</v>
      </c>
      <c r="B1929">
        <v>2007</v>
      </c>
      <c r="C1929">
        <v>1602306</v>
      </c>
      <c r="D1929" s="8">
        <v>0.93830561637878396</v>
      </c>
      <c r="E1929" s="8">
        <v>1.2E-2</v>
      </c>
      <c r="F1929">
        <v>2.0887215182989798</v>
      </c>
      <c r="G1929">
        <f t="shared" si="154"/>
        <v>2.2260567152523421</v>
      </c>
      <c r="H1929">
        <f t="shared" si="156"/>
        <v>-1.5465940538955114E-2</v>
      </c>
      <c r="I1929">
        <f t="shared" si="155"/>
        <v>0</v>
      </c>
      <c r="J1929" t="str">
        <f t="shared" si="157"/>
        <v/>
      </c>
      <c r="K1929">
        <v>1.1762744784354899E-3</v>
      </c>
      <c r="L1929">
        <v>2.09803041070699E-3</v>
      </c>
      <c r="M1929">
        <v>-3.2199142325669498E-2</v>
      </c>
      <c r="N1929">
        <v>-2.68833804875612E-3</v>
      </c>
      <c r="O1929" t="str">
        <f t="shared" si="158"/>
        <v/>
      </c>
    </row>
    <row r="1930" spans="1:15" x14ac:dyDescent="0.35">
      <c r="A1930" t="s">
        <v>129</v>
      </c>
      <c r="B1930">
        <v>2008</v>
      </c>
      <c r="C1930">
        <v>1601405</v>
      </c>
      <c r="D1930" s="8">
        <v>0.93474119901657104</v>
      </c>
      <c r="E1930" s="8">
        <v>1.2E-2</v>
      </c>
      <c r="F1930">
        <v>2.0706289048872502</v>
      </c>
      <c r="G1930">
        <f t="shared" si="154"/>
        <v>2.2151895166980249</v>
      </c>
      <c r="H1930">
        <f t="shared" si="156"/>
        <v>-4.8818156697707504E-3</v>
      </c>
      <c r="I1930">
        <f t="shared" si="155"/>
        <v>0</v>
      </c>
      <c r="J1930" t="str">
        <f t="shared" si="157"/>
        <v/>
      </c>
      <c r="K1930">
        <v>-3.2199142325669498E-2</v>
      </c>
      <c r="L1930">
        <v>-2.68833804875612E-3</v>
      </c>
      <c r="M1930">
        <v>-2.4829364106059099E-2</v>
      </c>
      <c r="N1930">
        <v>1.73733755946155E-3</v>
      </c>
      <c r="O1930" t="str">
        <f t="shared" si="158"/>
        <v/>
      </c>
    </row>
    <row r="1931" spans="1:15" x14ac:dyDescent="0.35">
      <c r="A1931" t="s">
        <v>129</v>
      </c>
      <c r="B1931">
        <v>2009</v>
      </c>
      <c r="C1931">
        <v>1601950</v>
      </c>
      <c r="D1931" s="8">
        <v>0.93668752908706698</v>
      </c>
      <c r="E1931" s="8">
        <v>6.0000000000000001E-3</v>
      </c>
      <c r="F1931">
        <v>2.10274266221565</v>
      </c>
      <c r="G1931">
        <f t="shared" si="154"/>
        <v>2.2448709915728959</v>
      </c>
      <c r="H1931">
        <f t="shared" si="156"/>
        <v>1.3399067958354438E-2</v>
      </c>
      <c r="I1931">
        <f t="shared" si="155"/>
        <v>1</v>
      </c>
      <c r="J1931" t="str">
        <f t="shared" si="157"/>
        <v/>
      </c>
      <c r="K1931">
        <v>-2.4829364106059099E-2</v>
      </c>
      <c r="L1931">
        <v>1.73733755946155E-3</v>
      </c>
      <c r="M1931">
        <v>2.4344289302830001E-4</v>
      </c>
      <c r="N1931">
        <v>9.7035516519099804E-3</v>
      </c>
      <c r="O1931" t="str">
        <f t="shared" si="158"/>
        <v/>
      </c>
    </row>
    <row r="1932" spans="1:15" x14ac:dyDescent="0.35">
      <c r="A1932" t="s">
        <v>129</v>
      </c>
      <c r="B1932">
        <v>2010</v>
      </c>
      <c r="C1932">
        <v>1605854</v>
      </c>
      <c r="D1932" s="8">
        <v>0.93715906143188499</v>
      </c>
      <c r="E1932" s="8">
        <v>5.0000000000000001E-3</v>
      </c>
      <c r="F1932">
        <v>2.1083166400706199</v>
      </c>
      <c r="G1932">
        <f t="shared" si="154"/>
        <v>2.2496892222856211</v>
      </c>
      <c r="H1932">
        <f t="shared" si="156"/>
        <v>2.1463285555438638E-3</v>
      </c>
      <c r="I1932">
        <f t="shared" si="155"/>
        <v>1</v>
      </c>
      <c r="J1932">
        <f t="shared" si="157"/>
        <v>3</v>
      </c>
      <c r="K1932">
        <v>2.4344289302830001E-4</v>
      </c>
      <c r="L1932">
        <v>9.7035516519099804E-3</v>
      </c>
      <c r="M1932">
        <v>-2.5866767734289101E-2</v>
      </c>
      <c r="N1932">
        <v>-4.5829932205378697E-3</v>
      </c>
      <c r="O1932">
        <f t="shared" si="158"/>
        <v>8.1823579967028184E-5</v>
      </c>
    </row>
    <row r="1933" spans="1:15" x14ac:dyDescent="0.35">
      <c r="A1933" t="s">
        <v>129</v>
      </c>
      <c r="B1933">
        <v>2011</v>
      </c>
      <c r="C1933">
        <v>1611626</v>
      </c>
      <c r="D1933" s="8">
        <v>0.94374603033065796</v>
      </c>
      <c r="E1933" s="8">
        <v>3.0000000000000001E-3</v>
      </c>
      <c r="F1933">
        <v>2.1478906139201901</v>
      </c>
      <c r="G1933">
        <f t="shared" si="154"/>
        <v>2.275920157425869</v>
      </c>
      <c r="H1933">
        <f t="shared" si="156"/>
        <v>1.165980388775556E-2</v>
      </c>
      <c r="I1933">
        <f t="shared" si="155"/>
        <v>1</v>
      </c>
      <c r="J1933">
        <f t="shared" si="157"/>
        <v>3</v>
      </c>
      <c r="K1933">
        <v>-2.5866767734289101E-2</v>
      </c>
      <c r="L1933">
        <v>-4.5829932205378697E-3</v>
      </c>
      <c r="M1933">
        <v>-1.4745720479637301E-2</v>
      </c>
      <c r="N1933">
        <v>-9.30751441046598E-3</v>
      </c>
      <c r="O1933">
        <f t="shared" si="158"/>
        <v>1.5080743469297821E-3</v>
      </c>
    </row>
    <row r="1934" spans="1:15" x14ac:dyDescent="0.35">
      <c r="A1934" t="s">
        <v>129</v>
      </c>
      <c r="B1934">
        <v>2012</v>
      </c>
      <c r="C1934">
        <v>1619714</v>
      </c>
      <c r="D1934" s="8">
        <v>0.94713169336319003</v>
      </c>
      <c r="E1934" s="8">
        <v>4.0000000000000001E-3</v>
      </c>
      <c r="F1934">
        <v>2.1338566344687302</v>
      </c>
      <c r="G1934">
        <f t="shared" si="154"/>
        <v>2.2529671949753611</v>
      </c>
      <c r="H1934">
        <f t="shared" si="156"/>
        <v>-1.008513518174925E-2</v>
      </c>
      <c r="I1934">
        <f t="shared" si="155"/>
        <v>0</v>
      </c>
      <c r="J1934">
        <f t="shared" si="157"/>
        <v>3</v>
      </c>
      <c r="K1934">
        <v>-1.4745720479637301E-2</v>
      </c>
      <c r="L1934">
        <v>-9.3931131996214806E-3</v>
      </c>
      <c r="M1934">
        <v>7.6022321730851898E-3</v>
      </c>
      <c r="N1934">
        <v>1.47546082735059E-3</v>
      </c>
      <c r="O1934">
        <f t="shared" si="158"/>
        <v>5.5119656026363182E-3</v>
      </c>
    </row>
    <row r="1935" spans="1:15" x14ac:dyDescent="0.35">
      <c r="A1935" t="s">
        <v>129</v>
      </c>
      <c r="B1935">
        <v>2013</v>
      </c>
      <c r="C1935">
        <v>1627078</v>
      </c>
      <c r="D1935" s="8">
        <v>0.94983613491058305</v>
      </c>
      <c r="E1935" s="8">
        <v>2E-3</v>
      </c>
      <c r="F1935">
        <v>2.1514655453951601</v>
      </c>
      <c r="G1935">
        <f t="shared" si="154"/>
        <v>2.2650912787158783</v>
      </c>
      <c r="H1935">
        <f t="shared" si="156"/>
        <v>5.3813849431791905E-3</v>
      </c>
      <c r="I1935">
        <f t="shared" si="155"/>
        <v>1</v>
      </c>
      <c r="J1935">
        <f t="shared" si="157"/>
        <v>4</v>
      </c>
      <c r="K1935">
        <v>7.6022321730851898E-3</v>
      </c>
      <c r="L1935">
        <v>1.47546082735059E-3</v>
      </c>
      <c r="M1935">
        <v>-2.0104490071535001E-3</v>
      </c>
      <c r="N1935">
        <v>-4.0184725075960003E-3</v>
      </c>
      <c r="O1935">
        <f t="shared" si="158"/>
        <v>5.6020528078079201E-3</v>
      </c>
    </row>
    <row r="1936" spans="1:15" x14ac:dyDescent="0.35">
      <c r="A1936" t="s">
        <v>129</v>
      </c>
      <c r="B1936">
        <v>2014</v>
      </c>
      <c r="C1936">
        <v>1635772</v>
      </c>
      <c r="D1936" s="8">
        <v>0.94931477308273304</v>
      </c>
      <c r="E1936" s="8">
        <v>1.0999999999999999E-2</v>
      </c>
      <c r="F1936">
        <v>2.1526614386069598</v>
      </c>
      <c r="G1936">
        <f t="shared" si="154"/>
        <v>2.267595006044802</v>
      </c>
      <c r="H1936">
        <f t="shared" si="156"/>
        <v>1.1053538338388069E-3</v>
      </c>
      <c r="I1936">
        <f t="shared" si="155"/>
        <v>1</v>
      </c>
      <c r="J1936">
        <f t="shared" si="157"/>
        <v>4</v>
      </c>
      <c r="K1936">
        <v>-2.0104490071535001E-3</v>
      </c>
      <c r="L1936">
        <v>-4.0184725075960003E-3</v>
      </c>
      <c r="M1936">
        <v>4.7106089234352097E-2</v>
      </c>
      <c r="N1936">
        <v>1.6842637211084401E-2</v>
      </c>
      <c r="O1936">
        <f t="shared" si="158"/>
        <v>5.6932259351015002E-3</v>
      </c>
    </row>
    <row r="1937" spans="1:15" x14ac:dyDescent="0.35">
      <c r="A1937" t="s">
        <v>129</v>
      </c>
      <c r="B1937">
        <v>2015</v>
      </c>
      <c r="C1937">
        <v>1643122</v>
      </c>
      <c r="D1937" s="8">
        <v>0.95423442125320401</v>
      </c>
      <c r="E1937" s="8">
        <v>1.0999999999999999E-2</v>
      </c>
      <c r="F1937">
        <v>2.1293341934768901</v>
      </c>
      <c r="G1937">
        <f t="shared" si="154"/>
        <v>2.23145816798394</v>
      </c>
      <c r="H1937">
        <f t="shared" si="156"/>
        <v>-1.5936195821798393E-2</v>
      </c>
      <c r="I1937">
        <f t="shared" si="155"/>
        <v>0</v>
      </c>
      <c r="J1937">
        <f t="shared" si="157"/>
        <v>3</v>
      </c>
      <c r="K1937">
        <v>4.7106089234352097E-2</v>
      </c>
      <c r="L1937">
        <v>1.6842637211084401E-2</v>
      </c>
      <c r="M1937">
        <v>1.57018176168203E-2</v>
      </c>
      <c r="N1937">
        <v>2.5482606142758998E-3</v>
      </c>
      <c r="O1937">
        <f t="shared" si="158"/>
        <v>1.8885433673858621E-3</v>
      </c>
    </row>
    <row r="1938" spans="1:15" x14ac:dyDescent="0.35">
      <c r="A1938" t="s">
        <v>129</v>
      </c>
      <c r="B1938">
        <v>2016</v>
      </c>
      <c r="C1938">
        <v>1650556</v>
      </c>
      <c r="D1938" s="8">
        <v>0.95414054393768299</v>
      </c>
      <c r="E1938" s="8">
        <v>1.4E-2</v>
      </c>
      <c r="F1938">
        <v>2.1079925562988699</v>
      </c>
      <c r="G1938">
        <f t="shared" si="154"/>
        <v>2.2093103261279583</v>
      </c>
      <c r="H1938">
        <f t="shared" si="156"/>
        <v>-9.9252776385190256E-3</v>
      </c>
      <c r="I1938">
        <f t="shared" si="155"/>
        <v>0</v>
      </c>
      <c r="J1938">
        <f t="shared" si="157"/>
        <v>2</v>
      </c>
      <c r="K1938">
        <v>1.57018176168203E-2</v>
      </c>
      <c r="L1938">
        <v>2.5482606142758998E-3</v>
      </c>
      <c r="M1938">
        <v>1.3501515328884E-2</v>
      </c>
      <c r="N1938">
        <v>1.0711941868066699E-2</v>
      </c>
      <c r="O1938">
        <f t="shared" si="158"/>
        <v>-5.3985044360158226E-5</v>
      </c>
    </row>
    <row r="1939" spans="1:15" x14ac:dyDescent="0.35">
      <c r="A1939" t="s">
        <v>129</v>
      </c>
      <c r="B1939">
        <v>2017</v>
      </c>
      <c r="C1939">
        <v>1658554</v>
      </c>
      <c r="D1939" s="8">
        <v>0.95714169740676902</v>
      </c>
      <c r="E1939" s="8">
        <v>1.7999999999999999E-2</v>
      </c>
      <c r="F1939">
        <v>2.1373022070609502</v>
      </c>
      <c r="G1939">
        <f t="shared" si="154"/>
        <v>2.2330050115376312</v>
      </c>
      <c r="H1939">
        <f t="shared" si="156"/>
        <v>1.0724924031473737E-2</v>
      </c>
      <c r="I1939">
        <f t="shared" si="155"/>
        <v>1</v>
      </c>
      <c r="J1939">
        <f t="shared" si="157"/>
        <v>3</v>
      </c>
      <c r="K1939">
        <v>1.3501515328884E-2</v>
      </c>
      <c r="L1939">
        <v>1.0711941868066699E-2</v>
      </c>
      <c r="M1939">
        <v>1.1060919821262401E-2</v>
      </c>
      <c r="N1939">
        <v>1.9258968532086E-3</v>
      </c>
      <c r="O1939">
        <f t="shared" si="158"/>
        <v>-1.0628949850797378E-3</v>
      </c>
    </row>
    <row r="1940" spans="1:15" x14ac:dyDescent="0.35">
      <c r="A1940" t="s">
        <v>129</v>
      </c>
      <c r="B1940">
        <v>2018</v>
      </c>
      <c r="C1940">
        <v>1668074</v>
      </c>
      <c r="D1940" s="8">
        <v>0.95782113075256303</v>
      </c>
      <c r="E1940" s="8">
        <v>2.1999999999999999E-2</v>
      </c>
      <c r="F1940">
        <v>2.1054073432442402</v>
      </c>
      <c r="G1940">
        <f t="shared" si="154"/>
        <v>2.198121627980806</v>
      </c>
      <c r="H1940">
        <f t="shared" si="156"/>
        <v>-1.5621722018798634E-2</v>
      </c>
      <c r="I1940">
        <f t="shared" si="155"/>
        <v>0</v>
      </c>
      <c r="J1940">
        <f t="shared" si="157"/>
        <v>2</v>
      </c>
      <c r="K1940">
        <v>1.1060919821262401E-2</v>
      </c>
      <c r="L1940">
        <v>1.9258968532086E-3</v>
      </c>
      <c r="M1940">
        <v>1.42385877370834E-2</v>
      </c>
      <c r="N1940">
        <v>-3.5626068711281001E-3</v>
      </c>
      <c r="O1940">
        <f t="shared" si="158"/>
        <v>4.2919900268316418E-3</v>
      </c>
    </row>
    <row r="1941" spans="1:15" x14ac:dyDescent="0.35">
      <c r="A1941" t="s">
        <v>129</v>
      </c>
      <c r="B1941">
        <v>2019</v>
      </c>
      <c r="C1941">
        <v>1673045</v>
      </c>
      <c r="D1941" s="8">
        <v>0.96225070953369096</v>
      </c>
      <c r="E1941" s="8">
        <v>8.9999999999999993E-3</v>
      </c>
      <c r="F1941">
        <v>2.0775826309152401</v>
      </c>
      <c r="G1941">
        <f t="shared" si="154"/>
        <v>2.1590866188314286</v>
      </c>
      <c r="H1941">
        <f t="shared" si="156"/>
        <v>-1.7758348151660219E-2</v>
      </c>
      <c r="I1941">
        <f t="shared" si="155"/>
        <v>0</v>
      </c>
      <c r="J1941" t="str">
        <f t="shared" si="157"/>
        <v/>
      </c>
      <c r="K1941">
        <v>1.42385877370834E-2</v>
      </c>
      <c r="L1941">
        <v>-3.5626068711281001E-3</v>
      </c>
      <c r="M1941">
        <v>1.6668414801359201E-2</v>
      </c>
      <c r="N1941">
        <v>-2.1807756274937898E-3</v>
      </c>
      <c r="O1941">
        <f t="shared" si="158"/>
        <v>3.9043517783284424E-3</v>
      </c>
    </row>
    <row r="1942" spans="1:15" x14ac:dyDescent="0.35">
      <c r="A1942" t="s">
        <v>129</v>
      </c>
      <c r="B1942">
        <v>2020</v>
      </c>
      <c r="C1942">
        <v>1674171</v>
      </c>
      <c r="D1942" s="8">
        <v>0.963489890098572</v>
      </c>
      <c r="E1942" s="8">
        <v>2.3E-2</v>
      </c>
      <c r="F1942">
        <v>2.0562003690233102</v>
      </c>
      <c r="G1942">
        <f t="shared" si="154"/>
        <v>2.1341172233918781</v>
      </c>
      <c r="H1942">
        <f t="shared" si="156"/>
        <v>-1.1564795604663947E-2</v>
      </c>
      <c r="I1942">
        <f t="shared" si="155"/>
        <v>0</v>
      </c>
      <c r="J1942" t="str">
        <f t="shared" si="157"/>
        <v/>
      </c>
      <c r="K1942">
        <v>1.6668414801359201E-2</v>
      </c>
      <c r="L1942">
        <v>-2.1807756274937898E-3</v>
      </c>
      <c r="M1942">
        <v>3.6425231277942699E-2</v>
      </c>
      <c r="N1942">
        <v>-7.1643814444542001E-3</v>
      </c>
      <c r="O1942">
        <f t="shared" si="158"/>
        <v>5.5140300653874997E-3</v>
      </c>
    </row>
    <row r="1943" spans="1:15" x14ac:dyDescent="0.35">
      <c r="A1943" t="s">
        <v>129</v>
      </c>
      <c r="B1943">
        <v>2021</v>
      </c>
      <c r="C1943">
        <v>1677533</v>
      </c>
      <c r="D1943" s="8">
        <v>0.97357988357543901</v>
      </c>
      <c r="E1943" s="8">
        <v>0.01</v>
      </c>
      <c r="F1943">
        <v>2.09572781046321</v>
      </c>
      <c r="G1943">
        <f t="shared" si="154"/>
        <v>2.1525997463779971</v>
      </c>
      <c r="H1943">
        <f t="shared" si="156"/>
        <v>8.6605003621795795E-3</v>
      </c>
      <c r="I1943">
        <f t="shared" si="155"/>
        <v>1</v>
      </c>
      <c r="J1943" t="str">
        <f t="shared" si="157"/>
        <v/>
      </c>
      <c r="K1943">
        <v>3.6425231277942699E-2</v>
      </c>
      <c r="L1943">
        <v>-7.1643814444542001E-3</v>
      </c>
      <c r="M1943">
        <v>-2.6436114609241501E-2</v>
      </c>
      <c r="N1943">
        <v>5.6673921644688E-3</v>
      </c>
      <c r="O1943">
        <f t="shared" si="158"/>
        <v>8.7270504795014907E-3</v>
      </c>
    </row>
    <row r="1944" spans="1:15" x14ac:dyDescent="0.35">
      <c r="A1944" t="s">
        <v>129</v>
      </c>
      <c r="B1944">
        <v>2022</v>
      </c>
      <c r="C1944">
        <v>1682340</v>
      </c>
      <c r="D1944" s="8">
        <v>0.971452176570892</v>
      </c>
      <c r="E1944" s="8">
        <v>1.2E-2</v>
      </c>
      <c r="F1944">
        <v>2.07029981792114</v>
      </c>
      <c r="G1944">
        <f t="shared" si="154"/>
        <v>2.1311392036086083</v>
      </c>
      <c r="H1944">
        <f t="shared" si="156"/>
        <v>-9.9695927240995852E-3</v>
      </c>
      <c r="I1944">
        <f t="shared" si="155"/>
        <v>0</v>
      </c>
      <c r="J1944" t="str">
        <f t="shared" si="157"/>
        <v/>
      </c>
      <c r="K1944">
        <v>-2.6436114609241501E-2</v>
      </c>
      <c r="L1944">
        <v>6.1460956931113902E-3</v>
      </c>
      <c r="M1944">
        <v>9.1413941383362007E-3</v>
      </c>
      <c r="N1944">
        <v>2.8700321912765499E-2</v>
      </c>
      <c r="O1944">
        <f t="shared" si="158"/>
        <v>6.7787284031510329E-3</v>
      </c>
    </row>
    <row r="1945" spans="1:15" x14ac:dyDescent="0.35">
      <c r="A1945" t="s">
        <v>130</v>
      </c>
      <c r="B1945">
        <v>2006</v>
      </c>
      <c r="C1945">
        <v>194024.09375</v>
      </c>
      <c r="D1945" s="8">
        <v>0.91794699430465698</v>
      </c>
      <c r="E1945" s="8">
        <v>0</v>
      </c>
      <c r="F1945">
        <v>2.20514420719475</v>
      </c>
      <c r="G1945">
        <f t="shared" si="154"/>
        <v>2.4022565800383084</v>
      </c>
      <c r="H1945">
        <f t="shared" si="156"/>
        <v>0.12721711278673098</v>
      </c>
      <c r="I1945">
        <f t="shared" si="155"/>
        <v>1</v>
      </c>
      <c r="J1945" t="str">
        <f t="shared" si="157"/>
        <v/>
      </c>
      <c r="K1945">
        <v>-1.22968706935644E-2</v>
      </c>
      <c r="L1945">
        <v>-1.8659910187125199E-2</v>
      </c>
      <c r="M1945">
        <v>-6.4225540459155999E-3</v>
      </c>
      <c r="N1945">
        <v>-5.5007981136440997E-3</v>
      </c>
      <c r="O1945" t="str">
        <f t="shared" si="158"/>
        <v/>
      </c>
    </row>
    <row r="1946" spans="1:15" x14ac:dyDescent="0.35">
      <c r="A1946" t="s">
        <v>130</v>
      </c>
      <c r="B1946">
        <v>2007</v>
      </c>
      <c r="C1946">
        <v>194477.5</v>
      </c>
      <c r="D1946" s="8">
        <v>0.92431515455246005</v>
      </c>
      <c r="E1946" s="8">
        <v>0</v>
      </c>
      <c r="F1946">
        <v>2.0703104034350099</v>
      </c>
      <c r="G1946">
        <f t="shared" si="154"/>
        <v>2.2398317210729104</v>
      </c>
      <c r="H1946">
        <f t="shared" si="156"/>
        <v>-6.7613451583430684E-2</v>
      </c>
      <c r="I1946">
        <f t="shared" si="155"/>
        <v>0</v>
      </c>
      <c r="J1946" t="str">
        <f t="shared" si="157"/>
        <v/>
      </c>
      <c r="K1946">
        <v>-6.4225540459155999E-3</v>
      </c>
      <c r="L1946">
        <v>-5.5007981136440997E-3</v>
      </c>
      <c r="M1946">
        <v>-2.36431884691118E-2</v>
      </c>
      <c r="N1946">
        <v>5.8676158078014998E-3</v>
      </c>
      <c r="O1946" t="str">
        <f t="shared" si="158"/>
        <v/>
      </c>
    </row>
    <row r="1947" spans="1:15" x14ac:dyDescent="0.35">
      <c r="A1947" t="s">
        <v>130</v>
      </c>
      <c r="B1947">
        <v>2008</v>
      </c>
      <c r="C1947">
        <v>194838.296875</v>
      </c>
      <c r="D1947" s="8">
        <v>0.93293637037277199</v>
      </c>
      <c r="E1947" s="8">
        <v>0</v>
      </c>
      <c r="F1947">
        <v>2.12521688837478</v>
      </c>
      <c r="G1947">
        <f t="shared" si="154"/>
        <v>2.2779869623108491</v>
      </c>
      <c r="H1947">
        <f t="shared" si="156"/>
        <v>1.7034869574783063E-2</v>
      </c>
      <c r="I1947">
        <f t="shared" si="155"/>
        <v>1</v>
      </c>
      <c r="J1947" t="str">
        <f t="shared" si="157"/>
        <v/>
      </c>
      <c r="K1947">
        <v>-2.36431884691118E-2</v>
      </c>
      <c r="L1947">
        <v>5.8676158078014998E-3</v>
      </c>
      <c r="M1947">
        <v>-1.76659810394049E-2</v>
      </c>
      <c r="N1947">
        <v>8.9007206261157504E-3</v>
      </c>
      <c r="O1947" t="str">
        <f t="shared" si="158"/>
        <v/>
      </c>
    </row>
    <row r="1948" spans="1:15" x14ac:dyDescent="0.35">
      <c r="A1948" t="s">
        <v>130</v>
      </c>
      <c r="B1948">
        <v>2009</v>
      </c>
      <c r="C1948">
        <v>195223.296875</v>
      </c>
      <c r="D1948" s="8">
        <v>0.92982810735702504</v>
      </c>
      <c r="E1948" s="8">
        <v>0</v>
      </c>
      <c r="F1948">
        <v>2.3239559164733099</v>
      </c>
      <c r="G1948">
        <f t="shared" si="154"/>
        <v>2.4993392844178492</v>
      </c>
      <c r="H1948">
        <f t="shared" si="156"/>
        <v>9.7170144416653947E-2</v>
      </c>
      <c r="I1948">
        <f t="shared" si="155"/>
        <v>1</v>
      </c>
      <c r="J1948" t="str">
        <f t="shared" si="157"/>
        <v/>
      </c>
      <c r="K1948">
        <v>-1.76659810394049E-2</v>
      </c>
      <c r="L1948">
        <v>8.9007206261157504E-3</v>
      </c>
      <c r="M1948">
        <v>-1.3534326976165099E-2</v>
      </c>
      <c r="N1948">
        <v>-4.0742182172834899E-3</v>
      </c>
      <c r="O1948" t="str">
        <f t="shared" si="158"/>
        <v/>
      </c>
    </row>
    <row r="1949" spans="1:15" x14ac:dyDescent="0.35">
      <c r="A1949" t="s">
        <v>130</v>
      </c>
      <c r="B1949">
        <v>2010</v>
      </c>
      <c r="C1949">
        <v>195380.703125</v>
      </c>
      <c r="D1949" s="8">
        <v>0.92909789085388195</v>
      </c>
      <c r="E1949" s="8">
        <v>2E-3</v>
      </c>
      <c r="F1949">
        <v>2.1910512266429301</v>
      </c>
      <c r="G1949">
        <f t="shared" si="154"/>
        <v>2.3582565929939387</v>
      </c>
      <c r="H1949">
        <f t="shared" si="156"/>
        <v>-5.6447994997514628E-2</v>
      </c>
      <c r="I1949">
        <f t="shared" si="155"/>
        <v>0</v>
      </c>
      <c r="J1949">
        <f t="shared" si="157"/>
        <v>3</v>
      </c>
      <c r="K1949">
        <v>-1.3534326976165099E-2</v>
      </c>
      <c r="L1949">
        <v>-4.0742182172834899E-3</v>
      </c>
      <c r="M1949">
        <v>-2.33190193474292E-2</v>
      </c>
      <c r="N1949">
        <v>-2.0352448336779798E-3</v>
      </c>
      <c r="O1949">
        <f t="shared" si="158"/>
        <v>-4.5596980489790205E-3</v>
      </c>
    </row>
    <row r="1950" spans="1:15" x14ac:dyDescent="0.35">
      <c r="A1950" t="s">
        <v>130</v>
      </c>
      <c r="B1950">
        <v>2011</v>
      </c>
      <c r="C1950">
        <v>195084.203125</v>
      </c>
      <c r="D1950" s="8">
        <v>0.93560039997100797</v>
      </c>
      <c r="E1950" s="8">
        <v>0</v>
      </c>
      <c r="F1950">
        <v>2.4896714783474301</v>
      </c>
      <c r="G1950">
        <f t="shared" si="154"/>
        <v>2.6610414856861744</v>
      </c>
      <c r="H1950">
        <f t="shared" si="156"/>
        <v>0.12839353172668688</v>
      </c>
      <c r="I1950">
        <f t="shared" si="155"/>
        <v>1</v>
      </c>
      <c r="J1950">
        <f t="shared" si="157"/>
        <v>3</v>
      </c>
      <c r="K1950">
        <v>-2.33190193474292E-2</v>
      </c>
      <c r="L1950">
        <v>-2.0352448336779798E-3</v>
      </c>
      <c r="M1950">
        <v>-6.2728713303804003E-3</v>
      </c>
      <c r="N1950">
        <v>-8.3466526120900002E-4</v>
      </c>
      <c r="O1950">
        <f t="shared" si="158"/>
        <v>-4.3465444818138847E-3</v>
      </c>
    </row>
    <row r="1951" spans="1:15" x14ac:dyDescent="0.35">
      <c r="A1951" t="s">
        <v>130</v>
      </c>
      <c r="B1951">
        <v>2012</v>
      </c>
      <c r="C1951">
        <v>195075.390625</v>
      </c>
      <c r="D1951" s="8">
        <v>0.93877583742141701</v>
      </c>
      <c r="E1951" s="8">
        <v>0</v>
      </c>
      <c r="F1951">
        <v>2.2556658144472799</v>
      </c>
      <c r="G1951">
        <f t="shared" si="154"/>
        <v>2.4027736170149319</v>
      </c>
      <c r="H1951">
        <f t="shared" si="156"/>
        <v>-9.7055183115510757E-2</v>
      </c>
      <c r="I1951">
        <f t="shared" si="155"/>
        <v>0</v>
      </c>
      <c r="J1951">
        <f t="shared" si="157"/>
        <v>3</v>
      </c>
      <c r="K1951">
        <v>-6.2728713303804003E-3</v>
      </c>
      <c r="L1951">
        <v>-9.2026405036449899E-4</v>
      </c>
      <c r="M1951">
        <v>-6.1695776879789905E-4</v>
      </c>
      <c r="N1951">
        <v>-6.7437291145325002E-3</v>
      </c>
      <c r="O1951">
        <f t="shared" si="158"/>
        <v>-3.2559987157583042E-3</v>
      </c>
    </row>
    <row r="1952" spans="1:15" x14ac:dyDescent="0.35">
      <c r="A1952" t="s">
        <v>130</v>
      </c>
      <c r="B1952">
        <v>2013</v>
      </c>
      <c r="C1952">
        <v>195325</v>
      </c>
      <c r="D1952" s="8">
        <v>0.93871337175369296</v>
      </c>
      <c r="E1952" s="8">
        <v>0</v>
      </c>
      <c r="F1952">
        <v>2.2273227179266399</v>
      </c>
      <c r="G1952">
        <f t="shared" si="154"/>
        <v>2.3727399491130958</v>
      </c>
      <c r="H1952">
        <f t="shared" si="156"/>
        <v>-1.249958285256525E-2</v>
      </c>
      <c r="I1952">
        <f t="shared" si="155"/>
        <v>0</v>
      </c>
      <c r="J1952">
        <f t="shared" si="157"/>
        <v>2</v>
      </c>
      <c r="K1952">
        <v>-6.1695776879789905E-4</v>
      </c>
      <c r="L1952">
        <v>-6.7437291145325002E-3</v>
      </c>
      <c r="M1952">
        <v>-6.43858982622622E-3</v>
      </c>
      <c r="N1952">
        <v>-8.4466133266687306E-3</v>
      </c>
      <c r="O1952">
        <f t="shared" si="158"/>
        <v>-2.3936897516250223E-3</v>
      </c>
    </row>
    <row r="1953" spans="1:15" x14ac:dyDescent="0.35">
      <c r="A1953" t="s">
        <v>130</v>
      </c>
      <c r="B1953">
        <v>2014</v>
      </c>
      <c r="C1953">
        <v>195591.59375</v>
      </c>
      <c r="D1953" s="8">
        <v>0.94167172908783003</v>
      </c>
      <c r="E1953" s="8">
        <v>3.0000000000000001E-3</v>
      </c>
      <c r="F1953">
        <v>2.3072986108124298</v>
      </c>
      <c r="G1953">
        <f t="shared" si="154"/>
        <v>2.450215440838861</v>
      </c>
      <c r="H1953">
        <f t="shared" si="156"/>
        <v>3.2652331644993149E-2</v>
      </c>
      <c r="I1953">
        <f t="shared" si="155"/>
        <v>1</v>
      </c>
      <c r="J1953">
        <f t="shared" si="157"/>
        <v>2</v>
      </c>
      <c r="K1953">
        <v>-6.43858982622622E-3</v>
      </c>
      <c r="L1953">
        <v>-8.4466133266687306E-3</v>
      </c>
      <c r="M1953">
        <v>2.5525214314460799E-2</v>
      </c>
      <c r="N1953">
        <v>-4.7382377088068901E-3</v>
      </c>
      <c r="O1953">
        <f t="shared" si="158"/>
        <v>-2.2887583822011558E-3</v>
      </c>
    </row>
    <row r="1954" spans="1:15" x14ac:dyDescent="0.35">
      <c r="A1954" t="s">
        <v>130</v>
      </c>
      <c r="B1954">
        <v>2015</v>
      </c>
      <c r="C1954">
        <v>195728.609375</v>
      </c>
      <c r="D1954" s="8">
        <v>0.94479817152023304</v>
      </c>
      <c r="E1954" s="8">
        <v>0</v>
      </c>
      <c r="F1954">
        <v>2.21348415075781</v>
      </c>
      <c r="G1954">
        <f t="shared" si="154"/>
        <v>2.3428116368982703</v>
      </c>
      <c r="H1954">
        <f t="shared" si="156"/>
        <v>-4.3834432740257223E-2</v>
      </c>
      <c r="I1954">
        <f t="shared" si="155"/>
        <v>0</v>
      </c>
      <c r="J1954">
        <f t="shared" si="157"/>
        <v>2</v>
      </c>
      <c r="K1954">
        <v>2.5525214314460799E-2</v>
      </c>
      <c r="L1954">
        <v>-4.7382377088068901E-3</v>
      </c>
      <c r="M1954">
        <v>1.2184080004692E-2</v>
      </c>
      <c r="N1954">
        <v>-9.6947699785230104E-4</v>
      </c>
      <c r="O1954">
        <f t="shared" si="158"/>
        <v>-6.5832694992422778E-3</v>
      </c>
    </row>
    <row r="1955" spans="1:15" x14ac:dyDescent="0.35">
      <c r="A1955" t="s">
        <v>130</v>
      </c>
      <c r="B1955">
        <v>2016</v>
      </c>
      <c r="C1955">
        <v>196335.6875</v>
      </c>
      <c r="D1955" s="8">
        <v>0.95128446817398105</v>
      </c>
      <c r="E1955" s="8">
        <v>0</v>
      </c>
      <c r="F1955">
        <v>2.60974039905599</v>
      </c>
      <c r="G1955">
        <f t="shared" si="154"/>
        <v>2.7433859022900529</v>
      </c>
      <c r="H1955">
        <f t="shared" si="156"/>
        <v>0.17098014158838515</v>
      </c>
      <c r="I1955">
        <f t="shared" si="155"/>
        <v>1</v>
      </c>
      <c r="J1955">
        <f t="shared" si="157"/>
        <v>2</v>
      </c>
      <c r="K1955">
        <v>1.2184080004692E-2</v>
      </c>
      <c r="L1955">
        <v>-9.6947699785230104E-4</v>
      </c>
      <c r="M1955">
        <v>7.4076370298861898E-3</v>
      </c>
      <c r="N1955">
        <v>4.6180635690689E-3</v>
      </c>
      <c r="O1955">
        <f t="shared" si="158"/>
        <v>-1.6807991825044138E-2</v>
      </c>
    </row>
    <row r="1956" spans="1:15" x14ac:dyDescent="0.35">
      <c r="A1956" t="s">
        <v>130</v>
      </c>
      <c r="B1956">
        <v>2017</v>
      </c>
      <c r="C1956">
        <v>197416.90625</v>
      </c>
      <c r="D1956" s="8">
        <v>0.95652699470519997</v>
      </c>
      <c r="E1956" s="8">
        <v>0</v>
      </c>
      <c r="F1956">
        <v>2.3995351446661801</v>
      </c>
      <c r="G1956">
        <f t="shared" si="154"/>
        <v>2.5085911406041528</v>
      </c>
      <c r="H1956">
        <f t="shared" si="156"/>
        <v>-8.5585757909561355E-2</v>
      </c>
      <c r="I1956">
        <f t="shared" si="155"/>
        <v>0</v>
      </c>
      <c r="J1956">
        <f t="shared" si="157"/>
        <v>2</v>
      </c>
      <c r="K1956">
        <v>7.4076370298861898E-3</v>
      </c>
      <c r="L1956">
        <v>4.6180635690689E-3</v>
      </c>
      <c r="M1956">
        <v>6.7028386741876901E-3</v>
      </c>
      <c r="N1956">
        <v>-2.4321842938660899E-3</v>
      </c>
      <c r="O1956">
        <f t="shared" si="158"/>
        <v>-2.0583852939307656E-2</v>
      </c>
    </row>
    <row r="1957" spans="1:15" x14ac:dyDescent="0.35">
      <c r="A1957" t="s">
        <v>130</v>
      </c>
      <c r="B1957">
        <v>2018</v>
      </c>
      <c r="C1957">
        <v>197790.6875</v>
      </c>
      <c r="D1957" s="8">
        <v>0.94783377647399902</v>
      </c>
      <c r="E1957" s="8">
        <v>0</v>
      </c>
      <c r="F1957">
        <v>2.32630075494796</v>
      </c>
      <c r="G1957">
        <f t="shared" si="154"/>
        <v>2.4543340960077877</v>
      </c>
      <c r="H1957">
        <f t="shared" si="156"/>
        <v>-2.1628492470597727E-2</v>
      </c>
      <c r="I1957">
        <f t="shared" si="155"/>
        <v>0</v>
      </c>
      <c r="J1957">
        <f t="shared" si="157"/>
        <v>2</v>
      </c>
      <c r="K1957">
        <v>6.7028386741876901E-3</v>
      </c>
      <c r="L1957">
        <v>-2.4321842938660899E-3</v>
      </c>
      <c r="M1957">
        <v>9.8792381286621003E-3</v>
      </c>
      <c r="N1957">
        <v>-7.9219564795493993E-3</v>
      </c>
      <c r="O1957">
        <f t="shared" si="158"/>
        <v>-1.6158127225935438E-2</v>
      </c>
    </row>
    <row r="1958" spans="1:15" x14ac:dyDescent="0.35">
      <c r="A1958" t="s">
        <v>130</v>
      </c>
      <c r="B1958">
        <v>2019</v>
      </c>
      <c r="C1958">
        <v>197788.890625</v>
      </c>
      <c r="D1958" s="8">
        <v>0.95497298240661599</v>
      </c>
      <c r="E1958" s="8">
        <v>0</v>
      </c>
      <c r="F1958">
        <v>2.5185793393164002</v>
      </c>
      <c r="G1958">
        <f t="shared" si="154"/>
        <v>2.6373304645429427</v>
      </c>
      <c r="H1958">
        <f t="shared" si="156"/>
        <v>7.4560496402187537E-2</v>
      </c>
      <c r="I1958">
        <f t="shared" si="155"/>
        <v>1</v>
      </c>
      <c r="J1958" t="str">
        <f t="shared" si="157"/>
        <v/>
      </c>
      <c r="K1958">
        <v>9.8792381286621003E-3</v>
      </c>
      <c r="L1958">
        <v>-7.9219564795493993E-3</v>
      </c>
      <c r="M1958">
        <v>-7.3616028651595101E-3</v>
      </c>
      <c r="N1958">
        <v>-2.6210793294012501E-2</v>
      </c>
      <c r="O1958">
        <f t="shared" si="158"/>
        <v>-1.4438201859593361E-2</v>
      </c>
    </row>
    <row r="1959" spans="1:15" x14ac:dyDescent="0.35">
      <c r="A1959" t="s">
        <v>130</v>
      </c>
      <c r="B1959">
        <v>2020</v>
      </c>
      <c r="C1959">
        <v>197749.796875</v>
      </c>
      <c r="D1959" s="8">
        <v>0.93924665451049805</v>
      </c>
      <c r="E1959" s="8">
        <v>6.0999999999999999E-2</v>
      </c>
      <c r="F1959">
        <v>2.0098264872521199</v>
      </c>
      <c r="G1959">
        <f t="shared" si="154"/>
        <v>2.1398282097683596</v>
      </c>
      <c r="H1959">
        <f t="shared" si="156"/>
        <v>-0.18863857277772045</v>
      </c>
      <c r="I1959">
        <f t="shared" si="155"/>
        <v>0</v>
      </c>
      <c r="J1959" t="str">
        <f t="shared" si="157"/>
        <v/>
      </c>
      <c r="K1959">
        <v>-7.3616028651595101E-3</v>
      </c>
      <c r="L1959">
        <v>-2.6210793294012501E-2</v>
      </c>
      <c r="M1959">
        <v>-8.5034759044646992E-3</v>
      </c>
      <c r="N1959">
        <v>-5.20930886268616E-2</v>
      </c>
      <c r="O1959">
        <f t="shared" si="158"/>
        <v>-1.0209080483764387E-2</v>
      </c>
    </row>
    <row r="1960" spans="1:15" x14ac:dyDescent="0.35">
      <c r="A1960" t="s">
        <v>130</v>
      </c>
      <c r="B1960">
        <v>2021</v>
      </c>
      <c r="C1960">
        <v>196755.59375</v>
      </c>
      <c r="D1960" s="8">
        <v>0.96257144212722801</v>
      </c>
      <c r="E1960" s="8">
        <v>4.5999999999999999E-2</v>
      </c>
      <c r="F1960">
        <v>2.2573575453976198</v>
      </c>
      <c r="G1960">
        <f t="shared" si="154"/>
        <v>2.3451324718391691</v>
      </c>
      <c r="H1960">
        <f t="shared" si="156"/>
        <v>9.5944273065282193E-2</v>
      </c>
      <c r="I1960">
        <f t="shared" si="155"/>
        <v>1</v>
      </c>
      <c r="J1960" t="str">
        <f t="shared" si="157"/>
        <v/>
      </c>
      <c r="K1960">
        <v>-8.5034759044646992E-3</v>
      </c>
      <c r="L1960">
        <v>-5.20930886268616E-2</v>
      </c>
      <c r="M1960">
        <v>-4.6364748775959003E-2</v>
      </c>
      <c r="N1960">
        <v>-1.42612420022487E-2</v>
      </c>
      <c r="O1960">
        <f t="shared" si="158"/>
        <v>-5.8440817520019649E-4</v>
      </c>
    </row>
    <row r="1961" spans="1:15" x14ac:dyDescent="0.35">
      <c r="A1961" t="s">
        <v>130</v>
      </c>
      <c r="B1961">
        <v>2022</v>
      </c>
      <c r="C1961">
        <v>196848.609375</v>
      </c>
      <c r="D1961" s="8">
        <v>0.94504874944686901</v>
      </c>
      <c r="E1961" s="8">
        <v>5.2999999999999999E-2</v>
      </c>
      <c r="F1961">
        <v>1.88934407150505</v>
      </c>
      <c r="G1961">
        <f t="shared" si="154"/>
        <v>1.9992027634668275</v>
      </c>
      <c r="H1961">
        <f t="shared" si="156"/>
        <v>-0.1475096663094031</v>
      </c>
      <c r="I1961">
        <f t="shared" si="155"/>
        <v>0</v>
      </c>
      <c r="J1961" t="str">
        <f t="shared" si="157"/>
        <v/>
      </c>
      <c r="K1961">
        <v>-4.6364748775959003E-2</v>
      </c>
      <c r="L1961">
        <v>-1.3782538473606099E-2</v>
      </c>
      <c r="M1961">
        <v>1.37516498565699E-4</v>
      </c>
      <c r="N1961">
        <v>1.9696444272994999E-2</v>
      </c>
      <c r="O1961">
        <f t="shared" si="158"/>
        <v>6.8240805994719241E-3</v>
      </c>
    </row>
    <row r="1962" spans="1:15" x14ac:dyDescent="0.35">
      <c r="A1962" t="s">
        <v>131</v>
      </c>
      <c r="B1962">
        <v>2006</v>
      </c>
      <c r="C1962">
        <v>1000477</v>
      </c>
      <c r="D1962" s="8">
        <v>0.93014585971832298</v>
      </c>
      <c r="E1962" s="8">
        <v>7.0000000000000001E-3</v>
      </c>
      <c r="F1962">
        <v>2.1514828123827501</v>
      </c>
      <c r="G1962">
        <f t="shared" si="154"/>
        <v>2.3130596023233236</v>
      </c>
      <c r="H1962">
        <f t="shared" si="156"/>
        <v>0.15699099890810242</v>
      </c>
      <c r="I1962">
        <f t="shared" si="155"/>
        <v>1</v>
      </c>
      <c r="J1962" t="str">
        <f t="shared" si="157"/>
        <v/>
      </c>
      <c r="K1962">
        <v>2.6128232777119001E-3</v>
      </c>
      <c r="L1962">
        <v>-3.7502162158488902E-3</v>
      </c>
      <c r="M1962">
        <v>-2.4408558011050201E-4</v>
      </c>
      <c r="N1962">
        <v>6.7767035216099796E-4</v>
      </c>
      <c r="O1962" t="str">
        <f t="shared" si="158"/>
        <v/>
      </c>
    </row>
    <row r="1963" spans="1:15" x14ac:dyDescent="0.35">
      <c r="A1963" t="s">
        <v>131</v>
      </c>
      <c r="B1963">
        <v>2007</v>
      </c>
      <c r="C1963">
        <v>1045141</v>
      </c>
      <c r="D1963" s="8">
        <v>0.90794855356216397</v>
      </c>
      <c r="E1963" s="8">
        <v>5.5E-2</v>
      </c>
      <c r="F1963">
        <v>2.2123417260951799</v>
      </c>
      <c r="G1963">
        <f t="shared" si="154"/>
        <v>2.4366377559779977</v>
      </c>
      <c r="H1963">
        <f t="shared" si="156"/>
        <v>5.3426272946251574E-2</v>
      </c>
      <c r="I1963">
        <f t="shared" si="155"/>
        <v>1</v>
      </c>
      <c r="J1963" t="str">
        <f t="shared" si="157"/>
        <v/>
      </c>
      <c r="K1963">
        <v>-2.4408558011050201E-4</v>
      </c>
      <c r="L1963">
        <v>6.7767035216099796E-4</v>
      </c>
      <c r="M1963">
        <v>-3.4575990691781001E-2</v>
      </c>
      <c r="N1963">
        <v>-5.06518641486763E-3</v>
      </c>
      <c r="O1963" t="str">
        <f t="shared" si="158"/>
        <v/>
      </c>
    </row>
    <row r="1964" spans="1:15" x14ac:dyDescent="0.35">
      <c r="A1964" t="s">
        <v>131</v>
      </c>
      <c r="B1964">
        <v>2008</v>
      </c>
      <c r="C1964">
        <v>1085434</v>
      </c>
      <c r="D1964" s="8">
        <v>0.90478467941284202</v>
      </c>
      <c r="E1964" s="8">
        <v>3.2000000000000001E-2</v>
      </c>
      <c r="F1964">
        <v>2.2187179996030899</v>
      </c>
      <c r="G1964">
        <f t="shared" si="154"/>
        <v>2.4522055358440884</v>
      </c>
      <c r="H1964">
        <f t="shared" si="156"/>
        <v>6.3890415503482512E-3</v>
      </c>
      <c r="I1964">
        <f t="shared" si="155"/>
        <v>1</v>
      </c>
      <c r="J1964" t="str">
        <f t="shared" si="157"/>
        <v/>
      </c>
      <c r="K1964">
        <v>-3.4575990691781001E-2</v>
      </c>
      <c r="L1964">
        <v>-5.06518641486763E-3</v>
      </c>
      <c r="M1964">
        <v>-3.0536428749561299E-2</v>
      </c>
      <c r="N1964">
        <v>-3.9697270840406496E-3</v>
      </c>
      <c r="O1964" t="str">
        <f t="shared" si="158"/>
        <v/>
      </c>
    </row>
    <row r="1965" spans="1:15" x14ac:dyDescent="0.35">
      <c r="A1965" t="s">
        <v>131</v>
      </c>
      <c r="B1965">
        <v>2009</v>
      </c>
      <c r="C1965">
        <v>1116966</v>
      </c>
      <c r="D1965" s="8">
        <v>0.912045478820801</v>
      </c>
      <c r="E1965" s="8">
        <v>4.4999999999999998E-2</v>
      </c>
      <c r="F1965">
        <v>2.2689384422110499</v>
      </c>
      <c r="G1965">
        <f t="shared" si="154"/>
        <v>2.487747042115267</v>
      </c>
      <c r="H1965">
        <f t="shared" si="156"/>
        <v>1.4493689762813622E-2</v>
      </c>
      <c r="I1965">
        <f t="shared" si="155"/>
        <v>1</v>
      </c>
      <c r="J1965" t="str">
        <f t="shared" si="157"/>
        <v/>
      </c>
      <c r="K1965">
        <v>-3.0536428749561299E-2</v>
      </c>
      <c r="L1965">
        <v>-3.9697270840406496E-3</v>
      </c>
      <c r="M1965">
        <v>1.3321093112230301E-2</v>
      </c>
      <c r="N1965">
        <v>2.2781201871111899E-2</v>
      </c>
      <c r="O1965" t="str">
        <f t="shared" si="158"/>
        <v/>
      </c>
    </row>
    <row r="1966" spans="1:15" x14ac:dyDescent="0.35">
      <c r="A1966" t="s">
        <v>131</v>
      </c>
      <c r="B1966">
        <v>2010</v>
      </c>
      <c r="C1966">
        <v>1143674</v>
      </c>
      <c r="D1966" s="8">
        <v>0.932952880859375</v>
      </c>
      <c r="E1966" s="8">
        <v>1.9E-2</v>
      </c>
      <c r="F1966">
        <v>2.3228567398840498</v>
      </c>
      <c r="G1966">
        <f t="shared" si="154"/>
        <v>2.4897899856897237</v>
      </c>
      <c r="H1966">
        <f t="shared" si="156"/>
        <v>8.2120229262527822E-4</v>
      </c>
      <c r="I1966">
        <f t="shared" si="155"/>
        <v>1</v>
      </c>
      <c r="J1966">
        <f t="shared" si="157"/>
        <v>5</v>
      </c>
      <c r="K1966">
        <v>1.3321093112230301E-2</v>
      </c>
      <c r="L1966">
        <v>2.2781201871111899E-2</v>
      </c>
      <c r="M1966">
        <v>-3.7764686793089002E-3</v>
      </c>
      <c r="N1966">
        <v>1.7507305834442301E-2</v>
      </c>
      <c r="O1966">
        <f t="shared" si="158"/>
        <v>1.1642580386251201E-2</v>
      </c>
    </row>
    <row r="1967" spans="1:15" x14ac:dyDescent="0.35">
      <c r="A1967" t="s">
        <v>131</v>
      </c>
      <c r="B1967">
        <v>2011</v>
      </c>
      <c r="C1967">
        <v>1168675</v>
      </c>
      <c r="D1967" s="8">
        <v>0.93852317333221402</v>
      </c>
      <c r="E1967" s="8">
        <v>3.0000000000000001E-3</v>
      </c>
      <c r="F1967">
        <v>2.2778304790180601</v>
      </c>
      <c r="G1967">
        <f t="shared" si="154"/>
        <v>2.4270370127683192</v>
      </c>
      <c r="H1967">
        <f t="shared" si="156"/>
        <v>-2.5204122950964747E-2</v>
      </c>
      <c r="I1967">
        <f t="shared" si="155"/>
        <v>0</v>
      </c>
      <c r="J1967">
        <f t="shared" si="157"/>
        <v>4</v>
      </c>
      <c r="K1967">
        <v>-3.7764686793089002E-3</v>
      </c>
      <c r="L1967">
        <v>1.7507305834442301E-2</v>
      </c>
      <c r="M1967">
        <v>8.3657202273606998E-3</v>
      </c>
      <c r="N1967">
        <v>1.38039262965321E-2</v>
      </c>
      <c r="O1967">
        <f t="shared" si="158"/>
        <v>8.0743437632918406E-3</v>
      </c>
    </row>
    <row r="1968" spans="1:15" x14ac:dyDescent="0.35">
      <c r="A1968" t="s">
        <v>131</v>
      </c>
      <c r="B1968">
        <v>2012</v>
      </c>
      <c r="C1968">
        <v>1194577</v>
      </c>
      <c r="D1968" s="8">
        <v>0.94266158342361495</v>
      </c>
      <c r="E1968" s="8">
        <v>8.0000000000000002E-3</v>
      </c>
      <c r="F1968">
        <v>2.3298265460030101</v>
      </c>
      <c r="G1968">
        <f t="shared" si="154"/>
        <v>2.4715407808827914</v>
      </c>
      <c r="H1968">
        <f t="shared" si="156"/>
        <v>1.8336666429207282E-2</v>
      </c>
      <c r="I1968">
        <f t="shared" si="155"/>
        <v>1</v>
      </c>
      <c r="J1968">
        <f t="shared" si="157"/>
        <v>4</v>
      </c>
      <c r="K1968">
        <v>8.3657202273606998E-3</v>
      </c>
      <c r="L1968">
        <v>1.37183275073766E-2</v>
      </c>
      <c r="M1968">
        <v>8.3826134353875998E-3</v>
      </c>
      <c r="N1968">
        <v>2.255842089653E-3</v>
      </c>
      <c r="O1968">
        <f t="shared" si="158"/>
        <v>4.1336189955473203E-3</v>
      </c>
    </row>
    <row r="1969" spans="1:15" x14ac:dyDescent="0.35">
      <c r="A1969" t="s">
        <v>131</v>
      </c>
      <c r="B1969">
        <v>2013</v>
      </c>
      <c r="C1969">
        <v>1220689</v>
      </c>
      <c r="D1969" s="8">
        <v>0.91875022649765004</v>
      </c>
      <c r="E1969" s="8">
        <v>6.7000000000000004E-2</v>
      </c>
      <c r="F1969">
        <v>2.3229427792915498</v>
      </c>
      <c r="G1969">
        <f t="shared" si="154"/>
        <v>2.5283724697917029</v>
      </c>
      <c r="H1969">
        <f t="shared" si="156"/>
        <v>2.2994437052587191E-2</v>
      </c>
      <c r="I1969">
        <f t="shared" si="155"/>
        <v>1</v>
      </c>
      <c r="J1969">
        <f t="shared" si="157"/>
        <v>4</v>
      </c>
      <c r="K1969">
        <v>8.3826134353875998E-3</v>
      </c>
      <c r="L1969">
        <v>2.255842089653E-3</v>
      </c>
      <c r="M1969">
        <v>5.3432088494301004E-3</v>
      </c>
      <c r="N1969">
        <v>3.3351853489876002E-3</v>
      </c>
      <c r="O1969">
        <f t="shared" si="158"/>
        <v>5.4121654480696006E-3</v>
      </c>
    </row>
    <row r="1970" spans="1:15" x14ac:dyDescent="0.35">
      <c r="A1970" t="s">
        <v>131</v>
      </c>
      <c r="B1970">
        <v>2014</v>
      </c>
      <c r="C1970">
        <v>1249191</v>
      </c>
      <c r="D1970" s="8">
        <v>0.92118924856185902</v>
      </c>
      <c r="E1970" s="8">
        <v>5.2999999999999999E-2</v>
      </c>
      <c r="F1970">
        <v>2.38759115937685</v>
      </c>
      <c r="G1970">
        <f t="shared" si="154"/>
        <v>2.5918573877238646</v>
      </c>
      <c r="H1970">
        <f t="shared" si="156"/>
        <v>2.5109005374272186E-2</v>
      </c>
      <c r="I1970">
        <f t="shared" si="155"/>
        <v>1</v>
      </c>
      <c r="J1970">
        <f t="shared" si="157"/>
        <v>4</v>
      </c>
      <c r="K1970">
        <v>5.3432088494301004E-3</v>
      </c>
      <c r="L1970">
        <v>3.3351853489876002E-3</v>
      </c>
      <c r="M1970">
        <v>5.1574094384908599E-2</v>
      </c>
      <c r="N1970">
        <v>2.1310642361641E-2</v>
      </c>
      <c r="O1970">
        <f t="shared" si="158"/>
        <v>7.9773779958486595E-3</v>
      </c>
    </row>
    <row r="1971" spans="1:15" x14ac:dyDescent="0.35">
      <c r="A1971" t="s">
        <v>131</v>
      </c>
      <c r="B1971">
        <v>2015</v>
      </c>
      <c r="C1971">
        <v>1279838</v>
      </c>
      <c r="D1971" s="8">
        <v>0.92436033487319902</v>
      </c>
      <c r="E1971" s="8">
        <v>3.2000000000000001E-2</v>
      </c>
      <c r="F1971">
        <v>2.3712791977149199</v>
      </c>
      <c r="G1971">
        <f t="shared" si="154"/>
        <v>2.5653190733678604</v>
      </c>
      <c r="H1971">
        <f t="shared" si="156"/>
        <v>-1.0239110562834552E-2</v>
      </c>
      <c r="I1971">
        <f t="shared" si="155"/>
        <v>0</v>
      </c>
      <c r="J1971">
        <f t="shared" si="157"/>
        <v>3</v>
      </c>
      <c r="K1971">
        <v>5.1574094384908599E-2</v>
      </c>
      <c r="L1971">
        <v>2.1310642361641E-2</v>
      </c>
      <c r="M1971">
        <v>1.28196797221899E-2</v>
      </c>
      <c r="N1971">
        <v>-3.33877280354499E-4</v>
      </c>
      <c r="O1971">
        <f t="shared" si="158"/>
        <v>2.2611089050769799E-3</v>
      </c>
    </row>
    <row r="1972" spans="1:15" x14ac:dyDescent="0.35">
      <c r="A1972" t="s">
        <v>131</v>
      </c>
      <c r="B1972">
        <v>2016</v>
      </c>
      <c r="C1972">
        <v>1312233</v>
      </c>
      <c r="D1972" s="8">
        <v>0.91179364919662498</v>
      </c>
      <c r="E1972" s="8">
        <v>4.5999999999999999E-2</v>
      </c>
      <c r="F1972">
        <v>2.2932626083092602</v>
      </c>
      <c r="G1972">
        <f t="shared" si="154"/>
        <v>2.5151114074218852</v>
      </c>
      <c r="H1972">
        <f t="shared" si="156"/>
        <v>-1.95717041467518E-2</v>
      </c>
      <c r="I1972">
        <f t="shared" si="155"/>
        <v>0</v>
      </c>
      <c r="J1972">
        <f t="shared" si="157"/>
        <v>3</v>
      </c>
      <c r="K1972">
        <v>1.28196797221899E-2</v>
      </c>
      <c r="L1972">
        <v>-3.33877280354499E-4</v>
      </c>
      <c r="M1972">
        <v>-3.1101240813732E-3</v>
      </c>
      <c r="N1972">
        <v>-5.8996975421904997E-3</v>
      </c>
      <c r="O1972">
        <f t="shared" si="158"/>
        <v>1.6245521232485679E-2</v>
      </c>
    </row>
    <row r="1973" spans="1:15" x14ac:dyDescent="0.35">
      <c r="A1973" t="s">
        <v>131</v>
      </c>
      <c r="B1973">
        <v>2017</v>
      </c>
      <c r="C1973">
        <v>1342077</v>
      </c>
      <c r="D1973" s="8">
        <v>0.91099220514297496</v>
      </c>
      <c r="E1973" s="8">
        <v>3.1E-2</v>
      </c>
      <c r="F1973">
        <v>2.45029885164295</v>
      </c>
      <c r="G1973">
        <f t="shared" si="154"/>
        <v>2.6897034220598952</v>
      </c>
      <c r="H1973">
        <f t="shared" si="156"/>
        <v>6.9417209163301186E-2</v>
      </c>
      <c r="I1973">
        <f t="shared" si="155"/>
        <v>1</v>
      </c>
      <c r="J1973">
        <f t="shared" si="157"/>
        <v>3</v>
      </c>
      <c r="K1973">
        <v>-3.1101240813732E-3</v>
      </c>
      <c r="L1973">
        <v>-5.8996975421904997E-3</v>
      </c>
      <c r="M1973">
        <v>1.7783597320318201E-2</v>
      </c>
      <c r="N1973">
        <v>8.6485743522644008E-3</v>
      </c>
      <c r="O1973">
        <f t="shared" si="158"/>
        <v>1.6593974456190978E-2</v>
      </c>
    </row>
    <row r="1974" spans="1:15" x14ac:dyDescent="0.35">
      <c r="A1974" t="s">
        <v>131</v>
      </c>
      <c r="B1974">
        <v>2018</v>
      </c>
      <c r="C1974">
        <v>1370178</v>
      </c>
      <c r="D1974" s="8">
        <v>0.92173773050308205</v>
      </c>
      <c r="E1974" s="8">
        <v>3.6999999999999998E-2</v>
      </c>
      <c r="F1974">
        <v>2.2779998597377</v>
      </c>
      <c r="G1974">
        <f t="shared" si="154"/>
        <v>2.4714186957437163</v>
      </c>
      <c r="H1974">
        <f t="shared" si="156"/>
        <v>-8.1155685986006088E-2</v>
      </c>
      <c r="I1974">
        <f t="shared" si="155"/>
        <v>0</v>
      </c>
      <c r="J1974">
        <f t="shared" si="157"/>
        <v>2</v>
      </c>
      <c r="K1974">
        <v>1.7783597320318201E-2</v>
      </c>
      <c r="L1974">
        <v>8.6485743522644008E-3</v>
      </c>
      <c r="M1974">
        <v>3.3962442696094497E-2</v>
      </c>
      <c r="N1974">
        <v>1.6161248087882898E-2</v>
      </c>
      <c r="O1974">
        <f t="shared" si="158"/>
        <v>5.1203392446040191E-3</v>
      </c>
    </row>
    <row r="1975" spans="1:15" x14ac:dyDescent="0.35">
      <c r="A1975" t="s">
        <v>131</v>
      </c>
      <c r="B1975">
        <v>2019</v>
      </c>
      <c r="C1975">
        <v>1399575</v>
      </c>
      <c r="D1975" s="8">
        <v>0.92251771688461304</v>
      </c>
      <c r="E1975" s="8">
        <v>3.7999999999999999E-2</v>
      </c>
      <c r="F1975">
        <v>2.2341455919208602</v>
      </c>
      <c r="G1975">
        <f t="shared" si="154"/>
        <v>2.4217915288019376</v>
      </c>
      <c r="H1975">
        <f t="shared" si="156"/>
        <v>-2.0080436806295454E-2</v>
      </c>
      <c r="I1975">
        <f t="shared" si="155"/>
        <v>0</v>
      </c>
      <c r="J1975" t="str">
        <f t="shared" si="157"/>
        <v/>
      </c>
      <c r="K1975">
        <v>3.3962442696094497E-2</v>
      </c>
      <c r="L1975">
        <v>1.6161248087882898E-2</v>
      </c>
      <c r="M1975">
        <v>1.15784873366356E-2</v>
      </c>
      <c r="N1975">
        <v>-7.2707030922174003E-3</v>
      </c>
      <c r="O1975">
        <f t="shared" si="158"/>
        <v>2.767490409314558E-3</v>
      </c>
    </row>
    <row r="1976" spans="1:15" x14ac:dyDescent="0.35">
      <c r="A1976" t="s">
        <v>131</v>
      </c>
      <c r="B1976">
        <v>2020</v>
      </c>
      <c r="C1976">
        <v>1425645</v>
      </c>
      <c r="D1976" s="8">
        <v>0.91788214445114102</v>
      </c>
      <c r="E1976" s="8">
        <v>0.05</v>
      </c>
      <c r="F1976">
        <v>2.0340388568468799</v>
      </c>
      <c r="G1976">
        <f t="shared" si="154"/>
        <v>2.2160131005306334</v>
      </c>
      <c r="H1976">
        <f t="shared" si="156"/>
        <v>-8.4969505353378993E-2</v>
      </c>
      <c r="I1976">
        <f t="shared" si="155"/>
        <v>0</v>
      </c>
      <c r="J1976" t="str">
        <f t="shared" si="157"/>
        <v/>
      </c>
      <c r="K1976">
        <v>1.15784873366356E-2</v>
      </c>
      <c r="L1976">
        <v>-7.2707030922174003E-3</v>
      </c>
      <c r="M1976">
        <v>0.113177797079086</v>
      </c>
      <c r="N1976">
        <v>6.9588184356688995E-2</v>
      </c>
      <c r="O1976">
        <f t="shared" si="158"/>
        <v>3.944109193980614E-3</v>
      </c>
    </row>
    <row r="1977" spans="1:15" x14ac:dyDescent="0.35">
      <c r="A1977" t="s">
        <v>131</v>
      </c>
      <c r="B1977">
        <v>2021</v>
      </c>
      <c r="C1977">
        <v>1458960</v>
      </c>
      <c r="D1977" s="8">
        <v>0.944854736328125</v>
      </c>
      <c r="E1977" s="8">
        <v>0.02</v>
      </c>
      <c r="F1977">
        <v>2.1988312397596901</v>
      </c>
      <c r="G1977">
        <f t="shared" si="154"/>
        <v>2.3271632720017288</v>
      </c>
      <c r="H1977">
        <f t="shared" si="156"/>
        <v>5.0157723094904183E-2</v>
      </c>
      <c r="I1977">
        <f t="shared" si="155"/>
        <v>1</v>
      </c>
      <c r="J1977" t="str">
        <f t="shared" si="157"/>
        <v/>
      </c>
      <c r="K1977">
        <v>0.113177797079086</v>
      </c>
      <c r="L1977">
        <v>6.9588184356688995E-2</v>
      </c>
      <c r="M1977">
        <v>-3.6260938197374297E-2</v>
      </c>
      <c r="N1977">
        <v>-4.1574314236640002E-3</v>
      </c>
      <c r="O1977">
        <f t="shared" si="158"/>
        <v>-9.8112689331173765E-3</v>
      </c>
    </row>
    <row r="1978" spans="1:15" x14ac:dyDescent="0.35">
      <c r="A1978" t="s">
        <v>131</v>
      </c>
      <c r="B1978">
        <v>2022</v>
      </c>
      <c r="C1978">
        <v>1492837</v>
      </c>
      <c r="D1978" s="8">
        <v>0.91462326049804699</v>
      </c>
      <c r="E1978" s="8">
        <v>3.6999999999999998E-2</v>
      </c>
      <c r="F1978">
        <v>2.09454541492329</v>
      </c>
      <c r="G1978">
        <f t="shared" si="154"/>
        <v>2.2900635763218298</v>
      </c>
      <c r="H1978">
        <f t="shared" si="156"/>
        <v>-1.5942025265802462E-2</v>
      </c>
      <c r="I1978">
        <f t="shared" si="155"/>
        <v>0</v>
      </c>
      <c r="J1978" t="str">
        <f t="shared" si="157"/>
        <v/>
      </c>
      <c r="K1978">
        <v>-3.6260938197374297E-2</v>
      </c>
      <c r="L1978">
        <v>-3.6787278950214E-3</v>
      </c>
      <c r="M1978">
        <v>-6.8278529480099701E-2</v>
      </c>
      <c r="N1978">
        <v>-4.8719601705670398E-2</v>
      </c>
      <c r="O1978">
        <f t="shared" si="158"/>
        <v>-6.8502865266055176E-3</v>
      </c>
    </row>
    <row r="1979" spans="1:15" x14ac:dyDescent="0.35">
      <c r="A1979" t="s">
        <v>132</v>
      </c>
      <c r="B1979">
        <v>2006</v>
      </c>
      <c r="C1979">
        <v>402658.59375</v>
      </c>
      <c r="D1979" s="8">
        <v>0.93449783325195301</v>
      </c>
      <c r="E1979" s="8">
        <v>0</v>
      </c>
      <c r="F1979">
        <v>2.4479138494824499</v>
      </c>
      <c r="G1979">
        <f t="shared" si="154"/>
        <v>2.619496549247172</v>
      </c>
      <c r="H1979">
        <f t="shared" si="156"/>
        <v>0.14385319968035937</v>
      </c>
      <c r="I1979">
        <f t="shared" si="155"/>
        <v>1</v>
      </c>
      <c r="J1979" t="str">
        <f t="shared" si="157"/>
        <v/>
      </c>
      <c r="K1979">
        <v>1.52272760868099E-4</v>
      </c>
      <c r="L1979">
        <v>-6.2107667326926899E-3</v>
      </c>
      <c r="M1979">
        <v>3.4752479791640999E-3</v>
      </c>
      <c r="N1979">
        <v>4.3970039114355998E-3</v>
      </c>
      <c r="O1979" t="str">
        <f t="shared" si="158"/>
        <v/>
      </c>
    </row>
    <row r="1980" spans="1:15" x14ac:dyDescent="0.35">
      <c r="A1980" t="s">
        <v>132</v>
      </c>
      <c r="B1980">
        <v>2007</v>
      </c>
      <c r="C1980">
        <v>405848.78125</v>
      </c>
      <c r="D1980" s="8">
        <v>0.93309563398361195</v>
      </c>
      <c r="E1980" s="8">
        <v>0</v>
      </c>
      <c r="F1980">
        <v>2.5150706047510201</v>
      </c>
      <c r="G1980">
        <f t="shared" si="154"/>
        <v>2.6954049650983496</v>
      </c>
      <c r="H1980">
        <f t="shared" si="156"/>
        <v>2.8978246172148392E-2</v>
      </c>
      <c r="I1980">
        <f t="shared" si="155"/>
        <v>1</v>
      </c>
      <c r="J1980" t="str">
        <f t="shared" si="157"/>
        <v/>
      </c>
      <c r="K1980">
        <v>3.4752479791640999E-3</v>
      </c>
      <c r="L1980">
        <v>4.3970039114355998E-3</v>
      </c>
      <c r="M1980">
        <v>-3.08984134458005E-2</v>
      </c>
      <c r="N1980">
        <v>-1.3876091688871299E-3</v>
      </c>
      <c r="O1980" t="str">
        <f t="shared" si="158"/>
        <v/>
      </c>
    </row>
    <row r="1981" spans="1:15" x14ac:dyDescent="0.35">
      <c r="A1981" t="s">
        <v>132</v>
      </c>
      <c r="B1981">
        <v>2008</v>
      </c>
      <c r="C1981">
        <v>408296.125</v>
      </c>
      <c r="D1981" s="8">
        <v>0.93195068836212203</v>
      </c>
      <c r="E1981" s="8">
        <v>1.9E-2</v>
      </c>
      <c r="F1981">
        <v>2.26421298000245</v>
      </c>
      <c r="G1981">
        <f t="shared" si="154"/>
        <v>2.4295416144621802</v>
      </c>
      <c r="H1981">
        <f t="shared" si="156"/>
        <v>-9.8635772389945364E-2</v>
      </c>
      <c r="I1981">
        <f t="shared" si="155"/>
        <v>0</v>
      </c>
      <c r="J1981" t="str">
        <f t="shared" si="157"/>
        <v/>
      </c>
      <c r="K1981">
        <v>-3.08984134458005E-2</v>
      </c>
      <c r="L1981">
        <v>-1.3876091688871299E-3</v>
      </c>
      <c r="M1981">
        <v>-2.5755407944321601E-2</v>
      </c>
      <c r="N1981">
        <v>8.1129372119904898E-4</v>
      </c>
      <c r="O1981" t="str">
        <f t="shared" si="158"/>
        <v/>
      </c>
    </row>
    <row r="1982" spans="1:15" x14ac:dyDescent="0.35">
      <c r="A1982" t="s">
        <v>132</v>
      </c>
      <c r="B1982">
        <v>2009</v>
      </c>
      <c r="C1982">
        <v>410513.6875</v>
      </c>
      <c r="D1982" s="8">
        <v>0.92951619625091597</v>
      </c>
      <c r="E1982" s="8">
        <v>2.5999999999999999E-2</v>
      </c>
      <c r="F1982">
        <v>2.1078759537287701</v>
      </c>
      <c r="G1982">
        <f t="shared" si="154"/>
        <v>2.2677129911567078</v>
      </c>
      <c r="H1982">
        <f t="shared" si="156"/>
        <v>-6.6608706079437141E-2</v>
      </c>
      <c r="I1982">
        <f t="shared" si="155"/>
        <v>0</v>
      </c>
      <c r="J1982" t="str">
        <f t="shared" si="157"/>
        <v/>
      </c>
      <c r="K1982">
        <v>-2.5755407944321601E-2</v>
      </c>
      <c r="L1982">
        <v>8.1129372119904898E-4</v>
      </c>
      <c r="M1982">
        <v>1.1873718500137001E-3</v>
      </c>
      <c r="N1982">
        <v>1.06474806088953E-2</v>
      </c>
      <c r="O1982" t="str">
        <f t="shared" si="158"/>
        <v/>
      </c>
    </row>
    <row r="1983" spans="1:15" x14ac:dyDescent="0.35">
      <c r="A1983" t="s">
        <v>132</v>
      </c>
      <c r="B1983">
        <v>2010</v>
      </c>
      <c r="C1983">
        <v>412694.6875</v>
      </c>
      <c r="D1983" s="8">
        <v>0.93431299924850497</v>
      </c>
      <c r="E1983" s="8">
        <v>0</v>
      </c>
      <c r="F1983">
        <v>2.3109151531104599</v>
      </c>
      <c r="G1983">
        <f t="shared" si="154"/>
        <v>2.4733843529622255</v>
      </c>
      <c r="H1983">
        <f t="shared" si="156"/>
        <v>9.0695499213332864E-2</v>
      </c>
      <c r="I1983">
        <f t="shared" si="155"/>
        <v>1</v>
      </c>
      <c r="J1983">
        <f t="shared" si="157"/>
        <v>3</v>
      </c>
      <c r="K1983">
        <v>1.1873718500137001E-3</v>
      </c>
      <c r="L1983">
        <v>1.06474806088953E-2</v>
      </c>
      <c r="M1983">
        <v>-2.1169663749635199E-2</v>
      </c>
      <c r="N1983">
        <v>1.141107641161E-4</v>
      </c>
      <c r="O1983">
        <f t="shared" si="158"/>
        <v>-2.0766780711710398E-3</v>
      </c>
    </row>
    <row r="1984" spans="1:15" x14ac:dyDescent="0.35">
      <c r="A1984" t="s">
        <v>132</v>
      </c>
      <c r="B1984">
        <v>2011</v>
      </c>
      <c r="C1984">
        <v>414294.09375</v>
      </c>
      <c r="D1984" s="8">
        <v>0.93686974048614502</v>
      </c>
      <c r="E1984" s="8">
        <v>0</v>
      </c>
      <c r="F1984">
        <v>2.4113516269583699</v>
      </c>
      <c r="G1984">
        <f t="shared" si="154"/>
        <v>2.5738387341949065</v>
      </c>
      <c r="H1984">
        <f t="shared" si="156"/>
        <v>4.061414115132278E-2</v>
      </c>
      <c r="I1984">
        <f t="shared" si="155"/>
        <v>1</v>
      </c>
      <c r="J1984">
        <f t="shared" si="157"/>
        <v>3</v>
      </c>
      <c r="K1984">
        <v>-2.1169663749635199E-2</v>
      </c>
      <c r="L1984">
        <v>1.141107641161E-4</v>
      </c>
      <c r="M1984">
        <v>-1.04042620435357E-2</v>
      </c>
      <c r="N1984">
        <v>-4.9660559743642998E-3</v>
      </c>
      <c r="O1984">
        <f t="shared" si="158"/>
        <v>-3.8610361516475957E-4</v>
      </c>
    </row>
    <row r="1985" spans="1:15" x14ac:dyDescent="0.35">
      <c r="A1985" t="s">
        <v>132</v>
      </c>
      <c r="B1985">
        <v>2012</v>
      </c>
      <c r="C1985">
        <v>415620.21875</v>
      </c>
      <c r="D1985" s="8">
        <v>0.93268638849258401</v>
      </c>
      <c r="E1985" s="8">
        <v>1E-3</v>
      </c>
      <c r="F1985">
        <v>2.24578870273734</v>
      </c>
      <c r="G1985">
        <f t="shared" si="154"/>
        <v>2.4078712099219155</v>
      </c>
      <c r="H1985">
        <f t="shared" si="156"/>
        <v>-6.4482487604222594E-2</v>
      </c>
      <c r="I1985">
        <f t="shared" si="155"/>
        <v>0</v>
      </c>
      <c r="J1985">
        <f t="shared" si="157"/>
        <v>2</v>
      </c>
      <c r="K1985">
        <v>-1.04042620435357E-2</v>
      </c>
      <c r="L1985">
        <v>-5.0516547635198004E-3</v>
      </c>
      <c r="M1985">
        <v>1.77099429070949E-3</v>
      </c>
      <c r="N1985">
        <v>-4.3557770550250998E-3</v>
      </c>
      <c r="O1985">
        <f t="shared" si="158"/>
        <v>2.7903310954570599E-3</v>
      </c>
    </row>
    <row r="1986" spans="1:15" x14ac:dyDescent="0.35">
      <c r="A1986" t="s">
        <v>132</v>
      </c>
      <c r="B1986">
        <v>2013</v>
      </c>
      <c r="C1986">
        <v>416818.5</v>
      </c>
      <c r="D1986" s="8">
        <v>0.93054896593093905</v>
      </c>
      <c r="E1986" s="8">
        <v>7.0000000000000001E-3</v>
      </c>
      <c r="F1986">
        <v>2.5329431609077799</v>
      </c>
      <c r="G1986">
        <f t="shared" si="154"/>
        <v>2.7219880453832701</v>
      </c>
      <c r="H1986">
        <f t="shared" si="156"/>
        <v>0.13045416804976928</v>
      </c>
      <c r="I1986">
        <f t="shared" si="155"/>
        <v>1</v>
      </c>
      <c r="J1986">
        <f t="shared" si="157"/>
        <v>3</v>
      </c>
      <c r="K1986">
        <v>1.77099429070949E-3</v>
      </c>
      <c r="L1986">
        <v>-4.3557770550250998E-3</v>
      </c>
      <c r="M1986">
        <v>3.745796918869E-3</v>
      </c>
      <c r="N1986">
        <v>1.73777341842649E-3</v>
      </c>
      <c r="O1986">
        <f t="shared" si="158"/>
        <v>4.8538729548454201E-3</v>
      </c>
    </row>
    <row r="1987" spans="1:15" x14ac:dyDescent="0.35">
      <c r="A1987" t="s">
        <v>132</v>
      </c>
      <c r="B1987">
        <v>2014</v>
      </c>
      <c r="C1987">
        <v>418274.90625</v>
      </c>
      <c r="D1987" s="8">
        <v>0.93367218971252397</v>
      </c>
      <c r="E1987" s="8">
        <v>2.3E-2</v>
      </c>
      <c r="F1987">
        <v>2.41666848050845</v>
      </c>
      <c r="G1987">
        <f t="shared" ref="G1987:G2050" si="159">F1987/D1987</f>
        <v>2.5883479310362003</v>
      </c>
      <c r="H1987">
        <f t="shared" si="156"/>
        <v>-4.9096510388329961E-2</v>
      </c>
      <c r="I1987">
        <f t="shared" ref="I1987:I2050" si="160">IF(H1987&gt;0,1,0)</f>
        <v>0</v>
      </c>
      <c r="J1987">
        <f t="shared" si="157"/>
        <v>3</v>
      </c>
      <c r="K1987">
        <v>3.745796918869E-3</v>
      </c>
      <c r="L1987">
        <v>1.73777341842649E-3</v>
      </c>
      <c r="M1987">
        <v>2.7350010514259299E-2</v>
      </c>
      <c r="N1987">
        <v>-2.9134415090083898E-3</v>
      </c>
      <c r="O1987">
        <f t="shared" si="158"/>
        <v>5.6967005133628798E-3</v>
      </c>
    </row>
    <row r="1988" spans="1:15" x14ac:dyDescent="0.35">
      <c r="A1988" t="s">
        <v>132</v>
      </c>
      <c r="B1988">
        <v>2015</v>
      </c>
      <c r="C1988">
        <v>419631.8125</v>
      </c>
      <c r="D1988" s="8">
        <v>0.93165397644043002</v>
      </c>
      <c r="E1988" s="8">
        <v>2E-3</v>
      </c>
      <c r="F1988">
        <v>2.2930196114580599</v>
      </c>
      <c r="G1988">
        <f t="shared" si="159"/>
        <v>2.4612352541219207</v>
      </c>
      <c r="H1988">
        <f t="shared" ref="H1988:H2051" si="161">+G1988/G1987-1</f>
        <v>-4.9109578890111694E-2</v>
      </c>
      <c r="I1988">
        <f t="shared" si="160"/>
        <v>0</v>
      </c>
      <c r="J1988">
        <f t="shared" si="157"/>
        <v>2</v>
      </c>
      <c r="K1988">
        <v>2.7350010514259299E-2</v>
      </c>
      <c r="L1988">
        <v>-2.9134415090083898E-3</v>
      </c>
      <c r="M1988">
        <v>2.17205400466919E-2</v>
      </c>
      <c r="N1988">
        <v>8.5669830441475001E-3</v>
      </c>
      <c r="O1988">
        <f t="shared" si="158"/>
        <v>1.1335651949048037E-2</v>
      </c>
    </row>
    <row r="1989" spans="1:15" x14ac:dyDescent="0.35">
      <c r="A1989" t="s">
        <v>132</v>
      </c>
      <c r="B1989">
        <v>2016</v>
      </c>
      <c r="C1989">
        <v>421373.90625</v>
      </c>
      <c r="D1989" s="8">
        <v>0.93030500411987305</v>
      </c>
      <c r="E1989" s="8">
        <v>6.0000000000000001E-3</v>
      </c>
      <c r="F1989">
        <v>2.3792967298401999</v>
      </c>
      <c r="G1989">
        <f t="shared" si="159"/>
        <v>2.5575448044495515</v>
      </c>
      <c r="H1989">
        <f t="shared" si="161"/>
        <v>3.9130574847056065E-2</v>
      </c>
      <c r="I1989">
        <f t="shared" si="160"/>
        <v>1</v>
      </c>
      <c r="J1989">
        <f t="shared" si="157"/>
        <v>2</v>
      </c>
      <c r="K1989">
        <v>2.17205400466919E-2</v>
      </c>
      <c r="L1989">
        <v>8.5669830441475001E-3</v>
      </c>
      <c r="M1989">
        <v>1.3705691039562099E-2</v>
      </c>
      <c r="N1989">
        <v>1.09161175787448E-2</v>
      </c>
      <c r="O1989">
        <f t="shared" si="158"/>
        <v>5.5989656597375788E-3</v>
      </c>
    </row>
    <row r="1990" spans="1:15" x14ac:dyDescent="0.35">
      <c r="A1990" t="s">
        <v>132</v>
      </c>
      <c r="B1990">
        <v>2017</v>
      </c>
      <c r="C1990">
        <v>424099.40625</v>
      </c>
      <c r="D1990" s="8">
        <v>0.937416791915894</v>
      </c>
      <c r="E1990" s="8">
        <v>2E-3</v>
      </c>
      <c r="F1990">
        <v>2.3598691130068898</v>
      </c>
      <c r="G1990">
        <f t="shared" si="159"/>
        <v>2.5174171546295705</v>
      </c>
      <c r="H1990">
        <f t="shared" si="161"/>
        <v>-1.568991078872517E-2</v>
      </c>
      <c r="I1990">
        <f t="shared" si="160"/>
        <v>0</v>
      </c>
      <c r="J1990">
        <f t="shared" si="157"/>
        <v>2</v>
      </c>
      <c r="K1990">
        <v>1.3705691039562099E-2</v>
      </c>
      <c r="L1990">
        <v>1.09161175787448E-2</v>
      </c>
      <c r="M1990">
        <v>1.50969552099705E-2</v>
      </c>
      <c r="N1990">
        <v>5.9619322419166999E-3</v>
      </c>
      <c r="O1990">
        <f t="shared" si="158"/>
        <v>3.0884433537721775E-3</v>
      </c>
    </row>
    <row r="1991" spans="1:15" x14ac:dyDescent="0.35">
      <c r="A1991" t="s">
        <v>132</v>
      </c>
      <c r="B1991">
        <v>2018</v>
      </c>
      <c r="C1991">
        <v>426955.40625</v>
      </c>
      <c r="D1991" s="8">
        <v>0.93497794866561901</v>
      </c>
      <c r="E1991" s="8">
        <v>0.01</v>
      </c>
      <c r="F1991">
        <v>2.3334752408693702</v>
      </c>
      <c r="G1991">
        <f t="shared" si="159"/>
        <v>2.4957543054353928</v>
      </c>
      <c r="H1991">
        <f t="shared" si="161"/>
        <v>-8.6051885180568055E-3</v>
      </c>
      <c r="I1991">
        <f t="shared" si="160"/>
        <v>0</v>
      </c>
      <c r="J1991">
        <f t="shared" ref="J1991:J2054" si="162">IF(AND(B1991&gt;=2010,B1991&lt;=2018),SUM(I1987:I1991),"")</f>
        <v>1</v>
      </c>
      <c r="K1991">
        <v>1.50969552099705E-2</v>
      </c>
      <c r="L1991">
        <v>5.9619322419166999E-3</v>
      </c>
      <c r="M1991">
        <v>2.3753105819225299E-2</v>
      </c>
      <c r="N1991">
        <v>5.9519112110137896E-3</v>
      </c>
      <c r="O1991">
        <f t="shared" ref="O1991:O2054" si="163">IF(B1991&gt;=2010,AVERAGE(N1991:N1995),"")</f>
        <v>5.9643346816301377E-3</v>
      </c>
    </row>
    <row r="1992" spans="1:15" x14ac:dyDescent="0.35">
      <c r="A1992" t="s">
        <v>132</v>
      </c>
      <c r="B1992">
        <v>2019</v>
      </c>
      <c r="C1992">
        <v>427951</v>
      </c>
      <c r="D1992" s="8">
        <v>0.94151699542999301</v>
      </c>
      <c r="E1992" s="8">
        <v>2.8000000000000001E-2</v>
      </c>
      <c r="F1992">
        <v>2.2451378499679402</v>
      </c>
      <c r="G1992">
        <f t="shared" si="159"/>
        <v>2.3845962004568815</v>
      </c>
      <c r="H1992">
        <f t="shared" si="161"/>
        <v>-4.4538881386050333E-2</v>
      </c>
      <c r="I1992">
        <f t="shared" si="160"/>
        <v>0</v>
      </c>
      <c r="J1992" t="str">
        <f t="shared" si="162"/>
        <v/>
      </c>
      <c r="K1992">
        <v>2.3753105819225299E-2</v>
      </c>
      <c r="L1992">
        <v>5.9519112110137896E-3</v>
      </c>
      <c r="M1992">
        <v>4.4130506098270399E-2</v>
      </c>
      <c r="N1992">
        <v>2.5281315669417399E-2</v>
      </c>
      <c r="O1992">
        <f t="shared" si="163"/>
        <v>6.4593153074383788E-3</v>
      </c>
    </row>
    <row r="1993" spans="1:15" x14ac:dyDescent="0.35">
      <c r="A1993" t="s">
        <v>132</v>
      </c>
      <c r="B1993">
        <v>2020</v>
      </c>
      <c r="C1993">
        <v>428930.78125</v>
      </c>
      <c r="D1993" s="8">
        <v>0.96512818336486805</v>
      </c>
      <c r="E1993" s="8">
        <v>0</v>
      </c>
      <c r="F1993">
        <v>2.2635832668807501</v>
      </c>
      <c r="G1993">
        <f t="shared" si="159"/>
        <v>2.345370600399304</v>
      </c>
      <c r="H1993">
        <f t="shared" si="161"/>
        <v>-1.6449577521788328E-2</v>
      </c>
      <c r="I1993">
        <f t="shared" si="160"/>
        <v>0</v>
      </c>
      <c r="J1993" t="str">
        <f t="shared" si="162"/>
        <v/>
      </c>
      <c r="K1993">
        <v>4.4130506098270399E-2</v>
      </c>
      <c r="L1993">
        <v>2.5281315669417399E-2</v>
      </c>
      <c r="M1993">
        <v>2.3473164319991999E-2</v>
      </c>
      <c r="N1993">
        <v>-2.0116448402404799E-2</v>
      </c>
      <c r="O1993">
        <f t="shared" si="163"/>
        <v>2.1719881333411207E-4</v>
      </c>
    </row>
    <row r="1994" spans="1:15" x14ac:dyDescent="0.35">
      <c r="A1994" t="s">
        <v>132</v>
      </c>
      <c r="B1994">
        <v>2021</v>
      </c>
      <c r="C1994">
        <v>430248.1875</v>
      </c>
      <c r="D1994" s="8">
        <v>0.968744337558746</v>
      </c>
      <c r="E1994" s="8">
        <v>0</v>
      </c>
      <c r="F1994">
        <v>2.3483632137399599</v>
      </c>
      <c r="G1994">
        <f t="shared" si="159"/>
        <v>2.4241310350859746</v>
      </c>
      <c r="H1994">
        <f t="shared" si="161"/>
        <v>3.3581232182777976E-2</v>
      </c>
      <c r="I1994">
        <f t="shared" si="160"/>
        <v>1</v>
      </c>
      <c r="J1994" t="str">
        <f t="shared" si="162"/>
        <v/>
      </c>
      <c r="K1994">
        <v>2.3473164319991999E-2</v>
      </c>
      <c r="L1994">
        <v>-2.0116448402404799E-2</v>
      </c>
      <c r="M1994">
        <v>-3.3740000724792503E-2</v>
      </c>
      <c r="N1994">
        <v>-1.6364939510821999E-3</v>
      </c>
      <c r="O1994">
        <f t="shared" si="163"/>
        <v>-2.7221025433391286E-3</v>
      </c>
    </row>
    <row r="1995" spans="1:15" x14ac:dyDescent="0.35">
      <c r="A1995" t="s">
        <v>132</v>
      </c>
      <c r="B1995">
        <v>2022</v>
      </c>
      <c r="C1995">
        <v>432953.40625</v>
      </c>
      <c r="D1995" s="8">
        <v>0.96434950828552202</v>
      </c>
      <c r="E1995" s="8">
        <v>2E-3</v>
      </c>
      <c r="F1995">
        <v>2.2447915485933199</v>
      </c>
      <c r="G1995">
        <f t="shared" si="159"/>
        <v>2.3277779781152623</v>
      </c>
      <c r="H1995">
        <f t="shared" si="161"/>
        <v>-3.9747462317891946E-2</v>
      </c>
      <c r="I1995">
        <f t="shared" si="160"/>
        <v>0</v>
      </c>
      <c r="J1995" t="str">
        <f t="shared" si="162"/>
        <v/>
      </c>
      <c r="K1995">
        <v>-3.3740000724792503E-2</v>
      </c>
      <c r="L1995">
        <v>-1.1577904224395999E-3</v>
      </c>
      <c r="M1995">
        <v>7.8246110677719595E-4</v>
      </c>
      <c r="N1995">
        <v>2.0341388881206499E-2</v>
      </c>
      <c r="O1995">
        <f t="shared" si="163"/>
        <v>-3.5155503544956465E-3</v>
      </c>
    </row>
    <row r="1996" spans="1:15" x14ac:dyDescent="0.35">
      <c r="A1996" t="s">
        <v>133</v>
      </c>
      <c r="B1996">
        <v>2006</v>
      </c>
      <c r="C1996">
        <v>406432.59375</v>
      </c>
      <c r="D1996" s="8">
        <v>0.94774931669235196</v>
      </c>
      <c r="E1996" s="8">
        <v>2E-3</v>
      </c>
      <c r="F1996">
        <v>2.2266009031376499</v>
      </c>
      <c r="G1996">
        <f t="shared" si="159"/>
        <v>2.3493563792886647</v>
      </c>
      <c r="H1996">
        <f t="shared" si="161"/>
        <v>9.2699567468517152E-3</v>
      </c>
      <c r="I1996">
        <f t="shared" si="160"/>
        <v>1</v>
      </c>
      <c r="J1996" t="str">
        <f t="shared" si="162"/>
        <v/>
      </c>
      <c r="K1996">
        <v>2.4422751396894399E-2</v>
      </c>
      <c r="L1996">
        <v>1.8059711903333699E-2</v>
      </c>
      <c r="M1996">
        <v>7.5050584077834999E-3</v>
      </c>
      <c r="N1996">
        <v>8.4268143400549993E-3</v>
      </c>
      <c r="O1996" t="str">
        <f t="shared" si="163"/>
        <v/>
      </c>
    </row>
    <row r="1997" spans="1:15" x14ac:dyDescent="0.35">
      <c r="A1997" t="s">
        <v>133</v>
      </c>
      <c r="B1997">
        <v>2007</v>
      </c>
      <c r="C1997">
        <v>414263.21875</v>
      </c>
      <c r="D1997" s="8">
        <v>0.93346440792083696</v>
      </c>
      <c r="E1997" s="8">
        <v>1.2E-2</v>
      </c>
      <c r="F1997">
        <v>2.2667273259025702</v>
      </c>
      <c r="G1997">
        <f t="shared" si="159"/>
        <v>2.4282953979481579</v>
      </c>
      <c r="H1997">
        <f t="shared" si="161"/>
        <v>3.3600274251875728E-2</v>
      </c>
      <c r="I1997">
        <f t="shared" si="160"/>
        <v>1</v>
      </c>
      <c r="J1997" t="str">
        <f t="shared" si="162"/>
        <v/>
      </c>
      <c r="K1997">
        <v>7.5050584077834999E-3</v>
      </c>
      <c r="L1997">
        <v>8.4268143400549993E-3</v>
      </c>
      <c r="M1997">
        <v>-3.5440071078017298E-2</v>
      </c>
      <c r="N1997">
        <v>-5.92926680110394E-3</v>
      </c>
      <c r="O1997" t="str">
        <f t="shared" si="163"/>
        <v/>
      </c>
    </row>
    <row r="1998" spans="1:15" x14ac:dyDescent="0.35">
      <c r="A1998" t="s">
        <v>133</v>
      </c>
      <c r="B1998">
        <v>2008</v>
      </c>
      <c r="C1998">
        <v>419633.59375</v>
      </c>
      <c r="D1998" s="8">
        <v>0.914292812347412</v>
      </c>
      <c r="E1998" s="8">
        <v>2.1000000000000001E-2</v>
      </c>
      <c r="F1998">
        <v>2.4055506678397101</v>
      </c>
      <c r="G1998">
        <f t="shared" si="159"/>
        <v>2.631050616775112</v>
      </c>
      <c r="H1998">
        <f t="shared" si="161"/>
        <v>8.3496933280142294E-2</v>
      </c>
      <c r="I1998">
        <f t="shared" si="160"/>
        <v>1</v>
      </c>
      <c r="J1998" t="str">
        <f t="shared" si="162"/>
        <v/>
      </c>
      <c r="K1998">
        <v>-3.5440071078017298E-2</v>
      </c>
      <c r="L1998">
        <v>-5.92926680110394E-3</v>
      </c>
      <c r="M1998">
        <v>-6.1379656851291597E-2</v>
      </c>
      <c r="N1998">
        <v>-3.4812955185771002E-2</v>
      </c>
      <c r="O1998" t="str">
        <f t="shared" si="163"/>
        <v/>
      </c>
    </row>
    <row r="1999" spans="1:15" x14ac:dyDescent="0.35">
      <c r="A1999" t="s">
        <v>133</v>
      </c>
      <c r="B1999">
        <v>2009</v>
      </c>
      <c r="C1999">
        <v>422923.5</v>
      </c>
      <c r="D1999" s="8">
        <v>0.90484923124313399</v>
      </c>
      <c r="E1999" s="8">
        <v>0.01</v>
      </c>
      <c r="F1999">
        <v>2.4571561502302202</v>
      </c>
      <c r="G1999">
        <f t="shared" si="159"/>
        <v>2.7155420653388163</v>
      </c>
      <c r="H1999">
        <f t="shared" si="161"/>
        <v>3.211319768042542E-2</v>
      </c>
      <c r="I1999">
        <f t="shared" si="160"/>
        <v>1</v>
      </c>
      <c r="J1999" t="str">
        <f t="shared" si="162"/>
        <v/>
      </c>
      <c r="K1999">
        <v>-6.1379656851291597E-2</v>
      </c>
      <c r="L1999">
        <v>-3.4812955185771002E-2</v>
      </c>
      <c r="M1999">
        <v>-1.50638417657464E-2</v>
      </c>
      <c r="N1999">
        <v>-5.6037330068647896E-3</v>
      </c>
      <c r="O1999" t="str">
        <f t="shared" si="163"/>
        <v/>
      </c>
    </row>
    <row r="2000" spans="1:15" x14ac:dyDescent="0.35">
      <c r="A2000" t="s">
        <v>133</v>
      </c>
      <c r="B2000">
        <v>2010</v>
      </c>
      <c r="C2000">
        <v>426999.5</v>
      </c>
      <c r="D2000" s="8">
        <v>0.92122560739517201</v>
      </c>
      <c r="E2000" s="8">
        <v>0</v>
      </c>
      <c r="F2000">
        <v>2.4073340656799198</v>
      </c>
      <c r="G2000">
        <f t="shared" si="159"/>
        <v>2.6131862231737353</v>
      </c>
      <c r="H2000">
        <f t="shared" si="161"/>
        <v>-3.7692600483546612E-2</v>
      </c>
      <c r="I2000">
        <f t="shared" si="160"/>
        <v>0</v>
      </c>
      <c r="J2000">
        <f t="shared" si="162"/>
        <v>4</v>
      </c>
      <c r="K2000">
        <v>-1.50638417657464E-2</v>
      </c>
      <c r="L2000">
        <v>-5.6037330068647896E-3</v>
      </c>
      <c r="M2000">
        <v>-1.87851780727506E-2</v>
      </c>
      <c r="N2000">
        <v>2.4985964410007E-3</v>
      </c>
      <c r="O2000">
        <f t="shared" si="163"/>
        <v>8.5685900412499801E-3</v>
      </c>
    </row>
    <row r="2001" spans="1:15" x14ac:dyDescent="0.35">
      <c r="A2001" t="s">
        <v>133</v>
      </c>
      <c r="B2001">
        <v>2011</v>
      </c>
      <c r="C2001">
        <v>430318.78125</v>
      </c>
      <c r="D2001" s="8">
        <v>0.92878359556198098</v>
      </c>
      <c r="E2001" s="8">
        <v>0</v>
      </c>
      <c r="F2001">
        <v>2.39530441122858</v>
      </c>
      <c r="G2001">
        <f t="shared" si="159"/>
        <v>2.5789693343789608</v>
      </c>
      <c r="H2001">
        <f t="shared" si="161"/>
        <v>-1.3093934328651802E-2</v>
      </c>
      <c r="I2001">
        <f t="shared" si="160"/>
        <v>0</v>
      </c>
      <c r="J2001">
        <f t="shared" si="162"/>
        <v>3</v>
      </c>
      <c r="K2001">
        <v>-1.87851780727506E-2</v>
      </c>
      <c r="L2001">
        <v>2.4985964410007E-3</v>
      </c>
      <c r="M2001">
        <v>-6.0000413134694E-3</v>
      </c>
      <c r="N2001">
        <v>-5.6183524429800002E-4</v>
      </c>
      <c r="O2001">
        <f t="shared" si="163"/>
        <v>1.6813140362501137E-2</v>
      </c>
    </row>
    <row r="2002" spans="1:15" x14ac:dyDescent="0.35">
      <c r="A2002" t="s">
        <v>133</v>
      </c>
      <c r="B2002">
        <v>2012</v>
      </c>
      <c r="C2002">
        <v>434845.625</v>
      </c>
      <c r="D2002" s="8">
        <v>0.93261009454727195</v>
      </c>
      <c r="E2002" s="8">
        <v>-5.0000000000000001E-3</v>
      </c>
      <c r="F2002">
        <v>2.4291541979560698</v>
      </c>
      <c r="G2002">
        <f t="shared" si="159"/>
        <v>2.6046835780126134</v>
      </c>
      <c r="H2002">
        <f t="shared" si="161"/>
        <v>9.970744239130358E-3</v>
      </c>
      <c r="I2002">
        <f t="shared" si="160"/>
        <v>1</v>
      </c>
      <c r="J2002">
        <f t="shared" si="162"/>
        <v>3</v>
      </c>
      <c r="K2002">
        <v>-6.0000413134694E-3</v>
      </c>
      <c r="L2002">
        <v>-6.4743403345349899E-4</v>
      </c>
      <c r="M2002">
        <v>1.5724201351404201E-2</v>
      </c>
      <c r="N2002">
        <v>9.5974300056696007E-3</v>
      </c>
      <c r="O2002">
        <f t="shared" si="163"/>
        <v>2.4862207844853379E-2</v>
      </c>
    </row>
    <row r="2003" spans="1:15" x14ac:dyDescent="0.35">
      <c r="A2003" t="s">
        <v>133</v>
      </c>
      <c r="B2003">
        <v>2013</v>
      </c>
      <c r="C2003">
        <v>439916.1875</v>
      </c>
      <c r="D2003" s="8">
        <v>0.94653803110122703</v>
      </c>
      <c r="E2003" s="8">
        <v>0</v>
      </c>
      <c r="F2003">
        <v>2.41901217768027</v>
      </c>
      <c r="G2003">
        <f t="shared" si="159"/>
        <v>2.5556418212440213</v>
      </c>
      <c r="H2003">
        <f t="shared" si="161"/>
        <v>-1.8828297295908514E-2</v>
      </c>
      <c r="I2003">
        <f t="shared" si="160"/>
        <v>0</v>
      </c>
      <c r="J2003">
        <f t="shared" si="162"/>
        <v>2</v>
      </c>
      <c r="K2003">
        <v>1.5724201351404201E-2</v>
      </c>
      <c r="L2003">
        <v>9.5974300056696007E-3</v>
      </c>
      <c r="M2003">
        <v>1.2556339442729899E-2</v>
      </c>
      <c r="N2003">
        <v>1.05483159422874E-2</v>
      </c>
      <c r="O2003">
        <f t="shared" si="163"/>
        <v>3.0129981786012637E-2</v>
      </c>
    </row>
    <row r="2004" spans="1:15" x14ac:dyDescent="0.35">
      <c r="A2004" t="s">
        <v>133</v>
      </c>
      <c r="B2004">
        <v>2014</v>
      </c>
      <c r="C2004">
        <v>446480.8125</v>
      </c>
      <c r="D2004" s="8">
        <v>0.95149391889572099</v>
      </c>
      <c r="E2004" s="8">
        <v>1.9E-2</v>
      </c>
      <c r="F2004">
        <v>2.3560822228994098</v>
      </c>
      <c r="G2004">
        <f t="shared" si="159"/>
        <v>2.4761926231055869</v>
      </c>
      <c r="H2004">
        <f t="shared" si="161"/>
        <v>-3.1087767259873944E-2</v>
      </c>
      <c r="I2004">
        <f t="shared" si="160"/>
        <v>0</v>
      </c>
      <c r="J2004">
        <f t="shared" si="162"/>
        <v>1</v>
      </c>
      <c r="K2004">
        <v>1.2556339442729899E-2</v>
      </c>
      <c r="L2004">
        <v>1.05483159422874E-2</v>
      </c>
      <c r="M2004">
        <v>5.1023895084857898E-2</v>
      </c>
      <c r="N2004">
        <v>2.0760443061590202E-2</v>
      </c>
      <c r="O2004">
        <f t="shared" si="163"/>
        <v>2.7702979743480675E-2</v>
      </c>
    </row>
    <row r="2005" spans="1:15" x14ac:dyDescent="0.35">
      <c r="A2005" t="s">
        <v>133</v>
      </c>
      <c r="B2005">
        <v>2015</v>
      </c>
      <c r="C2005">
        <v>453981.90625</v>
      </c>
      <c r="D2005" s="8">
        <v>0.95753425359725997</v>
      </c>
      <c r="E2005" s="8">
        <v>0.01</v>
      </c>
      <c r="F2005">
        <v>2.3760353030041999</v>
      </c>
      <c r="G2005">
        <f t="shared" si="159"/>
        <v>2.4814102410205403</v>
      </c>
      <c r="H2005">
        <f t="shared" si="161"/>
        <v>2.1071131002763366E-3</v>
      </c>
      <c r="I2005">
        <f t="shared" si="160"/>
        <v>1</v>
      </c>
      <c r="J2005">
        <f t="shared" si="162"/>
        <v>2</v>
      </c>
      <c r="K2005">
        <v>5.1023895084857898E-2</v>
      </c>
      <c r="L2005">
        <v>2.0760443061590202E-2</v>
      </c>
      <c r="M2005">
        <v>5.6874905049800903E-2</v>
      </c>
      <c r="N2005">
        <v>4.3721348047256497E-2</v>
      </c>
      <c r="O2005">
        <f t="shared" si="163"/>
        <v>2.8676009550690655E-2</v>
      </c>
    </row>
    <row r="2006" spans="1:15" x14ac:dyDescent="0.35">
      <c r="A2006" t="s">
        <v>133</v>
      </c>
      <c r="B2006">
        <v>2016</v>
      </c>
      <c r="C2006">
        <v>462373.5</v>
      </c>
      <c r="D2006" s="8">
        <v>0.95845121145248402</v>
      </c>
      <c r="E2006" s="8">
        <v>1.9E-2</v>
      </c>
      <c r="F2006">
        <v>2.3249370277077999</v>
      </c>
      <c r="G2006">
        <f t="shared" si="159"/>
        <v>2.4257228744950683</v>
      </c>
      <c r="H2006">
        <f t="shared" si="161"/>
        <v>-2.2441821833768749E-2</v>
      </c>
      <c r="I2006">
        <f t="shared" si="160"/>
        <v>0</v>
      </c>
      <c r="J2006">
        <f t="shared" si="162"/>
        <v>2</v>
      </c>
      <c r="K2006">
        <v>5.6874905049800903E-2</v>
      </c>
      <c r="L2006">
        <v>4.3721348047256497E-2</v>
      </c>
      <c r="M2006">
        <v>4.2473075628280503E-2</v>
      </c>
      <c r="N2006">
        <v>3.9683502167463199E-2</v>
      </c>
      <c r="O2006">
        <f t="shared" si="163"/>
        <v>1.7675504460930816E-2</v>
      </c>
    </row>
    <row r="2007" spans="1:15" x14ac:dyDescent="0.35">
      <c r="A2007" t="s">
        <v>133</v>
      </c>
      <c r="B2007">
        <v>2017</v>
      </c>
      <c r="C2007">
        <v>470470.3125</v>
      </c>
      <c r="D2007" s="8">
        <v>0.95706802606582597</v>
      </c>
      <c r="E2007" s="8">
        <v>2.5000000000000001E-2</v>
      </c>
      <c r="F2007">
        <v>2.32821425724685</v>
      </c>
      <c r="G2007">
        <f t="shared" si="159"/>
        <v>2.4326528458142413</v>
      </c>
      <c r="H2007">
        <f t="shared" si="161"/>
        <v>2.8568685203231858E-3</v>
      </c>
      <c r="I2007">
        <f t="shared" si="160"/>
        <v>1</v>
      </c>
      <c r="J2007">
        <f t="shared" si="162"/>
        <v>2</v>
      </c>
      <c r="K2007">
        <v>4.2473075628280503E-2</v>
      </c>
      <c r="L2007">
        <v>3.9683502167463199E-2</v>
      </c>
      <c r="M2007">
        <v>4.5071322679519597E-2</v>
      </c>
      <c r="N2007">
        <v>3.5936299711465898E-2</v>
      </c>
      <c r="O2007">
        <f t="shared" si="163"/>
        <v>5.589164793491808E-4</v>
      </c>
    </row>
    <row r="2008" spans="1:15" x14ac:dyDescent="0.35">
      <c r="A2008" t="s">
        <v>133</v>
      </c>
      <c r="B2008">
        <v>2018</v>
      </c>
      <c r="C2008">
        <v>479281.5</v>
      </c>
      <c r="D2008" s="8">
        <v>0.93968945741653398</v>
      </c>
      <c r="E2008" s="8">
        <v>4.1000000000000002E-2</v>
      </c>
      <c r="F2008">
        <v>2.27267981512369</v>
      </c>
      <c r="G2008">
        <f t="shared" si="159"/>
        <v>2.4185434849635485</v>
      </c>
      <c r="H2008">
        <f t="shared" si="161"/>
        <v>-5.7999894538878216E-3</v>
      </c>
      <c r="I2008">
        <f t="shared" si="160"/>
        <v>0</v>
      </c>
      <c r="J2008">
        <f t="shared" si="162"/>
        <v>2</v>
      </c>
      <c r="K2008">
        <v>4.5071322679519597E-2</v>
      </c>
      <c r="L2008">
        <v>3.5936299711465898E-2</v>
      </c>
      <c r="M2008">
        <v>1.62145003378391E-2</v>
      </c>
      <c r="N2008">
        <v>-1.5866942703724001E-3</v>
      </c>
      <c r="O2008">
        <f t="shared" si="163"/>
        <v>-1.41672298312187E-2</v>
      </c>
    </row>
    <row r="2009" spans="1:15" x14ac:dyDescent="0.35">
      <c r="A2009" t="s">
        <v>133</v>
      </c>
      <c r="B2009">
        <v>2019</v>
      </c>
      <c r="C2009">
        <v>487582</v>
      </c>
      <c r="D2009" s="8">
        <v>0.92929410934448198</v>
      </c>
      <c r="E2009" s="8">
        <v>4.3999999999999997E-2</v>
      </c>
      <c r="F2009">
        <v>2.3223713984009602</v>
      </c>
      <c r="G2009">
        <f t="shared" si="159"/>
        <v>2.4990703966036607</v>
      </c>
      <c r="H2009">
        <f t="shared" si="161"/>
        <v>3.3295622816277737E-2</v>
      </c>
      <c r="I2009">
        <f t="shared" si="160"/>
        <v>1</v>
      </c>
      <c r="J2009" t="str">
        <f t="shared" si="162"/>
        <v/>
      </c>
      <c r="K2009">
        <v>1.62145003378391E-2</v>
      </c>
      <c r="L2009">
        <v>-1.5866942703724001E-3</v>
      </c>
      <c r="M2009">
        <v>4.4474782526493097E-2</v>
      </c>
      <c r="N2009">
        <v>2.56255920976401E-2</v>
      </c>
      <c r="O2009">
        <f t="shared" si="163"/>
        <v>-1.4583651907741999E-2</v>
      </c>
    </row>
    <row r="2010" spans="1:15" x14ac:dyDescent="0.35">
      <c r="A2010" t="s">
        <v>133</v>
      </c>
      <c r="B2010">
        <v>2020</v>
      </c>
      <c r="C2010">
        <v>493489.1875</v>
      </c>
      <c r="D2010" s="8">
        <v>0.94468921422958396</v>
      </c>
      <c r="E2010" s="8">
        <v>3.5000000000000003E-2</v>
      </c>
      <c r="F2010">
        <v>2.1075516768364699</v>
      </c>
      <c r="G2010">
        <f t="shared" si="159"/>
        <v>2.2309471147664444</v>
      </c>
      <c r="H2010">
        <f t="shared" si="161"/>
        <v>-0.10728920729948499</v>
      </c>
      <c r="I2010">
        <f t="shared" si="160"/>
        <v>0</v>
      </c>
      <c r="J2010" t="str">
        <f t="shared" si="162"/>
        <v/>
      </c>
      <c r="K2010">
        <v>4.4474782526493097E-2</v>
      </c>
      <c r="L2010">
        <v>2.56255920976401E-2</v>
      </c>
      <c r="M2010">
        <v>3.2308435320854201E-2</v>
      </c>
      <c r="N2010">
        <v>-1.12811774015427E-2</v>
      </c>
      <c r="O2010">
        <f t="shared" si="163"/>
        <v>-1.9408767390996205E-2</v>
      </c>
    </row>
    <row r="2011" spans="1:15" x14ac:dyDescent="0.35">
      <c r="A2011" t="s">
        <v>133</v>
      </c>
      <c r="B2011">
        <v>2021</v>
      </c>
      <c r="C2011">
        <v>498937.1875</v>
      </c>
      <c r="D2011" s="8">
        <v>0.940879166126251</v>
      </c>
      <c r="E2011" s="8">
        <v>4.2999999999999997E-2</v>
      </c>
      <c r="F2011">
        <v>2.3653063787041599</v>
      </c>
      <c r="G2011">
        <f t="shared" si="159"/>
        <v>2.513932143319213</v>
      </c>
      <c r="H2011">
        <f t="shared" si="161"/>
        <v>0.12684524284762988</v>
      </c>
      <c r="I2011">
        <f t="shared" si="160"/>
        <v>1</v>
      </c>
      <c r="J2011" t="str">
        <f t="shared" si="162"/>
        <v/>
      </c>
      <c r="K2011">
        <v>3.2308435320854201E-2</v>
      </c>
      <c r="L2011">
        <v>-1.12811774015427E-2</v>
      </c>
      <c r="M2011">
        <v>-7.8002944514155306E-2</v>
      </c>
      <c r="N2011">
        <v>-4.5899437740444998E-2</v>
      </c>
      <c r="O2011">
        <f t="shared" si="163"/>
        <v>-1.3261268008500327E-2</v>
      </c>
    </row>
    <row r="2012" spans="1:15" x14ac:dyDescent="0.35">
      <c r="A2012" t="s">
        <v>133</v>
      </c>
      <c r="B2012">
        <v>2022</v>
      </c>
      <c r="C2012">
        <v>501459</v>
      </c>
      <c r="D2012" s="8">
        <v>0.91965812444686901</v>
      </c>
      <c r="E2012" s="8">
        <v>2.4E-2</v>
      </c>
      <c r="F2012">
        <v>2.2805706263990499</v>
      </c>
      <c r="G2012">
        <f t="shared" si="159"/>
        <v>2.4798026198819323</v>
      </c>
      <c r="H2012">
        <f t="shared" si="161"/>
        <v>-1.3576151419989579E-2</v>
      </c>
      <c r="I2012">
        <f t="shared" si="160"/>
        <v>0</v>
      </c>
      <c r="J2012" t="str">
        <f t="shared" si="162"/>
        <v/>
      </c>
      <c r="K2012">
        <v>-7.8002944514155306E-2</v>
      </c>
      <c r="L2012">
        <v>-4.5420734211802399E-2</v>
      </c>
      <c r="M2012">
        <v>-5.7253359615802801E-2</v>
      </c>
      <c r="N2012">
        <v>-3.7694431841373499E-2</v>
      </c>
      <c r="O2012">
        <f t="shared" si="163"/>
        <v>-7.919726939871927E-3</v>
      </c>
    </row>
    <row r="2013" spans="1:15" x14ac:dyDescent="0.35">
      <c r="A2013" t="s">
        <v>134</v>
      </c>
      <c r="B2013">
        <v>2006</v>
      </c>
      <c r="C2013">
        <v>1161485</v>
      </c>
      <c r="D2013" s="8">
        <v>0.93973094224929798</v>
      </c>
      <c r="E2013" s="8">
        <v>8.0000000000000002E-3</v>
      </c>
      <c r="F2013">
        <v>2.22469400244798</v>
      </c>
      <c r="G2013">
        <f t="shared" si="159"/>
        <v>2.3673733644686124</v>
      </c>
      <c r="H2013">
        <f t="shared" si="161"/>
        <v>-4.5337985576720197E-2</v>
      </c>
      <c r="I2013">
        <f t="shared" si="160"/>
        <v>0</v>
      </c>
      <c r="J2013" t="str">
        <f t="shared" si="162"/>
        <v/>
      </c>
      <c r="K2013">
        <v>1.11614741683006E-2</v>
      </c>
      <c r="L2013">
        <v>4.7984346747398003E-3</v>
      </c>
      <c r="M2013">
        <v>-4.5905605852603996E-3</v>
      </c>
      <c r="N2013">
        <v>-3.6688046529888998E-3</v>
      </c>
      <c r="O2013" t="str">
        <f t="shared" si="163"/>
        <v/>
      </c>
    </row>
    <row r="2014" spans="1:15" x14ac:dyDescent="0.35">
      <c r="A2014" t="s">
        <v>134</v>
      </c>
      <c r="B2014">
        <v>2007</v>
      </c>
      <c r="C2014">
        <v>1178028</v>
      </c>
      <c r="D2014" s="8">
        <v>0.93935853242874101</v>
      </c>
      <c r="E2014" s="8">
        <v>8.9999999999999993E-3</v>
      </c>
      <c r="F2014">
        <v>2.1998400920591501</v>
      </c>
      <c r="G2014">
        <f t="shared" si="159"/>
        <v>2.3418535267587282</v>
      </c>
      <c r="H2014">
        <f t="shared" si="161"/>
        <v>-1.0779811115942173E-2</v>
      </c>
      <c r="I2014">
        <f t="shared" si="160"/>
        <v>0</v>
      </c>
      <c r="J2014" t="str">
        <f t="shared" si="162"/>
        <v/>
      </c>
      <c r="K2014">
        <v>-4.5905605852603996E-3</v>
      </c>
      <c r="L2014">
        <v>-3.6688046529888998E-3</v>
      </c>
      <c r="M2014">
        <v>-2.8010789595544299E-2</v>
      </c>
      <c r="N2014">
        <v>1.50001468136906E-3</v>
      </c>
      <c r="O2014" t="str">
        <f t="shared" si="163"/>
        <v/>
      </c>
    </row>
    <row r="2015" spans="1:15" x14ac:dyDescent="0.35">
      <c r="A2015" t="s">
        <v>134</v>
      </c>
      <c r="B2015">
        <v>2008</v>
      </c>
      <c r="C2015">
        <v>1192063</v>
      </c>
      <c r="D2015" s="8">
        <v>0.93761944770812999</v>
      </c>
      <c r="E2015" s="8">
        <v>8.0000000000000002E-3</v>
      </c>
      <c r="F2015">
        <v>2.2119017997202599</v>
      </c>
      <c r="G2015">
        <f t="shared" si="159"/>
        <v>2.3590613495986266</v>
      </c>
      <c r="H2015">
        <f t="shared" si="161"/>
        <v>7.3479500930679897E-3</v>
      </c>
      <c r="I2015">
        <f t="shared" si="160"/>
        <v>1</v>
      </c>
      <c r="J2015" t="str">
        <f t="shared" si="162"/>
        <v/>
      </c>
      <c r="K2015">
        <v>-2.8010789595544299E-2</v>
      </c>
      <c r="L2015">
        <v>1.50001468136906E-3</v>
      </c>
      <c r="M2015">
        <v>-7.1103821545838997E-3</v>
      </c>
      <c r="N2015">
        <v>1.9456319510936699E-2</v>
      </c>
      <c r="O2015" t="str">
        <f t="shared" si="163"/>
        <v/>
      </c>
    </row>
    <row r="2016" spans="1:15" x14ac:dyDescent="0.35">
      <c r="A2016" t="s">
        <v>134</v>
      </c>
      <c r="B2016">
        <v>2009</v>
      </c>
      <c r="C2016">
        <v>1203214</v>
      </c>
      <c r="D2016" s="8">
        <v>0.941375732421875</v>
      </c>
      <c r="E2016" s="8">
        <v>2.1999999999999999E-2</v>
      </c>
      <c r="F2016">
        <v>2.2566702715515299</v>
      </c>
      <c r="G2016">
        <f t="shared" si="159"/>
        <v>2.3972046376698066</v>
      </c>
      <c r="H2016">
        <f t="shared" si="161"/>
        <v>1.6168841084895913E-2</v>
      </c>
      <c r="I2016">
        <f t="shared" si="160"/>
        <v>1</v>
      </c>
      <c r="J2016" t="str">
        <f t="shared" si="162"/>
        <v/>
      </c>
      <c r="K2016">
        <v>-7.1103821545838997E-3</v>
      </c>
      <c r="L2016">
        <v>1.9456319510936699E-2</v>
      </c>
      <c r="M2016">
        <v>-2.8651841156184701E-2</v>
      </c>
      <c r="N2016">
        <v>-1.9191732397302999E-2</v>
      </c>
      <c r="O2016" t="str">
        <f t="shared" si="163"/>
        <v/>
      </c>
    </row>
    <row r="2017" spans="1:15" x14ac:dyDescent="0.35">
      <c r="A2017" t="s">
        <v>134</v>
      </c>
      <c r="B2017">
        <v>2010</v>
      </c>
      <c r="C2017">
        <v>1213024</v>
      </c>
      <c r="D2017" s="8">
        <v>0.92791694402694702</v>
      </c>
      <c r="E2017" s="8">
        <v>4.0000000000000001E-3</v>
      </c>
      <c r="F2017">
        <v>2.3002035471289801</v>
      </c>
      <c r="G2017">
        <f t="shared" si="159"/>
        <v>2.4788894759768301</v>
      </c>
      <c r="H2017">
        <f t="shared" si="161"/>
        <v>3.4075037659873963E-2</v>
      </c>
      <c r="I2017">
        <f t="shared" si="160"/>
        <v>1</v>
      </c>
      <c r="J2017">
        <f t="shared" si="162"/>
        <v>3</v>
      </c>
      <c r="K2017">
        <v>-2.8651841156184701E-2</v>
      </c>
      <c r="L2017">
        <v>-1.9191732397302999E-2</v>
      </c>
      <c r="M2017">
        <v>-2.6783697649836499E-2</v>
      </c>
      <c r="N2017">
        <v>-5.4999231360852397E-3</v>
      </c>
      <c r="O2017">
        <f t="shared" si="163"/>
        <v>-1.5128687955438993E-3</v>
      </c>
    </row>
    <row r="2018" spans="1:15" x14ac:dyDescent="0.35">
      <c r="A2018" t="s">
        <v>134</v>
      </c>
      <c r="B2018">
        <v>2011</v>
      </c>
      <c r="C2018">
        <v>1224477</v>
      </c>
      <c r="D2018" s="8">
        <v>0.92097693681716897</v>
      </c>
      <c r="E2018" s="8">
        <v>2.1999999999999999E-2</v>
      </c>
      <c r="F2018">
        <v>2.2101188641112501</v>
      </c>
      <c r="G2018">
        <f t="shared" si="159"/>
        <v>2.3997548426665976</v>
      </c>
      <c r="H2018">
        <f t="shared" si="161"/>
        <v>-3.192342138571902E-2</v>
      </c>
      <c r="I2018">
        <f t="shared" si="160"/>
        <v>0</v>
      </c>
      <c r="J2018">
        <f t="shared" si="162"/>
        <v>3</v>
      </c>
      <c r="K2018">
        <v>-2.6783697649836499E-2</v>
      </c>
      <c r="L2018">
        <v>-5.4999231360852397E-3</v>
      </c>
      <c r="M2018">
        <v>-1.1229812450706899E-2</v>
      </c>
      <c r="N2018">
        <v>-5.7916063815355596E-3</v>
      </c>
      <c r="O2018">
        <f t="shared" si="163"/>
        <v>-4.1288416832685194E-4</v>
      </c>
    </row>
    <row r="2019" spans="1:15" x14ac:dyDescent="0.35">
      <c r="A2019" t="s">
        <v>134</v>
      </c>
      <c r="B2019">
        <v>2012</v>
      </c>
      <c r="C2019">
        <v>1239660</v>
      </c>
      <c r="D2019" s="8">
        <v>0.91932380199432395</v>
      </c>
      <c r="E2019" s="8">
        <v>1.2E-2</v>
      </c>
      <c r="F2019">
        <v>2.14865676021769</v>
      </c>
      <c r="G2019">
        <f t="shared" si="159"/>
        <v>2.3372143259605891</v>
      </c>
      <c r="H2019">
        <f t="shared" si="161"/>
        <v>-2.6061210751225583E-2</v>
      </c>
      <c r="I2019">
        <f t="shared" si="160"/>
        <v>0</v>
      </c>
      <c r="J2019">
        <f t="shared" si="162"/>
        <v>3</v>
      </c>
      <c r="K2019">
        <v>-1.1229812450706899E-2</v>
      </c>
      <c r="L2019">
        <v>-5.8772051706910602E-3</v>
      </c>
      <c r="M2019">
        <v>8.2883971184491995E-3</v>
      </c>
      <c r="N2019">
        <v>2.1616257727146001E-3</v>
      </c>
      <c r="O2019">
        <f t="shared" si="163"/>
        <v>4.5369071885943604E-3</v>
      </c>
    </row>
    <row r="2020" spans="1:15" x14ac:dyDescent="0.35">
      <c r="A2020" t="s">
        <v>134</v>
      </c>
      <c r="B2020">
        <v>2013</v>
      </c>
      <c r="C2020">
        <v>1252997</v>
      </c>
      <c r="D2020" s="8">
        <v>0.92162191867828402</v>
      </c>
      <c r="E2020" s="8">
        <v>1.4999999999999999E-2</v>
      </c>
      <c r="F2020">
        <v>2.2409959794881602</v>
      </c>
      <c r="G2020">
        <f t="shared" si="159"/>
        <v>2.431578431535153</v>
      </c>
      <c r="H2020">
        <f t="shared" si="161"/>
        <v>4.0374605155554244E-2</v>
      </c>
      <c r="I2020">
        <f t="shared" si="160"/>
        <v>1</v>
      </c>
      <c r="J2020">
        <f t="shared" si="162"/>
        <v>3</v>
      </c>
      <c r="K2020">
        <v>8.2883971184491995E-3</v>
      </c>
      <c r="L2020">
        <v>2.1616257727146001E-3</v>
      </c>
      <c r="M2020">
        <v>-4.5342201739550001E-4</v>
      </c>
      <c r="N2020">
        <v>-2.461445517838E-3</v>
      </c>
      <c r="O2020">
        <f t="shared" si="163"/>
        <v>4.8485515639186197E-3</v>
      </c>
    </row>
    <row r="2021" spans="1:15" x14ac:dyDescent="0.35">
      <c r="A2021" t="s">
        <v>134</v>
      </c>
      <c r="B2021">
        <v>2014</v>
      </c>
      <c r="C2021">
        <v>1267167</v>
      </c>
      <c r="D2021" s="8">
        <v>0.92188811302185103</v>
      </c>
      <c r="E2021" s="8">
        <v>0.02</v>
      </c>
      <c r="F2021">
        <v>2.28024483917426</v>
      </c>
      <c r="G2021">
        <f t="shared" si="159"/>
        <v>2.4734507441470965</v>
      </c>
      <c r="H2021">
        <f t="shared" si="161"/>
        <v>1.7220218796523801E-2</v>
      </c>
      <c r="I2021">
        <f t="shared" si="160"/>
        <v>1</v>
      </c>
      <c r="J2021">
        <f t="shared" si="162"/>
        <v>3</v>
      </c>
      <c r="K2021">
        <v>-4.5342201739550001E-4</v>
      </c>
      <c r="L2021">
        <v>-2.461445517838E-3</v>
      </c>
      <c r="M2021">
        <v>3.4290457308292402E-2</v>
      </c>
      <c r="N2021">
        <v>4.0270052850247002E-3</v>
      </c>
      <c r="O2021">
        <f t="shared" si="163"/>
        <v>6.0095660388469977E-3</v>
      </c>
    </row>
    <row r="2022" spans="1:15" x14ac:dyDescent="0.35">
      <c r="A2022" t="s">
        <v>134</v>
      </c>
      <c r="B2022">
        <v>2015</v>
      </c>
      <c r="C2022">
        <v>1280443</v>
      </c>
      <c r="D2022" s="8">
        <v>0.93047863245010398</v>
      </c>
      <c r="E2022" s="8">
        <v>2.1999999999999999E-2</v>
      </c>
      <c r="F2022">
        <v>2.2597992518413501</v>
      </c>
      <c r="G2022">
        <f t="shared" si="159"/>
        <v>2.428641747410067</v>
      </c>
      <c r="H2022">
        <f t="shared" si="161"/>
        <v>-1.8115985063806406E-2</v>
      </c>
      <c r="I2022">
        <f t="shared" si="160"/>
        <v>0</v>
      </c>
      <c r="J2022">
        <f t="shared" si="162"/>
        <v>2</v>
      </c>
      <c r="K2022">
        <v>3.4290457308292402E-2</v>
      </c>
      <c r="L2022">
        <v>4.0270052850247002E-3</v>
      </c>
      <c r="M2022">
        <v>1.31535570025444E-2</v>
      </c>
      <c r="N2022">
        <v>0</v>
      </c>
      <c r="O2022">
        <f t="shared" si="163"/>
        <v>7.0480499416589962E-3</v>
      </c>
    </row>
    <row r="2023" spans="1:15" x14ac:dyDescent="0.35">
      <c r="A2023" t="s">
        <v>134</v>
      </c>
      <c r="B2023">
        <v>2016</v>
      </c>
      <c r="C2023">
        <v>1293992</v>
      </c>
      <c r="D2023" s="8">
        <v>0.93190509080886796</v>
      </c>
      <c r="E2023" s="8">
        <v>2.1000000000000001E-2</v>
      </c>
      <c r="F2023">
        <v>2.2697106749731701</v>
      </c>
      <c r="G2023">
        <f t="shared" si="159"/>
        <v>2.4355599055727057</v>
      </c>
      <c r="H2023">
        <f t="shared" si="161"/>
        <v>2.8485708812411303E-3</v>
      </c>
      <c r="I2023">
        <f t="shared" si="160"/>
        <v>1</v>
      </c>
      <c r="J2023">
        <f t="shared" si="162"/>
        <v>3</v>
      </c>
      <c r="K2023">
        <v>1.31535570025444E-2</v>
      </c>
      <c r="L2023">
        <v>0</v>
      </c>
      <c r="M2023">
        <v>2.1746923863887799E-2</v>
      </c>
      <c r="N2023">
        <v>1.8957350403070498E-2</v>
      </c>
      <c r="O2023">
        <f t="shared" si="163"/>
        <v>9.8180402070283963E-3</v>
      </c>
    </row>
    <row r="2024" spans="1:15" x14ac:dyDescent="0.35">
      <c r="A2024" t="s">
        <v>134</v>
      </c>
      <c r="B2024">
        <v>2017</v>
      </c>
      <c r="C2024">
        <v>1306965</v>
      </c>
      <c r="D2024" s="8">
        <v>0.92912012338638295</v>
      </c>
      <c r="E2024" s="8">
        <v>2.3E-2</v>
      </c>
      <c r="F2024">
        <v>2.3305010109530202</v>
      </c>
      <c r="G2024">
        <f t="shared" si="159"/>
        <v>2.5082881667216461</v>
      </c>
      <c r="H2024">
        <f t="shared" si="161"/>
        <v>2.9861002795510627E-2</v>
      </c>
      <c r="I2024">
        <f t="shared" si="160"/>
        <v>1</v>
      </c>
      <c r="J2024">
        <f t="shared" si="162"/>
        <v>4</v>
      </c>
      <c r="K2024">
        <v>2.1746923863887799E-2</v>
      </c>
      <c r="L2024">
        <v>1.8957350403070498E-2</v>
      </c>
      <c r="M2024">
        <v>1.2854870617389699E-2</v>
      </c>
      <c r="N2024">
        <v>3.7198476493358998E-3</v>
      </c>
      <c r="O2024">
        <f t="shared" si="163"/>
        <v>4.8034030944108961E-3</v>
      </c>
    </row>
    <row r="2025" spans="1:15" x14ac:dyDescent="0.35">
      <c r="A2025" t="s">
        <v>134</v>
      </c>
      <c r="B2025">
        <v>2018</v>
      </c>
      <c r="C2025">
        <v>1320107</v>
      </c>
      <c r="D2025" s="8">
        <v>0.92352068424224898</v>
      </c>
      <c r="E2025" s="8">
        <v>3.6999999999999998E-2</v>
      </c>
      <c r="F2025">
        <v>2.2374869072977801</v>
      </c>
      <c r="G2025">
        <f t="shared" si="159"/>
        <v>2.4227794195358427</v>
      </c>
      <c r="H2025">
        <f t="shared" si="161"/>
        <v>-3.4090479842100452E-2</v>
      </c>
      <c r="I2025">
        <f t="shared" si="160"/>
        <v>0</v>
      </c>
      <c r="J2025">
        <f t="shared" si="162"/>
        <v>3</v>
      </c>
      <c r="K2025">
        <v>1.2854870617389699E-2</v>
      </c>
      <c r="L2025">
        <v>3.7198476493358998E-3</v>
      </c>
      <c r="M2025">
        <v>2.1144821465015399E-2</v>
      </c>
      <c r="N2025">
        <v>3.3436268568038901E-3</v>
      </c>
      <c r="O2025">
        <f t="shared" si="163"/>
        <v>2.8825076296925358E-3</v>
      </c>
    </row>
    <row r="2026" spans="1:15" x14ac:dyDescent="0.35">
      <c r="A2026" t="s">
        <v>134</v>
      </c>
      <c r="B2026">
        <v>2019</v>
      </c>
      <c r="C2026">
        <v>1332665</v>
      </c>
      <c r="D2026" s="8">
        <v>0.924230456352234</v>
      </c>
      <c r="E2026" s="8">
        <v>2.3E-2</v>
      </c>
      <c r="F2026">
        <v>2.12531171691553</v>
      </c>
      <c r="G2026">
        <f t="shared" si="159"/>
        <v>2.2995473718792399</v>
      </c>
      <c r="H2026">
        <f t="shared" si="161"/>
        <v>-5.0863915494301026E-2</v>
      </c>
      <c r="I2026">
        <f t="shared" si="160"/>
        <v>0</v>
      </c>
      <c r="J2026" t="str">
        <f t="shared" si="162"/>
        <v/>
      </c>
      <c r="K2026">
        <v>2.1144821465015399E-2</v>
      </c>
      <c r="L2026">
        <v>3.3436268568038901E-3</v>
      </c>
      <c r="M2026">
        <v>2.8068615227937601E-2</v>
      </c>
      <c r="N2026">
        <v>9.2194247990846894E-3</v>
      </c>
      <c r="O2026">
        <f t="shared" si="163"/>
        <v>2.9310405254363765E-3</v>
      </c>
    </row>
    <row r="2027" spans="1:15" x14ac:dyDescent="0.35">
      <c r="A2027" t="s">
        <v>134</v>
      </c>
      <c r="B2027">
        <v>2020</v>
      </c>
      <c r="C2027">
        <v>1343599</v>
      </c>
      <c r="D2027" s="8">
        <v>0.92996430397033703</v>
      </c>
      <c r="E2027" s="8">
        <v>3.9E-2</v>
      </c>
      <c r="F2027">
        <v>2.1358025421223701</v>
      </c>
      <c r="G2027">
        <f t="shared" si="159"/>
        <v>2.2966500251718216</v>
      </c>
      <c r="H2027">
        <f t="shared" si="161"/>
        <v>-1.2599639141378516E-3</v>
      </c>
      <c r="I2027">
        <f t="shared" si="160"/>
        <v>0</v>
      </c>
      <c r="J2027" t="str">
        <f t="shared" si="162"/>
        <v/>
      </c>
      <c r="K2027">
        <v>2.8068615227937601E-2</v>
      </c>
      <c r="L2027">
        <v>9.2194247990846894E-3</v>
      </c>
      <c r="M2027">
        <v>5.7439564049243899E-2</v>
      </c>
      <c r="N2027">
        <v>1.3849951326847E-2</v>
      </c>
      <c r="O2027">
        <f t="shared" si="163"/>
        <v>8.7801273912188409E-4</v>
      </c>
    </row>
    <row r="2028" spans="1:15" x14ac:dyDescent="0.35">
      <c r="A2028" t="s">
        <v>134</v>
      </c>
      <c r="B2028">
        <v>2021</v>
      </c>
      <c r="C2028">
        <v>1354333</v>
      </c>
      <c r="D2028" s="8">
        <v>0.94867163896560702</v>
      </c>
      <c r="E2028" s="8">
        <v>3.2000000000000001E-2</v>
      </c>
      <c r="F2028">
        <v>2.08933941719381</v>
      </c>
      <c r="G2028">
        <f t="shared" si="159"/>
        <v>2.2023841879282284</v>
      </c>
      <c r="H2028">
        <f t="shared" si="161"/>
        <v>-4.1044929009826259E-2</v>
      </c>
      <c r="I2028">
        <f t="shared" si="160"/>
        <v>0</v>
      </c>
      <c r="J2028" t="str">
        <f t="shared" si="162"/>
        <v/>
      </c>
      <c r="K2028">
        <v>5.7439564049243899E-2</v>
      </c>
      <c r="L2028">
        <v>1.3849951326847E-2</v>
      </c>
      <c r="M2028">
        <v>-3.8219341933727301E-2</v>
      </c>
      <c r="N2028">
        <v>-6.1158351600169997E-3</v>
      </c>
      <c r="O2028">
        <f t="shared" si="163"/>
        <v>-1.395519636571428E-3</v>
      </c>
    </row>
    <row r="2029" spans="1:15" x14ac:dyDescent="0.35">
      <c r="A2029" t="s">
        <v>134</v>
      </c>
      <c r="B2029">
        <v>2022</v>
      </c>
      <c r="C2029">
        <v>1368033</v>
      </c>
      <c r="D2029" s="8">
        <v>0.92620825767517101</v>
      </c>
      <c r="E2029" s="8">
        <v>2.4E-2</v>
      </c>
      <c r="F2029">
        <v>2.2003942666583298</v>
      </c>
      <c r="G2029">
        <f t="shared" si="159"/>
        <v>2.3757014131804755</v>
      </c>
      <c r="H2029">
        <f t="shared" si="161"/>
        <v>7.8695273150905409E-2</v>
      </c>
      <c r="I2029">
        <f t="shared" si="160"/>
        <v>1</v>
      </c>
      <c r="J2029" t="str">
        <f t="shared" si="162"/>
        <v/>
      </c>
      <c r="K2029">
        <v>-3.8219341933727301E-2</v>
      </c>
      <c r="L2029">
        <v>-5.6371316313743999E-3</v>
      </c>
      <c r="M2029">
        <v>-2.5443557448685199E-2</v>
      </c>
      <c r="N2029">
        <v>-5.8846296742559E-3</v>
      </c>
      <c r="O2029">
        <f t="shared" si="163"/>
        <v>1.7532829660922081E-3</v>
      </c>
    </row>
    <row r="2030" spans="1:15" x14ac:dyDescent="0.35">
      <c r="A2030" t="s">
        <v>135</v>
      </c>
      <c r="B2030">
        <v>2006</v>
      </c>
      <c r="C2030">
        <v>1070727</v>
      </c>
      <c r="D2030" s="8">
        <v>0.91107350587844804</v>
      </c>
      <c r="E2030" s="8">
        <v>5.0000000000000001E-3</v>
      </c>
      <c r="F2030">
        <v>2.0182493142134299</v>
      </c>
      <c r="G2030">
        <f t="shared" si="159"/>
        <v>2.215243118355696</v>
      </c>
      <c r="H2030">
        <f t="shared" si="161"/>
        <v>-6.7541440155126864E-2</v>
      </c>
      <c r="I2030">
        <f t="shared" si="160"/>
        <v>0</v>
      </c>
      <c r="J2030" t="str">
        <f t="shared" si="162"/>
        <v/>
      </c>
      <c r="K2030">
        <v>-2.2227730304002998E-3</v>
      </c>
      <c r="L2030">
        <v>-8.5858125239610898E-3</v>
      </c>
      <c r="M2030">
        <v>2.6645354032515901E-3</v>
      </c>
      <c r="N2030">
        <v>3.5862913355230899E-3</v>
      </c>
      <c r="O2030" t="str">
        <f t="shared" si="163"/>
        <v/>
      </c>
    </row>
    <row r="2031" spans="1:15" x14ac:dyDescent="0.35">
      <c r="A2031" t="s">
        <v>135</v>
      </c>
      <c r="B2031">
        <v>2007</v>
      </c>
      <c r="C2031">
        <v>1072848</v>
      </c>
      <c r="D2031" s="8">
        <v>0.91202473640441895</v>
      </c>
      <c r="E2031" s="8">
        <v>4.0000000000000001E-3</v>
      </c>
      <c r="F2031">
        <v>2.0480425580974</v>
      </c>
      <c r="G2031">
        <f t="shared" si="159"/>
        <v>2.2455997917026198</v>
      </c>
      <c r="H2031">
        <f t="shared" si="161"/>
        <v>1.3703540300107786E-2</v>
      </c>
      <c r="I2031">
        <f t="shared" si="160"/>
        <v>1</v>
      </c>
      <c r="J2031" t="str">
        <f t="shared" si="162"/>
        <v/>
      </c>
      <c r="K2031">
        <v>2.6645354032515901E-3</v>
      </c>
      <c r="L2031">
        <v>3.5862913355230899E-3</v>
      </c>
      <c r="M2031">
        <v>-3.0556518409401101E-2</v>
      </c>
      <c r="N2031">
        <v>-1.04571413248777E-3</v>
      </c>
      <c r="O2031" t="str">
        <f t="shared" si="163"/>
        <v/>
      </c>
    </row>
    <row r="2032" spans="1:15" x14ac:dyDescent="0.35">
      <c r="A2032" t="s">
        <v>135</v>
      </c>
      <c r="B2032">
        <v>2008</v>
      </c>
      <c r="C2032">
        <v>1076007</v>
      </c>
      <c r="D2032" s="8">
        <v>0.91992771625518799</v>
      </c>
      <c r="E2032" s="8">
        <v>3.0000000000000001E-3</v>
      </c>
      <c r="F2032">
        <v>2.0568108511866301</v>
      </c>
      <c r="G2032">
        <f t="shared" si="159"/>
        <v>2.2358396370091218</v>
      </c>
      <c r="H2032">
        <f t="shared" si="161"/>
        <v>-4.3463464547696118E-3</v>
      </c>
      <c r="I2032">
        <f t="shared" si="160"/>
        <v>0</v>
      </c>
      <c r="J2032" t="str">
        <f t="shared" si="162"/>
        <v/>
      </c>
      <c r="K2032">
        <v>-3.0556518409401101E-2</v>
      </c>
      <c r="L2032">
        <v>-1.04571413248777E-3</v>
      </c>
      <c r="M2032">
        <v>-2.4084412217140201E-2</v>
      </c>
      <c r="N2032">
        <v>2.4822894483804399E-3</v>
      </c>
      <c r="O2032" t="str">
        <f t="shared" si="163"/>
        <v/>
      </c>
    </row>
    <row r="2033" spans="1:15" x14ac:dyDescent="0.35">
      <c r="A2033" t="s">
        <v>135</v>
      </c>
      <c r="B2033">
        <v>2009</v>
      </c>
      <c r="C2033">
        <v>1078654</v>
      </c>
      <c r="D2033" s="8">
        <v>0.92389851808547996</v>
      </c>
      <c r="E2033" s="8">
        <v>1.2999999999999999E-2</v>
      </c>
      <c r="F2033">
        <v>2.0602484875026299</v>
      </c>
      <c r="G2033">
        <f t="shared" si="159"/>
        <v>2.2299510684051271</v>
      </c>
      <c r="H2033">
        <f t="shared" si="161"/>
        <v>-2.6337168849335235E-3</v>
      </c>
      <c r="I2033">
        <f t="shared" si="160"/>
        <v>0</v>
      </c>
      <c r="J2033" t="str">
        <f t="shared" si="162"/>
        <v/>
      </c>
      <c r="K2033">
        <v>-2.4084412217140201E-2</v>
      </c>
      <c r="L2033">
        <v>2.4822894483804399E-3</v>
      </c>
      <c r="M2033">
        <v>1.6806909441949901E-4</v>
      </c>
      <c r="N2033">
        <v>9.6281778533011796E-3</v>
      </c>
      <c r="O2033" t="str">
        <f t="shared" si="163"/>
        <v/>
      </c>
    </row>
    <row r="2034" spans="1:15" x14ac:dyDescent="0.35">
      <c r="A2034" t="s">
        <v>135</v>
      </c>
      <c r="B2034">
        <v>2010</v>
      </c>
      <c r="C2034">
        <v>1081512</v>
      </c>
      <c r="D2034" s="8">
        <v>0.93292731046676602</v>
      </c>
      <c r="E2034" s="8">
        <v>4.0000000000000001E-3</v>
      </c>
      <c r="F2034">
        <v>2.0771112610816198</v>
      </c>
      <c r="G2034">
        <f t="shared" si="159"/>
        <v>2.226444909242062</v>
      </c>
      <c r="H2034">
        <f t="shared" si="161"/>
        <v>-1.5723031831245127E-3</v>
      </c>
      <c r="I2034">
        <f t="shared" si="160"/>
        <v>0</v>
      </c>
      <c r="J2034">
        <f t="shared" si="162"/>
        <v>1</v>
      </c>
      <c r="K2034">
        <v>1.6806909441949901E-4</v>
      </c>
      <c r="L2034">
        <v>9.6281778533011796E-3</v>
      </c>
      <c r="M2034">
        <v>-2.6255561847239699E-2</v>
      </c>
      <c r="N2034">
        <v>-4.9717873334884297E-3</v>
      </c>
      <c r="O2034">
        <f t="shared" si="163"/>
        <v>-7.9786333953961435E-3</v>
      </c>
    </row>
    <row r="2035" spans="1:15" x14ac:dyDescent="0.35">
      <c r="A2035" t="s">
        <v>135</v>
      </c>
      <c r="B2035">
        <v>2011</v>
      </c>
      <c r="C2035">
        <v>1084784</v>
      </c>
      <c r="D2035" s="8">
        <v>0.940904140472412</v>
      </c>
      <c r="E2035" s="8">
        <v>3.0000000000000001E-3</v>
      </c>
      <c r="F2035">
        <v>2.07679093841422</v>
      </c>
      <c r="G2035">
        <f t="shared" si="159"/>
        <v>2.2072290354376576</v>
      </c>
      <c r="H2035">
        <f t="shared" si="161"/>
        <v>-8.6307429950943648E-3</v>
      </c>
      <c r="I2035">
        <f t="shared" si="160"/>
        <v>0</v>
      </c>
      <c r="J2035">
        <f t="shared" si="162"/>
        <v>1</v>
      </c>
      <c r="K2035">
        <v>-2.6255561847239699E-2</v>
      </c>
      <c r="L2035">
        <v>-4.9717873334884297E-3</v>
      </c>
      <c r="M2035">
        <v>-1.5280122220516199E-2</v>
      </c>
      <c r="N2035">
        <v>-9.8419161513448004E-3</v>
      </c>
      <c r="O2035">
        <f t="shared" si="163"/>
        <v>-7.1299198782071183E-3</v>
      </c>
    </row>
    <row r="2036" spans="1:15" x14ac:dyDescent="0.35">
      <c r="A2036" t="s">
        <v>135</v>
      </c>
      <c r="B2036">
        <v>2012</v>
      </c>
      <c r="C2036">
        <v>1087154</v>
      </c>
      <c r="D2036" s="8">
        <v>0.94507747888565097</v>
      </c>
      <c r="E2036" s="8">
        <v>4.0000000000000001E-3</v>
      </c>
      <c r="F2036">
        <v>2.04874067646025</v>
      </c>
      <c r="G2036">
        <f t="shared" si="159"/>
        <v>2.1678018175567342</v>
      </c>
      <c r="H2036">
        <f t="shared" si="161"/>
        <v>-1.7862766957080001E-2</v>
      </c>
      <c r="I2036">
        <f t="shared" si="160"/>
        <v>0</v>
      </c>
      <c r="J2036">
        <f t="shared" si="162"/>
        <v>0</v>
      </c>
      <c r="K2036">
        <v>-1.5280122220516199E-2</v>
      </c>
      <c r="L2036">
        <v>-9.9275149405002993E-3</v>
      </c>
      <c r="M2036">
        <v>-5.5394541472199895E-4</v>
      </c>
      <c r="N2036">
        <v>-6.6807167604566002E-3</v>
      </c>
      <c r="O2036">
        <f t="shared" si="163"/>
        <v>-3.8341516396030381E-3</v>
      </c>
    </row>
    <row r="2037" spans="1:15" x14ac:dyDescent="0.35">
      <c r="A2037" t="s">
        <v>135</v>
      </c>
      <c r="B2037">
        <v>2013</v>
      </c>
      <c r="C2037">
        <v>1088965</v>
      </c>
      <c r="D2037" s="8">
        <v>0.94314414262771595</v>
      </c>
      <c r="E2037" s="8">
        <v>1.2E-2</v>
      </c>
      <c r="F2037">
        <v>2.05800742617205</v>
      </c>
      <c r="G2037">
        <f t="shared" si="159"/>
        <v>2.1820709403317582</v>
      </c>
      <c r="H2037">
        <f t="shared" si="161"/>
        <v>6.5823004019371911E-3</v>
      </c>
      <c r="I2037">
        <f t="shared" si="160"/>
        <v>1</v>
      </c>
      <c r="J2037">
        <f t="shared" si="162"/>
        <v>1</v>
      </c>
      <c r="K2037">
        <v>-5.5394541472199895E-4</v>
      </c>
      <c r="L2037">
        <v>-6.6807167604566002E-3</v>
      </c>
      <c r="M2037">
        <v>-1.47724832026287E-2</v>
      </c>
      <c r="N2037">
        <v>-1.6780506703071199E-2</v>
      </c>
      <c r="O2037">
        <f t="shared" si="163"/>
        <v>-3.8747954880818162E-3</v>
      </c>
    </row>
    <row r="2038" spans="1:15" x14ac:dyDescent="0.35">
      <c r="A2038" t="s">
        <v>135</v>
      </c>
      <c r="B2038">
        <v>2014</v>
      </c>
      <c r="C2038">
        <v>1089297</v>
      </c>
      <c r="D2038" s="8">
        <v>0.93767720460891701</v>
      </c>
      <c r="E2038" s="8">
        <v>2.5000000000000001E-2</v>
      </c>
      <c r="F2038">
        <v>2.0152867471208098</v>
      </c>
      <c r="G2038">
        <f t="shared" si="159"/>
        <v>2.1492329526783562</v>
      </c>
      <c r="H2038">
        <f t="shared" si="161"/>
        <v>-1.5049000949716729E-2</v>
      </c>
      <c r="I2038">
        <f t="shared" si="160"/>
        <v>0</v>
      </c>
      <c r="J2038">
        <f t="shared" si="162"/>
        <v>1</v>
      </c>
      <c r="K2038">
        <v>-1.47724832026287E-2</v>
      </c>
      <c r="L2038">
        <v>-1.6780506703071199E-2</v>
      </c>
      <c r="M2038">
        <v>2.8645211994648E-2</v>
      </c>
      <c r="N2038">
        <v>-1.6182400286196899E-3</v>
      </c>
      <c r="O2038">
        <f t="shared" si="163"/>
        <v>-2.7396328747272161E-3</v>
      </c>
    </row>
    <row r="2039" spans="1:15" x14ac:dyDescent="0.35">
      <c r="A2039" t="s">
        <v>135</v>
      </c>
      <c r="B2039">
        <v>2015</v>
      </c>
      <c r="C2039">
        <v>1088468</v>
      </c>
      <c r="D2039" s="8">
        <v>0.94225198030471802</v>
      </c>
      <c r="E2039" s="8">
        <v>7.0000000000000001E-3</v>
      </c>
      <c r="F2039">
        <v>2.0891156791393599</v>
      </c>
      <c r="G2039">
        <f t="shared" si="159"/>
        <v>2.2171518052567571</v>
      </c>
      <c r="H2039">
        <f t="shared" si="161"/>
        <v>3.160143831489326E-2</v>
      </c>
      <c r="I2039">
        <f t="shared" si="160"/>
        <v>1</v>
      </c>
      <c r="J2039">
        <f t="shared" si="162"/>
        <v>2</v>
      </c>
      <c r="K2039">
        <v>2.8645211994648E-2</v>
      </c>
      <c r="L2039">
        <v>-1.6182400286196899E-3</v>
      </c>
      <c r="M2039">
        <v>1.24253372550011E-2</v>
      </c>
      <c r="N2039">
        <v>-7.2821974754330005E-4</v>
      </c>
      <c r="O2039">
        <f t="shared" si="163"/>
        <v>-3.3424608409403817E-4</v>
      </c>
    </row>
    <row r="2040" spans="1:15" x14ac:dyDescent="0.35">
      <c r="A2040" t="s">
        <v>135</v>
      </c>
      <c r="B2040">
        <v>2016</v>
      </c>
      <c r="C2040">
        <v>1088162</v>
      </c>
      <c r="D2040" s="8">
        <v>0.94508433341980003</v>
      </c>
      <c r="E2040" s="8">
        <v>2.1999999999999999E-2</v>
      </c>
      <c r="F2040">
        <v>2.1015752419267102</v>
      </c>
      <c r="G2040">
        <f t="shared" si="159"/>
        <v>2.2236906989264469</v>
      </c>
      <c r="H2040">
        <f t="shared" si="161"/>
        <v>2.9492313761223521E-3</v>
      </c>
      <c r="I2040">
        <f t="shared" si="160"/>
        <v>1</v>
      </c>
      <c r="J2040">
        <f t="shared" si="162"/>
        <v>3</v>
      </c>
      <c r="K2040">
        <v>1.24253372550011E-2</v>
      </c>
      <c r="L2040">
        <v>-7.2821974754330005E-4</v>
      </c>
      <c r="M2040">
        <v>9.4264985024928999E-3</v>
      </c>
      <c r="N2040">
        <v>6.6369250416755997E-3</v>
      </c>
      <c r="O2040">
        <f t="shared" si="163"/>
        <v>-3.7990253418683979E-3</v>
      </c>
    </row>
    <row r="2041" spans="1:15" x14ac:dyDescent="0.35">
      <c r="A2041" t="s">
        <v>135</v>
      </c>
      <c r="B2041">
        <v>2017</v>
      </c>
      <c r="C2041">
        <v>1089029</v>
      </c>
      <c r="D2041" s="8">
        <v>0.94306933879852295</v>
      </c>
      <c r="E2041" s="8">
        <v>1.4E-2</v>
      </c>
      <c r="F2041">
        <v>2.05059275786983</v>
      </c>
      <c r="G2041">
        <f t="shared" si="159"/>
        <v>2.1743817485173462</v>
      </c>
      <c r="H2041">
        <f t="shared" si="161"/>
        <v>-2.2174374535499086E-2</v>
      </c>
      <c r="I2041">
        <f t="shared" si="160"/>
        <v>0</v>
      </c>
      <c r="J2041">
        <f t="shared" si="162"/>
        <v>3</v>
      </c>
      <c r="K2041">
        <v>9.4264985024928999E-3</v>
      </c>
      <c r="L2041">
        <v>6.6369250416755997E-3</v>
      </c>
      <c r="M2041">
        <v>2.2510869652032899E-3</v>
      </c>
      <c r="N2041">
        <v>-6.88393600285049E-3</v>
      </c>
      <c r="O2041">
        <f t="shared" si="163"/>
        <v>-3.3749084919691003E-3</v>
      </c>
    </row>
    <row r="2042" spans="1:15" x14ac:dyDescent="0.35">
      <c r="A2042" t="s">
        <v>135</v>
      </c>
      <c r="B2042">
        <v>2018</v>
      </c>
      <c r="C2042">
        <v>1090687</v>
      </c>
      <c r="D2042" s="8">
        <v>0.95516985654830899</v>
      </c>
      <c r="E2042" s="8">
        <v>8.0000000000000002E-3</v>
      </c>
      <c r="F2042">
        <v>1.98611041504084</v>
      </c>
      <c r="G2042">
        <f t="shared" si="159"/>
        <v>2.0793269400460712</v>
      </c>
      <c r="H2042">
        <f t="shared" si="161"/>
        <v>-4.371578658443509E-2</v>
      </c>
      <c r="I2042">
        <f t="shared" si="160"/>
        <v>0</v>
      </c>
      <c r="J2042">
        <f t="shared" si="162"/>
        <v>2</v>
      </c>
      <c r="K2042">
        <v>2.2510869652032899E-3</v>
      </c>
      <c r="L2042">
        <v>-6.88393600285049E-3</v>
      </c>
      <c r="M2042">
        <v>6.6965009719133E-3</v>
      </c>
      <c r="N2042">
        <v>-1.11046936362982E-2</v>
      </c>
      <c r="O2042">
        <f t="shared" si="163"/>
        <v>3.5428307950496575E-3</v>
      </c>
    </row>
    <row r="2043" spans="1:15" x14ac:dyDescent="0.35">
      <c r="A2043" t="s">
        <v>135</v>
      </c>
      <c r="B2043">
        <v>2019</v>
      </c>
      <c r="C2043">
        <v>1090230</v>
      </c>
      <c r="D2043" s="8">
        <v>0.94810694456100497</v>
      </c>
      <c r="E2043" s="8">
        <v>2.5000000000000001E-2</v>
      </c>
      <c r="F2043">
        <v>2.0098177923520302</v>
      </c>
      <c r="G2043">
        <f t="shared" si="159"/>
        <v>2.1198218237739219</v>
      </c>
      <c r="H2043">
        <f t="shared" si="161"/>
        <v>1.9474995946021645E-2</v>
      </c>
      <c r="I2043">
        <f t="shared" si="160"/>
        <v>1</v>
      </c>
      <c r="J2043" t="str">
        <f t="shared" si="162"/>
        <v/>
      </c>
      <c r="K2043">
        <v>6.6965009719133E-3</v>
      </c>
      <c r="L2043">
        <v>-1.11046936362982E-2</v>
      </c>
      <c r="M2043">
        <v>2.92578843533992E-2</v>
      </c>
      <c r="N2043">
        <v>1.04086939245462E-2</v>
      </c>
      <c r="O2043">
        <f t="shared" si="163"/>
        <v>4.6285452321171774E-3</v>
      </c>
    </row>
    <row r="2044" spans="1:15" x14ac:dyDescent="0.35">
      <c r="A2044" t="s">
        <v>135</v>
      </c>
      <c r="B2044">
        <v>2020</v>
      </c>
      <c r="C2044">
        <v>1087191</v>
      </c>
      <c r="D2044" s="8">
        <v>0.96603775024414096</v>
      </c>
      <c r="E2044" s="8">
        <v>2E-3</v>
      </c>
      <c r="F2044">
        <v>1.9736598548793101</v>
      </c>
      <c r="G2044">
        <f t="shared" si="159"/>
        <v>2.0430463037086479</v>
      </c>
      <c r="H2044">
        <f t="shared" si="161"/>
        <v>-3.6217911903836497E-2</v>
      </c>
      <c r="I2044">
        <f t="shared" si="160"/>
        <v>0</v>
      </c>
      <c r="J2044" t="str">
        <f t="shared" si="162"/>
        <v/>
      </c>
      <c r="K2044">
        <v>2.92578843533992E-2</v>
      </c>
      <c r="L2044">
        <v>1.04086939245462E-2</v>
      </c>
      <c r="M2044">
        <v>2.5537496685981799E-2</v>
      </c>
      <c r="N2044">
        <v>-1.80521160364151E-2</v>
      </c>
      <c r="O2044">
        <f t="shared" si="163"/>
        <v>3.5824189893901375E-3</v>
      </c>
    </row>
    <row r="2045" spans="1:15" x14ac:dyDescent="0.35">
      <c r="A2045" t="s">
        <v>135</v>
      </c>
      <c r="B2045">
        <v>2021</v>
      </c>
      <c r="C2045">
        <v>1084207</v>
      </c>
      <c r="D2045" s="8">
        <v>0.96901500225067105</v>
      </c>
      <c r="E2045" s="8">
        <v>1.2999999999999999E-2</v>
      </c>
      <c r="F2045">
        <v>1.9615166911497099</v>
      </c>
      <c r="G2045">
        <f t="shared" si="159"/>
        <v>2.0242376914638234</v>
      </c>
      <c r="H2045">
        <f t="shared" si="161"/>
        <v>-9.2061605313017436E-3</v>
      </c>
      <c r="I2045">
        <f t="shared" si="160"/>
        <v>0</v>
      </c>
      <c r="J2045" t="str">
        <f t="shared" si="162"/>
        <v/>
      </c>
      <c r="K2045">
        <v>2.5537496685981799E-2</v>
      </c>
      <c r="L2045">
        <v>-1.80521160364151E-2</v>
      </c>
      <c r="M2045">
        <v>-2.3345997482538201E-2</v>
      </c>
      <c r="N2045">
        <v>8.75750929117209E-3</v>
      </c>
      <c r="O2045">
        <f t="shared" si="163"/>
        <v>9.0828186832368277E-3</v>
      </c>
    </row>
    <row r="2046" spans="1:15" x14ac:dyDescent="0.35">
      <c r="A2046" t="s">
        <v>135</v>
      </c>
      <c r="B2046">
        <v>2022</v>
      </c>
      <c r="C2046">
        <v>1079874</v>
      </c>
      <c r="D2046" s="8">
        <v>0.95957005023956299</v>
      </c>
      <c r="E2046" s="8">
        <v>1.7999999999999999E-2</v>
      </c>
      <c r="F2046">
        <v>1.9667756172572399</v>
      </c>
      <c r="G2046">
        <f t="shared" si="159"/>
        <v>2.0496425631106572</v>
      </c>
      <c r="H2046">
        <f t="shared" si="161"/>
        <v>1.2550340186809894E-2</v>
      </c>
      <c r="I2046">
        <f t="shared" si="160"/>
        <v>1</v>
      </c>
      <c r="J2046" t="str">
        <f t="shared" si="162"/>
        <v/>
      </c>
      <c r="K2046">
        <v>-2.3345997482538201E-2</v>
      </c>
      <c r="L2046">
        <v>9.2362128198146907E-3</v>
      </c>
      <c r="M2046">
        <v>8.1458326578139895E-3</v>
      </c>
      <c r="N2046">
        <v>2.7704760432243299E-2</v>
      </c>
      <c r="O2046">
        <f t="shared" si="163"/>
        <v>6.7171073984354512E-3</v>
      </c>
    </row>
    <row r="2047" spans="1:15" x14ac:dyDescent="0.35">
      <c r="A2047" t="s">
        <v>136</v>
      </c>
      <c r="B2047">
        <v>2006</v>
      </c>
      <c r="C2047">
        <v>342757.90625</v>
      </c>
      <c r="D2047" s="8">
        <v>0.90941661596298196</v>
      </c>
      <c r="E2047" s="8">
        <v>2E-3</v>
      </c>
      <c r="F2047">
        <v>2.3075982949295</v>
      </c>
      <c r="G2047">
        <f t="shared" si="159"/>
        <v>2.5374490133831373</v>
      </c>
      <c r="H2047">
        <f t="shared" si="161"/>
        <v>0.23799586281627394</v>
      </c>
      <c r="I2047">
        <f t="shared" si="160"/>
        <v>1</v>
      </c>
      <c r="J2047" t="str">
        <f t="shared" si="162"/>
        <v/>
      </c>
      <c r="K2047">
        <v>-1.17046482563019E-2</v>
      </c>
      <c r="L2047">
        <v>-1.8067687749862699E-2</v>
      </c>
      <c r="M2047">
        <v>-6.5978773832321E-3</v>
      </c>
      <c r="N2047">
        <v>-5.6761214509605997E-3</v>
      </c>
      <c r="O2047" t="str">
        <f t="shared" si="163"/>
        <v/>
      </c>
    </row>
    <row r="2048" spans="1:15" x14ac:dyDescent="0.35">
      <c r="A2048" t="s">
        <v>136</v>
      </c>
      <c r="B2048">
        <v>2007</v>
      </c>
      <c r="C2048">
        <v>348109.1875</v>
      </c>
      <c r="D2048" s="8">
        <v>0.91519099473953203</v>
      </c>
      <c r="E2048" s="8">
        <v>0</v>
      </c>
      <c r="F2048">
        <v>2.23405065144195</v>
      </c>
      <c r="G2048">
        <f t="shared" si="159"/>
        <v>2.4410758675327351</v>
      </c>
      <c r="H2048">
        <f t="shared" si="161"/>
        <v>-3.7980328015304488E-2</v>
      </c>
      <c r="I2048">
        <f t="shared" si="160"/>
        <v>0</v>
      </c>
      <c r="J2048" t="str">
        <f t="shared" si="162"/>
        <v/>
      </c>
      <c r="K2048">
        <v>-6.5978773832321E-3</v>
      </c>
      <c r="L2048">
        <v>-5.6761214509605997E-3</v>
      </c>
      <c r="M2048">
        <v>-2.4332741566002399E-2</v>
      </c>
      <c r="N2048">
        <v>5.178062710911E-3</v>
      </c>
      <c r="O2048" t="str">
        <f t="shared" si="163"/>
        <v/>
      </c>
    </row>
    <row r="2049" spans="1:15" x14ac:dyDescent="0.35">
      <c r="A2049" t="s">
        <v>136</v>
      </c>
      <c r="B2049">
        <v>2008</v>
      </c>
      <c r="C2049">
        <v>349909.09375</v>
      </c>
      <c r="D2049" s="8">
        <v>0.92251747846603405</v>
      </c>
      <c r="E2049" s="8">
        <v>4.0000000000000001E-3</v>
      </c>
      <c r="F2049">
        <v>2.2217167721518898</v>
      </c>
      <c r="G2049">
        <f t="shared" si="159"/>
        <v>2.4083194346042851</v>
      </c>
      <c r="H2049">
        <f t="shared" si="161"/>
        <v>-1.3418850828900264E-2</v>
      </c>
      <c r="I2049">
        <f t="shared" si="160"/>
        <v>0</v>
      </c>
      <c r="J2049" t="str">
        <f t="shared" si="162"/>
        <v/>
      </c>
      <c r="K2049">
        <v>-2.4332741566002399E-2</v>
      </c>
      <c r="L2049">
        <v>5.178062710911E-3</v>
      </c>
      <c r="M2049">
        <v>-1.71168192327023E-2</v>
      </c>
      <c r="N2049">
        <v>9.4498824328183503E-3</v>
      </c>
      <c r="O2049" t="str">
        <f t="shared" si="163"/>
        <v/>
      </c>
    </row>
    <row r="2050" spans="1:15" x14ac:dyDescent="0.35">
      <c r="A2050" t="s">
        <v>136</v>
      </c>
      <c r="B2050">
        <v>2009</v>
      </c>
      <c r="C2050">
        <v>349669.09375</v>
      </c>
      <c r="D2050" s="8">
        <v>0.92052531242370605</v>
      </c>
      <c r="E2050" s="8">
        <v>0</v>
      </c>
      <c r="F2050">
        <v>2.2450429049304299</v>
      </c>
      <c r="G2050">
        <f t="shared" si="159"/>
        <v>2.4388714515837946</v>
      </c>
      <c r="H2050">
        <f t="shared" si="161"/>
        <v>1.2686031819748811E-2</v>
      </c>
      <c r="I2050">
        <f t="shared" si="160"/>
        <v>1</v>
      </c>
      <c r="J2050" t="str">
        <f t="shared" si="162"/>
        <v/>
      </c>
      <c r="K2050">
        <v>-1.71168192327023E-2</v>
      </c>
      <c r="L2050">
        <v>9.4498824328183503E-3</v>
      </c>
      <c r="M2050">
        <v>-1.2531155891716401E-2</v>
      </c>
      <c r="N2050">
        <v>-3.07104713283479E-3</v>
      </c>
      <c r="O2050" t="str">
        <f t="shared" si="163"/>
        <v/>
      </c>
    </row>
    <row r="2051" spans="1:15" x14ac:dyDescent="0.35">
      <c r="A2051" t="s">
        <v>136</v>
      </c>
      <c r="B2051">
        <v>2010</v>
      </c>
      <c r="C2051">
        <v>349058.1875</v>
      </c>
      <c r="D2051" s="8">
        <v>0.92039847373962402</v>
      </c>
      <c r="E2051" s="8">
        <v>0</v>
      </c>
      <c r="F2051">
        <v>2.2928567629381398</v>
      </c>
      <c r="G2051">
        <f t="shared" ref="G2051:G2114" si="164">F2051/D2051</f>
        <v>2.4911566330853967</v>
      </c>
      <c r="H2051">
        <f t="shared" si="161"/>
        <v>2.143826869909371E-2</v>
      </c>
      <c r="I2051">
        <f t="shared" ref="I2051:I2114" si="165">IF(H2051&gt;0,1,0)</f>
        <v>1</v>
      </c>
      <c r="J2051">
        <f t="shared" si="162"/>
        <v>3</v>
      </c>
      <c r="K2051">
        <v>-1.2531155891716401E-2</v>
      </c>
      <c r="L2051">
        <v>-3.07104713283479E-3</v>
      </c>
      <c r="M2051">
        <v>-2.7509897824376801E-2</v>
      </c>
      <c r="N2051">
        <v>-6.2261233106255202E-3</v>
      </c>
      <c r="O2051">
        <f t="shared" si="163"/>
        <v>-1.00116407498717E-2</v>
      </c>
    </row>
    <row r="2052" spans="1:15" x14ac:dyDescent="0.35">
      <c r="A2052" t="s">
        <v>136</v>
      </c>
      <c r="B2052">
        <v>2011</v>
      </c>
      <c r="C2052">
        <v>347904.375</v>
      </c>
      <c r="D2052" s="8">
        <v>0.92798757553100597</v>
      </c>
      <c r="E2052" s="8">
        <v>0</v>
      </c>
      <c r="F2052">
        <v>2.3215016711143299</v>
      </c>
      <c r="G2052">
        <f t="shared" si="164"/>
        <v>2.5016516732844596</v>
      </c>
      <c r="H2052">
        <f t="shared" ref="H2052:H2115" si="166">+G2052/G2051-1</f>
        <v>4.2129186337289681E-3</v>
      </c>
      <c r="I2052">
        <f t="shared" si="165"/>
        <v>1</v>
      </c>
      <c r="J2052">
        <f t="shared" si="162"/>
        <v>3</v>
      </c>
      <c r="K2052">
        <v>-2.7509897824376801E-2</v>
      </c>
      <c r="L2052">
        <v>-6.2261233106255202E-3</v>
      </c>
      <c r="M2052">
        <v>-1.35872692838311E-2</v>
      </c>
      <c r="N2052">
        <v>-8.1490632146597203E-3</v>
      </c>
      <c r="O2052">
        <f t="shared" si="163"/>
        <v>-8.2403175532817577E-3</v>
      </c>
    </row>
    <row r="2053" spans="1:15" x14ac:dyDescent="0.35">
      <c r="A2053" t="s">
        <v>136</v>
      </c>
      <c r="B2053">
        <v>2012</v>
      </c>
      <c r="C2053">
        <v>346632</v>
      </c>
      <c r="D2053" s="8">
        <v>0.93425238132476796</v>
      </c>
      <c r="E2053" s="8">
        <v>0</v>
      </c>
      <c r="F2053">
        <v>2.4412078911758401</v>
      </c>
      <c r="G2053">
        <f t="shared" si="164"/>
        <v>2.6130068704927596</v>
      </c>
      <c r="H2053">
        <f t="shared" si="166"/>
        <v>4.4512670727695713E-2</v>
      </c>
      <c r="I2053">
        <f t="shared" si="165"/>
        <v>1</v>
      </c>
      <c r="J2053">
        <f t="shared" si="162"/>
        <v>4</v>
      </c>
      <c r="K2053">
        <v>-1.35872692838311E-2</v>
      </c>
      <c r="L2053">
        <v>-8.2346620038152192E-3</v>
      </c>
      <c r="M2053">
        <v>6.9377258419989901E-4</v>
      </c>
      <c r="N2053">
        <v>-5.4329987615347004E-3</v>
      </c>
      <c r="O2053">
        <f t="shared" si="163"/>
        <v>-6.8516410887240935E-3</v>
      </c>
    </row>
    <row r="2054" spans="1:15" x14ac:dyDescent="0.35">
      <c r="A2054" t="s">
        <v>136</v>
      </c>
      <c r="B2054">
        <v>2013</v>
      </c>
      <c r="C2054">
        <v>345592.09375</v>
      </c>
      <c r="D2054" s="8">
        <v>0.93186610937118497</v>
      </c>
      <c r="E2054" s="8">
        <v>0</v>
      </c>
      <c r="F2054">
        <v>2.3358556040195602</v>
      </c>
      <c r="G2054">
        <f t="shared" si="164"/>
        <v>2.5066429399345522</v>
      </c>
      <c r="H2054">
        <f t="shared" si="166"/>
        <v>-4.070556865323105E-2</v>
      </c>
      <c r="I2054">
        <f t="shared" si="165"/>
        <v>0</v>
      </c>
      <c r="J2054">
        <f t="shared" si="162"/>
        <v>4</v>
      </c>
      <c r="K2054">
        <v>6.9377258419989901E-4</v>
      </c>
      <c r="L2054">
        <v>-5.4329987615347004E-3</v>
      </c>
      <c r="M2054">
        <v>-7.0586923360824597E-3</v>
      </c>
      <c r="N2054">
        <v>-9.0667158365249599E-3</v>
      </c>
      <c r="O2054">
        <f t="shared" si="163"/>
        <v>-4.7077294439076944E-3</v>
      </c>
    </row>
    <row r="2055" spans="1:15" x14ac:dyDescent="0.35">
      <c r="A2055" t="s">
        <v>136</v>
      </c>
      <c r="B2055">
        <v>2014</v>
      </c>
      <c r="C2055">
        <v>343921.90625</v>
      </c>
      <c r="D2055" s="8">
        <v>0.93879061937332198</v>
      </c>
      <c r="E2055" s="8">
        <v>0</v>
      </c>
      <c r="F2055">
        <v>2.4105066712428602</v>
      </c>
      <c r="G2055">
        <f t="shared" si="164"/>
        <v>2.5676723025331931</v>
      </c>
      <c r="H2055">
        <f t="shared" si="166"/>
        <v>2.4347050641458479E-2</v>
      </c>
      <c r="I2055">
        <f t="shared" si="165"/>
        <v>1</v>
      </c>
      <c r="J2055">
        <f t="shared" ref="J2055:J2118" si="167">IF(AND(B2055&gt;=2010,B2055&lt;=2018),SUM(I2051:I2055),"")</f>
        <v>4</v>
      </c>
      <c r="K2055">
        <v>-7.0586923360824597E-3</v>
      </c>
      <c r="L2055">
        <v>-9.0667158365249599E-3</v>
      </c>
      <c r="M2055">
        <v>9.0801493972539997E-3</v>
      </c>
      <c r="N2055">
        <v>-2.11833026260136E-2</v>
      </c>
      <c r="O2055">
        <f t="shared" ref="O2055:O2118" si="168">IF(B2055&gt;=2010,AVERAGE(N2055:N2059),"")</f>
        <v>-3.6278646439313416E-3</v>
      </c>
    </row>
    <row r="2056" spans="1:15" x14ac:dyDescent="0.35">
      <c r="A2056" t="s">
        <v>136</v>
      </c>
      <c r="B2056">
        <v>2015</v>
      </c>
      <c r="C2056">
        <v>342790.8125</v>
      </c>
      <c r="D2056" s="8">
        <v>0.94153541326522805</v>
      </c>
      <c r="E2056" s="8">
        <v>0</v>
      </c>
      <c r="F2056">
        <v>2.20875563063063</v>
      </c>
      <c r="G2056">
        <f t="shared" si="164"/>
        <v>2.3459081830716326</v>
      </c>
      <c r="H2056">
        <f t="shared" si="166"/>
        <v>-8.6367765560571796E-2</v>
      </c>
      <c r="I2056">
        <f t="shared" si="165"/>
        <v>0</v>
      </c>
      <c r="J2056">
        <f t="shared" si="167"/>
        <v>3</v>
      </c>
      <c r="K2056">
        <v>9.0801493972539997E-3</v>
      </c>
      <c r="L2056">
        <v>-2.11833026260136E-2</v>
      </c>
      <c r="M2056">
        <v>1.57840496748686E-2</v>
      </c>
      <c r="N2056">
        <v>2.6304926723241901E-3</v>
      </c>
      <c r="O2056">
        <f t="shared" si="168"/>
        <v>8.4840841591359592E-4</v>
      </c>
    </row>
    <row r="2057" spans="1:15" x14ac:dyDescent="0.35">
      <c r="A2057" t="s">
        <v>136</v>
      </c>
      <c r="B2057">
        <v>2016</v>
      </c>
      <c r="C2057">
        <v>342016.21875</v>
      </c>
      <c r="D2057" s="8">
        <v>0.941273093223572</v>
      </c>
      <c r="E2057" s="8">
        <v>0</v>
      </c>
      <c r="F2057">
        <v>2.41358429844805</v>
      </c>
      <c r="G2057">
        <f t="shared" si="164"/>
        <v>2.5641700754265302</v>
      </c>
      <c r="H2057">
        <f t="shared" si="166"/>
        <v>9.3039401085644569E-2</v>
      </c>
      <c r="I2057">
        <f t="shared" si="165"/>
        <v>1</v>
      </c>
      <c r="J2057">
        <f t="shared" si="167"/>
        <v>3</v>
      </c>
      <c r="K2057">
        <v>1.57840496748686E-2</v>
      </c>
      <c r="L2057">
        <v>2.6304926723241901E-3</v>
      </c>
      <c r="M2057">
        <v>1.5838925689458899E-3</v>
      </c>
      <c r="N2057">
        <v>-1.2056808918714001E-3</v>
      </c>
      <c r="O2057">
        <f t="shared" si="168"/>
        <v>-5.3870677947998021E-3</v>
      </c>
    </row>
    <row r="2058" spans="1:15" x14ac:dyDescent="0.35">
      <c r="A2058" t="s">
        <v>136</v>
      </c>
      <c r="B2058">
        <v>2017</v>
      </c>
      <c r="C2058">
        <v>340925.90625</v>
      </c>
      <c r="D2058" s="8">
        <v>0.94898134469985995</v>
      </c>
      <c r="E2058" s="8">
        <v>7.0000000000000001E-3</v>
      </c>
      <c r="F2058">
        <v>2.3412547756926201</v>
      </c>
      <c r="G2058">
        <f t="shared" si="164"/>
        <v>2.4671241313316892</v>
      </c>
      <c r="H2058">
        <f t="shared" si="166"/>
        <v>-3.7846921709628889E-2</v>
      </c>
      <c r="I2058">
        <f t="shared" si="165"/>
        <v>0</v>
      </c>
      <c r="J2058">
        <f t="shared" si="167"/>
        <v>2</v>
      </c>
      <c r="K2058">
        <v>1.5838925689458899E-3</v>
      </c>
      <c r="L2058">
        <v>-1.2056808918714001E-3</v>
      </c>
      <c r="M2058">
        <v>1.4421582430601E-2</v>
      </c>
      <c r="N2058">
        <v>5.2865594625472996E-3</v>
      </c>
      <c r="O2058">
        <f t="shared" si="168"/>
        <v>-3.6405358463525842E-3</v>
      </c>
    </row>
    <row r="2059" spans="1:15" x14ac:dyDescent="0.35">
      <c r="A2059" t="s">
        <v>136</v>
      </c>
      <c r="B2059">
        <v>2018</v>
      </c>
      <c r="C2059">
        <v>340136.1875</v>
      </c>
      <c r="D2059" s="8">
        <v>0.95534026622772195</v>
      </c>
      <c r="E2059" s="8">
        <v>0</v>
      </c>
      <c r="F2059">
        <v>2.3683722257903299</v>
      </c>
      <c r="G2059">
        <f t="shared" si="164"/>
        <v>2.4790876188461497</v>
      </c>
      <c r="H2059">
        <f t="shared" si="166"/>
        <v>4.8491631866138807E-3</v>
      </c>
      <c r="I2059">
        <f t="shared" si="165"/>
        <v>1</v>
      </c>
      <c r="J2059">
        <f t="shared" si="167"/>
        <v>3</v>
      </c>
      <c r="K2059">
        <v>1.4421582430601E-2</v>
      </c>
      <c r="L2059">
        <v>5.2865594625472996E-3</v>
      </c>
      <c r="M2059">
        <v>1.41338027715683E-2</v>
      </c>
      <c r="N2059">
        <v>-3.6673918366431999E-3</v>
      </c>
      <c r="O2059">
        <f t="shared" si="168"/>
        <v>3.5253550857305359E-3</v>
      </c>
    </row>
    <row r="2060" spans="1:15" x14ac:dyDescent="0.35">
      <c r="A2060" t="s">
        <v>136</v>
      </c>
      <c r="B2060">
        <v>2019</v>
      </c>
      <c r="C2060">
        <v>339353.6875</v>
      </c>
      <c r="D2060" s="8">
        <v>0.95674484968185403</v>
      </c>
      <c r="E2060" s="8">
        <v>0</v>
      </c>
      <c r="F2060">
        <v>2.3405614624137199</v>
      </c>
      <c r="G2060">
        <f t="shared" si="164"/>
        <v>2.4463799969156099</v>
      </c>
      <c r="H2060">
        <f t="shared" si="166"/>
        <v>-1.3193411028272983E-2</v>
      </c>
      <c r="I2060">
        <f t="shared" si="165"/>
        <v>0</v>
      </c>
      <c r="J2060" t="str">
        <f t="shared" si="167"/>
        <v/>
      </c>
      <c r="K2060">
        <v>1.41338027715683E-2</v>
      </c>
      <c r="L2060">
        <v>-3.6673918366431999E-3</v>
      </c>
      <c r="M2060">
        <v>2.0047253102064001E-2</v>
      </c>
      <c r="N2060">
        <v>1.1980626732110899E-3</v>
      </c>
      <c r="O2060">
        <f t="shared" si="168"/>
        <v>3.3672535791992976E-3</v>
      </c>
    </row>
    <row r="2061" spans="1:15" x14ac:dyDescent="0.35">
      <c r="A2061" t="s">
        <v>136</v>
      </c>
      <c r="B2061">
        <v>2020</v>
      </c>
      <c r="C2061">
        <v>337862.40625</v>
      </c>
      <c r="D2061" s="8">
        <v>0.96282732486724898</v>
      </c>
      <c r="E2061" s="8">
        <v>0</v>
      </c>
      <c r="F2061">
        <v>2.0925284728119999</v>
      </c>
      <c r="G2061">
        <f t="shared" si="164"/>
        <v>2.1733164595224901</v>
      </c>
      <c r="H2061">
        <f t="shared" si="166"/>
        <v>-0.11161942859956253</v>
      </c>
      <c r="I2061">
        <f t="shared" si="165"/>
        <v>0</v>
      </c>
      <c r="J2061" t="str">
        <f t="shared" si="167"/>
        <v/>
      </c>
      <c r="K2061">
        <v>2.0047253102064001E-2</v>
      </c>
      <c r="L2061">
        <v>1.1980626732110899E-3</v>
      </c>
      <c r="M2061">
        <v>1.5042724341154E-2</v>
      </c>
      <c r="N2061">
        <v>-2.8546888381242801E-2</v>
      </c>
      <c r="O2061">
        <f t="shared" si="168"/>
        <v>1.7416584538295734E-3</v>
      </c>
    </row>
    <row r="2062" spans="1:15" x14ac:dyDescent="0.35">
      <c r="A2062" t="s">
        <v>136</v>
      </c>
      <c r="B2062">
        <v>2021</v>
      </c>
      <c r="C2062">
        <v>336156.09375</v>
      </c>
      <c r="D2062" s="8">
        <v>0.959575295448303</v>
      </c>
      <c r="E2062" s="8">
        <v>3.0000000000000001E-3</v>
      </c>
      <c r="F2062">
        <v>2.2433811139579398</v>
      </c>
      <c r="G2062">
        <f t="shared" si="164"/>
        <v>2.3378896107468639</v>
      </c>
      <c r="H2062">
        <f t="shared" si="166"/>
        <v>7.5724430514152008E-2</v>
      </c>
      <c r="I2062">
        <f t="shared" si="165"/>
        <v>1</v>
      </c>
      <c r="J2062" t="str">
        <f t="shared" si="167"/>
        <v/>
      </c>
      <c r="K2062">
        <v>1.5042724341154E-2</v>
      </c>
      <c r="L2062">
        <v>-2.8546888381242801E-2</v>
      </c>
      <c r="M2062">
        <v>-2.4576527923345599E-2</v>
      </c>
      <c r="N2062">
        <v>7.5269788503646903E-3</v>
      </c>
      <c r="O2062">
        <f t="shared" si="168"/>
        <v>4.5630707638338337E-3</v>
      </c>
    </row>
    <row r="2063" spans="1:15" x14ac:dyDescent="0.35">
      <c r="A2063" t="s">
        <v>136</v>
      </c>
      <c r="B2063">
        <v>2022</v>
      </c>
      <c r="C2063">
        <v>335176.3125</v>
      </c>
      <c r="D2063" s="8">
        <v>0.95935010910034202</v>
      </c>
      <c r="E2063" s="8">
        <v>0</v>
      </c>
      <c r="F2063">
        <v>2.2554591160359099</v>
      </c>
      <c r="G2063">
        <f t="shared" si="164"/>
        <v>2.3510281539979507</v>
      </c>
      <c r="H2063">
        <f t="shared" si="166"/>
        <v>5.6198304619223816E-3</v>
      </c>
      <c r="I2063">
        <f t="shared" si="165"/>
        <v>1</v>
      </c>
      <c r="J2063" t="str">
        <f t="shared" si="167"/>
        <v/>
      </c>
      <c r="K2063">
        <v>-2.4576527923345599E-2</v>
      </c>
      <c r="L2063">
        <v>8.0056823790072892E-3</v>
      </c>
      <c r="M2063">
        <v>2.1557086348533601E-2</v>
      </c>
      <c r="N2063">
        <v>4.1116014122962903E-2</v>
      </c>
      <c r="O2063">
        <f t="shared" si="168"/>
        <v>1.894432154949765E-3</v>
      </c>
    </row>
    <row r="2064" spans="1:15" x14ac:dyDescent="0.35">
      <c r="A2064" t="s">
        <v>137</v>
      </c>
      <c r="B2064">
        <v>2006</v>
      </c>
      <c r="C2064">
        <v>2063852</v>
      </c>
      <c r="D2064" s="8">
        <v>0.93840259313583396</v>
      </c>
      <c r="E2064" s="8">
        <v>1.2999999999999999E-2</v>
      </c>
      <c r="F2064">
        <v>2.4347990498602998</v>
      </c>
      <c r="G2064">
        <f t="shared" si="164"/>
        <v>2.5946209736313701</v>
      </c>
      <c r="H2064">
        <f t="shared" si="166"/>
        <v>0.10361118781975742</v>
      </c>
      <c r="I2064">
        <f t="shared" si="165"/>
        <v>1</v>
      </c>
      <c r="J2064" t="str">
        <f t="shared" si="167"/>
        <v/>
      </c>
      <c r="K2064">
        <v>-6.7676451802250299E-4</v>
      </c>
      <c r="L2064">
        <v>-7.0398040115832996E-3</v>
      </c>
      <c r="M2064">
        <v>-5.3796553015708999E-3</v>
      </c>
      <c r="N2064">
        <v>-4.4578993692993996E-3</v>
      </c>
      <c r="O2064" t="str">
        <f t="shared" si="168"/>
        <v/>
      </c>
    </row>
    <row r="2065" spans="1:15" x14ac:dyDescent="0.35">
      <c r="A2065" t="s">
        <v>137</v>
      </c>
      <c r="B2065">
        <v>2007</v>
      </c>
      <c r="C2065">
        <v>2088726.125</v>
      </c>
      <c r="D2065" s="8">
        <v>0.94087558984756503</v>
      </c>
      <c r="E2065" s="8">
        <v>6.0000000000000001E-3</v>
      </c>
      <c r="F2065">
        <v>2.4324860169746998</v>
      </c>
      <c r="G2065">
        <f t="shared" si="164"/>
        <v>2.585342890412107</v>
      </c>
      <c r="H2065">
        <f t="shared" si="166"/>
        <v>-3.5758915516195255E-3</v>
      </c>
      <c r="I2065">
        <f t="shared" si="165"/>
        <v>0</v>
      </c>
      <c r="J2065" t="str">
        <f t="shared" si="167"/>
        <v/>
      </c>
      <c r="K2065">
        <v>-5.3796553015708999E-3</v>
      </c>
      <c r="L2065">
        <v>-4.4578993692993996E-3</v>
      </c>
      <c r="M2065">
        <v>-3.6440717230550902E-2</v>
      </c>
      <c r="N2065">
        <v>-6.9299129536375299E-3</v>
      </c>
      <c r="O2065" t="str">
        <f t="shared" si="168"/>
        <v/>
      </c>
    </row>
    <row r="2066" spans="1:15" x14ac:dyDescent="0.35">
      <c r="A2066" t="s">
        <v>137</v>
      </c>
      <c r="B2066">
        <v>2008</v>
      </c>
      <c r="C2066">
        <v>2114487</v>
      </c>
      <c r="D2066" s="8">
        <v>0.93382722139358498</v>
      </c>
      <c r="E2066" s="8">
        <v>4.0000000000000001E-3</v>
      </c>
      <c r="F2066">
        <v>2.5423036725566899</v>
      </c>
      <c r="G2066">
        <f t="shared" si="164"/>
        <v>2.7224561613900224</v>
      </c>
      <c r="H2066">
        <f t="shared" si="166"/>
        <v>5.3034849453203359E-2</v>
      </c>
      <c r="I2066">
        <f t="shared" si="165"/>
        <v>1</v>
      </c>
      <c r="J2066" t="str">
        <f t="shared" si="167"/>
        <v/>
      </c>
      <c r="K2066">
        <v>-3.6440717230550902E-2</v>
      </c>
      <c r="L2066">
        <v>-6.9299129536375299E-3</v>
      </c>
      <c r="M2066">
        <v>-4.1006528496742203E-2</v>
      </c>
      <c r="N2066">
        <v>-1.4439826831221501E-2</v>
      </c>
      <c r="O2066" t="str">
        <f t="shared" si="168"/>
        <v/>
      </c>
    </row>
    <row r="2067" spans="1:15" x14ac:dyDescent="0.35">
      <c r="A2067" t="s">
        <v>137</v>
      </c>
      <c r="B2067">
        <v>2009</v>
      </c>
      <c r="C2067">
        <v>2138185</v>
      </c>
      <c r="D2067" s="8">
        <v>0.92421162128448497</v>
      </c>
      <c r="E2067" s="8">
        <v>2E-3</v>
      </c>
      <c r="F2067">
        <v>2.5450008464533602</v>
      </c>
      <c r="G2067">
        <f t="shared" si="164"/>
        <v>2.7536992479236249</v>
      </c>
      <c r="H2067">
        <f t="shared" si="166"/>
        <v>1.147606597920392E-2</v>
      </c>
      <c r="I2067">
        <f t="shared" si="165"/>
        <v>1</v>
      </c>
      <c r="J2067" t="str">
        <f t="shared" si="167"/>
        <v/>
      </c>
      <c r="K2067">
        <v>-4.1006528496742203E-2</v>
      </c>
      <c r="L2067">
        <v>-1.4439826831221501E-2</v>
      </c>
      <c r="M2067">
        <v>-1.52763229529373E-2</v>
      </c>
      <c r="N2067">
        <v>-5.8162141940556501E-3</v>
      </c>
      <c r="O2067" t="str">
        <f t="shared" si="168"/>
        <v/>
      </c>
    </row>
    <row r="2068" spans="1:15" x14ac:dyDescent="0.35">
      <c r="A2068" t="s">
        <v>137</v>
      </c>
      <c r="B2068">
        <v>2010</v>
      </c>
      <c r="C2068">
        <v>2159732</v>
      </c>
      <c r="D2068" s="8">
        <v>0.935280621051788</v>
      </c>
      <c r="E2068" s="8">
        <v>0</v>
      </c>
      <c r="F2068">
        <v>2.6160112784178602</v>
      </c>
      <c r="G2068">
        <f t="shared" si="164"/>
        <v>2.7970335528560124</v>
      </c>
      <c r="H2068">
        <f t="shared" si="166"/>
        <v>1.5736760274406514E-2</v>
      </c>
      <c r="I2068">
        <f t="shared" si="165"/>
        <v>1</v>
      </c>
      <c r="J2068">
        <f t="shared" si="167"/>
        <v>4</v>
      </c>
      <c r="K2068">
        <v>-1.52763229529373E-2</v>
      </c>
      <c r="L2068">
        <v>-5.8162141940556501E-3</v>
      </c>
      <c r="M2068">
        <v>-1.9922169268131298E-2</v>
      </c>
      <c r="N2068">
        <v>1.3616052456199999E-3</v>
      </c>
      <c r="O2068">
        <f t="shared" si="168"/>
        <v>1.593609312549232E-2</v>
      </c>
    </row>
    <row r="2069" spans="1:15" x14ac:dyDescent="0.35">
      <c r="A2069" t="s">
        <v>137</v>
      </c>
      <c r="B2069">
        <v>2011</v>
      </c>
      <c r="C2069">
        <v>2180685</v>
      </c>
      <c r="D2069" s="8">
        <v>0.93371790647506703</v>
      </c>
      <c r="E2069" s="8">
        <v>0</v>
      </c>
      <c r="F2069">
        <v>2.5255847183815101</v>
      </c>
      <c r="G2069">
        <f t="shared" si="164"/>
        <v>2.7048691053982163</v>
      </c>
      <c r="H2069">
        <f t="shared" si="166"/>
        <v>-3.2950783648515114E-2</v>
      </c>
      <c r="I2069">
        <f t="shared" si="165"/>
        <v>0</v>
      </c>
      <c r="J2069">
        <f t="shared" si="167"/>
        <v>3</v>
      </c>
      <c r="K2069">
        <v>-1.9922169268131298E-2</v>
      </c>
      <c r="L2069">
        <v>1.3616052456199999E-3</v>
      </c>
      <c r="M2069">
        <v>-8.5430176034569996E-3</v>
      </c>
      <c r="N2069">
        <v>-3.1048115342856E-3</v>
      </c>
      <c r="O2069">
        <f t="shared" si="168"/>
        <v>2.5574696809053398E-2</v>
      </c>
    </row>
    <row r="2070" spans="1:15" x14ac:dyDescent="0.35">
      <c r="A2070" t="s">
        <v>137</v>
      </c>
      <c r="B2070">
        <v>2012</v>
      </c>
      <c r="C2070">
        <v>2201384</v>
      </c>
      <c r="D2070" s="8">
        <v>0.93389397859573398</v>
      </c>
      <c r="E2070" s="8">
        <v>0</v>
      </c>
      <c r="F2070">
        <v>2.6250403477268902</v>
      </c>
      <c r="G2070">
        <f t="shared" si="164"/>
        <v>2.8108547735515739</v>
      </c>
      <c r="H2070">
        <f t="shared" si="166"/>
        <v>3.9183289106980324E-2</v>
      </c>
      <c r="I2070">
        <f t="shared" si="165"/>
        <v>1</v>
      </c>
      <c r="J2070">
        <f t="shared" si="167"/>
        <v>4</v>
      </c>
      <c r="K2070">
        <v>-8.5430176034569996E-3</v>
      </c>
      <c r="L2070">
        <v>-3.1904103234410902E-3</v>
      </c>
      <c r="M2070">
        <v>1.6648050993681E-2</v>
      </c>
      <c r="N2070">
        <v>1.0521279647946399E-2</v>
      </c>
      <c r="O2070">
        <f t="shared" si="168"/>
        <v>3.4104776009917237E-2</v>
      </c>
    </row>
    <row r="2071" spans="1:15" x14ac:dyDescent="0.35">
      <c r="A2071" t="s">
        <v>137</v>
      </c>
      <c r="B2071">
        <v>2013</v>
      </c>
      <c r="C2071">
        <v>2224895</v>
      </c>
      <c r="D2071" s="8">
        <v>0.94635826349258401</v>
      </c>
      <c r="E2071" s="8">
        <v>0</v>
      </c>
      <c r="F2071">
        <v>2.5242833843876098</v>
      </c>
      <c r="G2071">
        <f t="shared" si="164"/>
        <v>2.6673655018043712</v>
      </c>
      <c r="H2071">
        <f t="shared" si="166"/>
        <v>-5.1048269408063729E-2</v>
      </c>
      <c r="I2071">
        <f t="shared" si="165"/>
        <v>0</v>
      </c>
      <c r="J2071">
        <f t="shared" si="167"/>
        <v>3</v>
      </c>
      <c r="K2071">
        <v>1.6648050993681E-2</v>
      </c>
      <c r="L2071">
        <v>1.0521279647946399E-2</v>
      </c>
      <c r="M2071">
        <v>1.9770338028669399E-2</v>
      </c>
      <c r="N2071">
        <v>1.77623145282268E-2</v>
      </c>
      <c r="O2071">
        <f t="shared" si="168"/>
        <v>3.5591246932744958E-2</v>
      </c>
    </row>
    <row r="2072" spans="1:15" x14ac:dyDescent="0.35">
      <c r="A2072" t="s">
        <v>137</v>
      </c>
      <c r="B2072">
        <v>2014</v>
      </c>
      <c r="C2072">
        <v>2253184</v>
      </c>
      <c r="D2072" s="8">
        <v>0.95141643285751298</v>
      </c>
      <c r="E2072" s="8">
        <v>3.0000000000000001E-3</v>
      </c>
      <c r="F2072">
        <v>2.5717344102567199</v>
      </c>
      <c r="G2072">
        <f t="shared" si="164"/>
        <v>2.7030586412436612</v>
      </c>
      <c r="H2072">
        <f t="shared" si="166"/>
        <v>1.3381420512166509E-2</v>
      </c>
      <c r="I2072">
        <f t="shared" si="165"/>
        <v>1</v>
      </c>
      <c r="J2072">
        <f t="shared" si="167"/>
        <v>3</v>
      </c>
      <c r="K2072">
        <v>1.9770338028669399E-2</v>
      </c>
      <c r="L2072">
        <v>1.77623145282268E-2</v>
      </c>
      <c r="M2072">
        <v>8.3403529763221698E-2</v>
      </c>
      <c r="N2072">
        <v>5.3140077739954002E-2</v>
      </c>
      <c r="O2072">
        <f t="shared" si="168"/>
        <v>3.4617849439382523E-2</v>
      </c>
    </row>
    <row r="2073" spans="1:15" x14ac:dyDescent="0.35">
      <c r="A2073" t="s">
        <v>137</v>
      </c>
      <c r="B2073">
        <v>2015</v>
      </c>
      <c r="C2073">
        <v>2283229</v>
      </c>
      <c r="D2073" s="8">
        <v>0.95812785625457797</v>
      </c>
      <c r="E2073" s="8">
        <v>3.0000000000000001E-3</v>
      </c>
      <c r="F2073">
        <v>2.5170505529462899</v>
      </c>
      <c r="G2073">
        <f t="shared" si="164"/>
        <v>2.6270508017434162</v>
      </c>
      <c r="H2073">
        <f t="shared" si="166"/>
        <v>-2.8119197393836171E-2</v>
      </c>
      <c r="I2073">
        <f t="shared" si="165"/>
        <v>0</v>
      </c>
      <c r="J2073">
        <f t="shared" si="167"/>
        <v>2</v>
      </c>
      <c r="K2073">
        <v>8.3403529763221698E-2</v>
      </c>
      <c r="L2073">
        <v>5.3140077739954002E-2</v>
      </c>
      <c r="M2073">
        <v>6.2708180665969795E-2</v>
      </c>
      <c r="N2073">
        <v>4.9554623663425397E-2</v>
      </c>
      <c r="O2073">
        <f t="shared" si="168"/>
        <v>2.9355019703507401E-2</v>
      </c>
    </row>
    <row r="2074" spans="1:15" x14ac:dyDescent="0.35">
      <c r="A2074" t="s">
        <v>137</v>
      </c>
      <c r="B2074">
        <v>2016</v>
      </c>
      <c r="C2074">
        <v>2314624</v>
      </c>
      <c r="D2074" s="8">
        <v>0.96075266599655196</v>
      </c>
      <c r="E2074" s="8">
        <v>1E-3</v>
      </c>
      <c r="F2074">
        <v>2.51786146712467</v>
      </c>
      <c r="G2074">
        <f t="shared" si="164"/>
        <v>2.6207176479838217</v>
      </c>
      <c r="H2074">
        <f t="shared" si="166"/>
        <v>-2.4107465890615964E-3</v>
      </c>
      <c r="I2074">
        <f t="shared" si="165"/>
        <v>0</v>
      </c>
      <c r="J2074">
        <f t="shared" si="167"/>
        <v>2</v>
      </c>
      <c r="K2074">
        <v>6.2708180665969795E-2</v>
      </c>
      <c r="L2074">
        <v>4.9554623663425397E-2</v>
      </c>
      <c r="M2074">
        <v>4.2335157930850902E-2</v>
      </c>
      <c r="N2074">
        <v>3.9545584470033597E-2</v>
      </c>
      <c r="O2074">
        <f t="shared" si="168"/>
        <v>2.2639197483658717E-2</v>
      </c>
    </row>
    <row r="2075" spans="1:15" x14ac:dyDescent="0.35">
      <c r="A2075" t="s">
        <v>137</v>
      </c>
      <c r="B2075">
        <v>2017</v>
      </c>
      <c r="C2075">
        <v>2343988</v>
      </c>
      <c r="D2075" s="8">
        <v>0.95746707916259799</v>
      </c>
      <c r="E2075" s="8">
        <v>6.0000000000000001E-3</v>
      </c>
      <c r="F2075">
        <v>2.54987272599177</v>
      </c>
      <c r="G2075">
        <f t="shared" si="164"/>
        <v>2.6631440197629481</v>
      </c>
      <c r="H2075">
        <f t="shared" si="166"/>
        <v>1.6188837363600106E-2</v>
      </c>
      <c r="I2075">
        <f t="shared" si="165"/>
        <v>1</v>
      </c>
      <c r="J2075">
        <f t="shared" si="167"/>
        <v>2</v>
      </c>
      <c r="K2075">
        <v>4.2335157930850902E-2</v>
      </c>
      <c r="L2075">
        <v>3.9545584470033597E-2</v>
      </c>
      <c r="M2075">
        <v>2.7088657230138799E-2</v>
      </c>
      <c r="N2075">
        <v>1.7953634262084999E-2</v>
      </c>
      <c r="O2075">
        <f t="shared" si="168"/>
        <v>8.2251340150832596E-3</v>
      </c>
    </row>
    <row r="2076" spans="1:15" x14ac:dyDescent="0.35">
      <c r="A2076" t="s">
        <v>137</v>
      </c>
      <c r="B2076">
        <v>2018</v>
      </c>
      <c r="C2076">
        <v>2368392</v>
      </c>
      <c r="D2076" s="8">
        <v>0.95292419195175204</v>
      </c>
      <c r="E2076" s="8">
        <v>1.2999999999999999E-2</v>
      </c>
      <c r="F2076">
        <v>2.5436493411420198</v>
      </c>
      <c r="G2076">
        <f t="shared" si="164"/>
        <v>2.6693092300786172</v>
      </c>
      <c r="H2076">
        <f t="shared" si="166"/>
        <v>2.3150119820474213E-3</v>
      </c>
      <c r="I2076">
        <f t="shared" si="165"/>
        <v>1</v>
      </c>
      <c r="J2076">
        <f t="shared" si="167"/>
        <v>3</v>
      </c>
      <c r="K2076">
        <v>2.7088657230138799E-2</v>
      </c>
      <c r="L2076">
        <v>1.7953634262084999E-2</v>
      </c>
      <c r="M2076">
        <v>3.0696521669626199E-2</v>
      </c>
      <c r="N2076">
        <v>1.2895327061414601E-2</v>
      </c>
      <c r="O2076">
        <f t="shared" si="168"/>
        <v>1.1581833474337596E-3</v>
      </c>
    </row>
    <row r="2077" spans="1:15" x14ac:dyDescent="0.35">
      <c r="A2077" t="s">
        <v>137</v>
      </c>
      <c r="B2077">
        <v>2019</v>
      </c>
      <c r="C2077">
        <v>2389725</v>
      </c>
      <c r="D2077" s="8">
        <v>0.94828534126281705</v>
      </c>
      <c r="E2077" s="8">
        <v>0.01</v>
      </c>
      <c r="F2077">
        <v>2.5135810103700802</v>
      </c>
      <c r="G2077">
        <f t="shared" si="164"/>
        <v>2.6506589324926009</v>
      </c>
      <c r="H2077">
        <f t="shared" si="166"/>
        <v>-6.9869378099243207E-3</v>
      </c>
      <c r="I2077">
        <f t="shared" si="165"/>
        <v>0</v>
      </c>
      <c r="J2077" t="str">
        <f t="shared" si="167"/>
        <v/>
      </c>
      <c r="K2077">
        <v>3.0696521669626199E-2</v>
      </c>
      <c r="L2077">
        <v>1.2895327061414601E-2</v>
      </c>
      <c r="M2077">
        <v>4.5675119489431398E-2</v>
      </c>
      <c r="N2077">
        <v>2.6825929060578398E-2</v>
      </c>
      <c r="O2077">
        <f t="shared" si="168"/>
        <v>-3.2424627803266199E-3</v>
      </c>
    </row>
    <row r="2078" spans="1:15" x14ac:dyDescent="0.35">
      <c r="A2078" t="s">
        <v>137</v>
      </c>
      <c r="B2078">
        <v>2020</v>
      </c>
      <c r="C2078">
        <v>2403462</v>
      </c>
      <c r="D2078" s="8">
        <v>0.95933532714843806</v>
      </c>
      <c r="E2078" s="8">
        <v>1.0999999999999999E-2</v>
      </c>
      <c r="F2078">
        <v>2.4830860316558301</v>
      </c>
      <c r="G2078">
        <f t="shared" si="164"/>
        <v>2.5883400322978223</v>
      </c>
      <c r="H2078">
        <f t="shared" si="166"/>
        <v>-2.3510720082034808E-2</v>
      </c>
      <c r="I2078">
        <f t="shared" si="165"/>
        <v>0</v>
      </c>
      <c r="J2078" t="str">
        <f t="shared" si="167"/>
        <v/>
      </c>
      <c r="K2078">
        <v>4.5675119489431398E-2</v>
      </c>
      <c r="L2078">
        <v>2.6825929060578398E-2</v>
      </c>
      <c r="M2078">
        <v>5.9565125286578903E-2</v>
      </c>
      <c r="N2078">
        <v>1.5975512564182E-2</v>
      </c>
      <c r="O2078">
        <f t="shared" si="168"/>
        <v>-9.5303314272314563E-3</v>
      </c>
    </row>
    <row r="2079" spans="1:15" x14ac:dyDescent="0.35">
      <c r="A2079" t="s">
        <v>137</v>
      </c>
      <c r="B2079">
        <v>2021</v>
      </c>
      <c r="C2079">
        <v>2412158</v>
      </c>
      <c r="D2079" s="8">
        <v>0.96305644512176503</v>
      </c>
      <c r="E2079" s="8">
        <v>8.9999999999999993E-3</v>
      </c>
      <c r="F2079">
        <v>2.5052446610428198</v>
      </c>
      <c r="G2079">
        <f t="shared" si="164"/>
        <v>2.6013476922695498</v>
      </c>
      <c r="H2079">
        <f t="shared" si="166"/>
        <v>5.0254834408984816E-3</v>
      </c>
      <c r="I2079">
        <f t="shared" si="165"/>
        <v>1</v>
      </c>
      <c r="J2079" t="str">
        <f t="shared" si="167"/>
        <v/>
      </c>
      <c r="K2079">
        <v>5.9565125286578903E-2</v>
      </c>
      <c r="L2079">
        <v>1.5975512564182E-2</v>
      </c>
      <c r="M2079">
        <v>-6.4628239646553995E-2</v>
      </c>
      <c r="N2079">
        <v>-3.2524732872843701E-2</v>
      </c>
      <c r="O2079">
        <f t="shared" si="168"/>
        <v>-1.0498352954164136E-2</v>
      </c>
    </row>
    <row r="2080" spans="1:15" x14ac:dyDescent="0.35">
      <c r="A2080" t="s">
        <v>137</v>
      </c>
      <c r="B2080">
        <v>2022</v>
      </c>
      <c r="C2080">
        <v>2425870</v>
      </c>
      <c r="D2080" s="8">
        <v>0.93698143959045399</v>
      </c>
      <c r="E2080" s="8">
        <v>1.7999999999999999E-2</v>
      </c>
      <c r="F2080">
        <v>2.4864209874924899</v>
      </c>
      <c r="G2080">
        <f t="shared" si="164"/>
        <v>2.6536502031238545</v>
      </c>
      <c r="H2080">
        <f t="shared" si="166"/>
        <v>2.0105928557621278E-2</v>
      </c>
      <c r="I2080">
        <f t="shared" si="165"/>
        <v>1</v>
      </c>
      <c r="J2080" t="str">
        <f t="shared" si="167"/>
        <v/>
      </c>
      <c r="K2080">
        <v>-6.4628239646553995E-2</v>
      </c>
      <c r="L2080">
        <v>-3.2046029344201102E-2</v>
      </c>
      <c r="M2080">
        <v>-3.69400468505919E-2</v>
      </c>
      <c r="N2080">
        <v>-1.73811190761625E-2</v>
      </c>
      <c r="O2080">
        <f t="shared" si="168"/>
        <v>-4.6102040447294681E-3</v>
      </c>
    </row>
    <row r="2081" spans="1:15" x14ac:dyDescent="0.35">
      <c r="A2081" t="s">
        <v>138</v>
      </c>
      <c r="B2081">
        <v>2006</v>
      </c>
      <c r="C2081">
        <v>2746939</v>
      </c>
      <c r="D2081" s="8">
        <v>0.90533900260925304</v>
      </c>
      <c r="E2081" s="8">
        <v>6.0000000000000001E-3</v>
      </c>
      <c r="F2081">
        <v>2.13867229029053</v>
      </c>
      <c r="G2081">
        <f t="shared" si="164"/>
        <v>2.3622889151209883</v>
      </c>
      <c r="H2081">
        <f t="shared" si="166"/>
        <v>-0.1097964184050626</v>
      </c>
      <c r="I2081">
        <f t="shared" si="165"/>
        <v>0</v>
      </c>
      <c r="J2081" t="str">
        <f t="shared" si="167"/>
        <v/>
      </c>
      <c r="K2081">
        <v>-1.29971302747726E-2</v>
      </c>
      <c r="L2081">
        <v>-1.93601697683333E-2</v>
      </c>
      <c r="M2081">
        <v>-1.0029659509658799E-2</v>
      </c>
      <c r="N2081">
        <v>-9.1079035773873E-3</v>
      </c>
      <c r="O2081" t="str">
        <f t="shared" si="168"/>
        <v/>
      </c>
    </row>
    <row r="2082" spans="1:15" x14ac:dyDescent="0.35">
      <c r="A2082" t="s">
        <v>138</v>
      </c>
      <c r="B2082">
        <v>2007</v>
      </c>
      <c r="C2082">
        <v>2758612</v>
      </c>
      <c r="D2082" s="8">
        <v>0.90928107500076305</v>
      </c>
      <c r="E2082" s="8">
        <v>4.0000000000000001E-3</v>
      </c>
      <c r="F2082">
        <v>2.0800408575881302</v>
      </c>
      <c r="G2082">
        <f t="shared" si="164"/>
        <v>2.287566424481434</v>
      </c>
      <c r="H2082">
        <f t="shared" si="166"/>
        <v>-3.1631393671305963E-2</v>
      </c>
      <c r="I2082">
        <f t="shared" si="165"/>
        <v>0</v>
      </c>
      <c r="J2082" t="str">
        <f t="shared" si="167"/>
        <v/>
      </c>
      <c r="K2082">
        <v>-1.0029659509658799E-2</v>
      </c>
      <c r="L2082">
        <v>-9.1079035773873E-3</v>
      </c>
      <c r="M2082">
        <v>-3.4124218450859098E-2</v>
      </c>
      <c r="N2082">
        <v>-4.6134141739457802E-3</v>
      </c>
      <c r="O2082" t="str">
        <f t="shared" si="168"/>
        <v/>
      </c>
    </row>
    <row r="2083" spans="1:15" x14ac:dyDescent="0.35">
      <c r="A2083" t="s">
        <v>138</v>
      </c>
      <c r="B2083">
        <v>2008</v>
      </c>
      <c r="C2083">
        <v>2770801</v>
      </c>
      <c r="D2083" s="8">
        <v>0.90600258111953702</v>
      </c>
      <c r="E2083" s="8">
        <v>5.0000000000000001E-3</v>
      </c>
      <c r="F2083">
        <v>2.1489925308320301</v>
      </c>
      <c r="G2083">
        <f t="shared" si="164"/>
        <v>2.3719496783072569</v>
      </c>
      <c r="H2083">
        <f t="shared" si="166"/>
        <v>3.6887782983154871E-2</v>
      </c>
      <c r="I2083">
        <f t="shared" si="165"/>
        <v>1</v>
      </c>
      <c r="J2083" t="str">
        <f t="shared" si="167"/>
        <v/>
      </c>
      <c r="K2083">
        <v>-3.4124218450859098E-2</v>
      </c>
      <c r="L2083">
        <v>-4.6134141739457802E-3</v>
      </c>
      <c r="M2083">
        <v>-1.5431296736002E-2</v>
      </c>
      <c r="N2083">
        <v>1.1135404929518601E-2</v>
      </c>
      <c r="O2083" t="str">
        <f t="shared" si="168"/>
        <v/>
      </c>
    </row>
    <row r="2084" spans="1:15" x14ac:dyDescent="0.35">
      <c r="A2084" t="s">
        <v>138</v>
      </c>
      <c r="B2084">
        <v>2009</v>
      </c>
      <c r="C2084">
        <v>2782347</v>
      </c>
      <c r="D2084" s="8">
        <v>0.90182304382324197</v>
      </c>
      <c r="E2084" s="8">
        <v>0</v>
      </c>
      <c r="F2084">
        <v>2.1545121376645402</v>
      </c>
      <c r="G2084">
        <f t="shared" si="164"/>
        <v>2.3890630788614295</v>
      </c>
      <c r="H2084">
        <f t="shared" si="166"/>
        <v>7.2149087776540721E-3</v>
      </c>
      <c r="I2084">
        <f t="shared" si="165"/>
        <v>1</v>
      </c>
      <c r="J2084" t="str">
        <f t="shared" si="167"/>
        <v/>
      </c>
      <c r="K2084">
        <v>-1.5431296736002E-2</v>
      </c>
      <c r="L2084">
        <v>1.1135404929518601E-2</v>
      </c>
      <c r="M2084">
        <v>-1.2544097084552E-2</v>
      </c>
      <c r="N2084">
        <v>-3.0839883256703598E-3</v>
      </c>
      <c r="O2084" t="str">
        <f t="shared" si="168"/>
        <v/>
      </c>
    </row>
    <row r="2085" spans="1:15" x14ac:dyDescent="0.35">
      <c r="A2085" t="s">
        <v>138</v>
      </c>
      <c r="B2085">
        <v>2010</v>
      </c>
      <c r="C2085">
        <v>2792278</v>
      </c>
      <c r="D2085" s="8">
        <v>0.90658432245254505</v>
      </c>
      <c r="E2085" s="8">
        <v>5.0000000000000001E-3</v>
      </c>
      <c r="F2085">
        <v>2.1658899415698101</v>
      </c>
      <c r="G2085">
        <f t="shared" si="164"/>
        <v>2.3890661772205783</v>
      </c>
      <c r="H2085">
        <f t="shared" si="166"/>
        <v>1.2968929854473288E-6</v>
      </c>
      <c r="I2085">
        <f t="shared" si="165"/>
        <v>1</v>
      </c>
      <c r="J2085">
        <f t="shared" si="167"/>
        <v>3</v>
      </c>
      <c r="K2085">
        <v>-1.2544097084552E-2</v>
      </c>
      <c r="L2085">
        <v>-3.0839883256703598E-3</v>
      </c>
      <c r="M2085">
        <v>-2.4331802845001201E-2</v>
      </c>
      <c r="N2085">
        <v>-3.0480283312499198E-3</v>
      </c>
      <c r="O2085">
        <f t="shared" si="168"/>
        <v>-3.8349393755197415E-3</v>
      </c>
    </row>
    <row r="2086" spans="1:15" x14ac:dyDescent="0.35">
      <c r="A2086" t="s">
        <v>138</v>
      </c>
      <c r="B2086">
        <v>2011</v>
      </c>
      <c r="C2086">
        <v>2797845</v>
      </c>
      <c r="D2086" s="8">
        <v>0.90490853786468495</v>
      </c>
      <c r="E2086" s="8">
        <v>2E-3</v>
      </c>
      <c r="F2086">
        <v>2.16540066331443</v>
      </c>
      <c r="G2086">
        <f t="shared" si="164"/>
        <v>2.392949754263709</v>
      </c>
      <c r="H2086">
        <f t="shared" si="166"/>
        <v>1.6255627743426704E-3</v>
      </c>
      <c r="I2086">
        <f t="shared" si="165"/>
        <v>1</v>
      </c>
      <c r="J2086">
        <f t="shared" si="167"/>
        <v>4</v>
      </c>
      <c r="K2086">
        <v>-2.4331802845001201E-2</v>
      </c>
      <c r="L2086">
        <v>-3.0480283312499198E-3</v>
      </c>
      <c r="M2086">
        <v>-1.00443552285433E-2</v>
      </c>
      <c r="N2086">
        <v>-4.6061491593718997E-3</v>
      </c>
      <c r="O2086">
        <f t="shared" si="168"/>
        <v>-4.4644945301115374E-3</v>
      </c>
    </row>
    <row r="2087" spans="1:15" x14ac:dyDescent="0.35">
      <c r="A2087" t="s">
        <v>138</v>
      </c>
      <c r="B2087">
        <v>2012</v>
      </c>
      <c r="C2087">
        <v>2801635</v>
      </c>
      <c r="D2087" s="8">
        <v>0.90773928165435802</v>
      </c>
      <c r="E2087" s="8">
        <v>5.0000000000000001E-3</v>
      </c>
      <c r="F2087">
        <v>2.20117446708556</v>
      </c>
      <c r="G2087">
        <f t="shared" si="164"/>
        <v>2.4248972271794957</v>
      </c>
      <c r="H2087">
        <f t="shared" si="166"/>
        <v>1.3350665996585631E-2</v>
      </c>
      <c r="I2087">
        <f t="shared" si="165"/>
        <v>1</v>
      </c>
      <c r="J2087">
        <f t="shared" si="167"/>
        <v>5</v>
      </c>
      <c r="K2087">
        <v>-1.00443552285433E-2</v>
      </c>
      <c r="L2087">
        <v>-4.6917479485274003E-3</v>
      </c>
      <c r="M2087">
        <v>1.9286374002695E-3</v>
      </c>
      <c r="N2087">
        <v>-4.1981339454650896E-3</v>
      </c>
      <c r="O2087">
        <f t="shared" si="168"/>
        <v>-5.9348314069210973E-3</v>
      </c>
    </row>
    <row r="2088" spans="1:15" x14ac:dyDescent="0.35">
      <c r="A2088" t="s">
        <v>138</v>
      </c>
      <c r="B2088">
        <v>2013</v>
      </c>
      <c r="C2088">
        <v>2805895</v>
      </c>
      <c r="D2088" s="8">
        <v>0.90474468469619795</v>
      </c>
      <c r="E2088" s="8">
        <v>8.0000000000000002E-3</v>
      </c>
      <c r="F2088">
        <v>2.1940946427273298</v>
      </c>
      <c r="G2088">
        <f t="shared" si="164"/>
        <v>2.4250981297160972</v>
      </c>
      <c r="H2088">
        <f t="shared" si="166"/>
        <v>8.2849918070504458E-5</v>
      </c>
      <c r="I2088">
        <f t="shared" si="165"/>
        <v>1</v>
      </c>
      <c r="J2088">
        <f t="shared" si="167"/>
        <v>5</v>
      </c>
      <c r="K2088">
        <v>1.9286374002695E-3</v>
      </c>
      <c r="L2088">
        <v>-4.1981339454650896E-3</v>
      </c>
      <c r="M2088">
        <v>-8.5156827084720103E-3</v>
      </c>
      <c r="N2088">
        <v>-1.0523706208914499E-2</v>
      </c>
      <c r="O2088">
        <f t="shared" si="168"/>
        <v>-6.9754759781061977E-3</v>
      </c>
    </row>
    <row r="2089" spans="1:15" x14ac:dyDescent="0.35">
      <c r="A2089" t="s">
        <v>138</v>
      </c>
      <c r="B2089">
        <v>2014</v>
      </c>
      <c r="C2089">
        <v>2811750</v>
      </c>
      <c r="D2089" s="8">
        <v>0.909063041210175</v>
      </c>
      <c r="E2089" s="8">
        <v>7.0000000000000001E-3</v>
      </c>
      <c r="F2089">
        <v>2.1096651557245201</v>
      </c>
      <c r="G2089">
        <f t="shared" si="164"/>
        <v>2.3207028116730646</v>
      </c>
      <c r="H2089">
        <f t="shared" si="166"/>
        <v>-4.3047873718517926E-2</v>
      </c>
      <c r="I2089">
        <f t="shared" si="165"/>
        <v>0</v>
      </c>
      <c r="J2089">
        <f t="shared" si="167"/>
        <v>4</v>
      </c>
      <c r="K2089">
        <v>-8.5156827084720103E-3</v>
      </c>
      <c r="L2089">
        <v>-1.0523706208914499E-2</v>
      </c>
      <c r="M2089">
        <v>3.3464772790670401E-2</v>
      </c>
      <c r="N2089">
        <v>3.2013207674027001E-3</v>
      </c>
      <c r="O2089">
        <f t="shared" si="168"/>
        <v>-3.6886390298604401E-3</v>
      </c>
    </row>
    <row r="2090" spans="1:15" x14ac:dyDescent="0.35">
      <c r="A2090" t="s">
        <v>138</v>
      </c>
      <c r="B2090">
        <v>2015</v>
      </c>
      <c r="C2090">
        <v>2815762</v>
      </c>
      <c r="D2090" s="8">
        <v>0.91581487655639604</v>
      </c>
      <c r="E2090" s="8">
        <v>7.0000000000000001E-3</v>
      </c>
      <c r="F2090">
        <v>2.13388032650996</v>
      </c>
      <c r="G2090">
        <f t="shared" si="164"/>
        <v>2.3300345748189595</v>
      </c>
      <c r="H2090">
        <f t="shared" si="166"/>
        <v>4.0210935665507819E-3</v>
      </c>
      <c r="I2090">
        <f t="shared" si="165"/>
        <v>1</v>
      </c>
      <c r="J2090">
        <f t="shared" si="167"/>
        <v>4</v>
      </c>
      <c r="K2090">
        <v>3.3464772790670401E-2</v>
      </c>
      <c r="L2090">
        <v>3.2013207674027001E-3</v>
      </c>
      <c r="M2090">
        <v>6.9577528983354904E-3</v>
      </c>
      <c r="N2090">
        <v>-6.1958041042089003E-3</v>
      </c>
      <c r="O2090">
        <f t="shared" si="168"/>
        <v>-5.8950535953044402E-3</v>
      </c>
    </row>
    <row r="2091" spans="1:15" x14ac:dyDescent="0.35">
      <c r="A2091" t="s">
        <v>138</v>
      </c>
      <c r="B2091">
        <v>2016</v>
      </c>
      <c r="C2091">
        <v>2816197</v>
      </c>
      <c r="D2091" s="8">
        <v>0.91192567348480202</v>
      </c>
      <c r="E2091" s="8">
        <v>1.2999999999999999E-2</v>
      </c>
      <c r="F2091">
        <v>2.1575126007291199</v>
      </c>
      <c r="G2091">
        <f t="shared" si="164"/>
        <v>2.3658864570447653</v>
      </c>
      <c r="H2091">
        <f t="shared" si="166"/>
        <v>1.5386845591590204E-2</v>
      </c>
      <c r="I2091">
        <f t="shared" si="165"/>
        <v>1</v>
      </c>
      <c r="J2091">
        <f t="shared" si="167"/>
        <v>4</v>
      </c>
      <c r="K2091">
        <v>6.9577528983354904E-3</v>
      </c>
      <c r="L2091">
        <v>-6.1958041042089003E-3</v>
      </c>
      <c r="M2091">
        <v>-9.1682600826025005E-3</v>
      </c>
      <c r="N2091">
        <v>-1.1957833543419699E-2</v>
      </c>
      <c r="O2091">
        <f t="shared" si="168"/>
        <v>-8.2752104848622995E-3</v>
      </c>
    </row>
    <row r="2092" spans="1:15" x14ac:dyDescent="0.35">
      <c r="A2092" t="s">
        <v>138</v>
      </c>
      <c r="B2092">
        <v>2017</v>
      </c>
      <c r="C2092">
        <v>2817256</v>
      </c>
      <c r="D2092" s="8">
        <v>0.90367168188095104</v>
      </c>
      <c r="E2092" s="8">
        <v>1.7999999999999999E-2</v>
      </c>
      <c r="F2092">
        <v>2.10355349146365</v>
      </c>
      <c r="G2092">
        <f t="shared" si="164"/>
        <v>2.3277851166976928</v>
      </c>
      <c r="H2092">
        <f t="shared" si="166"/>
        <v>-1.6104466988946298E-2</v>
      </c>
      <c r="I2092">
        <f t="shared" si="165"/>
        <v>0</v>
      </c>
      <c r="J2092">
        <f t="shared" si="167"/>
        <v>3</v>
      </c>
      <c r="K2092">
        <v>-9.1682600826025005E-3</v>
      </c>
      <c r="L2092">
        <v>-1.1957833543419699E-2</v>
      </c>
      <c r="M2092">
        <v>-2.6633383333679898E-4</v>
      </c>
      <c r="N2092">
        <v>-9.4013568013905906E-3</v>
      </c>
      <c r="O2092">
        <f t="shared" si="168"/>
        <v>-5.3423792123794417E-3</v>
      </c>
    </row>
    <row r="2093" spans="1:15" x14ac:dyDescent="0.35">
      <c r="A2093" t="s">
        <v>138</v>
      </c>
      <c r="B2093">
        <v>2018</v>
      </c>
      <c r="C2093">
        <v>2817125</v>
      </c>
      <c r="D2093" s="8">
        <v>0.90291029214858998</v>
      </c>
      <c r="E2093" s="8">
        <v>1.7000000000000001E-2</v>
      </c>
      <c r="F2093">
        <v>2.0888282332286301</v>
      </c>
      <c r="G2093">
        <f t="shared" si="164"/>
        <v>2.3134393874921919</v>
      </c>
      <c r="H2093">
        <f t="shared" si="166"/>
        <v>-6.1628236655505431E-3</v>
      </c>
      <c r="I2093">
        <f t="shared" si="165"/>
        <v>0</v>
      </c>
      <c r="J2093">
        <f t="shared" si="167"/>
        <v>2</v>
      </c>
      <c r="K2093">
        <v>-2.6633383333679898E-4</v>
      </c>
      <c r="L2093">
        <v>-9.4013568013905906E-3</v>
      </c>
      <c r="M2093">
        <v>2.3711673140525798E-2</v>
      </c>
      <c r="N2093">
        <v>5.9104785323142901E-3</v>
      </c>
      <c r="O2093">
        <f t="shared" si="168"/>
        <v>-3.9151262491941416E-3</v>
      </c>
    </row>
    <row r="2094" spans="1:15" x14ac:dyDescent="0.35">
      <c r="A2094" t="s">
        <v>138</v>
      </c>
      <c r="B2094">
        <v>2019</v>
      </c>
      <c r="C2094">
        <v>2818850</v>
      </c>
      <c r="D2094" s="8">
        <v>0.91369742155075095</v>
      </c>
      <c r="E2094" s="8">
        <v>1.2999999999999999E-2</v>
      </c>
      <c r="F2094">
        <v>2.0197926301200102</v>
      </c>
      <c r="G2094">
        <f t="shared" si="164"/>
        <v>2.2105705701696801</v>
      </c>
      <c r="H2094">
        <f t="shared" si="166"/>
        <v>-4.446574994732122E-2</v>
      </c>
      <c r="I2094">
        <f t="shared" si="165"/>
        <v>0</v>
      </c>
      <c r="J2094" t="str">
        <f t="shared" si="167"/>
        <v/>
      </c>
      <c r="K2094">
        <v>2.3711673140525798E-2</v>
      </c>
      <c r="L2094">
        <v>5.9104785323142901E-3</v>
      </c>
      <c r="M2094">
        <v>1.10184383690357E-2</v>
      </c>
      <c r="N2094">
        <v>-7.8307520598173003E-3</v>
      </c>
      <c r="O2094">
        <f t="shared" si="168"/>
        <v>-3.0945112928747998E-3</v>
      </c>
    </row>
    <row r="2095" spans="1:15" x14ac:dyDescent="0.35">
      <c r="A2095" t="s">
        <v>138</v>
      </c>
      <c r="B2095">
        <v>2020</v>
      </c>
      <c r="C2095">
        <v>2818216</v>
      </c>
      <c r="D2095" s="8">
        <v>0.91681015491485596</v>
      </c>
      <c r="E2095" s="8">
        <v>0.02</v>
      </c>
      <c r="F2095">
        <v>1.9307934756017699</v>
      </c>
      <c r="G2095">
        <f t="shared" si="164"/>
        <v>2.1059904989611318</v>
      </c>
      <c r="H2095">
        <f t="shared" si="166"/>
        <v>-4.7309085093139913E-2</v>
      </c>
      <c r="I2095">
        <f t="shared" si="165"/>
        <v>0</v>
      </c>
      <c r="J2095" t="str">
        <f t="shared" si="167"/>
        <v/>
      </c>
      <c r="K2095">
        <v>1.10184383690357E-2</v>
      </c>
      <c r="L2095">
        <v>-7.8307520598173003E-3</v>
      </c>
      <c r="M2095">
        <v>2.5493024170398601E-2</v>
      </c>
      <c r="N2095">
        <v>-1.8096588551998201E-2</v>
      </c>
      <c r="O2095">
        <f t="shared" si="168"/>
        <v>9.2986086383461952E-4</v>
      </c>
    </row>
    <row r="2096" spans="1:15" x14ac:dyDescent="0.35">
      <c r="A2096" t="s">
        <v>138</v>
      </c>
      <c r="B2096">
        <v>2021</v>
      </c>
      <c r="C2096">
        <v>2810390</v>
      </c>
      <c r="D2096" s="8">
        <v>0.93258714675903298</v>
      </c>
      <c r="E2096" s="8">
        <v>1.2E-2</v>
      </c>
      <c r="F2096">
        <v>2.04866470096484</v>
      </c>
      <c r="G2096">
        <f t="shared" si="164"/>
        <v>2.1967541672480131</v>
      </c>
      <c r="H2096">
        <f t="shared" si="166"/>
        <v>4.3097852688155136E-2</v>
      </c>
      <c r="I2096">
        <f t="shared" si="165"/>
        <v>1</v>
      </c>
      <c r="J2096" t="str">
        <f t="shared" si="167"/>
        <v/>
      </c>
      <c r="K2096">
        <v>2.5493024170398601E-2</v>
      </c>
      <c r="L2096">
        <v>-1.8096588551998201E-2</v>
      </c>
      <c r="M2096">
        <v>-2.9397183954715699E-2</v>
      </c>
      <c r="N2096">
        <v>2.7063228189945902E-3</v>
      </c>
      <c r="O2096">
        <f t="shared" si="168"/>
        <v>3.8747163489461986E-4</v>
      </c>
    </row>
    <row r="2097" spans="1:15" x14ac:dyDescent="0.35">
      <c r="A2097" t="s">
        <v>138</v>
      </c>
      <c r="B2097">
        <v>2022</v>
      </c>
      <c r="C2097">
        <v>2803398</v>
      </c>
      <c r="D2097" s="8">
        <v>0.90766859054565396</v>
      </c>
      <c r="E2097" s="8">
        <v>3.4000000000000002E-2</v>
      </c>
      <c r="F2097">
        <v>2.0227577604018201</v>
      </c>
      <c r="G2097">
        <f t="shared" si="164"/>
        <v>2.2285201685626461</v>
      </c>
      <c r="H2097">
        <f t="shared" si="166"/>
        <v>1.4460426108774849E-2</v>
      </c>
      <c r="I2097">
        <f t="shared" si="165"/>
        <v>1</v>
      </c>
      <c r="J2097" t="str">
        <f t="shared" si="167"/>
        <v/>
      </c>
      <c r="K2097">
        <v>-2.9397183954715699E-2</v>
      </c>
      <c r="L2097">
        <v>3.18502634763719E-3</v>
      </c>
      <c r="M2097">
        <v>-2.1824019759893402E-2</v>
      </c>
      <c r="N2097">
        <v>-2.26509198546409E-3</v>
      </c>
      <c r="O2097">
        <f t="shared" si="168"/>
        <v>5.6847217492757827E-4</v>
      </c>
    </row>
    <row r="2098" spans="1:15" x14ac:dyDescent="0.35">
      <c r="A2098" t="s">
        <v>139</v>
      </c>
      <c r="B2098">
        <v>2006</v>
      </c>
      <c r="C2098">
        <v>401944.625</v>
      </c>
      <c r="D2098" s="8">
        <v>0.96860641241073597</v>
      </c>
      <c r="E2098" s="8">
        <v>0</v>
      </c>
      <c r="F2098">
        <v>2.8599920090564002</v>
      </c>
      <c r="G2098">
        <f t="shared" si="164"/>
        <v>2.9526874615028103</v>
      </c>
      <c r="H2098">
        <f t="shared" si="166"/>
        <v>0.32495433658437056</v>
      </c>
      <c r="I2098">
        <f t="shared" si="165"/>
        <v>1</v>
      </c>
      <c r="J2098" t="str">
        <f t="shared" si="167"/>
        <v/>
      </c>
      <c r="K2098">
        <v>1.49902828335762E-2</v>
      </c>
      <c r="L2098">
        <v>8.6272433400153992E-3</v>
      </c>
      <c r="M2098">
        <v>9.0917973816394999E-3</v>
      </c>
      <c r="N2098">
        <v>1.0013553313910999E-2</v>
      </c>
      <c r="O2098" t="str">
        <f t="shared" si="168"/>
        <v/>
      </c>
    </row>
    <row r="2099" spans="1:15" x14ac:dyDescent="0.35">
      <c r="A2099" t="s">
        <v>139</v>
      </c>
      <c r="B2099">
        <v>2007</v>
      </c>
      <c r="C2099">
        <v>403284.78125</v>
      </c>
      <c r="D2099" s="8">
        <v>0.97004741430282604</v>
      </c>
      <c r="E2099" s="8">
        <v>0</v>
      </c>
      <c r="F2099">
        <v>2.7970893599273001</v>
      </c>
      <c r="G2099">
        <f t="shared" si="164"/>
        <v>2.8834563328407725</v>
      </c>
      <c r="H2099">
        <f t="shared" si="166"/>
        <v>-2.3446819063878022E-2</v>
      </c>
      <c r="I2099">
        <f t="shared" si="165"/>
        <v>0</v>
      </c>
      <c r="J2099" t="str">
        <f t="shared" si="167"/>
        <v/>
      </c>
      <c r="K2099">
        <v>9.0917973816394999E-3</v>
      </c>
      <c r="L2099">
        <v>1.0013553313910999E-2</v>
      </c>
      <c r="M2099">
        <v>-1.72196955531836E-2</v>
      </c>
      <c r="N2099">
        <v>1.22911087237298E-2</v>
      </c>
      <c r="O2099" t="str">
        <f t="shared" si="168"/>
        <v/>
      </c>
    </row>
    <row r="2100" spans="1:15" x14ac:dyDescent="0.35">
      <c r="A2100" t="s">
        <v>139</v>
      </c>
      <c r="B2100">
        <v>2008</v>
      </c>
      <c r="C2100">
        <v>407099.5</v>
      </c>
      <c r="D2100" s="8">
        <v>0.96312540769577004</v>
      </c>
      <c r="E2100" s="8">
        <v>1.2E-2</v>
      </c>
      <c r="F2100">
        <v>2.8911326919586098</v>
      </c>
      <c r="G2100">
        <f t="shared" si="164"/>
        <v>3.0018237177186529</v>
      </c>
      <c r="H2100">
        <f t="shared" si="166"/>
        <v>4.1050521046477995E-2</v>
      </c>
      <c r="I2100">
        <f t="shared" si="165"/>
        <v>1</v>
      </c>
      <c r="J2100" t="str">
        <f t="shared" si="167"/>
        <v/>
      </c>
      <c r="K2100">
        <v>-1.72196955531836E-2</v>
      </c>
      <c r="L2100">
        <v>1.22911087237298E-2</v>
      </c>
      <c r="M2100">
        <v>-4.7375236362218798E-2</v>
      </c>
      <c r="N2100">
        <v>-2.0808534696698199E-2</v>
      </c>
      <c r="O2100" t="str">
        <f t="shared" si="168"/>
        <v/>
      </c>
    </row>
    <row r="2101" spans="1:15" x14ac:dyDescent="0.35">
      <c r="A2101" t="s">
        <v>139</v>
      </c>
      <c r="B2101">
        <v>2009</v>
      </c>
      <c r="C2101">
        <v>411858.71875</v>
      </c>
      <c r="D2101" s="8">
        <v>0.95708924531936601</v>
      </c>
      <c r="E2101" s="8">
        <v>0</v>
      </c>
      <c r="F2101">
        <v>3.2265777675594798</v>
      </c>
      <c r="G2101">
        <f t="shared" si="164"/>
        <v>3.3712402300402196</v>
      </c>
      <c r="H2101">
        <f t="shared" si="166"/>
        <v>0.12306402609221778</v>
      </c>
      <c r="I2101">
        <f t="shared" si="165"/>
        <v>1</v>
      </c>
      <c r="J2101" t="str">
        <f t="shared" si="167"/>
        <v/>
      </c>
      <c r="K2101">
        <v>-4.7375236362218798E-2</v>
      </c>
      <c r="L2101">
        <v>-2.0808534696698199E-2</v>
      </c>
      <c r="M2101">
        <v>-5.8487832397222999E-3</v>
      </c>
      <c r="N2101">
        <v>3.6113255191593798E-3</v>
      </c>
      <c r="O2101" t="str">
        <f t="shared" si="168"/>
        <v/>
      </c>
    </row>
    <row r="2102" spans="1:15" x14ac:dyDescent="0.35">
      <c r="A2102" t="s">
        <v>139</v>
      </c>
      <c r="B2102">
        <v>2010</v>
      </c>
      <c r="C2102">
        <v>417743.71875</v>
      </c>
      <c r="D2102" s="8">
        <v>0.96025538444518999</v>
      </c>
      <c r="E2102" s="8">
        <v>0</v>
      </c>
      <c r="F2102">
        <v>3.2089188435164302</v>
      </c>
      <c r="G2102">
        <f t="shared" si="164"/>
        <v>3.341734808777415</v>
      </c>
      <c r="H2102">
        <f t="shared" si="166"/>
        <v>-8.752096928569375E-3</v>
      </c>
      <c r="I2102">
        <f t="shared" si="165"/>
        <v>0</v>
      </c>
      <c r="J2102">
        <f t="shared" si="167"/>
        <v>3</v>
      </c>
      <c r="K2102">
        <v>-5.8487832397222999E-3</v>
      </c>
      <c r="L2102">
        <v>3.6113255191593798E-3</v>
      </c>
      <c r="M2102">
        <v>-2.3293098777532498E-2</v>
      </c>
      <c r="N2102">
        <v>-2.0093242637812701E-3</v>
      </c>
      <c r="O2102">
        <f t="shared" si="168"/>
        <v>1.3435834180563664E-2</v>
      </c>
    </row>
    <row r="2103" spans="1:15" x14ac:dyDescent="0.35">
      <c r="A2103" t="s">
        <v>139</v>
      </c>
      <c r="B2103">
        <v>2011</v>
      </c>
      <c r="C2103">
        <v>422396.21875</v>
      </c>
      <c r="D2103" s="8">
        <v>0.95827919244766202</v>
      </c>
      <c r="E2103" s="8">
        <v>1E-3</v>
      </c>
      <c r="F2103">
        <v>3.3017681563067001</v>
      </c>
      <c r="G2103">
        <f t="shared" si="164"/>
        <v>3.4455179475130171</v>
      </c>
      <c r="H2103">
        <f t="shared" si="166"/>
        <v>3.1056665077972223E-2</v>
      </c>
      <c r="I2103">
        <f t="shared" si="165"/>
        <v>1</v>
      </c>
      <c r="J2103">
        <f t="shared" si="167"/>
        <v>3</v>
      </c>
      <c r="K2103">
        <v>-2.3293098777532498E-2</v>
      </c>
      <c r="L2103">
        <v>-2.0093242637812701E-3</v>
      </c>
      <c r="M2103">
        <v>-2.3167154788970999E-3</v>
      </c>
      <c r="N2103">
        <v>3.1214905902742902E-3</v>
      </c>
      <c r="O2103">
        <f t="shared" si="168"/>
        <v>2.0431854762136898E-2</v>
      </c>
    </row>
    <row r="2104" spans="1:15" x14ac:dyDescent="0.35">
      <c r="A2104" t="s">
        <v>139</v>
      </c>
      <c r="B2104">
        <v>2012</v>
      </c>
      <c r="C2104">
        <v>426539.09375</v>
      </c>
      <c r="D2104" s="8">
        <v>0.95815885066986095</v>
      </c>
      <c r="E2104" s="8">
        <v>0</v>
      </c>
      <c r="F2104">
        <v>3.1226016828252798</v>
      </c>
      <c r="G2104">
        <f t="shared" si="164"/>
        <v>3.2589603285950233</v>
      </c>
      <c r="H2104">
        <f t="shared" si="166"/>
        <v>-5.4145014409996528E-2</v>
      </c>
      <c r="I2104">
        <f t="shared" si="165"/>
        <v>0</v>
      </c>
      <c r="J2104">
        <f t="shared" si="167"/>
        <v>3</v>
      </c>
      <c r="K2104">
        <v>-2.3167154788970999E-3</v>
      </c>
      <c r="L2104">
        <v>3.03589180111879E-3</v>
      </c>
      <c r="M2104">
        <v>8.3455039560794992E-3</v>
      </c>
      <c r="N2104">
        <v>2.2187326103448998E-3</v>
      </c>
      <c r="O2104">
        <f t="shared" si="168"/>
        <v>2.8327346965670564E-2</v>
      </c>
    </row>
    <row r="2105" spans="1:15" x14ac:dyDescent="0.35">
      <c r="A2105" t="s">
        <v>139</v>
      </c>
      <c r="B2105">
        <v>2013</v>
      </c>
      <c r="C2105">
        <v>429112.21875</v>
      </c>
      <c r="D2105" s="8">
        <v>0.96138936281204201</v>
      </c>
      <c r="E2105" s="8">
        <v>0</v>
      </c>
      <c r="F2105">
        <v>3.1095989555246502</v>
      </c>
      <c r="G2105">
        <f t="shared" si="164"/>
        <v>3.2344844615600321</v>
      </c>
      <c r="H2105">
        <f t="shared" si="166"/>
        <v>-7.5103298497478654E-3</v>
      </c>
      <c r="I2105">
        <f t="shared" si="165"/>
        <v>0</v>
      </c>
      <c r="J2105">
        <f t="shared" si="167"/>
        <v>2</v>
      </c>
      <c r="K2105">
        <v>8.3455039560794992E-3</v>
      </c>
      <c r="L2105">
        <v>2.2187326103448998E-3</v>
      </c>
      <c r="M2105">
        <v>1.5639363616704899E-2</v>
      </c>
      <c r="N2105">
        <v>1.3631340116262301E-2</v>
      </c>
      <c r="O2105">
        <f t="shared" si="168"/>
        <v>3.0800189077854138E-2</v>
      </c>
    </row>
    <row r="2106" spans="1:15" x14ac:dyDescent="0.35">
      <c r="A2106" t="s">
        <v>139</v>
      </c>
      <c r="B2106">
        <v>2014</v>
      </c>
      <c r="C2106">
        <v>431793.5</v>
      </c>
      <c r="D2106" s="8">
        <v>0.96587252616882302</v>
      </c>
      <c r="E2106" s="8">
        <v>0</v>
      </c>
      <c r="F2106">
        <v>3.1664326569219998</v>
      </c>
      <c r="G2106">
        <f t="shared" si="164"/>
        <v>3.2783132050373127</v>
      </c>
      <c r="H2106">
        <f t="shared" si="166"/>
        <v>1.355045726704196E-2</v>
      </c>
      <c r="I2106">
        <f t="shared" si="165"/>
        <v>1</v>
      </c>
      <c r="J2106">
        <f t="shared" si="167"/>
        <v>2</v>
      </c>
      <c r="K2106">
        <v>1.5639363616704899E-2</v>
      </c>
      <c r="L2106">
        <v>1.3631340116262301E-2</v>
      </c>
      <c r="M2106">
        <v>8.0480383872985797E-2</v>
      </c>
      <c r="N2106">
        <v>5.0216931849718101E-2</v>
      </c>
      <c r="O2106">
        <f t="shared" si="168"/>
        <v>2.8686855733394641E-2</v>
      </c>
    </row>
    <row r="2107" spans="1:15" x14ac:dyDescent="0.35">
      <c r="A2107" t="s">
        <v>139</v>
      </c>
      <c r="B2107">
        <v>2015</v>
      </c>
      <c r="C2107">
        <v>434943.78125</v>
      </c>
      <c r="D2107" s="8">
        <v>0.96892011165618896</v>
      </c>
      <c r="E2107" s="8">
        <v>1E-3</v>
      </c>
      <c r="F2107">
        <v>3.2874271721692101</v>
      </c>
      <c r="G2107">
        <f t="shared" si="164"/>
        <v>3.3928774236608259</v>
      </c>
      <c r="H2107">
        <f t="shared" si="166"/>
        <v>3.4946087044849472E-2</v>
      </c>
      <c r="I2107">
        <f t="shared" si="165"/>
        <v>1</v>
      </c>
      <c r="J2107">
        <f t="shared" si="167"/>
        <v>3</v>
      </c>
      <c r="K2107">
        <v>8.0480383872985797E-2</v>
      </c>
      <c r="L2107">
        <v>5.0216931849718101E-2</v>
      </c>
      <c r="M2107">
        <v>4.6124335646629301E-2</v>
      </c>
      <c r="N2107">
        <v>3.2970778644084903E-2</v>
      </c>
      <c r="O2107">
        <f t="shared" si="168"/>
        <v>2.1178818121552482E-2</v>
      </c>
    </row>
    <row r="2108" spans="1:15" x14ac:dyDescent="0.35">
      <c r="A2108" t="s">
        <v>139</v>
      </c>
      <c r="B2108">
        <v>2016</v>
      </c>
      <c r="C2108">
        <v>438227.28125</v>
      </c>
      <c r="D2108" s="8">
        <v>0.96654033660888705</v>
      </c>
      <c r="E2108" s="8">
        <v>0</v>
      </c>
      <c r="F2108">
        <v>3.0828590049967399</v>
      </c>
      <c r="G2108">
        <f t="shared" si="164"/>
        <v>3.1895813224029226</v>
      </c>
      <c r="H2108">
        <f t="shared" si="166"/>
        <v>-5.9918492734273965E-2</v>
      </c>
      <c r="I2108">
        <f t="shared" si="165"/>
        <v>0</v>
      </c>
      <c r="J2108">
        <f t="shared" si="167"/>
        <v>2</v>
      </c>
      <c r="K2108">
        <v>4.6124335646629301E-2</v>
      </c>
      <c r="L2108">
        <v>3.2970778644084903E-2</v>
      </c>
      <c r="M2108">
        <v>4.53885250687599E-2</v>
      </c>
      <c r="N2108">
        <v>4.2598951607942602E-2</v>
      </c>
      <c r="O2108">
        <f t="shared" si="168"/>
        <v>1.2713170424103738E-2</v>
      </c>
    </row>
    <row r="2109" spans="1:15" x14ac:dyDescent="0.35">
      <c r="A2109" t="s">
        <v>139</v>
      </c>
      <c r="B2109">
        <v>2017</v>
      </c>
      <c r="C2109">
        <v>439095.40625</v>
      </c>
      <c r="D2109" s="8">
        <v>0.97047299146652199</v>
      </c>
      <c r="E2109" s="8">
        <v>2E-3</v>
      </c>
      <c r="F2109">
        <v>3.2053856129376701</v>
      </c>
      <c r="G2109">
        <f t="shared" si="164"/>
        <v>3.3029106849165157</v>
      </c>
      <c r="H2109">
        <f t="shared" si="166"/>
        <v>3.553110927681713E-2</v>
      </c>
      <c r="I2109">
        <f t="shared" si="165"/>
        <v>1</v>
      </c>
      <c r="J2109">
        <f t="shared" si="167"/>
        <v>3</v>
      </c>
      <c r="K2109">
        <v>4.53885250687599E-2</v>
      </c>
      <c r="L2109">
        <v>4.2598951607942602E-2</v>
      </c>
      <c r="M2109">
        <v>2.37179661393166E-2</v>
      </c>
      <c r="N2109">
        <v>1.45829431712628E-2</v>
      </c>
      <c r="O2109">
        <f t="shared" si="168"/>
        <v>2.3513138294221775E-4</v>
      </c>
    </row>
    <row r="2110" spans="1:15" x14ac:dyDescent="0.35">
      <c r="A2110" t="s">
        <v>139</v>
      </c>
      <c r="B2110">
        <v>2018</v>
      </c>
      <c r="C2110">
        <v>439474.3125</v>
      </c>
      <c r="D2110" s="8">
        <v>0.97383183240890503</v>
      </c>
      <c r="E2110" s="8">
        <v>0</v>
      </c>
      <c r="F2110">
        <v>3.27996333692204</v>
      </c>
      <c r="G2110">
        <f t="shared" si="164"/>
        <v>3.3681003513805932</v>
      </c>
      <c r="H2110">
        <f t="shared" si="166"/>
        <v>1.9737035809590742E-2</v>
      </c>
      <c r="I2110">
        <f t="shared" si="165"/>
        <v>1</v>
      </c>
      <c r="J2110">
        <f t="shared" si="167"/>
        <v>4</v>
      </c>
      <c r="K2110">
        <v>2.37179661393166E-2</v>
      </c>
      <c r="L2110">
        <v>1.45829431712628E-2</v>
      </c>
      <c r="M2110">
        <v>2.08658680021763E-2</v>
      </c>
      <c r="N2110">
        <v>3.06467339396479E-3</v>
      </c>
      <c r="O2110">
        <f t="shared" si="168"/>
        <v>1.723221689462658E-3</v>
      </c>
    </row>
    <row r="2111" spans="1:15" x14ac:dyDescent="0.35">
      <c r="A2111" t="s">
        <v>139</v>
      </c>
      <c r="B2111">
        <v>2019</v>
      </c>
      <c r="C2111">
        <v>439754.3125</v>
      </c>
      <c r="D2111" s="8">
        <v>0.97274369001388505</v>
      </c>
      <c r="E2111" s="8">
        <v>0</v>
      </c>
      <c r="F2111">
        <v>3.2578277086769698</v>
      </c>
      <c r="G2111">
        <f t="shared" si="164"/>
        <v>3.3491121475488237</v>
      </c>
      <c r="H2111">
        <f t="shared" si="166"/>
        <v>-5.6376597639040682E-3</v>
      </c>
      <c r="I2111">
        <f t="shared" si="165"/>
        <v>0</v>
      </c>
      <c r="J2111" t="str">
        <f t="shared" si="167"/>
        <v/>
      </c>
      <c r="K2111">
        <v>2.08658680021763E-2</v>
      </c>
      <c r="L2111">
        <v>3.06467339396479E-3</v>
      </c>
      <c r="M2111">
        <v>3.1525934219360299E-2</v>
      </c>
      <c r="N2111">
        <v>1.2676743790507299E-2</v>
      </c>
      <c r="O2111">
        <f t="shared" si="168"/>
        <v>1.3676473312079902E-2</v>
      </c>
    </row>
    <row r="2112" spans="1:15" x14ac:dyDescent="0.35">
      <c r="A2112" t="s">
        <v>139</v>
      </c>
      <c r="B2112">
        <v>2020</v>
      </c>
      <c r="C2112">
        <v>440176.90625</v>
      </c>
      <c r="D2112" s="8">
        <v>0.97434812784194902</v>
      </c>
      <c r="E2112" s="8">
        <v>1E-3</v>
      </c>
      <c r="F2112">
        <v>2.9515728943511101</v>
      </c>
      <c r="G2112">
        <f t="shared" si="164"/>
        <v>3.029279587049087</v>
      </c>
      <c r="H2112">
        <f t="shared" si="166"/>
        <v>-9.5497715934600325E-2</v>
      </c>
      <c r="I2112">
        <f t="shared" si="165"/>
        <v>0</v>
      </c>
      <c r="J2112" t="str">
        <f t="shared" si="167"/>
        <v/>
      </c>
      <c r="K2112">
        <v>3.1525934219360299E-2</v>
      </c>
      <c r="L2112">
        <v>1.2676743790507299E-2</v>
      </c>
      <c r="M2112">
        <v>3.4232152879238101E-2</v>
      </c>
      <c r="N2112">
        <v>-9.3574598431588E-3</v>
      </c>
      <c r="O2112">
        <f t="shared" si="168"/>
        <v>1.6908542159944761E-2</v>
      </c>
    </row>
    <row r="2113" spans="1:15" x14ac:dyDescent="0.35">
      <c r="A2113" t="s">
        <v>139</v>
      </c>
      <c r="B2113">
        <v>2021</v>
      </c>
      <c r="C2113">
        <v>438443.125</v>
      </c>
      <c r="D2113" s="8">
        <v>0.97877329587936401</v>
      </c>
      <c r="E2113" s="8">
        <v>1E-3</v>
      </c>
      <c r="F2113">
        <v>3.08308767332678</v>
      </c>
      <c r="G2113">
        <f t="shared" si="164"/>
        <v>3.1499507458025064</v>
      </c>
      <c r="H2113">
        <f t="shared" si="166"/>
        <v>3.9834936091511119E-2</v>
      </c>
      <c r="I2113">
        <f t="shared" si="165"/>
        <v>1</v>
      </c>
      <c r="J2113" t="str">
        <f t="shared" si="167"/>
        <v/>
      </c>
      <c r="K2113">
        <v>3.4232152879238101E-2</v>
      </c>
      <c r="L2113">
        <v>-9.3574598431588E-3</v>
      </c>
      <c r="M2113">
        <v>-5.1894750371575399E-2</v>
      </c>
      <c r="N2113">
        <v>-1.9791243597865001E-2</v>
      </c>
      <c r="O2113">
        <f t="shared" si="168"/>
        <v>1.7299686092883355E-2</v>
      </c>
    </row>
    <row r="2114" spans="1:15" x14ac:dyDescent="0.35">
      <c r="A2114" t="s">
        <v>139</v>
      </c>
      <c r="B2114">
        <v>2022</v>
      </c>
      <c r="C2114">
        <v>436150.59375</v>
      </c>
      <c r="D2114" s="8">
        <v>0.97600412368774403</v>
      </c>
      <c r="E2114" s="8">
        <v>6.0000000000000001E-3</v>
      </c>
      <c r="F2114">
        <v>3.2451039916411299</v>
      </c>
      <c r="G2114">
        <f t="shared" si="164"/>
        <v>3.3248875828308959</v>
      </c>
      <c r="H2114">
        <f t="shared" si="166"/>
        <v>5.5536372199312289E-2</v>
      </c>
      <c r="I2114">
        <f t="shared" si="165"/>
        <v>1</v>
      </c>
      <c r="J2114" t="str">
        <f t="shared" si="167"/>
        <v/>
      </c>
      <c r="K2114">
        <v>-5.1894750371575399E-2</v>
      </c>
      <c r="L2114">
        <v>-1.9312540069222499E-2</v>
      </c>
      <c r="M2114">
        <v>2.4644669294357001E-3</v>
      </c>
      <c r="N2114">
        <v>2.2023394703864999E-2</v>
      </c>
      <c r="O2114">
        <f t="shared" si="168"/>
        <v>1.7517608730122432E-2</v>
      </c>
    </row>
    <row r="2115" spans="1:15" x14ac:dyDescent="0.35">
      <c r="A2115" t="s">
        <v>140</v>
      </c>
      <c r="B2115">
        <v>2006</v>
      </c>
      <c r="C2115">
        <v>1023038</v>
      </c>
      <c r="D2115" s="8">
        <v>0.94521552324295</v>
      </c>
      <c r="E2115" s="8">
        <v>1.0999999999999999E-2</v>
      </c>
      <c r="F2115">
        <v>2.5387036398046701</v>
      </c>
      <c r="G2115">
        <f t="shared" ref="G2115:G2178" si="169">F2115/D2115</f>
        <v>2.6858463253910649</v>
      </c>
      <c r="H2115">
        <f t="shared" si="166"/>
        <v>-0.19219935757819961</v>
      </c>
      <c r="I2115">
        <f t="shared" ref="I2115:I2178" si="170">IF(H2115&gt;0,1,0)</f>
        <v>0</v>
      </c>
      <c r="J2115" t="str">
        <f t="shared" si="167"/>
        <v/>
      </c>
      <c r="K2115">
        <v>1.2522650539875E-2</v>
      </c>
      <c r="L2115">
        <v>6.1596110463141996E-3</v>
      </c>
      <c r="M2115">
        <v>6.1909175574779499E-2</v>
      </c>
      <c r="N2115">
        <v>6.2830931507051005E-2</v>
      </c>
      <c r="O2115" t="str">
        <f t="shared" si="168"/>
        <v/>
      </c>
    </row>
    <row r="2116" spans="1:15" x14ac:dyDescent="0.35">
      <c r="A2116" t="s">
        <v>140</v>
      </c>
      <c r="B2116">
        <v>2007</v>
      </c>
      <c r="C2116">
        <v>1042014.0625</v>
      </c>
      <c r="D2116" s="8">
        <v>0.948566734790802</v>
      </c>
      <c r="E2116" s="8">
        <v>6.0000000000000001E-3</v>
      </c>
      <c r="F2116">
        <v>2.52184578226864</v>
      </c>
      <c r="G2116">
        <f t="shared" si="169"/>
        <v>2.6585855162049414</v>
      </c>
      <c r="H2116">
        <f t="shared" ref="H2116:H2179" si="171">+G2116/G2115-1</f>
        <v>-1.014980229077489E-2</v>
      </c>
      <c r="I2116">
        <f t="shared" si="170"/>
        <v>0</v>
      </c>
      <c r="J2116" t="str">
        <f t="shared" si="167"/>
        <v/>
      </c>
      <c r="K2116">
        <v>6.1909175574779499E-2</v>
      </c>
      <c r="L2116">
        <v>6.2830931507051005E-2</v>
      </c>
      <c r="M2116">
        <v>-6.7371624708179696E-4</v>
      </c>
      <c r="N2116">
        <v>2.8837088029831599E-2</v>
      </c>
      <c r="O2116" t="str">
        <f t="shared" si="168"/>
        <v/>
      </c>
    </row>
    <row r="2117" spans="1:15" x14ac:dyDescent="0.35">
      <c r="A2117" t="s">
        <v>140</v>
      </c>
      <c r="B2117">
        <v>2008</v>
      </c>
      <c r="C2117">
        <v>1060145</v>
      </c>
      <c r="D2117" s="8">
        <v>0.92951023578643799</v>
      </c>
      <c r="E2117" s="8">
        <v>1.7999999999999999E-2</v>
      </c>
      <c r="F2117">
        <v>2.53806605479478</v>
      </c>
      <c r="G2117">
        <f t="shared" si="169"/>
        <v>2.7305412647203164</v>
      </c>
      <c r="H2117">
        <f t="shared" si="171"/>
        <v>2.7065425609513527E-2</v>
      </c>
      <c r="I2117">
        <f t="shared" si="170"/>
        <v>1</v>
      </c>
      <c r="J2117" t="str">
        <f t="shared" si="167"/>
        <v/>
      </c>
      <c r="K2117">
        <v>-6.7371624708179696E-4</v>
      </c>
      <c r="L2117">
        <v>2.8837088029831599E-2</v>
      </c>
      <c r="M2117">
        <v>-3.3968441843986397E-2</v>
      </c>
      <c r="N2117">
        <v>-7.4017401784658397E-3</v>
      </c>
      <c r="O2117" t="str">
        <f t="shared" si="168"/>
        <v/>
      </c>
    </row>
    <row r="2118" spans="1:15" x14ac:dyDescent="0.35">
      <c r="A2118" t="s">
        <v>140</v>
      </c>
      <c r="B2118">
        <v>2009</v>
      </c>
      <c r="C2118">
        <v>1078579</v>
      </c>
      <c r="D2118" s="8">
        <v>0.90821719169616699</v>
      </c>
      <c r="E2118" s="8">
        <v>3.5999999999999997E-2</v>
      </c>
      <c r="F2118">
        <v>2.43051709093668</v>
      </c>
      <c r="G2118">
        <f t="shared" si="169"/>
        <v>2.6761408098843606</v>
      </c>
      <c r="H2118">
        <f t="shared" si="171"/>
        <v>-1.9922956499076383E-2</v>
      </c>
      <c r="I2118">
        <f t="shared" si="170"/>
        <v>0</v>
      </c>
      <c r="J2118" t="str">
        <f t="shared" si="167"/>
        <v/>
      </c>
      <c r="K2118">
        <v>-3.3968441843986397E-2</v>
      </c>
      <c r="L2118">
        <v>-7.4017401784658397E-3</v>
      </c>
      <c r="M2118">
        <v>-2.81617391705513E-2</v>
      </c>
      <c r="N2118">
        <v>-1.8701630411669602E-2</v>
      </c>
      <c r="O2118" t="str">
        <f t="shared" si="168"/>
        <v/>
      </c>
    </row>
    <row r="2119" spans="1:15" x14ac:dyDescent="0.35">
      <c r="A2119" t="s">
        <v>140</v>
      </c>
      <c r="B2119">
        <v>2010</v>
      </c>
      <c r="C2119">
        <v>1096394</v>
      </c>
      <c r="D2119" s="8">
        <v>0.91719383001327504</v>
      </c>
      <c r="E2119" s="8">
        <v>3.1E-2</v>
      </c>
      <c r="F2119">
        <v>2.61645595170376</v>
      </c>
      <c r="G2119">
        <f t="shared" si="169"/>
        <v>2.8526750465230348</v>
      </c>
      <c r="H2119">
        <f t="shared" si="171"/>
        <v>6.5965974580501463E-2</v>
      </c>
      <c r="I2119">
        <f t="shared" si="170"/>
        <v>1</v>
      </c>
      <c r="J2119">
        <f t="shared" ref="J2119:J2182" si="172">IF(AND(B2119&gt;=2010,B2119&lt;=2018),SUM(I2115:I2119),"")</f>
        <v>2</v>
      </c>
      <c r="K2119">
        <v>-2.81617391705513E-2</v>
      </c>
      <c r="L2119">
        <v>-1.8701630411669602E-2</v>
      </c>
      <c r="M2119">
        <v>-1.7118442215025401E-2</v>
      </c>
      <c r="N2119">
        <v>4.1653322987258903E-3</v>
      </c>
      <c r="O2119">
        <f t="shared" ref="O2119:O2182" si="173">IF(B2119&gt;=2010,AVERAGE(N2119:N2123),"")</f>
        <v>4.310013446956874E-3</v>
      </c>
    </row>
    <row r="2120" spans="1:15" x14ac:dyDescent="0.35">
      <c r="A2120" t="s">
        <v>140</v>
      </c>
      <c r="B2120">
        <v>2011</v>
      </c>
      <c r="C2120">
        <v>1114066</v>
      </c>
      <c r="D2120" s="8">
        <v>0.92515808343887296</v>
      </c>
      <c r="E2120" s="8">
        <v>3.0000000000000001E-3</v>
      </c>
      <c r="F2120">
        <v>2.5436784911527601</v>
      </c>
      <c r="G2120">
        <f t="shared" si="169"/>
        <v>2.749452808862396</v>
      </c>
      <c r="H2120">
        <f t="shared" si="171"/>
        <v>-3.6184365894198378E-2</v>
      </c>
      <c r="I2120">
        <f t="shared" si="170"/>
        <v>0</v>
      </c>
      <c r="J2120">
        <f t="shared" si="172"/>
        <v>2</v>
      </c>
      <c r="K2120">
        <v>-1.7118442215025401E-2</v>
      </c>
      <c r="L2120">
        <v>4.1653322987258903E-3</v>
      </c>
      <c r="M2120">
        <v>2.3214348554610898E-3</v>
      </c>
      <c r="N2120">
        <v>7.7596409246324903E-3</v>
      </c>
      <c r="O2120">
        <f t="shared" si="173"/>
        <v>5.7568782940506753E-3</v>
      </c>
    </row>
    <row r="2121" spans="1:15" x14ac:dyDescent="0.35">
      <c r="A2121" t="s">
        <v>140</v>
      </c>
      <c r="B2121">
        <v>2012</v>
      </c>
      <c r="C2121">
        <v>1133068</v>
      </c>
      <c r="D2121" s="8">
        <v>0.93755459785461404</v>
      </c>
      <c r="E2121" s="8">
        <v>1.4999999999999999E-2</v>
      </c>
      <c r="F2121">
        <v>2.5975978550607102</v>
      </c>
      <c r="G2121">
        <f t="shared" si="169"/>
        <v>2.7706096914299576</v>
      </c>
      <c r="H2121">
        <f t="shared" si="171"/>
        <v>7.6949429716945961E-3</v>
      </c>
      <c r="I2121">
        <f t="shared" si="170"/>
        <v>1</v>
      </c>
      <c r="J2121">
        <f t="shared" si="172"/>
        <v>3</v>
      </c>
      <c r="K2121">
        <v>2.3214348554610898E-3</v>
      </c>
      <c r="L2121">
        <v>7.6740421354770001E-3</v>
      </c>
      <c r="M2121">
        <v>1.0260522961616499E-2</v>
      </c>
      <c r="N2121">
        <v>4.1337516158818904E-3</v>
      </c>
      <c r="O2121">
        <f t="shared" si="173"/>
        <v>4.8725590109825181E-3</v>
      </c>
    </row>
    <row r="2122" spans="1:15" x14ac:dyDescent="0.35">
      <c r="A2122" t="s">
        <v>140</v>
      </c>
      <c r="B2122">
        <v>2013</v>
      </c>
      <c r="C2122">
        <v>1150037</v>
      </c>
      <c r="D2122" s="8">
        <v>0.93472898006439198</v>
      </c>
      <c r="E2122" s="8">
        <v>3.5999999999999997E-2</v>
      </c>
      <c r="F2122">
        <v>2.6640054871872501</v>
      </c>
      <c r="G2122">
        <f t="shared" si="169"/>
        <v>2.8500298418090462</v>
      </c>
      <c r="H2122">
        <f t="shared" si="171"/>
        <v>2.8665225067518785E-2</v>
      </c>
      <c r="I2122">
        <f t="shared" si="170"/>
        <v>1</v>
      </c>
      <c r="J2122">
        <f t="shared" si="172"/>
        <v>3</v>
      </c>
      <c r="K2122">
        <v>1.0260522961616499E-2</v>
      </c>
      <c r="L2122">
        <v>4.1337516158818904E-3</v>
      </c>
      <c r="M2122">
        <v>1.58377999067309E-3</v>
      </c>
      <c r="N2122">
        <v>-4.2424350976940099E-4</v>
      </c>
      <c r="O2122">
        <f t="shared" si="173"/>
        <v>4.0806706994772008E-3</v>
      </c>
    </row>
    <row r="2123" spans="1:15" x14ac:dyDescent="0.35">
      <c r="A2123" t="s">
        <v>140</v>
      </c>
      <c r="B2123">
        <v>2014</v>
      </c>
      <c r="C2123">
        <v>1164148</v>
      </c>
      <c r="D2123" s="8">
        <v>0.93398326635360696</v>
      </c>
      <c r="E2123" s="8">
        <v>0.03</v>
      </c>
      <c r="F2123">
        <v>2.6486835252139702</v>
      </c>
      <c r="G2123">
        <f t="shared" si="169"/>
        <v>2.8359004070327489</v>
      </c>
      <c r="H2123">
        <f t="shared" si="171"/>
        <v>-4.9576445021812798E-3</v>
      </c>
      <c r="I2123">
        <f t="shared" si="170"/>
        <v>0</v>
      </c>
      <c r="J2123">
        <f t="shared" si="172"/>
        <v>3</v>
      </c>
      <c r="K2123">
        <v>1.58377999067309E-3</v>
      </c>
      <c r="L2123">
        <v>-4.2424350976940099E-4</v>
      </c>
      <c r="M2123">
        <v>3.6179037928581202E-2</v>
      </c>
      <c r="N2123">
        <v>5.9155859053134996E-3</v>
      </c>
      <c r="O2123">
        <f t="shared" si="173"/>
        <v>2.7194425463676411E-3</v>
      </c>
    </row>
    <row r="2124" spans="1:15" x14ac:dyDescent="0.35">
      <c r="A2124" t="s">
        <v>140</v>
      </c>
      <c r="B2124">
        <v>2015</v>
      </c>
      <c r="C2124">
        <v>1181217</v>
      </c>
      <c r="D2124" s="8">
        <v>0.91892182826995805</v>
      </c>
      <c r="E2124" s="8">
        <v>5.7000000000000002E-2</v>
      </c>
      <c r="F2124">
        <v>2.5513708114095799</v>
      </c>
      <c r="G2124">
        <f t="shared" si="169"/>
        <v>2.7764829748500066</v>
      </c>
      <c r="H2124">
        <f t="shared" si="171"/>
        <v>-2.0951875473268711E-2</v>
      </c>
      <c r="I2124">
        <f t="shared" si="170"/>
        <v>0</v>
      </c>
      <c r="J2124">
        <f t="shared" si="172"/>
        <v>2</v>
      </c>
      <c r="K2124">
        <v>3.6179037928581202E-2</v>
      </c>
      <c r="L2124">
        <v>5.9155859053134996E-3</v>
      </c>
      <c r="M2124">
        <v>2.45532135367393E-2</v>
      </c>
      <c r="N2124">
        <v>1.1399656534194899E-2</v>
      </c>
      <c r="O2124">
        <f t="shared" si="173"/>
        <v>2.3043714463710248E-4</v>
      </c>
    </row>
    <row r="2125" spans="1:15" x14ac:dyDescent="0.35">
      <c r="A2125" t="s">
        <v>140</v>
      </c>
      <c r="B2125">
        <v>2016</v>
      </c>
      <c r="C2125">
        <v>1203132</v>
      </c>
      <c r="D2125" s="8">
        <v>0.93312358856201205</v>
      </c>
      <c r="E2125" s="8">
        <v>2.4E-2</v>
      </c>
      <c r="F2125">
        <v>2.6243380239067902</v>
      </c>
      <c r="G2125">
        <f t="shared" si="169"/>
        <v>2.8124227659393117</v>
      </c>
      <c r="H2125">
        <f t="shared" si="171"/>
        <v>1.2944358533747868E-2</v>
      </c>
      <c r="I2125">
        <f t="shared" si="170"/>
        <v>1</v>
      </c>
      <c r="J2125">
        <f t="shared" si="172"/>
        <v>3</v>
      </c>
      <c r="K2125">
        <v>2.45532135367393E-2</v>
      </c>
      <c r="L2125">
        <v>1.1399656534194899E-2</v>
      </c>
      <c r="M2125">
        <v>6.1276179701089898E-3</v>
      </c>
      <c r="N2125">
        <v>3.3380445092917E-3</v>
      </c>
      <c r="O2125">
        <f t="shared" si="173"/>
        <v>7.1650501340627436E-3</v>
      </c>
    </row>
    <row r="2126" spans="1:15" x14ac:dyDescent="0.35">
      <c r="A2126" t="s">
        <v>140</v>
      </c>
      <c r="B2126">
        <v>2017</v>
      </c>
      <c r="C2126">
        <v>1223124</v>
      </c>
      <c r="D2126" s="8">
        <v>0.92259728908538796</v>
      </c>
      <c r="E2126" s="8">
        <v>5.7000000000000002E-2</v>
      </c>
      <c r="F2126">
        <v>2.4797461759193702</v>
      </c>
      <c r="G2126">
        <f t="shared" si="169"/>
        <v>2.6877882747494888</v>
      </c>
      <c r="H2126">
        <f t="shared" si="171"/>
        <v>-4.4315702709865068E-2</v>
      </c>
      <c r="I2126">
        <f t="shared" si="170"/>
        <v>0</v>
      </c>
      <c r="J2126">
        <f t="shared" si="172"/>
        <v>2</v>
      </c>
      <c r="K2126">
        <v>6.1276179701089898E-3</v>
      </c>
      <c r="L2126">
        <v>3.3380445092917E-3</v>
      </c>
      <c r="M2126">
        <v>9.3093330264091001E-3</v>
      </c>
      <c r="N2126">
        <v>1.7431005835530299E-4</v>
      </c>
      <c r="O2126">
        <f t="shared" si="173"/>
        <v>6.0126744210719863E-3</v>
      </c>
    </row>
    <row r="2127" spans="1:15" x14ac:dyDescent="0.35">
      <c r="A2127" t="s">
        <v>140</v>
      </c>
      <c r="B2127">
        <v>2018</v>
      </c>
      <c r="C2127">
        <v>1238612</v>
      </c>
      <c r="D2127" s="8">
        <v>0.91746062040329002</v>
      </c>
      <c r="E2127" s="8">
        <v>6.3E-2</v>
      </c>
      <c r="F2127">
        <v>2.5084446349774101</v>
      </c>
      <c r="G2127">
        <f t="shared" si="169"/>
        <v>2.7341169519349702</v>
      </c>
      <c r="H2127">
        <f t="shared" si="171"/>
        <v>1.7236728659291156E-2</v>
      </c>
      <c r="I2127">
        <f t="shared" si="170"/>
        <v>1</v>
      </c>
      <c r="J2127">
        <f t="shared" si="172"/>
        <v>2</v>
      </c>
      <c r="K2127">
        <v>9.3093330264091001E-3</v>
      </c>
      <c r="L2127">
        <v>1.7431005835530299E-4</v>
      </c>
      <c r="M2127">
        <v>1.0570810332894301E-2</v>
      </c>
      <c r="N2127">
        <v>-7.2303842753171999E-3</v>
      </c>
      <c r="O2127">
        <f t="shared" si="173"/>
        <v>-1.0050529614091148E-3</v>
      </c>
    </row>
    <row r="2128" spans="1:15" x14ac:dyDescent="0.35">
      <c r="A2128" t="s">
        <v>140</v>
      </c>
      <c r="B2128">
        <v>2019</v>
      </c>
      <c r="C2128">
        <v>1251918</v>
      </c>
      <c r="D2128" s="8">
        <v>0.90638244152069103</v>
      </c>
      <c r="E2128" s="8">
        <v>0.06</v>
      </c>
      <c r="F2128">
        <v>2.3378876208911898</v>
      </c>
      <c r="G2128">
        <f t="shared" si="169"/>
        <v>2.5793611104919227</v>
      </c>
      <c r="H2128">
        <f t="shared" si="171"/>
        <v>-5.6601763627384227E-2</v>
      </c>
      <c r="I2128">
        <f t="shared" si="170"/>
        <v>0</v>
      </c>
      <c r="J2128" t="str">
        <f t="shared" si="172"/>
        <v/>
      </c>
      <c r="K2128">
        <v>1.0570810332894301E-2</v>
      </c>
      <c r="L2128">
        <v>-7.2303842753171999E-3</v>
      </c>
      <c r="M2128">
        <v>1.23197493255138E-2</v>
      </c>
      <c r="N2128">
        <v>-6.52944110333919E-3</v>
      </c>
      <c r="O2128">
        <f t="shared" si="173"/>
        <v>7.655471563326223E-6</v>
      </c>
    </row>
    <row r="2129" spans="1:15" x14ac:dyDescent="0.35">
      <c r="A2129" t="s">
        <v>140</v>
      </c>
      <c r="B2129">
        <v>2020</v>
      </c>
      <c r="C2129">
        <v>1261067</v>
      </c>
      <c r="D2129" s="8">
        <v>0.92635703086853005</v>
      </c>
      <c r="E2129" s="8">
        <v>4.5999999999999999E-2</v>
      </c>
      <c r="F2129">
        <v>2.2351746744561498</v>
      </c>
      <c r="G2129">
        <f t="shared" si="169"/>
        <v>2.4128652344339674</v>
      </c>
      <c r="H2129">
        <f t="shared" si="171"/>
        <v>-6.4549269732225301E-2</v>
      </c>
      <c r="I2129">
        <f t="shared" si="170"/>
        <v>0</v>
      </c>
      <c r="J2129" t="str">
        <f t="shared" si="172"/>
        <v/>
      </c>
      <c r="K2129">
        <v>1.23197493255138E-2</v>
      </c>
      <c r="L2129">
        <v>-6.52944110333919E-3</v>
      </c>
      <c r="M2129">
        <v>8.9662334203719996E-2</v>
      </c>
      <c r="N2129">
        <v>4.6072721481323103E-2</v>
      </c>
      <c r="O2129">
        <f t="shared" si="173"/>
        <v>2.341933827847224E-3</v>
      </c>
    </row>
    <row r="2130" spans="1:15" x14ac:dyDescent="0.35">
      <c r="A2130" t="s">
        <v>140</v>
      </c>
      <c r="B2130">
        <v>2021</v>
      </c>
      <c r="C2130">
        <v>1265245</v>
      </c>
      <c r="D2130" s="8">
        <v>0.93726855516433705</v>
      </c>
      <c r="E2130" s="8">
        <v>0.06</v>
      </c>
      <c r="F2130">
        <v>2.2577581955084902</v>
      </c>
      <c r="G2130">
        <f t="shared" si="169"/>
        <v>2.4088700971224024</v>
      </c>
      <c r="H2130">
        <f t="shared" si="171"/>
        <v>-1.6557647955428578E-3</v>
      </c>
      <c r="I2130">
        <f t="shared" si="170"/>
        <v>0</v>
      </c>
      <c r="J2130" t="str">
        <f t="shared" si="172"/>
        <v/>
      </c>
      <c r="K2130">
        <v>8.9662334203719996E-2</v>
      </c>
      <c r="L2130">
        <v>4.6072721481323103E-2</v>
      </c>
      <c r="M2130">
        <v>-3.4527340829372401E-2</v>
      </c>
      <c r="N2130">
        <v>-2.4238340556620901E-3</v>
      </c>
      <c r="O2130">
        <f t="shared" si="173"/>
        <v>-4.8765306361019485E-3</v>
      </c>
    </row>
    <row r="2131" spans="1:15" x14ac:dyDescent="0.35">
      <c r="A2131" t="s">
        <v>140</v>
      </c>
      <c r="B2131">
        <v>2022</v>
      </c>
      <c r="C2131">
        <v>1274617</v>
      </c>
      <c r="D2131" s="8">
        <v>0.906227886676788</v>
      </c>
      <c r="E2131" s="8">
        <v>5.3999999999999999E-2</v>
      </c>
      <c r="F2131">
        <v>2.3257222708824998</v>
      </c>
      <c r="G2131">
        <f t="shared" si="169"/>
        <v>2.5663768518657202</v>
      </c>
      <c r="H2131">
        <f t="shared" si="171"/>
        <v>6.5386155497331622E-2</v>
      </c>
      <c r="I2131">
        <f t="shared" si="170"/>
        <v>1</v>
      </c>
      <c r="J2131" t="str">
        <f t="shared" si="172"/>
        <v/>
      </c>
      <c r="K2131">
        <v>-3.4527340829372401E-2</v>
      </c>
      <c r="L2131">
        <v>-1.9451305270195001E-3</v>
      </c>
      <c r="M2131">
        <v>-5.4473254628479503E-2</v>
      </c>
      <c r="N2131">
        <v>-3.4914326854050201E-2</v>
      </c>
      <c r="O2131">
        <f t="shared" si="173"/>
        <v>-3.5942985210567742E-3</v>
      </c>
    </row>
    <row r="2132" spans="1:15" x14ac:dyDescent="0.35">
      <c r="A2132" t="s">
        <v>141</v>
      </c>
      <c r="B2132">
        <v>2006</v>
      </c>
      <c r="C2132">
        <v>1970046</v>
      </c>
      <c r="D2132" s="8">
        <v>0.91527324914932295</v>
      </c>
      <c r="E2132" s="8">
        <v>2.7E-2</v>
      </c>
      <c r="F2132">
        <v>2.43244869223876</v>
      </c>
      <c r="G2132">
        <f t="shared" si="169"/>
        <v>2.6576202183331987</v>
      </c>
      <c r="H2132">
        <f t="shared" si="171"/>
        <v>3.5553378063375884E-2</v>
      </c>
      <c r="I2132">
        <f t="shared" si="170"/>
        <v>1</v>
      </c>
      <c r="J2132" t="str">
        <f t="shared" si="172"/>
        <v/>
      </c>
      <c r="K2132">
        <v>-3.4350812137126999E-3</v>
      </c>
      <c r="L2132">
        <v>-9.7981207072734902E-3</v>
      </c>
      <c r="M2132">
        <v>-3.0885980427265E-3</v>
      </c>
      <c r="N2132">
        <v>-2.1668421104549902E-3</v>
      </c>
      <c r="O2132" t="str">
        <f t="shared" si="173"/>
        <v/>
      </c>
    </row>
    <row r="2133" spans="1:15" x14ac:dyDescent="0.35">
      <c r="A2133" t="s">
        <v>141</v>
      </c>
      <c r="B2133">
        <v>2007</v>
      </c>
      <c r="C2133">
        <v>2023963</v>
      </c>
      <c r="D2133" s="8">
        <v>0.91664665937423695</v>
      </c>
      <c r="E2133" s="8">
        <v>3.2000000000000001E-2</v>
      </c>
      <c r="F2133">
        <v>2.3470006623520598</v>
      </c>
      <c r="G2133">
        <f t="shared" si="169"/>
        <v>2.5604202430130232</v>
      </c>
      <c r="H2133">
        <f t="shared" si="171"/>
        <v>-3.6574065266984368E-2</v>
      </c>
      <c r="I2133">
        <f t="shared" si="170"/>
        <v>0</v>
      </c>
      <c r="J2133" t="str">
        <f t="shared" si="172"/>
        <v/>
      </c>
      <c r="K2133">
        <v>-3.0885980427265E-3</v>
      </c>
      <c r="L2133">
        <v>-2.1668421104549902E-3</v>
      </c>
      <c r="M2133">
        <v>-2.4368853598833E-2</v>
      </c>
      <c r="N2133">
        <v>5.1419506780803004E-3</v>
      </c>
      <c r="O2133" t="str">
        <f t="shared" si="173"/>
        <v/>
      </c>
    </row>
    <row r="2134" spans="1:15" x14ac:dyDescent="0.35">
      <c r="A2134" t="s">
        <v>141</v>
      </c>
      <c r="B2134">
        <v>2008</v>
      </c>
      <c r="C2134">
        <v>2072461.875</v>
      </c>
      <c r="D2134" s="8">
        <v>0.906061410903931</v>
      </c>
      <c r="E2134" s="8">
        <v>2.1999999999999999E-2</v>
      </c>
      <c r="F2134">
        <v>2.39490225132641</v>
      </c>
      <c r="G2134">
        <f t="shared" si="169"/>
        <v>2.6432008057126493</v>
      </c>
      <c r="H2134">
        <f t="shared" si="171"/>
        <v>3.2330849955401364E-2</v>
      </c>
      <c r="I2134">
        <f t="shared" si="170"/>
        <v>1</v>
      </c>
      <c r="J2134" t="str">
        <f t="shared" si="172"/>
        <v/>
      </c>
      <c r="K2134">
        <v>-2.4368853598833E-2</v>
      </c>
      <c r="L2134">
        <v>5.1419506780803004E-3</v>
      </c>
      <c r="M2134">
        <v>-1.6586302503943402E-2</v>
      </c>
      <c r="N2134">
        <v>9.9803991615772403E-3</v>
      </c>
      <c r="O2134" t="str">
        <f t="shared" si="173"/>
        <v/>
      </c>
    </row>
    <row r="2135" spans="1:15" x14ac:dyDescent="0.35">
      <c r="A2135" t="s">
        <v>141</v>
      </c>
      <c r="B2135">
        <v>2009</v>
      </c>
      <c r="C2135">
        <v>2117500</v>
      </c>
      <c r="D2135" s="8">
        <v>0.89122903347015403</v>
      </c>
      <c r="E2135" s="8">
        <v>3.1E-2</v>
      </c>
      <c r="F2135">
        <v>2.43378631787902</v>
      </c>
      <c r="G2135">
        <f t="shared" si="169"/>
        <v>2.7308202790506644</v>
      </c>
      <c r="H2135">
        <f t="shared" si="171"/>
        <v>3.3149003718766501E-2</v>
      </c>
      <c r="I2135">
        <f t="shared" si="170"/>
        <v>1</v>
      </c>
      <c r="J2135" t="str">
        <f t="shared" si="172"/>
        <v/>
      </c>
      <c r="K2135">
        <v>-1.6586302503943402E-2</v>
      </c>
      <c r="L2135">
        <v>9.9803991615772403E-3</v>
      </c>
      <c r="M2135">
        <v>-5.47278223931789E-3</v>
      </c>
      <c r="N2135">
        <v>3.9873265195637803E-3</v>
      </c>
      <c r="O2135" t="str">
        <f t="shared" si="173"/>
        <v/>
      </c>
    </row>
    <row r="2136" spans="1:15" x14ac:dyDescent="0.35">
      <c r="A2136" t="s">
        <v>141</v>
      </c>
      <c r="B2136">
        <v>2010</v>
      </c>
      <c r="C2136">
        <v>2162162</v>
      </c>
      <c r="D2136" s="8">
        <v>0.91652363538742099</v>
      </c>
      <c r="E2136" s="8">
        <v>1.0999999999999999E-2</v>
      </c>
      <c r="F2136">
        <v>2.5269622964570102</v>
      </c>
      <c r="G2136">
        <f t="shared" si="169"/>
        <v>2.7571163458199806</v>
      </c>
      <c r="H2136">
        <f t="shared" si="171"/>
        <v>9.6293655686698898E-3</v>
      </c>
      <c r="I2136">
        <f t="shared" si="170"/>
        <v>1</v>
      </c>
      <c r="J2136">
        <f t="shared" si="172"/>
        <v>4</v>
      </c>
      <c r="K2136">
        <v>-5.47278223931789E-3</v>
      </c>
      <c r="L2136">
        <v>3.9873265195637803E-3</v>
      </c>
      <c r="M2136">
        <v>-1.49466510564089E-2</v>
      </c>
      <c r="N2136">
        <v>6.3371234573424001E-3</v>
      </c>
      <c r="O2136">
        <f t="shared" si="173"/>
        <v>4.1448808275163177E-3</v>
      </c>
    </row>
    <row r="2137" spans="1:15" x14ac:dyDescent="0.35">
      <c r="A2137" t="s">
        <v>141</v>
      </c>
      <c r="B2137">
        <v>2011</v>
      </c>
      <c r="C2137">
        <v>2200994</v>
      </c>
      <c r="D2137" s="8">
        <v>0.91511261463165305</v>
      </c>
      <c r="E2137" s="8">
        <v>1.4E-2</v>
      </c>
      <c r="F2137">
        <v>2.4627567026514998</v>
      </c>
      <c r="G2137">
        <f t="shared" si="169"/>
        <v>2.6912061567884709</v>
      </c>
      <c r="H2137">
        <f t="shared" si="171"/>
        <v>-2.3905479771078597E-2</v>
      </c>
      <c r="I2137">
        <f t="shared" si="170"/>
        <v>0</v>
      </c>
      <c r="J2137">
        <f t="shared" si="172"/>
        <v>3</v>
      </c>
      <c r="K2137">
        <v>-1.49466510564089E-2</v>
      </c>
      <c r="L2137">
        <v>6.3371234573424001E-3</v>
      </c>
      <c r="M2137">
        <v>1.85170182585719E-3</v>
      </c>
      <c r="N2137">
        <v>7.2899078950285998E-3</v>
      </c>
      <c r="O2137">
        <f t="shared" si="173"/>
        <v>7.4366033077239812E-4</v>
      </c>
    </row>
    <row r="2138" spans="1:15" x14ac:dyDescent="0.35">
      <c r="A2138" t="s">
        <v>141</v>
      </c>
      <c r="B2138">
        <v>2012</v>
      </c>
      <c r="C2138">
        <v>2241964</v>
      </c>
      <c r="D2138" s="8">
        <v>0.91802126169204701</v>
      </c>
      <c r="E2138" s="8">
        <v>2.5000000000000001E-2</v>
      </c>
      <c r="F2138">
        <v>2.54952955671921</v>
      </c>
      <c r="G2138">
        <f t="shared" si="169"/>
        <v>2.777200989898704</v>
      </c>
      <c r="H2138">
        <f t="shared" si="171"/>
        <v>3.1954011733108745E-2</v>
      </c>
      <c r="I2138">
        <f t="shared" si="170"/>
        <v>1</v>
      </c>
      <c r="J2138">
        <f t="shared" si="172"/>
        <v>4</v>
      </c>
      <c r="K2138">
        <v>1.85170182585719E-3</v>
      </c>
      <c r="L2138">
        <v>7.2043091058731001E-3</v>
      </c>
      <c r="M2138">
        <v>6.1267713457346003E-3</v>
      </c>
      <c r="N2138">
        <v>0</v>
      </c>
      <c r="O2138">
        <f t="shared" si="173"/>
        <v>-3.5103980451822218E-3</v>
      </c>
    </row>
    <row r="2139" spans="1:15" x14ac:dyDescent="0.35">
      <c r="A2139" t="s">
        <v>141</v>
      </c>
      <c r="B2139">
        <v>2013</v>
      </c>
      <c r="C2139">
        <v>2283741</v>
      </c>
      <c r="D2139" s="8">
        <v>0.91614687442779497</v>
      </c>
      <c r="E2139" s="8">
        <v>3.3000000000000002E-2</v>
      </c>
      <c r="F2139">
        <v>2.4636817637386002</v>
      </c>
      <c r="G2139">
        <f t="shared" si="169"/>
        <v>2.6891777208511041</v>
      </c>
      <c r="H2139">
        <f t="shared" si="171"/>
        <v>-3.1694958113496319E-2</v>
      </c>
      <c r="I2139">
        <f t="shared" si="170"/>
        <v>0</v>
      </c>
      <c r="J2139">
        <f t="shared" si="172"/>
        <v>3</v>
      </c>
      <c r="K2139">
        <v>6.1267713457346003E-3</v>
      </c>
      <c r="L2139">
        <v>0</v>
      </c>
      <c r="M2139">
        <v>3.7126660495995899E-3</v>
      </c>
      <c r="N2139">
        <v>1.7046425491570899E-3</v>
      </c>
      <c r="O2139">
        <f t="shared" si="173"/>
        <v>-3.9602052420377601E-3</v>
      </c>
    </row>
    <row r="2140" spans="1:15" x14ac:dyDescent="0.35">
      <c r="A2140" t="s">
        <v>141</v>
      </c>
      <c r="B2140">
        <v>2014</v>
      </c>
      <c r="C2140">
        <v>2330823</v>
      </c>
      <c r="D2140" s="8">
        <v>0.91470104455947898</v>
      </c>
      <c r="E2140" s="8">
        <v>4.2999999999999997E-2</v>
      </c>
      <c r="F2140">
        <v>2.47777796442189</v>
      </c>
      <c r="G2140">
        <f t="shared" si="169"/>
        <v>2.7088391110509669</v>
      </c>
      <c r="H2140">
        <f t="shared" si="171"/>
        <v>7.3113019074246832E-3</v>
      </c>
      <c r="I2140">
        <f t="shared" si="170"/>
        <v>1</v>
      </c>
      <c r="J2140">
        <f t="shared" si="172"/>
        <v>3</v>
      </c>
      <c r="K2140">
        <v>3.7126660495995899E-3</v>
      </c>
      <c r="L2140">
        <v>1.7046425491570899E-3</v>
      </c>
      <c r="M2140">
        <v>3.5656182259321198E-2</v>
      </c>
      <c r="N2140">
        <v>5.3927302360534998E-3</v>
      </c>
      <c r="O2140">
        <f t="shared" si="173"/>
        <v>-4.3091028928756384E-3</v>
      </c>
    </row>
    <row r="2141" spans="1:15" x14ac:dyDescent="0.35">
      <c r="A2141" t="s">
        <v>141</v>
      </c>
      <c r="B2141">
        <v>2015</v>
      </c>
      <c r="C2141">
        <v>2377704</v>
      </c>
      <c r="D2141" s="8">
        <v>0.90905028581619296</v>
      </c>
      <c r="E2141" s="8">
        <v>4.2999999999999997E-2</v>
      </c>
      <c r="F2141">
        <v>2.4645838802835298</v>
      </c>
      <c r="G2141">
        <f t="shared" si="169"/>
        <v>2.711163418281858</v>
      </c>
      <c r="H2141">
        <f t="shared" si="171"/>
        <v>8.5804550791102052E-4</v>
      </c>
      <c r="I2141">
        <f t="shared" si="170"/>
        <v>1</v>
      </c>
      <c r="J2141">
        <f t="shared" si="172"/>
        <v>3</v>
      </c>
      <c r="K2141">
        <v>3.5656182259321198E-2</v>
      </c>
      <c r="L2141">
        <v>5.3927302360534998E-3</v>
      </c>
      <c r="M2141">
        <v>2.4845779761672E-3</v>
      </c>
      <c r="N2141">
        <v>-1.0668979026377199E-2</v>
      </c>
      <c r="O2141">
        <f t="shared" si="173"/>
        <v>-8.6269317194819194E-3</v>
      </c>
    </row>
    <row r="2142" spans="1:15" x14ac:dyDescent="0.35">
      <c r="A2142" t="s">
        <v>141</v>
      </c>
      <c r="B2142">
        <v>2016</v>
      </c>
      <c r="C2142">
        <v>2421845</v>
      </c>
      <c r="D2142" s="8">
        <v>0.90548402070999101</v>
      </c>
      <c r="E2142" s="8">
        <v>3.4000000000000002E-2</v>
      </c>
      <c r="F2142">
        <v>2.4765077103671</v>
      </c>
      <c r="G2142">
        <f t="shared" si="169"/>
        <v>2.7350098441552482</v>
      </c>
      <c r="H2142">
        <f t="shared" si="171"/>
        <v>8.7956431222808718E-3</v>
      </c>
      <c r="I2142">
        <f t="shared" si="170"/>
        <v>1</v>
      </c>
      <c r="J2142">
        <f t="shared" si="172"/>
        <v>4</v>
      </c>
      <c r="K2142">
        <v>2.4845779761672E-3</v>
      </c>
      <c r="L2142">
        <v>-1.0668979026377199E-2</v>
      </c>
      <c r="M2142">
        <v>-1.1190810523927199E-2</v>
      </c>
      <c r="N2142">
        <v>-1.39803839847445E-2</v>
      </c>
      <c r="O2142">
        <f t="shared" si="173"/>
        <v>-1.6248267143964587E-3</v>
      </c>
    </row>
    <row r="2143" spans="1:15" x14ac:dyDescent="0.35">
      <c r="A2143" t="s">
        <v>141</v>
      </c>
      <c r="B2143">
        <v>2017</v>
      </c>
      <c r="C2143">
        <v>2463738</v>
      </c>
      <c r="D2143" s="8">
        <v>0.89018529653549205</v>
      </c>
      <c r="E2143" s="8">
        <v>3.9E-2</v>
      </c>
      <c r="F2143">
        <v>2.3759201869716899</v>
      </c>
      <c r="G2143">
        <f t="shared" si="169"/>
        <v>2.6690175587245966</v>
      </c>
      <c r="H2143">
        <f t="shared" si="171"/>
        <v>-2.41287195260661E-2</v>
      </c>
      <c r="I2143">
        <f t="shared" si="170"/>
        <v>0</v>
      </c>
      <c r="J2143">
        <f t="shared" si="172"/>
        <v>3</v>
      </c>
      <c r="K2143">
        <v>-1.1190810523927199E-2</v>
      </c>
      <c r="L2143">
        <v>-1.39803839847445E-2</v>
      </c>
      <c r="M2143">
        <v>6.8859869837760903E-3</v>
      </c>
      <c r="N2143">
        <v>-2.2490359842776901E-3</v>
      </c>
      <c r="O2143">
        <f t="shared" si="173"/>
        <v>-2.4344252422451784E-3</v>
      </c>
    </row>
    <row r="2144" spans="1:15" x14ac:dyDescent="0.35">
      <c r="A2144" t="s">
        <v>141</v>
      </c>
      <c r="B2144">
        <v>2018</v>
      </c>
      <c r="C2144">
        <v>2501351</v>
      </c>
      <c r="D2144" s="8">
        <v>0.90051567554473899</v>
      </c>
      <c r="E2144" s="8">
        <v>0.03</v>
      </c>
      <c r="F2144">
        <v>2.3018729942115699</v>
      </c>
      <c r="G2144">
        <f t="shared" si="169"/>
        <v>2.5561720431119905</v>
      </c>
      <c r="H2144">
        <f t="shared" si="171"/>
        <v>-4.2279795141748622E-2</v>
      </c>
      <c r="I2144">
        <f t="shared" si="170"/>
        <v>0</v>
      </c>
      <c r="J2144">
        <f t="shared" si="172"/>
        <v>3</v>
      </c>
      <c r="K2144">
        <v>6.8859869837760903E-3</v>
      </c>
      <c r="L2144">
        <v>-2.2490359842776901E-3</v>
      </c>
      <c r="M2144">
        <v>1.7761348903179201E-2</v>
      </c>
      <c r="N2144">
        <v>-3.98457050323E-5</v>
      </c>
      <c r="O2144">
        <f t="shared" si="173"/>
        <v>-9.7261620685458218E-3</v>
      </c>
    </row>
    <row r="2145" spans="1:15" x14ac:dyDescent="0.35">
      <c r="A2145" t="s">
        <v>141</v>
      </c>
      <c r="B2145">
        <v>2019</v>
      </c>
      <c r="C2145">
        <v>2537946</v>
      </c>
      <c r="D2145" s="8">
        <v>0.90082752704620395</v>
      </c>
      <c r="E2145" s="8">
        <v>2.8000000000000001E-2</v>
      </c>
      <c r="F2145">
        <v>2.4196259326312002</v>
      </c>
      <c r="G2145">
        <f t="shared" si="169"/>
        <v>2.6860035467223198</v>
      </c>
      <c r="H2145">
        <f t="shared" si="171"/>
        <v>5.0791379226676314E-2</v>
      </c>
      <c r="I2145">
        <f t="shared" si="170"/>
        <v>1</v>
      </c>
      <c r="J2145" t="str">
        <f t="shared" si="172"/>
        <v/>
      </c>
      <c r="K2145">
        <v>1.7761348903179201E-2</v>
      </c>
      <c r="L2145">
        <v>-3.98457050323E-5</v>
      </c>
      <c r="M2145">
        <v>2.6527765318750999E-3</v>
      </c>
      <c r="N2145">
        <v>-1.6196413896977901E-2</v>
      </c>
      <c r="O2145">
        <f t="shared" si="173"/>
        <v>-1.0455684363842021E-2</v>
      </c>
    </row>
    <row r="2146" spans="1:15" x14ac:dyDescent="0.35">
      <c r="A2146" t="s">
        <v>141</v>
      </c>
      <c r="B2146">
        <v>2020</v>
      </c>
      <c r="C2146">
        <v>2578066</v>
      </c>
      <c r="D2146" s="8">
        <v>0.90080374479293801</v>
      </c>
      <c r="E2146" s="8">
        <v>4.3999999999999997E-2</v>
      </c>
      <c r="F2146">
        <v>2.25665350137698</v>
      </c>
      <c r="G2146">
        <f t="shared" si="169"/>
        <v>2.5051555507195435</v>
      </c>
      <c r="H2146">
        <f t="shared" si="171"/>
        <v>-6.7329768132086687E-2</v>
      </c>
      <c r="I2146">
        <f t="shared" si="170"/>
        <v>0</v>
      </c>
      <c r="J2146" t="str">
        <f t="shared" si="172"/>
        <v/>
      </c>
      <c r="K2146">
        <v>2.6527765318750999E-3</v>
      </c>
      <c r="L2146">
        <v>-1.6196413896977901E-2</v>
      </c>
      <c r="M2146">
        <v>6.7931158721447005E-2</v>
      </c>
      <c r="N2146">
        <v>2.4341545999050099E-2</v>
      </c>
      <c r="O2146">
        <f t="shared" si="173"/>
        <v>-8.177038282156001E-3</v>
      </c>
    </row>
    <row r="2147" spans="1:15" x14ac:dyDescent="0.35">
      <c r="A2147" t="s">
        <v>141</v>
      </c>
      <c r="B2147">
        <v>2021</v>
      </c>
      <c r="C2147">
        <v>2618813</v>
      </c>
      <c r="D2147" s="8">
        <v>0.93467372655868497</v>
      </c>
      <c r="E2147" s="8">
        <v>2.1000000000000001E-2</v>
      </c>
      <c r="F2147">
        <v>2.46377743010521</v>
      </c>
      <c r="G2147">
        <f t="shared" si="169"/>
        <v>2.6359759134093066</v>
      </c>
      <c r="H2147">
        <f t="shared" si="171"/>
        <v>5.2220454994177157E-2</v>
      </c>
      <c r="I2147">
        <f t="shared" si="170"/>
        <v>1</v>
      </c>
      <c r="J2147" t="str">
        <f t="shared" si="172"/>
        <v/>
      </c>
      <c r="K2147">
        <v>6.7931158721447005E-2</v>
      </c>
      <c r="L2147">
        <v>2.4341545999050099E-2</v>
      </c>
      <c r="M2147">
        <v>-5.0131883397698397E-2</v>
      </c>
      <c r="N2147">
        <v>-1.80283766239881E-2</v>
      </c>
      <c r="O2147">
        <f t="shared" si="173"/>
        <v>-1.156017743051053E-2</v>
      </c>
    </row>
    <row r="2148" spans="1:15" x14ac:dyDescent="0.35">
      <c r="A2148" t="s">
        <v>141</v>
      </c>
      <c r="B2148">
        <v>2022</v>
      </c>
      <c r="C2148">
        <v>2673615</v>
      </c>
      <c r="D2148" s="8">
        <v>0.89839661121368397</v>
      </c>
      <c r="E2148" s="8">
        <v>3.1E-2</v>
      </c>
      <c r="F2148">
        <v>2.2453890502257199</v>
      </c>
      <c r="G2148">
        <f t="shared" si="169"/>
        <v>2.4993293854841281</v>
      </c>
      <c r="H2148">
        <f t="shared" si="171"/>
        <v>-5.1839065459609368E-2</v>
      </c>
      <c r="I2148">
        <f t="shared" si="170"/>
        <v>0</v>
      </c>
      <c r="J2148" t="str">
        <f t="shared" si="172"/>
        <v/>
      </c>
      <c r="K2148">
        <v>-5.0131883397698397E-2</v>
      </c>
      <c r="L2148">
        <v>-1.7549673095345501E-2</v>
      </c>
      <c r="M2148">
        <v>-5.8266647890210202E-2</v>
      </c>
      <c r="N2148">
        <v>-3.87077201157809E-2</v>
      </c>
      <c r="O2148">
        <f t="shared" si="173"/>
        <v>-9.2829692206578534E-3</v>
      </c>
    </row>
    <row r="2149" spans="1:15" x14ac:dyDescent="0.35">
      <c r="A2149" t="s">
        <v>142</v>
      </c>
      <c r="B2149">
        <v>2006</v>
      </c>
      <c r="C2149">
        <v>2954236</v>
      </c>
      <c r="D2149" s="8">
        <v>0.95660042762756303</v>
      </c>
      <c r="E2149" s="8">
        <v>4.0000000000000001E-3</v>
      </c>
      <c r="F2149">
        <v>2.5709946020182102</v>
      </c>
      <c r="G2149">
        <f t="shared" si="169"/>
        <v>2.6876368939061206</v>
      </c>
      <c r="H2149">
        <f t="shared" si="171"/>
        <v>7.5343213869954351E-2</v>
      </c>
      <c r="I2149">
        <f t="shared" si="170"/>
        <v>1</v>
      </c>
      <c r="J2149" t="str">
        <f t="shared" si="172"/>
        <v/>
      </c>
      <c r="K2149">
        <v>2.6541528880596198E-2</v>
      </c>
      <c r="L2149">
        <v>2.0178489387035401E-2</v>
      </c>
      <c r="M2149">
        <v>-4.6092131137848002E-3</v>
      </c>
      <c r="N2149">
        <v>-3.6874571815132999E-3</v>
      </c>
      <c r="O2149" t="str">
        <f t="shared" si="173"/>
        <v/>
      </c>
    </row>
    <row r="2150" spans="1:15" x14ac:dyDescent="0.35">
      <c r="A2150" t="s">
        <v>142</v>
      </c>
      <c r="B2150">
        <v>2007</v>
      </c>
      <c r="C2150">
        <v>2987316</v>
      </c>
      <c r="D2150" s="8">
        <v>0.95731782913207997</v>
      </c>
      <c r="E2150" s="8">
        <v>5.0000000000000001E-3</v>
      </c>
      <c r="F2150">
        <v>2.5205077764933201</v>
      </c>
      <c r="G2150">
        <f t="shared" si="169"/>
        <v>2.6328850250062237</v>
      </c>
      <c r="H2150">
        <f t="shared" si="171"/>
        <v>-2.0371750746553619E-2</v>
      </c>
      <c r="I2150">
        <f t="shared" si="170"/>
        <v>0</v>
      </c>
      <c r="J2150" t="str">
        <f t="shared" si="172"/>
        <v/>
      </c>
      <c r="K2150">
        <v>-4.6092131137848002E-3</v>
      </c>
      <c r="L2150">
        <v>-3.6874571815132999E-3</v>
      </c>
      <c r="M2150">
        <v>-3.4313987765461199E-2</v>
      </c>
      <c r="N2150">
        <v>-4.8031834885478002E-3</v>
      </c>
      <c r="O2150" t="str">
        <f t="shared" si="173"/>
        <v/>
      </c>
    </row>
    <row r="2151" spans="1:15" x14ac:dyDescent="0.35">
      <c r="A2151" t="s">
        <v>142</v>
      </c>
      <c r="B2151">
        <v>2008</v>
      </c>
      <c r="C2151">
        <v>3032017</v>
      </c>
      <c r="D2151" s="8">
        <v>0.94924700260162398</v>
      </c>
      <c r="E2151" s="8">
        <v>5.0000000000000001E-3</v>
      </c>
      <c r="F2151">
        <v>2.5242352868596898</v>
      </c>
      <c r="G2151">
        <f t="shared" si="169"/>
        <v>2.6591975322981876</v>
      </c>
      <c r="H2151">
        <f t="shared" si="171"/>
        <v>9.993792756636477E-3</v>
      </c>
      <c r="I2151">
        <f t="shared" si="170"/>
        <v>1</v>
      </c>
      <c r="J2151" t="str">
        <f t="shared" si="172"/>
        <v/>
      </c>
      <c r="K2151">
        <v>-3.4313987765461199E-2</v>
      </c>
      <c r="L2151">
        <v>-4.8031834885478002E-3</v>
      </c>
      <c r="M2151">
        <v>-1.91408514082432E-2</v>
      </c>
      <c r="N2151">
        <v>7.4258502572774497E-3</v>
      </c>
      <c r="O2151" t="str">
        <f t="shared" si="173"/>
        <v/>
      </c>
    </row>
    <row r="2152" spans="1:15" x14ac:dyDescent="0.35">
      <c r="A2152" t="s">
        <v>142</v>
      </c>
      <c r="B2152">
        <v>2009</v>
      </c>
      <c r="C2152">
        <v>3071699</v>
      </c>
      <c r="D2152" s="8">
        <v>0.94239193201065097</v>
      </c>
      <c r="E2152" s="8">
        <v>7.0000000000000001E-3</v>
      </c>
      <c r="F2152">
        <v>2.5300493218511302</v>
      </c>
      <c r="G2152">
        <f t="shared" si="169"/>
        <v>2.6847102950606918</v>
      </c>
      <c r="H2152">
        <f t="shared" si="171"/>
        <v>9.5941585582230982E-3</v>
      </c>
      <c r="I2152">
        <f t="shared" si="170"/>
        <v>1</v>
      </c>
      <c r="J2152" t="str">
        <f t="shared" si="172"/>
        <v/>
      </c>
      <c r="K2152">
        <v>-1.91408514082432E-2</v>
      </c>
      <c r="L2152">
        <v>7.4258502572774497E-3</v>
      </c>
      <c r="M2152">
        <v>-1.61024443336064E-2</v>
      </c>
      <c r="N2152">
        <v>-6.6423355747247097E-3</v>
      </c>
      <c r="O2152" t="str">
        <f t="shared" si="173"/>
        <v/>
      </c>
    </row>
    <row r="2153" spans="1:15" x14ac:dyDescent="0.35">
      <c r="A2153" t="s">
        <v>142</v>
      </c>
      <c r="B2153">
        <v>2010</v>
      </c>
      <c r="C2153">
        <v>3110140</v>
      </c>
      <c r="D2153" s="8">
        <v>0.94678008556366</v>
      </c>
      <c r="E2153" s="8">
        <v>1E-3</v>
      </c>
      <c r="F2153">
        <v>2.6270354282891</v>
      </c>
      <c r="G2153">
        <f t="shared" si="169"/>
        <v>2.7747049904678867</v>
      </c>
      <c r="H2153">
        <f t="shared" si="171"/>
        <v>3.3521194287803091E-2</v>
      </c>
      <c r="I2153">
        <f t="shared" si="170"/>
        <v>1</v>
      </c>
      <c r="J2153">
        <f t="shared" si="172"/>
        <v>4</v>
      </c>
      <c r="K2153">
        <v>-1.61024443336064E-2</v>
      </c>
      <c r="L2153">
        <v>-6.6423355747247097E-3</v>
      </c>
      <c r="M2153">
        <v>-1.7980672761797899E-2</v>
      </c>
      <c r="N2153">
        <v>3.3031017519533998E-3</v>
      </c>
      <c r="O2153">
        <f t="shared" si="173"/>
        <v>1.4210782852023837E-2</v>
      </c>
    </row>
    <row r="2154" spans="1:15" x14ac:dyDescent="0.35">
      <c r="A2154" t="s">
        <v>142</v>
      </c>
      <c r="B2154">
        <v>2011</v>
      </c>
      <c r="C2154">
        <v>3141207</v>
      </c>
      <c r="D2154" s="8">
        <v>0.94855737686157204</v>
      </c>
      <c r="E2154" s="8">
        <v>8.9999999999999993E-3</v>
      </c>
      <c r="F2154">
        <v>2.6066101887466102</v>
      </c>
      <c r="G2154">
        <f t="shared" si="169"/>
        <v>2.7479731351317156</v>
      </c>
      <c r="H2154">
        <f t="shared" si="171"/>
        <v>-9.6341252234037889E-3</v>
      </c>
      <c r="I2154">
        <f t="shared" si="170"/>
        <v>0</v>
      </c>
      <c r="J2154">
        <f t="shared" si="172"/>
        <v>3</v>
      </c>
      <c r="K2154">
        <v>-1.7980672761797899E-2</v>
      </c>
      <c r="L2154">
        <v>3.3031017519533998E-3</v>
      </c>
      <c r="M2154">
        <v>3.85158294439319E-3</v>
      </c>
      <c r="N2154">
        <v>9.2897890135645901E-3</v>
      </c>
      <c r="O2154">
        <f t="shared" si="173"/>
        <v>1.6342744417488557E-2</v>
      </c>
    </row>
    <row r="2155" spans="1:15" x14ac:dyDescent="0.35">
      <c r="A2155" t="s">
        <v>142</v>
      </c>
      <c r="B2155">
        <v>2012</v>
      </c>
      <c r="C2155">
        <v>3175385</v>
      </c>
      <c r="D2155" s="8">
        <v>0.953271925449371</v>
      </c>
      <c r="E2155" s="8">
        <v>6.0000000000000001E-3</v>
      </c>
      <c r="F2155">
        <v>2.6093416700234302</v>
      </c>
      <c r="G2155">
        <f t="shared" si="169"/>
        <v>2.7372479985638836</v>
      </c>
      <c r="H2155">
        <f t="shared" si="171"/>
        <v>-3.9029262807250831E-3</v>
      </c>
      <c r="I2155">
        <f t="shared" si="170"/>
        <v>0</v>
      </c>
      <c r="J2155">
        <f t="shared" si="172"/>
        <v>3</v>
      </c>
      <c r="K2155">
        <v>3.85158294439319E-3</v>
      </c>
      <c r="L2155">
        <v>9.2041902244090999E-3</v>
      </c>
      <c r="M2155">
        <v>1.8423077315092101E-2</v>
      </c>
      <c r="N2155">
        <v>1.2296305969357499E-2</v>
      </c>
      <c r="O2155">
        <f t="shared" si="173"/>
        <v>1.691850759088992E-2</v>
      </c>
    </row>
    <row r="2156" spans="1:15" x14ac:dyDescent="0.35">
      <c r="A2156" t="s">
        <v>142</v>
      </c>
      <c r="B2156">
        <v>2013</v>
      </c>
      <c r="C2156">
        <v>3207751</v>
      </c>
      <c r="D2156" s="8">
        <v>0.956853687763214</v>
      </c>
      <c r="E2156" s="8">
        <v>5.0000000000000001E-3</v>
      </c>
      <c r="F2156">
        <v>2.6369455133905402</v>
      </c>
      <c r="G2156">
        <f t="shared" si="169"/>
        <v>2.7558502905023938</v>
      </c>
      <c r="H2156">
        <f t="shared" si="171"/>
        <v>6.7959833921771295E-3</v>
      </c>
      <c r="I2156">
        <f t="shared" si="170"/>
        <v>1</v>
      </c>
      <c r="J2156">
        <f t="shared" si="172"/>
        <v>3</v>
      </c>
      <c r="K2156">
        <v>1.8423077315092101E-2</v>
      </c>
      <c r="L2156">
        <v>1.2296305969357499E-2</v>
      </c>
      <c r="M2156">
        <v>1.8212753176689099E-2</v>
      </c>
      <c r="N2156">
        <v>1.6204729676246501E-2</v>
      </c>
      <c r="O2156">
        <f t="shared" si="173"/>
        <v>1.5261609107255922E-2</v>
      </c>
    </row>
    <row r="2157" spans="1:15" x14ac:dyDescent="0.35">
      <c r="A2157" t="s">
        <v>142</v>
      </c>
      <c r="B2157">
        <v>2014</v>
      </c>
      <c r="C2157">
        <v>3241310</v>
      </c>
      <c r="D2157" s="8">
        <v>0.95138400793075595</v>
      </c>
      <c r="E2157" s="8">
        <v>1.6E-2</v>
      </c>
      <c r="F2157">
        <v>2.6432528230626899</v>
      </c>
      <c r="G2157">
        <f t="shared" si="169"/>
        <v>2.7783237904237215</v>
      </c>
      <c r="H2157">
        <f t="shared" si="171"/>
        <v>8.1548333734886569E-3</v>
      </c>
      <c r="I2157">
        <f t="shared" si="170"/>
        <v>1</v>
      </c>
      <c r="J2157">
        <f t="shared" si="172"/>
        <v>3</v>
      </c>
      <c r="K2157">
        <v>1.8212753176689099E-2</v>
      </c>
      <c r="L2157">
        <v>1.6204729676246501E-2</v>
      </c>
      <c r="M2157">
        <v>6.0223439872264799E-2</v>
      </c>
      <c r="N2157">
        <v>2.9959987848997199E-2</v>
      </c>
      <c r="O2157">
        <f t="shared" si="173"/>
        <v>1.2131752818822878E-2</v>
      </c>
    </row>
    <row r="2158" spans="1:15" x14ac:dyDescent="0.35">
      <c r="A2158" t="s">
        <v>142</v>
      </c>
      <c r="B2158">
        <v>2015</v>
      </c>
      <c r="C2158">
        <v>3267324</v>
      </c>
      <c r="D2158" s="8">
        <v>0.95495855808258101</v>
      </c>
      <c r="E2158" s="8">
        <v>1.4999999999999999E-2</v>
      </c>
      <c r="F2158">
        <v>2.6620300195421098</v>
      </c>
      <c r="G2158">
        <f t="shared" si="169"/>
        <v>2.7875869554874528</v>
      </c>
      <c r="H2158">
        <f t="shared" si="171"/>
        <v>3.3340840602018584E-3</v>
      </c>
      <c r="I2158">
        <f t="shared" si="170"/>
        <v>1</v>
      </c>
      <c r="J2158">
        <f t="shared" si="172"/>
        <v>3</v>
      </c>
      <c r="K2158">
        <v>6.0223439872264799E-2</v>
      </c>
      <c r="L2158">
        <v>2.9959987848997199E-2</v>
      </c>
      <c r="M2158">
        <v>2.7116466581821399E-2</v>
      </c>
      <c r="N2158">
        <v>1.3962909579277E-2</v>
      </c>
      <c r="O2158">
        <f t="shared" si="173"/>
        <v>4.5774389058351583E-3</v>
      </c>
    </row>
    <row r="2159" spans="1:15" x14ac:dyDescent="0.35">
      <c r="A2159" t="s">
        <v>142</v>
      </c>
      <c r="B2159">
        <v>2016</v>
      </c>
      <c r="C2159">
        <v>3285825</v>
      </c>
      <c r="D2159" s="8">
        <v>0.95578020811080899</v>
      </c>
      <c r="E2159" s="8">
        <v>7.0000000000000001E-3</v>
      </c>
      <c r="F2159">
        <v>2.6598846517514998</v>
      </c>
      <c r="G2159">
        <f t="shared" si="169"/>
        <v>2.7829459421523453</v>
      </c>
      <c r="H2159">
        <f t="shared" si="171"/>
        <v>-1.6648855835588172E-3</v>
      </c>
      <c r="I2159">
        <f t="shared" si="170"/>
        <v>0</v>
      </c>
      <c r="J2159">
        <f t="shared" si="172"/>
        <v>3</v>
      </c>
      <c r="K2159">
        <v>2.7116466581821399E-2</v>
      </c>
      <c r="L2159">
        <v>1.3962909579277E-2</v>
      </c>
      <c r="M2159">
        <v>1.4958178341388699E-2</v>
      </c>
      <c r="N2159">
        <v>1.21686048805714E-2</v>
      </c>
      <c r="O2159">
        <f t="shared" si="173"/>
        <v>7.6668117195367591E-3</v>
      </c>
    </row>
    <row r="2160" spans="1:15" x14ac:dyDescent="0.35">
      <c r="A2160" t="s">
        <v>142</v>
      </c>
      <c r="B2160">
        <v>2017</v>
      </c>
      <c r="C2160">
        <v>3295678</v>
      </c>
      <c r="D2160" s="8">
        <v>0.95273679494857799</v>
      </c>
      <c r="E2160" s="8">
        <v>1.2999999999999999E-2</v>
      </c>
      <c r="F2160">
        <v>2.6265990510150901</v>
      </c>
      <c r="G2160">
        <f t="shared" si="169"/>
        <v>2.7568989304720359</v>
      </c>
      <c r="H2160">
        <f t="shared" si="171"/>
        <v>-9.3595104690263886E-3</v>
      </c>
      <c r="I2160">
        <f t="shared" si="170"/>
        <v>0</v>
      </c>
      <c r="J2160">
        <f t="shared" si="172"/>
        <v>3</v>
      </c>
      <c r="K2160">
        <v>1.4958178341388699E-2</v>
      </c>
      <c r="L2160">
        <v>1.21686048805714E-2</v>
      </c>
      <c r="M2160">
        <v>1.3146836519241201E-2</v>
      </c>
      <c r="N2160">
        <v>4.0118135511874996E-3</v>
      </c>
      <c r="O2160">
        <f t="shared" si="173"/>
        <v>6.7759435623883993E-3</v>
      </c>
    </row>
    <row r="2161" spans="1:15" x14ac:dyDescent="0.35">
      <c r="A2161" t="s">
        <v>142</v>
      </c>
      <c r="B2161">
        <v>2018</v>
      </c>
      <c r="C2161">
        <v>3301613</v>
      </c>
      <c r="D2161" s="8">
        <v>0.94873106479644798</v>
      </c>
      <c r="E2161" s="8">
        <v>1.9E-2</v>
      </c>
      <c r="F2161">
        <v>2.5964754243231001</v>
      </c>
      <c r="G2161">
        <f t="shared" si="169"/>
        <v>2.7367876110182801</v>
      </c>
      <c r="H2161">
        <f t="shared" si="171"/>
        <v>-7.2949063280721704E-3</v>
      </c>
      <c r="I2161">
        <f t="shared" si="170"/>
        <v>0</v>
      </c>
      <c r="J2161">
        <f t="shared" si="172"/>
        <v>2</v>
      </c>
      <c r="K2161">
        <v>1.3146836519241201E-2</v>
      </c>
      <c r="L2161">
        <v>4.0118135511874996E-3</v>
      </c>
      <c r="M2161">
        <v>1.8356642842292801E-2</v>
      </c>
      <c r="N2161">
        <v>5.5544823408129596E-4</v>
      </c>
      <c r="O2161">
        <f t="shared" si="173"/>
        <v>4.5410875231027409E-3</v>
      </c>
    </row>
    <row r="2162" spans="1:15" x14ac:dyDescent="0.35">
      <c r="A2162" t="s">
        <v>142</v>
      </c>
      <c r="B2162">
        <v>2019</v>
      </c>
      <c r="C2162">
        <v>3298256</v>
      </c>
      <c r="D2162" s="8">
        <v>0.94722098112106301</v>
      </c>
      <c r="E2162" s="8">
        <v>1.6E-2</v>
      </c>
      <c r="F2162">
        <v>2.5603618913175201</v>
      </c>
      <c r="G2162">
        <f t="shared" si="169"/>
        <v>2.703024893185177</v>
      </c>
      <c r="H2162">
        <f t="shared" si="171"/>
        <v>-1.2336623308719541E-2</v>
      </c>
      <c r="I2162">
        <f t="shared" si="170"/>
        <v>0</v>
      </c>
      <c r="J2162" t="str">
        <f t="shared" si="172"/>
        <v/>
      </c>
      <c r="K2162">
        <v>1.8356642842292801E-2</v>
      </c>
      <c r="L2162">
        <v>5.5544823408129596E-4</v>
      </c>
      <c r="M2162">
        <v>1.10376087129115E-2</v>
      </c>
      <c r="N2162">
        <v>-7.8115817159413996E-3</v>
      </c>
      <c r="O2162">
        <f t="shared" si="173"/>
        <v>1.2434961088001701E-2</v>
      </c>
    </row>
    <row r="2163" spans="1:15" x14ac:dyDescent="0.35">
      <c r="A2163" t="s">
        <v>142</v>
      </c>
      <c r="B2163">
        <v>2020</v>
      </c>
      <c r="C2163">
        <v>3294344</v>
      </c>
      <c r="D2163" s="8">
        <v>0.95912164449691795</v>
      </c>
      <c r="E2163" s="8">
        <v>8.9999999999999993E-3</v>
      </c>
      <c r="F2163">
        <v>2.49896827052169</v>
      </c>
      <c r="G2163">
        <f t="shared" si="169"/>
        <v>2.6054758380856455</v>
      </c>
      <c r="H2163">
        <f t="shared" si="171"/>
        <v>-3.6088848217961544E-2</v>
      </c>
      <c r="I2163">
        <f t="shared" si="170"/>
        <v>0</v>
      </c>
      <c r="J2163" t="str">
        <f t="shared" si="172"/>
        <v/>
      </c>
      <c r="K2163">
        <v>1.10376087129115E-2</v>
      </c>
      <c r="L2163">
        <v>-7.8115817159413996E-3</v>
      </c>
      <c r="M2163">
        <v>7.2999386370181996E-2</v>
      </c>
      <c r="N2163">
        <v>2.9409773647784999E-2</v>
      </c>
      <c r="O2163">
        <f t="shared" si="173"/>
        <v>1.8885089922696323E-2</v>
      </c>
    </row>
    <row r="2164" spans="1:15" x14ac:dyDescent="0.35">
      <c r="A2164" t="s">
        <v>142</v>
      </c>
      <c r="B2164">
        <v>2021</v>
      </c>
      <c r="C2164">
        <v>3275894</v>
      </c>
      <c r="D2164" s="8">
        <v>0.97312414646148704</v>
      </c>
      <c r="E2164" s="8">
        <v>1.7999999999999999E-2</v>
      </c>
      <c r="F2164">
        <v>2.5077233935075598</v>
      </c>
      <c r="G2164">
        <f t="shared" si="169"/>
        <v>2.576981983877642</v>
      </c>
      <c r="H2164">
        <f t="shared" si="171"/>
        <v>-1.0936142178520125E-2</v>
      </c>
      <c r="I2164">
        <f t="shared" si="170"/>
        <v>0</v>
      </c>
      <c r="J2164" t="str">
        <f t="shared" si="172"/>
        <v/>
      </c>
      <c r="K2164">
        <v>7.2999386370181996E-2</v>
      </c>
      <c r="L2164">
        <v>2.9409773647784999E-2</v>
      </c>
      <c r="M2164">
        <v>-2.43892426788807E-2</v>
      </c>
      <c r="N2164">
        <v>7.7142640948296001E-3</v>
      </c>
      <c r="O2164">
        <f t="shared" si="173"/>
        <v>5.8444150723517023E-3</v>
      </c>
    </row>
    <row r="2165" spans="1:15" x14ac:dyDescent="0.35">
      <c r="A2165" t="s">
        <v>142</v>
      </c>
      <c r="B2165">
        <v>2022</v>
      </c>
      <c r="C2165">
        <v>3283695</v>
      </c>
      <c r="D2165" s="8">
        <v>0.96039777994155895</v>
      </c>
      <c r="E2165" s="8">
        <v>1.4999999999999999E-2</v>
      </c>
      <c r="F2165">
        <v>2.4847965247048198</v>
      </c>
      <c r="G2165">
        <f t="shared" si="169"/>
        <v>2.5872576723948923</v>
      </c>
      <c r="H2165">
        <f t="shared" si="171"/>
        <v>3.9874894669571503E-3</v>
      </c>
      <c r="I2165">
        <f t="shared" si="170"/>
        <v>1</v>
      </c>
      <c r="J2165" t="str">
        <f t="shared" si="172"/>
        <v/>
      </c>
      <c r="K2165">
        <v>-2.43892426788807E-2</v>
      </c>
      <c r="L2165">
        <v>8.1929676234721999E-3</v>
      </c>
      <c r="M2165">
        <v>-2.67213944196701E-2</v>
      </c>
      <c r="N2165">
        <v>-7.1624666452407898E-3</v>
      </c>
      <c r="O2165">
        <f t="shared" si="173"/>
        <v>1.1713712243363242E-2</v>
      </c>
    </row>
    <row r="2166" spans="1:15" x14ac:dyDescent="0.35">
      <c r="A2166" t="s">
        <v>143</v>
      </c>
      <c r="B2166">
        <v>2006</v>
      </c>
      <c r="C2166">
        <v>1462168</v>
      </c>
      <c r="D2166" s="8">
        <v>0.95921403169632002</v>
      </c>
      <c r="E2166" s="8">
        <v>1E-3</v>
      </c>
      <c r="F2166">
        <v>2.2011346222816299</v>
      </c>
      <c r="G2166">
        <f t="shared" si="169"/>
        <v>2.2947272970861761</v>
      </c>
      <c r="H2166">
        <f t="shared" si="171"/>
        <v>-0.11306580648302256</v>
      </c>
      <c r="I2166">
        <f t="shared" si="170"/>
        <v>0</v>
      </c>
      <c r="J2166" t="str">
        <f t="shared" si="172"/>
        <v/>
      </c>
      <c r="K2166">
        <v>4.7101592302322401E-2</v>
      </c>
      <c r="L2166">
        <v>4.0738552808761597E-2</v>
      </c>
      <c r="M2166">
        <v>3.9103060126304601E-2</v>
      </c>
      <c r="N2166">
        <v>4.00248160585761E-2</v>
      </c>
      <c r="O2166" t="str">
        <f t="shared" si="173"/>
        <v/>
      </c>
    </row>
    <row r="2167" spans="1:15" x14ac:dyDescent="0.35">
      <c r="A2167" t="s">
        <v>143</v>
      </c>
      <c r="B2167">
        <v>2007</v>
      </c>
      <c r="C2167">
        <v>1478127</v>
      </c>
      <c r="D2167" s="8">
        <v>0.95859658718109098</v>
      </c>
      <c r="E2167" s="8">
        <v>5.0000000000000001E-3</v>
      </c>
      <c r="F2167">
        <v>2.2142124573430899</v>
      </c>
      <c r="G2167">
        <f t="shared" si="169"/>
        <v>2.3098480496935019</v>
      </c>
      <c r="H2167">
        <f t="shared" si="171"/>
        <v>6.589346205331692E-3</v>
      </c>
      <c r="I2167">
        <f t="shared" si="170"/>
        <v>1</v>
      </c>
      <c r="J2167" t="str">
        <f t="shared" si="172"/>
        <v/>
      </c>
      <c r="K2167">
        <v>3.9103060126304601E-2</v>
      </c>
      <c r="L2167">
        <v>4.00248160585761E-2</v>
      </c>
      <c r="M2167">
        <v>-5.0717418193816904E-3</v>
      </c>
      <c r="N2167">
        <v>2.4439062457531701E-2</v>
      </c>
      <c r="O2167" t="str">
        <f t="shared" si="173"/>
        <v/>
      </c>
    </row>
    <row r="2168" spans="1:15" x14ac:dyDescent="0.35">
      <c r="A2168" t="s">
        <v>143</v>
      </c>
      <c r="B2168">
        <v>2008</v>
      </c>
      <c r="C2168">
        <v>1500185</v>
      </c>
      <c r="D2168" s="8">
        <v>0.95529776811599698</v>
      </c>
      <c r="E2168" s="8">
        <v>4.0000000000000001E-3</v>
      </c>
      <c r="F2168">
        <v>2.1978286342378901</v>
      </c>
      <c r="G2168">
        <f t="shared" si="169"/>
        <v>2.3006738920497707</v>
      </c>
      <c r="H2168">
        <f t="shared" si="171"/>
        <v>-3.971758075146381E-3</v>
      </c>
      <c r="I2168">
        <f t="shared" si="170"/>
        <v>0</v>
      </c>
      <c r="J2168" t="str">
        <f t="shared" si="172"/>
        <v/>
      </c>
      <c r="K2168">
        <v>-5.0717418193816904E-3</v>
      </c>
      <c r="L2168">
        <v>2.4439062457531701E-2</v>
      </c>
      <c r="M2168">
        <v>-6.2360302269458698E-2</v>
      </c>
      <c r="N2168">
        <v>-3.5793600603938103E-2</v>
      </c>
      <c r="O2168" t="str">
        <f t="shared" si="173"/>
        <v/>
      </c>
    </row>
    <row r="2169" spans="1:15" x14ac:dyDescent="0.35">
      <c r="A2169" t="s">
        <v>143</v>
      </c>
      <c r="B2169">
        <v>2009</v>
      </c>
      <c r="C2169">
        <v>1518167</v>
      </c>
      <c r="D2169" s="8">
        <v>0.94727063179016102</v>
      </c>
      <c r="E2169" s="8">
        <v>6.0000000000000001E-3</v>
      </c>
      <c r="F2169">
        <v>2.3032017710877701</v>
      </c>
      <c r="G2169">
        <f t="shared" si="169"/>
        <v>2.4314083998731784</v>
      </c>
      <c r="H2169">
        <f t="shared" si="171"/>
        <v>5.6824440993212821E-2</v>
      </c>
      <c r="I2169">
        <f t="shared" si="170"/>
        <v>1</v>
      </c>
      <c r="J2169" t="str">
        <f t="shared" si="172"/>
        <v/>
      </c>
      <c r="K2169">
        <v>-6.2360302269458698E-2</v>
      </c>
      <c r="L2169">
        <v>-3.5793600603938103E-2</v>
      </c>
      <c r="M2169">
        <v>2.76006411910057E-2</v>
      </c>
      <c r="N2169">
        <v>3.7060749949887298E-2</v>
      </c>
      <c r="O2169" t="str">
        <f t="shared" si="173"/>
        <v/>
      </c>
    </row>
    <row r="2170" spans="1:15" x14ac:dyDescent="0.35">
      <c r="A2170" t="s">
        <v>143</v>
      </c>
      <c r="B2170">
        <v>2010</v>
      </c>
      <c r="C2170">
        <v>1530700</v>
      </c>
      <c r="D2170" s="8">
        <v>0.94994378089904796</v>
      </c>
      <c r="E2170" s="8">
        <v>3.0000000000000001E-3</v>
      </c>
      <c r="F2170">
        <v>2.34998426002169</v>
      </c>
      <c r="G2170">
        <f t="shared" si="169"/>
        <v>2.4738140374976849</v>
      </c>
      <c r="H2170">
        <f t="shared" si="171"/>
        <v>1.7440771211746364E-2</v>
      </c>
      <c r="I2170">
        <f t="shared" si="170"/>
        <v>1</v>
      </c>
      <c r="J2170">
        <f t="shared" si="172"/>
        <v>3</v>
      </c>
      <c r="K2170">
        <v>2.76006411910057E-2</v>
      </c>
      <c r="L2170">
        <v>3.7060749949887298E-2</v>
      </c>
      <c r="M2170">
        <v>1.1959910690783899E-3</v>
      </c>
      <c r="N2170">
        <v>2.2479765582829599E-2</v>
      </c>
      <c r="O2170">
        <f t="shared" si="173"/>
        <v>2.501860288903112E-2</v>
      </c>
    </row>
    <row r="2171" spans="1:15" x14ac:dyDescent="0.35">
      <c r="A2171" t="s">
        <v>143</v>
      </c>
      <c r="B2171">
        <v>2011</v>
      </c>
      <c r="C2171">
        <v>1551642</v>
      </c>
      <c r="D2171" s="8">
        <v>0.95361822843551602</v>
      </c>
      <c r="E2171" s="8">
        <v>0</v>
      </c>
      <c r="F2171">
        <v>2.3557492287497999</v>
      </c>
      <c r="G2171">
        <f t="shared" si="169"/>
        <v>2.4703273894151412</v>
      </c>
      <c r="H2171">
        <f t="shared" si="171"/>
        <v>-1.4094220623270814E-3</v>
      </c>
      <c r="I2171">
        <f t="shared" si="170"/>
        <v>0</v>
      </c>
      <c r="J2171">
        <f t="shared" si="172"/>
        <v>3</v>
      </c>
      <c r="K2171">
        <v>1.1959910690783899E-3</v>
      </c>
      <c r="L2171">
        <v>2.2479765582829599E-2</v>
      </c>
      <c r="M2171">
        <v>2.17010282874107E-2</v>
      </c>
      <c r="N2171">
        <v>2.7139234356582099E-2</v>
      </c>
      <c r="O2171">
        <f t="shared" si="173"/>
        <v>1.5573303517885478E-2</v>
      </c>
    </row>
    <row r="2172" spans="1:15" x14ac:dyDescent="0.35">
      <c r="A2172" t="s">
        <v>143</v>
      </c>
      <c r="B2172">
        <v>2012</v>
      </c>
      <c r="C2172">
        <v>1575622</v>
      </c>
      <c r="D2172" s="8">
        <v>0.95122146606445301</v>
      </c>
      <c r="E2172" s="8">
        <v>1E-3</v>
      </c>
      <c r="F2172">
        <v>2.3489526241298</v>
      </c>
      <c r="G2172">
        <f t="shared" si="169"/>
        <v>2.4694066607309293</v>
      </c>
      <c r="H2172">
        <f t="shared" si="171"/>
        <v>-3.7271524744331153E-4</v>
      </c>
      <c r="I2172">
        <f t="shared" si="170"/>
        <v>0</v>
      </c>
      <c r="J2172">
        <f t="shared" si="172"/>
        <v>2</v>
      </c>
      <c r="K2172">
        <v>2.17010282874107E-2</v>
      </c>
      <c r="L2172">
        <v>2.7053635567426602E-2</v>
      </c>
      <c r="M2172">
        <v>2.60491414368152E-2</v>
      </c>
      <c r="N2172">
        <v>1.99223700910806E-2</v>
      </c>
      <c r="O2172">
        <f t="shared" si="173"/>
        <v>8.3133445354178406E-3</v>
      </c>
    </row>
    <row r="2173" spans="1:15" x14ac:dyDescent="0.35">
      <c r="A2173" t="s">
        <v>143</v>
      </c>
      <c r="B2173">
        <v>2013</v>
      </c>
      <c r="C2173">
        <v>1596186</v>
      </c>
      <c r="D2173" s="8">
        <v>0.95088130235671997</v>
      </c>
      <c r="E2173" s="8">
        <v>1.7000000000000001E-2</v>
      </c>
      <c r="F2173">
        <v>2.3617566744208101</v>
      </c>
      <c r="G2173">
        <f t="shared" si="169"/>
        <v>2.4837555103537041</v>
      </c>
      <c r="H2173">
        <f t="shared" si="171"/>
        <v>5.8106466832512638E-3</v>
      </c>
      <c r="I2173">
        <f t="shared" si="170"/>
        <v>1</v>
      </c>
      <c r="J2173">
        <f t="shared" si="172"/>
        <v>3</v>
      </c>
      <c r="K2173">
        <v>2.60491414368152E-2</v>
      </c>
      <c r="L2173">
        <v>1.99223700910806E-2</v>
      </c>
      <c r="M2173">
        <v>2.8909887015819501E-2</v>
      </c>
      <c r="N2173">
        <v>2.6901863515377E-2</v>
      </c>
      <c r="O2173">
        <f t="shared" si="173"/>
        <v>4.7629651846364217E-3</v>
      </c>
    </row>
    <row r="2174" spans="1:15" x14ac:dyDescent="0.35">
      <c r="A2174" t="s">
        <v>143</v>
      </c>
      <c r="B2174">
        <v>2014</v>
      </c>
      <c r="C2174">
        <v>1616925</v>
      </c>
      <c r="D2174" s="8">
        <v>0.95164978504180897</v>
      </c>
      <c r="E2174" s="8">
        <v>1.7000000000000001E-2</v>
      </c>
      <c r="F2174">
        <v>2.4130522444220102</v>
      </c>
      <c r="G2174">
        <f t="shared" si="169"/>
        <v>2.5356515415132441</v>
      </c>
      <c r="H2174">
        <f t="shared" si="171"/>
        <v>2.0894178570800559E-2</v>
      </c>
      <c r="I2174">
        <f t="shared" si="170"/>
        <v>1</v>
      </c>
      <c r="J2174">
        <f t="shared" si="172"/>
        <v>3</v>
      </c>
      <c r="K2174">
        <v>2.8909887015819501E-2</v>
      </c>
      <c r="L2174">
        <v>2.6901863515377E-2</v>
      </c>
      <c r="M2174">
        <v>5.8913232922554001E-2</v>
      </c>
      <c r="N2174">
        <v>2.8649780899286301E-2</v>
      </c>
      <c r="O2174">
        <f t="shared" si="173"/>
        <v>-5.2929608849808379E-3</v>
      </c>
    </row>
    <row r="2175" spans="1:15" x14ac:dyDescent="0.35">
      <c r="A2175" t="s">
        <v>143</v>
      </c>
      <c r="B2175">
        <v>2015</v>
      </c>
      <c r="C2175">
        <v>1635283</v>
      </c>
      <c r="D2175" s="8">
        <v>0.94863784313201904</v>
      </c>
      <c r="E2175" s="8">
        <v>1.4999999999999999E-2</v>
      </c>
      <c r="F2175">
        <v>2.4303402961730498</v>
      </c>
      <c r="G2175">
        <f t="shared" si="169"/>
        <v>2.5619263597465687</v>
      </c>
      <c r="H2175">
        <f t="shared" si="171"/>
        <v>1.0362156551544155E-2</v>
      </c>
      <c r="I2175">
        <f t="shared" si="170"/>
        <v>1</v>
      </c>
      <c r="J2175">
        <f t="shared" si="172"/>
        <v>3</v>
      </c>
      <c r="K2175">
        <v>5.8913232922554001E-2</v>
      </c>
      <c r="L2175">
        <v>2.8649780899286301E-2</v>
      </c>
      <c r="M2175">
        <v>-1.15931742703542E-2</v>
      </c>
      <c r="N2175">
        <v>-2.4746731272898601E-2</v>
      </c>
      <c r="O2175">
        <f t="shared" si="173"/>
        <v>-3.4634117293171493E-2</v>
      </c>
    </row>
    <row r="2176" spans="1:15" x14ac:dyDescent="0.35">
      <c r="A2176" t="s">
        <v>143</v>
      </c>
      <c r="B2176">
        <v>2016</v>
      </c>
      <c r="C2176">
        <v>1645736</v>
      </c>
      <c r="D2176" s="8">
        <v>0.948563992977142</v>
      </c>
      <c r="E2176" s="8">
        <v>2.1000000000000001E-2</v>
      </c>
      <c r="F2176">
        <v>2.4425274564544099</v>
      </c>
      <c r="G2176">
        <f t="shared" si="169"/>
        <v>2.5749738283743486</v>
      </c>
      <c r="H2176">
        <f t="shared" si="171"/>
        <v>5.0928351543526595E-3</v>
      </c>
      <c r="I2176">
        <f t="shared" si="170"/>
        <v>1</v>
      </c>
      <c r="J2176">
        <f t="shared" si="172"/>
        <v>4</v>
      </c>
      <c r="K2176">
        <v>-1.15931742703542E-2</v>
      </c>
      <c r="L2176">
        <v>-2.4746731272898601E-2</v>
      </c>
      <c r="M2176">
        <v>-6.3709870949387997E-3</v>
      </c>
      <c r="N2176">
        <v>-9.1605605557560903E-3</v>
      </c>
      <c r="O2176">
        <f t="shared" si="173"/>
        <v>-3.4451788105070519E-2</v>
      </c>
    </row>
    <row r="2177" spans="1:15" x14ac:dyDescent="0.35">
      <c r="A2177" t="s">
        <v>143</v>
      </c>
      <c r="B2177">
        <v>2017</v>
      </c>
      <c r="C2177">
        <v>1652028</v>
      </c>
      <c r="D2177" s="8">
        <v>0.946111440658569</v>
      </c>
      <c r="E2177" s="8">
        <v>2.3E-2</v>
      </c>
      <c r="F2177">
        <v>2.40993600666439</v>
      </c>
      <c r="G2177">
        <f t="shared" si="169"/>
        <v>2.5472009988452124</v>
      </c>
      <c r="H2177">
        <f t="shared" si="171"/>
        <v>-1.0785674488454911E-2</v>
      </c>
      <c r="I2177">
        <f t="shared" si="170"/>
        <v>0</v>
      </c>
      <c r="J2177">
        <f t="shared" si="172"/>
        <v>4</v>
      </c>
      <c r="K2177">
        <v>-6.3709870949387997E-3</v>
      </c>
      <c r="L2177">
        <v>-9.1605605557560903E-3</v>
      </c>
      <c r="M2177">
        <v>1.13054963052273E-2</v>
      </c>
      <c r="N2177">
        <v>2.1704733371735001E-3</v>
      </c>
      <c r="O2177">
        <f t="shared" si="173"/>
        <v>-3.890535384416572E-2</v>
      </c>
    </row>
    <row r="2178" spans="1:15" x14ac:dyDescent="0.35">
      <c r="A2178" t="s">
        <v>143</v>
      </c>
      <c r="B2178">
        <v>2018</v>
      </c>
      <c r="C2178">
        <v>1653055</v>
      </c>
      <c r="D2178" s="8">
        <v>0.94857835769653298</v>
      </c>
      <c r="E2178" s="8">
        <v>1.4E-2</v>
      </c>
      <c r="F2178">
        <v>2.3803914823441601</v>
      </c>
      <c r="G2178">
        <f t="shared" si="169"/>
        <v>2.5094305209793637</v>
      </c>
      <c r="H2178">
        <f t="shared" si="171"/>
        <v>-1.4828228272119937E-2</v>
      </c>
      <c r="I2178">
        <f t="shared" si="170"/>
        <v>0</v>
      </c>
      <c r="J2178">
        <f t="shared" si="172"/>
        <v>3</v>
      </c>
      <c r="K2178">
        <v>1.13054963052273E-2</v>
      </c>
      <c r="L2178">
        <v>2.1704733371735001E-3</v>
      </c>
      <c r="M2178">
        <v>-5.5765722244977903E-3</v>
      </c>
      <c r="N2178">
        <v>-2.3377766832709299E-2</v>
      </c>
      <c r="O2178">
        <f t="shared" si="173"/>
        <v>-4.4290937390178357E-2</v>
      </c>
    </row>
    <row r="2179" spans="1:15" x14ac:dyDescent="0.35">
      <c r="A2179" t="s">
        <v>143</v>
      </c>
      <c r="B2179">
        <v>2019</v>
      </c>
      <c r="C2179">
        <v>1646510</v>
      </c>
      <c r="D2179" s="8">
        <v>0.94157564640045199</v>
      </c>
      <c r="E2179" s="8">
        <v>1.2999999999999999E-2</v>
      </c>
      <c r="F2179">
        <v>2.3713907264698699</v>
      </c>
      <c r="G2179">
        <f t="shared" ref="G2179:G2242" si="174">F2179/D2179</f>
        <v>2.5185344752017067</v>
      </c>
      <c r="H2179">
        <f t="shared" si="171"/>
        <v>3.6278965072880087E-3</v>
      </c>
      <c r="I2179">
        <f t="shared" ref="I2179:I2242" si="175">IF(H2179&gt;0,1,0)</f>
        <v>1</v>
      </c>
      <c r="J2179" t="str">
        <f t="shared" si="172"/>
        <v/>
      </c>
      <c r="K2179">
        <v>-5.5765722244977903E-3</v>
      </c>
      <c r="L2179">
        <v>-2.3377766832709299E-2</v>
      </c>
      <c r="M2179">
        <v>-9.92068107128143E-2</v>
      </c>
      <c r="N2179">
        <v>-0.11805600114166701</v>
      </c>
      <c r="O2179">
        <f t="shared" si="173"/>
        <v>-2.9705346096306963E-2</v>
      </c>
    </row>
    <row r="2180" spans="1:15" x14ac:dyDescent="0.35">
      <c r="A2180" t="s">
        <v>143</v>
      </c>
      <c r="B2180">
        <v>2020</v>
      </c>
      <c r="C2180">
        <v>1616821</v>
      </c>
      <c r="D2180" s="8">
        <v>0.89295399188995395</v>
      </c>
      <c r="E2180" s="8">
        <v>1.6E-2</v>
      </c>
      <c r="F2180">
        <v>2.32557001846186</v>
      </c>
      <c r="G2180">
        <f t="shared" si="174"/>
        <v>2.604355923802689</v>
      </c>
      <c r="H2180">
        <f t="shared" ref="H2180:H2243" si="176">+G2180/G2179-1</f>
        <v>3.407594751868892E-2</v>
      </c>
      <c r="I2180">
        <f t="shared" si="175"/>
        <v>1</v>
      </c>
      <c r="J2180" t="str">
        <f t="shared" si="172"/>
        <v/>
      </c>
      <c r="K2180">
        <v>-9.92068107128143E-2</v>
      </c>
      <c r="L2180">
        <v>-0.11805600114166701</v>
      </c>
      <c r="M2180">
        <v>1.9754527390003201E-2</v>
      </c>
      <c r="N2180">
        <v>-2.3835085332393698E-2</v>
      </c>
      <c r="O2180">
        <f t="shared" si="173"/>
        <v>-5.9044431895017551E-3</v>
      </c>
    </row>
    <row r="2181" spans="1:15" x14ac:dyDescent="0.35">
      <c r="A2181" t="s">
        <v>143</v>
      </c>
      <c r="B2181">
        <v>2021</v>
      </c>
      <c r="C2181">
        <v>1552442</v>
      </c>
      <c r="D2181" s="8">
        <v>0.92276453971862804</v>
      </c>
      <c r="E2181" s="8">
        <v>1.4999999999999999E-2</v>
      </c>
      <c r="F2181">
        <v>2.3413776243774702</v>
      </c>
      <c r="G2181">
        <f t="shared" si="174"/>
        <v>2.5373511048565103</v>
      </c>
      <c r="H2181">
        <f t="shared" si="176"/>
        <v>-2.5727980701018449E-2</v>
      </c>
      <c r="I2181">
        <f t="shared" si="175"/>
        <v>0</v>
      </c>
      <c r="J2181" t="str">
        <f t="shared" si="172"/>
        <v/>
      </c>
      <c r="K2181">
        <v>1.9754527390003201E-2</v>
      </c>
      <c r="L2181">
        <v>-2.3835085332393698E-2</v>
      </c>
      <c r="M2181">
        <v>-6.35318960249424E-2</v>
      </c>
      <c r="N2181">
        <v>-3.1428389251232099E-2</v>
      </c>
      <c r="O2181">
        <f t="shared" si="173"/>
        <v>-1.1657472699880577E-2</v>
      </c>
    </row>
    <row r="2182" spans="1:15" x14ac:dyDescent="0.35">
      <c r="A2182" t="s">
        <v>143</v>
      </c>
      <c r="B2182">
        <v>2022</v>
      </c>
      <c r="C2182">
        <v>1548070</v>
      </c>
      <c r="D2182" s="8">
        <v>0.93139374256134</v>
      </c>
      <c r="E2182" s="8">
        <v>1.0999999999999999E-2</v>
      </c>
      <c r="F2182">
        <v>2.2922917236585998</v>
      </c>
      <c r="G2182">
        <f t="shared" si="174"/>
        <v>2.4611414259180866</v>
      </c>
      <c r="H2182">
        <f t="shared" si="176"/>
        <v>-3.0035133408442216E-2</v>
      </c>
      <c r="I2182">
        <f t="shared" si="175"/>
        <v>0</v>
      </c>
      <c r="J2182" t="str">
        <f t="shared" si="172"/>
        <v/>
      </c>
      <c r="K2182">
        <v>-6.35318960249424E-2</v>
      </c>
      <c r="L2182">
        <v>-3.09496857225895E-2</v>
      </c>
      <c r="M2182">
        <v>-4.4316372167318999E-2</v>
      </c>
      <c r="N2182">
        <v>-2.47574443928897E-2</v>
      </c>
      <c r="O2182">
        <f t="shared" si="173"/>
        <v>2.4063947144895835E-3</v>
      </c>
    </row>
    <row r="2183" spans="1:15" x14ac:dyDescent="0.35">
      <c r="A2183" t="s">
        <v>144</v>
      </c>
      <c r="B2183">
        <v>2006</v>
      </c>
      <c r="C2183">
        <v>1750388</v>
      </c>
      <c r="D2183" s="8">
        <v>0.96710997819900502</v>
      </c>
      <c r="E2183" s="8">
        <v>1.2E-2</v>
      </c>
      <c r="F2183">
        <v>2.4875685407262802</v>
      </c>
      <c r="G2183">
        <f t="shared" si="174"/>
        <v>2.5721671751942217</v>
      </c>
      <c r="H2183">
        <f t="shared" si="176"/>
        <v>4.5111486933230083E-2</v>
      </c>
      <c r="I2183">
        <f t="shared" si="175"/>
        <v>1</v>
      </c>
      <c r="J2183" t="str">
        <f t="shared" ref="J2183:J2246" si="177">IF(AND(B2183&gt;=2010,B2183&lt;=2018),SUM(I2179:I2183),"")</f>
        <v/>
      </c>
      <c r="K2183">
        <v>4.3464636087417602E-2</v>
      </c>
      <c r="L2183">
        <v>3.7101596593856798E-2</v>
      </c>
      <c r="M2183">
        <v>4.8628433704376202E-2</v>
      </c>
      <c r="N2183">
        <v>4.9550189636647701E-2</v>
      </c>
      <c r="O2183" t="str">
        <f t="shared" ref="O2183:O2246" si="178">IF(B2183&gt;=2010,AVERAGE(N2183:N2187),"")</f>
        <v/>
      </c>
    </row>
    <row r="2184" spans="1:15" x14ac:dyDescent="0.35">
      <c r="A2184" t="s">
        <v>144</v>
      </c>
      <c r="B2184">
        <v>2007</v>
      </c>
      <c r="C2184">
        <v>1773370</v>
      </c>
      <c r="D2184" s="8">
        <v>0.96629685163497903</v>
      </c>
      <c r="E2184" s="8">
        <v>6.0000000000000001E-3</v>
      </c>
      <c r="F2184">
        <v>2.55047787890223</v>
      </c>
      <c r="G2184">
        <f t="shared" si="174"/>
        <v>2.6394351534798122</v>
      </c>
      <c r="H2184">
        <f t="shared" si="176"/>
        <v>2.6152257494892917E-2</v>
      </c>
      <c r="I2184">
        <f t="shared" si="175"/>
        <v>1</v>
      </c>
      <c r="J2184" t="str">
        <f t="shared" si="177"/>
        <v/>
      </c>
      <c r="K2184">
        <v>4.8628433704376202E-2</v>
      </c>
      <c r="L2184">
        <v>4.9550189636647701E-2</v>
      </c>
      <c r="M2184">
        <v>-2.8562290884554298E-2</v>
      </c>
      <c r="N2184">
        <v>9.4851339235901399E-4</v>
      </c>
      <c r="O2184" t="str">
        <f t="shared" si="178"/>
        <v/>
      </c>
    </row>
    <row r="2185" spans="1:15" x14ac:dyDescent="0.35">
      <c r="A2185" t="s">
        <v>144</v>
      </c>
      <c r="B2185">
        <v>2008</v>
      </c>
      <c r="C2185">
        <v>1801393</v>
      </c>
      <c r="D2185" s="8">
        <v>0.952259540557861</v>
      </c>
      <c r="E2185" s="8">
        <v>4.0000000000000001E-3</v>
      </c>
      <c r="F2185">
        <v>2.5693083145893398</v>
      </c>
      <c r="G2185">
        <f t="shared" si="174"/>
        <v>2.6981176928762145</v>
      </c>
      <c r="H2185">
        <f t="shared" si="176"/>
        <v>2.2232991524355317E-2</v>
      </c>
      <c r="I2185">
        <f t="shared" si="175"/>
        <v>1</v>
      </c>
      <c r="J2185" t="str">
        <f t="shared" si="177"/>
        <v/>
      </c>
      <c r="K2185">
        <v>-2.8562290884554298E-2</v>
      </c>
      <c r="L2185">
        <v>9.4851339235901399E-4</v>
      </c>
      <c r="M2185">
        <v>-7.9166934549808499E-2</v>
      </c>
      <c r="N2185">
        <v>-5.2600232884287799E-2</v>
      </c>
      <c r="O2185" t="str">
        <f t="shared" si="178"/>
        <v/>
      </c>
    </row>
    <row r="2186" spans="1:15" x14ac:dyDescent="0.35">
      <c r="A2186" t="s">
        <v>144</v>
      </c>
      <c r="B2186">
        <v>2009</v>
      </c>
      <c r="C2186">
        <v>1825334</v>
      </c>
      <c r="D2186" s="8">
        <v>0.95006632804870605</v>
      </c>
      <c r="E2186" s="8">
        <v>-1E-3</v>
      </c>
      <c r="F2186">
        <v>2.5920909763922002</v>
      </c>
      <c r="G2186">
        <f t="shared" si="174"/>
        <v>2.7283263282427521</v>
      </c>
      <c r="H2186">
        <f t="shared" si="176"/>
        <v>1.1196188900987059E-2</v>
      </c>
      <c r="I2186">
        <f t="shared" si="175"/>
        <v>1</v>
      </c>
      <c r="J2186" t="str">
        <f t="shared" si="177"/>
        <v/>
      </c>
      <c r="K2186">
        <v>-7.9166934549808499E-2</v>
      </c>
      <c r="L2186">
        <v>-5.2600232884287799E-2</v>
      </c>
      <c r="M2186">
        <v>2.9430839061737098E-2</v>
      </c>
      <c r="N2186">
        <v>3.88909478206187E-2</v>
      </c>
      <c r="O2186" t="str">
        <f t="shared" si="178"/>
        <v/>
      </c>
    </row>
    <row r="2187" spans="1:15" x14ac:dyDescent="0.35">
      <c r="A2187" t="s">
        <v>144</v>
      </c>
      <c r="B2187">
        <v>2010</v>
      </c>
      <c r="C2187">
        <v>1849427</v>
      </c>
      <c r="D2187" s="8">
        <v>0.95676904916763295</v>
      </c>
      <c r="E2187" s="8">
        <v>4.0000000000000001E-3</v>
      </c>
      <c r="F2187">
        <v>2.7152564062303699</v>
      </c>
      <c r="G2187">
        <f t="shared" si="174"/>
        <v>2.8379433977223454</v>
      </c>
      <c r="H2187">
        <f t="shared" si="176"/>
        <v>4.0177404126798377E-2</v>
      </c>
      <c r="I2187">
        <f t="shared" si="175"/>
        <v>1</v>
      </c>
      <c r="J2187">
        <f t="shared" si="177"/>
        <v>5</v>
      </c>
      <c r="K2187">
        <v>2.9430839061737098E-2</v>
      </c>
      <c r="L2187">
        <v>3.88909478206187E-2</v>
      </c>
      <c r="M2187">
        <v>6.7844480574130997E-3</v>
      </c>
      <c r="N2187">
        <v>2.8068222571164401E-2</v>
      </c>
      <c r="O2187">
        <f t="shared" si="178"/>
        <v>3.1405347865074901E-2</v>
      </c>
    </row>
    <row r="2188" spans="1:15" x14ac:dyDescent="0.35">
      <c r="A2188" t="s">
        <v>144</v>
      </c>
      <c r="B2188">
        <v>2011</v>
      </c>
      <c r="C2188">
        <v>1877995</v>
      </c>
      <c r="D2188" s="8">
        <v>0.956351578235626</v>
      </c>
      <c r="E2188" s="8">
        <v>2E-3</v>
      </c>
      <c r="F2188">
        <v>2.6912243307664099</v>
      </c>
      <c r="G2188">
        <f t="shared" si="174"/>
        <v>2.8140533168057842</v>
      </c>
      <c r="H2188">
        <f t="shared" si="176"/>
        <v>-8.4180963354429927E-3</v>
      </c>
      <c r="I2188">
        <f t="shared" si="175"/>
        <v>0</v>
      </c>
      <c r="J2188">
        <f t="shared" si="177"/>
        <v>4</v>
      </c>
      <c r="K2188">
        <v>6.7844480574130997E-3</v>
      </c>
      <c r="L2188">
        <v>2.8068222571164401E-2</v>
      </c>
      <c r="M2188">
        <v>2.3592861086130099E-2</v>
      </c>
      <c r="N2188">
        <v>2.9031067155301502E-2</v>
      </c>
      <c r="O2188">
        <f t="shared" si="178"/>
        <v>1.9639126211404841E-2</v>
      </c>
    </row>
    <row r="2189" spans="1:15" x14ac:dyDescent="0.35">
      <c r="A2189" t="s">
        <v>144</v>
      </c>
      <c r="B2189">
        <v>2012</v>
      </c>
      <c r="C2189">
        <v>1907603</v>
      </c>
      <c r="D2189" s="8">
        <v>0.94945079088211104</v>
      </c>
      <c r="E2189" s="8">
        <v>0.03</v>
      </c>
      <c r="F2189">
        <v>2.75820137860913</v>
      </c>
      <c r="G2189">
        <f t="shared" si="174"/>
        <v>2.9050493244063276</v>
      </c>
      <c r="H2189">
        <f t="shared" si="176"/>
        <v>3.2336277019737736E-2</v>
      </c>
      <c r="I2189">
        <f t="shared" si="175"/>
        <v>1</v>
      </c>
      <c r="J2189">
        <f t="shared" si="177"/>
        <v>4</v>
      </c>
      <c r="K2189">
        <v>2.3592861086130099E-2</v>
      </c>
      <c r="L2189">
        <v>2.8945468366146001E-2</v>
      </c>
      <c r="M2189">
        <v>3.8673505783081097E-2</v>
      </c>
      <c r="N2189">
        <v>3.25467344373465E-2</v>
      </c>
      <c r="O2189">
        <f t="shared" si="178"/>
        <v>1.5585377253592081E-2</v>
      </c>
    </row>
    <row r="2190" spans="1:15" x14ac:dyDescent="0.35">
      <c r="A2190" t="s">
        <v>144</v>
      </c>
      <c r="B2190">
        <v>2013</v>
      </c>
      <c r="C2190">
        <v>1937942</v>
      </c>
      <c r="D2190" s="8">
        <v>0.95276355743408203</v>
      </c>
      <c r="E2190" s="8">
        <v>1.4E-2</v>
      </c>
      <c r="F2190">
        <v>2.7568486582973102</v>
      </c>
      <c r="G2190">
        <f t="shared" si="174"/>
        <v>2.8935286585917153</v>
      </c>
      <c r="H2190">
        <f t="shared" si="176"/>
        <v>-3.9657384533278162E-3</v>
      </c>
      <c r="I2190">
        <f t="shared" si="175"/>
        <v>0</v>
      </c>
      <c r="J2190">
        <f t="shared" si="177"/>
        <v>3</v>
      </c>
      <c r="K2190">
        <v>3.8673505783081097E-2</v>
      </c>
      <c r="L2190">
        <v>3.25467344373465E-2</v>
      </c>
      <c r="M2190">
        <v>3.7243115544319201E-2</v>
      </c>
      <c r="N2190">
        <v>3.5235092043876703E-2</v>
      </c>
      <c r="O2190">
        <f t="shared" si="178"/>
        <v>1.0491639934480261E-2</v>
      </c>
    </row>
    <row r="2191" spans="1:15" x14ac:dyDescent="0.35">
      <c r="A2191" t="s">
        <v>144</v>
      </c>
      <c r="B2191">
        <v>2014</v>
      </c>
      <c r="C2191">
        <v>1966071</v>
      </c>
      <c r="D2191" s="8">
        <v>0.94970917701721203</v>
      </c>
      <c r="E2191" s="8">
        <v>4.2999999999999997E-2</v>
      </c>
      <c r="F2191">
        <v>2.6817365722017201</v>
      </c>
      <c r="G2191">
        <f t="shared" si="174"/>
        <v>2.8237450338474699</v>
      </c>
      <c r="H2191">
        <f t="shared" si="176"/>
        <v>-2.4117136195294875E-2</v>
      </c>
      <c r="I2191">
        <f t="shared" si="175"/>
        <v>0</v>
      </c>
      <c r="J2191">
        <f t="shared" si="177"/>
        <v>2</v>
      </c>
      <c r="K2191">
        <v>3.7243115544319201E-2</v>
      </c>
      <c r="L2191">
        <v>3.5235092043876703E-2</v>
      </c>
      <c r="M2191">
        <v>6.2409075140953098E-2</v>
      </c>
      <c r="N2191">
        <v>3.2145623117685401E-2</v>
      </c>
      <c r="O2191">
        <f t="shared" si="178"/>
        <v>1.4182345941663402E-3</v>
      </c>
    </row>
    <row r="2192" spans="1:15" x14ac:dyDescent="0.35">
      <c r="A2192" t="s">
        <v>144</v>
      </c>
      <c r="B2192">
        <v>2015</v>
      </c>
      <c r="C2192">
        <v>1990268</v>
      </c>
      <c r="D2192" s="8">
        <v>0.94868731498718295</v>
      </c>
      <c r="E2192" s="8">
        <v>3.2000000000000001E-2</v>
      </c>
      <c r="F2192">
        <v>2.7730197286140799</v>
      </c>
      <c r="G2192">
        <f t="shared" si="174"/>
        <v>2.9230070696703097</v>
      </c>
      <c r="H2192">
        <f t="shared" si="176"/>
        <v>3.5152619883527914E-2</v>
      </c>
      <c r="I2192">
        <f t="shared" si="175"/>
        <v>1</v>
      </c>
      <c r="J2192">
        <f t="shared" si="177"/>
        <v>2</v>
      </c>
      <c r="K2192">
        <v>6.2409075140953098E-2</v>
      </c>
      <c r="L2192">
        <v>3.2145623117685401E-2</v>
      </c>
      <c r="M2192">
        <v>-1.7609328694641501E-2</v>
      </c>
      <c r="N2192">
        <v>-3.07628856971859E-2</v>
      </c>
      <c r="O2192">
        <f t="shared" si="178"/>
        <v>-2.7713731862604542E-2</v>
      </c>
    </row>
    <row r="2193" spans="1:15" x14ac:dyDescent="0.35">
      <c r="A2193" t="s">
        <v>144</v>
      </c>
      <c r="B2193">
        <v>2016</v>
      </c>
      <c r="C2193">
        <v>2004057</v>
      </c>
      <c r="D2193" s="8">
        <v>0.94022119045257602</v>
      </c>
      <c r="E2193" s="8">
        <v>3.3000000000000002E-2</v>
      </c>
      <c r="F2193">
        <v>2.7669172115262701</v>
      </c>
      <c r="G2193">
        <f t="shared" si="174"/>
        <v>2.9428364725479255</v>
      </c>
      <c r="H2193">
        <f t="shared" si="176"/>
        <v>6.783905206172669E-3</v>
      </c>
      <c r="I2193">
        <f t="shared" si="175"/>
        <v>1</v>
      </c>
      <c r="J2193">
        <f t="shared" si="177"/>
        <v>3</v>
      </c>
      <c r="K2193">
        <v>-1.7609328694641501E-2</v>
      </c>
      <c r="L2193">
        <v>-3.07628856971859E-2</v>
      </c>
      <c r="M2193">
        <v>1.15518958270549E-2</v>
      </c>
      <c r="N2193">
        <v>8.7623223662376994E-3</v>
      </c>
      <c r="O2193">
        <f t="shared" si="178"/>
        <v>-2.4264104664325662E-2</v>
      </c>
    </row>
    <row r="2194" spans="1:15" x14ac:dyDescent="0.35">
      <c r="A2194" t="s">
        <v>144</v>
      </c>
      <c r="B2194">
        <v>2017</v>
      </c>
      <c r="C2194">
        <v>2010347</v>
      </c>
      <c r="D2194" s="8">
        <v>0.947004914283752</v>
      </c>
      <c r="E2194" s="8">
        <v>1.0999999999999999E-2</v>
      </c>
      <c r="F2194">
        <v>2.71791416434744</v>
      </c>
      <c r="G2194">
        <f t="shared" si="174"/>
        <v>2.8700106233377674</v>
      </c>
      <c r="H2194">
        <f t="shared" si="176"/>
        <v>-2.4746821608849001E-2</v>
      </c>
      <c r="I2194">
        <f t="shared" si="175"/>
        <v>0</v>
      </c>
      <c r="J2194">
        <f t="shared" si="177"/>
        <v>2</v>
      </c>
      <c r="K2194">
        <v>1.15518958270549E-2</v>
      </c>
      <c r="L2194">
        <v>8.7623223662376994E-3</v>
      </c>
      <c r="M2194">
        <v>1.62130708098411E-2</v>
      </c>
      <c r="N2194">
        <v>7.0780478417873998E-3</v>
      </c>
      <c r="O2194">
        <f t="shared" si="178"/>
        <v>-2.4432214349508243E-2</v>
      </c>
    </row>
    <row r="2195" spans="1:15" x14ac:dyDescent="0.35">
      <c r="A2195" t="s">
        <v>144</v>
      </c>
      <c r="B2195">
        <v>2018</v>
      </c>
      <c r="C2195">
        <v>2011313</v>
      </c>
      <c r="D2195" s="8">
        <v>0.94321328401565596</v>
      </c>
      <c r="E2195" s="8">
        <v>2.9000000000000001E-2</v>
      </c>
      <c r="F2195">
        <v>2.6815591171632902</v>
      </c>
      <c r="G2195">
        <f t="shared" si="174"/>
        <v>2.8430039765203099</v>
      </c>
      <c r="H2195">
        <f t="shared" si="176"/>
        <v>-9.4099466384724995E-3</v>
      </c>
      <c r="I2195">
        <f t="shared" si="175"/>
        <v>0</v>
      </c>
      <c r="J2195">
        <f t="shared" si="177"/>
        <v>2</v>
      </c>
      <c r="K2195">
        <v>1.62130708098411E-2</v>
      </c>
      <c r="L2195">
        <v>7.0780478417873998E-3</v>
      </c>
      <c r="M2195">
        <v>7.6692599505185999E-3</v>
      </c>
      <c r="N2195">
        <v>-1.0131934657692901E-2</v>
      </c>
      <c r="O2195">
        <f t="shared" si="178"/>
        <v>-2.9253843054175339E-2</v>
      </c>
    </row>
    <row r="2196" spans="1:15" x14ac:dyDescent="0.35">
      <c r="A2196" t="s">
        <v>144</v>
      </c>
      <c r="B2196">
        <v>2019</v>
      </c>
      <c r="C2196">
        <v>2005045</v>
      </c>
      <c r="D2196" s="8">
        <v>0.939924716949463</v>
      </c>
      <c r="E2196" s="8">
        <v>0.02</v>
      </c>
      <c r="F2196">
        <v>2.60814845675797</v>
      </c>
      <c r="G2196">
        <f t="shared" si="174"/>
        <v>2.7748482508500758</v>
      </c>
      <c r="H2196">
        <f t="shared" si="176"/>
        <v>-2.3973137650568188E-2</v>
      </c>
      <c r="I2196">
        <f t="shared" si="175"/>
        <v>0</v>
      </c>
      <c r="J2196" t="str">
        <f t="shared" si="177"/>
        <v/>
      </c>
      <c r="K2196">
        <v>7.6692599505185999E-3</v>
      </c>
      <c r="L2196">
        <v>-1.0131934657692901E-2</v>
      </c>
      <c r="M2196">
        <v>-9.4665018737316101E-2</v>
      </c>
      <c r="N2196">
        <v>-0.113514209166169</v>
      </c>
      <c r="O2196">
        <f t="shared" si="178"/>
        <v>-2.4020329304039443E-2</v>
      </c>
    </row>
    <row r="2197" spans="1:15" x14ac:dyDescent="0.35">
      <c r="A2197" t="s">
        <v>144</v>
      </c>
      <c r="B2197">
        <v>2020</v>
      </c>
      <c r="C2197">
        <v>1978195</v>
      </c>
      <c r="D2197" s="8">
        <v>0.90326726436615001</v>
      </c>
      <c r="E2197" s="8">
        <v>2.1999999999999999E-2</v>
      </c>
      <c r="F2197">
        <v>2.54457549404809</v>
      </c>
      <c r="G2197">
        <f t="shared" si="174"/>
        <v>2.8170792792249544</v>
      </c>
      <c r="H2197">
        <f t="shared" si="176"/>
        <v>1.5219220857191518E-2</v>
      </c>
      <c r="I2197">
        <f t="shared" si="175"/>
        <v>1</v>
      </c>
      <c r="J2197" t="str">
        <f t="shared" si="177"/>
        <v/>
      </c>
      <c r="K2197">
        <v>-9.4665018737316101E-2</v>
      </c>
      <c r="L2197">
        <v>-0.113514209166169</v>
      </c>
      <c r="M2197">
        <v>3.0074863016605401E-2</v>
      </c>
      <c r="N2197">
        <v>-1.3514749705791499E-2</v>
      </c>
      <c r="O2197">
        <f t="shared" si="178"/>
        <v>-9.5376120880246167E-4</v>
      </c>
    </row>
    <row r="2198" spans="1:15" x14ac:dyDescent="0.35">
      <c r="A2198" t="s">
        <v>144</v>
      </c>
      <c r="B2198">
        <v>2021</v>
      </c>
      <c r="C2198">
        <v>1946177</v>
      </c>
      <c r="D2198" s="8">
        <v>0.94118517637252797</v>
      </c>
      <c r="E2198" s="8">
        <v>1.9E-2</v>
      </c>
      <c r="F2198">
        <v>2.6201744501481499</v>
      </c>
      <c r="G2198">
        <f t="shared" si="174"/>
        <v>2.7839096024086398</v>
      </c>
      <c r="H2198">
        <f t="shared" si="176"/>
        <v>-1.1774491779812601E-2</v>
      </c>
      <c r="I2198">
        <f t="shared" si="175"/>
        <v>0</v>
      </c>
      <c r="J2198" t="str">
        <f t="shared" si="177"/>
        <v/>
      </c>
      <c r="K2198">
        <v>3.0074863016605401E-2</v>
      </c>
      <c r="L2198">
        <v>-1.3514749705791499E-2</v>
      </c>
      <c r="M2198">
        <v>-2.41817328333855E-2</v>
      </c>
      <c r="N2198">
        <v>7.9217739403247903E-3</v>
      </c>
      <c r="O2198">
        <f t="shared" si="178"/>
        <v>-2.9456146992742822E-3</v>
      </c>
    </row>
    <row r="2199" spans="1:15" x14ac:dyDescent="0.35">
      <c r="A2199" t="s">
        <v>144</v>
      </c>
      <c r="B2199">
        <v>2022</v>
      </c>
      <c r="C2199">
        <v>1954542</v>
      </c>
      <c r="D2199" s="8">
        <v>0.94377684593200695</v>
      </c>
      <c r="E2199" s="8">
        <v>1.7999999999999999E-2</v>
      </c>
      <c r="F2199">
        <v>2.49512123399363</v>
      </c>
      <c r="G2199">
        <f t="shared" si="174"/>
        <v>2.6437618646276766</v>
      </c>
      <c r="H2199">
        <f t="shared" si="176"/>
        <v>-5.0342057680216157E-2</v>
      </c>
      <c r="I2199">
        <f t="shared" si="175"/>
        <v>0</v>
      </c>
      <c r="J2199" t="str">
        <f t="shared" si="177"/>
        <v/>
      </c>
      <c r="K2199">
        <v>-2.41817328333855E-2</v>
      </c>
      <c r="L2199">
        <v>8.4004774689673892E-3</v>
      </c>
      <c r="M2199">
        <v>-3.65890234559774E-2</v>
      </c>
      <c r="N2199">
        <v>-1.7030095681548101E-2</v>
      </c>
      <c r="O2199">
        <f t="shared" si="178"/>
        <v>-4.1615071240812384E-3</v>
      </c>
    </row>
    <row r="2200" spans="1:15" x14ac:dyDescent="0.35">
      <c r="A2200" t="s">
        <v>145</v>
      </c>
      <c r="B2200">
        <v>2006</v>
      </c>
      <c r="C2200">
        <v>408851.5</v>
      </c>
      <c r="D2200" s="8">
        <v>0.96511584520339999</v>
      </c>
      <c r="E2200" s="8">
        <v>1E-3</v>
      </c>
      <c r="F2200">
        <v>2.7538963116439898</v>
      </c>
      <c r="G2200">
        <f t="shared" si="174"/>
        <v>2.8534360153040499</v>
      </c>
      <c r="H2200">
        <f t="shared" si="176"/>
        <v>7.9309015491038526E-2</v>
      </c>
      <c r="I2200">
        <f t="shared" si="175"/>
        <v>1</v>
      </c>
      <c r="J2200" t="str">
        <f t="shared" si="177"/>
        <v/>
      </c>
      <c r="K2200">
        <v>2.3297549813985699E-2</v>
      </c>
      <c r="L2200">
        <v>1.6934510320424999E-2</v>
      </c>
      <c r="M2200">
        <v>1.51138781607151E-2</v>
      </c>
      <c r="N2200">
        <v>1.6035634092986601E-2</v>
      </c>
      <c r="O2200" t="str">
        <f t="shared" si="178"/>
        <v/>
      </c>
    </row>
    <row r="2201" spans="1:15" x14ac:dyDescent="0.35">
      <c r="A2201" t="s">
        <v>145</v>
      </c>
      <c r="B2201">
        <v>2007</v>
      </c>
      <c r="C2201">
        <v>412394.28125</v>
      </c>
      <c r="D2201" s="8">
        <v>0.97049033641815197</v>
      </c>
      <c r="E2201" s="8">
        <v>5.0000000000000001E-3</v>
      </c>
      <c r="F2201">
        <v>2.6599972570592598</v>
      </c>
      <c r="G2201">
        <f t="shared" si="174"/>
        <v>2.7408796947702481</v>
      </c>
      <c r="H2201">
        <f t="shared" si="176"/>
        <v>-3.9445889072024065E-2</v>
      </c>
      <c r="I2201">
        <f t="shared" si="175"/>
        <v>0</v>
      </c>
      <c r="J2201" t="str">
        <f t="shared" si="177"/>
        <v/>
      </c>
      <c r="K2201">
        <v>1.51138781607151E-2</v>
      </c>
      <c r="L2201">
        <v>1.6035634092986601E-2</v>
      </c>
      <c r="M2201">
        <v>-2.7692172966897501E-2</v>
      </c>
      <c r="N2201">
        <v>1.8186313100158999E-3</v>
      </c>
      <c r="O2201" t="str">
        <f t="shared" si="178"/>
        <v/>
      </c>
    </row>
    <row r="2202" spans="1:15" x14ac:dyDescent="0.35">
      <c r="A2202" t="s">
        <v>145</v>
      </c>
      <c r="B2202">
        <v>2008</v>
      </c>
      <c r="C2202">
        <v>417001</v>
      </c>
      <c r="D2202" s="8">
        <v>0.96247029304504395</v>
      </c>
      <c r="E2202" s="8">
        <v>0</v>
      </c>
      <c r="F2202">
        <v>2.6967835482311799</v>
      </c>
      <c r="G2202">
        <f t="shared" si="174"/>
        <v>2.8019395172178778</v>
      </c>
      <c r="H2202">
        <f t="shared" si="176"/>
        <v>2.2277454411492537E-2</v>
      </c>
      <c r="I2202">
        <f t="shared" si="175"/>
        <v>1</v>
      </c>
      <c r="J2202" t="str">
        <f t="shared" si="177"/>
        <v/>
      </c>
      <c r="K2202">
        <v>-2.7692172966897501E-2</v>
      </c>
      <c r="L2202">
        <v>1.8186313100158999E-3</v>
      </c>
      <c r="M2202">
        <v>-5.0040718823671199E-2</v>
      </c>
      <c r="N2202">
        <v>-2.34740171581506E-2</v>
      </c>
      <c r="O2202" t="str">
        <f t="shared" si="178"/>
        <v/>
      </c>
    </row>
    <row r="2203" spans="1:15" x14ac:dyDescent="0.35">
      <c r="A2203" t="s">
        <v>145</v>
      </c>
      <c r="B2203">
        <v>2009</v>
      </c>
      <c r="C2203">
        <v>421367.875</v>
      </c>
      <c r="D2203" s="8">
        <v>0.95322036743164096</v>
      </c>
      <c r="E2203" s="8">
        <v>1.2999999999999999E-2</v>
      </c>
      <c r="F2203">
        <v>2.7438887608511902</v>
      </c>
      <c r="G2203">
        <f t="shared" si="174"/>
        <v>2.8785460892367731</v>
      </c>
      <c r="H2203">
        <f t="shared" si="176"/>
        <v>2.7340551624383425E-2</v>
      </c>
      <c r="I2203">
        <f t="shared" si="175"/>
        <v>1</v>
      </c>
      <c r="J2203" t="str">
        <f t="shared" si="177"/>
        <v/>
      </c>
      <c r="K2203">
        <v>-5.0040718823671199E-2</v>
      </c>
      <c r="L2203">
        <v>-2.34740171581506E-2</v>
      </c>
      <c r="M2203">
        <v>-7.6177969425916701E-3</v>
      </c>
      <c r="N2203">
        <v>1.8423118162900101E-3</v>
      </c>
      <c r="O2203" t="str">
        <f t="shared" si="178"/>
        <v/>
      </c>
    </row>
    <row r="2204" spans="1:15" x14ac:dyDescent="0.35">
      <c r="A2204" t="s">
        <v>145</v>
      </c>
      <c r="B2204">
        <v>2010</v>
      </c>
      <c r="C2204">
        <v>424684.28125</v>
      </c>
      <c r="D2204" s="8">
        <v>0.96082943677902199</v>
      </c>
      <c r="E2204" s="8">
        <v>0</v>
      </c>
      <c r="F2204">
        <v>2.8789230185817201</v>
      </c>
      <c r="G2204">
        <f t="shared" si="174"/>
        <v>2.9962893604016778</v>
      </c>
      <c r="H2204">
        <f t="shared" si="176"/>
        <v>4.0903729700615399E-2</v>
      </c>
      <c r="I2204">
        <f t="shared" si="175"/>
        <v>1</v>
      </c>
      <c r="J2204">
        <f t="shared" si="177"/>
        <v>4</v>
      </c>
      <c r="K2204">
        <v>-7.6177969425916701E-3</v>
      </c>
      <c r="L2204">
        <v>1.8423118162900101E-3</v>
      </c>
      <c r="M2204">
        <v>-1.9374918535351799E-2</v>
      </c>
      <c r="N2204">
        <v>1.90885597839949E-3</v>
      </c>
      <c r="O2204">
        <f t="shared" si="178"/>
        <v>1.0675426851958037E-2</v>
      </c>
    </row>
    <row r="2205" spans="1:15" x14ac:dyDescent="0.35">
      <c r="A2205" t="s">
        <v>145</v>
      </c>
      <c r="B2205">
        <v>2011</v>
      </c>
      <c r="C2205">
        <v>426883</v>
      </c>
      <c r="D2205" s="8">
        <v>0.95999562740325906</v>
      </c>
      <c r="E2205" s="8">
        <v>4.0000000000000001E-3</v>
      </c>
      <c r="F2205">
        <v>2.8322036322036301</v>
      </c>
      <c r="G2205">
        <f t="shared" si="174"/>
        <v>2.9502255545315363</v>
      </c>
      <c r="H2205">
        <f t="shared" si="176"/>
        <v>-1.5373617274389795E-2</v>
      </c>
      <c r="I2205">
        <f t="shared" si="175"/>
        <v>0</v>
      </c>
      <c r="J2205">
        <f t="shared" si="177"/>
        <v>3</v>
      </c>
      <c r="K2205">
        <v>-1.9374918535351799E-2</v>
      </c>
      <c r="L2205">
        <v>1.90885597839949E-3</v>
      </c>
      <c r="M2205">
        <v>-4.9871153235434996E-3</v>
      </c>
      <c r="N2205">
        <v>4.5109074562789902E-4</v>
      </c>
      <c r="O2205">
        <f t="shared" si="178"/>
        <v>1.1083752475678919E-2</v>
      </c>
    </row>
    <row r="2206" spans="1:15" x14ac:dyDescent="0.35">
      <c r="A2206" t="s">
        <v>145</v>
      </c>
      <c r="B2206">
        <v>2012</v>
      </c>
      <c r="C2206">
        <v>431625.5</v>
      </c>
      <c r="D2206" s="8">
        <v>0.96066904067993197</v>
      </c>
      <c r="E2206" s="8">
        <v>7.0000000000000001E-3</v>
      </c>
      <c r="F2206">
        <v>2.7203159934416399</v>
      </c>
      <c r="G2206">
        <f t="shared" si="174"/>
        <v>2.831689039876089</v>
      </c>
      <c r="H2206">
        <f t="shared" si="176"/>
        <v>-4.0178797337503847E-2</v>
      </c>
      <c r="I2206">
        <f t="shared" si="175"/>
        <v>0</v>
      </c>
      <c r="J2206">
        <f t="shared" si="177"/>
        <v>3</v>
      </c>
      <c r="K2206">
        <v>-4.9871153235434996E-3</v>
      </c>
      <c r="L2206">
        <v>3.6549195647239999E-4</v>
      </c>
      <c r="M2206">
        <v>9.7183311730623008E-3</v>
      </c>
      <c r="N2206">
        <v>3.5915598273277001E-3</v>
      </c>
      <c r="O2206">
        <f t="shared" si="178"/>
        <v>1.30472257733345E-2</v>
      </c>
    </row>
    <row r="2207" spans="1:15" x14ac:dyDescent="0.35">
      <c r="A2207" t="s">
        <v>145</v>
      </c>
      <c r="B2207">
        <v>2013</v>
      </c>
      <c r="C2207">
        <v>436618.90625</v>
      </c>
      <c r="D2207" s="8">
        <v>0.96449577808380105</v>
      </c>
      <c r="E2207" s="8">
        <v>-5.0000000000000001E-3</v>
      </c>
      <c r="F2207">
        <v>2.83547785961487</v>
      </c>
      <c r="G2207">
        <f t="shared" si="174"/>
        <v>2.9398551284985586</v>
      </c>
      <c r="H2207">
        <f t="shared" si="176"/>
        <v>3.8198434608908372E-2</v>
      </c>
      <c r="I2207">
        <f t="shared" si="175"/>
        <v>1</v>
      </c>
      <c r="J2207">
        <f t="shared" si="177"/>
        <v>3</v>
      </c>
      <c r="K2207">
        <v>9.7183311730623008E-3</v>
      </c>
      <c r="L2207">
        <v>3.5915598273277001E-3</v>
      </c>
      <c r="M2207">
        <v>2.34817031919956E-2</v>
      </c>
      <c r="N2207">
        <v>2.1473679691553098E-2</v>
      </c>
      <c r="O2207">
        <f t="shared" si="178"/>
        <v>1.5876827389001862E-2</v>
      </c>
    </row>
    <row r="2208" spans="1:15" x14ac:dyDescent="0.35">
      <c r="A2208" t="s">
        <v>145</v>
      </c>
      <c r="B2208">
        <v>2014</v>
      </c>
      <c r="C2208">
        <v>441058.40625</v>
      </c>
      <c r="D2208" s="8">
        <v>0.96563106775283802</v>
      </c>
      <c r="E2208" s="8">
        <v>0</v>
      </c>
      <c r="F2208">
        <v>2.9707072765920199</v>
      </c>
      <c r="G2208">
        <f t="shared" si="174"/>
        <v>3.0764412784535629</v>
      </c>
      <c r="H2208">
        <f t="shared" si="176"/>
        <v>4.6460163506343077E-2</v>
      </c>
      <c r="I2208">
        <f t="shared" si="175"/>
        <v>1</v>
      </c>
      <c r="J2208">
        <f t="shared" si="177"/>
        <v>3</v>
      </c>
      <c r="K2208">
        <v>2.34817031919956E-2</v>
      </c>
      <c r="L2208">
        <v>2.1473679691553098E-2</v>
      </c>
      <c r="M2208">
        <v>5.6215400040149702E-2</v>
      </c>
      <c r="N2208">
        <v>2.5951948016882002E-2</v>
      </c>
      <c r="O2208">
        <f t="shared" si="178"/>
        <v>1.2320619076490418E-2</v>
      </c>
    </row>
    <row r="2209" spans="1:15" x14ac:dyDescent="0.35">
      <c r="A2209" t="s">
        <v>145</v>
      </c>
      <c r="B2209">
        <v>2015</v>
      </c>
      <c r="C2209">
        <v>444187.40625</v>
      </c>
      <c r="D2209" s="8">
        <v>0.96442341804504395</v>
      </c>
      <c r="E2209" s="8">
        <v>2.8000000000000001E-2</v>
      </c>
      <c r="F2209">
        <v>3.00690307057745</v>
      </c>
      <c r="G2209">
        <f t="shared" si="174"/>
        <v>3.1178246134593661</v>
      </c>
      <c r="H2209">
        <f t="shared" si="176"/>
        <v>1.3451690203105438E-2</v>
      </c>
      <c r="I2209">
        <f t="shared" si="175"/>
        <v>1</v>
      </c>
      <c r="J2209">
        <f t="shared" si="177"/>
        <v>3</v>
      </c>
      <c r="K2209">
        <v>5.6215400040149702E-2</v>
      </c>
      <c r="L2209">
        <v>2.5951948016882002E-2</v>
      </c>
      <c r="M2209">
        <v>1.7104041099548301E-2</v>
      </c>
      <c r="N2209">
        <v>3.9504840970039003E-3</v>
      </c>
      <c r="O2209">
        <f t="shared" si="178"/>
        <v>4.0691129863262374E-3</v>
      </c>
    </row>
    <row r="2210" spans="1:15" x14ac:dyDescent="0.35">
      <c r="A2210" t="s">
        <v>145</v>
      </c>
      <c r="B2210">
        <v>2016</v>
      </c>
      <c r="C2210">
        <v>446278.90625</v>
      </c>
      <c r="D2210" s="8">
        <v>0.96374338865280196</v>
      </c>
      <c r="E2210" s="8">
        <v>1.4E-2</v>
      </c>
      <c r="F2210">
        <v>2.96538093811093</v>
      </c>
      <c r="G2210">
        <f t="shared" si="174"/>
        <v>3.0769403692161021</v>
      </c>
      <c r="H2210">
        <f t="shared" si="176"/>
        <v>-1.311306738254947E-2</v>
      </c>
      <c r="I2210">
        <f t="shared" si="175"/>
        <v>0</v>
      </c>
      <c r="J2210">
        <f t="shared" si="177"/>
        <v>3</v>
      </c>
      <c r="K2210">
        <v>1.7104041099548301E-2</v>
      </c>
      <c r="L2210">
        <v>3.9504840970039003E-3</v>
      </c>
      <c r="M2210">
        <v>1.30580306947231E-2</v>
      </c>
      <c r="N2210">
        <v>1.0268457233905799E-2</v>
      </c>
      <c r="O2210">
        <f t="shared" si="178"/>
        <v>7.2672791779040567E-3</v>
      </c>
    </row>
    <row r="2211" spans="1:15" x14ac:dyDescent="0.35">
      <c r="A2211" t="s">
        <v>145</v>
      </c>
      <c r="B2211">
        <v>2017</v>
      </c>
      <c r="C2211">
        <v>447258.5</v>
      </c>
      <c r="D2211" s="8">
        <v>0.96104675531387296</v>
      </c>
      <c r="E2211" s="8">
        <v>8.0000000000000002E-3</v>
      </c>
      <c r="F2211">
        <v>2.8650823747524501</v>
      </c>
      <c r="G2211">
        <f t="shared" si="174"/>
        <v>2.9812101845312706</v>
      </c>
      <c r="H2211">
        <f t="shared" si="176"/>
        <v>-3.1112135172518873E-2</v>
      </c>
      <c r="I2211">
        <f t="shared" si="175"/>
        <v>0</v>
      </c>
      <c r="J2211">
        <f t="shared" si="177"/>
        <v>3</v>
      </c>
      <c r="K2211">
        <v>1.30580306947231E-2</v>
      </c>
      <c r="L2211">
        <v>1.0268457233905799E-2</v>
      </c>
      <c r="M2211">
        <v>2.6874590873718299E-2</v>
      </c>
      <c r="N2211">
        <v>1.7739567905664499E-2</v>
      </c>
      <c r="O2211">
        <f t="shared" si="178"/>
        <v>8.0428138375281365E-3</v>
      </c>
    </row>
    <row r="2212" spans="1:15" x14ac:dyDescent="0.35">
      <c r="A2212" t="s">
        <v>145</v>
      </c>
      <c r="B2212">
        <v>2018</v>
      </c>
      <c r="C2212">
        <v>447727.375</v>
      </c>
      <c r="D2212" s="8">
        <v>0.97030234336853005</v>
      </c>
      <c r="E2212" s="8">
        <v>1.4E-2</v>
      </c>
      <c r="F2212">
        <v>2.9180565523180699</v>
      </c>
      <c r="G2212">
        <f t="shared" si="174"/>
        <v>3.0073683447858728</v>
      </c>
      <c r="H2212">
        <f t="shared" si="176"/>
        <v>8.7743428458448847E-3</v>
      </c>
      <c r="I2212">
        <f t="shared" si="175"/>
        <v>1</v>
      </c>
      <c r="J2212">
        <f t="shared" si="177"/>
        <v>3</v>
      </c>
      <c r="K2212">
        <v>2.6874590873718299E-2</v>
      </c>
      <c r="L2212">
        <v>1.7739567905664499E-2</v>
      </c>
      <c r="M2212">
        <v>2.14938327372074E-2</v>
      </c>
      <c r="N2212">
        <v>3.6926381289958902E-3</v>
      </c>
      <c r="O2212">
        <f t="shared" si="178"/>
        <v>6.9187499582766387E-3</v>
      </c>
    </row>
    <row r="2213" spans="1:15" x14ac:dyDescent="0.35">
      <c r="A2213" t="s">
        <v>145</v>
      </c>
      <c r="B2213">
        <v>2019</v>
      </c>
      <c r="C2213">
        <v>448261.09375</v>
      </c>
      <c r="D2213" s="8">
        <v>0.97085744142532304</v>
      </c>
      <c r="E2213" s="8">
        <v>0</v>
      </c>
      <c r="F2213">
        <v>2.78808356457851</v>
      </c>
      <c r="G2213">
        <f t="shared" si="174"/>
        <v>2.8717744187913974</v>
      </c>
      <c r="H2213">
        <f t="shared" si="176"/>
        <v>-4.508723589831154E-2</v>
      </c>
      <c r="I2213">
        <f t="shared" si="175"/>
        <v>0</v>
      </c>
      <c r="J2213" t="str">
        <f t="shared" si="177"/>
        <v/>
      </c>
      <c r="K2213">
        <v>2.14938327372074E-2</v>
      </c>
      <c r="L2213">
        <v>3.6926381289958902E-3</v>
      </c>
      <c r="M2213">
        <v>3.5436079949140902E-3</v>
      </c>
      <c r="N2213">
        <v>-1.53055824339389E-2</v>
      </c>
      <c r="O2213">
        <f t="shared" si="178"/>
        <v>9.7652738913892589E-3</v>
      </c>
    </row>
    <row r="2214" spans="1:15" x14ac:dyDescent="0.35">
      <c r="A2214" t="s">
        <v>145</v>
      </c>
      <c r="B2214">
        <v>2020</v>
      </c>
      <c r="C2214">
        <v>445327.5</v>
      </c>
      <c r="D2214" s="8">
        <v>0.95684796571731601</v>
      </c>
      <c r="E2214" s="8">
        <v>3.3000000000000002E-2</v>
      </c>
      <c r="F2214">
        <v>2.7610466405499299</v>
      </c>
      <c r="G2214">
        <f t="shared" si="174"/>
        <v>2.8855646241355264</v>
      </c>
      <c r="H2214">
        <f t="shared" si="176"/>
        <v>4.8019807036001616E-3</v>
      </c>
      <c r="I2214">
        <f t="shared" si="175"/>
        <v>1</v>
      </c>
      <c r="J2214" t="str">
        <f t="shared" si="177"/>
        <v/>
      </c>
      <c r="K2214">
        <v>3.5436079949140902E-3</v>
      </c>
      <c r="L2214">
        <v>-1.53055824339389E-2</v>
      </c>
      <c r="M2214">
        <v>6.3530927777289997E-2</v>
      </c>
      <c r="N2214">
        <v>1.9941315054893001E-2</v>
      </c>
      <c r="O2214">
        <f t="shared" si="178"/>
        <v>1.239989865571248E-2</v>
      </c>
    </row>
    <row r="2215" spans="1:15" x14ac:dyDescent="0.35">
      <c r="A2215" t="s">
        <v>145</v>
      </c>
      <c r="B2215">
        <v>2021</v>
      </c>
      <c r="C2215">
        <v>439061.71875</v>
      </c>
      <c r="D2215" s="8">
        <v>0.98079651594161998</v>
      </c>
      <c r="E2215" s="8">
        <v>8.9999999999999993E-3</v>
      </c>
      <c r="F2215">
        <v>2.9326651746618602</v>
      </c>
      <c r="G2215">
        <f t="shared" si="174"/>
        <v>2.9900852286840927</v>
      </c>
      <c r="H2215">
        <f t="shared" si="176"/>
        <v>3.6221890050332606E-2</v>
      </c>
      <c r="I2215">
        <f t="shared" si="175"/>
        <v>1</v>
      </c>
      <c r="J2215" t="str">
        <f t="shared" si="177"/>
        <v/>
      </c>
      <c r="K2215">
        <v>6.3530927777289997E-2</v>
      </c>
      <c r="L2215">
        <v>1.9941315054893001E-2</v>
      </c>
      <c r="M2215">
        <v>-1.7957376241684E-2</v>
      </c>
      <c r="N2215">
        <v>1.4146130532026201E-2</v>
      </c>
      <c r="O2215">
        <f t="shared" si="178"/>
        <v>4.2776441201567393E-3</v>
      </c>
    </row>
    <row r="2216" spans="1:15" x14ac:dyDescent="0.35">
      <c r="A2216" t="s">
        <v>145</v>
      </c>
      <c r="B2216">
        <v>2022</v>
      </c>
      <c r="C2216">
        <v>444764.3125</v>
      </c>
      <c r="D2216" s="8">
        <v>0.97526675462722801</v>
      </c>
      <c r="E2216" s="8">
        <v>1E-3</v>
      </c>
      <c r="F2216">
        <v>2.71413129061962</v>
      </c>
      <c r="G2216">
        <f t="shared" si="174"/>
        <v>2.7829629972950638</v>
      </c>
      <c r="H2216">
        <f t="shared" si="176"/>
        <v>-6.9269674791237135E-2</v>
      </c>
      <c r="I2216">
        <f t="shared" si="175"/>
        <v>0</v>
      </c>
      <c r="J2216" t="str">
        <f t="shared" si="177"/>
        <v/>
      </c>
      <c r="K2216">
        <v>-1.7957376241684E-2</v>
      </c>
      <c r="L2216">
        <v>1.46248340606688E-2</v>
      </c>
      <c r="M2216">
        <v>-7.4396792650223004E-3</v>
      </c>
      <c r="N2216">
        <v>1.2119248509407E-2</v>
      </c>
      <c r="O2216">
        <f t="shared" si="178"/>
        <v>2.7062420267611551E-3</v>
      </c>
    </row>
    <row r="2217" spans="1:15" x14ac:dyDescent="0.35">
      <c r="A2217" t="s">
        <v>146</v>
      </c>
      <c r="B2217">
        <v>2006</v>
      </c>
      <c r="C2217">
        <v>465703.78125</v>
      </c>
      <c r="D2217" s="8">
        <v>0.96131664514541604</v>
      </c>
      <c r="E2217" s="8">
        <v>5.0000000000000001E-3</v>
      </c>
      <c r="F2217">
        <v>2.5627664687369101</v>
      </c>
      <c r="G2217">
        <f t="shared" si="174"/>
        <v>2.6658921196035741</v>
      </c>
      <c r="H2217">
        <f t="shared" si="176"/>
        <v>-4.2066990400259852E-2</v>
      </c>
      <c r="I2217">
        <f t="shared" si="175"/>
        <v>0</v>
      </c>
      <c r="J2217" t="str">
        <f t="shared" si="177"/>
        <v/>
      </c>
      <c r="K2217">
        <v>8.4677428305149002E-3</v>
      </c>
      <c r="L2217">
        <v>2.1047033369540999E-3</v>
      </c>
      <c r="M2217">
        <v>1.7003501862287499E-2</v>
      </c>
      <c r="N2217">
        <v>1.7925257794558998E-2</v>
      </c>
      <c r="O2217" t="str">
        <f t="shared" si="178"/>
        <v/>
      </c>
    </row>
    <row r="2218" spans="1:15" x14ac:dyDescent="0.35">
      <c r="A2218" t="s">
        <v>146</v>
      </c>
      <c r="B2218">
        <v>2007</v>
      </c>
      <c r="C2218">
        <v>468786.71875</v>
      </c>
      <c r="D2218" s="8">
        <v>0.95420241355895996</v>
      </c>
      <c r="E2218" s="8">
        <v>1.9E-2</v>
      </c>
      <c r="F2218">
        <v>2.4298316429127098</v>
      </c>
      <c r="G2218">
        <f t="shared" si="174"/>
        <v>2.54645304642438</v>
      </c>
      <c r="H2218">
        <f t="shared" si="176"/>
        <v>-4.4802665607097003E-2</v>
      </c>
      <c r="I2218">
        <f t="shared" si="175"/>
        <v>0</v>
      </c>
      <c r="J2218" t="str">
        <f t="shared" si="177"/>
        <v/>
      </c>
      <c r="K2218">
        <v>1.7003501862287499E-2</v>
      </c>
      <c r="L2218">
        <v>1.7925257794558998E-2</v>
      </c>
      <c r="M2218">
        <v>-3.1643262889236197E-2</v>
      </c>
      <c r="N2218">
        <v>-2.1324586123227999E-3</v>
      </c>
      <c r="O2218" t="str">
        <f t="shared" si="178"/>
        <v/>
      </c>
    </row>
    <row r="2219" spans="1:15" x14ac:dyDescent="0.35">
      <c r="A2219" t="s">
        <v>146</v>
      </c>
      <c r="B2219">
        <v>2008</v>
      </c>
      <c r="C2219">
        <v>474708.1875</v>
      </c>
      <c r="D2219" s="8">
        <v>0.95244455337524403</v>
      </c>
      <c r="E2219" s="8">
        <v>1E-3</v>
      </c>
      <c r="F2219">
        <v>2.36282605045864</v>
      </c>
      <c r="G2219">
        <f t="shared" si="174"/>
        <v>2.4808016824552452</v>
      </c>
      <c r="H2219">
        <f t="shared" si="176"/>
        <v>-2.5781494012355521E-2</v>
      </c>
      <c r="I2219">
        <f t="shared" si="175"/>
        <v>0</v>
      </c>
      <c r="J2219" t="str">
        <f t="shared" si="177"/>
        <v/>
      </c>
      <c r="K2219">
        <v>-3.1643262889236197E-2</v>
      </c>
      <c r="L2219">
        <v>-2.1324586123227999E-3</v>
      </c>
      <c r="M2219">
        <v>-4.7236659288406299E-2</v>
      </c>
      <c r="N2219">
        <v>-2.0669957622885701E-2</v>
      </c>
      <c r="O2219" t="str">
        <f t="shared" si="178"/>
        <v/>
      </c>
    </row>
    <row r="2220" spans="1:15" x14ac:dyDescent="0.35">
      <c r="A2220" t="s">
        <v>146</v>
      </c>
      <c r="B2220">
        <v>2009</v>
      </c>
      <c r="C2220">
        <v>480798.3125</v>
      </c>
      <c r="D2220" s="8">
        <v>0.948378086090088</v>
      </c>
      <c r="E2220" s="8">
        <v>3.0000000000000001E-3</v>
      </c>
      <c r="F2220">
        <v>2.49804020030408</v>
      </c>
      <c r="G2220">
        <f t="shared" si="174"/>
        <v>2.63401299222638</v>
      </c>
      <c r="H2220">
        <f t="shared" si="176"/>
        <v>6.175878985195693E-2</v>
      </c>
      <c r="I2220">
        <f t="shared" si="175"/>
        <v>1</v>
      </c>
      <c r="J2220" t="str">
        <f t="shared" si="177"/>
        <v/>
      </c>
      <c r="K2220">
        <v>-4.7236659288406299E-2</v>
      </c>
      <c r="L2220">
        <v>-2.0669957622885701E-2</v>
      </c>
      <c r="M2220">
        <v>-3.1709886938334E-3</v>
      </c>
      <c r="N2220">
        <v>6.2891200650482797E-3</v>
      </c>
      <c r="O2220" t="str">
        <f t="shared" si="178"/>
        <v/>
      </c>
    </row>
    <row r="2221" spans="1:15" x14ac:dyDescent="0.35">
      <c r="A2221" t="s">
        <v>146</v>
      </c>
      <c r="B2221">
        <v>2010</v>
      </c>
      <c r="C2221">
        <v>485246.875</v>
      </c>
      <c r="D2221" s="8">
        <v>0.94990664720535301</v>
      </c>
      <c r="E2221" s="8">
        <v>0</v>
      </c>
      <c r="F2221">
        <v>2.46346580271666</v>
      </c>
      <c r="G2221">
        <f t="shared" si="174"/>
        <v>2.593376738613455</v>
      </c>
      <c r="H2221">
        <f t="shared" si="176"/>
        <v>-1.5427506900251631E-2</v>
      </c>
      <c r="I2221">
        <f t="shared" si="175"/>
        <v>0</v>
      </c>
      <c r="J2221">
        <f t="shared" si="177"/>
        <v>1</v>
      </c>
      <c r="K2221">
        <v>-3.1709886938334E-3</v>
      </c>
      <c r="L2221">
        <v>6.2891200650482797E-3</v>
      </c>
      <c r="M2221">
        <v>-1.8061343923211098E-2</v>
      </c>
      <c r="N2221">
        <v>3.2224305905402002E-3</v>
      </c>
      <c r="O2221">
        <f t="shared" si="178"/>
        <v>2.7430397178977717E-2</v>
      </c>
    </row>
    <row r="2222" spans="1:15" x14ac:dyDescent="0.35">
      <c r="A2222" t="s">
        <v>146</v>
      </c>
      <c r="B2222">
        <v>2011</v>
      </c>
      <c r="C2222">
        <v>487565.5</v>
      </c>
      <c r="D2222" s="8">
        <v>0.95194697380065896</v>
      </c>
      <c r="E2222" s="8">
        <v>0</v>
      </c>
      <c r="F2222">
        <v>2.4524859968190298</v>
      </c>
      <c r="G2222">
        <f t="shared" si="174"/>
        <v>2.5762842514509523</v>
      </c>
      <c r="H2222">
        <f t="shared" si="176"/>
        <v>-6.5908230408672219E-3</v>
      </c>
      <c r="I2222">
        <f t="shared" si="175"/>
        <v>0</v>
      </c>
      <c r="J2222">
        <f t="shared" si="177"/>
        <v>1</v>
      </c>
      <c r="K2222">
        <v>-1.8061343923211098E-2</v>
      </c>
      <c r="L2222">
        <v>3.2224305905402002E-3</v>
      </c>
      <c r="M2222">
        <v>1.35506183803081E-2</v>
      </c>
      <c r="N2222">
        <v>1.8988824449479601E-2</v>
      </c>
      <c r="O2222">
        <f t="shared" si="178"/>
        <v>3.0186642892658704E-2</v>
      </c>
    </row>
    <row r="2223" spans="1:15" x14ac:dyDescent="0.35">
      <c r="A2223" t="s">
        <v>146</v>
      </c>
      <c r="B2223">
        <v>2012</v>
      </c>
      <c r="C2223">
        <v>490377.28125</v>
      </c>
      <c r="D2223" s="8">
        <v>0.95859771966934204</v>
      </c>
      <c r="E2223" s="8">
        <v>0</v>
      </c>
      <c r="F2223">
        <v>2.55557189258551</v>
      </c>
      <c r="G2223">
        <f t="shared" si="174"/>
        <v>2.665948228488408</v>
      </c>
      <c r="H2223">
        <f t="shared" si="176"/>
        <v>3.4803604061530491E-2</v>
      </c>
      <c r="I2223">
        <f t="shared" si="175"/>
        <v>1</v>
      </c>
      <c r="J2223">
        <f t="shared" si="177"/>
        <v>2</v>
      </c>
      <c r="K2223">
        <v>1.35506183803081E-2</v>
      </c>
      <c r="L2223">
        <v>1.89032256603241E-2</v>
      </c>
      <c r="M2223">
        <v>4.0481500923633597E-2</v>
      </c>
      <c r="N2223">
        <v>3.4354729577899E-2</v>
      </c>
      <c r="O2223">
        <f t="shared" si="178"/>
        <v>3.2887483760714528E-2</v>
      </c>
    </row>
    <row r="2224" spans="1:15" x14ac:dyDescent="0.35">
      <c r="A2224" t="s">
        <v>146</v>
      </c>
      <c r="B2224">
        <v>2013</v>
      </c>
      <c r="C2224">
        <v>494300.90625</v>
      </c>
      <c r="D2224" s="8">
        <v>0.95985460281372104</v>
      </c>
      <c r="E2224" s="8">
        <v>1E-3</v>
      </c>
      <c r="F2224">
        <v>2.4464540816326501</v>
      </c>
      <c r="G2224">
        <f t="shared" si="174"/>
        <v>2.5487756942156721</v>
      </c>
      <c r="H2224">
        <f t="shared" si="176"/>
        <v>-4.39515415268108E-2</v>
      </c>
      <c r="I2224">
        <f t="shared" si="175"/>
        <v>0</v>
      </c>
      <c r="J2224">
        <f t="shared" si="177"/>
        <v>2</v>
      </c>
      <c r="K2224">
        <v>4.0481500923633597E-2</v>
      </c>
      <c r="L2224">
        <v>3.4354729577899E-2</v>
      </c>
      <c r="M2224">
        <v>4.1003650814294801E-2</v>
      </c>
      <c r="N2224">
        <v>3.8995627313852199E-2</v>
      </c>
      <c r="O2224">
        <f t="shared" si="178"/>
        <v>2.1139762736856936E-2</v>
      </c>
    </row>
    <row r="2225" spans="1:15" x14ac:dyDescent="0.35">
      <c r="A2225" t="s">
        <v>146</v>
      </c>
      <c r="B2225">
        <v>2014</v>
      </c>
      <c r="C2225">
        <v>498074.5</v>
      </c>
      <c r="D2225" s="8">
        <v>0.95383667945861805</v>
      </c>
      <c r="E2225" s="8">
        <v>1.9E-2</v>
      </c>
      <c r="F2225">
        <v>2.4462199141116501</v>
      </c>
      <c r="G2225">
        <f t="shared" si="174"/>
        <v>2.5646108676593187</v>
      </c>
      <c r="H2225">
        <f t="shared" si="176"/>
        <v>6.2128548540318906E-3</v>
      </c>
      <c r="I2225">
        <f t="shared" si="175"/>
        <v>1</v>
      </c>
      <c r="J2225">
        <f t="shared" si="177"/>
        <v>2</v>
      </c>
      <c r="K2225">
        <v>4.1003650814294801E-2</v>
      </c>
      <c r="L2225">
        <v>3.8995627313852199E-2</v>
      </c>
      <c r="M2225">
        <v>7.1853825986385303E-2</v>
      </c>
      <c r="N2225">
        <v>4.1590373963117599E-2</v>
      </c>
      <c r="O2225">
        <f t="shared" si="178"/>
        <v>8.8928876444697574E-3</v>
      </c>
    </row>
    <row r="2226" spans="1:15" x14ac:dyDescent="0.35">
      <c r="A2226" t="s">
        <v>146</v>
      </c>
      <c r="B2226">
        <v>2015</v>
      </c>
      <c r="C2226">
        <v>500027.09375</v>
      </c>
      <c r="D2226" s="8">
        <v>0.95514428615570102</v>
      </c>
      <c r="E2226" s="8">
        <v>1.2E-2</v>
      </c>
      <c r="F2226">
        <v>2.58820707005213</v>
      </c>
      <c r="G2226">
        <f t="shared" si="174"/>
        <v>2.7097550679690903</v>
      </c>
      <c r="H2226">
        <f t="shared" si="176"/>
        <v>5.659501881556106E-2</v>
      </c>
      <c r="I2226">
        <f t="shared" si="175"/>
        <v>1</v>
      </c>
      <c r="J2226">
        <f t="shared" si="177"/>
        <v>3</v>
      </c>
      <c r="K2226">
        <v>7.1853825986385303E-2</v>
      </c>
      <c r="L2226">
        <v>4.1590373963117599E-2</v>
      </c>
      <c r="M2226">
        <v>3.0157216161489499E-2</v>
      </c>
      <c r="N2226">
        <v>1.7003659158945101E-2</v>
      </c>
      <c r="O2226">
        <f t="shared" si="178"/>
        <v>-1.8469484522938382E-3</v>
      </c>
    </row>
    <row r="2227" spans="1:15" x14ac:dyDescent="0.35">
      <c r="A2227" t="s">
        <v>146</v>
      </c>
      <c r="B2227">
        <v>2016</v>
      </c>
      <c r="C2227">
        <v>501196.1875</v>
      </c>
      <c r="D2227" s="8">
        <v>0.95815163850784302</v>
      </c>
      <c r="E2227" s="8">
        <v>1.2E-2</v>
      </c>
      <c r="F2227">
        <v>2.5198342296390699</v>
      </c>
      <c r="G2227">
        <f t="shared" si="174"/>
        <v>2.6298908527289897</v>
      </c>
      <c r="H2227">
        <f t="shared" si="176"/>
        <v>-2.9472853906296836E-2</v>
      </c>
      <c r="I2227">
        <f t="shared" si="175"/>
        <v>0</v>
      </c>
      <c r="J2227">
        <f t="shared" si="177"/>
        <v>3</v>
      </c>
      <c r="K2227">
        <v>3.0157216161489499E-2</v>
      </c>
      <c r="L2227">
        <v>1.7003659158945101E-2</v>
      </c>
      <c r="M2227">
        <v>3.5282602250576001E-2</v>
      </c>
      <c r="N2227">
        <v>3.2493028789758703E-2</v>
      </c>
      <c r="O2227">
        <f t="shared" si="178"/>
        <v>-9.0357208624481985E-3</v>
      </c>
    </row>
    <row r="2228" spans="1:15" x14ac:dyDescent="0.35">
      <c r="A2228" t="s">
        <v>146</v>
      </c>
      <c r="B2228">
        <v>2017</v>
      </c>
      <c r="C2228">
        <v>499565.40625</v>
      </c>
      <c r="D2228" s="8">
        <v>0.96868884563446001</v>
      </c>
      <c r="E2228" s="8">
        <v>-6.0000000000000001E-3</v>
      </c>
      <c r="F2228">
        <v>2.54558831543953</v>
      </c>
      <c r="G2228">
        <f t="shared" si="174"/>
        <v>2.627869957325927</v>
      </c>
      <c r="H2228">
        <f t="shared" si="176"/>
        <v>-7.684331845808634E-4</v>
      </c>
      <c r="I2228">
        <f t="shared" si="175"/>
        <v>0</v>
      </c>
      <c r="J2228">
        <f t="shared" si="177"/>
        <v>2</v>
      </c>
      <c r="K2228">
        <v>3.5282602250576001E-2</v>
      </c>
      <c r="L2228">
        <v>3.2493028789758703E-2</v>
      </c>
      <c r="M2228">
        <v>-1.52488525733351E-2</v>
      </c>
      <c r="N2228">
        <v>-2.4383875541388898E-2</v>
      </c>
      <c r="O2228">
        <f t="shared" si="178"/>
        <v>-2.0708995871245823E-2</v>
      </c>
    </row>
    <row r="2229" spans="1:15" x14ac:dyDescent="0.35">
      <c r="A2229" t="s">
        <v>146</v>
      </c>
      <c r="B2229">
        <v>2018</v>
      </c>
      <c r="C2229">
        <v>494401.875</v>
      </c>
      <c r="D2229" s="8">
        <v>0.95335543155670199</v>
      </c>
      <c r="E2229" s="8">
        <v>5.0000000000000001E-3</v>
      </c>
      <c r="F2229">
        <v>2.4766094450380902</v>
      </c>
      <c r="G2229">
        <f t="shared" si="174"/>
        <v>2.5977818587492787</v>
      </c>
      <c r="H2229">
        <f t="shared" si="176"/>
        <v>-1.1449614731797952E-2</v>
      </c>
      <c r="I2229">
        <f t="shared" si="175"/>
        <v>0</v>
      </c>
      <c r="J2229">
        <f t="shared" si="177"/>
        <v>2</v>
      </c>
      <c r="K2229">
        <v>-1.52488525733351E-2</v>
      </c>
      <c r="L2229">
        <v>-2.4383875541388898E-2</v>
      </c>
      <c r="M2229">
        <v>-4.4375535398721898E-3</v>
      </c>
      <c r="N2229">
        <v>-2.2238748148083701E-2</v>
      </c>
      <c r="O2229">
        <f t="shared" si="178"/>
        <v>-1.6572355851530999E-2</v>
      </c>
    </row>
    <row r="2230" spans="1:15" x14ac:dyDescent="0.35">
      <c r="A2230" t="s">
        <v>146</v>
      </c>
      <c r="B2230">
        <v>2019</v>
      </c>
      <c r="C2230">
        <v>490070.1875</v>
      </c>
      <c r="D2230" s="8">
        <v>0.94364285469055198</v>
      </c>
      <c r="E2230" s="8">
        <v>0.02</v>
      </c>
      <c r="F2230">
        <v>2.5014518902765599</v>
      </c>
      <c r="G2230">
        <f t="shared" si="174"/>
        <v>2.6508460037000532</v>
      </c>
      <c r="H2230">
        <f t="shared" si="176"/>
        <v>2.0426713186888934E-2</v>
      </c>
      <c r="I2230">
        <f t="shared" si="175"/>
        <v>1</v>
      </c>
      <c r="J2230" t="str">
        <f t="shared" si="177"/>
        <v/>
      </c>
      <c r="K2230">
        <v>-4.4375535398721898E-3</v>
      </c>
      <c r="L2230">
        <v>-2.2238748148083701E-2</v>
      </c>
      <c r="M2230">
        <v>6.7403839081526E-3</v>
      </c>
      <c r="N2230">
        <v>-1.2108806520700399E-2</v>
      </c>
      <c r="O2230">
        <f t="shared" si="178"/>
        <v>-1.342348810285326E-2</v>
      </c>
    </row>
    <row r="2231" spans="1:15" x14ac:dyDescent="0.35">
      <c r="A2231" t="s">
        <v>146</v>
      </c>
      <c r="B2231">
        <v>2020</v>
      </c>
      <c r="C2231">
        <v>487500.6875</v>
      </c>
      <c r="D2231" s="8">
        <v>0.94157886505126998</v>
      </c>
      <c r="E2231" s="8">
        <v>0.03</v>
      </c>
      <c r="F2231">
        <v>2.24972546467645</v>
      </c>
      <c r="G2231">
        <f t="shared" si="174"/>
        <v>2.389311770027835</v>
      </c>
      <c r="H2231">
        <f t="shared" si="176"/>
        <v>-9.8660666559720389E-2</v>
      </c>
      <c r="I2231">
        <f t="shared" si="175"/>
        <v>0</v>
      </c>
      <c r="J2231" t="str">
        <f t="shared" si="177"/>
        <v/>
      </c>
      <c r="K2231">
        <v>6.7403839081526E-3</v>
      </c>
      <c r="L2231">
        <v>-1.2108806520700399E-2</v>
      </c>
      <c r="M2231">
        <v>2.4649409830570099E-2</v>
      </c>
      <c r="N2231">
        <v>-1.8940202891826699E-2</v>
      </c>
      <c r="O2231">
        <f t="shared" si="178"/>
        <v>-1.516764489933844E-2</v>
      </c>
    </row>
    <row r="2232" spans="1:15" x14ac:dyDescent="0.35">
      <c r="A2232" t="s">
        <v>146</v>
      </c>
      <c r="B2232">
        <v>2021</v>
      </c>
      <c r="C2232">
        <v>484162.6875</v>
      </c>
      <c r="D2232" s="8">
        <v>0.97565901279449496</v>
      </c>
      <c r="E2232" s="8">
        <v>3.0000000000000001E-3</v>
      </c>
      <c r="F2232">
        <v>2.51701725192359</v>
      </c>
      <c r="G2232">
        <f t="shared" si="174"/>
        <v>2.579812433356524</v>
      </c>
      <c r="H2232">
        <f t="shared" si="176"/>
        <v>7.9730349851526272E-2</v>
      </c>
      <c r="I2232">
        <f t="shared" si="175"/>
        <v>1</v>
      </c>
      <c r="J2232" t="str">
        <f t="shared" si="177"/>
        <v/>
      </c>
      <c r="K2232">
        <v>2.4649409830570099E-2</v>
      </c>
      <c r="L2232">
        <v>-1.8940202891826699E-2</v>
      </c>
      <c r="M2232">
        <v>-5.7976853027939798E-2</v>
      </c>
      <c r="N2232">
        <v>-2.58733462542294E-2</v>
      </c>
      <c r="O2232">
        <f t="shared" si="178"/>
        <v>-1.386877140030258E-2</v>
      </c>
    </row>
    <row r="2233" spans="1:15" x14ac:dyDescent="0.35">
      <c r="A2233" t="s">
        <v>146</v>
      </c>
      <c r="B2233">
        <v>2022</v>
      </c>
      <c r="C2233">
        <v>483302.625</v>
      </c>
      <c r="D2233" s="8">
        <v>0.95669639110565197</v>
      </c>
      <c r="E2233" s="8">
        <v>1.4E-2</v>
      </c>
      <c r="F2233">
        <v>2.3244602551521099</v>
      </c>
      <c r="G2233">
        <f t="shared" si="174"/>
        <v>2.4296739036150603</v>
      </c>
      <c r="H2233">
        <f t="shared" si="176"/>
        <v>-5.8197459551787123E-2</v>
      </c>
      <c r="I2233">
        <f t="shared" si="175"/>
        <v>0</v>
      </c>
      <c r="J2233" t="str">
        <f t="shared" si="177"/>
        <v/>
      </c>
      <c r="K2233">
        <v>-5.7976853027939798E-2</v>
      </c>
      <c r="L2233">
        <v>-2.5394642725586801E-2</v>
      </c>
      <c r="M2233">
        <v>-2.3259603217244101E-2</v>
      </c>
      <c r="N2233">
        <v>-3.7006754428147901E-3</v>
      </c>
      <c r="O2233">
        <f t="shared" si="178"/>
        <v>-7.166565442457762E-3</v>
      </c>
    </row>
    <row r="2234" spans="1:15" x14ac:dyDescent="0.35">
      <c r="A2234" t="s">
        <v>147</v>
      </c>
      <c r="B2234">
        <v>2006</v>
      </c>
      <c r="C2234">
        <v>686744.0625</v>
      </c>
      <c r="D2234" s="8">
        <v>0.90852278470992998</v>
      </c>
      <c r="E2234" s="8">
        <v>2.9000000000000001E-2</v>
      </c>
      <c r="F2234">
        <v>2.4057682545619699</v>
      </c>
      <c r="G2234">
        <f t="shared" si="174"/>
        <v>2.6479999126605009</v>
      </c>
      <c r="H2234">
        <f t="shared" si="176"/>
        <v>8.9858152865945451E-2</v>
      </c>
      <c r="I2234">
        <f t="shared" si="175"/>
        <v>1</v>
      </c>
      <c r="J2234" t="str">
        <f t="shared" si="177"/>
        <v/>
      </c>
      <c r="K2234">
        <v>2.6140303939580799E-2</v>
      </c>
      <c r="L2234">
        <v>1.9777264446020099E-2</v>
      </c>
      <c r="M2234">
        <v>-7.4161653369664996E-3</v>
      </c>
      <c r="N2234">
        <v>-6.4944094046950002E-3</v>
      </c>
      <c r="O2234" t="str">
        <f t="shared" si="178"/>
        <v/>
      </c>
    </row>
    <row r="2235" spans="1:15" x14ac:dyDescent="0.35">
      <c r="A2235" t="s">
        <v>147</v>
      </c>
      <c r="B2235">
        <v>2007</v>
      </c>
      <c r="C2235">
        <v>692782.6875</v>
      </c>
      <c r="D2235" s="8">
        <v>0.88404577970504805</v>
      </c>
      <c r="E2235" s="8">
        <v>1.7000000000000001E-2</v>
      </c>
      <c r="F2235">
        <v>2.2285055063273198</v>
      </c>
      <c r="G2235">
        <f t="shared" si="174"/>
        <v>2.5208032858556666</v>
      </c>
      <c r="H2235">
        <f t="shared" si="176"/>
        <v>-4.8034981495538309E-2</v>
      </c>
      <c r="I2235">
        <f t="shared" si="175"/>
        <v>0</v>
      </c>
      <c r="J2235" t="str">
        <f t="shared" si="177"/>
        <v/>
      </c>
      <c r="K2235">
        <v>-7.4161653369664996E-3</v>
      </c>
      <c r="L2235">
        <v>-6.4944094046950002E-3</v>
      </c>
      <c r="M2235">
        <v>-5.03403947800398E-2</v>
      </c>
      <c r="N2235">
        <v>-2.08295905031263E-2</v>
      </c>
      <c r="O2235" t="str">
        <f t="shared" si="178"/>
        <v/>
      </c>
    </row>
    <row r="2236" spans="1:15" x14ac:dyDescent="0.35">
      <c r="A2236" t="s">
        <v>147</v>
      </c>
      <c r="B2236">
        <v>2008</v>
      </c>
      <c r="C2236">
        <v>696480.75</v>
      </c>
      <c r="D2236" s="8">
        <v>0.89595907926559404</v>
      </c>
      <c r="E2236" s="8">
        <v>2E-3</v>
      </c>
      <c r="F2236">
        <v>2.2433080724876402</v>
      </c>
      <c r="G2236">
        <f t="shared" si="174"/>
        <v>2.5038063951831937</v>
      </c>
      <c r="H2236">
        <f t="shared" si="176"/>
        <v>-6.7426485707327011E-3</v>
      </c>
      <c r="I2236">
        <f t="shared" si="175"/>
        <v>0</v>
      </c>
      <c r="J2236" t="str">
        <f t="shared" si="177"/>
        <v/>
      </c>
      <c r="K2236">
        <v>-5.03403947800398E-2</v>
      </c>
      <c r="L2236">
        <v>-2.08295905031263E-2</v>
      </c>
      <c r="M2236">
        <v>-3.9012537062168097E-2</v>
      </c>
      <c r="N2236">
        <v>-1.24458353966474E-2</v>
      </c>
      <c r="O2236" t="str">
        <f t="shared" si="178"/>
        <v/>
      </c>
    </row>
    <row r="2237" spans="1:15" x14ac:dyDescent="0.35">
      <c r="A2237" t="s">
        <v>147</v>
      </c>
      <c r="B2237">
        <v>2009</v>
      </c>
      <c r="C2237">
        <v>699263.4375</v>
      </c>
      <c r="D2237" s="8">
        <v>0.90063893795013406</v>
      </c>
      <c r="E2237" s="8">
        <v>1.0999999999999999E-2</v>
      </c>
      <c r="F2237">
        <v>2.28349835871495</v>
      </c>
      <c r="G2237">
        <f t="shared" si="174"/>
        <v>2.5354204248732817</v>
      </c>
      <c r="H2237">
        <f t="shared" si="176"/>
        <v>1.2626387467859601E-2</v>
      </c>
      <c r="I2237">
        <f t="shared" si="175"/>
        <v>1</v>
      </c>
      <c r="J2237" t="str">
        <f t="shared" si="177"/>
        <v/>
      </c>
      <c r="K2237">
        <v>-3.9012537062168097E-2</v>
      </c>
      <c r="L2237">
        <v>-1.24458353966474E-2</v>
      </c>
      <c r="M2237">
        <v>-1.822425223887E-3</v>
      </c>
      <c r="N2237">
        <v>7.6376835349946798E-3</v>
      </c>
      <c r="O2237" t="str">
        <f t="shared" si="178"/>
        <v/>
      </c>
    </row>
    <row r="2238" spans="1:15" x14ac:dyDescent="0.35">
      <c r="A2238" t="s">
        <v>147</v>
      </c>
      <c r="B2238">
        <v>2010</v>
      </c>
      <c r="C2238">
        <v>704182.9375</v>
      </c>
      <c r="D2238" s="8">
        <v>0.91767382621765103</v>
      </c>
      <c r="E2238" s="8">
        <v>0</v>
      </c>
      <c r="F2238">
        <v>2.2446696392379399</v>
      </c>
      <c r="G2238">
        <f t="shared" si="174"/>
        <v>2.446043000365095</v>
      </c>
      <c r="H2238">
        <f t="shared" si="176"/>
        <v>-3.52515202730741E-2</v>
      </c>
      <c r="I2238">
        <f t="shared" si="175"/>
        <v>0</v>
      </c>
      <c r="J2238">
        <f t="shared" si="177"/>
        <v>2</v>
      </c>
      <c r="K2238">
        <v>-1.822425223887E-3</v>
      </c>
      <c r="L2238">
        <v>7.6376835349946798E-3</v>
      </c>
      <c r="M2238">
        <v>-1.8632424406707301E-2</v>
      </c>
      <c r="N2238">
        <v>2.6513501070439898E-3</v>
      </c>
      <c r="O2238">
        <f t="shared" si="178"/>
        <v>9.4098732806742174E-3</v>
      </c>
    </row>
    <row r="2239" spans="1:15" x14ac:dyDescent="0.35">
      <c r="A2239" t="s">
        <v>147</v>
      </c>
      <c r="B2239">
        <v>2011</v>
      </c>
      <c r="C2239">
        <v>709920.25</v>
      </c>
      <c r="D2239" s="8">
        <v>0.92357963323593095</v>
      </c>
      <c r="E2239" s="8">
        <v>0</v>
      </c>
      <c r="F2239">
        <v>2.3022958006460499</v>
      </c>
      <c r="G2239">
        <f t="shared" si="174"/>
        <v>2.4927962005609992</v>
      </c>
      <c r="H2239">
        <f t="shared" si="176"/>
        <v>1.9113809605524335E-2</v>
      </c>
      <c r="I2239">
        <f t="shared" si="175"/>
        <v>1</v>
      </c>
      <c r="J2239">
        <f t="shared" si="177"/>
        <v>2</v>
      </c>
      <c r="K2239">
        <v>-1.8632424406707301E-2</v>
      </c>
      <c r="L2239">
        <v>2.6513501070439898E-3</v>
      </c>
      <c r="M2239">
        <v>8.7240310013289904E-4</v>
      </c>
      <c r="N2239">
        <v>6.3106091693042998E-3</v>
      </c>
      <c r="O2239">
        <f t="shared" si="178"/>
        <v>6.6149488091468787E-3</v>
      </c>
    </row>
    <row r="2240" spans="1:15" x14ac:dyDescent="0.35">
      <c r="A2240" t="s">
        <v>147</v>
      </c>
      <c r="B2240">
        <v>2012</v>
      </c>
      <c r="C2240">
        <v>719144.3125</v>
      </c>
      <c r="D2240" s="8">
        <v>0.946253061294556</v>
      </c>
      <c r="E2240" s="8">
        <v>-3.0000000000000001E-3</v>
      </c>
      <c r="F2240">
        <v>2.2299532310433299</v>
      </c>
      <c r="G2240">
        <f t="shared" si="174"/>
        <v>2.3566140203473278</v>
      </c>
      <c r="H2240">
        <f t="shared" si="176"/>
        <v>-5.4630290347451482E-2</v>
      </c>
      <c r="I2240">
        <f t="shared" si="175"/>
        <v>0</v>
      </c>
      <c r="J2240">
        <f t="shared" si="177"/>
        <v>2</v>
      </c>
      <c r="K2240">
        <v>8.7240310013289904E-4</v>
      </c>
      <c r="L2240">
        <v>6.2250103801488E-3</v>
      </c>
      <c r="M2240">
        <v>1.48849418759346E-2</v>
      </c>
      <c r="N2240">
        <v>8.7581705301999994E-3</v>
      </c>
      <c r="O2240">
        <f t="shared" si="178"/>
        <v>6.1622230336070196E-3</v>
      </c>
    </row>
    <row r="2241" spans="1:15" x14ac:dyDescent="0.35">
      <c r="A2241" t="s">
        <v>147</v>
      </c>
      <c r="B2241">
        <v>2013</v>
      </c>
      <c r="C2241">
        <v>729906.9375</v>
      </c>
      <c r="D2241" s="8">
        <v>0.95631307363510099</v>
      </c>
      <c r="E2241" s="8">
        <v>0</v>
      </c>
      <c r="F2241">
        <v>2.3634331153999502</v>
      </c>
      <c r="G2241">
        <f t="shared" si="174"/>
        <v>2.4714010302255494</v>
      </c>
      <c r="H2241">
        <f t="shared" si="176"/>
        <v>4.8708447326178517E-2</v>
      </c>
      <c r="I2241">
        <f t="shared" si="175"/>
        <v>1</v>
      </c>
      <c r="J2241">
        <f t="shared" si="177"/>
        <v>3</v>
      </c>
      <c r="K2241">
        <v>1.48849418759346E-2</v>
      </c>
      <c r="L2241">
        <v>8.7581705301999994E-3</v>
      </c>
      <c r="M2241">
        <v>2.08119664490223E-2</v>
      </c>
      <c r="N2241">
        <v>1.8803942948579799E-2</v>
      </c>
      <c r="O2241">
        <f t="shared" si="178"/>
        <v>4.6450154855847596E-3</v>
      </c>
    </row>
    <row r="2242" spans="1:15" x14ac:dyDescent="0.35">
      <c r="A2242" t="s">
        <v>147</v>
      </c>
      <c r="B2242">
        <v>2014</v>
      </c>
      <c r="C2242">
        <v>744946.6875</v>
      </c>
      <c r="D2242" s="8">
        <v>0.95402640104293801</v>
      </c>
      <c r="E2242" s="8">
        <v>2.3E-2</v>
      </c>
      <c r="F2242">
        <v>2.2559914013281102</v>
      </c>
      <c r="G2242">
        <f t="shared" si="174"/>
        <v>2.3647054199567945</v>
      </c>
      <c r="H2242">
        <f t="shared" si="176"/>
        <v>-4.3172115315909476E-2</v>
      </c>
      <c r="I2242">
        <f t="shared" si="175"/>
        <v>0</v>
      </c>
      <c r="J2242">
        <f t="shared" si="177"/>
        <v>2</v>
      </c>
      <c r="K2242">
        <v>2.08119664490223E-2</v>
      </c>
      <c r="L2242">
        <v>1.8803942948579799E-2</v>
      </c>
      <c r="M2242">
        <v>4.0788745671510702E-2</v>
      </c>
      <c r="N2242">
        <v>1.0525293648243001E-2</v>
      </c>
      <c r="O2242">
        <f t="shared" si="178"/>
        <v>-8.8590737432238007E-4</v>
      </c>
    </row>
    <row r="2243" spans="1:15" x14ac:dyDescent="0.35">
      <c r="A2243" t="s">
        <v>147</v>
      </c>
      <c r="B2243">
        <v>2015</v>
      </c>
      <c r="C2243">
        <v>763556.375</v>
      </c>
      <c r="D2243" s="8">
        <v>0.94623684883117698</v>
      </c>
      <c r="E2243" s="8">
        <v>4.4999999999999998E-2</v>
      </c>
      <c r="F2243">
        <v>2.3283538718183201</v>
      </c>
      <c r="G2243">
        <f t="shared" ref="G2243:G2306" si="179">F2243/D2243</f>
        <v>2.4606459521148216</v>
      </c>
      <c r="H2243">
        <f t="shared" si="176"/>
        <v>4.0571874766447635E-2</v>
      </c>
      <c r="I2243">
        <f t="shared" ref="I2243:I2306" si="180">IF(H2243&gt;0,1,0)</f>
        <v>1</v>
      </c>
      <c r="J2243">
        <f t="shared" si="177"/>
        <v>3</v>
      </c>
      <c r="K2243">
        <v>4.0788745671510702E-2</v>
      </c>
      <c r="L2243">
        <v>1.0525293648243001E-2</v>
      </c>
      <c r="M2243">
        <v>1.8302847519517001E-3</v>
      </c>
      <c r="N2243">
        <v>-1.13232722505927E-2</v>
      </c>
      <c r="O2243">
        <f t="shared" si="178"/>
        <v>-5.8158716186880802E-3</v>
      </c>
    </row>
    <row r="2244" spans="1:15" x14ac:dyDescent="0.35">
      <c r="A2244" t="s">
        <v>147</v>
      </c>
      <c r="B2244">
        <v>2016</v>
      </c>
      <c r="C2244">
        <v>781765.375</v>
      </c>
      <c r="D2244" s="8">
        <v>0.92520773410797097</v>
      </c>
      <c r="E2244" s="8">
        <v>8.5999999999999993E-2</v>
      </c>
      <c r="F2244">
        <v>2.2553383637335802</v>
      </c>
      <c r="G2244">
        <f t="shared" si="179"/>
        <v>2.4376561939444228</v>
      </c>
      <c r="H2244">
        <f t="shared" ref="H2244:H2307" si="181">+G2244/G2243-1</f>
        <v>-9.3429768515215228E-3</v>
      </c>
      <c r="I2244">
        <f t="shared" si="180"/>
        <v>0</v>
      </c>
      <c r="J2244">
        <f t="shared" si="177"/>
        <v>2</v>
      </c>
      <c r="K2244">
        <v>1.8302847519517001E-3</v>
      </c>
      <c r="L2244">
        <v>-1.13232722505927E-2</v>
      </c>
      <c r="M2244">
        <v>6.8365537524223002E-3</v>
      </c>
      <c r="N2244">
        <v>4.0469802916050001E-3</v>
      </c>
      <c r="O2244">
        <f t="shared" si="178"/>
        <v>2.6780337840318656E-2</v>
      </c>
    </row>
    <row r="2245" spans="1:15" x14ac:dyDescent="0.35">
      <c r="A2245" t="s">
        <v>147</v>
      </c>
      <c r="B2245">
        <v>2017</v>
      </c>
      <c r="C2245">
        <v>796292.4375</v>
      </c>
      <c r="D2245" s="8">
        <v>0.94568789005279497</v>
      </c>
      <c r="E2245" s="8">
        <v>2.5000000000000001E-2</v>
      </c>
      <c r="F2245">
        <v>2.1892177338966099</v>
      </c>
      <c r="G2245">
        <f t="shared" si="179"/>
        <v>2.314947412274035</v>
      </c>
      <c r="H2245">
        <f t="shared" si="181"/>
        <v>-5.033883858405408E-2</v>
      </c>
      <c r="I2245">
        <f t="shared" si="180"/>
        <v>0</v>
      </c>
      <c r="J2245">
        <f t="shared" si="177"/>
        <v>2</v>
      </c>
      <c r="K2245">
        <v>6.8365537524223002E-3</v>
      </c>
      <c r="L2245">
        <v>4.0469802916050001E-3</v>
      </c>
      <c r="M2245">
        <v>1.03071557581424E-2</v>
      </c>
      <c r="N2245">
        <v>1.1721327900887E-3</v>
      </c>
      <c r="O2245">
        <f t="shared" si="178"/>
        <v>2.1443432942032797E-2</v>
      </c>
    </row>
    <row r="2246" spans="1:15" x14ac:dyDescent="0.35">
      <c r="A2246" t="s">
        <v>147</v>
      </c>
      <c r="B2246">
        <v>2018</v>
      </c>
      <c r="C2246">
        <v>810338.375</v>
      </c>
      <c r="D2246" s="8">
        <v>0.92959624528884899</v>
      </c>
      <c r="E2246" s="8">
        <v>6.4000000000000001E-2</v>
      </c>
      <c r="F2246">
        <v>2.2952413540843102</v>
      </c>
      <c r="G2246">
        <f t="shared" si="179"/>
        <v>2.4690733915035561</v>
      </c>
      <c r="H2246">
        <f t="shared" si="181"/>
        <v>6.6578609264440702E-2</v>
      </c>
      <c r="I2246">
        <f t="shared" si="180"/>
        <v>1</v>
      </c>
      <c r="J2246">
        <f t="shared" si="177"/>
        <v>2</v>
      </c>
      <c r="K2246">
        <v>1.03071557581424E-2</v>
      </c>
      <c r="L2246">
        <v>1.1721327900887E-3</v>
      </c>
      <c r="M2246">
        <v>8.9505232572556007E-3</v>
      </c>
      <c r="N2246">
        <v>-8.8506713509559007E-3</v>
      </c>
      <c r="O2246">
        <f t="shared" si="178"/>
        <v>1.0701177269220322E-2</v>
      </c>
    </row>
    <row r="2247" spans="1:15" x14ac:dyDescent="0.35">
      <c r="A2247" t="s">
        <v>147</v>
      </c>
      <c r="B2247">
        <v>2019</v>
      </c>
      <c r="C2247">
        <v>825770.625</v>
      </c>
      <c r="D2247" s="8">
        <v>0.89529067277908303</v>
      </c>
      <c r="E2247" s="8">
        <v>8.1000000000000003E-2</v>
      </c>
      <c r="F2247">
        <v>2.18800978270612</v>
      </c>
      <c r="G2247">
        <f t="shared" si="179"/>
        <v>2.4439099492841709</v>
      </c>
      <c r="H2247">
        <f t="shared" si="181"/>
        <v>-1.0191451702479259E-2</v>
      </c>
      <c r="I2247">
        <f t="shared" si="180"/>
        <v>0</v>
      </c>
      <c r="J2247" t="str">
        <f t="shared" ref="J2247:J2310" si="182">IF(AND(B2247&gt;=2010,B2247&lt;=2018),SUM(I2243:I2247),"")</f>
        <v/>
      </c>
      <c r="K2247">
        <v>8.9505232572556007E-3</v>
      </c>
      <c r="L2247">
        <v>-8.8506713509559007E-3</v>
      </c>
      <c r="M2247">
        <v>4.7246628552675002E-3</v>
      </c>
      <c r="N2247">
        <v>-1.41245275735855E-2</v>
      </c>
      <c r="O2247">
        <f t="shared" ref="O2247:O2310" si="183">IF(B2247&gt;=2010,AVERAGE(N2247:N2251),"")</f>
        <v>1.2923055700957736E-2</v>
      </c>
    </row>
    <row r="2248" spans="1:15" x14ac:dyDescent="0.35">
      <c r="A2248" t="s">
        <v>147</v>
      </c>
      <c r="B2248">
        <v>2020</v>
      </c>
      <c r="C2248">
        <v>844032.25</v>
      </c>
      <c r="D2248" s="8">
        <v>0.90556615591049205</v>
      </c>
      <c r="E2248" s="8">
        <v>7.8E-2</v>
      </c>
      <c r="F2248">
        <v>2.1432895488292401</v>
      </c>
      <c r="G2248">
        <f t="shared" si="179"/>
        <v>2.3667951091594097</v>
      </c>
      <c r="H2248">
        <f t="shared" si="181"/>
        <v>-3.1553879531178497E-2</v>
      </c>
      <c r="I2248">
        <f t="shared" si="180"/>
        <v>0</v>
      </c>
      <c r="J2248" t="str">
        <f t="shared" si="182"/>
        <v/>
      </c>
      <c r="K2248">
        <v>4.7246628552675002E-3</v>
      </c>
      <c r="L2248">
        <v>-1.41245275735855E-2</v>
      </c>
      <c r="M2248">
        <v>0.19524738776683701</v>
      </c>
      <c r="N2248">
        <v>0.151657775044441</v>
      </c>
      <c r="O2248">
        <f t="shared" si="183"/>
        <v>1.5298799704760275E-2</v>
      </c>
    </row>
    <row r="2249" spans="1:15" x14ac:dyDescent="0.35">
      <c r="A2249" t="s">
        <v>147</v>
      </c>
      <c r="B2249">
        <v>2021</v>
      </c>
      <c r="C2249">
        <v>870399.75</v>
      </c>
      <c r="D2249" s="8">
        <v>0.96879106760025002</v>
      </c>
      <c r="E2249" s="8">
        <v>5.6000000000000001E-2</v>
      </c>
      <c r="F2249">
        <v>2.1063918548668901</v>
      </c>
      <c r="G2249">
        <f t="shared" si="179"/>
        <v>2.1742478077182743</v>
      </c>
      <c r="H2249">
        <f t="shared" si="181"/>
        <v>-8.1353599513529717E-2</v>
      </c>
      <c r="I2249">
        <f t="shared" si="180"/>
        <v>0</v>
      </c>
      <c r="J2249" t="str">
        <f t="shared" si="182"/>
        <v/>
      </c>
      <c r="K2249">
        <v>0.19524738776683701</v>
      </c>
      <c r="L2249">
        <v>0.151657775044441</v>
      </c>
      <c r="M2249">
        <v>-5.47410509735346E-2</v>
      </c>
      <c r="N2249">
        <v>-2.2637544199824298E-2</v>
      </c>
      <c r="O2249">
        <f t="shared" si="183"/>
        <v>-1.3874735776334995E-2</v>
      </c>
    </row>
    <row r="2250" spans="1:15" x14ac:dyDescent="0.35">
      <c r="A2250" t="s">
        <v>147</v>
      </c>
      <c r="B2250">
        <v>2022</v>
      </c>
      <c r="C2250">
        <v>900046.375</v>
      </c>
      <c r="D2250" s="8">
        <v>0.938318312168121</v>
      </c>
      <c r="E2250" s="8">
        <v>4.1000000000000002E-2</v>
      </c>
      <c r="F2250">
        <v>2.20633310681285</v>
      </c>
      <c r="G2250">
        <f t="shared" si="179"/>
        <v>2.3513695493321412</v>
      </c>
      <c r="H2250">
        <f t="shared" si="181"/>
        <v>8.1463456458417349E-2</v>
      </c>
      <c r="I2250">
        <f t="shared" si="180"/>
        <v>1</v>
      </c>
      <c r="J2250" t="str">
        <f t="shared" si="182"/>
        <v/>
      </c>
      <c r="K2250">
        <v>-5.47410509735346E-2</v>
      </c>
      <c r="L2250">
        <v>-2.21588406711817E-2</v>
      </c>
      <c r="M2250">
        <v>-7.2098073348403E-2</v>
      </c>
      <c r="N2250">
        <v>-5.2539145573973697E-2</v>
      </c>
      <c r="O2250">
        <f t="shared" si="183"/>
        <v>-7.6833645347505804E-3</v>
      </c>
    </row>
    <row r="2251" spans="1:15" x14ac:dyDescent="0.35">
      <c r="A2251" t="s">
        <v>148</v>
      </c>
      <c r="B2251">
        <v>2006</v>
      </c>
      <c r="C2251">
        <v>558196</v>
      </c>
      <c r="D2251" s="8">
        <v>0.94898718595504805</v>
      </c>
      <c r="E2251" s="8">
        <v>1.4E-2</v>
      </c>
      <c r="F2251">
        <v>2.0040043633752598</v>
      </c>
      <c r="G2251">
        <f t="shared" si="179"/>
        <v>2.1117296345350085</v>
      </c>
      <c r="H2251">
        <f t="shared" si="181"/>
        <v>-0.10191503707496663</v>
      </c>
      <c r="I2251">
        <f t="shared" si="180"/>
        <v>0</v>
      </c>
      <c r="J2251" t="str">
        <f t="shared" si="182"/>
        <v/>
      </c>
      <c r="K2251">
        <v>-1.6486014872788999E-3</v>
      </c>
      <c r="L2251">
        <v>-8.0116409808396894E-3</v>
      </c>
      <c r="M2251">
        <v>1.3369648754596899E-3</v>
      </c>
      <c r="N2251">
        <v>2.2587208077311902E-3</v>
      </c>
      <c r="O2251" t="str">
        <f t="shared" si="183"/>
        <v/>
      </c>
    </row>
    <row r="2252" spans="1:15" x14ac:dyDescent="0.35">
      <c r="A2252" t="s">
        <v>148</v>
      </c>
      <c r="B2252">
        <v>2007</v>
      </c>
      <c r="C2252">
        <v>560407.3125</v>
      </c>
      <c r="D2252" s="8">
        <v>0.94663828611373901</v>
      </c>
      <c r="E2252" s="8">
        <v>0</v>
      </c>
      <c r="F2252">
        <v>2.1450897163804701</v>
      </c>
      <c r="G2252">
        <f t="shared" si="179"/>
        <v>2.2660077749303462</v>
      </c>
      <c r="H2252">
        <f t="shared" si="181"/>
        <v>7.3057714336290491E-2</v>
      </c>
      <c r="I2252">
        <f t="shared" si="180"/>
        <v>1</v>
      </c>
      <c r="J2252" t="str">
        <f t="shared" si="182"/>
        <v/>
      </c>
      <c r="K2252">
        <v>1.3369648754596899E-3</v>
      </c>
      <c r="L2252">
        <v>2.2587208077311902E-3</v>
      </c>
      <c r="M2252">
        <v>-3.1756611831486203E-2</v>
      </c>
      <c r="N2252">
        <v>-2.2458075545728198E-3</v>
      </c>
      <c r="O2252" t="str">
        <f t="shared" si="183"/>
        <v/>
      </c>
    </row>
    <row r="2253" spans="1:15" x14ac:dyDescent="0.35">
      <c r="A2253" t="s">
        <v>148</v>
      </c>
      <c r="B2253">
        <v>2008</v>
      </c>
      <c r="C2253">
        <v>561918.0625</v>
      </c>
      <c r="D2253" s="8">
        <v>0.93822556734085105</v>
      </c>
      <c r="E2253" s="8">
        <v>1E-3</v>
      </c>
      <c r="F2253">
        <v>2.0931204484596702</v>
      </c>
      <c r="G2253">
        <f t="shared" si="179"/>
        <v>2.2309352050510189</v>
      </c>
      <c r="H2253">
        <f t="shared" si="181"/>
        <v>-1.5477691765821699E-2</v>
      </c>
      <c r="I2253">
        <f t="shared" si="180"/>
        <v>0</v>
      </c>
      <c r="J2253" t="str">
        <f t="shared" si="182"/>
        <v/>
      </c>
      <c r="K2253">
        <v>-3.1756611831486203E-2</v>
      </c>
      <c r="L2253">
        <v>-2.2458075545728198E-3</v>
      </c>
      <c r="M2253">
        <v>-2.0776604026556001E-2</v>
      </c>
      <c r="N2253">
        <v>5.79009763896464E-3</v>
      </c>
      <c r="O2253" t="str">
        <f t="shared" si="183"/>
        <v/>
      </c>
    </row>
    <row r="2254" spans="1:15" x14ac:dyDescent="0.35">
      <c r="A2254" t="s">
        <v>148</v>
      </c>
      <c r="B2254">
        <v>2009</v>
      </c>
      <c r="C2254">
        <v>563274.625</v>
      </c>
      <c r="D2254" s="8">
        <v>0.94642442464828502</v>
      </c>
      <c r="E2254" s="8">
        <v>2E-3</v>
      </c>
      <c r="F2254">
        <v>2.12121175268764</v>
      </c>
      <c r="G2254">
        <f t="shared" si="179"/>
        <v>2.24129016268355</v>
      </c>
      <c r="H2254">
        <f t="shared" si="181"/>
        <v>4.6415322189037322E-3</v>
      </c>
      <c r="I2254">
        <f t="shared" si="180"/>
        <v>1</v>
      </c>
      <c r="J2254" t="str">
        <f t="shared" si="182"/>
        <v/>
      </c>
      <c r="K2254">
        <v>-2.0776604026556001E-2</v>
      </c>
      <c r="L2254">
        <v>5.79009763896464E-3</v>
      </c>
      <c r="M2254">
        <v>-1.14079675078389E-3</v>
      </c>
      <c r="N2254">
        <v>8.31931200809778E-3</v>
      </c>
      <c r="O2254" t="str">
        <f t="shared" si="183"/>
        <v/>
      </c>
    </row>
    <row r="2255" spans="1:15" x14ac:dyDescent="0.35">
      <c r="A2255" t="s">
        <v>148</v>
      </c>
      <c r="B2255">
        <v>2010</v>
      </c>
      <c r="C2255">
        <v>564540.5</v>
      </c>
      <c r="D2255" s="8">
        <v>0.95769798755645796</v>
      </c>
      <c r="E2255" s="8">
        <v>1E-3</v>
      </c>
      <c r="F2255">
        <v>2.0879119485690301</v>
      </c>
      <c r="G2255">
        <f t="shared" si="179"/>
        <v>2.180136092690645</v>
      </c>
      <c r="H2255">
        <f t="shared" si="181"/>
        <v>-2.7285208765510216E-2</v>
      </c>
      <c r="I2255">
        <f t="shared" si="180"/>
        <v>0</v>
      </c>
      <c r="J2255">
        <f t="shared" si="182"/>
        <v>2</v>
      </c>
      <c r="K2255">
        <v>-1.14079675078389E-3</v>
      </c>
      <c r="L2255">
        <v>8.31931200809778E-3</v>
      </c>
      <c r="M2255">
        <v>-1.89324592873454E-2</v>
      </c>
      <c r="N2255">
        <v>2.3513152264058898E-3</v>
      </c>
      <c r="O2255">
        <f t="shared" si="183"/>
        <v>2.1767850033938977E-3</v>
      </c>
    </row>
    <row r="2256" spans="1:15" x14ac:dyDescent="0.35">
      <c r="A2256" t="s">
        <v>148</v>
      </c>
      <c r="B2256">
        <v>2011</v>
      </c>
      <c r="C2256">
        <v>565941.3125</v>
      </c>
      <c r="D2256" s="8">
        <v>0.96146881580352805</v>
      </c>
      <c r="E2256" s="8">
        <v>0</v>
      </c>
      <c r="F2256">
        <v>2.1661703613837702</v>
      </c>
      <c r="G2256">
        <f t="shared" si="179"/>
        <v>2.2529803627312002</v>
      </c>
      <c r="H2256">
        <f t="shared" si="181"/>
        <v>3.3412716887161631E-2</v>
      </c>
      <c r="I2256">
        <f t="shared" si="180"/>
        <v>1</v>
      </c>
      <c r="J2256">
        <f t="shared" si="182"/>
        <v>3</v>
      </c>
      <c r="K2256">
        <v>-1.89324592873454E-2</v>
      </c>
      <c r="L2256">
        <v>2.3513152264058898E-3</v>
      </c>
      <c r="M2256">
        <v>-6.4766046628356002E-3</v>
      </c>
      <c r="N2256">
        <v>-1.0383985936642001E-3</v>
      </c>
      <c r="O2256">
        <f t="shared" si="183"/>
        <v>2.1833561360835993E-3</v>
      </c>
    </row>
    <row r="2257" spans="1:15" x14ac:dyDescent="0.35">
      <c r="A2257" t="s">
        <v>148</v>
      </c>
      <c r="B2257">
        <v>2012</v>
      </c>
      <c r="C2257">
        <v>566960.5625</v>
      </c>
      <c r="D2257" s="8">
        <v>0.95655727386474598</v>
      </c>
      <c r="E2257" s="8">
        <v>0</v>
      </c>
      <c r="F2257">
        <v>1.9953719789306901</v>
      </c>
      <c r="G2257">
        <f t="shared" si="179"/>
        <v>2.0859932107032715</v>
      </c>
      <c r="H2257">
        <f t="shared" si="181"/>
        <v>-7.4118334447219381E-2</v>
      </c>
      <c r="I2257">
        <f t="shared" si="180"/>
        <v>0</v>
      </c>
      <c r="J2257">
        <f t="shared" si="182"/>
        <v>2</v>
      </c>
      <c r="K2257">
        <v>-6.4766046628356002E-3</v>
      </c>
      <c r="L2257">
        <v>-1.1239973828196901E-3</v>
      </c>
      <c r="M2257">
        <v>9.3721865117550006E-3</v>
      </c>
      <c r="N2257">
        <v>3.2454151660203999E-3</v>
      </c>
      <c r="O2257">
        <f t="shared" si="183"/>
        <v>5.8225609362125598E-3</v>
      </c>
    </row>
    <row r="2258" spans="1:15" x14ac:dyDescent="0.35">
      <c r="A2258" t="s">
        <v>148</v>
      </c>
      <c r="B2258">
        <v>2013</v>
      </c>
      <c r="C2258">
        <v>566364.0625</v>
      </c>
      <c r="D2258" s="8">
        <v>0.95672148466110196</v>
      </c>
      <c r="E2258" s="8">
        <v>2E-3</v>
      </c>
      <c r="F2258">
        <v>2.0973274459679199</v>
      </c>
      <c r="G2258">
        <f t="shared" si="179"/>
        <v>2.1922027252381118</v>
      </c>
      <c r="H2258">
        <f t="shared" si="181"/>
        <v>5.0915560985470787E-2</v>
      </c>
      <c r="I2258">
        <f t="shared" si="180"/>
        <v>1</v>
      </c>
      <c r="J2258">
        <f t="shared" si="182"/>
        <v>3</v>
      </c>
      <c r="K2258">
        <v>9.3721865117550006E-3</v>
      </c>
      <c r="L2258">
        <v>3.2454151660203999E-3</v>
      </c>
      <c r="M2258">
        <v>2.7514964491128901E-3</v>
      </c>
      <c r="N2258">
        <v>7.4347294867039703E-4</v>
      </c>
      <c r="O2258">
        <f t="shared" si="183"/>
        <v>3.0427303165197796E-3</v>
      </c>
    </row>
    <row r="2259" spans="1:15" x14ac:dyDescent="0.35">
      <c r="A2259" t="s">
        <v>148</v>
      </c>
      <c r="B2259">
        <v>2014</v>
      </c>
      <c r="C2259">
        <v>566292.5</v>
      </c>
      <c r="D2259" s="8">
        <v>0.95759797096252397</v>
      </c>
      <c r="E2259" s="8">
        <v>3.0000000000000001E-3</v>
      </c>
      <c r="F2259">
        <v>2.1474542080206498</v>
      </c>
      <c r="G2259">
        <f t="shared" si="179"/>
        <v>2.2425425628900912</v>
      </c>
      <c r="H2259">
        <f t="shared" si="181"/>
        <v>2.2963130677849053E-2</v>
      </c>
      <c r="I2259">
        <f t="shared" si="180"/>
        <v>1</v>
      </c>
      <c r="J2259">
        <f t="shared" si="182"/>
        <v>3</v>
      </c>
      <c r="K2259">
        <v>2.7514964491128901E-3</v>
      </c>
      <c r="L2259">
        <v>7.4347294867039703E-4</v>
      </c>
      <c r="M2259">
        <v>3.5845572292804599E-2</v>
      </c>
      <c r="N2259">
        <v>5.5821202695369998E-3</v>
      </c>
      <c r="O2259">
        <f t="shared" si="183"/>
        <v>-8.6856000125404005E-4</v>
      </c>
    </row>
    <row r="2260" spans="1:15" x14ac:dyDescent="0.35">
      <c r="A2260" t="s">
        <v>148</v>
      </c>
      <c r="B2260">
        <v>2015</v>
      </c>
      <c r="C2260">
        <v>565385</v>
      </c>
      <c r="D2260" s="8">
        <v>0.951022088527679</v>
      </c>
      <c r="E2260" s="8">
        <v>1.0999999999999999E-2</v>
      </c>
      <c r="F2260">
        <v>2.2133017215997999</v>
      </c>
      <c r="G2260">
        <f t="shared" si="179"/>
        <v>2.3272873977368014</v>
      </c>
      <c r="H2260">
        <f t="shared" si="181"/>
        <v>3.7789621588049105E-2</v>
      </c>
      <c r="I2260">
        <f t="shared" si="180"/>
        <v>1</v>
      </c>
      <c r="J2260">
        <f t="shared" si="182"/>
        <v>4</v>
      </c>
      <c r="K2260">
        <v>3.5845572292804599E-2</v>
      </c>
      <c r="L2260">
        <v>5.5821202695369998E-3</v>
      </c>
      <c r="M2260">
        <v>1.55377278923988E-2</v>
      </c>
      <c r="N2260">
        <v>2.3841708898543999E-3</v>
      </c>
      <c r="O2260">
        <f t="shared" si="183"/>
        <v>6.5229766070843201E-3</v>
      </c>
    </row>
    <row r="2261" spans="1:15" x14ac:dyDescent="0.35">
      <c r="A2261" t="s">
        <v>148</v>
      </c>
      <c r="B2261">
        <v>2016</v>
      </c>
      <c r="C2261">
        <v>565304.0625</v>
      </c>
      <c r="D2261" s="8">
        <v>0.95921057462692305</v>
      </c>
      <c r="E2261" s="8">
        <v>4.0000000000000001E-3</v>
      </c>
      <c r="F2261">
        <v>2.1264311343368001</v>
      </c>
      <c r="G2261">
        <f t="shared" si="179"/>
        <v>2.2168553919079321</v>
      </c>
      <c r="H2261">
        <f t="shared" si="181"/>
        <v>-4.7450953387304096E-2</v>
      </c>
      <c r="I2261">
        <f t="shared" si="180"/>
        <v>0</v>
      </c>
      <c r="J2261">
        <f t="shared" si="182"/>
        <v>3</v>
      </c>
      <c r="K2261">
        <v>1.55377278923988E-2</v>
      </c>
      <c r="L2261">
        <v>2.3841708898543999E-3</v>
      </c>
      <c r="M2261">
        <v>1.9947198867797899E-2</v>
      </c>
      <c r="N2261">
        <v>1.7157625406980601E-2</v>
      </c>
      <c r="O2261">
        <f t="shared" si="183"/>
        <v>7.0092074573040383E-3</v>
      </c>
    </row>
    <row r="2262" spans="1:15" x14ac:dyDescent="0.35">
      <c r="A2262" t="s">
        <v>148</v>
      </c>
      <c r="B2262">
        <v>2017</v>
      </c>
      <c r="C2262">
        <v>566719.8125</v>
      </c>
      <c r="D2262" s="8">
        <v>0.95508903264999401</v>
      </c>
      <c r="E2262" s="8">
        <v>0</v>
      </c>
      <c r="F2262">
        <v>2.2273737330293999</v>
      </c>
      <c r="G2262">
        <f t="shared" si="179"/>
        <v>2.3321110984274624</v>
      </c>
      <c r="H2262">
        <f t="shared" si="181"/>
        <v>5.1990629131806188E-2</v>
      </c>
      <c r="I2262">
        <f t="shared" si="180"/>
        <v>1</v>
      </c>
      <c r="J2262">
        <f t="shared" si="182"/>
        <v>4</v>
      </c>
      <c r="K2262">
        <v>1.9947198867797899E-2</v>
      </c>
      <c r="L2262">
        <v>1.7157625406980601E-2</v>
      </c>
      <c r="M2262">
        <v>-1.5187149643898E-3</v>
      </c>
      <c r="N2262">
        <v>-1.0653737932443501E-2</v>
      </c>
      <c r="O2262">
        <f t="shared" si="183"/>
        <v>-2.2838279604911423E-3</v>
      </c>
    </row>
    <row r="2263" spans="1:15" x14ac:dyDescent="0.35">
      <c r="A2263" t="s">
        <v>148</v>
      </c>
      <c r="B2263">
        <v>2018</v>
      </c>
      <c r="C2263">
        <v>567353.8125</v>
      </c>
      <c r="D2263" s="8">
        <v>0.95337939262390103</v>
      </c>
      <c r="E2263" s="8">
        <v>3.0000000000000001E-3</v>
      </c>
      <c r="F2263">
        <v>2.1663064016325202</v>
      </c>
      <c r="G2263">
        <f t="shared" si="179"/>
        <v>2.2722395914918914</v>
      </c>
      <c r="H2263">
        <f t="shared" si="181"/>
        <v>-2.5672664984074833E-2</v>
      </c>
      <c r="I2263">
        <f t="shared" si="180"/>
        <v>0</v>
      </c>
      <c r="J2263">
        <f t="shared" si="182"/>
        <v>3</v>
      </c>
      <c r="K2263">
        <v>-1.5187149643898E-3</v>
      </c>
      <c r="L2263">
        <v>-1.0653737932443501E-2</v>
      </c>
      <c r="M2263">
        <v>-1.01178403198719E-3</v>
      </c>
      <c r="N2263">
        <v>-1.8812978640198701E-2</v>
      </c>
      <c r="O2263">
        <f t="shared" si="183"/>
        <v>5.9706859290599972E-3</v>
      </c>
    </row>
    <row r="2264" spans="1:15" x14ac:dyDescent="0.35">
      <c r="A2264" t="s">
        <v>148</v>
      </c>
      <c r="B2264">
        <v>2019</v>
      </c>
      <c r="C2264">
        <v>567434.0625</v>
      </c>
      <c r="D2264" s="8">
        <v>0.94223821163177501</v>
      </c>
      <c r="E2264" s="8">
        <v>1.4E-2</v>
      </c>
      <c r="F2264">
        <v>2.2272246217213398</v>
      </c>
      <c r="G2264">
        <f t="shared" si="179"/>
        <v>2.3637596037038406</v>
      </c>
      <c r="H2264">
        <f t="shared" si="181"/>
        <v>4.0277448097742141E-2</v>
      </c>
      <c r="I2264">
        <f t="shared" si="180"/>
        <v>1</v>
      </c>
      <c r="J2264" t="str">
        <f t="shared" si="182"/>
        <v/>
      </c>
      <c r="K2264">
        <v>-1.01178403198719E-3</v>
      </c>
      <c r="L2264">
        <v>-1.8812978640198701E-2</v>
      </c>
      <c r="M2264">
        <v>6.1388993740081797E-2</v>
      </c>
      <c r="N2264">
        <v>4.2539803311228801E-2</v>
      </c>
      <c r="O2264">
        <f t="shared" si="183"/>
        <v>1.7613008059561279E-2</v>
      </c>
    </row>
    <row r="2265" spans="1:15" x14ac:dyDescent="0.35">
      <c r="A2265" t="s">
        <v>148</v>
      </c>
      <c r="B2265">
        <v>2020</v>
      </c>
      <c r="C2265">
        <v>567122.9375</v>
      </c>
      <c r="D2265" s="8">
        <v>0.97476041316986095</v>
      </c>
      <c r="E2265" s="8">
        <v>1.4999999999999999E-2</v>
      </c>
      <c r="F2265">
        <v>2.2086051140713501</v>
      </c>
      <c r="G2265">
        <f t="shared" si="179"/>
        <v>2.2657927878801543</v>
      </c>
      <c r="H2265">
        <f t="shared" si="181"/>
        <v>-4.1445338041220192E-2</v>
      </c>
      <c r="I2265">
        <f t="shared" si="180"/>
        <v>0</v>
      </c>
      <c r="J2265" t="str">
        <f t="shared" si="182"/>
        <v/>
      </c>
      <c r="K2265">
        <v>6.1388993740081797E-2</v>
      </c>
      <c r="L2265">
        <v>4.2539803311228801E-2</v>
      </c>
      <c r="M2265">
        <v>4.8404937863349901E-2</v>
      </c>
      <c r="N2265">
        <v>4.8153251409529902E-3</v>
      </c>
      <c r="O2265">
        <f t="shared" si="183"/>
        <v>1.2647937331348677E-2</v>
      </c>
    </row>
    <row r="2266" spans="1:15" x14ac:dyDescent="0.35">
      <c r="A2266" t="s">
        <v>148</v>
      </c>
      <c r="B2266">
        <v>2021</v>
      </c>
      <c r="C2266">
        <v>568172.3125</v>
      </c>
      <c r="D2266" s="8">
        <v>0.97670614719390902</v>
      </c>
      <c r="E2266" s="8">
        <v>8.0000000000000002E-3</v>
      </c>
      <c r="F2266">
        <v>2.1274509803921502</v>
      </c>
      <c r="G2266">
        <f t="shared" si="179"/>
        <v>2.1781894037468157</v>
      </c>
      <c r="H2266">
        <f t="shared" si="181"/>
        <v>-3.8663457930457557E-2</v>
      </c>
      <c r="I2266">
        <f t="shared" si="180"/>
        <v>0</v>
      </c>
      <c r="J2266" t="str">
        <f t="shared" si="182"/>
        <v/>
      </c>
      <c r="K2266">
        <v>4.8404937863349901E-2</v>
      </c>
      <c r="L2266">
        <v>4.8153251409529902E-3</v>
      </c>
      <c r="M2266">
        <v>-6.1411058455705603E-2</v>
      </c>
      <c r="N2266">
        <v>-2.9307551681995302E-2</v>
      </c>
      <c r="O2266">
        <f t="shared" si="183"/>
        <v>1.0839213617146403E-3</v>
      </c>
    </row>
    <row r="2267" spans="1:15" x14ac:dyDescent="0.35">
      <c r="A2267" t="s">
        <v>148</v>
      </c>
      <c r="B2267">
        <v>2022</v>
      </c>
      <c r="C2267">
        <v>569251.5</v>
      </c>
      <c r="D2267" s="8">
        <v>0.959766685962677</v>
      </c>
      <c r="E2267" s="8">
        <v>4.0000000000000001E-3</v>
      </c>
      <c r="F2267">
        <v>2.15906464550336</v>
      </c>
      <c r="G2267">
        <f t="shared" si="179"/>
        <v>2.2495723982519236</v>
      </c>
      <c r="H2267">
        <f t="shared" si="181"/>
        <v>3.2771711395858549E-2</v>
      </c>
      <c r="I2267">
        <f t="shared" si="180"/>
        <v>1</v>
      </c>
      <c r="J2267" t="str">
        <f t="shared" si="182"/>
        <v/>
      </c>
      <c r="K2267">
        <v>-6.1411058455705603E-2</v>
      </c>
      <c r="L2267">
        <v>-2.8828848153352699E-2</v>
      </c>
      <c r="M2267">
        <v>1.10599037408829E-2</v>
      </c>
      <c r="N2267">
        <v>3.0618831515312198E-2</v>
      </c>
      <c r="O2267">
        <f t="shared" si="183"/>
        <v>1.08587111812085E-2</v>
      </c>
    </row>
    <row r="2268" spans="1:15" x14ac:dyDescent="0.35">
      <c r="A2268" t="s">
        <v>149</v>
      </c>
      <c r="B2268">
        <v>2006</v>
      </c>
      <c r="C2268">
        <v>3268743</v>
      </c>
      <c r="D2268" s="8">
        <v>0.94816577434539795</v>
      </c>
      <c r="E2268" s="8">
        <v>1.4E-2</v>
      </c>
      <c r="F2268">
        <v>2.0925911103434598</v>
      </c>
      <c r="G2268">
        <f t="shared" si="179"/>
        <v>2.2069886584844922</v>
      </c>
      <c r="H2268">
        <f t="shared" si="181"/>
        <v>-1.8929704063101904E-2</v>
      </c>
      <c r="I2268">
        <f t="shared" si="180"/>
        <v>0</v>
      </c>
      <c r="J2268" t="str">
        <f t="shared" si="182"/>
        <v/>
      </c>
      <c r="K2268">
        <v>2.7914704412221901E-2</v>
      </c>
      <c r="L2268">
        <v>2.15516649186611E-2</v>
      </c>
      <c r="M2268">
        <v>3.84768760800362E-2</v>
      </c>
      <c r="N2268">
        <v>3.9398632012307699E-2</v>
      </c>
      <c r="O2268" t="str">
        <f t="shared" si="183"/>
        <v/>
      </c>
    </row>
    <row r="2269" spans="1:15" x14ac:dyDescent="0.35">
      <c r="A2269" t="s">
        <v>149</v>
      </c>
      <c r="B2269">
        <v>2007</v>
      </c>
      <c r="C2269">
        <v>3317089</v>
      </c>
      <c r="D2269" s="8">
        <v>0.949135601520538</v>
      </c>
      <c r="E2269" s="8">
        <v>6.0000000000000001E-3</v>
      </c>
      <c r="F2269">
        <v>2.1260695207138598</v>
      </c>
      <c r="G2269">
        <f t="shared" si="179"/>
        <v>2.2400060827007704</v>
      </c>
      <c r="H2269">
        <f t="shared" si="181"/>
        <v>1.4960395962773543E-2</v>
      </c>
      <c r="I2269">
        <f t="shared" si="180"/>
        <v>1</v>
      </c>
      <c r="J2269" t="str">
        <f t="shared" si="182"/>
        <v/>
      </c>
      <c r="K2269">
        <v>3.84768760800362E-2</v>
      </c>
      <c r="L2269">
        <v>3.9398632012307699E-2</v>
      </c>
      <c r="M2269">
        <v>-1.17963546067475E-2</v>
      </c>
      <c r="N2269">
        <v>1.7714449670165801E-2</v>
      </c>
      <c r="O2269" t="str">
        <f t="shared" si="183"/>
        <v/>
      </c>
    </row>
    <row r="2270" spans="1:15" x14ac:dyDescent="0.35">
      <c r="A2270" t="s">
        <v>149</v>
      </c>
      <c r="B2270">
        <v>2008</v>
      </c>
      <c r="C2270">
        <v>3370124</v>
      </c>
      <c r="D2270" s="8">
        <v>0.93562626838684104</v>
      </c>
      <c r="E2270" s="8">
        <v>1.2999999999999999E-2</v>
      </c>
      <c r="F2270">
        <v>2.1463169828801698</v>
      </c>
      <c r="G2270">
        <f t="shared" si="179"/>
        <v>2.293989657409619</v>
      </c>
      <c r="H2270">
        <f t="shared" si="181"/>
        <v>2.4099744695228908E-2</v>
      </c>
      <c r="I2270">
        <f t="shared" si="180"/>
        <v>1</v>
      </c>
      <c r="J2270" t="str">
        <f t="shared" si="182"/>
        <v/>
      </c>
      <c r="K2270">
        <v>-1.17963546067475E-2</v>
      </c>
      <c r="L2270">
        <v>1.7714449670165801E-2</v>
      </c>
      <c r="M2270">
        <v>-7.9571456372737895E-2</v>
      </c>
      <c r="N2270">
        <v>-5.3004754707217203E-2</v>
      </c>
      <c r="O2270" t="str">
        <f t="shared" si="183"/>
        <v/>
      </c>
    </row>
    <row r="2271" spans="1:15" x14ac:dyDescent="0.35">
      <c r="A2271" t="s">
        <v>149</v>
      </c>
      <c r="B2271">
        <v>2009</v>
      </c>
      <c r="C2271">
        <v>3423713</v>
      </c>
      <c r="D2271" s="8">
        <v>0.92712789773940996</v>
      </c>
      <c r="E2271" s="8">
        <v>1.9E-2</v>
      </c>
      <c r="F2271">
        <v>2.1897788004318901</v>
      </c>
      <c r="G2271">
        <f t="shared" si="179"/>
        <v>2.3618950586765499</v>
      </c>
      <c r="H2271">
        <f t="shared" si="181"/>
        <v>2.9601441770931824E-2</v>
      </c>
      <c r="I2271">
        <f t="shared" si="180"/>
        <v>1</v>
      </c>
      <c r="J2271" t="str">
        <f t="shared" si="182"/>
        <v/>
      </c>
      <c r="K2271">
        <v>-7.9571456372737895E-2</v>
      </c>
      <c r="L2271">
        <v>-5.3004754707217203E-2</v>
      </c>
      <c r="M2271">
        <v>1.01062886565924E-2</v>
      </c>
      <c r="N2271">
        <v>1.9566397415474002E-2</v>
      </c>
      <c r="O2271" t="str">
        <f t="shared" si="183"/>
        <v/>
      </c>
    </row>
    <row r="2272" spans="1:15" x14ac:dyDescent="0.35">
      <c r="A2272" t="s">
        <v>149</v>
      </c>
      <c r="B2272">
        <v>2010</v>
      </c>
      <c r="C2272">
        <v>3463686</v>
      </c>
      <c r="D2272" s="8">
        <v>0.93441075086593595</v>
      </c>
      <c r="E2272" s="8">
        <v>1.2999999999999999E-2</v>
      </c>
      <c r="F2272">
        <v>2.1910028275212001</v>
      </c>
      <c r="G2272">
        <f t="shared" si="179"/>
        <v>2.3447962531368103</v>
      </c>
      <c r="H2272">
        <f t="shared" si="181"/>
        <v>-7.2394433770146538E-3</v>
      </c>
      <c r="I2272">
        <f t="shared" si="180"/>
        <v>0</v>
      </c>
      <c r="J2272">
        <f t="shared" si="182"/>
        <v>3</v>
      </c>
      <c r="K2272">
        <v>1.01062886565924E-2</v>
      </c>
      <c r="L2272">
        <v>1.9566397415474002E-2</v>
      </c>
      <c r="M2272">
        <v>-1.03663880079985E-2</v>
      </c>
      <c r="N2272">
        <v>1.09173865057527E-2</v>
      </c>
      <c r="O2272">
        <f t="shared" si="183"/>
        <v>1.60340613685548E-2</v>
      </c>
    </row>
    <row r="2273" spans="1:15" x14ac:dyDescent="0.35">
      <c r="A2273" t="s">
        <v>149</v>
      </c>
      <c r="B2273">
        <v>2011</v>
      </c>
      <c r="C2273">
        <v>3519204</v>
      </c>
      <c r="D2273" s="8">
        <v>0.935205578804016</v>
      </c>
      <c r="E2273" s="8">
        <v>5.0000000000000001E-3</v>
      </c>
      <c r="F2273">
        <v>2.2368098001904602</v>
      </c>
      <c r="G2273">
        <f t="shared" si="179"/>
        <v>2.3917840642599626</v>
      </c>
      <c r="H2273">
        <f t="shared" si="181"/>
        <v>2.0039187225880717E-2</v>
      </c>
      <c r="I2273">
        <f t="shared" si="180"/>
        <v>1</v>
      </c>
      <c r="J2273">
        <f t="shared" si="182"/>
        <v>4</v>
      </c>
      <c r="K2273">
        <v>-1.03663880079985E-2</v>
      </c>
      <c r="L2273">
        <v>1.09173865057527E-2</v>
      </c>
      <c r="M2273">
        <v>7.5653676837682902E-3</v>
      </c>
      <c r="N2273">
        <v>1.3003573752939699E-2</v>
      </c>
      <c r="O2273">
        <f t="shared" si="183"/>
        <v>1.7366646416485297E-2</v>
      </c>
    </row>
    <row r="2274" spans="1:15" x14ac:dyDescent="0.35">
      <c r="A2274" t="s">
        <v>149</v>
      </c>
      <c r="B2274">
        <v>2012</v>
      </c>
      <c r="C2274">
        <v>3575419</v>
      </c>
      <c r="D2274" s="8">
        <v>0.93898940086364702</v>
      </c>
      <c r="E2274" s="8">
        <v>1.6E-2</v>
      </c>
      <c r="F2274">
        <v>2.21624743764563</v>
      </c>
      <c r="G2274">
        <f t="shared" si="179"/>
        <v>2.3602475550918989</v>
      </c>
      <c r="H2274">
        <f t="shared" si="181"/>
        <v>-1.3185349647281575E-2</v>
      </c>
      <c r="I2274">
        <f t="shared" si="180"/>
        <v>0</v>
      </c>
      <c r="J2274">
        <f t="shared" si="182"/>
        <v>3</v>
      </c>
      <c r="K2274">
        <v>7.5653676837682902E-3</v>
      </c>
      <c r="L2274">
        <v>1.29179749637842E-2</v>
      </c>
      <c r="M2274">
        <v>1.9203454852104201E-2</v>
      </c>
      <c r="N2274">
        <v>1.3076683506369599E-2</v>
      </c>
      <c r="O2274">
        <f t="shared" si="183"/>
        <v>1.5249216556549081E-2</v>
      </c>
    </row>
    <row r="2275" spans="1:15" x14ac:dyDescent="0.35">
      <c r="A2275" t="s">
        <v>149</v>
      </c>
      <c r="B2275">
        <v>2013</v>
      </c>
      <c r="C2275">
        <v>3631917</v>
      </c>
      <c r="D2275" s="8">
        <v>0.94386082887649503</v>
      </c>
      <c r="E2275" s="8">
        <v>2.5000000000000001E-2</v>
      </c>
      <c r="F2275">
        <v>2.2886195421575799</v>
      </c>
      <c r="G2275">
        <f t="shared" si="179"/>
        <v>2.4247425808334375</v>
      </c>
      <c r="H2275">
        <f t="shared" si="181"/>
        <v>2.732553439252583E-2</v>
      </c>
      <c r="I2275">
        <f t="shared" si="180"/>
        <v>1</v>
      </c>
      <c r="J2275">
        <f t="shared" si="182"/>
        <v>3</v>
      </c>
      <c r="K2275">
        <v>1.9203454852104201E-2</v>
      </c>
      <c r="L2275">
        <v>1.3076683506369599E-2</v>
      </c>
      <c r="M2275">
        <v>1.29264116436242E-2</v>
      </c>
      <c r="N2275">
        <v>1.09183881431817E-2</v>
      </c>
      <c r="O2275">
        <f t="shared" si="183"/>
        <v>1.245064549148084E-2</v>
      </c>
    </row>
    <row r="2276" spans="1:15" x14ac:dyDescent="0.35">
      <c r="A2276" t="s">
        <v>149</v>
      </c>
      <c r="B2276">
        <v>2014</v>
      </c>
      <c r="C2276">
        <v>3696714</v>
      </c>
      <c r="D2276" s="8">
        <v>0.93678915500640902</v>
      </c>
      <c r="E2276" s="8">
        <v>3.7999999999999999E-2</v>
      </c>
      <c r="F2276">
        <v>2.2338787750407398</v>
      </c>
      <c r="G2276">
        <f t="shared" si="179"/>
        <v>2.3846121222714802</v>
      </c>
      <c r="H2276">
        <f t="shared" si="181"/>
        <v>-1.6550399567843432E-2</v>
      </c>
      <c r="I2276">
        <f t="shared" si="180"/>
        <v>0</v>
      </c>
      <c r="J2276">
        <f t="shared" si="182"/>
        <v>2</v>
      </c>
      <c r="K2276">
        <v>1.29264116436242E-2</v>
      </c>
      <c r="L2276">
        <v>1.09183881431817E-2</v>
      </c>
      <c r="M2276">
        <v>6.2517726957798003E-2</v>
      </c>
      <c r="N2276">
        <v>3.22542749345303E-2</v>
      </c>
      <c r="O2276">
        <f t="shared" si="183"/>
        <v>1.2657642364501958E-2</v>
      </c>
    </row>
    <row r="2277" spans="1:15" x14ac:dyDescent="0.35">
      <c r="A2277" t="s">
        <v>149</v>
      </c>
      <c r="B2277">
        <v>2015</v>
      </c>
      <c r="C2277">
        <v>3765469</v>
      </c>
      <c r="D2277" s="8">
        <v>0.93954551219940197</v>
      </c>
      <c r="E2277" s="8">
        <v>3.7999999999999999E-2</v>
      </c>
      <c r="F2277">
        <v>2.28242804372724</v>
      </c>
      <c r="G2277">
        <f t="shared" si="179"/>
        <v>2.4292894959226148</v>
      </c>
      <c r="H2277">
        <f t="shared" si="181"/>
        <v>1.8735698453372196E-2</v>
      </c>
      <c r="I2277">
        <f t="shared" si="180"/>
        <v>1</v>
      </c>
      <c r="J2277">
        <f t="shared" si="182"/>
        <v>3</v>
      </c>
      <c r="K2277">
        <v>6.2517726957798003E-2</v>
      </c>
      <c r="L2277">
        <v>3.22542749345303E-2</v>
      </c>
      <c r="M2277">
        <v>3.0733868747949599E-2</v>
      </c>
      <c r="N2277">
        <v>1.7580311745405201E-2</v>
      </c>
      <c r="O2277">
        <f t="shared" si="183"/>
        <v>-4.0858156979083999E-3</v>
      </c>
    </row>
    <row r="2278" spans="1:15" x14ac:dyDescent="0.35">
      <c r="A2278" t="s">
        <v>149</v>
      </c>
      <c r="B2278">
        <v>2016</v>
      </c>
      <c r="C2278">
        <v>3842287</v>
      </c>
      <c r="D2278" s="8">
        <v>0.94176477193832397</v>
      </c>
      <c r="E2278" s="8">
        <v>3.4000000000000002E-2</v>
      </c>
      <c r="F2278">
        <v>2.2599109075139099</v>
      </c>
      <c r="G2278">
        <f t="shared" si="179"/>
        <v>2.3996553861986154</v>
      </c>
      <c r="H2278">
        <f t="shared" si="181"/>
        <v>-1.2198673634302604E-2</v>
      </c>
      <c r="I2278">
        <f t="shared" si="180"/>
        <v>0</v>
      </c>
      <c r="J2278">
        <f t="shared" si="182"/>
        <v>2</v>
      </c>
      <c r="K2278">
        <v>3.0733868747949599E-2</v>
      </c>
      <c r="L2278">
        <v>1.7580311745405201E-2</v>
      </c>
      <c r="M2278">
        <v>5.20599791407589E-3</v>
      </c>
      <c r="N2278">
        <v>2.4164244532585998E-3</v>
      </c>
      <c r="O2278">
        <f t="shared" si="183"/>
        <v>-5.561552941799241E-3</v>
      </c>
    </row>
    <row r="2279" spans="1:15" x14ac:dyDescent="0.35">
      <c r="A2279" t="s">
        <v>149</v>
      </c>
      <c r="B2279">
        <v>2017</v>
      </c>
      <c r="C2279">
        <v>3906911</v>
      </c>
      <c r="D2279" s="8">
        <v>0.93624937534332298</v>
      </c>
      <c r="E2279" s="8">
        <v>3.1E-2</v>
      </c>
      <c r="F2279">
        <v>2.24691547490555</v>
      </c>
      <c r="G2279">
        <f t="shared" si="179"/>
        <v>2.3999113207222225</v>
      </c>
      <c r="H2279">
        <f t="shared" si="181"/>
        <v>1.0665469928694549E-4</v>
      </c>
      <c r="I2279">
        <f t="shared" si="180"/>
        <v>1</v>
      </c>
      <c r="J2279">
        <f t="shared" si="182"/>
        <v>3</v>
      </c>
      <c r="K2279">
        <v>5.20599791407589E-3</v>
      </c>
      <c r="L2279">
        <v>2.4164244532585998E-3</v>
      </c>
      <c r="M2279">
        <v>8.2188511490821903E-3</v>
      </c>
      <c r="N2279">
        <v>-9.16171818971599E-4</v>
      </c>
      <c r="O2279">
        <f t="shared" si="183"/>
        <v>-1.0478107258677561E-2</v>
      </c>
    </row>
    <row r="2280" spans="1:15" x14ac:dyDescent="0.35">
      <c r="A2280" t="s">
        <v>149</v>
      </c>
      <c r="B2280">
        <v>2018</v>
      </c>
      <c r="C2280">
        <v>3954196</v>
      </c>
      <c r="D2280" s="8">
        <v>0.93571639060974099</v>
      </c>
      <c r="E2280" s="8">
        <v>3.3000000000000002E-2</v>
      </c>
      <c r="F2280">
        <v>2.2752889762564199</v>
      </c>
      <c r="G2280">
        <f t="shared" si="179"/>
        <v>2.431601069608039</v>
      </c>
      <c r="H2280">
        <f t="shared" si="181"/>
        <v>1.3204549939903609E-2</v>
      </c>
      <c r="I2280">
        <f t="shared" si="180"/>
        <v>1</v>
      </c>
      <c r="J2280">
        <f t="shared" si="182"/>
        <v>3</v>
      </c>
      <c r="K2280">
        <v>8.2188511490821903E-3</v>
      </c>
      <c r="L2280">
        <v>-9.16171818971599E-4</v>
      </c>
      <c r="M2280">
        <v>2.97545671164989E-2</v>
      </c>
      <c r="N2280">
        <v>1.19533725082873E-2</v>
      </c>
      <c r="O2280">
        <f t="shared" si="183"/>
        <v>-1.2043261900544259E-2</v>
      </c>
    </row>
    <row r="2281" spans="1:15" x14ac:dyDescent="0.35">
      <c r="A2281" t="s">
        <v>149</v>
      </c>
      <c r="B2281">
        <v>2019</v>
      </c>
      <c r="C2281">
        <v>3996570</v>
      </c>
      <c r="D2281" s="8">
        <v>0.93953669071197499</v>
      </c>
      <c r="E2281" s="8">
        <v>3.5999999999999997E-2</v>
      </c>
      <c r="F2281">
        <v>2.2104083812904101</v>
      </c>
      <c r="G2281">
        <f t="shared" si="179"/>
        <v>2.3526578612011164</v>
      </c>
      <c r="H2281">
        <f t="shared" si="181"/>
        <v>-3.2465526271399314E-2</v>
      </c>
      <c r="I2281">
        <f t="shared" si="180"/>
        <v>0</v>
      </c>
      <c r="J2281" t="str">
        <f t="shared" si="182"/>
        <v/>
      </c>
      <c r="K2281">
        <v>2.97545671164989E-2</v>
      </c>
      <c r="L2281">
        <v>1.19533725082873E-2</v>
      </c>
      <c r="M2281">
        <v>-3.2613824948668498E-2</v>
      </c>
      <c r="N2281">
        <v>-5.1463015377521501E-2</v>
      </c>
      <c r="O2281">
        <f t="shared" si="183"/>
        <v>-1.4645490981638499E-2</v>
      </c>
    </row>
    <row r="2282" spans="1:15" x14ac:dyDescent="0.35">
      <c r="A2282" t="s">
        <v>149</v>
      </c>
      <c r="B2282">
        <v>2020</v>
      </c>
      <c r="C2282">
        <v>4025161</v>
      </c>
      <c r="D2282" s="8">
        <v>0.92797535657882702</v>
      </c>
      <c r="E2282" s="8">
        <v>2.3E-2</v>
      </c>
      <c r="F2282">
        <v>2.1727631658672402</v>
      </c>
      <c r="G2282">
        <f t="shared" si="179"/>
        <v>2.3414017952778194</v>
      </c>
      <c r="H2282">
        <f t="shared" si="181"/>
        <v>-4.7844041026646744E-3</v>
      </c>
      <c r="I2282">
        <f t="shared" si="180"/>
        <v>0</v>
      </c>
      <c r="J2282" t="str">
        <f t="shared" si="182"/>
        <v/>
      </c>
      <c r="K2282">
        <v>-3.2613824948668498E-2</v>
      </c>
      <c r="L2282">
        <v>-5.1463015377521501E-2</v>
      </c>
      <c r="M2282">
        <v>5.3791238248348E-2</v>
      </c>
      <c r="N2282">
        <v>1.0201625525951E-2</v>
      </c>
      <c r="O2282">
        <f t="shared" si="183"/>
        <v>-8.8104133494198763E-3</v>
      </c>
    </row>
    <row r="2283" spans="1:15" x14ac:dyDescent="0.35">
      <c r="A2283" t="s">
        <v>149</v>
      </c>
      <c r="B2283">
        <v>2021</v>
      </c>
      <c r="C2283">
        <v>4022038</v>
      </c>
      <c r="D2283" s="8">
        <v>0.94576162099838301</v>
      </c>
      <c r="E2283" s="8">
        <v>3.1E-2</v>
      </c>
      <c r="F2283">
        <v>2.1725153836045501</v>
      </c>
      <c r="G2283">
        <f t="shared" si="179"/>
        <v>2.2971067289780249</v>
      </c>
      <c r="H2283">
        <f t="shared" si="181"/>
        <v>-1.8918182427778762E-2</v>
      </c>
      <c r="I2283">
        <f t="shared" si="180"/>
        <v>0</v>
      </c>
      <c r="J2283" t="str">
        <f t="shared" si="182"/>
        <v/>
      </c>
      <c r="K2283">
        <v>5.3791238248348E-2</v>
      </c>
      <c r="L2283">
        <v>1.0201625525951E-2</v>
      </c>
      <c r="M2283">
        <v>-5.4269853904843297E-2</v>
      </c>
      <c r="N2283">
        <v>-2.2166347131133E-2</v>
      </c>
      <c r="O2283">
        <f t="shared" si="183"/>
        <v>-1.1117500904947487E-2</v>
      </c>
    </row>
    <row r="2284" spans="1:15" x14ac:dyDescent="0.35">
      <c r="A2284" t="s">
        <v>149</v>
      </c>
      <c r="B2284">
        <v>2022</v>
      </c>
      <c r="C2284">
        <v>4049034</v>
      </c>
      <c r="D2284" s="8">
        <v>0.93437194824218806</v>
      </c>
      <c r="E2284" s="8">
        <v>3.1E-2</v>
      </c>
      <c r="F2284">
        <v>2.1197844593258801</v>
      </c>
      <c r="G2284">
        <f t="shared" si="179"/>
        <v>2.2686730517903291</v>
      </c>
      <c r="H2284">
        <f t="shared" si="181"/>
        <v>-1.2378039221689008E-2</v>
      </c>
      <c r="I2284">
        <f t="shared" si="180"/>
        <v>0</v>
      </c>
      <c r="J2284" t="str">
        <f t="shared" si="182"/>
        <v/>
      </c>
      <c r="K2284">
        <v>-5.4269853904843297E-2</v>
      </c>
      <c r="L2284">
        <v>-2.1687643602490401E-2</v>
      </c>
      <c r="M2284">
        <v>-2.8300872802734401E-2</v>
      </c>
      <c r="N2284">
        <v>-8.7419450283050901E-3</v>
      </c>
      <c r="O2284">
        <f t="shared" si="183"/>
        <v>-6.4552768599241833E-3</v>
      </c>
    </row>
    <row r="2285" spans="1:15" x14ac:dyDescent="0.35">
      <c r="A2285" t="s">
        <v>150</v>
      </c>
      <c r="B2285">
        <v>2006</v>
      </c>
      <c r="C2285">
        <v>430988.71875</v>
      </c>
      <c r="D2285" s="8">
        <v>0.92538404464721702</v>
      </c>
      <c r="E2285" s="8">
        <v>2.8000000000000001E-2</v>
      </c>
      <c r="F2285">
        <v>2.2811499175652301</v>
      </c>
      <c r="G2285">
        <f t="shared" si="179"/>
        <v>2.4650845567959516</v>
      </c>
      <c r="H2285">
        <f t="shared" si="181"/>
        <v>8.6575500533505156E-2</v>
      </c>
      <c r="I2285">
        <f t="shared" si="180"/>
        <v>1</v>
      </c>
      <c r="J2285" t="str">
        <f t="shared" si="182"/>
        <v/>
      </c>
      <c r="K2285">
        <v>2.92070001661777E-2</v>
      </c>
      <c r="L2285">
        <v>2.28439606726169E-2</v>
      </c>
      <c r="M2285">
        <v>-1.9795288294554001E-3</v>
      </c>
      <c r="N2285">
        <v>-1.0577728971839001E-3</v>
      </c>
      <c r="O2285" t="str">
        <f t="shared" si="183"/>
        <v/>
      </c>
    </row>
    <row r="2286" spans="1:15" x14ac:dyDescent="0.35">
      <c r="A2286" t="s">
        <v>150</v>
      </c>
      <c r="B2286">
        <v>2007</v>
      </c>
      <c r="C2286">
        <v>432020.90625</v>
      </c>
      <c r="D2286" s="8">
        <v>0.90903627872466997</v>
      </c>
      <c r="E2286" s="8">
        <v>1.7999999999999999E-2</v>
      </c>
      <c r="F2286">
        <v>2.4735948142884299</v>
      </c>
      <c r="G2286">
        <f t="shared" si="179"/>
        <v>2.7211178169464842</v>
      </c>
      <c r="H2286">
        <f t="shared" si="181"/>
        <v>0.10386388549823922</v>
      </c>
      <c r="I2286">
        <f t="shared" si="180"/>
        <v>1</v>
      </c>
      <c r="J2286" t="str">
        <f t="shared" si="182"/>
        <v/>
      </c>
      <c r="K2286">
        <v>-1.9795288294554001E-3</v>
      </c>
      <c r="L2286">
        <v>-1.0577728971839001E-3</v>
      </c>
      <c r="M2286">
        <v>-5.1798431493341901E-2</v>
      </c>
      <c r="N2286">
        <v>-2.22876272164284E-2</v>
      </c>
      <c r="O2286" t="str">
        <f t="shared" si="183"/>
        <v/>
      </c>
    </row>
    <row r="2287" spans="1:15" x14ac:dyDescent="0.35">
      <c r="A2287" t="s">
        <v>150</v>
      </c>
      <c r="B2287">
        <v>2008</v>
      </c>
      <c r="C2287">
        <v>434217.71875</v>
      </c>
      <c r="D2287" s="8">
        <v>0.90287524461746205</v>
      </c>
      <c r="E2287" s="8">
        <v>4.0000000000000001E-3</v>
      </c>
      <c r="F2287">
        <v>2.2739866780045301</v>
      </c>
      <c r="G2287">
        <f t="shared" si="179"/>
        <v>2.5186056341238952</v>
      </c>
      <c r="H2287">
        <f t="shared" si="181"/>
        <v>-7.4422423594226905E-2</v>
      </c>
      <c r="I2287">
        <f t="shared" si="180"/>
        <v>0</v>
      </c>
      <c r="J2287" t="str">
        <f t="shared" si="182"/>
        <v/>
      </c>
      <c r="K2287">
        <v>-5.1798431493341901E-2</v>
      </c>
      <c r="L2287">
        <v>-2.22876272164284E-2</v>
      </c>
      <c r="M2287">
        <v>-2.79005139172076E-2</v>
      </c>
      <c r="N2287">
        <v>-1.3338122516870401E-3</v>
      </c>
      <c r="O2287" t="str">
        <f t="shared" si="183"/>
        <v/>
      </c>
    </row>
    <row r="2288" spans="1:15" x14ac:dyDescent="0.35">
      <c r="A2288" t="s">
        <v>150</v>
      </c>
      <c r="B2288">
        <v>2009</v>
      </c>
      <c r="C2288">
        <v>437294.71875</v>
      </c>
      <c r="D2288" s="8">
        <v>0.90930372476577803</v>
      </c>
      <c r="E2288" s="8">
        <v>3.3000000000000002E-2</v>
      </c>
      <c r="F2288">
        <v>2.1048866463920302</v>
      </c>
      <c r="G2288">
        <f t="shared" si="179"/>
        <v>2.3148334149122891</v>
      </c>
      <c r="H2288">
        <f t="shared" si="181"/>
        <v>-8.0906759061741274E-2</v>
      </c>
      <c r="I2288">
        <f t="shared" si="180"/>
        <v>0</v>
      </c>
      <c r="J2288" t="str">
        <f t="shared" si="182"/>
        <v/>
      </c>
      <c r="K2288">
        <v>-2.79005139172076E-2</v>
      </c>
      <c r="L2288">
        <v>-1.3338122516870401E-3</v>
      </c>
      <c r="M2288">
        <v>-8.3153356648981592E-3</v>
      </c>
      <c r="N2288">
        <v>1.1447730939835199E-3</v>
      </c>
      <c r="O2288" t="str">
        <f t="shared" si="183"/>
        <v/>
      </c>
    </row>
    <row r="2289" spans="1:15" x14ac:dyDescent="0.35">
      <c r="A2289" t="s">
        <v>150</v>
      </c>
      <c r="B2289">
        <v>2010</v>
      </c>
      <c r="C2289">
        <v>442143</v>
      </c>
      <c r="D2289" s="8">
        <v>0.92001223564147905</v>
      </c>
      <c r="E2289" s="8">
        <v>0</v>
      </c>
      <c r="F2289">
        <v>2.35478940217391</v>
      </c>
      <c r="G2289">
        <f t="shared" si="179"/>
        <v>2.5595196574011125</v>
      </c>
      <c r="H2289">
        <f t="shared" si="181"/>
        <v>0.10570360740109441</v>
      </c>
      <c r="I2289">
        <f t="shared" si="180"/>
        <v>1</v>
      </c>
      <c r="J2289">
        <f t="shared" si="182"/>
        <v>3</v>
      </c>
      <c r="K2289">
        <v>-8.3153356648981592E-3</v>
      </c>
      <c r="L2289">
        <v>1.1447730939835199E-3</v>
      </c>
      <c r="M2289">
        <v>-2.14213937222958E-2</v>
      </c>
      <c r="N2289">
        <v>-1.3761920854449901E-4</v>
      </c>
      <c r="O2289">
        <f t="shared" si="183"/>
        <v>-9.7417506389319772E-3</v>
      </c>
    </row>
    <row r="2290" spans="1:15" x14ac:dyDescent="0.35">
      <c r="A2290" t="s">
        <v>150</v>
      </c>
      <c r="B2290">
        <v>2011</v>
      </c>
      <c r="C2290">
        <v>445844.09375</v>
      </c>
      <c r="D2290" s="8">
        <v>0.91883939504623402</v>
      </c>
      <c r="E2290" s="8">
        <v>0</v>
      </c>
      <c r="F2290">
        <v>2.2435823503713399</v>
      </c>
      <c r="G2290">
        <f t="shared" si="179"/>
        <v>2.4417568102404315</v>
      </c>
      <c r="H2290">
        <f t="shared" si="181"/>
        <v>-4.6009745156735837E-2</v>
      </c>
      <c r="I2290">
        <f t="shared" si="180"/>
        <v>0</v>
      </c>
      <c r="J2290">
        <f t="shared" si="182"/>
        <v>2</v>
      </c>
      <c r="K2290">
        <v>-2.14213937222958E-2</v>
      </c>
      <c r="L2290">
        <v>-1.3761920854449901E-4</v>
      </c>
      <c r="M2290">
        <v>-1.25652135387063E-2</v>
      </c>
      <c r="N2290">
        <v>-7.1270074695349E-3</v>
      </c>
      <c r="O2290">
        <f t="shared" si="183"/>
        <v>-1.3369743712246395E-2</v>
      </c>
    </row>
    <row r="2291" spans="1:15" x14ac:dyDescent="0.35">
      <c r="A2291" t="s">
        <v>150</v>
      </c>
      <c r="B2291">
        <v>2012</v>
      </c>
      <c r="C2291">
        <v>447894.40625</v>
      </c>
      <c r="D2291" s="8">
        <v>0.91057544946670499</v>
      </c>
      <c r="E2291" s="8">
        <v>0</v>
      </c>
      <c r="F2291">
        <v>2.2542389769990798</v>
      </c>
      <c r="G2291">
        <f t="shared" si="179"/>
        <v>2.4756202007415373</v>
      </c>
      <c r="H2291">
        <f t="shared" si="181"/>
        <v>1.3868453385319501E-2</v>
      </c>
      <c r="I2291">
        <f t="shared" si="180"/>
        <v>1</v>
      </c>
      <c r="J2291">
        <f t="shared" si="182"/>
        <v>2</v>
      </c>
      <c r="K2291">
        <v>-1.25652135387063E-2</v>
      </c>
      <c r="L2291">
        <v>-7.2126062586903902E-3</v>
      </c>
      <c r="M2291">
        <v>-4.1324865072969898E-4</v>
      </c>
      <c r="N2291">
        <v>-6.5400199964642898E-3</v>
      </c>
      <c r="O2291">
        <f t="shared" si="183"/>
        <v>-1.3116898573934995E-2</v>
      </c>
    </row>
    <row r="2292" spans="1:15" x14ac:dyDescent="0.35">
      <c r="A2292" t="s">
        <v>150</v>
      </c>
      <c r="B2292">
        <v>2013</v>
      </c>
      <c r="C2292">
        <v>446147.71875</v>
      </c>
      <c r="D2292" s="8">
        <v>0.90498006343841597</v>
      </c>
      <c r="E2292" s="8">
        <v>2.1000000000000001E-2</v>
      </c>
      <c r="F2292">
        <v>2.3125238839673399</v>
      </c>
      <c r="G2292">
        <f t="shared" si="179"/>
        <v>2.5553313021958162</v>
      </c>
      <c r="H2292">
        <f t="shared" si="181"/>
        <v>3.2198437155425808E-2</v>
      </c>
      <c r="I2292">
        <f t="shared" si="180"/>
        <v>1</v>
      </c>
      <c r="J2292">
        <f t="shared" si="182"/>
        <v>3</v>
      </c>
      <c r="K2292">
        <v>-4.1324865072969898E-4</v>
      </c>
      <c r="L2292">
        <v>-6.5400199964642898E-3</v>
      </c>
      <c r="M2292">
        <v>-1.1576614513993199E-2</v>
      </c>
      <c r="N2292">
        <v>-1.35846380144357E-2</v>
      </c>
      <c r="O2292">
        <f t="shared" si="183"/>
        <v>-1.3898383080959257E-2</v>
      </c>
    </row>
    <row r="2293" spans="1:15" x14ac:dyDescent="0.35">
      <c r="A2293" t="s">
        <v>150</v>
      </c>
      <c r="B2293">
        <v>2014</v>
      </c>
      <c r="C2293">
        <v>444382.59375</v>
      </c>
      <c r="D2293" s="8">
        <v>0.90604323148727395</v>
      </c>
      <c r="E2293" s="8">
        <v>0.01</v>
      </c>
      <c r="F2293">
        <v>2.40210224249947</v>
      </c>
      <c r="G2293">
        <f t="shared" si="179"/>
        <v>2.6512004714790582</v>
      </c>
      <c r="H2293">
        <f t="shared" si="181"/>
        <v>3.7517314956718506E-2</v>
      </c>
      <c r="I2293">
        <f t="shared" si="180"/>
        <v>1</v>
      </c>
      <c r="J2293">
        <f t="shared" si="182"/>
        <v>4</v>
      </c>
      <c r="K2293">
        <v>-1.1576614513993199E-2</v>
      </c>
      <c r="L2293">
        <v>-1.35846380144357E-2</v>
      </c>
      <c r="M2293">
        <v>8.9439835175871805E-3</v>
      </c>
      <c r="N2293">
        <v>-2.1319468505680499E-2</v>
      </c>
      <c r="O2293">
        <f t="shared" si="183"/>
        <v>-1.4846104755997597E-2</v>
      </c>
    </row>
    <row r="2294" spans="1:15" x14ac:dyDescent="0.35">
      <c r="A2294" t="s">
        <v>150</v>
      </c>
      <c r="B2294">
        <v>2015</v>
      </c>
      <c r="C2294">
        <v>443112.90625</v>
      </c>
      <c r="D2294" s="8">
        <v>0.90293586254119895</v>
      </c>
      <c r="E2294" s="8">
        <v>1.4E-2</v>
      </c>
      <c r="F2294">
        <v>2.3519389701207798</v>
      </c>
      <c r="G2294">
        <f t="shared" si="179"/>
        <v>2.6047685862222201</v>
      </c>
      <c r="H2294">
        <f t="shared" si="181"/>
        <v>-1.751353236254316E-2</v>
      </c>
      <c r="I2294">
        <f t="shared" si="180"/>
        <v>0</v>
      </c>
      <c r="J2294">
        <f t="shared" si="182"/>
        <v>3</v>
      </c>
      <c r="K2294">
        <v>8.9439835175871805E-3</v>
      </c>
      <c r="L2294">
        <v>-2.1319468505680499E-2</v>
      </c>
      <c r="M2294">
        <v>-5.1240275725722203E-3</v>
      </c>
      <c r="N2294">
        <v>-1.82775845751166E-2</v>
      </c>
      <c r="O2294">
        <f t="shared" si="183"/>
        <v>-7.1430956944822793E-3</v>
      </c>
    </row>
    <row r="2295" spans="1:15" x14ac:dyDescent="0.35">
      <c r="A2295" t="s">
        <v>150</v>
      </c>
      <c r="B2295">
        <v>2016</v>
      </c>
      <c r="C2295">
        <v>440690.5</v>
      </c>
      <c r="D2295" s="8">
        <v>0.89193284511566195</v>
      </c>
      <c r="E2295" s="8">
        <v>3.0000000000000001E-3</v>
      </c>
      <c r="F2295">
        <v>2.1646195864221598</v>
      </c>
      <c r="G2295">
        <f t="shared" si="179"/>
        <v>2.4268862821633856</v>
      </c>
      <c r="H2295">
        <f t="shared" si="181"/>
        <v>-6.8291020169597094E-2</v>
      </c>
      <c r="I2295">
        <f t="shared" si="180"/>
        <v>0</v>
      </c>
      <c r="J2295">
        <f t="shared" si="182"/>
        <v>3</v>
      </c>
      <c r="K2295">
        <v>-5.1240275725722203E-3</v>
      </c>
      <c r="L2295">
        <v>-1.82775845751166E-2</v>
      </c>
      <c r="M2295">
        <v>-3.0732083171605999E-3</v>
      </c>
      <c r="N2295">
        <v>-5.8627817779778896E-3</v>
      </c>
      <c r="O2295">
        <f t="shared" si="183"/>
        <v>-5.4183520376682006E-3</v>
      </c>
    </row>
    <row r="2296" spans="1:15" x14ac:dyDescent="0.35">
      <c r="A2296" t="s">
        <v>150</v>
      </c>
      <c r="B2296">
        <v>2017</v>
      </c>
      <c r="C2296">
        <v>438111.59375</v>
      </c>
      <c r="D2296" s="8">
        <v>0.89362281560897805</v>
      </c>
      <c r="E2296" s="8">
        <v>-1E-3</v>
      </c>
      <c r="F2296">
        <v>2.2333245082618198</v>
      </c>
      <c r="G2296">
        <f t="shared" si="179"/>
        <v>2.4991802685116919</v>
      </c>
      <c r="H2296">
        <f t="shared" si="181"/>
        <v>2.9788781979459555E-2</v>
      </c>
      <c r="I2296">
        <f t="shared" si="180"/>
        <v>1</v>
      </c>
      <c r="J2296">
        <f t="shared" si="182"/>
        <v>3</v>
      </c>
      <c r="K2296">
        <v>-3.0732083171605999E-3</v>
      </c>
      <c r="L2296">
        <v>-5.8627817779778896E-3</v>
      </c>
      <c r="M2296">
        <v>-1.3124195635319E-3</v>
      </c>
      <c r="N2296">
        <v>-1.04474425315856E-2</v>
      </c>
      <c r="O2296">
        <f t="shared" si="183"/>
        <v>-5.7198088616132433E-3</v>
      </c>
    </row>
    <row r="2297" spans="1:15" x14ac:dyDescent="0.35">
      <c r="A2297" t="s">
        <v>150</v>
      </c>
      <c r="B2297">
        <v>2018</v>
      </c>
      <c r="C2297">
        <v>434805.5</v>
      </c>
      <c r="D2297" s="8">
        <v>0.89039146900177002</v>
      </c>
      <c r="E2297" s="8">
        <v>0</v>
      </c>
      <c r="F2297">
        <v>2.2005676442762501</v>
      </c>
      <c r="G2297">
        <f t="shared" si="179"/>
        <v>2.471460835921234</v>
      </c>
      <c r="H2297">
        <f t="shared" si="181"/>
        <v>-1.1091409827337251E-2</v>
      </c>
      <c r="I2297">
        <f t="shared" si="180"/>
        <v>0</v>
      </c>
      <c r="J2297">
        <f t="shared" si="182"/>
        <v>2</v>
      </c>
      <c r="K2297">
        <v>-1.3124195635319E-3</v>
      </c>
      <c r="L2297">
        <v>-1.04474425315856E-2</v>
      </c>
      <c r="M2297">
        <v>-5.2205178141589905E-4</v>
      </c>
      <c r="N2297">
        <v>-1.8323246389627401E-2</v>
      </c>
      <c r="O2297">
        <f t="shared" si="183"/>
        <v>-2.4069394916295824E-3</v>
      </c>
    </row>
    <row r="2298" spans="1:15" x14ac:dyDescent="0.35">
      <c r="A2298" t="s">
        <v>150</v>
      </c>
      <c r="B2298">
        <v>2019</v>
      </c>
      <c r="C2298">
        <v>431829.71875</v>
      </c>
      <c r="D2298" s="8">
        <v>0.88040810823440596</v>
      </c>
      <c r="E2298" s="8">
        <v>3.0000000000000001E-3</v>
      </c>
      <c r="F2298">
        <v>2.2645217360458298</v>
      </c>
      <c r="G2298">
        <f t="shared" si="179"/>
        <v>2.5721273064910344</v>
      </c>
      <c r="H2298">
        <f t="shared" si="181"/>
        <v>4.0731566167941047E-2</v>
      </c>
      <c r="I2298">
        <f t="shared" si="180"/>
        <v>1</v>
      </c>
      <c r="J2298" t="str">
        <f t="shared" si="182"/>
        <v/>
      </c>
      <c r="K2298">
        <v>-5.2205178141589905E-4</v>
      </c>
      <c r="L2298">
        <v>-1.8323246389627401E-2</v>
      </c>
      <c r="M2298">
        <v>3.6044767230749099E-2</v>
      </c>
      <c r="N2298">
        <v>1.7195576801896099E-2</v>
      </c>
      <c r="O2298">
        <f t="shared" si="183"/>
        <v>6.1933459714055179E-3</v>
      </c>
    </row>
    <row r="2299" spans="1:15" x14ac:dyDescent="0.35">
      <c r="A2299" t="s">
        <v>150</v>
      </c>
      <c r="B2299">
        <v>2020</v>
      </c>
      <c r="C2299">
        <v>428277</v>
      </c>
      <c r="D2299" s="8">
        <v>0.90696525573730502</v>
      </c>
      <c r="E2299" s="8">
        <v>0</v>
      </c>
      <c r="F2299">
        <v>2.1007471758051102</v>
      </c>
      <c r="G2299">
        <f t="shared" si="179"/>
        <v>2.3162377638130542</v>
      </c>
      <c r="H2299">
        <f t="shared" si="181"/>
        <v>-9.9485566687238181E-2</v>
      </c>
      <c r="I2299">
        <f t="shared" si="180"/>
        <v>0</v>
      </c>
      <c r="J2299" t="str">
        <f t="shared" si="182"/>
        <v/>
      </c>
      <c r="K2299">
        <v>3.6044767230749099E-2</v>
      </c>
      <c r="L2299">
        <v>1.7195576801896099E-2</v>
      </c>
      <c r="M2299">
        <v>3.3935746431350597E-2</v>
      </c>
      <c r="N2299">
        <v>-9.6538662910462102E-3</v>
      </c>
      <c r="O2299">
        <f t="shared" si="183"/>
        <v>2.7682528831064813E-3</v>
      </c>
    </row>
    <row r="2300" spans="1:15" x14ac:dyDescent="0.35">
      <c r="A2300" t="s">
        <v>150</v>
      </c>
      <c r="B2300">
        <v>2021</v>
      </c>
      <c r="C2300">
        <v>423844.90625</v>
      </c>
      <c r="D2300" s="8">
        <v>0.91404891014099099</v>
      </c>
      <c r="E2300" s="8">
        <v>-7.0000000000000001E-3</v>
      </c>
      <c r="F2300">
        <v>2.2037999871622</v>
      </c>
      <c r="G2300">
        <f t="shared" si="179"/>
        <v>2.4110307038408552</v>
      </c>
      <c r="H2300">
        <f t="shared" si="181"/>
        <v>4.092539268151385E-2</v>
      </c>
      <c r="I2300">
        <f t="shared" si="180"/>
        <v>1</v>
      </c>
      <c r="J2300" t="str">
        <f t="shared" si="182"/>
        <v/>
      </c>
      <c r="K2300">
        <v>3.3935746431350597E-2</v>
      </c>
      <c r="L2300">
        <v>-9.6538662910462102E-3</v>
      </c>
      <c r="M2300">
        <v>-3.9473572671413402E-2</v>
      </c>
      <c r="N2300">
        <v>-7.3700658977030997E-3</v>
      </c>
      <c r="O2300">
        <f t="shared" si="183"/>
        <v>-3.186483215540617E-3</v>
      </c>
    </row>
    <row r="2301" spans="1:15" x14ac:dyDescent="0.35">
      <c r="A2301" t="s">
        <v>150</v>
      </c>
      <c r="B2301">
        <v>2022</v>
      </c>
      <c r="C2301">
        <v>420498.40625</v>
      </c>
      <c r="D2301" s="8">
        <v>0.86465358734130904</v>
      </c>
      <c r="E2301" s="8">
        <v>1.2E-2</v>
      </c>
      <c r="F2301">
        <v>2.11406996504954</v>
      </c>
      <c r="G2301">
        <f t="shared" si="179"/>
        <v>2.4449906829739927</v>
      </c>
      <c r="H2301">
        <f t="shared" si="181"/>
        <v>1.4085253696287658E-2</v>
      </c>
      <c r="I2301">
        <f t="shared" si="180"/>
        <v>1</v>
      </c>
      <c r="J2301" t="str">
        <f t="shared" si="182"/>
        <v/>
      </c>
      <c r="K2301">
        <v>-3.9473572671413402E-2</v>
      </c>
      <c r="L2301">
        <v>-6.8913623690604999E-3</v>
      </c>
      <c r="M2301">
        <v>-1.3442023456096601E-2</v>
      </c>
      <c r="N2301">
        <v>6.1169043183326999E-3</v>
      </c>
      <c r="O2301">
        <f t="shared" si="183"/>
        <v>-1.0945888701826194E-3</v>
      </c>
    </row>
    <row r="2302" spans="1:15" x14ac:dyDescent="0.35">
      <c r="A2302" t="s">
        <v>151</v>
      </c>
      <c r="B2302">
        <v>2006</v>
      </c>
      <c r="C2302">
        <v>504903.8125</v>
      </c>
      <c r="D2302" s="8">
        <v>0.94005113840103105</v>
      </c>
      <c r="E2302" s="8">
        <v>2.9000000000000001E-2</v>
      </c>
      <c r="F2302">
        <v>2.0701604699241898</v>
      </c>
      <c r="G2302">
        <f t="shared" si="179"/>
        <v>2.2021785681206714</v>
      </c>
      <c r="H2302">
        <f t="shared" si="181"/>
        <v>-9.9310036861970374E-2</v>
      </c>
      <c r="I2302">
        <f t="shared" si="180"/>
        <v>0</v>
      </c>
      <c r="J2302" t="str">
        <f t="shared" si="182"/>
        <v/>
      </c>
      <c r="K2302">
        <v>2.89113126993178E-2</v>
      </c>
      <c r="L2302">
        <v>2.2548273205757099E-2</v>
      </c>
      <c r="M2302">
        <v>2.3756424993276602E-2</v>
      </c>
      <c r="N2302">
        <v>2.4678180925548101E-2</v>
      </c>
      <c r="O2302" t="str">
        <f t="shared" si="183"/>
        <v/>
      </c>
    </row>
    <row r="2303" spans="1:15" x14ac:dyDescent="0.35">
      <c r="A2303" t="s">
        <v>151</v>
      </c>
      <c r="B2303">
        <v>2007</v>
      </c>
      <c r="C2303">
        <v>513685.90625</v>
      </c>
      <c r="D2303" s="8">
        <v>0.94819056987762496</v>
      </c>
      <c r="E2303" s="8">
        <v>4.0000000000000001E-3</v>
      </c>
      <c r="F2303">
        <v>2.13514923305133</v>
      </c>
      <c r="G2303">
        <f t="shared" si="179"/>
        <v>2.2518144567994343</v>
      </c>
      <c r="H2303">
        <f t="shared" si="181"/>
        <v>2.2539447707513593E-2</v>
      </c>
      <c r="I2303">
        <f t="shared" si="180"/>
        <v>1</v>
      </c>
      <c r="J2303" t="str">
        <f t="shared" si="182"/>
        <v/>
      </c>
      <c r="K2303">
        <v>2.3756424993276602E-2</v>
      </c>
      <c r="L2303">
        <v>2.4678180925548101E-2</v>
      </c>
      <c r="M2303">
        <v>-2.9440692916512402E-2</v>
      </c>
      <c r="N2303">
        <v>7.0111360400915105E-5</v>
      </c>
      <c r="O2303" t="str">
        <f t="shared" si="183"/>
        <v/>
      </c>
    </row>
    <row r="2304" spans="1:15" x14ac:dyDescent="0.35">
      <c r="A2304" t="s">
        <v>151</v>
      </c>
      <c r="B2304">
        <v>2008</v>
      </c>
      <c r="C2304">
        <v>520213.0625</v>
      </c>
      <c r="D2304" s="8">
        <v>0.94327026605606101</v>
      </c>
      <c r="E2304" s="8">
        <v>3.4000000000000002E-2</v>
      </c>
      <c r="F2304">
        <v>2.1722037314116398</v>
      </c>
      <c r="G2304">
        <f t="shared" si="179"/>
        <v>2.3028434263001989</v>
      </c>
      <c r="H2304">
        <f t="shared" si="181"/>
        <v>2.2661267382257266E-2</v>
      </c>
      <c r="I2304">
        <f t="shared" si="180"/>
        <v>1</v>
      </c>
      <c r="J2304" t="str">
        <f t="shared" si="182"/>
        <v/>
      </c>
      <c r="K2304">
        <v>-2.9440692916512402E-2</v>
      </c>
      <c r="L2304">
        <v>7.0111360400915105E-5</v>
      </c>
      <c r="M2304">
        <v>-6.5994248449802395E-2</v>
      </c>
      <c r="N2304">
        <v>-3.9427546784281703E-2</v>
      </c>
      <c r="O2304" t="str">
        <f t="shared" si="183"/>
        <v/>
      </c>
    </row>
    <row r="2305" spans="1:15" x14ac:dyDescent="0.35">
      <c r="A2305" t="s">
        <v>151</v>
      </c>
      <c r="B2305">
        <v>2009</v>
      </c>
      <c r="C2305">
        <v>525860.125</v>
      </c>
      <c r="D2305" s="8">
        <v>0.91906511783599898</v>
      </c>
      <c r="E2305" s="8">
        <v>5.0999999999999997E-2</v>
      </c>
      <c r="F2305">
        <v>2.2493559384786201</v>
      </c>
      <c r="G2305">
        <f t="shared" si="179"/>
        <v>2.4474391366031614</v>
      </c>
      <c r="H2305">
        <f t="shared" si="181"/>
        <v>6.2790074501622994E-2</v>
      </c>
      <c r="I2305">
        <f t="shared" si="180"/>
        <v>1</v>
      </c>
      <c r="J2305" t="str">
        <f t="shared" si="182"/>
        <v/>
      </c>
      <c r="K2305">
        <v>-6.5994248449802395E-2</v>
      </c>
      <c r="L2305">
        <v>-3.9427546784281703E-2</v>
      </c>
      <c r="M2305">
        <v>-6.3707029297947904E-3</v>
      </c>
      <c r="N2305">
        <v>3.0894058290868902E-3</v>
      </c>
      <c r="O2305" t="str">
        <f t="shared" si="183"/>
        <v/>
      </c>
    </row>
    <row r="2306" spans="1:15" x14ac:dyDescent="0.35">
      <c r="A2306" t="s">
        <v>151</v>
      </c>
      <c r="B2306">
        <v>2010</v>
      </c>
      <c r="C2306">
        <v>529501.5625</v>
      </c>
      <c r="D2306" s="8">
        <v>0.93579506874084495</v>
      </c>
      <c r="E2306" s="8">
        <v>2E-3</v>
      </c>
      <c r="F2306">
        <v>2.2743141419137101</v>
      </c>
      <c r="G2306">
        <f t="shared" si="179"/>
        <v>2.4303549119722372</v>
      </c>
      <c r="H2306">
        <f t="shared" si="181"/>
        <v>-6.9804492276918095E-3</v>
      </c>
      <c r="I2306">
        <f t="shared" si="180"/>
        <v>0</v>
      </c>
      <c r="J2306">
        <f t="shared" si="182"/>
        <v>3</v>
      </c>
      <c r="K2306">
        <v>-6.3707029297947904E-3</v>
      </c>
      <c r="L2306">
        <v>3.0894058290868902E-3</v>
      </c>
      <c r="M2306">
        <v>-2.08984598219395E-2</v>
      </c>
      <c r="N2306">
        <v>3.853146918118E-4</v>
      </c>
      <c r="O2306">
        <f t="shared" si="183"/>
        <v>8.9721847325577748E-5</v>
      </c>
    </row>
    <row r="2307" spans="1:15" x14ac:dyDescent="0.35">
      <c r="A2307" t="s">
        <v>151</v>
      </c>
      <c r="B2307">
        <v>2011</v>
      </c>
      <c r="C2307">
        <v>532243.875</v>
      </c>
      <c r="D2307" s="8">
        <v>0.93475091457366899</v>
      </c>
      <c r="E2307" s="8">
        <v>0</v>
      </c>
      <c r="F2307">
        <v>2.18505733142735</v>
      </c>
      <c r="G2307">
        <f t="shared" ref="G2307:G2370" si="184">F2307/D2307</f>
        <v>2.3375824482867009</v>
      </c>
      <c r="H2307">
        <f t="shared" si="181"/>
        <v>-3.8172393352315481E-2</v>
      </c>
      <c r="I2307">
        <f t="shared" ref="I2307:I2370" si="185">IF(H2307&gt;0,1,0)</f>
        <v>0</v>
      </c>
      <c r="J2307">
        <f t="shared" si="182"/>
        <v>3</v>
      </c>
      <c r="K2307">
        <v>-2.08984598219395E-2</v>
      </c>
      <c r="L2307">
        <v>3.853146918118E-4</v>
      </c>
      <c r="M2307">
        <v>-1.0358720369637E-2</v>
      </c>
      <c r="N2307">
        <v>-4.9205143004656003E-3</v>
      </c>
      <c r="O2307">
        <f t="shared" si="183"/>
        <v>1.4656160026788778E-3</v>
      </c>
    </row>
    <row r="2308" spans="1:15" x14ac:dyDescent="0.35">
      <c r="A2308" t="s">
        <v>151</v>
      </c>
      <c r="B2308">
        <v>2012</v>
      </c>
      <c r="C2308">
        <v>535802.6875</v>
      </c>
      <c r="D2308" s="8">
        <v>0.93676811456680298</v>
      </c>
      <c r="E2308" s="8">
        <v>1.2999999999999999E-2</v>
      </c>
      <c r="F2308">
        <v>2.2373485989755899</v>
      </c>
      <c r="G2308">
        <f t="shared" si="184"/>
        <v>2.3883697194478319</v>
      </c>
      <c r="H2308">
        <f t="shared" ref="H2308:H2371" si="186">+G2308/G2307-1</f>
        <v>2.1726408494534555E-2</v>
      </c>
      <c r="I2308">
        <f t="shared" si="185"/>
        <v>1</v>
      </c>
      <c r="J2308">
        <f t="shared" si="182"/>
        <v>3</v>
      </c>
      <c r="K2308">
        <v>-1.0358720369637E-2</v>
      </c>
      <c r="L2308">
        <v>-5.0061130896211E-3</v>
      </c>
      <c r="M2308">
        <v>8.6704554408788999E-3</v>
      </c>
      <c r="N2308">
        <v>2.5436840951442901E-3</v>
      </c>
      <c r="O2308">
        <f t="shared" si="183"/>
        <v>5.7438738644123178E-3</v>
      </c>
    </row>
    <row r="2309" spans="1:15" x14ac:dyDescent="0.35">
      <c r="A2309" t="s">
        <v>151</v>
      </c>
      <c r="B2309">
        <v>2013</v>
      </c>
      <c r="C2309">
        <v>540106.8125</v>
      </c>
      <c r="D2309" s="8">
        <v>0.93941807746887196</v>
      </c>
      <c r="E2309" s="8">
        <v>3.5999999999999997E-2</v>
      </c>
      <c r="F2309">
        <v>2.21887410340066</v>
      </c>
      <c r="G2309">
        <f t="shared" si="184"/>
        <v>2.361966579756587</v>
      </c>
      <c r="H2309">
        <f t="shared" si="186"/>
        <v>-1.1054879601031464E-2</v>
      </c>
      <c r="I2309">
        <f t="shared" si="185"/>
        <v>0</v>
      </c>
      <c r="J2309">
        <f t="shared" si="182"/>
        <v>2</v>
      </c>
      <c r="K2309">
        <v>8.6704554408788999E-3</v>
      </c>
      <c r="L2309">
        <v>2.5436840951442901E-3</v>
      </c>
      <c r="M2309">
        <v>2.5446143150329999E-3</v>
      </c>
      <c r="N2309">
        <v>5.3659081459049899E-4</v>
      </c>
      <c r="O2309">
        <f t="shared" si="183"/>
        <v>4.7320853918791017E-3</v>
      </c>
    </row>
    <row r="2310" spans="1:15" x14ac:dyDescent="0.35">
      <c r="A2310" t="s">
        <v>151</v>
      </c>
      <c r="B2310">
        <v>2014</v>
      </c>
      <c r="C2310">
        <v>546514.25</v>
      </c>
      <c r="D2310" s="8">
        <v>0.93716722726821899</v>
      </c>
      <c r="E2310" s="8">
        <v>2.1000000000000001E-2</v>
      </c>
      <c r="F2310">
        <v>2.40672181126941</v>
      </c>
      <c r="G2310">
        <f t="shared" si="184"/>
        <v>2.5680814920138064</v>
      </c>
      <c r="H2310">
        <f t="shared" si="186"/>
        <v>8.7264110349292379E-2</v>
      </c>
      <c r="I2310">
        <f t="shared" si="185"/>
        <v>1</v>
      </c>
      <c r="J2310">
        <f t="shared" si="182"/>
        <v>2</v>
      </c>
      <c r="K2310">
        <v>2.5446143150329999E-3</v>
      </c>
      <c r="L2310">
        <v>5.3659081459049899E-4</v>
      </c>
      <c r="M2310">
        <v>3.2166985958814599E-2</v>
      </c>
      <c r="N2310">
        <v>1.9035339355468999E-3</v>
      </c>
      <c r="O2310">
        <f t="shared" si="183"/>
        <v>6.8666975945234215E-3</v>
      </c>
    </row>
    <row r="2311" spans="1:15" x14ac:dyDescent="0.35">
      <c r="A2311" t="s">
        <v>151</v>
      </c>
      <c r="B2311">
        <v>2015</v>
      </c>
      <c r="C2311">
        <v>554439</v>
      </c>
      <c r="D2311" s="8">
        <v>0.94828397035598799</v>
      </c>
      <c r="E2311" s="8">
        <v>1.2999999999999999E-2</v>
      </c>
      <c r="F2311">
        <v>2.3261501760763301</v>
      </c>
      <c r="G2311">
        <f t="shared" si="184"/>
        <v>2.4530101201679999</v>
      </c>
      <c r="H2311">
        <f t="shared" si="186"/>
        <v>-4.4808302308028125E-2</v>
      </c>
      <c r="I2311">
        <f t="shared" si="185"/>
        <v>0</v>
      </c>
      <c r="J2311">
        <f t="shared" ref="J2311:J2374" si="187">IF(AND(B2311&gt;=2010,B2311&lt;=2018),SUM(I2307:I2311),"")</f>
        <v>2</v>
      </c>
      <c r="K2311">
        <v>3.2166985958814599E-2</v>
      </c>
      <c r="L2311">
        <v>1.9035339355468999E-3</v>
      </c>
      <c r="M2311">
        <v>2.0418342471122699E-2</v>
      </c>
      <c r="N2311">
        <v>7.2647854685782996E-3</v>
      </c>
      <c r="O2311">
        <f t="shared" ref="O2311:O2374" si="188">IF(B2311&gt;=2010,AVERAGE(N2311:N2315),"")</f>
        <v>1.0288517922162982E-2</v>
      </c>
    </row>
    <row r="2312" spans="1:15" x14ac:dyDescent="0.35">
      <c r="A2312" t="s">
        <v>151</v>
      </c>
      <c r="B2312">
        <v>2016</v>
      </c>
      <c r="C2312">
        <v>564620</v>
      </c>
      <c r="D2312" s="8">
        <v>0.95172625780105602</v>
      </c>
      <c r="E2312" s="8">
        <v>2.7E-2</v>
      </c>
      <c r="F2312">
        <v>2.39847637915988</v>
      </c>
      <c r="G2312">
        <f t="shared" si="184"/>
        <v>2.5201326111370621</v>
      </c>
      <c r="H2312">
        <f t="shared" si="186"/>
        <v>2.7363315959114454E-2</v>
      </c>
      <c r="I2312">
        <f t="shared" si="185"/>
        <v>1</v>
      </c>
      <c r="J2312">
        <f t="shared" si="187"/>
        <v>3</v>
      </c>
      <c r="K2312">
        <v>2.0418342471122699E-2</v>
      </c>
      <c r="L2312">
        <v>7.2647854685782996E-3</v>
      </c>
      <c r="M2312">
        <v>1.92603484690189E-2</v>
      </c>
      <c r="N2312">
        <v>1.6470775008201599E-2</v>
      </c>
      <c r="O2312">
        <f t="shared" si="188"/>
        <v>1.0061063617467839E-2</v>
      </c>
    </row>
    <row r="2313" spans="1:15" x14ac:dyDescent="0.35">
      <c r="A2313" t="s">
        <v>151</v>
      </c>
      <c r="B2313">
        <v>2017</v>
      </c>
      <c r="C2313">
        <v>574911.0625</v>
      </c>
      <c r="D2313" s="8">
        <v>0.94493883848190297</v>
      </c>
      <c r="E2313" s="8">
        <v>3.1E-2</v>
      </c>
      <c r="F2313">
        <v>2.2559740600774001</v>
      </c>
      <c r="G2313">
        <f t="shared" si="184"/>
        <v>2.3874286548553223</v>
      </c>
      <c r="H2313">
        <f t="shared" si="186"/>
        <v>-5.2657529090052502E-2</v>
      </c>
      <c r="I2313">
        <f t="shared" si="185"/>
        <v>0</v>
      </c>
      <c r="J2313">
        <f t="shared" si="187"/>
        <v>2</v>
      </c>
      <c r="K2313">
        <v>1.92603484690189E-2</v>
      </c>
      <c r="L2313">
        <v>1.6470775008201599E-2</v>
      </c>
      <c r="M2313">
        <v>6.6197647005319998E-3</v>
      </c>
      <c r="N2313">
        <v>-2.5152582675217901E-3</v>
      </c>
      <c r="O2313">
        <f t="shared" si="188"/>
        <v>2.6107870042323803E-3</v>
      </c>
    </row>
    <row r="2314" spans="1:15" x14ac:dyDescent="0.35">
      <c r="A2314" t="s">
        <v>151</v>
      </c>
      <c r="B2314">
        <v>2018</v>
      </c>
      <c r="C2314">
        <v>584921.875</v>
      </c>
      <c r="D2314" s="8">
        <v>0.94033414125442505</v>
      </c>
      <c r="E2314" s="8">
        <v>3.7999999999999999E-2</v>
      </c>
      <c r="F2314">
        <v>2.3011637515493701</v>
      </c>
      <c r="G2314">
        <f t="shared" si="184"/>
        <v>2.4471766477388246</v>
      </c>
      <c r="H2314">
        <f t="shared" si="186"/>
        <v>2.5026085182479729E-2</v>
      </c>
      <c r="I2314">
        <f t="shared" si="185"/>
        <v>1</v>
      </c>
      <c r="J2314">
        <f t="shared" si="187"/>
        <v>3</v>
      </c>
      <c r="K2314">
        <v>6.6197647005319998E-3</v>
      </c>
      <c r="L2314">
        <v>-2.5152582675217901E-3</v>
      </c>
      <c r="M2314">
        <v>2.90108464360237E-2</v>
      </c>
      <c r="N2314">
        <v>1.1209651827812099E-2</v>
      </c>
      <c r="O2314">
        <f t="shared" si="188"/>
        <v>1.1755708605050599E-3</v>
      </c>
    </row>
    <row r="2315" spans="1:15" x14ac:dyDescent="0.35">
      <c r="A2315" t="s">
        <v>151</v>
      </c>
      <c r="B2315">
        <v>2019</v>
      </c>
      <c r="C2315">
        <v>595017.1875</v>
      </c>
      <c r="D2315" s="8">
        <v>0.95392143726348899</v>
      </c>
      <c r="E2315" s="8">
        <v>1.2999999999999999E-2</v>
      </c>
      <c r="F2315">
        <v>2.3096955721508801</v>
      </c>
      <c r="G2315">
        <f t="shared" si="184"/>
        <v>2.4212639342467188</v>
      </c>
      <c r="H2315">
        <f t="shared" si="186"/>
        <v>-1.05888201883787E-2</v>
      </c>
      <c r="I2315">
        <f t="shared" si="185"/>
        <v>0</v>
      </c>
      <c r="J2315" t="str">
        <f t="shared" si="187"/>
        <v/>
      </c>
      <c r="K2315">
        <v>2.90108464360237E-2</v>
      </c>
      <c r="L2315">
        <v>1.1209651827812099E-2</v>
      </c>
      <c r="M2315">
        <v>3.7861826002597798E-2</v>
      </c>
      <c r="N2315">
        <v>1.9012635573744701E-2</v>
      </c>
      <c r="O2315">
        <f t="shared" si="188"/>
        <v>-3.7795957177879952E-4</v>
      </c>
    </row>
    <row r="2316" spans="1:15" x14ac:dyDescent="0.35">
      <c r="A2316" t="s">
        <v>151</v>
      </c>
      <c r="B2316">
        <v>2020</v>
      </c>
      <c r="C2316">
        <v>602715</v>
      </c>
      <c r="D2316" s="8">
        <v>0.957294762134552</v>
      </c>
      <c r="E2316" s="8">
        <v>3.4000000000000002E-2</v>
      </c>
      <c r="F2316">
        <v>2.1195178684711302</v>
      </c>
      <c r="G2316">
        <f t="shared" si="184"/>
        <v>2.2140702658239579</v>
      </c>
      <c r="H2316">
        <f t="shared" si="186"/>
        <v>-8.5572524949545037E-2</v>
      </c>
      <c r="I2316">
        <f t="shared" si="185"/>
        <v>0</v>
      </c>
      <c r="J2316" t="str">
        <f t="shared" si="187"/>
        <v/>
      </c>
      <c r="K2316">
        <v>3.7861826002597798E-2</v>
      </c>
      <c r="L2316">
        <v>1.9012635573744701E-2</v>
      </c>
      <c r="M2316">
        <v>4.97171266674995E-2</v>
      </c>
      <c r="N2316">
        <v>6.1275139451025902E-3</v>
      </c>
      <c r="O2316">
        <f t="shared" si="188"/>
        <v>-4.1945089586079226E-3</v>
      </c>
    </row>
    <row r="2317" spans="1:15" x14ac:dyDescent="0.35">
      <c r="A2317" t="s">
        <v>151</v>
      </c>
      <c r="B2317">
        <v>2021</v>
      </c>
      <c r="C2317">
        <v>608223</v>
      </c>
      <c r="D2317" s="8">
        <v>0.94719707965850797</v>
      </c>
      <c r="E2317" s="8">
        <v>2.9000000000000001E-2</v>
      </c>
      <c r="F2317">
        <v>2.2021271681640702</v>
      </c>
      <c r="G2317">
        <f t="shared" si="184"/>
        <v>2.3248880464855328</v>
      </c>
      <c r="H2317">
        <f t="shared" si="186"/>
        <v>5.005160964046218E-2</v>
      </c>
      <c r="I2317">
        <f t="shared" si="185"/>
        <v>1</v>
      </c>
      <c r="J2317" t="str">
        <f t="shared" si="187"/>
        <v/>
      </c>
      <c r="K2317">
        <v>4.97171266674995E-2</v>
      </c>
      <c r="L2317">
        <v>6.1275139451025902E-3</v>
      </c>
      <c r="M2317">
        <v>-5.2884114831686001E-2</v>
      </c>
      <c r="N2317">
        <v>-2.07806080579757E-2</v>
      </c>
      <c r="O2317">
        <f t="shared" si="188"/>
        <v>-4.8848447389900716E-3</v>
      </c>
    </row>
    <row r="2318" spans="1:15" x14ac:dyDescent="0.35">
      <c r="A2318" t="s">
        <v>151</v>
      </c>
      <c r="B2318">
        <v>2022</v>
      </c>
      <c r="C2318">
        <v>613074.25</v>
      </c>
      <c r="D2318" s="8">
        <v>0.94005495309829701</v>
      </c>
      <c r="E2318" s="8">
        <v>2.3E-2</v>
      </c>
      <c r="F2318">
        <v>2.1567878468563402</v>
      </c>
      <c r="G2318">
        <f t="shared" si="184"/>
        <v>2.2943210285184414</v>
      </c>
      <c r="H2318">
        <f t="shared" si="186"/>
        <v>-1.3147737592482667E-2</v>
      </c>
      <c r="I2318">
        <f t="shared" si="185"/>
        <v>0</v>
      </c>
      <c r="J2318" t="str">
        <f t="shared" si="187"/>
        <v/>
      </c>
      <c r="K2318">
        <v>-5.2884114831686001E-2</v>
      </c>
      <c r="L2318">
        <v>-2.0301904529333101E-2</v>
      </c>
      <c r="M2318">
        <v>-2.9250266760587701E-2</v>
      </c>
      <c r="N2318">
        <v>-9.6913389861583901E-3</v>
      </c>
      <c r="O2318">
        <f t="shared" si="188"/>
        <v>1.467889687046369E-3</v>
      </c>
    </row>
    <row r="2319" spans="1:15" x14ac:dyDescent="0.35">
      <c r="A2319" t="s">
        <v>152</v>
      </c>
      <c r="B2319">
        <v>2006</v>
      </c>
      <c r="C2319">
        <v>617716.1875</v>
      </c>
      <c r="D2319" s="8">
        <v>0.95312958955764804</v>
      </c>
      <c r="E2319" s="8">
        <v>1E-3</v>
      </c>
      <c r="F2319">
        <v>2.1481467721761902</v>
      </c>
      <c r="G2319">
        <f t="shared" si="184"/>
        <v>2.2537824821629506</v>
      </c>
      <c r="H2319">
        <f t="shared" si="186"/>
        <v>-1.7669081986172008E-2</v>
      </c>
      <c r="I2319">
        <f t="shared" si="185"/>
        <v>0</v>
      </c>
      <c r="J2319" t="str">
        <f t="shared" si="187"/>
        <v/>
      </c>
      <c r="K2319">
        <v>-1.5291686803101999E-3</v>
      </c>
      <c r="L2319">
        <v>-7.89220817387099E-3</v>
      </c>
      <c r="M2319">
        <v>2.5202437341212999E-3</v>
      </c>
      <c r="N2319">
        <v>3.4419996663928002E-3</v>
      </c>
      <c r="O2319" t="str">
        <f t="shared" si="188"/>
        <v/>
      </c>
    </row>
    <row r="2320" spans="1:15" x14ac:dyDescent="0.35">
      <c r="A2320" t="s">
        <v>152</v>
      </c>
      <c r="B2320">
        <v>2007</v>
      </c>
      <c r="C2320">
        <v>618619.875</v>
      </c>
      <c r="D2320" s="8">
        <v>0.94769263267517101</v>
      </c>
      <c r="E2320" s="8">
        <v>1E-3</v>
      </c>
      <c r="F2320">
        <v>2.1109649175268799</v>
      </c>
      <c r="G2320">
        <f t="shared" si="184"/>
        <v>2.2274784510754233</v>
      </c>
      <c r="H2320">
        <f t="shared" si="186"/>
        <v>-1.1671060226842944E-2</v>
      </c>
      <c r="I2320">
        <f t="shared" si="185"/>
        <v>0</v>
      </c>
      <c r="J2320" t="str">
        <f t="shared" si="187"/>
        <v/>
      </c>
      <c r="K2320">
        <v>2.5202437341212999E-3</v>
      </c>
      <c r="L2320">
        <v>3.4419996663928002E-3</v>
      </c>
      <c r="M2320">
        <v>-2.9580915637314301E-2</v>
      </c>
      <c r="N2320">
        <v>-7.0111360400915105E-5</v>
      </c>
      <c r="O2320" t="str">
        <f t="shared" si="188"/>
        <v/>
      </c>
    </row>
    <row r="2321" spans="1:15" x14ac:dyDescent="0.35">
      <c r="A2321" t="s">
        <v>152</v>
      </c>
      <c r="B2321">
        <v>2008</v>
      </c>
      <c r="C2321">
        <v>619949.125</v>
      </c>
      <c r="D2321" s="8">
        <v>0.95519381761550903</v>
      </c>
      <c r="E2321" s="8">
        <v>0</v>
      </c>
      <c r="F2321">
        <v>2.20924221803243</v>
      </c>
      <c r="G2321">
        <f t="shared" si="184"/>
        <v>2.3128732381742747</v>
      </c>
      <c r="H2321">
        <f t="shared" si="186"/>
        <v>3.8336975631626302E-2</v>
      </c>
      <c r="I2321">
        <f t="shared" si="185"/>
        <v>1</v>
      </c>
      <c r="J2321" t="str">
        <f t="shared" si="187"/>
        <v/>
      </c>
      <c r="K2321">
        <v>-2.9580915637314301E-2</v>
      </c>
      <c r="L2321">
        <v>-7.0111360400915105E-5</v>
      </c>
      <c r="M2321">
        <v>-2.38908666223288E-2</v>
      </c>
      <c r="N2321">
        <v>2.6758350431918499E-3</v>
      </c>
      <c r="O2321" t="str">
        <f t="shared" si="188"/>
        <v/>
      </c>
    </row>
    <row r="2322" spans="1:15" x14ac:dyDescent="0.35">
      <c r="A2322" t="s">
        <v>152</v>
      </c>
      <c r="B2322">
        <v>2009</v>
      </c>
      <c r="C2322">
        <v>621463.3125</v>
      </c>
      <c r="D2322" s="8">
        <v>0.95604556798934903</v>
      </c>
      <c r="E2322" s="8">
        <v>0</v>
      </c>
      <c r="F2322">
        <v>2.14269391601389</v>
      </c>
      <c r="G2322">
        <f t="shared" si="184"/>
        <v>2.2412048000182363</v>
      </c>
      <c r="H2322">
        <f t="shared" si="186"/>
        <v>-3.098675576903287E-2</v>
      </c>
      <c r="I2322">
        <f t="shared" si="185"/>
        <v>0</v>
      </c>
      <c r="J2322" t="str">
        <f t="shared" si="187"/>
        <v/>
      </c>
      <c r="K2322">
        <v>-2.38908666223288E-2</v>
      </c>
      <c r="L2322">
        <v>2.6758350431918499E-3</v>
      </c>
      <c r="M2322">
        <v>1.5229553133249E-3</v>
      </c>
      <c r="N2322">
        <v>1.09830640722065E-2</v>
      </c>
      <c r="O2322" t="str">
        <f t="shared" si="188"/>
        <v/>
      </c>
    </row>
    <row r="2323" spans="1:15" x14ac:dyDescent="0.35">
      <c r="A2323" t="s">
        <v>152</v>
      </c>
      <c r="B2323">
        <v>2010</v>
      </c>
      <c r="C2323">
        <v>624408.625</v>
      </c>
      <c r="D2323" s="8">
        <v>0.95756238698959395</v>
      </c>
      <c r="E2323" s="8">
        <v>0</v>
      </c>
      <c r="F2323">
        <v>2.2196537666707998</v>
      </c>
      <c r="G2323">
        <f t="shared" si="184"/>
        <v>2.3180252240786077</v>
      </c>
      <c r="H2323">
        <f t="shared" si="186"/>
        <v>3.4276396364913309E-2</v>
      </c>
      <c r="I2323">
        <f t="shared" si="185"/>
        <v>1</v>
      </c>
      <c r="J2323">
        <f t="shared" si="187"/>
        <v>2</v>
      </c>
      <c r="K2323">
        <v>1.5229553133249E-3</v>
      </c>
      <c r="L2323">
        <v>1.09830640722065E-2</v>
      </c>
      <c r="M2323">
        <v>-1.9621374428272199E-2</v>
      </c>
      <c r="N2323">
        <v>1.6624000854791E-3</v>
      </c>
      <c r="O2323">
        <f t="shared" si="188"/>
        <v>7.2086593136191782E-4</v>
      </c>
    </row>
    <row r="2324" spans="1:15" x14ac:dyDescent="0.35">
      <c r="A2324" t="s">
        <v>152</v>
      </c>
      <c r="B2324">
        <v>2011</v>
      </c>
      <c r="C2324">
        <v>626918</v>
      </c>
      <c r="D2324" s="8">
        <v>0.96024519205093395</v>
      </c>
      <c r="E2324" s="8">
        <v>-1E-3</v>
      </c>
      <c r="F2324">
        <v>2.20106136826716</v>
      </c>
      <c r="G2324">
        <f t="shared" si="184"/>
        <v>2.2921868148759343</v>
      </c>
      <c r="H2324">
        <f t="shared" si="186"/>
        <v>-1.1146733406640963E-2</v>
      </c>
      <c r="I2324">
        <f t="shared" si="185"/>
        <v>0</v>
      </c>
      <c r="J2324">
        <f t="shared" si="187"/>
        <v>2</v>
      </c>
      <c r="K2324">
        <v>-1.9621374428272199E-2</v>
      </c>
      <c r="L2324">
        <v>1.6624000854791E-3</v>
      </c>
      <c r="M2324">
        <v>-2.4475774765015E-3</v>
      </c>
      <c r="N2324">
        <v>2.9906285926698901E-3</v>
      </c>
      <c r="O2324">
        <f t="shared" si="188"/>
        <v>1.0451285168528381E-3</v>
      </c>
    </row>
    <row r="2325" spans="1:15" x14ac:dyDescent="0.35">
      <c r="A2325" t="s">
        <v>152</v>
      </c>
      <c r="B2325">
        <v>2012</v>
      </c>
      <c r="C2325">
        <v>628354.625</v>
      </c>
      <c r="D2325" s="8">
        <v>0.95796471834182695</v>
      </c>
      <c r="E2325" s="8">
        <v>-2E-3</v>
      </c>
      <c r="F2325">
        <v>2.24045935071101</v>
      </c>
      <c r="G2325">
        <f t="shared" si="184"/>
        <v>2.3387702154512495</v>
      </c>
      <c r="H2325">
        <f t="shared" si="186"/>
        <v>2.0322689351930823E-2</v>
      </c>
      <c r="I2325">
        <f t="shared" si="185"/>
        <v>1</v>
      </c>
      <c r="J2325">
        <f t="shared" si="187"/>
        <v>3</v>
      </c>
      <c r="K2325">
        <v>-2.4475774765015E-3</v>
      </c>
      <c r="L2325">
        <v>2.9050298035143999E-3</v>
      </c>
      <c r="M2325">
        <v>1.0698376819491401E-2</v>
      </c>
      <c r="N2325">
        <v>4.5716054737567997E-3</v>
      </c>
      <c r="O2325">
        <f t="shared" si="188"/>
        <v>-1.7407312989233789E-4</v>
      </c>
    </row>
    <row r="2326" spans="1:15" x14ac:dyDescent="0.35">
      <c r="A2326" t="s">
        <v>152</v>
      </c>
      <c r="B2326">
        <v>2013</v>
      </c>
      <c r="C2326">
        <v>629885.1875</v>
      </c>
      <c r="D2326" s="8">
        <v>0.95833206176757801</v>
      </c>
      <c r="E2326" s="8">
        <v>-1E-3</v>
      </c>
      <c r="F2326">
        <v>2.3060455410298899</v>
      </c>
      <c r="G2326">
        <f t="shared" si="184"/>
        <v>2.4063115834573523</v>
      </c>
      <c r="H2326">
        <f t="shared" si="186"/>
        <v>2.8879009814596568E-2</v>
      </c>
      <c r="I2326">
        <f t="shared" si="185"/>
        <v>1</v>
      </c>
      <c r="J2326">
        <f t="shared" si="187"/>
        <v>3</v>
      </c>
      <c r="K2326">
        <v>1.0698376819491401E-2</v>
      </c>
      <c r="L2326">
        <v>4.5716054737567997E-3</v>
      </c>
      <c r="M2326">
        <v>4.6715427339076897E-3</v>
      </c>
      <c r="N2326">
        <v>2.6635192334651899E-3</v>
      </c>
      <c r="O2326">
        <f t="shared" si="188"/>
        <v>1.8323436379432821E-3</v>
      </c>
    </row>
    <row r="2327" spans="1:15" x14ac:dyDescent="0.35">
      <c r="A2327" t="s">
        <v>152</v>
      </c>
      <c r="B2327">
        <v>2014</v>
      </c>
      <c r="C2327">
        <v>631391.8125</v>
      </c>
      <c r="D2327" s="8">
        <v>0.95941674709320102</v>
      </c>
      <c r="E2327" s="8">
        <v>0</v>
      </c>
      <c r="F2327">
        <v>2.2613364465456001</v>
      </c>
      <c r="G2327">
        <f t="shared" si="184"/>
        <v>2.3569908002928845</v>
      </c>
      <c r="H2327">
        <f t="shared" si="186"/>
        <v>-2.0496424280019632E-2</v>
      </c>
      <c r="I2327">
        <f t="shared" si="185"/>
        <v>0</v>
      </c>
      <c r="J2327">
        <f t="shared" si="187"/>
        <v>3</v>
      </c>
      <c r="K2327">
        <v>4.6715427339076897E-3</v>
      </c>
      <c r="L2327">
        <v>2.6635192334651899E-3</v>
      </c>
      <c r="M2327">
        <v>2.1979628294706299E-2</v>
      </c>
      <c r="N2327">
        <v>-8.2838237285613892E-3</v>
      </c>
      <c r="O2327">
        <f t="shared" si="188"/>
        <v>-9.3786045908925597E-4</v>
      </c>
    </row>
    <row r="2328" spans="1:15" x14ac:dyDescent="0.35">
      <c r="A2328" t="s">
        <v>152</v>
      </c>
      <c r="B2328">
        <v>2015</v>
      </c>
      <c r="C2328">
        <v>631014.5</v>
      </c>
      <c r="D2328" s="8">
        <v>0.95957022905349698</v>
      </c>
      <c r="E2328" s="8">
        <v>8.0000000000000002E-3</v>
      </c>
      <c r="F2328">
        <v>2.2376972845799399</v>
      </c>
      <c r="G2328">
        <f t="shared" si="184"/>
        <v>2.3319786471357751</v>
      </c>
      <c r="H2328">
        <f t="shared" si="186"/>
        <v>-1.0611901053666162E-2</v>
      </c>
      <c r="I2328">
        <f t="shared" si="185"/>
        <v>0</v>
      </c>
      <c r="J2328">
        <f t="shared" si="187"/>
        <v>2</v>
      </c>
      <c r="K2328">
        <v>2.1979628294706299E-2</v>
      </c>
      <c r="L2328">
        <v>-8.2838237285613892E-3</v>
      </c>
      <c r="M2328">
        <v>1.6437270015478098E-2</v>
      </c>
      <c r="N2328">
        <v>3.2837130129336999E-3</v>
      </c>
      <c r="O2328">
        <f t="shared" si="188"/>
        <v>2.44750715792182E-3</v>
      </c>
    </row>
    <row r="2329" spans="1:15" x14ac:dyDescent="0.35">
      <c r="A2329" t="s">
        <v>152</v>
      </c>
      <c r="B2329">
        <v>2016</v>
      </c>
      <c r="C2329">
        <v>630543</v>
      </c>
      <c r="D2329" s="8">
        <v>0.96751952171325695</v>
      </c>
      <c r="E2329" s="8">
        <v>1E-3</v>
      </c>
      <c r="F2329">
        <v>2.23803128166933</v>
      </c>
      <c r="G2329">
        <f t="shared" si="184"/>
        <v>2.313163953225756</v>
      </c>
      <c r="H2329">
        <f t="shared" si="186"/>
        <v>-8.0681244372147187E-3</v>
      </c>
      <c r="I2329">
        <f t="shared" si="185"/>
        <v>0</v>
      </c>
      <c r="J2329">
        <f t="shared" si="187"/>
        <v>2</v>
      </c>
      <c r="K2329">
        <v>1.6437270015478098E-2</v>
      </c>
      <c r="L2329">
        <v>3.2837130129336999E-3</v>
      </c>
      <c r="M2329">
        <v>-3.1580618023870001E-4</v>
      </c>
      <c r="N2329">
        <v>-3.1053796410559901E-3</v>
      </c>
      <c r="O2329">
        <f t="shared" si="188"/>
        <v>-4.5369911938905414E-3</v>
      </c>
    </row>
    <row r="2330" spans="1:15" x14ac:dyDescent="0.35">
      <c r="A2330" t="s">
        <v>152</v>
      </c>
      <c r="B2330">
        <v>2017</v>
      </c>
      <c r="C2330">
        <v>630207.0625</v>
      </c>
      <c r="D2330" s="8">
        <v>0.97305589914321899</v>
      </c>
      <c r="E2330" s="8">
        <v>6.0000000000000001E-3</v>
      </c>
      <c r="F2330">
        <v>2.2615279845793301</v>
      </c>
      <c r="G2330">
        <f t="shared" si="184"/>
        <v>2.3241501198138952</v>
      </c>
      <c r="H2330">
        <f t="shared" si="186"/>
        <v>4.7494111140797823E-3</v>
      </c>
      <c r="I2330">
        <f t="shared" si="185"/>
        <v>1</v>
      </c>
      <c r="J2330">
        <f t="shared" si="187"/>
        <v>2</v>
      </c>
      <c r="K2330">
        <v>-3.1580618023870001E-4</v>
      </c>
      <c r="L2330">
        <v>-3.1053796410559901E-3</v>
      </c>
      <c r="M2330">
        <v>2.37387122809887E-2</v>
      </c>
      <c r="N2330">
        <v>1.46036893129349E-2</v>
      </c>
      <c r="O2330">
        <f t="shared" si="188"/>
        <v>-1.5874411910772226E-3</v>
      </c>
    </row>
    <row r="2331" spans="1:15" x14ac:dyDescent="0.35">
      <c r="A2331" t="s">
        <v>152</v>
      </c>
      <c r="B2331">
        <v>2018</v>
      </c>
      <c r="C2331">
        <v>630351</v>
      </c>
      <c r="D2331" s="8">
        <v>0.97275865077972401</v>
      </c>
      <c r="E2331" s="8">
        <v>0.01</v>
      </c>
      <c r="F2331">
        <v>2.1611246407589899</v>
      </c>
      <c r="G2331">
        <f t="shared" si="184"/>
        <v>2.2216452549938466</v>
      </c>
      <c r="H2331">
        <f t="shared" si="186"/>
        <v>-4.4104235757480459E-2</v>
      </c>
      <c r="I2331">
        <f t="shared" si="185"/>
        <v>0</v>
      </c>
      <c r="J2331">
        <f t="shared" si="187"/>
        <v>1</v>
      </c>
      <c r="K2331">
        <v>2.37387122809887E-2</v>
      </c>
      <c r="L2331">
        <v>1.46036893129349E-2</v>
      </c>
      <c r="M2331">
        <v>6.6136933565140001E-3</v>
      </c>
      <c r="N2331">
        <v>-1.11875012516975E-2</v>
      </c>
      <c r="O2331">
        <f t="shared" si="188"/>
        <v>2.1936308592557961E-3</v>
      </c>
    </row>
    <row r="2332" spans="1:15" x14ac:dyDescent="0.35">
      <c r="A2332" t="s">
        <v>152</v>
      </c>
      <c r="B2332">
        <v>2019</v>
      </c>
      <c r="C2332">
        <v>628780.375</v>
      </c>
      <c r="D2332" s="8">
        <v>0.96427899599075295</v>
      </c>
      <c r="E2332" s="8">
        <v>7.0000000000000001E-3</v>
      </c>
      <c r="F2332">
        <v>2.11480845236236</v>
      </c>
      <c r="G2332">
        <f t="shared" si="184"/>
        <v>2.1931499712793081</v>
      </c>
      <c r="H2332">
        <f t="shared" si="186"/>
        <v>-1.2826207807248413E-2</v>
      </c>
      <c r="I2332">
        <f t="shared" si="185"/>
        <v>0</v>
      </c>
      <c r="J2332" t="str">
        <f t="shared" si="187"/>
        <v/>
      </c>
      <c r="K2332">
        <v>6.6136933565140001E-3</v>
      </c>
      <c r="L2332">
        <v>-1.11875012516975E-2</v>
      </c>
      <c r="M2332">
        <v>2.7492204785346998E-2</v>
      </c>
      <c r="N2332">
        <v>8.6430143564939898E-3</v>
      </c>
      <c r="O2332">
        <f t="shared" si="188"/>
        <v>2.6963165029883374E-3</v>
      </c>
    </row>
    <row r="2333" spans="1:15" x14ac:dyDescent="0.35">
      <c r="A2333" t="s">
        <v>152</v>
      </c>
      <c r="B2333">
        <v>2020</v>
      </c>
      <c r="C2333">
        <v>616135.0625</v>
      </c>
      <c r="D2333" s="8">
        <v>0.97754782438278198</v>
      </c>
      <c r="E2333" s="8">
        <v>1E-3</v>
      </c>
      <c r="F2333">
        <v>2.0892286570144698</v>
      </c>
      <c r="G2333">
        <f t="shared" si="184"/>
        <v>2.1372137555864303</v>
      </c>
      <c r="H2333">
        <f t="shared" si="186"/>
        <v>-2.5504966110570626E-2</v>
      </c>
      <c r="I2333">
        <f t="shared" si="185"/>
        <v>0</v>
      </c>
      <c r="J2333" t="str">
        <f t="shared" si="187"/>
        <v/>
      </c>
      <c r="K2333">
        <v>2.7492204785346998E-2</v>
      </c>
      <c r="L2333">
        <v>8.6430143564939898E-3</v>
      </c>
      <c r="M2333">
        <v>1.1950833976268799E-2</v>
      </c>
      <c r="N2333">
        <v>-3.1638778746128103E-2</v>
      </c>
      <c r="O2333">
        <f t="shared" si="188"/>
        <v>2.2889711894094793E-3</v>
      </c>
    </row>
    <row r="2334" spans="1:15" x14ac:dyDescent="0.35">
      <c r="A2334" t="s">
        <v>152</v>
      </c>
      <c r="B2334">
        <v>2021</v>
      </c>
      <c r="C2334">
        <v>627351.6875</v>
      </c>
      <c r="D2334" s="8">
        <v>0.97841960191726696</v>
      </c>
      <c r="E2334" s="8">
        <v>6.0000000000000001E-3</v>
      </c>
      <c r="F2334">
        <v>2.1425165849958399</v>
      </c>
      <c r="G2334">
        <f t="shared" si="184"/>
        <v>2.1897727527100446</v>
      </c>
      <c r="H2334">
        <f t="shared" si="186"/>
        <v>2.4592297792502604E-2</v>
      </c>
      <c r="I2334">
        <f t="shared" si="185"/>
        <v>1</v>
      </c>
      <c r="J2334" t="str">
        <f t="shared" si="187"/>
        <v/>
      </c>
      <c r="K2334">
        <v>1.1950833976268799E-2</v>
      </c>
      <c r="L2334">
        <v>-3.1638778746128103E-2</v>
      </c>
      <c r="M2334">
        <v>-2.04611364006996E-2</v>
      </c>
      <c r="N2334">
        <v>1.1642370373010601E-2</v>
      </c>
      <c r="O2334">
        <f t="shared" si="188"/>
        <v>1.0809266660362461E-2</v>
      </c>
    </row>
    <row r="2335" spans="1:15" x14ac:dyDescent="0.35">
      <c r="A2335" t="s">
        <v>152</v>
      </c>
      <c r="B2335">
        <v>2022</v>
      </c>
      <c r="C2335">
        <v>626967.75</v>
      </c>
      <c r="D2335" s="8">
        <v>0.97706264257430997</v>
      </c>
      <c r="E2335" s="8">
        <v>2E-3</v>
      </c>
      <c r="F2335">
        <v>2.0358670540064501</v>
      </c>
      <c r="G2335">
        <f t="shared" si="184"/>
        <v>2.0836607248051786</v>
      </c>
      <c r="H2335">
        <f t="shared" si="186"/>
        <v>-4.8458009066713714E-2</v>
      </c>
      <c r="I2335">
        <f t="shared" si="185"/>
        <v>0</v>
      </c>
      <c r="J2335" t="str">
        <f t="shared" si="187"/>
        <v/>
      </c>
      <c r="K2335">
        <v>-2.04611364006996E-2</v>
      </c>
      <c r="L2335">
        <v>1.21210739016532E-2</v>
      </c>
      <c r="M2335">
        <v>1.39501217901706E-2</v>
      </c>
      <c r="N2335">
        <v>3.3509049564599998E-2</v>
      </c>
      <c r="O2335">
        <f t="shared" si="188"/>
        <v>6.9213167764246323E-3</v>
      </c>
    </row>
    <row r="2336" spans="1:15" x14ac:dyDescent="0.35">
      <c r="A2336" t="s">
        <v>153</v>
      </c>
      <c r="B2336">
        <v>2006</v>
      </c>
      <c r="C2336">
        <v>416082.09375</v>
      </c>
      <c r="D2336" s="8">
        <v>0.93745321035385099</v>
      </c>
      <c r="E2336" s="8">
        <v>6.7000000000000004E-2</v>
      </c>
      <c r="F2336">
        <v>2.16359607730499</v>
      </c>
      <c r="G2336">
        <f t="shared" si="184"/>
        <v>2.3079510032168105</v>
      </c>
      <c r="H2336">
        <f t="shared" si="186"/>
        <v>0.10764241785696793</v>
      </c>
      <c r="I2336">
        <f t="shared" si="185"/>
        <v>1</v>
      </c>
      <c r="J2336" t="str">
        <f t="shared" si="187"/>
        <v/>
      </c>
      <c r="K2336">
        <v>-1.21645986735821E-2</v>
      </c>
      <c r="L2336">
        <v>-1.8527638167142899E-2</v>
      </c>
      <c r="M2336">
        <v>-9.5958289653063009E-3</v>
      </c>
      <c r="N2336">
        <v>-8.6740730330347997E-3</v>
      </c>
      <c r="O2336" t="str">
        <f t="shared" si="188"/>
        <v/>
      </c>
    </row>
    <row r="2337" spans="1:15" x14ac:dyDescent="0.35">
      <c r="A2337" t="s">
        <v>153</v>
      </c>
      <c r="B2337">
        <v>2007</v>
      </c>
      <c r="C2337">
        <v>424664.71875</v>
      </c>
      <c r="D2337" s="8">
        <v>0.92825585603714</v>
      </c>
      <c r="E2337" s="8">
        <v>7.3999999999999996E-2</v>
      </c>
      <c r="F2337">
        <v>2.0650650853928401</v>
      </c>
      <c r="G2337">
        <f t="shared" si="184"/>
        <v>2.2246722947797011</v>
      </c>
      <c r="H2337">
        <f t="shared" si="186"/>
        <v>-3.608339532383309E-2</v>
      </c>
      <c r="I2337">
        <f t="shared" si="185"/>
        <v>0</v>
      </c>
      <c r="J2337" t="str">
        <f t="shared" si="187"/>
        <v/>
      </c>
      <c r="K2337">
        <v>-9.5958289653063009E-3</v>
      </c>
      <c r="L2337">
        <v>-8.6740730330347997E-3</v>
      </c>
      <c r="M2337">
        <v>-2.2904516488313698E-2</v>
      </c>
      <c r="N2337">
        <v>6.6062877885997E-3</v>
      </c>
      <c r="O2337" t="str">
        <f t="shared" si="188"/>
        <v/>
      </c>
    </row>
    <row r="2338" spans="1:15" x14ac:dyDescent="0.35">
      <c r="A2338" t="s">
        <v>153</v>
      </c>
      <c r="B2338">
        <v>2008</v>
      </c>
      <c r="C2338">
        <v>430540</v>
      </c>
      <c r="D2338" s="8">
        <v>0.94385057687759399</v>
      </c>
      <c r="E2338" s="8">
        <v>5.6000000000000001E-2</v>
      </c>
      <c r="F2338">
        <v>2.2999720696396899</v>
      </c>
      <c r="G2338">
        <f t="shared" si="184"/>
        <v>2.4367968044776314</v>
      </c>
      <c r="H2338">
        <f t="shared" si="186"/>
        <v>9.5350901881454897E-2</v>
      </c>
      <c r="I2338">
        <f t="shared" si="185"/>
        <v>1</v>
      </c>
      <c r="J2338" t="str">
        <f t="shared" si="187"/>
        <v/>
      </c>
      <c r="K2338">
        <v>-2.2904516488313698E-2</v>
      </c>
      <c r="L2338">
        <v>6.6062877885997E-3</v>
      </c>
      <c r="M2338">
        <v>-1.56040030568838E-2</v>
      </c>
      <c r="N2338">
        <v>1.0962698608636801E-2</v>
      </c>
      <c r="O2338" t="str">
        <f t="shared" si="188"/>
        <v/>
      </c>
    </row>
    <row r="2339" spans="1:15" x14ac:dyDescent="0.35">
      <c r="A2339" t="s">
        <v>153</v>
      </c>
      <c r="B2339">
        <v>2009</v>
      </c>
      <c r="C2339">
        <v>435040.3125</v>
      </c>
      <c r="D2339" s="8">
        <v>0.94093763828277599</v>
      </c>
      <c r="E2339" s="8">
        <v>2.4E-2</v>
      </c>
      <c r="F2339">
        <v>2.1163027882936598</v>
      </c>
      <c r="G2339">
        <f t="shared" si="184"/>
        <v>2.2491424534318143</v>
      </c>
      <c r="H2339">
        <f t="shared" si="186"/>
        <v>-7.7008616681128683E-2</v>
      </c>
      <c r="I2339">
        <f t="shared" si="185"/>
        <v>0</v>
      </c>
      <c r="J2339" t="str">
        <f t="shared" si="187"/>
        <v/>
      </c>
      <c r="K2339">
        <v>-1.56040030568838E-2</v>
      </c>
      <c r="L2339">
        <v>1.0962698608636801E-2</v>
      </c>
      <c r="M2339">
        <v>-1.72574878055602E-2</v>
      </c>
      <c r="N2339">
        <v>-7.7973790466785396E-3</v>
      </c>
      <c r="O2339" t="str">
        <f t="shared" si="188"/>
        <v/>
      </c>
    </row>
    <row r="2340" spans="1:15" x14ac:dyDescent="0.35">
      <c r="A2340" t="s">
        <v>153</v>
      </c>
      <c r="B2340">
        <v>2010</v>
      </c>
      <c r="C2340">
        <v>438222.28125</v>
      </c>
      <c r="D2340" s="8">
        <v>0.92502528429031405</v>
      </c>
      <c r="E2340" s="8">
        <v>1.6E-2</v>
      </c>
      <c r="F2340">
        <v>2.2352632341226699</v>
      </c>
      <c r="G2340">
        <f t="shared" si="184"/>
        <v>2.4164347419298702</v>
      </c>
      <c r="H2340">
        <f t="shared" si="186"/>
        <v>7.4380476987038202E-2</v>
      </c>
      <c r="I2340">
        <f t="shared" si="185"/>
        <v>1</v>
      </c>
      <c r="J2340">
        <f t="shared" si="187"/>
        <v>3</v>
      </c>
      <c r="K2340">
        <v>-1.72574878055602E-2</v>
      </c>
      <c r="L2340">
        <v>-7.7973790466785396E-3</v>
      </c>
      <c r="M2340">
        <v>-2.3078168153762801E-2</v>
      </c>
      <c r="N2340">
        <v>-1.7943936400115199E-3</v>
      </c>
      <c r="O2340">
        <f t="shared" si="188"/>
        <v>-5.2410728298127422E-3</v>
      </c>
    </row>
    <row r="2341" spans="1:15" x14ac:dyDescent="0.35">
      <c r="A2341" t="s">
        <v>153</v>
      </c>
      <c r="B2341">
        <v>2011</v>
      </c>
      <c r="C2341">
        <v>441633.59375</v>
      </c>
      <c r="D2341" s="8">
        <v>0.93335872888565097</v>
      </c>
      <c r="E2341" s="8">
        <v>1E-3</v>
      </c>
      <c r="F2341">
        <v>2.2018163471241099</v>
      </c>
      <c r="G2341">
        <f t="shared" si="184"/>
        <v>2.3590247554151946</v>
      </c>
      <c r="H2341">
        <f t="shared" si="186"/>
        <v>-2.3758136530029117E-2</v>
      </c>
      <c r="I2341">
        <f t="shared" si="185"/>
        <v>0</v>
      </c>
      <c r="J2341">
        <f t="shared" si="187"/>
        <v>2</v>
      </c>
      <c r="K2341">
        <v>-2.3078168153762801E-2</v>
      </c>
      <c r="L2341">
        <v>-1.7943936400115199E-3</v>
      </c>
      <c r="M2341">
        <v>-1.14799684882164E-2</v>
      </c>
      <c r="N2341">
        <v>-6.0417624190450001E-3</v>
      </c>
      <c r="O2341">
        <f t="shared" si="188"/>
        <v>-4.2407736182212578E-3</v>
      </c>
    </row>
    <row r="2342" spans="1:15" x14ac:dyDescent="0.35">
      <c r="A2342" t="s">
        <v>153</v>
      </c>
      <c r="B2342">
        <v>2012</v>
      </c>
      <c r="C2342">
        <v>445805</v>
      </c>
      <c r="D2342" s="8">
        <v>0.94206058979034402</v>
      </c>
      <c r="E2342" s="8">
        <v>0</v>
      </c>
      <c r="F2342">
        <v>2.1824944252472398</v>
      </c>
      <c r="G2342">
        <f t="shared" si="184"/>
        <v>2.3167240503426165</v>
      </c>
      <c r="H2342">
        <f t="shared" si="186"/>
        <v>-1.7931437546586104E-2</v>
      </c>
      <c r="I2342">
        <f t="shared" si="185"/>
        <v>0</v>
      </c>
      <c r="J2342">
        <f t="shared" si="187"/>
        <v>2</v>
      </c>
      <c r="K2342">
        <v>-1.14799684882164E-2</v>
      </c>
      <c r="L2342">
        <v>-6.1273612082004998E-3</v>
      </c>
      <c r="M2342">
        <v>-1.9830626994370901E-3</v>
      </c>
      <c r="N2342">
        <v>-8.1098340451716995E-3</v>
      </c>
      <c r="O2342">
        <f t="shared" si="188"/>
        <v>-3.4291604533791182E-3</v>
      </c>
    </row>
    <row r="2343" spans="1:15" x14ac:dyDescent="0.35">
      <c r="A2343" t="s">
        <v>153</v>
      </c>
      <c r="B2343">
        <v>2013</v>
      </c>
      <c r="C2343">
        <v>449762.3125</v>
      </c>
      <c r="D2343" s="8">
        <v>0.93958026170730602</v>
      </c>
      <c r="E2343" s="8">
        <v>2E-3</v>
      </c>
      <c r="F2343">
        <v>2.2790140305910098</v>
      </c>
      <c r="G2343">
        <f t="shared" si="184"/>
        <v>2.4255660995366446</v>
      </c>
      <c r="H2343">
        <f t="shared" si="186"/>
        <v>4.6981015791644154E-2</v>
      </c>
      <c r="I2343">
        <f t="shared" si="185"/>
        <v>1</v>
      </c>
      <c r="J2343">
        <f t="shared" si="187"/>
        <v>2</v>
      </c>
      <c r="K2343">
        <v>-1.9830626994370901E-3</v>
      </c>
      <c r="L2343">
        <v>-8.1098340451716995E-3</v>
      </c>
      <c r="M2343">
        <v>-3.8640612587333002E-3</v>
      </c>
      <c r="N2343">
        <v>-5.8720847591758E-3</v>
      </c>
      <c r="O2343">
        <f t="shared" si="188"/>
        <v>-3.6135429516434363E-3</v>
      </c>
    </row>
    <row r="2344" spans="1:15" x14ac:dyDescent="0.35">
      <c r="A2344" t="s">
        <v>153</v>
      </c>
      <c r="B2344">
        <v>2014</v>
      </c>
      <c r="C2344">
        <v>453326.1875</v>
      </c>
      <c r="D2344" s="8">
        <v>0.94142460823059104</v>
      </c>
      <c r="E2344" s="8">
        <v>4.0000000000000001E-3</v>
      </c>
      <c r="F2344">
        <v>2.26698476118146</v>
      </c>
      <c r="G2344">
        <f t="shared" si="184"/>
        <v>2.4080364389903313</v>
      </c>
      <c r="H2344">
        <f t="shared" si="186"/>
        <v>-7.2270388960589127E-3</v>
      </c>
      <c r="I2344">
        <f t="shared" si="185"/>
        <v>0</v>
      </c>
      <c r="J2344">
        <f t="shared" si="187"/>
        <v>2</v>
      </c>
      <c r="K2344">
        <v>-3.8640612587333002E-3</v>
      </c>
      <c r="L2344">
        <v>-5.8720847591758E-3</v>
      </c>
      <c r="M2344">
        <v>2.5876162737608E-2</v>
      </c>
      <c r="N2344">
        <v>-4.3872892856596903E-3</v>
      </c>
      <c r="O2344">
        <f t="shared" si="188"/>
        <v>-4.1480384767055168E-3</v>
      </c>
    </row>
    <row r="2345" spans="1:15" x14ac:dyDescent="0.35">
      <c r="A2345" t="s">
        <v>153</v>
      </c>
      <c r="B2345">
        <v>2015</v>
      </c>
      <c r="C2345">
        <v>457080.1875</v>
      </c>
      <c r="D2345" s="8">
        <v>0.94652885198593095</v>
      </c>
      <c r="E2345" s="8">
        <v>8.9999999999999993E-3</v>
      </c>
      <c r="F2345">
        <v>2.2853411330434499</v>
      </c>
      <c r="G2345">
        <f t="shared" si="184"/>
        <v>2.4144442382802493</v>
      </c>
      <c r="H2345">
        <f t="shared" si="186"/>
        <v>2.6610059491478655E-3</v>
      </c>
      <c r="I2345">
        <f t="shared" si="185"/>
        <v>1</v>
      </c>
      <c r="J2345">
        <f t="shared" si="187"/>
        <v>2</v>
      </c>
      <c r="K2345">
        <v>2.5876162737608E-2</v>
      </c>
      <c r="L2345">
        <v>-4.3872892856596903E-3</v>
      </c>
      <c r="M2345">
        <v>1.6360659420490298E-2</v>
      </c>
      <c r="N2345">
        <v>3.2071024179459E-3</v>
      </c>
      <c r="O2345">
        <f t="shared" si="188"/>
        <v>-2.9548335820436199E-3</v>
      </c>
    </row>
    <row r="2346" spans="1:15" x14ac:dyDescent="0.35">
      <c r="A2346" t="s">
        <v>153</v>
      </c>
      <c r="B2346">
        <v>2016</v>
      </c>
      <c r="C2346">
        <v>460103.59375</v>
      </c>
      <c r="D2346" s="8">
        <v>0.94164985418319702</v>
      </c>
      <c r="E2346" s="8">
        <v>8.0000000000000002E-3</v>
      </c>
      <c r="F2346">
        <v>2.2184098218703601</v>
      </c>
      <c r="G2346">
        <f t="shared" si="184"/>
        <v>2.3558755008725045</v>
      </c>
      <c r="H2346">
        <f t="shared" si="186"/>
        <v>-2.425764756922355E-2</v>
      </c>
      <c r="I2346">
        <f t="shared" si="185"/>
        <v>0</v>
      </c>
      <c r="J2346">
        <f t="shared" si="187"/>
        <v>2</v>
      </c>
      <c r="K2346">
        <v>1.6360659420490298E-2</v>
      </c>
      <c r="L2346">
        <v>3.2071024179459E-3</v>
      </c>
      <c r="M2346">
        <v>8.0587686598299698E-4</v>
      </c>
      <c r="N2346">
        <v>-1.9836965948342999E-3</v>
      </c>
      <c r="O2346">
        <f t="shared" si="188"/>
        <v>-8.0534864217042795E-3</v>
      </c>
    </row>
    <row r="2347" spans="1:15" x14ac:dyDescent="0.35">
      <c r="A2347" t="s">
        <v>153</v>
      </c>
      <c r="B2347">
        <v>2017</v>
      </c>
      <c r="C2347">
        <v>464471.59375</v>
      </c>
      <c r="D2347" s="8">
        <v>0.93554365634918202</v>
      </c>
      <c r="E2347" s="8">
        <v>2.1000000000000001E-2</v>
      </c>
      <c r="F2347">
        <v>2.0521520064126602</v>
      </c>
      <c r="G2347">
        <f t="shared" si="184"/>
        <v>2.1935395451462667</v>
      </c>
      <c r="H2347">
        <f t="shared" si="186"/>
        <v>-6.8906848288933897E-2</v>
      </c>
      <c r="I2347">
        <f t="shared" si="185"/>
        <v>0</v>
      </c>
      <c r="J2347">
        <f t="shared" si="187"/>
        <v>2</v>
      </c>
      <c r="K2347">
        <v>8.0587686598299698E-4</v>
      </c>
      <c r="L2347">
        <v>-1.9836965948342999E-3</v>
      </c>
      <c r="M2347">
        <v>1.03276431560498E-4</v>
      </c>
      <c r="N2347">
        <v>-9.0317465364932892E-3</v>
      </c>
      <c r="O2347">
        <f t="shared" si="188"/>
        <v>-4.4682122766971401E-3</v>
      </c>
    </row>
    <row r="2348" spans="1:15" x14ac:dyDescent="0.35">
      <c r="A2348" t="s">
        <v>153</v>
      </c>
      <c r="B2348">
        <v>2018</v>
      </c>
      <c r="C2348">
        <v>468854.875</v>
      </c>
      <c r="D2348" s="8">
        <v>0.94825220108032204</v>
      </c>
      <c r="E2348" s="8">
        <v>0.03</v>
      </c>
      <c r="F2348">
        <v>2.1697062178698898</v>
      </c>
      <c r="G2348">
        <f t="shared" si="184"/>
        <v>2.2881109217547748</v>
      </c>
      <c r="H2348">
        <f t="shared" si="186"/>
        <v>4.3113595475299249E-2</v>
      </c>
      <c r="I2348">
        <f t="shared" si="185"/>
        <v>1</v>
      </c>
      <c r="J2348">
        <f t="shared" si="187"/>
        <v>2</v>
      </c>
      <c r="K2348">
        <v>1.03276431560498E-4</v>
      </c>
      <c r="L2348">
        <v>-9.0317465364932892E-3</v>
      </c>
      <c r="M2348">
        <v>9.2566322237252995E-3</v>
      </c>
      <c r="N2348">
        <v>-8.5445623844862002E-3</v>
      </c>
      <c r="O2348">
        <f t="shared" si="188"/>
        <v>-1.7031516879796819E-3</v>
      </c>
    </row>
    <row r="2349" spans="1:15" x14ac:dyDescent="0.35">
      <c r="A2349" t="s">
        <v>153</v>
      </c>
      <c r="B2349">
        <v>2019</v>
      </c>
      <c r="C2349">
        <v>473242.3125</v>
      </c>
      <c r="D2349" s="8">
        <v>0.94569313526153598</v>
      </c>
      <c r="E2349" s="8">
        <v>1.4E-2</v>
      </c>
      <c r="F2349">
        <v>2.03065905200015</v>
      </c>
      <c r="G2349">
        <f t="shared" si="184"/>
        <v>2.1472705852290672</v>
      </c>
      <c r="H2349">
        <f t="shared" si="186"/>
        <v>-6.1553107057281897E-2</v>
      </c>
      <c r="I2349">
        <f t="shared" si="185"/>
        <v>0</v>
      </c>
      <c r="J2349" t="str">
        <f t="shared" si="187"/>
        <v/>
      </c>
      <c r="K2349">
        <v>9.2566322237252995E-3</v>
      </c>
      <c r="L2349">
        <v>-8.5445623844862002E-3</v>
      </c>
      <c r="M2349">
        <v>2.0427925616502699E-2</v>
      </c>
      <c r="N2349">
        <v>1.57873518764979E-3</v>
      </c>
      <c r="O2349">
        <f t="shared" si="188"/>
        <v>-1.3697428628802022E-3</v>
      </c>
    </row>
    <row r="2350" spans="1:15" x14ac:dyDescent="0.35">
      <c r="A2350" t="s">
        <v>153</v>
      </c>
      <c r="B2350">
        <v>2020</v>
      </c>
      <c r="C2350">
        <v>477712.5</v>
      </c>
      <c r="D2350" s="8">
        <v>0.96214109659194902</v>
      </c>
      <c r="E2350" s="8">
        <v>1.0999999999999999E-2</v>
      </c>
      <c r="F2350">
        <v>1.9101093426018401</v>
      </c>
      <c r="G2350">
        <f t="shared" si="184"/>
        <v>1.9852694676152383</v>
      </c>
      <c r="H2350">
        <f t="shared" si="186"/>
        <v>-7.5445134268696257E-2</v>
      </c>
      <c r="I2350">
        <f t="shared" si="185"/>
        <v>0</v>
      </c>
      <c r="J2350" t="str">
        <f t="shared" si="187"/>
        <v/>
      </c>
      <c r="K2350">
        <v>2.0427925616502699E-2</v>
      </c>
      <c r="L2350">
        <v>1.57873518764979E-3</v>
      </c>
      <c r="M2350">
        <v>2.13034509420395E-2</v>
      </c>
      <c r="N2350">
        <v>-2.2286161780357399E-2</v>
      </c>
      <c r="O2350">
        <f t="shared" si="188"/>
        <v>-2.890323288738601E-4</v>
      </c>
    </row>
    <row r="2351" spans="1:15" x14ac:dyDescent="0.35">
      <c r="A2351" t="s">
        <v>153</v>
      </c>
      <c r="B2351">
        <v>2021</v>
      </c>
      <c r="C2351">
        <v>482994.1875</v>
      </c>
      <c r="D2351" s="8">
        <v>0.96902358531951904</v>
      </c>
      <c r="E2351" s="8">
        <v>2.1000000000000001E-2</v>
      </c>
      <c r="F2351">
        <v>1.9568143753815299</v>
      </c>
      <c r="G2351">
        <f t="shared" si="184"/>
        <v>2.0193671289603374</v>
      </c>
      <c r="H2351">
        <f t="shared" si="186"/>
        <v>1.717533156144202E-2</v>
      </c>
      <c r="I2351">
        <f t="shared" si="185"/>
        <v>1</v>
      </c>
      <c r="J2351" t="str">
        <f t="shared" si="187"/>
        <v/>
      </c>
      <c r="K2351">
        <v>2.13034509420395E-2</v>
      </c>
      <c r="L2351">
        <v>-2.2286161780357399E-2</v>
      </c>
      <c r="M2351">
        <v>-1.6160832643508899E-2</v>
      </c>
      <c r="N2351">
        <v>1.5942674130201399E-2</v>
      </c>
      <c r="O2351">
        <f t="shared" si="188"/>
        <v>5.5852702818811094E-3</v>
      </c>
    </row>
    <row r="2352" spans="1:15" x14ac:dyDescent="0.35">
      <c r="A2352" t="s">
        <v>153</v>
      </c>
      <c r="B2352">
        <v>2022</v>
      </c>
      <c r="C2352">
        <v>488169.90625</v>
      </c>
      <c r="D2352" s="8">
        <v>0.96200513839721702</v>
      </c>
      <c r="E2352" s="8">
        <v>8.0000000000000002E-3</v>
      </c>
      <c r="F2352">
        <v>2.0484312640195701</v>
      </c>
      <c r="G2352">
        <f t="shared" si="184"/>
        <v>2.1293350547299905</v>
      </c>
      <c r="H2352">
        <f t="shared" si="186"/>
        <v>5.445662861030609E-2</v>
      </c>
      <c r="I2352">
        <f t="shared" si="185"/>
        <v>1</v>
      </c>
      <c r="J2352" t="str">
        <f t="shared" si="187"/>
        <v/>
      </c>
      <c r="K2352">
        <v>-1.6160832643508899E-2</v>
      </c>
      <c r="L2352">
        <v>1.6421377658844001E-2</v>
      </c>
      <c r="M2352">
        <v>-1.47653713673353E-2</v>
      </c>
      <c r="N2352">
        <v>4.793556407094E-3</v>
      </c>
      <c r="O2352">
        <f t="shared" si="188"/>
        <v>1.2983623193576982E-3</v>
      </c>
    </row>
    <row r="2353" spans="1:15" x14ac:dyDescent="0.35">
      <c r="A2353" t="s">
        <v>154</v>
      </c>
      <c r="B2353">
        <v>2006</v>
      </c>
      <c r="C2353">
        <v>182544</v>
      </c>
      <c r="D2353" s="8">
        <v>0.91269320249557495</v>
      </c>
      <c r="E2353" s="8">
        <v>0</v>
      </c>
      <c r="F2353">
        <v>2.4569436698270999</v>
      </c>
      <c r="G2353">
        <f t="shared" si="184"/>
        <v>2.6919710403332515</v>
      </c>
      <c r="H2353">
        <f t="shared" si="186"/>
        <v>0.26423083786342194</v>
      </c>
      <c r="I2353">
        <f t="shared" si="185"/>
        <v>1</v>
      </c>
      <c r="J2353" t="str">
        <f t="shared" si="187"/>
        <v/>
      </c>
      <c r="K2353">
        <v>-1.0565806522965401E-2</v>
      </c>
      <c r="L2353">
        <v>-1.6928846016526101E-2</v>
      </c>
      <c r="M2353">
        <v>-7.7992741912603003E-3</v>
      </c>
      <c r="N2353">
        <v>-6.8775182589888E-3</v>
      </c>
      <c r="O2353" t="str">
        <f t="shared" si="188"/>
        <v/>
      </c>
    </row>
    <row r="2354" spans="1:15" x14ac:dyDescent="0.35">
      <c r="A2354" t="s">
        <v>154</v>
      </c>
      <c r="B2354">
        <v>2007</v>
      </c>
      <c r="C2354">
        <v>185074</v>
      </c>
      <c r="D2354" s="8">
        <v>0.91483402252197299</v>
      </c>
      <c r="E2354" s="8">
        <v>1.2E-2</v>
      </c>
      <c r="F2354">
        <v>1.85945917673518</v>
      </c>
      <c r="G2354">
        <f t="shared" si="184"/>
        <v>2.0325645209489553</v>
      </c>
      <c r="H2354">
        <f t="shared" si="186"/>
        <v>-0.24495305094465847</v>
      </c>
      <c r="I2354">
        <f t="shared" si="185"/>
        <v>0</v>
      </c>
      <c r="J2354" t="str">
        <f t="shared" si="187"/>
        <v/>
      </c>
      <c r="K2354">
        <v>-7.7992741912603003E-3</v>
      </c>
      <c r="L2354">
        <v>-6.8775182589888E-3</v>
      </c>
      <c r="M2354">
        <v>-2.25285164192318E-2</v>
      </c>
      <c r="N2354">
        <v>6.9822878576814998E-3</v>
      </c>
      <c r="O2354" t="str">
        <f t="shared" si="188"/>
        <v/>
      </c>
    </row>
    <row r="2355" spans="1:15" x14ac:dyDescent="0.35">
      <c r="A2355" t="s">
        <v>154</v>
      </c>
      <c r="B2355">
        <v>2008</v>
      </c>
      <c r="C2355">
        <v>186916.703125</v>
      </c>
      <c r="D2355" s="8">
        <v>0.92843210697174094</v>
      </c>
      <c r="E2355" s="8">
        <v>1.6E-2</v>
      </c>
      <c r="F2355">
        <v>2.0857964097836099</v>
      </c>
      <c r="G2355">
        <f t="shared" si="184"/>
        <v>2.2465793611843456</v>
      </c>
      <c r="H2355">
        <f t="shared" si="186"/>
        <v>0.10529301187224882</v>
      </c>
      <c r="I2355">
        <f t="shared" si="185"/>
        <v>1</v>
      </c>
      <c r="J2355" t="str">
        <f t="shared" si="187"/>
        <v/>
      </c>
      <c r="K2355">
        <v>-2.25285164192318E-2</v>
      </c>
      <c r="L2355">
        <v>6.9822878576814998E-3</v>
      </c>
      <c r="M2355">
        <v>-1.9481350392103199E-2</v>
      </c>
      <c r="N2355">
        <v>7.0853512734174503E-3</v>
      </c>
      <c r="O2355" t="str">
        <f t="shared" si="188"/>
        <v/>
      </c>
    </row>
    <row r="2356" spans="1:15" x14ac:dyDescent="0.35">
      <c r="A2356" t="s">
        <v>154</v>
      </c>
      <c r="B2356">
        <v>2009</v>
      </c>
      <c r="C2356">
        <v>188386.796875</v>
      </c>
      <c r="D2356" s="8">
        <v>0.92325234413146995</v>
      </c>
      <c r="E2356" s="8">
        <v>0.02</v>
      </c>
      <c r="F2356">
        <v>2.2373644791284701</v>
      </c>
      <c r="G2356">
        <f t="shared" si="184"/>
        <v>2.4233509867047491</v>
      </c>
      <c r="H2356">
        <f t="shared" si="186"/>
        <v>7.8684790118971559E-2</v>
      </c>
      <c r="I2356">
        <f t="shared" si="185"/>
        <v>1</v>
      </c>
      <c r="J2356" t="str">
        <f t="shared" si="187"/>
        <v/>
      </c>
      <c r="K2356">
        <v>-1.9481350392103199E-2</v>
      </c>
      <c r="L2356">
        <v>7.0853512734174503E-3</v>
      </c>
      <c r="M2356">
        <v>-1.4951974441297301E-2</v>
      </c>
      <c r="N2356">
        <v>-5.4918656824156599E-3</v>
      </c>
      <c r="O2356" t="str">
        <f t="shared" si="188"/>
        <v/>
      </c>
    </row>
    <row r="2357" spans="1:15" x14ac:dyDescent="0.35">
      <c r="A2357" t="s">
        <v>154</v>
      </c>
      <c r="B2357">
        <v>2010</v>
      </c>
      <c r="C2357">
        <v>189304.90625</v>
      </c>
      <c r="D2357" s="8">
        <v>0.92448264360427901</v>
      </c>
      <c r="E2357" s="8">
        <v>1.6E-2</v>
      </c>
      <c r="F2357">
        <v>1.96761153807765</v>
      </c>
      <c r="G2357">
        <f t="shared" si="184"/>
        <v>2.1283379971380816</v>
      </c>
      <c r="H2357">
        <f t="shared" si="186"/>
        <v>-0.12173762330970617</v>
      </c>
      <c r="I2357">
        <f t="shared" si="185"/>
        <v>0</v>
      </c>
      <c r="J2357">
        <f t="shared" si="187"/>
        <v>3</v>
      </c>
      <c r="K2357">
        <v>-1.4951974441297301E-2</v>
      </c>
      <c r="L2357">
        <v>-5.4918656824156599E-3</v>
      </c>
      <c r="M2357">
        <v>-2.46235415041446E-2</v>
      </c>
      <c r="N2357">
        <v>-3.3397669903933599E-3</v>
      </c>
      <c r="O2357">
        <f t="shared" si="188"/>
        <v>-1.011769354641435E-2</v>
      </c>
    </row>
    <row r="2358" spans="1:15" x14ac:dyDescent="0.35">
      <c r="A2358" t="s">
        <v>154</v>
      </c>
      <c r="B2358">
        <v>2011</v>
      </c>
      <c r="C2358">
        <v>189746.703125</v>
      </c>
      <c r="D2358" s="8">
        <v>0.93423676490783703</v>
      </c>
      <c r="E2358" s="8">
        <v>0</v>
      </c>
      <c r="F2358">
        <v>2.32018549395581</v>
      </c>
      <c r="G2358">
        <f t="shared" si="184"/>
        <v>2.4835090858201214</v>
      </c>
      <c r="H2358">
        <f t="shared" si="186"/>
        <v>0.16687720144057416</v>
      </c>
      <c r="I2358">
        <f t="shared" si="185"/>
        <v>1</v>
      </c>
      <c r="J2358">
        <f t="shared" si="187"/>
        <v>3</v>
      </c>
      <c r="K2358">
        <v>-2.46235415041446E-2</v>
      </c>
      <c r="L2358">
        <v>-3.3397669903933599E-3</v>
      </c>
      <c r="M2358">
        <v>-4.1624510586261702E-2</v>
      </c>
      <c r="N2358">
        <v>-3.6186304517090297E-2</v>
      </c>
      <c r="O2358">
        <f t="shared" si="188"/>
        <v>-1.4334825447946759E-2</v>
      </c>
    </row>
    <row r="2359" spans="1:15" x14ac:dyDescent="0.35">
      <c r="A2359" t="s">
        <v>154</v>
      </c>
      <c r="B2359">
        <v>2022</v>
      </c>
      <c r="C2359">
        <v>202477.09375</v>
      </c>
      <c r="D2359" s="8">
        <v>0.97145748138427701</v>
      </c>
      <c r="E2359" s="8">
        <v>8.9999999999999993E-3</v>
      </c>
      <c r="F2359">
        <v>2.02299595759286</v>
      </c>
      <c r="G2359">
        <f t="shared" si="184"/>
        <v>2.0824338649491843</v>
      </c>
      <c r="H2359">
        <f t="shared" si="186"/>
        <v>-0.16149537086895394</v>
      </c>
      <c r="I2359">
        <f t="shared" si="185"/>
        <v>0</v>
      </c>
      <c r="J2359" t="str">
        <f t="shared" si="187"/>
        <v/>
      </c>
      <c r="K2359">
        <v>-4.1624510586261702E-2</v>
      </c>
      <c r="L2359">
        <v>-9.0423002839088006E-3</v>
      </c>
      <c r="M2359">
        <v>-9.6563350260257998E-3</v>
      </c>
      <c r="N2359">
        <v>9.9025927484035006E-3</v>
      </c>
      <c r="O2359">
        <f t="shared" si="188"/>
        <v>-5.932469712570285E-3</v>
      </c>
    </row>
    <row r="2360" spans="1:15" x14ac:dyDescent="0.35">
      <c r="A2360" t="s">
        <v>155</v>
      </c>
      <c r="B2360">
        <v>2006</v>
      </c>
      <c r="C2360">
        <v>896514.5</v>
      </c>
      <c r="D2360" s="8">
        <v>0.95318150520324696</v>
      </c>
      <c r="E2360" s="8">
        <v>0</v>
      </c>
      <c r="F2360">
        <v>2.1974196689386498</v>
      </c>
      <c r="G2360">
        <f t="shared" si="184"/>
        <v>2.3053528178456357</v>
      </c>
      <c r="H2360">
        <f t="shared" si="186"/>
        <v>0.10704731451430338</v>
      </c>
      <c r="I2360">
        <f t="shared" si="185"/>
        <v>1</v>
      </c>
      <c r="J2360" t="str">
        <f t="shared" si="187"/>
        <v/>
      </c>
      <c r="K2360">
        <v>-1.08959939032793E-2</v>
      </c>
      <c r="L2360">
        <v>-1.7259033396840099E-2</v>
      </c>
      <c r="M2360">
        <v>-7.3977139741182004E-3</v>
      </c>
      <c r="N2360">
        <v>-6.4759580418467001E-3</v>
      </c>
      <c r="O2360" t="str">
        <f t="shared" si="188"/>
        <v/>
      </c>
    </row>
    <row r="2361" spans="1:15" x14ac:dyDescent="0.35">
      <c r="A2361" t="s">
        <v>155</v>
      </c>
      <c r="B2361">
        <v>2007</v>
      </c>
      <c r="C2361">
        <v>899073.5</v>
      </c>
      <c r="D2361" s="8">
        <v>0.93785017728805498</v>
      </c>
      <c r="E2361" s="8">
        <v>2.1999999999999999E-2</v>
      </c>
      <c r="F2361">
        <v>2.2062233868326202</v>
      </c>
      <c r="G2361">
        <f t="shared" si="184"/>
        <v>2.3524262619561163</v>
      </c>
      <c r="H2361">
        <f t="shared" si="186"/>
        <v>2.0419192995574154E-2</v>
      </c>
      <c r="I2361">
        <f t="shared" si="185"/>
        <v>1</v>
      </c>
      <c r="J2361" t="str">
        <f t="shared" si="187"/>
        <v/>
      </c>
      <c r="K2361">
        <v>-7.3977139741182004E-3</v>
      </c>
      <c r="L2361">
        <v>-6.4759580418467001E-3</v>
      </c>
      <c r="M2361">
        <v>-4.3999835208058301E-2</v>
      </c>
      <c r="N2361">
        <v>-1.4489030931144901E-2</v>
      </c>
      <c r="O2361" t="str">
        <f t="shared" si="188"/>
        <v/>
      </c>
    </row>
    <row r="2362" spans="1:15" x14ac:dyDescent="0.35">
      <c r="A2362" t="s">
        <v>155</v>
      </c>
      <c r="B2362">
        <v>2008</v>
      </c>
      <c r="C2362">
        <v>905511.75</v>
      </c>
      <c r="D2362" s="8">
        <v>0.93264716863632202</v>
      </c>
      <c r="E2362" s="8">
        <v>1.2E-2</v>
      </c>
      <c r="F2362">
        <v>2.4034399283716699</v>
      </c>
      <c r="G2362">
        <f t="shared" si="184"/>
        <v>2.5770087651537934</v>
      </c>
      <c r="H2362">
        <f t="shared" si="186"/>
        <v>9.5468456048832584E-2</v>
      </c>
      <c r="I2362">
        <f t="shared" si="185"/>
        <v>1</v>
      </c>
      <c r="J2362" t="str">
        <f t="shared" si="187"/>
        <v/>
      </c>
      <c r="K2362">
        <v>-4.3999835208058301E-2</v>
      </c>
      <c r="L2362">
        <v>-1.4489030931144901E-2</v>
      </c>
      <c r="M2362">
        <v>-5.0992128163575998E-2</v>
      </c>
      <c r="N2362">
        <v>-2.4425426498055399E-2</v>
      </c>
      <c r="O2362" t="str">
        <f t="shared" si="188"/>
        <v/>
      </c>
    </row>
    <row r="2363" spans="1:15" x14ac:dyDescent="0.35">
      <c r="A2363" t="s">
        <v>155</v>
      </c>
      <c r="B2363">
        <v>2009</v>
      </c>
      <c r="C2363">
        <v>912806</v>
      </c>
      <c r="D2363" s="8">
        <v>0.93869113922119096</v>
      </c>
      <c r="E2363" s="8">
        <v>2.1000000000000001E-2</v>
      </c>
      <c r="F2363">
        <v>2.27596291012838</v>
      </c>
      <c r="G2363">
        <f t="shared" si="184"/>
        <v>2.4246131821556243</v>
      </c>
      <c r="H2363">
        <f t="shared" si="186"/>
        <v>-5.9136618027402887E-2</v>
      </c>
      <c r="I2363">
        <f t="shared" si="185"/>
        <v>0</v>
      </c>
      <c r="J2363" t="str">
        <f t="shared" si="187"/>
        <v/>
      </c>
      <c r="K2363">
        <v>-5.0992128163575998E-2</v>
      </c>
      <c r="L2363">
        <v>-2.4425426498055399E-2</v>
      </c>
      <c r="M2363">
        <v>-3.6346345990895998E-3</v>
      </c>
      <c r="N2363">
        <v>5.8254741597920804E-3</v>
      </c>
      <c r="O2363" t="str">
        <f t="shared" si="188"/>
        <v/>
      </c>
    </row>
    <row r="2364" spans="1:15" x14ac:dyDescent="0.35">
      <c r="A2364" t="s">
        <v>155</v>
      </c>
      <c r="B2364">
        <v>2010</v>
      </c>
      <c r="C2364">
        <v>922296.375</v>
      </c>
      <c r="D2364" s="8">
        <v>0.93842345476150502</v>
      </c>
      <c r="E2364" s="8">
        <v>4.1000000000000002E-2</v>
      </c>
      <c r="F2364">
        <v>2.4078266589434199</v>
      </c>
      <c r="G2364">
        <f t="shared" si="184"/>
        <v>2.5658210552243235</v>
      </c>
      <c r="H2364">
        <f t="shared" si="186"/>
        <v>5.8239340653570615E-2</v>
      </c>
      <c r="I2364">
        <f t="shared" si="185"/>
        <v>1</v>
      </c>
      <c r="J2364">
        <f t="shared" si="187"/>
        <v>4</v>
      </c>
      <c r="K2364">
        <v>-3.6346345990895998E-3</v>
      </c>
      <c r="L2364">
        <v>5.8254741597920804E-3</v>
      </c>
      <c r="M2364">
        <v>-2.61401011310517E-2</v>
      </c>
      <c r="N2364">
        <v>-4.8563266173004696E-3</v>
      </c>
      <c r="O2364">
        <f t="shared" si="188"/>
        <v>-3.0746608972549321E-3</v>
      </c>
    </row>
    <row r="2365" spans="1:15" x14ac:dyDescent="0.35">
      <c r="A2365" t="s">
        <v>155</v>
      </c>
      <c r="B2365">
        <v>2011</v>
      </c>
      <c r="C2365">
        <v>931935.4375</v>
      </c>
      <c r="D2365" s="8">
        <v>0.92640328407287598</v>
      </c>
      <c r="E2365" s="8">
        <v>7.5999999999999998E-2</v>
      </c>
      <c r="F2365">
        <v>2.2099821913956301</v>
      </c>
      <c r="G2365">
        <f t="shared" si="184"/>
        <v>2.3855509035757918</v>
      </c>
      <c r="H2365">
        <f t="shared" si="186"/>
        <v>-7.025827123893913E-2</v>
      </c>
      <c r="I2365">
        <f t="shared" si="185"/>
        <v>0</v>
      </c>
      <c r="J2365">
        <f t="shared" si="187"/>
        <v>3</v>
      </c>
      <c r="K2365">
        <v>-2.61401011310517E-2</v>
      </c>
      <c r="L2365">
        <v>-4.8563266173004696E-3</v>
      </c>
      <c r="M2365">
        <v>-8.8931213170290006E-3</v>
      </c>
      <c r="N2365">
        <v>-3.4549152478576001E-3</v>
      </c>
      <c r="O2365">
        <f t="shared" si="188"/>
        <v>-4.2287655174731978E-3</v>
      </c>
    </row>
    <row r="2366" spans="1:15" x14ac:dyDescent="0.35">
      <c r="A2366" t="s">
        <v>155</v>
      </c>
      <c r="B2366">
        <v>2012</v>
      </c>
      <c r="C2366">
        <v>940069.0625</v>
      </c>
      <c r="D2366" s="8">
        <v>0.93379276990890503</v>
      </c>
      <c r="E2366" s="8">
        <v>2.5999999999999999E-2</v>
      </c>
      <c r="F2366">
        <v>2.4197119015073998</v>
      </c>
      <c r="G2366">
        <f t="shared" si="184"/>
        <v>2.5912729028127428</v>
      </c>
      <c r="H2366">
        <f t="shared" si="186"/>
        <v>8.6236683915898338E-2</v>
      </c>
      <c r="I2366">
        <f t="shared" si="185"/>
        <v>1</v>
      </c>
      <c r="J2366">
        <f t="shared" si="187"/>
        <v>3</v>
      </c>
      <c r="K2366">
        <v>-8.8931213170290006E-3</v>
      </c>
      <c r="L2366">
        <v>-3.5405140370130899E-3</v>
      </c>
      <c r="M2366">
        <v>8.2322160154581006E-3</v>
      </c>
      <c r="N2366">
        <v>2.1054446697234999E-3</v>
      </c>
      <c r="O2366">
        <f t="shared" si="188"/>
        <v>-4.5888314023613576E-3</v>
      </c>
    </row>
    <row r="2367" spans="1:15" x14ac:dyDescent="0.35">
      <c r="A2367" t="s">
        <v>155</v>
      </c>
      <c r="B2367">
        <v>2013</v>
      </c>
      <c r="C2367">
        <v>946088.9375</v>
      </c>
      <c r="D2367" s="8">
        <v>0.92397862672805797</v>
      </c>
      <c r="E2367" s="8">
        <v>6.9000000000000006E-2</v>
      </c>
      <c r="F2367">
        <v>2.4153386359079101</v>
      </c>
      <c r="G2367">
        <f t="shared" si="184"/>
        <v>2.6140633192576908</v>
      </c>
      <c r="H2367">
        <f t="shared" si="186"/>
        <v>8.7950660928881597E-3</v>
      </c>
      <c r="I2367">
        <f t="shared" si="185"/>
        <v>1</v>
      </c>
      <c r="J2367">
        <f t="shared" si="187"/>
        <v>3</v>
      </c>
      <c r="K2367">
        <v>8.2322160154581006E-3</v>
      </c>
      <c r="L2367">
        <v>2.1054446697234999E-3</v>
      </c>
      <c r="M2367">
        <v>7.8656600415709995E-4</v>
      </c>
      <c r="N2367">
        <v>-1.2214574962853999E-3</v>
      </c>
      <c r="O2367">
        <f t="shared" si="188"/>
        <v>-6.7838327959179366E-3</v>
      </c>
    </row>
    <row r="2368" spans="1:15" x14ac:dyDescent="0.35">
      <c r="A2368" t="s">
        <v>155</v>
      </c>
      <c r="B2368">
        <v>2014</v>
      </c>
      <c r="C2368">
        <v>951034.1875</v>
      </c>
      <c r="D2368" s="8">
        <v>0.899602830410004</v>
      </c>
      <c r="E2368" s="8">
        <v>9.1999999999999998E-2</v>
      </c>
      <c r="F2368">
        <v>2.4438715683378498</v>
      </c>
      <c r="G2368">
        <f t="shared" si="184"/>
        <v>2.7166116932113566</v>
      </c>
      <c r="H2368">
        <f t="shared" si="186"/>
        <v>3.9229491190284627E-2</v>
      </c>
      <c r="I2368">
        <f t="shared" si="185"/>
        <v>1</v>
      </c>
      <c r="J2368">
        <f t="shared" si="187"/>
        <v>4</v>
      </c>
      <c r="K2368">
        <v>7.8656600415709995E-4</v>
      </c>
      <c r="L2368">
        <v>-1.2214574962853999E-3</v>
      </c>
      <c r="M2368">
        <v>2.2317402228713E-2</v>
      </c>
      <c r="N2368">
        <v>-7.9460497945546896E-3</v>
      </c>
      <c r="O2368">
        <f t="shared" si="188"/>
        <v>-8.8526224717497357E-3</v>
      </c>
    </row>
    <row r="2369" spans="1:15" x14ac:dyDescent="0.35">
      <c r="A2369" t="s">
        <v>155</v>
      </c>
      <c r="B2369">
        <v>2015</v>
      </c>
      <c r="C2369">
        <v>952905.1875</v>
      </c>
      <c r="D2369" s="8">
        <v>0.90994411706924405</v>
      </c>
      <c r="E2369" s="8">
        <v>5.1999999999999998E-2</v>
      </c>
      <c r="F2369">
        <v>2.3939700526102698</v>
      </c>
      <c r="G2369">
        <f t="shared" si="184"/>
        <v>2.6308978844995332</v>
      </c>
      <c r="H2369">
        <f t="shared" si="186"/>
        <v>-3.1551733700483142E-2</v>
      </c>
      <c r="I2369">
        <f t="shared" si="185"/>
        <v>0</v>
      </c>
      <c r="J2369">
        <f t="shared" si="187"/>
        <v>3</v>
      </c>
      <c r="K2369">
        <v>2.2317402228713E-2</v>
      </c>
      <c r="L2369">
        <v>-7.9460497945546896E-3</v>
      </c>
      <c r="M2369">
        <v>2.5267072841525001E-3</v>
      </c>
      <c r="N2369">
        <v>-1.06268497183918E-2</v>
      </c>
      <c r="O2369">
        <f t="shared" si="188"/>
        <v>-9.3393264338373586E-3</v>
      </c>
    </row>
    <row r="2370" spans="1:15" x14ac:dyDescent="0.35">
      <c r="A2370" t="s">
        <v>155</v>
      </c>
      <c r="B2370">
        <v>2016</v>
      </c>
      <c r="C2370">
        <v>953941</v>
      </c>
      <c r="D2370" s="8">
        <v>0.92147815227508501</v>
      </c>
      <c r="E2370" s="8">
        <v>4.8000000000000001E-2</v>
      </c>
      <c r="F2370">
        <v>2.3635016488928802</v>
      </c>
      <c r="G2370">
        <f t="shared" si="184"/>
        <v>2.5649025351903449</v>
      </c>
      <c r="H2370">
        <f t="shared" si="186"/>
        <v>-2.5084724761843979E-2</v>
      </c>
      <c r="I2370">
        <f t="shared" si="185"/>
        <v>0</v>
      </c>
      <c r="J2370">
        <f t="shared" si="187"/>
        <v>3</v>
      </c>
      <c r="K2370">
        <v>2.5267072841525001E-3</v>
      </c>
      <c r="L2370">
        <v>-1.06268497183918E-2</v>
      </c>
      <c r="M2370">
        <v>-2.4656712114811E-3</v>
      </c>
      <c r="N2370">
        <v>-5.2552446722984002E-3</v>
      </c>
      <c r="O2370">
        <f t="shared" si="188"/>
        <v>-1.3433455303311321E-2</v>
      </c>
    </row>
    <row r="2371" spans="1:15" x14ac:dyDescent="0.35">
      <c r="A2371" t="s">
        <v>155</v>
      </c>
      <c r="B2371">
        <v>2017</v>
      </c>
      <c r="C2371">
        <v>954906.625</v>
      </c>
      <c r="D2371" s="8">
        <v>0.94184553623199496</v>
      </c>
      <c r="E2371" s="8">
        <v>2.1999999999999999E-2</v>
      </c>
      <c r="F2371">
        <v>2.46240274250433</v>
      </c>
      <c r="G2371">
        <f t="shared" ref="G2371:G2434" si="189">F2371/D2371</f>
        <v>2.6144443518366818</v>
      </c>
      <c r="H2371">
        <f t="shared" si="186"/>
        <v>1.9315282341775264E-2</v>
      </c>
      <c r="I2371">
        <f t="shared" ref="I2371:I2434" si="190">IF(H2371&gt;0,1,0)</f>
        <v>1</v>
      </c>
      <c r="J2371">
        <f t="shared" si="187"/>
        <v>3</v>
      </c>
      <c r="K2371">
        <v>-2.4656712114811E-3</v>
      </c>
      <c r="L2371">
        <v>-5.2552446722984002E-3</v>
      </c>
      <c r="M2371">
        <v>2.6546066999439798E-4</v>
      </c>
      <c r="N2371">
        <v>-8.8695622980593906E-3</v>
      </c>
      <c r="O2371">
        <f t="shared" si="188"/>
        <v>-1.3258728012442558E-2</v>
      </c>
    </row>
    <row r="2372" spans="1:15" x14ac:dyDescent="0.35">
      <c r="A2372" t="s">
        <v>155</v>
      </c>
      <c r="B2372">
        <v>2018</v>
      </c>
      <c r="C2372">
        <v>957042.8125</v>
      </c>
      <c r="D2372" s="8">
        <v>0.92826110124588002</v>
      </c>
      <c r="E2372" s="8">
        <v>7.5999999999999998E-2</v>
      </c>
      <c r="F2372">
        <v>2.4560082481893701</v>
      </c>
      <c r="G2372">
        <f t="shared" si="189"/>
        <v>2.6458161878085815</v>
      </c>
      <c r="H2372">
        <f t="shared" ref="H2372:H2435" si="191">+G2372/G2371-1</f>
        <v>1.1999427698608622E-2</v>
      </c>
      <c r="I2372">
        <f t="shared" si="190"/>
        <v>1</v>
      </c>
      <c r="J2372">
        <f t="shared" si="187"/>
        <v>3</v>
      </c>
      <c r="K2372">
        <v>2.6546066999439798E-4</v>
      </c>
      <c r="L2372">
        <v>-8.8695622980593906E-3</v>
      </c>
      <c r="M2372">
        <v>6.2357887327671004E-3</v>
      </c>
      <c r="N2372">
        <v>-1.15654058754444E-2</v>
      </c>
      <c r="O2372">
        <f t="shared" si="188"/>
        <v>-1.200657188892364E-2</v>
      </c>
    </row>
    <row r="2373" spans="1:15" x14ac:dyDescent="0.35">
      <c r="A2373" t="s">
        <v>155</v>
      </c>
      <c r="B2373">
        <v>2019</v>
      </c>
      <c r="C2373">
        <v>957427.625</v>
      </c>
      <c r="D2373" s="8">
        <v>0.91785860061645497</v>
      </c>
      <c r="E2373" s="8">
        <v>6.2E-2</v>
      </c>
      <c r="F2373">
        <v>2.34389144217604</v>
      </c>
      <c r="G2373">
        <f t="shared" si="189"/>
        <v>2.5536519901887158</v>
      </c>
      <c r="H2373">
        <f t="shared" si="191"/>
        <v>-3.483393821707681E-2</v>
      </c>
      <c r="I2373">
        <f t="shared" si="190"/>
        <v>0</v>
      </c>
      <c r="J2373" t="str">
        <f t="shared" si="187"/>
        <v/>
      </c>
      <c r="K2373">
        <v>6.2357887327671004E-3</v>
      </c>
      <c r="L2373">
        <v>-1.15654058754444E-2</v>
      </c>
      <c r="M2373">
        <v>8.4696208238601994E-3</v>
      </c>
      <c r="N2373">
        <v>-1.0379569604992801E-2</v>
      </c>
      <c r="O2373">
        <f t="shared" si="188"/>
        <v>-9.2737356200814237E-3</v>
      </c>
    </row>
    <row r="2374" spans="1:15" x14ac:dyDescent="0.35">
      <c r="A2374" t="s">
        <v>155</v>
      </c>
      <c r="B2374">
        <v>2020</v>
      </c>
      <c r="C2374">
        <v>952591.3125</v>
      </c>
      <c r="D2374" s="8">
        <v>0.94192945957183805</v>
      </c>
      <c r="E2374" s="8">
        <v>2.5999999999999999E-2</v>
      </c>
      <c r="F2374">
        <v>2.2797730632334301</v>
      </c>
      <c r="G2374">
        <f t="shared" si="189"/>
        <v>2.4203224987460525</v>
      </c>
      <c r="H2374">
        <f t="shared" si="191"/>
        <v>-5.2211300504110603E-2</v>
      </c>
      <c r="I2374">
        <f t="shared" si="190"/>
        <v>0</v>
      </c>
      <c r="J2374" t="str">
        <f t="shared" si="187"/>
        <v/>
      </c>
      <c r="K2374">
        <v>8.4696208238601994E-3</v>
      </c>
      <c r="L2374">
        <v>-1.0379569604992801E-2</v>
      </c>
      <c r="M2374">
        <v>1.2492118656635199E-2</v>
      </c>
      <c r="N2374">
        <v>-3.1097494065761601E-2</v>
      </c>
      <c r="O2374">
        <f t="shared" si="188"/>
        <v>-6.9524441845715173E-3</v>
      </c>
    </row>
    <row r="2375" spans="1:15" x14ac:dyDescent="0.35">
      <c r="A2375" t="s">
        <v>155</v>
      </c>
      <c r="B2375">
        <v>2021</v>
      </c>
      <c r="C2375">
        <v>958922.8125</v>
      </c>
      <c r="D2375" s="8">
        <v>0.95205986499786399</v>
      </c>
      <c r="E2375" s="8">
        <v>5.7000000000000002E-2</v>
      </c>
      <c r="F2375">
        <v>2.2808682112179599</v>
      </c>
      <c r="G2375">
        <f t="shared" si="189"/>
        <v>2.3957193187878758</v>
      </c>
      <c r="H2375">
        <f t="shared" si="191"/>
        <v>-1.0165248627372336E-2</v>
      </c>
      <c r="I2375">
        <f t="shared" si="190"/>
        <v>0</v>
      </c>
      <c r="J2375" t="str">
        <f t="shared" ref="J2375:J2438" si="192">IF(AND(B2375&gt;=2010,B2375&lt;=2018),SUM(I2371:I2375),"")</f>
        <v/>
      </c>
      <c r="K2375">
        <v>1.2492118656635199E-2</v>
      </c>
      <c r="L2375">
        <v>-3.1097494065761601E-2</v>
      </c>
      <c r="M2375">
        <v>-3.6485114991664902E-2</v>
      </c>
      <c r="N2375">
        <v>-4.3816082179546001E-3</v>
      </c>
      <c r="O2375">
        <f t="shared" ref="O2375:O2438" si="193">IF(B2375&gt;=2010,AVERAGE(N2375:N2379),"")</f>
        <v>-5.5878587998449761E-3</v>
      </c>
    </row>
    <row r="2376" spans="1:15" x14ac:dyDescent="0.35">
      <c r="A2376" t="s">
        <v>155</v>
      </c>
      <c r="B2376">
        <v>2022</v>
      </c>
      <c r="C2376">
        <v>962239.3125</v>
      </c>
      <c r="D2376" s="8">
        <v>0.93499296903610196</v>
      </c>
      <c r="E2376" s="8">
        <v>3.4000000000000002E-2</v>
      </c>
      <c r="F2376">
        <v>2.2376424395032202</v>
      </c>
      <c r="G2376">
        <f t="shared" si="189"/>
        <v>2.3932184664554632</v>
      </c>
      <c r="H2376">
        <f t="shared" si="191"/>
        <v>-1.0438836940539487E-3</v>
      </c>
      <c r="I2376">
        <f t="shared" si="190"/>
        <v>0</v>
      </c>
      <c r="J2376" t="str">
        <f t="shared" si="192"/>
        <v/>
      </c>
      <c r="K2376">
        <v>-3.6485114991664902E-2</v>
      </c>
      <c r="L2376">
        <v>-3.9029046893119998E-3</v>
      </c>
      <c r="M2376">
        <v>-2.2167709454894099E-2</v>
      </c>
      <c r="N2376">
        <v>-2.6087816804648001E-3</v>
      </c>
      <c r="O2376">
        <f t="shared" si="193"/>
        <v>-3.2651966903358793E-3</v>
      </c>
    </row>
    <row r="2377" spans="1:15" x14ac:dyDescent="0.35">
      <c r="A2377" t="s">
        <v>156</v>
      </c>
      <c r="B2377">
        <v>2006</v>
      </c>
      <c r="C2377">
        <v>664091.625</v>
      </c>
      <c r="D2377" s="8">
        <v>0.95033800601959195</v>
      </c>
      <c r="E2377" s="8">
        <v>1.4999999999999999E-2</v>
      </c>
      <c r="F2377">
        <v>3.0863444332410102</v>
      </c>
      <c r="G2377">
        <f t="shared" si="189"/>
        <v>3.2476281214595377</v>
      </c>
      <c r="H2377">
        <f t="shared" si="191"/>
        <v>0.35701281223586734</v>
      </c>
      <c r="I2377">
        <f t="shared" si="190"/>
        <v>1</v>
      </c>
      <c r="J2377" t="str">
        <f t="shared" si="192"/>
        <v/>
      </c>
      <c r="K2377">
        <v>1.24526597857475E-2</v>
      </c>
      <c r="L2377">
        <v>6.0896202921866998E-3</v>
      </c>
      <c r="M2377">
        <v>1.1770195364951899E-3</v>
      </c>
      <c r="N2377">
        <v>2.0987754687666902E-3</v>
      </c>
      <c r="O2377" t="str">
        <f t="shared" si="193"/>
        <v/>
      </c>
    </row>
    <row r="2378" spans="1:15" x14ac:dyDescent="0.35">
      <c r="A2378" t="s">
        <v>156</v>
      </c>
      <c r="B2378">
        <v>2007</v>
      </c>
      <c r="C2378">
        <v>668978.5625</v>
      </c>
      <c r="D2378" s="8">
        <v>0.95006972551345803</v>
      </c>
      <c r="E2378" s="8">
        <v>8.0000000000000002E-3</v>
      </c>
      <c r="F2378">
        <v>2.9754537437976198</v>
      </c>
      <c r="G2378">
        <f t="shared" si="189"/>
        <v>3.1318267111285523</v>
      </c>
      <c r="H2378">
        <f t="shared" si="191"/>
        <v>-3.5657226135528797E-2</v>
      </c>
      <c r="I2378">
        <f t="shared" si="190"/>
        <v>0</v>
      </c>
      <c r="J2378" t="str">
        <f t="shared" si="192"/>
        <v/>
      </c>
      <c r="K2378">
        <v>1.1770195364951899E-3</v>
      </c>
      <c r="L2378">
        <v>2.0987754687666902E-3</v>
      </c>
      <c r="M2378">
        <v>-2.82839167043566E-2</v>
      </c>
      <c r="N2378">
        <v>1.22688757255673E-3</v>
      </c>
      <c r="O2378" t="str">
        <f t="shared" si="193"/>
        <v/>
      </c>
    </row>
    <row r="2379" spans="1:15" x14ac:dyDescent="0.35">
      <c r="A2379" t="s">
        <v>156</v>
      </c>
      <c r="B2379">
        <v>2008</v>
      </c>
      <c r="C2379">
        <v>673231.625</v>
      </c>
      <c r="D2379" s="8">
        <v>0.94547247886657704</v>
      </c>
      <c r="E2379" s="8">
        <v>2E-3</v>
      </c>
      <c r="F2379">
        <v>3.034939429604</v>
      </c>
      <c r="G2379">
        <f t="shared" si="189"/>
        <v>3.2099712021678886</v>
      </c>
      <c r="H2379">
        <f t="shared" si="191"/>
        <v>2.4951728894085923E-2</v>
      </c>
      <c r="I2379">
        <f t="shared" si="190"/>
        <v>1</v>
      </c>
      <c r="J2379" t="str">
        <f t="shared" si="192"/>
        <v/>
      </c>
      <c r="K2379">
        <v>-2.82839167043566E-2</v>
      </c>
      <c r="L2379">
        <v>1.22688757255673E-3</v>
      </c>
      <c r="M2379">
        <v>-5.0841268807649498E-2</v>
      </c>
      <c r="N2379">
        <v>-2.4274567142128899E-2</v>
      </c>
      <c r="O2379" t="str">
        <f t="shared" si="193"/>
        <v/>
      </c>
    </row>
    <row r="2380" spans="1:15" x14ac:dyDescent="0.35">
      <c r="A2380" t="s">
        <v>156</v>
      </c>
      <c r="B2380">
        <v>2009</v>
      </c>
      <c r="C2380">
        <v>680202.0625</v>
      </c>
      <c r="D2380" s="8">
        <v>0.939860880374908</v>
      </c>
      <c r="E2380" s="8">
        <v>0</v>
      </c>
      <c r="F2380">
        <v>3.0000489614061698</v>
      </c>
      <c r="G2380">
        <f t="shared" si="189"/>
        <v>3.1920138650833709</v>
      </c>
      <c r="H2380">
        <f t="shared" si="191"/>
        <v>-5.5942361951377695E-3</v>
      </c>
      <c r="I2380">
        <f t="shared" si="190"/>
        <v>0</v>
      </c>
      <c r="J2380" t="str">
        <f t="shared" si="192"/>
        <v/>
      </c>
      <c r="K2380">
        <v>-5.0841268807649498E-2</v>
      </c>
      <c r="L2380">
        <v>-2.4274567142128899E-2</v>
      </c>
      <c r="M2380">
        <v>-2.22840642929079E-3</v>
      </c>
      <c r="N2380">
        <v>7.2317023295908802E-3</v>
      </c>
      <c r="O2380" t="str">
        <f t="shared" si="193"/>
        <v/>
      </c>
    </row>
    <row r="2381" spans="1:15" x14ac:dyDescent="0.35">
      <c r="A2381" t="s">
        <v>156</v>
      </c>
      <c r="B2381">
        <v>2010</v>
      </c>
      <c r="C2381">
        <v>689548.875</v>
      </c>
      <c r="D2381" s="8">
        <v>0.94539535045623802</v>
      </c>
      <c r="E2381" s="8">
        <v>0</v>
      </c>
      <c r="F2381">
        <v>3.2004422821760201</v>
      </c>
      <c r="G2381">
        <f t="shared" si="189"/>
        <v>3.3852951367187494</v>
      </c>
      <c r="H2381">
        <f t="shared" si="191"/>
        <v>6.0551513810648938E-2</v>
      </c>
      <c r="I2381">
        <f t="shared" si="190"/>
        <v>1</v>
      </c>
      <c r="J2381">
        <f t="shared" si="192"/>
        <v>3</v>
      </c>
      <c r="K2381">
        <v>-2.22840642929079E-3</v>
      </c>
      <c r="L2381">
        <v>7.2317023295908802E-3</v>
      </c>
      <c r="M2381">
        <v>-2.0883656449616001E-2</v>
      </c>
      <c r="N2381">
        <v>4.0011806413529899E-4</v>
      </c>
      <c r="O2381">
        <f t="shared" si="193"/>
        <v>1.3150053191930019E-2</v>
      </c>
    </row>
    <row r="2382" spans="1:15" x14ac:dyDescent="0.35">
      <c r="A2382" t="s">
        <v>156</v>
      </c>
      <c r="B2382">
        <v>2011</v>
      </c>
      <c r="C2382">
        <v>697354.6875</v>
      </c>
      <c r="D2382" s="8">
        <v>0.93482851982116699</v>
      </c>
      <c r="E2382" s="8">
        <v>1E-3</v>
      </c>
      <c r="F2382">
        <v>3.0522273943646101</v>
      </c>
      <c r="G2382">
        <f t="shared" si="189"/>
        <v>3.2650131330487246</v>
      </c>
      <c r="H2382">
        <f t="shared" si="191"/>
        <v>-3.5530728876599471E-2</v>
      </c>
      <c r="I2382">
        <f t="shared" si="190"/>
        <v>0</v>
      </c>
      <c r="J2382">
        <f t="shared" si="192"/>
        <v>2</v>
      </c>
      <c r="K2382">
        <v>-2.0883656449616001E-2</v>
      </c>
      <c r="L2382">
        <v>4.0011806413529899E-4</v>
      </c>
      <c r="M2382">
        <v>-1.1448273718357001E-2</v>
      </c>
      <c r="N2382">
        <v>-6.0100676491856896E-3</v>
      </c>
      <c r="O2382">
        <f t="shared" si="193"/>
        <v>2.0977138541638816E-2</v>
      </c>
    </row>
    <row r="2383" spans="1:15" x14ac:dyDescent="0.35">
      <c r="A2383" t="s">
        <v>156</v>
      </c>
      <c r="B2383">
        <v>2012</v>
      </c>
      <c r="C2383">
        <v>703148.375</v>
      </c>
      <c r="D2383" s="8">
        <v>0.93673932552337602</v>
      </c>
      <c r="E2383" s="8">
        <v>-2E-3</v>
      </c>
      <c r="F2383">
        <v>3.1282661875175801</v>
      </c>
      <c r="G2383">
        <f t="shared" si="189"/>
        <v>3.3395269124307894</v>
      </c>
      <c r="H2383">
        <f t="shared" si="191"/>
        <v>2.2821892698632773E-2</v>
      </c>
      <c r="I2383">
        <f t="shared" si="190"/>
        <v>1</v>
      </c>
      <c r="J2383">
        <f t="shared" si="192"/>
        <v>3</v>
      </c>
      <c r="K2383">
        <v>-1.1448273718357001E-2</v>
      </c>
      <c r="L2383">
        <v>-6.0956664383411798E-3</v>
      </c>
      <c r="M2383">
        <v>1.18341619521378E-2</v>
      </c>
      <c r="N2383">
        <v>5.7073906064032901E-3</v>
      </c>
      <c r="O2383">
        <f t="shared" si="193"/>
        <v>2.7389975637197472E-2</v>
      </c>
    </row>
    <row r="2384" spans="1:15" x14ac:dyDescent="0.35">
      <c r="A2384" t="s">
        <v>156</v>
      </c>
      <c r="B2384">
        <v>2013</v>
      </c>
      <c r="C2384">
        <v>708431.0625</v>
      </c>
      <c r="D2384" s="8">
        <v>0.94546115398407005</v>
      </c>
      <c r="E2384" s="8">
        <v>-1E-3</v>
      </c>
      <c r="F2384">
        <v>3.10313815942611</v>
      </c>
      <c r="G2384">
        <f t="shared" si="189"/>
        <v>3.2821424194424327</v>
      </c>
      <c r="H2384">
        <f t="shared" si="191"/>
        <v>-1.7183419835532177E-2</v>
      </c>
      <c r="I2384">
        <f t="shared" si="190"/>
        <v>0</v>
      </c>
      <c r="J2384">
        <f t="shared" si="192"/>
        <v>2</v>
      </c>
      <c r="K2384">
        <v>1.18341619521378E-2</v>
      </c>
      <c r="L2384">
        <v>5.7073906064032901E-3</v>
      </c>
      <c r="M2384">
        <v>1.45546708405017E-2</v>
      </c>
      <c r="N2384">
        <v>1.2546647340059201E-2</v>
      </c>
      <c r="O2384">
        <f t="shared" si="193"/>
        <v>2.7554359287023544E-2</v>
      </c>
    </row>
    <row r="2385" spans="1:15" x14ac:dyDescent="0.35">
      <c r="A2385" t="s">
        <v>156</v>
      </c>
      <c r="B2385">
        <v>2014</v>
      </c>
      <c r="C2385">
        <v>719484.3125</v>
      </c>
      <c r="D2385" s="8">
        <v>0.95429825782775901</v>
      </c>
      <c r="E2385" s="8">
        <v>0</v>
      </c>
      <c r="F2385">
        <v>3.0590355577203998</v>
      </c>
      <c r="G2385">
        <f t="shared" si="189"/>
        <v>3.2055340483211112</v>
      </c>
      <c r="H2385">
        <f t="shared" si="191"/>
        <v>-2.3340964934219888E-2</v>
      </c>
      <c r="I2385">
        <f t="shared" si="190"/>
        <v>0</v>
      </c>
      <c r="J2385">
        <f t="shared" si="192"/>
        <v>2</v>
      </c>
      <c r="K2385">
        <v>1.45546708405017E-2</v>
      </c>
      <c r="L2385">
        <v>1.2546647340059201E-2</v>
      </c>
      <c r="M2385">
        <v>8.3369629621505695E-2</v>
      </c>
      <c r="N2385">
        <v>5.3106177598237998E-2</v>
      </c>
      <c r="O2385">
        <f t="shared" si="193"/>
        <v>2.9996329545974736E-2</v>
      </c>
    </row>
    <row r="2386" spans="1:15" x14ac:dyDescent="0.35">
      <c r="A2386" t="s">
        <v>156</v>
      </c>
      <c r="B2386">
        <v>2015</v>
      </c>
      <c r="C2386">
        <v>731310.3125</v>
      </c>
      <c r="D2386" s="8">
        <v>0.96113854646682695</v>
      </c>
      <c r="E2386" s="8">
        <v>0</v>
      </c>
      <c r="F2386">
        <v>3.0585149473434599</v>
      </c>
      <c r="G2386">
        <f t="shared" si="189"/>
        <v>3.1821790506547147</v>
      </c>
      <c r="H2386">
        <f t="shared" si="191"/>
        <v>-7.2858367168580074E-3</v>
      </c>
      <c r="I2386">
        <f t="shared" si="190"/>
        <v>0</v>
      </c>
      <c r="J2386">
        <f t="shared" si="192"/>
        <v>1</v>
      </c>
      <c r="K2386">
        <v>8.3369629621505695E-2</v>
      </c>
      <c r="L2386">
        <v>5.3106177598237998E-2</v>
      </c>
      <c r="M2386">
        <v>5.2689101815223599E-2</v>
      </c>
      <c r="N2386">
        <v>3.9535544812679298E-2</v>
      </c>
      <c r="O2386">
        <f t="shared" si="193"/>
        <v>2.2017868980765361E-2</v>
      </c>
    </row>
    <row r="2387" spans="1:15" x14ac:dyDescent="0.35">
      <c r="A2387" t="s">
        <v>156</v>
      </c>
      <c r="B2387">
        <v>2016</v>
      </c>
      <c r="C2387">
        <v>743292.8125</v>
      </c>
      <c r="D2387" s="8">
        <v>0.96379011869430498</v>
      </c>
      <c r="E2387" s="8">
        <v>0</v>
      </c>
      <c r="F2387">
        <v>3.0515386157709301</v>
      </c>
      <c r="G2387">
        <f t="shared" si="189"/>
        <v>3.1661858288244367</v>
      </c>
      <c r="H2387">
        <f t="shared" si="191"/>
        <v>-5.0258711328602379E-3</v>
      </c>
      <c r="I2387">
        <f t="shared" si="190"/>
        <v>0</v>
      </c>
      <c r="J2387">
        <f t="shared" si="192"/>
        <v>1</v>
      </c>
      <c r="K2387">
        <v>5.2689101815223599E-2</v>
      </c>
      <c r="L2387">
        <v>3.9535544812679298E-2</v>
      </c>
      <c r="M2387">
        <v>2.8843691289424898E-2</v>
      </c>
      <c r="N2387">
        <v>2.6054117828607601E-2</v>
      </c>
      <c r="O2387">
        <f t="shared" si="193"/>
        <v>1.2643365189433101E-2</v>
      </c>
    </row>
    <row r="2388" spans="1:15" x14ac:dyDescent="0.35">
      <c r="A2388" t="s">
        <v>156</v>
      </c>
      <c r="B2388">
        <v>2017</v>
      </c>
      <c r="C2388">
        <v>754781.9375</v>
      </c>
      <c r="D2388" s="8">
        <v>0.95761376619339</v>
      </c>
      <c r="E2388" s="8">
        <v>1.2999999999999999E-2</v>
      </c>
      <c r="F2388">
        <v>2.9918853344750902</v>
      </c>
      <c r="G2388">
        <f t="shared" si="189"/>
        <v>3.1243132044437205</v>
      </c>
      <c r="H2388">
        <f t="shared" si="191"/>
        <v>-1.3224942136849549E-2</v>
      </c>
      <c r="I2388">
        <f t="shared" si="190"/>
        <v>0</v>
      </c>
      <c r="J2388">
        <f t="shared" si="192"/>
        <v>0</v>
      </c>
      <c r="K2388">
        <v>2.8843691289424898E-2</v>
      </c>
      <c r="L2388">
        <v>2.6054117828607601E-2</v>
      </c>
      <c r="M2388">
        <v>1.5664331823587299E-2</v>
      </c>
      <c r="N2388">
        <v>6.5293088555335999E-3</v>
      </c>
      <c r="O2388">
        <f t="shared" si="193"/>
        <v>9.3202907592058039E-4</v>
      </c>
    </row>
    <row r="2389" spans="1:15" x14ac:dyDescent="0.35">
      <c r="A2389" t="s">
        <v>156</v>
      </c>
      <c r="B2389">
        <v>2018</v>
      </c>
      <c r="C2389">
        <v>765204.25</v>
      </c>
      <c r="D2389" s="8">
        <v>0.95880526304244995</v>
      </c>
      <c r="E2389" s="8">
        <v>2.4E-2</v>
      </c>
      <c r="F2389">
        <v>3.0720695378210299</v>
      </c>
      <c r="G2389">
        <f t="shared" si="189"/>
        <v>3.204059944427962</v>
      </c>
      <c r="H2389">
        <f t="shared" si="191"/>
        <v>2.5524566445776831E-2</v>
      </c>
      <c r="I2389">
        <f t="shared" si="190"/>
        <v>1</v>
      </c>
      <c r="J2389">
        <f t="shared" si="192"/>
        <v>1</v>
      </c>
      <c r="K2389">
        <v>1.5664331823587299E-2</v>
      </c>
      <c r="L2389">
        <v>6.5293088555335999E-3</v>
      </c>
      <c r="M2389">
        <v>4.2557693243026697E-2</v>
      </c>
      <c r="N2389">
        <v>2.4756498634815199E-2</v>
      </c>
      <c r="O2389">
        <f t="shared" si="193"/>
        <v>-2.2153977304697004E-3</v>
      </c>
    </row>
    <row r="2390" spans="1:15" x14ac:dyDescent="0.35">
      <c r="A2390" t="s">
        <v>156</v>
      </c>
      <c r="B2390">
        <v>2019</v>
      </c>
      <c r="C2390">
        <v>775080.0625</v>
      </c>
      <c r="D2390" s="8">
        <v>0.95664685964584395</v>
      </c>
      <c r="E2390" s="8">
        <v>1.4E-2</v>
      </c>
      <c r="F2390">
        <v>3.1492001576861601</v>
      </c>
      <c r="G2390">
        <f t="shared" si="189"/>
        <v>3.2919150112006972</v>
      </c>
      <c r="H2390">
        <f t="shared" si="191"/>
        <v>2.7419919819390293E-2</v>
      </c>
      <c r="I2390">
        <f t="shared" si="190"/>
        <v>1</v>
      </c>
      <c r="J2390" t="str">
        <f t="shared" si="192"/>
        <v/>
      </c>
      <c r="K2390">
        <v>4.2557693243026697E-2</v>
      </c>
      <c r="L2390">
        <v>2.4756498634815199E-2</v>
      </c>
      <c r="M2390">
        <v>3.20630652010441E-2</v>
      </c>
      <c r="N2390">
        <v>1.32138747721911E-2</v>
      </c>
      <c r="O2390">
        <f t="shared" si="193"/>
        <v>-6.4923157915472802E-3</v>
      </c>
    </row>
    <row r="2391" spans="1:15" x14ac:dyDescent="0.35">
      <c r="A2391" t="s">
        <v>156</v>
      </c>
      <c r="B2391">
        <v>2020</v>
      </c>
      <c r="C2391">
        <v>782506.4375</v>
      </c>
      <c r="D2391" s="8">
        <v>0.97315794229507402</v>
      </c>
      <c r="E2391" s="8">
        <v>2.4E-2</v>
      </c>
      <c r="F2391">
        <v>2.99431344622039</v>
      </c>
      <c r="G2391">
        <f t="shared" si="189"/>
        <v>3.076903877656969</v>
      </c>
      <c r="H2391">
        <f t="shared" si="191"/>
        <v>-6.5314910261095926E-2</v>
      </c>
      <c r="I2391">
        <f t="shared" si="190"/>
        <v>0</v>
      </c>
      <c r="J2391" t="str">
        <f t="shared" si="192"/>
        <v/>
      </c>
      <c r="K2391">
        <v>3.20630652010441E-2</v>
      </c>
      <c r="L2391">
        <v>1.32138747721911E-2</v>
      </c>
      <c r="M2391">
        <v>3.6252638578414903E-2</v>
      </c>
      <c r="N2391">
        <v>-7.3369741439820004E-3</v>
      </c>
      <c r="O2391">
        <f t="shared" si="193"/>
        <v>-9.4668449833989077E-3</v>
      </c>
    </row>
    <row r="2392" spans="1:15" x14ac:dyDescent="0.35">
      <c r="A2392" t="s">
        <v>156</v>
      </c>
      <c r="B2392">
        <v>2021</v>
      </c>
      <c r="C2392">
        <v>789866.5625</v>
      </c>
      <c r="D2392" s="8">
        <v>0.96388083696365401</v>
      </c>
      <c r="E2392" s="8">
        <v>2.3E-2</v>
      </c>
      <c r="F2392">
        <v>3.1959816143928101</v>
      </c>
      <c r="G2392">
        <f t="shared" si="189"/>
        <v>3.3157434942482666</v>
      </c>
      <c r="H2392">
        <f t="shared" si="191"/>
        <v>7.762335974342216E-2</v>
      </c>
      <c r="I2392">
        <f t="shared" si="190"/>
        <v>1</v>
      </c>
      <c r="J2392" t="str">
        <f t="shared" si="192"/>
        <v/>
      </c>
      <c r="K2392">
        <v>3.6252638578414903E-2</v>
      </c>
      <c r="L2392">
        <v>-7.3369741439820004E-3</v>
      </c>
      <c r="M2392">
        <v>-6.4606069512665301E-2</v>
      </c>
      <c r="N2392">
        <v>-3.2502562738955E-2</v>
      </c>
      <c r="O2392">
        <f t="shared" si="193"/>
        <v>-7.3864681646227575E-3</v>
      </c>
    </row>
    <row r="2393" spans="1:15" x14ac:dyDescent="0.35">
      <c r="A2393" t="s">
        <v>156</v>
      </c>
      <c r="B2393">
        <v>2022</v>
      </c>
      <c r="C2393">
        <v>798242.8125</v>
      </c>
      <c r="D2393" s="8">
        <v>0.94008123874664296</v>
      </c>
      <c r="E2393" s="8">
        <v>2.1999999999999999E-2</v>
      </c>
      <c r="F2393">
        <v>2.93000522264356</v>
      </c>
      <c r="G2393">
        <f t="shared" si="189"/>
        <v>3.1167574693331503</v>
      </c>
      <c r="H2393">
        <f t="shared" si="191"/>
        <v>-6.0012490489777637E-2</v>
      </c>
      <c r="I2393">
        <f t="shared" si="190"/>
        <v>0</v>
      </c>
      <c r="J2393" t="str">
        <f t="shared" si="192"/>
        <v/>
      </c>
      <c r="K2393">
        <v>-6.4606069512665301E-2</v>
      </c>
      <c r="L2393">
        <v>-3.2023859210312401E-2</v>
      </c>
      <c r="M2393">
        <v>-2.8766752950847099E-2</v>
      </c>
      <c r="N2393">
        <v>-9.2078251764177999E-3</v>
      </c>
      <c r="O2393">
        <f t="shared" si="193"/>
        <v>1.0538569185883E-3</v>
      </c>
    </row>
    <row r="2394" spans="1:15" x14ac:dyDescent="0.35">
      <c r="A2394" t="s">
        <v>157</v>
      </c>
      <c r="B2394">
        <v>2006</v>
      </c>
      <c r="C2394">
        <v>655506.125</v>
      </c>
      <c r="D2394" s="8">
        <v>0.93800926208496105</v>
      </c>
      <c r="E2394" s="8">
        <v>0</v>
      </c>
      <c r="F2394">
        <v>1.99977376418687</v>
      </c>
      <c r="G2394">
        <f t="shared" si="189"/>
        <v>2.1319339211447348</v>
      </c>
      <c r="H2394">
        <f t="shared" si="191"/>
        <v>-0.31597695934907788</v>
      </c>
      <c r="I2394">
        <f t="shared" si="190"/>
        <v>0</v>
      </c>
      <c r="J2394" t="str">
        <f t="shared" si="192"/>
        <v/>
      </c>
      <c r="K2394">
        <v>-1.48366425931449E-3</v>
      </c>
      <c r="L2394">
        <v>-7.8467037528752899E-3</v>
      </c>
      <c r="M2394">
        <v>2.4501523971558001E-3</v>
      </c>
      <c r="N2394">
        <v>3.3719083294273E-3</v>
      </c>
      <c r="O2394" t="str">
        <f t="shared" si="193"/>
        <v/>
      </c>
    </row>
    <row r="2395" spans="1:15" x14ac:dyDescent="0.35">
      <c r="A2395" t="s">
        <v>157</v>
      </c>
      <c r="B2395">
        <v>2007</v>
      </c>
      <c r="C2395">
        <v>656880.625</v>
      </c>
      <c r="D2395" s="8">
        <v>0.93333733081817605</v>
      </c>
      <c r="E2395" s="8">
        <v>0</v>
      </c>
      <c r="F2395">
        <v>2.1454346066476901</v>
      </c>
      <c r="G2395">
        <f t="shared" si="189"/>
        <v>2.2986700904451913</v>
      </c>
      <c r="H2395">
        <f t="shared" si="191"/>
        <v>7.8208882389247947E-2</v>
      </c>
      <c r="I2395">
        <f t="shared" si="190"/>
        <v>1</v>
      </c>
      <c r="J2395" t="str">
        <f t="shared" si="192"/>
        <v/>
      </c>
      <c r="K2395">
        <v>2.4501523971558001E-3</v>
      </c>
      <c r="L2395">
        <v>3.3719083294273E-3</v>
      </c>
      <c r="M2395">
        <v>-3.1169575463980401E-2</v>
      </c>
      <c r="N2395">
        <v>-1.6587711870670299E-3</v>
      </c>
      <c r="O2395" t="str">
        <f t="shared" si="193"/>
        <v/>
      </c>
    </row>
    <row r="2396" spans="1:15" x14ac:dyDescent="0.35">
      <c r="A2396" t="s">
        <v>157</v>
      </c>
      <c r="B2396">
        <v>2008</v>
      </c>
      <c r="C2396">
        <v>659427</v>
      </c>
      <c r="D2396" s="8">
        <v>0.93609827756881703</v>
      </c>
      <c r="E2396" s="8">
        <v>5.0000000000000001E-3</v>
      </c>
      <c r="F2396">
        <v>2.01926604359815</v>
      </c>
      <c r="G2396">
        <f t="shared" si="189"/>
        <v>2.1571090258198922</v>
      </c>
      <c r="H2396">
        <f t="shared" si="191"/>
        <v>-6.1583898104265344E-2</v>
      </c>
      <c r="I2396">
        <f t="shared" si="190"/>
        <v>0</v>
      </c>
      <c r="J2396" t="str">
        <f t="shared" si="192"/>
        <v/>
      </c>
      <c r="K2396">
        <v>-3.1169575463980401E-2</v>
      </c>
      <c r="L2396">
        <v>-1.6587711870670299E-3</v>
      </c>
      <c r="M2396">
        <v>-2.35017917156219E-2</v>
      </c>
      <c r="N2396">
        <v>3.0649099498987501E-3</v>
      </c>
      <c r="O2396" t="str">
        <f t="shared" si="193"/>
        <v/>
      </c>
    </row>
    <row r="2397" spans="1:15" x14ac:dyDescent="0.35">
      <c r="A2397" t="s">
        <v>157</v>
      </c>
      <c r="B2397">
        <v>2009</v>
      </c>
      <c r="C2397">
        <v>661563.4375</v>
      </c>
      <c r="D2397" s="8">
        <v>0.94362920522689797</v>
      </c>
      <c r="E2397" s="8">
        <v>1E-3</v>
      </c>
      <c r="F2397">
        <v>2.0969938568537798</v>
      </c>
      <c r="G2397">
        <f t="shared" si="189"/>
        <v>2.2222646832444664</v>
      </c>
      <c r="H2397">
        <f t="shared" si="191"/>
        <v>3.020508312036263E-2</v>
      </c>
      <c r="I2397">
        <f t="shared" si="190"/>
        <v>1</v>
      </c>
      <c r="J2397" t="str">
        <f t="shared" si="192"/>
        <v/>
      </c>
      <c r="K2397">
        <v>-2.35017917156219E-2</v>
      </c>
      <c r="L2397">
        <v>3.0649099498987501E-3</v>
      </c>
      <c r="M2397">
        <v>2.38953918218598E-4</v>
      </c>
      <c r="N2397">
        <v>9.69906267710028E-3</v>
      </c>
      <c r="O2397" t="str">
        <f t="shared" si="193"/>
        <v/>
      </c>
    </row>
    <row r="2398" spans="1:15" x14ac:dyDescent="0.35">
      <c r="A2398" t="s">
        <v>157</v>
      </c>
      <c r="B2398">
        <v>2010</v>
      </c>
      <c r="C2398">
        <v>663776.5</v>
      </c>
      <c r="D2398" s="8">
        <v>0.94516116380691495</v>
      </c>
      <c r="E2398" s="8">
        <v>0</v>
      </c>
      <c r="F2398">
        <v>2.0731578123683199</v>
      </c>
      <c r="G2398">
        <f t="shared" si="189"/>
        <v>2.193443712835244</v>
      </c>
      <c r="H2398">
        <f t="shared" si="191"/>
        <v>-1.2969188875892268E-2</v>
      </c>
      <c r="I2398">
        <f t="shared" si="190"/>
        <v>0</v>
      </c>
      <c r="J2398">
        <f t="shared" si="192"/>
        <v>2</v>
      </c>
      <c r="K2398">
        <v>2.38953918218598E-4</v>
      </c>
      <c r="L2398">
        <v>9.69906267710028E-3</v>
      </c>
      <c r="M2398">
        <v>-2.08802692294121E-2</v>
      </c>
      <c r="N2398">
        <v>4.0350528433919902E-4</v>
      </c>
      <c r="O2398">
        <f t="shared" si="193"/>
        <v>-3.4723321907222161E-3</v>
      </c>
    </row>
    <row r="2399" spans="1:15" x14ac:dyDescent="0.35">
      <c r="A2399" t="s">
        <v>157</v>
      </c>
      <c r="B2399">
        <v>2011</v>
      </c>
      <c r="C2399">
        <v>664408.5</v>
      </c>
      <c r="D2399" s="8">
        <v>0.94815987348556496</v>
      </c>
      <c r="E2399" s="8">
        <v>0</v>
      </c>
      <c r="F2399">
        <v>2.16131756756756</v>
      </c>
      <c r="G2399">
        <f t="shared" si="189"/>
        <v>2.2794864326226567</v>
      </c>
      <c r="H2399">
        <f t="shared" si="191"/>
        <v>3.9227229440136346E-2</v>
      </c>
      <c r="I2399">
        <f t="shared" si="190"/>
        <v>1</v>
      </c>
      <c r="J2399">
        <f t="shared" si="192"/>
        <v>3</v>
      </c>
      <c r="K2399">
        <v>-2.08802692294121E-2</v>
      </c>
      <c r="L2399">
        <v>4.0350528433919902E-4</v>
      </c>
      <c r="M2399">
        <v>-9.7596126645802996E-3</v>
      </c>
      <c r="N2399">
        <v>-4.3214065954089E-3</v>
      </c>
      <c r="O2399">
        <f t="shared" si="193"/>
        <v>-3.3367160707712161E-3</v>
      </c>
    </row>
    <row r="2400" spans="1:15" x14ac:dyDescent="0.35">
      <c r="A2400" t="s">
        <v>157</v>
      </c>
      <c r="B2400">
        <v>2012</v>
      </c>
      <c r="C2400">
        <v>665097.25</v>
      </c>
      <c r="D2400" s="8">
        <v>0.94994741678237904</v>
      </c>
      <c r="E2400" s="8">
        <v>1.2999999999999999E-2</v>
      </c>
      <c r="F2400">
        <v>2.0796197667363301</v>
      </c>
      <c r="G2400">
        <f t="shared" si="189"/>
        <v>2.1891946122453056</v>
      </c>
      <c r="H2400">
        <f t="shared" si="191"/>
        <v>-3.9610597845702533E-2</v>
      </c>
      <c r="I2400">
        <f t="shared" si="190"/>
        <v>0</v>
      </c>
      <c r="J2400">
        <f t="shared" si="192"/>
        <v>2</v>
      </c>
      <c r="K2400">
        <v>-9.7596126645802996E-3</v>
      </c>
      <c r="L2400">
        <v>-4.4070053845643997E-3</v>
      </c>
      <c r="M2400">
        <v>1.6364926844835001E-3</v>
      </c>
      <c r="N2400">
        <v>-4.4902786612510898E-3</v>
      </c>
      <c r="O2400">
        <f t="shared" si="193"/>
        <v>-4.7830963507294365E-3</v>
      </c>
    </row>
    <row r="2401" spans="1:15" x14ac:dyDescent="0.35">
      <c r="A2401" t="s">
        <v>157</v>
      </c>
      <c r="B2401">
        <v>2013</v>
      </c>
      <c r="C2401">
        <v>666803.25</v>
      </c>
      <c r="D2401" s="8">
        <v>0.94576406478881803</v>
      </c>
      <c r="E2401" s="8">
        <v>5.0000000000000001E-3</v>
      </c>
      <c r="F2401">
        <v>2.1475781954134199</v>
      </c>
      <c r="G2401">
        <f t="shared" si="189"/>
        <v>2.2707335532916</v>
      </c>
      <c r="H2401">
        <f t="shared" si="191"/>
        <v>3.7246090681113841E-2</v>
      </c>
      <c r="I2401">
        <f t="shared" si="190"/>
        <v>1</v>
      </c>
      <c r="J2401">
        <f t="shared" si="192"/>
        <v>3</v>
      </c>
      <c r="K2401">
        <v>1.6364926844835001E-3</v>
      </c>
      <c r="L2401">
        <v>-4.4902786612510898E-3</v>
      </c>
      <c r="M2401">
        <v>-3.6749375835060999E-3</v>
      </c>
      <c r="N2401">
        <v>-5.6829610839486001E-3</v>
      </c>
      <c r="O2401">
        <f t="shared" si="193"/>
        <v>-5.7477580383419559E-3</v>
      </c>
    </row>
    <row r="2402" spans="1:15" x14ac:dyDescent="0.35">
      <c r="A2402" t="s">
        <v>157</v>
      </c>
      <c r="B2402">
        <v>2014</v>
      </c>
      <c r="C2402">
        <v>666530.875</v>
      </c>
      <c r="D2402" s="8">
        <v>0.94502502679824796</v>
      </c>
      <c r="E2402" s="8">
        <v>7.0000000000000001E-3</v>
      </c>
      <c r="F2402">
        <v>2.1460116653488699</v>
      </c>
      <c r="G2402">
        <f t="shared" si="189"/>
        <v>2.2708516753461798</v>
      </c>
      <c r="H2402">
        <f t="shared" si="191"/>
        <v>5.2019337279274325E-5</v>
      </c>
      <c r="I2402">
        <f t="shared" si="190"/>
        <v>1</v>
      </c>
      <c r="J2402">
        <f t="shared" si="192"/>
        <v>3</v>
      </c>
      <c r="K2402">
        <v>-3.6749375835060999E-3</v>
      </c>
      <c r="L2402">
        <v>-5.6829610839486001E-3</v>
      </c>
      <c r="M2402">
        <v>2.6992932125926E-2</v>
      </c>
      <c r="N2402">
        <v>-3.27051989734169E-3</v>
      </c>
      <c r="O2402">
        <f t="shared" si="193"/>
        <v>-6.0828521847724566E-3</v>
      </c>
    </row>
    <row r="2403" spans="1:15" x14ac:dyDescent="0.35">
      <c r="A2403" t="s">
        <v>157</v>
      </c>
      <c r="B2403">
        <v>2015</v>
      </c>
      <c r="C2403">
        <v>665290.5625</v>
      </c>
      <c r="D2403" s="8">
        <v>0.95325392484664895</v>
      </c>
      <c r="E2403" s="8">
        <v>-3.0000000000000001E-3</v>
      </c>
      <c r="F2403">
        <v>2.1628486055776799</v>
      </c>
      <c r="G2403">
        <f t="shared" si="189"/>
        <v>2.2689113039063749</v>
      </c>
      <c r="H2403">
        <f t="shared" si="191"/>
        <v>-8.5446859469995307E-4</v>
      </c>
      <c r="I2403">
        <f t="shared" si="190"/>
        <v>0</v>
      </c>
      <c r="J2403">
        <f t="shared" si="192"/>
        <v>3</v>
      </c>
      <c r="K2403">
        <v>2.6992932125926E-2</v>
      </c>
      <c r="L2403">
        <v>-3.27051989734169E-3</v>
      </c>
      <c r="M2403">
        <v>1.42351428866386E-2</v>
      </c>
      <c r="N2403">
        <v>1.0815858840941999E-3</v>
      </c>
      <c r="O2403">
        <f t="shared" si="193"/>
        <v>-4.4467866420745596E-3</v>
      </c>
    </row>
    <row r="2404" spans="1:15" x14ac:dyDescent="0.35">
      <c r="A2404" t="s">
        <v>157</v>
      </c>
      <c r="B2404">
        <v>2016</v>
      </c>
      <c r="C2404">
        <v>663500.5</v>
      </c>
      <c r="D2404" s="8">
        <v>0.950331211090088</v>
      </c>
      <c r="E2404" s="8">
        <v>8.9999999999999993E-3</v>
      </c>
      <c r="F2404">
        <v>2.0905741653913701</v>
      </c>
      <c r="G2404">
        <f t="shared" si="189"/>
        <v>2.1998374261467784</v>
      </c>
      <c r="H2404">
        <f t="shared" si="191"/>
        <v>-3.0443621855412495E-2</v>
      </c>
      <c r="I2404">
        <f t="shared" si="190"/>
        <v>0</v>
      </c>
      <c r="J2404">
        <f t="shared" si="192"/>
        <v>2</v>
      </c>
      <c r="K2404">
        <v>1.42351428866386E-2</v>
      </c>
      <c r="L2404">
        <v>1.0815858840941999E-3</v>
      </c>
      <c r="M2404">
        <v>-8.7637345343828006E-3</v>
      </c>
      <c r="N2404">
        <v>-1.1553307995199999E-2</v>
      </c>
      <c r="O2404">
        <f t="shared" si="193"/>
        <v>-1.2399430572986581E-2</v>
      </c>
    </row>
    <row r="2405" spans="1:15" x14ac:dyDescent="0.35">
      <c r="A2405" t="s">
        <v>157</v>
      </c>
      <c r="B2405">
        <v>2017</v>
      </c>
      <c r="C2405">
        <v>662416.3125</v>
      </c>
      <c r="D2405" s="8">
        <v>0.93342351913452104</v>
      </c>
      <c r="E2405" s="8">
        <v>2.5000000000000001E-2</v>
      </c>
      <c r="F2405">
        <v>2.1448495311600801</v>
      </c>
      <c r="G2405">
        <f t="shared" si="189"/>
        <v>2.2978310351005562</v>
      </c>
      <c r="H2405">
        <f t="shared" si="191"/>
        <v>4.4545841337658709E-2</v>
      </c>
      <c r="I2405">
        <f t="shared" si="190"/>
        <v>1</v>
      </c>
      <c r="J2405">
        <f t="shared" si="192"/>
        <v>3</v>
      </c>
      <c r="K2405">
        <v>-8.7637345343828006E-3</v>
      </c>
      <c r="L2405">
        <v>-1.1553307995199999E-2</v>
      </c>
      <c r="M2405">
        <v>-1.7856413125990101E-4</v>
      </c>
      <c r="N2405">
        <v>-9.3135870993136909E-3</v>
      </c>
      <c r="O2405">
        <f t="shared" si="193"/>
        <v>-6.6619079560041403E-3</v>
      </c>
    </row>
    <row r="2406" spans="1:15" x14ac:dyDescent="0.35">
      <c r="A2406" t="s">
        <v>157</v>
      </c>
      <c r="B2406">
        <v>2018</v>
      </c>
      <c r="C2406">
        <v>662907.3125</v>
      </c>
      <c r="D2406" s="8">
        <v>0.94161605834960904</v>
      </c>
      <c r="E2406" s="8">
        <v>6.0000000000000001E-3</v>
      </c>
      <c r="F2406">
        <v>2.2191500843944798</v>
      </c>
      <c r="G2406">
        <f t="shared" si="189"/>
        <v>2.3567462180753718</v>
      </c>
      <c r="H2406">
        <f t="shared" si="191"/>
        <v>2.5639475694624991E-2</v>
      </c>
      <c r="I2406">
        <f t="shared" si="190"/>
        <v>1</v>
      </c>
      <c r="J2406">
        <f t="shared" si="192"/>
        <v>3</v>
      </c>
      <c r="K2406">
        <v>-1.7856413125990101E-4</v>
      </c>
      <c r="L2406">
        <v>-9.3135870993136909E-3</v>
      </c>
      <c r="M2406">
        <v>1.0442762792110399E-2</v>
      </c>
      <c r="N2406">
        <v>-7.3584318161011002E-3</v>
      </c>
      <c r="O2406">
        <f t="shared" si="193"/>
        <v>1.9076365977525572E-3</v>
      </c>
    </row>
    <row r="2407" spans="1:15" x14ac:dyDescent="0.35">
      <c r="A2407" t="s">
        <v>157</v>
      </c>
      <c r="B2407">
        <v>2019</v>
      </c>
      <c r="C2407">
        <v>662428.3125</v>
      </c>
      <c r="D2407" s="8">
        <v>0.94938534498214699</v>
      </c>
      <c r="E2407" s="8">
        <v>1E-3</v>
      </c>
      <c r="F2407">
        <v>2.0612131006499101</v>
      </c>
      <c r="G2407">
        <f t="shared" si="189"/>
        <v>2.1711027156087721</v>
      </c>
      <c r="H2407">
        <f t="shared" si="191"/>
        <v>-7.8771104433215E-2</v>
      </c>
      <c r="I2407">
        <f t="shared" si="190"/>
        <v>0</v>
      </c>
      <c r="J2407" t="str">
        <f t="shared" si="192"/>
        <v/>
      </c>
      <c r="K2407">
        <v>1.0442762792110399E-2</v>
      </c>
      <c r="L2407">
        <v>-7.3584318161011002E-3</v>
      </c>
      <c r="M2407">
        <v>2.37589982450007E-2</v>
      </c>
      <c r="N2407">
        <v>4.9098078161477904E-3</v>
      </c>
      <c r="O2407">
        <f t="shared" si="193"/>
        <v>3.0476806685328377E-3</v>
      </c>
    </row>
    <row r="2408" spans="1:15" x14ac:dyDescent="0.35">
      <c r="A2408" t="s">
        <v>157</v>
      </c>
      <c r="B2408">
        <v>2020</v>
      </c>
      <c r="C2408">
        <v>659036.3125</v>
      </c>
      <c r="D2408" s="8">
        <v>0.950281202793121</v>
      </c>
      <c r="E2408" s="8">
        <v>1.9E-2</v>
      </c>
      <c r="F2408">
        <v>2.0102667444450302</v>
      </c>
      <c r="G2408">
        <f t="shared" si="189"/>
        <v>2.1154440796433085</v>
      </c>
      <c r="H2408">
        <f t="shared" si="191"/>
        <v>-2.5636113651056336E-2</v>
      </c>
      <c r="I2408">
        <f t="shared" si="190"/>
        <v>0</v>
      </c>
      <c r="J2408" t="str">
        <f t="shared" si="192"/>
        <v/>
      </c>
      <c r="K2408">
        <v>2.37589982450007E-2</v>
      </c>
      <c r="L2408">
        <v>4.9098078161477904E-3</v>
      </c>
      <c r="M2408">
        <v>4.9079789519309996E-3</v>
      </c>
      <c r="N2408">
        <v>-3.8681633770465899E-2</v>
      </c>
      <c r="O2408">
        <f t="shared" si="193"/>
        <v>-2.2959864698350405E-3</v>
      </c>
    </row>
    <row r="2409" spans="1:15" x14ac:dyDescent="0.35">
      <c r="A2409" t="s">
        <v>157</v>
      </c>
      <c r="B2409">
        <v>2021</v>
      </c>
      <c r="C2409">
        <v>656783.375</v>
      </c>
      <c r="D2409" s="8">
        <v>0.95619726181030296</v>
      </c>
      <c r="E2409" s="8">
        <v>6.0000000000000001E-3</v>
      </c>
      <c r="F2409">
        <v>2.0379313451662302</v>
      </c>
      <c r="G2409">
        <f t="shared" si="189"/>
        <v>2.1312875769043242</v>
      </c>
      <c r="H2409">
        <f t="shared" si="191"/>
        <v>7.489442719604833E-3</v>
      </c>
      <c r="I2409">
        <f t="shared" si="190"/>
        <v>1</v>
      </c>
      <c r="J2409" t="str">
        <f t="shared" si="192"/>
        <v/>
      </c>
      <c r="K2409">
        <v>4.9079789519309996E-3</v>
      </c>
      <c r="L2409">
        <v>-3.8681633770465899E-2</v>
      </c>
      <c r="M2409">
        <v>-1.4969201683998E-2</v>
      </c>
      <c r="N2409">
        <v>1.7134305089712198E-2</v>
      </c>
      <c r="O2409">
        <f t="shared" si="193"/>
        <v>6.1698515899479486E-3</v>
      </c>
    </row>
    <row r="2410" spans="1:15" x14ac:dyDescent="0.35">
      <c r="A2410" t="s">
        <v>157</v>
      </c>
      <c r="B2410">
        <v>2022</v>
      </c>
      <c r="C2410">
        <v>655151.1875</v>
      </c>
      <c r="D2410" s="8">
        <v>0.94395375251769997</v>
      </c>
      <c r="E2410" s="8">
        <v>8.9999999999999993E-3</v>
      </c>
      <c r="F2410">
        <v>1.92595518756123</v>
      </c>
      <c r="G2410">
        <f t="shared" si="189"/>
        <v>2.0403067231041243</v>
      </c>
      <c r="H2410">
        <f t="shared" si="191"/>
        <v>-4.2688211007333332E-2</v>
      </c>
      <c r="I2410">
        <f t="shared" si="190"/>
        <v>0</v>
      </c>
      <c r="J2410" t="str">
        <f t="shared" si="192"/>
        <v/>
      </c>
      <c r="K2410">
        <v>-1.4969201683998E-2</v>
      </c>
      <c r="L2410">
        <v>1.7613008618354801E-2</v>
      </c>
      <c r="M2410">
        <v>1.3975207895040399E-2</v>
      </c>
      <c r="N2410">
        <v>3.3534135669469799E-2</v>
      </c>
      <c r="O2410">
        <f t="shared" si="193"/>
        <v>3.5576814319938448E-3</v>
      </c>
    </row>
    <row r="2411" spans="1:15" x14ac:dyDescent="0.35">
      <c r="A2411" t="s">
        <v>158</v>
      </c>
      <c r="B2411">
        <v>2006</v>
      </c>
      <c r="C2411">
        <v>352254.40625</v>
      </c>
      <c r="D2411" s="8">
        <v>0.89903068542480502</v>
      </c>
      <c r="E2411" s="8">
        <v>5.3999999999999999E-2</v>
      </c>
      <c r="F2411">
        <v>2.1303125296855701</v>
      </c>
      <c r="G2411">
        <f t="shared" si="189"/>
        <v>2.3695659828106606</v>
      </c>
      <c r="H2411">
        <f t="shared" si="191"/>
        <v>0.16137733409298427</v>
      </c>
      <c r="I2411">
        <f t="shared" si="190"/>
        <v>1</v>
      </c>
      <c r="J2411" t="str">
        <f t="shared" si="192"/>
        <v/>
      </c>
      <c r="K2411">
        <v>2.2364014416933101E-2</v>
      </c>
      <c r="L2411">
        <v>1.60009749233723E-2</v>
      </c>
      <c r="M2411">
        <v>-2.5799673944711999E-3</v>
      </c>
      <c r="N2411">
        <v>-1.6582114621997001E-3</v>
      </c>
      <c r="O2411" t="str">
        <f t="shared" si="193"/>
        <v/>
      </c>
    </row>
    <row r="2412" spans="1:15" x14ac:dyDescent="0.35">
      <c r="A2412" t="s">
        <v>158</v>
      </c>
      <c r="B2412">
        <v>2007</v>
      </c>
      <c r="C2412">
        <v>358324.875</v>
      </c>
      <c r="D2412" s="8">
        <v>0.87683683633804299</v>
      </c>
      <c r="E2412" s="8">
        <v>1.2E-2</v>
      </c>
      <c r="F2412">
        <v>2.10635167170767</v>
      </c>
      <c r="G2412">
        <f t="shared" si="189"/>
        <v>2.4022162213262876</v>
      </c>
      <c r="H2412">
        <f t="shared" si="191"/>
        <v>1.3778995289634777E-2</v>
      </c>
      <c r="I2412">
        <f t="shared" si="190"/>
        <v>1</v>
      </c>
      <c r="J2412" t="str">
        <f t="shared" si="192"/>
        <v/>
      </c>
      <c r="K2412">
        <v>-2.5799673944711999E-3</v>
      </c>
      <c r="L2412">
        <v>-1.6582114621997001E-3</v>
      </c>
      <c r="M2412">
        <v>-5.1319332152605097E-2</v>
      </c>
      <c r="N2412">
        <v>-2.18085278756916E-2</v>
      </c>
      <c r="O2412" t="str">
        <f t="shared" si="193"/>
        <v/>
      </c>
    </row>
    <row r="2413" spans="1:15" x14ac:dyDescent="0.35">
      <c r="A2413" t="s">
        <v>158</v>
      </c>
      <c r="B2413">
        <v>2008</v>
      </c>
      <c r="C2413">
        <v>362116.40625</v>
      </c>
      <c r="D2413" s="8">
        <v>0.86095976829528797</v>
      </c>
      <c r="E2413" s="8">
        <v>3.9E-2</v>
      </c>
      <c r="F2413">
        <v>2.2246410645500099</v>
      </c>
      <c r="G2413">
        <f t="shared" si="189"/>
        <v>2.5839082689715331</v>
      </c>
      <c r="H2413">
        <f t="shared" si="191"/>
        <v>7.5635176397623072E-2</v>
      </c>
      <c r="I2413">
        <f t="shared" si="190"/>
        <v>1</v>
      </c>
      <c r="J2413" t="str">
        <f t="shared" si="192"/>
        <v/>
      </c>
      <c r="K2413">
        <v>-5.1319332152605097E-2</v>
      </c>
      <c r="L2413">
        <v>-2.18085278756916E-2</v>
      </c>
      <c r="M2413">
        <v>-2.2919145137071599E-2</v>
      </c>
      <c r="N2413">
        <v>3.6475565284490499E-3</v>
      </c>
      <c r="O2413" t="str">
        <f t="shared" si="193"/>
        <v/>
      </c>
    </row>
    <row r="2414" spans="1:15" x14ac:dyDescent="0.35">
      <c r="A2414" t="s">
        <v>158</v>
      </c>
      <c r="B2414">
        <v>2009</v>
      </c>
      <c r="C2414">
        <v>365848.6875</v>
      </c>
      <c r="D2414" s="8">
        <v>0.86731880903243996</v>
      </c>
      <c r="E2414" s="8">
        <v>2E-3</v>
      </c>
      <c r="F2414">
        <v>2.14867969882286</v>
      </c>
      <c r="G2414">
        <f t="shared" si="189"/>
        <v>2.4773816461098952</v>
      </c>
      <c r="H2414">
        <f t="shared" si="191"/>
        <v>-4.122693678442324E-2</v>
      </c>
      <c r="I2414">
        <f t="shared" si="190"/>
        <v>0</v>
      </c>
      <c r="J2414" t="str">
        <f t="shared" si="192"/>
        <v/>
      </c>
      <c r="K2414">
        <v>-2.2919145137071599E-2</v>
      </c>
      <c r="L2414">
        <v>3.6475565284490499E-3</v>
      </c>
      <c r="M2414">
        <v>-5.38665445894E-3</v>
      </c>
      <c r="N2414">
        <v>4.0734542999416798E-3</v>
      </c>
      <c r="O2414" t="str">
        <f t="shared" si="193"/>
        <v/>
      </c>
    </row>
    <row r="2415" spans="1:15" x14ac:dyDescent="0.35">
      <c r="A2415" t="s">
        <v>158</v>
      </c>
      <c r="B2415">
        <v>2010</v>
      </c>
      <c r="C2415">
        <v>369608.3125</v>
      </c>
      <c r="D2415" s="8">
        <v>0.87470632791519198</v>
      </c>
      <c r="E2415" s="8">
        <v>1.4999999999999999E-2</v>
      </c>
      <c r="F2415">
        <v>2.1639377662529999</v>
      </c>
      <c r="G2415">
        <f t="shared" si="189"/>
        <v>2.4739020368248745</v>
      </c>
      <c r="H2415">
        <f t="shared" si="191"/>
        <v>-1.404551168159518E-3</v>
      </c>
      <c r="I2415">
        <f t="shared" si="190"/>
        <v>0</v>
      </c>
      <c r="J2415">
        <f t="shared" si="192"/>
        <v>3</v>
      </c>
      <c r="K2415">
        <v>-5.38665445894E-3</v>
      </c>
      <c r="L2415">
        <v>4.0734542999416798E-3</v>
      </c>
      <c r="M2415">
        <v>-1.6579953365027801E-2</v>
      </c>
      <c r="N2415">
        <v>4.7038211487234003E-3</v>
      </c>
      <c r="O2415">
        <f t="shared" si="193"/>
        <v>-4.4676864054053857E-3</v>
      </c>
    </row>
    <row r="2416" spans="1:15" x14ac:dyDescent="0.35">
      <c r="A2416" t="s">
        <v>159</v>
      </c>
      <c r="B2416">
        <v>2006</v>
      </c>
      <c r="C2416">
        <v>2706494</v>
      </c>
      <c r="D2416" s="8">
        <v>0.935269474983215</v>
      </c>
      <c r="E2416" s="8">
        <v>0.01</v>
      </c>
      <c r="F2416">
        <v>2.1532191589830298</v>
      </c>
      <c r="G2416">
        <f t="shared" si="189"/>
        <v>2.3022446648562682</v>
      </c>
      <c r="H2416">
        <f t="shared" si="191"/>
        <v>-6.938729562182655E-2</v>
      </c>
      <c r="I2416">
        <f t="shared" si="190"/>
        <v>0</v>
      </c>
      <c r="J2416" t="str">
        <f t="shared" si="192"/>
        <v/>
      </c>
      <c r="K2416">
        <v>2.8061920434236401E-2</v>
      </c>
      <c r="L2416">
        <v>2.1698880940675701E-2</v>
      </c>
      <c r="M2416">
        <v>-7.0819416046143E-3</v>
      </c>
      <c r="N2416">
        <v>-6.1601856723427998E-3</v>
      </c>
      <c r="O2416" t="str">
        <f t="shared" si="193"/>
        <v/>
      </c>
    </row>
    <row r="2417" spans="1:15" x14ac:dyDescent="0.35">
      <c r="A2417" t="s">
        <v>159</v>
      </c>
      <c r="B2417">
        <v>2007</v>
      </c>
      <c r="C2417">
        <v>2731812</v>
      </c>
      <c r="D2417" s="8">
        <v>0.91248285770416304</v>
      </c>
      <c r="E2417" s="8">
        <v>1.2999999999999999E-2</v>
      </c>
      <c r="F2417">
        <v>2.17870956508761</v>
      </c>
      <c r="G2417">
        <f t="shared" si="189"/>
        <v>2.3876717756312873</v>
      </c>
      <c r="H2417">
        <f t="shared" si="191"/>
        <v>3.7106008791794709E-2</v>
      </c>
      <c r="I2417">
        <f t="shared" si="190"/>
        <v>1</v>
      </c>
      <c r="J2417" t="str">
        <f t="shared" si="192"/>
        <v/>
      </c>
      <c r="K2417">
        <v>-7.0819416046143E-3</v>
      </c>
      <c r="L2417">
        <v>-6.1601856723427998E-3</v>
      </c>
      <c r="M2417">
        <v>-5.03753435909748E-2</v>
      </c>
      <c r="N2417">
        <v>-2.0864539314061299E-2</v>
      </c>
      <c r="O2417" t="str">
        <f t="shared" si="193"/>
        <v/>
      </c>
    </row>
    <row r="2418" spans="1:15" x14ac:dyDescent="0.35">
      <c r="A2418" t="s">
        <v>159</v>
      </c>
      <c r="B2418">
        <v>2008</v>
      </c>
      <c r="C2418">
        <v>2751337</v>
      </c>
      <c r="D2418" s="8">
        <v>0.90057963132858299</v>
      </c>
      <c r="E2418" s="8">
        <v>1.6E-2</v>
      </c>
      <c r="F2418">
        <v>2.19832441773368</v>
      </c>
      <c r="G2418">
        <f t="shared" si="189"/>
        <v>2.4410105905799746</v>
      </c>
      <c r="H2418">
        <f t="shared" si="191"/>
        <v>2.2339257637111753E-2</v>
      </c>
      <c r="I2418">
        <f t="shared" si="190"/>
        <v>1</v>
      </c>
      <c r="J2418" t="str">
        <f t="shared" si="192"/>
        <v/>
      </c>
      <c r="K2418">
        <v>-5.03753435909748E-2</v>
      </c>
      <c r="L2418">
        <v>-2.0864539314061299E-2</v>
      </c>
      <c r="M2418">
        <v>-2.4344321995973601E-2</v>
      </c>
      <c r="N2418">
        <v>2.2223796695470398E-3</v>
      </c>
      <c r="O2418" t="str">
        <f t="shared" si="193"/>
        <v/>
      </c>
    </row>
    <row r="2419" spans="1:15" x14ac:dyDescent="0.35">
      <c r="A2419" t="s">
        <v>159</v>
      </c>
      <c r="B2419">
        <v>2009</v>
      </c>
      <c r="C2419">
        <v>2769874</v>
      </c>
      <c r="D2419" s="8">
        <v>0.90401774644851696</v>
      </c>
      <c r="E2419" s="8">
        <v>1.4E-2</v>
      </c>
      <c r="F2419">
        <v>2.2359854453771799</v>
      </c>
      <c r="G2419">
        <f t="shared" si="189"/>
        <v>2.4733866720663071</v>
      </c>
      <c r="H2419">
        <f t="shared" si="191"/>
        <v>1.3263392470018065E-2</v>
      </c>
      <c r="I2419">
        <f t="shared" si="190"/>
        <v>1</v>
      </c>
      <c r="J2419" t="str">
        <f t="shared" si="192"/>
        <v/>
      </c>
      <c r="K2419">
        <v>-2.4344321995973601E-2</v>
      </c>
      <c r="L2419">
        <v>2.2223796695470398E-3</v>
      </c>
      <c r="M2419">
        <v>-1.17000166177749E-2</v>
      </c>
      <c r="N2419">
        <v>-2.2399078588932701E-3</v>
      </c>
      <c r="O2419" t="str">
        <f t="shared" si="193"/>
        <v/>
      </c>
    </row>
    <row r="2420" spans="1:15" x14ac:dyDescent="0.35">
      <c r="A2420" t="s">
        <v>159</v>
      </c>
      <c r="B2420">
        <v>2010</v>
      </c>
      <c r="C2420">
        <v>2791902</v>
      </c>
      <c r="D2420" s="8">
        <v>0.91115814447402999</v>
      </c>
      <c r="E2420" s="8">
        <v>5.0000000000000001E-3</v>
      </c>
      <c r="F2420">
        <v>2.1729090194384901</v>
      </c>
      <c r="G2420">
        <f t="shared" si="189"/>
        <v>2.3847770363648686</v>
      </c>
      <c r="H2420">
        <f t="shared" si="191"/>
        <v>-3.5825225672220795E-2</v>
      </c>
      <c r="I2420">
        <f t="shared" si="190"/>
        <v>0</v>
      </c>
      <c r="J2420">
        <f t="shared" si="192"/>
        <v>3</v>
      </c>
      <c r="K2420">
        <v>-1.17000166177749E-2</v>
      </c>
      <c r="L2420">
        <v>-2.2399078588932701E-3</v>
      </c>
      <c r="M2420">
        <v>-2.0327783532440701E-2</v>
      </c>
      <c r="N2420">
        <v>9.5599098131059896E-4</v>
      </c>
      <c r="O2420">
        <f t="shared" si="193"/>
        <v>8.1076026894152178E-3</v>
      </c>
    </row>
    <row r="2421" spans="1:15" x14ac:dyDescent="0.35">
      <c r="A2421" t="s">
        <v>159</v>
      </c>
      <c r="B2421">
        <v>2011</v>
      </c>
      <c r="C2421">
        <v>2812190</v>
      </c>
      <c r="D2421" s="8">
        <v>0.91173899173736594</v>
      </c>
      <c r="E2421" s="8">
        <v>4.0000000000000001E-3</v>
      </c>
      <c r="F2421">
        <v>2.2194632279426698</v>
      </c>
      <c r="G2421">
        <f t="shared" si="189"/>
        <v>2.4343186460780486</v>
      </c>
      <c r="H2421">
        <f t="shared" si="191"/>
        <v>2.0774105485641847E-2</v>
      </c>
      <c r="I2421">
        <f t="shared" si="190"/>
        <v>1</v>
      </c>
      <c r="J2421">
        <f t="shared" si="192"/>
        <v>4</v>
      </c>
      <c r="K2421">
        <v>-2.0327783532440701E-2</v>
      </c>
      <c r="L2421">
        <v>9.5599098131059896E-4</v>
      </c>
      <c r="M2421">
        <v>-2.1936859041452E-3</v>
      </c>
      <c r="N2421">
        <v>3.2445201650262E-3</v>
      </c>
      <c r="O2421">
        <f t="shared" si="193"/>
        <v>9.4887340441346182E-3</v>
      </c>
    </row>
    <row r="2422" spans="1:15" x14ac:dyDescent="0.35">
      <c r="A2422" t="s">
        <v>159</v>
      </c>
      <c r="B2422">
        <v>2012</v>
      </c>
      <c r="C2422">
        <v>2838855</v>
      </c>
      <c r="D2422" s="8">
        <v>0.92773365974426303</v>
      </c>
      <c r="E2422" s="8">
        <v>8.9999999999999993E-3</v>
      </c>
      <c r="F2422">
        <v>2.2271026352254202</v>
      </c>
      <c r="G2422">
        <f t="shared" si="189"/>
        <v>2.4005840596959027</v>
      </c>
      <c r="H2422">
        <f t="shared" si="191"/>
        <v>-1.3857917260131858E-2</v>
      </c>
      <c r="I2422">
        <f t="shared" si="190"/>
        <v>0</v>
      </c>
      <c r="J2422">
        <f t="shared" si="192"/>
        <v>3</v>
      </c>
      <c r="K2422">
        <v>-2.1936859041452E-3</v>
      </c>
      <c r="L2422">
        <v>3.1589213758706999E-3</v>
      </c>
      <c r="M2422">
        <v>8.9125471562147007E-3</v>
      </c>
      <c r="N2422">
        <v>2.7857758104801E-3</v>
      </c>
      <c r="O2422">
        <f t="shared" si="193"/>
        <v>1.1304567009210597E-2</v>
      </c>
    </row>
    <row r="2423" spans="1:15" x14ac:dyDescent="0.35">
      <c r="A2423" t="s">
        <v>159</v>
      </c>
      <c r="B2423">
        <v>2013</v>
      </c>
      <c r="C2423">
        <v>2872194</v>
      </c>
      <c r="D2423" s="8">
        <v>0.93367671966552701</v>
      </c>
      <c r="E2423" s="8">
        <v>1.0999999999999999E-2</v>
      </c>
      <c r="F2423">
        <v>2.2466055856054701</v>
      </c>
      <c r="G2423">
        <f t="shared" si="189"/>
        <v>2.4061921415479612</v>
      </c>
      <c r="H2423">
        <f t="shared" si="191"/>
        <v>2.3361322547350571E-3</v>
      </c>
      <c r="I2423">
        <f t="shared" si="190"/>
        <v>1</v>
      </c>
      <c r="J2423">
        <f t="shared" si="192"/>
        <v>3</v>
      </c>
      <c r="K2423">
        <v>8.9125471562147007E-3</v>
      </c>
      <c r="L2423">
        <v>2.7857758104801E-3</v>
      </c>
      <c r="M2423">
        <v>8.0073129534720903E-3</v>
      </c>
      <c r="N2423">
        <v>5.9992894530295901E-3</v>
      </c>
      <c r="O2423">
        <f t="shared" si="193"/>
        <v>1.2671250104904197E-2</v>
      </c>
    </row>
    <row r="2424" spans="1:15" x14ac:dyDescent="0.35">
      <c r="A2424" t="s">
        <v>159</v>
      </c>
      <c r="B2424">
        <v>2014</v>
      </c>
      <c r="C2424">
        <v>2916133</v>
      </c>
      <c r="D2424" s="8">
        <v>0.93070226907730103</v>
      </c>
      <c r="E2424" s="8">
        <v>3.2000000000000001E-2</v>
      </c>
      <c r="F2424">
        <v>2.2737328231857798</v>
      </c>
      <c r="G2424">
        <f t="shared" si="189"/>
        <v>2.4430292035711489</v>
      </c>
      <c r="H2424">
        <f t="shared" si="191"/>
        <v>1.5309277005405519E-2</v>
      </c>
      <c r="I2424">
        <f t="shared" si="190"/>
        <v>1</v>
      </c>
      <c r="J2424">
        <f t="shared" si="192"/>
        <v>3</v>
      </c>
      <c r="K2424">
        <v>8.0073129534720903E-3</v>
      </c>
      <c r="L2424">
        <v>5.9992894530295901E-3</v>
      </c>
      <c r="M2424">
        <v>5.7815889060497297E-2</v>
      </c>
      <c r="N2424">
        <v>2.75524370372296E-2</v>
      </c>
      <c r="O2424">
        <f t="shared" si="193"/>
        <v>1.2954369187355078E-2</v>
      </c>
    </row>
    <row r="2425" spans="1:15" x14ac:dyDescent="0.35">
      <c r="A2425" t="s">
        <v>159</v>
      </c>
      <c r="B2425">
        <v>2015</v>
      </c>
      <c r="C2425">
        <v>2969158</v>
      </c>
      <c r="D2425" s="8">
        <v>0.94159430265426602</v>
      </c>
      <c r="E2425" s="8">
        <v>1.4999999999999999E-2</v>
      </c>
      <c r="F2425">
        <v>2.2435305097510101</v>
      </c>
      <c r="G2425">
        <f t="shared" si="189"/>
        <v>2.3826933780575223</v>
      </c>
      <c r="H2425">
        <f t="shared" si="191"/>
        <v>-2.4697136417947574E-2</v>
      </c>
      <c r="I2425">
        <f t="shared" si="190"/>
        <v>0</v>
      </c>
      <c r="J2425">
        <f t="shared" si="192"/>
        <v>3</v>
      </c>
      <c r="K2425">
        <v>5.7815889060497297E-2</v>
      </c>
      <c r="L2425">
        <v>2.75524370372296E-2</v>
      </c>
      <c r="M2425">
        <v>2.1015204757452E-2</v>
      </c>
      <c r="N2425">
        <v>7.8616477549075994E-3</v>
      </c>
      <c r="O2425">
        <f t="shared" si="193"/>
        <v>1.0653704777359978E-2</v>
      </c>
    </row>
    <row r="2426" spans="1:15" x14ac:dyDescent="0.35">
      <c r="A2426" t="s">
        <v>159</v>
      </c>
      <c r="B2426">
        <v>2016</v>
      </c>
      <c r="C2426">
        <v>3027638</v>
      </c>
      <c r="D2426" s="8">
        <v>0.93210846185684204</v>
      </c>
      <c r="E2426" s="8">
        <v>1.9E-2</v>
      </c>
      <c r="F2426">
        <v>2.2758475917794199</v>
      </c>
      <c r="G2426">
        <f t="shared" si="189"/>
        <v>2.4416124141237074</v>
      </c>
      <c r="H2426">
        <f t="shared" si="191"/>
        <v>2.4727913632856424E-2</v>
      </c>
      <c r="I2426">
        <f t="shared" si="190"/>
        <v>1</v>
      </c>
      <c r="J2426">
        <f t="shared" si="192"/>
        <v>3</v>
      </c>
      <c r="K2426">
        <v>2.1015204757452E-2</v>
      </c>
      <c r="L2426">
        <v>7.8616477549075994E-3</v>
      </c>
      <c r="M2426">
        <v>1.51132584512234E-2</v>
      </c>
      <c r="N2426">
        <v>1.2323684990406101E-2</v>
      </c>
      <c r="O2426">
        <f t="shared" si="193"/>
        <v>3.1042942032218059E-2</v>
      </c>
    </row>
    <row r="2427" spans="1:15" x14ac:dyDescent="0.35">
      <c r="A2427" t="s">
        <v>159</v>
      </c>
      <c r="B2427">
        <v>2017</v>
      </c>
      <c r="C2427">
        <v>3077673</v>
      </c>
      <c r="D2427" s="8">
        <v>0.93424057960510298</v>
      </c>
      <c r="E2427" s="8">
        <v>2.1000000000000001E-2</v>
      </c>
      <c r="F2427">
        <v>2.26846214004413</v>
      </c>
      <c r="G2427">
        <f t="shared" si="189"/>
        <v>2.4281348825620412</v>
      </c>
      <c r="H2427">
        <f t="shared" si="191"/>
        <v>-5.5199307980677847E-3</v>
      </c>
      <c r="I2427">
        <f t="shared" si="190"/>
        <v>0</v>
      </c>
      <c r="J2427">
        <f t="shared" si="192"/>
        <v>3</v>
      </c>
      <c r="K2427">
        <v>1.51132584512234E-2</v>
      </c>
      <c r="L2427">
        <v>1.2323684990406101E-2</v>
      </c>
      <c r="M2427">
        <v>1.87542142570018E-2</v>
      </c>
      <c r="N2427">
        <v>9.6191912889481007E-3</v>
      </c>
      <c r="O2427">
        <f t="shared" si="193"/>
        <v>2.6130286976695137E-2</v>
      </c>
    </row>
    <row r="2428" spans="1:15" x14ac:dyDescent="0.35">
      <c r="A2428" t="s">
        <v>159</v>
      </c>
      <c r="B2428">
        <v>2018</v>
      </c>
      <c r="C2428">
        <v>3118283</v>
      </c>
      <c r="D2428" s="8">
        <v>0.92607516050338701</v>
      </c>
      <c r="E2428" s="8">
        <v>4.1000000000000002E-2</v>
      </c>
      <c r="F2428">
        <v>2.2334615660761399</v>
      </c>
      <c r="G2428">
        <f t="shared" si="189"/>
        <v>2.4117497815858666</v>
      </c>
      <c r="H2428">
        <f t="shared" si="191"/>
        <v>-6.7480192693768482E-3</v>
      </c>
      <c r="I2428">
        <f t="shared" si="190"/>
        <v>0</v>
      </c>
      <c r="J2428">
        <f t="shared" si="192"/>
        <v>2</v>
      </c>
      <c r="K2428">
        <v>1.87542142570018E-2</v>
      </c>
      <c r="L2428">
        <v>9.6191912889481007E-3</v>
      </c>
      <c r="M2428">
        <v>2.5216079473495499E-2</v>
      </c>
      <c r="N2428">
        <v>7.4148848652839904E-3</v>
      </c>
      <c r="O2428">
        <f t="shared" si="193"/>
        <v>1.8103490024805137E-2</v>
      </c>
    </row>
    <row r="2429" spans="1:15" x14ac:dyDescent="0.35">
      <c r="A2429" t="s">
        <v>159</v>
      </c>
      <c r="B2429">
        <v>2019</v>
      </c>
      <c r="C2429">
        <v>3154971</v>
      </c>
      <c r="D2429" s="8">
        <v>0.93442994356155396</v>
      </c>
      <c r="E2429" s="8">
        <v>2.1000000000000001E-2</v>
      </c>
      <c r="F2429">
        <v>2.1756186541250901</v>
      </c>
      <c r="G2429">
        <f t="shared" si="189"/>
        <v>2.3282843931914035</v>
      </c>
      <c r="H2429">
        <f t="shared" si="191"/>
        <v>-3.4607814223405753E-2</v>
      </c>
      <c r="I2429">
        <f t="shared" si="190"/>
        <v>0</v>
      </c>
      <c r="J2429" t="str">
        <f t="shared" si="192"/>
        <v/>
      </c>
      <c r="K2429">
        <v>2.5216079473495499E-2</v>
      </c>
      <c r="L2429">
        <v>7.4148848652839904E-3</v>
      </c>
      <c r="M2429">
        <v>3.4898305416107098E-2</v>
      </c>
      <c r="N2429">
        <v>1.6049114987254101E-2</v>
      </c>
      <c r="O2429">
        <f t="shared" si="193"/>
        <v>1.5411341004073684E-2</v>
      </c>
    </row>
    <row r="2430" spans="1:15" x14ac:dyDescent="0.35">
      <c r="A2430" t="s">
        <v>159</v>
      </c>
      <c r="B2430">
        <v>2020</v>
      </c>
      <c r="C2430">
        <v>3198518</v>
      </c>
      <c r="D2430" s="8">
        <v>0.93915766477584794</v>
      </c>
      <c r="E2430" s="8">
        <v>3.4000000000000002E-2</v>
      </c>
      <c r="F2430">
        <v>2.0282567336042701</v>
      </c>
      <c r="G2430">
        <f t="shared" si="189"/>
        <v>2.1596551992027466</v>
      </c>
      <c r="H2430">
        <f t="shared" si="191"/>
        <v>-7.2426373033199321E-2</v>
      </c>
      <c r="I2430">
        <f t="shared" si="190"/>
        <v>0</v>
      </c>
      <c r="J2430" t="str">
        <f t="shared" si="192"/>
        <v/>
      </c>
      <c r="K2430">
        <v>3.4898305416107098E-2</v>
      </c>
      <c r="L2430">
        <v>1.6049114987254101E-2</v>
      </c>
      <c r="M2430">
        <v>0.153397446751595</v>
      </c>
      <c r="N2430">
        <v>0.109807834029198</v>
      </c>
      <c r="O2430">
        <f t="shared" si="193"/>
        <v>1.29680932499469E-2</v>
      </c>
    </row>
    <row r="2431" spans="1:15" x14ac:dyDescent="0.35">
      <c r="A2431" t="s">
        <v>159</v>
      </c>
      <c r="B2431">
        <v>2021</v>
      </c>
      <c r="C2431">
        <v>3248773</v>
      </c>
      <c r="D2431" s="8">
        <v>0.95384776592254605</v>
      </c>
      <c r="E2431" s="8">
        <v>3.2000000000000001E-2</v>
      </c>
      <c r="F2431">
        <v>2.14000388419417</v>
      </c>
      <c r="G2431">
        <f t="shared" si="189"/>
        <v>2.2435486674588927</v>
      </c>
      <c r="H2431">
        <f t="shared" si="191"/>
        <v>3.8845769587254386E-2</v>
      </c>
      <c r="I2431">
        <f t="shared" si="190"/>
        <v>1</v>
      </c>
      <c r="J2431" t="str">
        <f t="shared" si="192"/>
        <v/>
      </c>
      <c r="K2431">
        <v>0.153397446751595</v>
      </c>
      <c r="L2431">
        <v>0.109807834029198</v>
      </c>
      <c r="M2431">
        <v>-4.4343097060918803E-2</v>
      </c>
      <c r="N2431">
        <v>-1.22395902872085E-2</v>
      </c>
      <c r="O2431">
        <f t="shared" si="193"/>
        <v>-7.0825926028192116E-3</v>
      </c>
    </row>
    <row r="2432" spans="1:15" x14ac:dyDescent="0.35">
      <c r="A2432" t="s">
        <v>159</v>
      </c>
      <c r="B2432">
        <v>2022</v>
      </c>
      <c r="C2432">
        <v>3322632</v>
      </c>
      <c r="D2432" s="8">
        <v>0.92432147264480602</v>
      </c>
      <c r="E2432" s="8">
        <v>3.9E-2</v>
      </c>
      <c r="F2432">
        <v>2.2205585560464498</v>
      </c>
      <c r="G2432">
        <f t="shared" si="189"/>
        <v>2.4023660834067369</v>
      </c>
      <c r="H2432">
        <f t="shared" si="191"/>
        <v>7.0788487119258781E-2</v>
      </c>
      <c r="I2432">
        <f t="shared" si="190"/>
        <v>1</v>
      </c>
      <c r="J2432" t="str">
        <f t="shared" si="192"/>
        <v/>
      </c>
      <c r="K2432">
        <v>-4.4343097060918803E-2</v>
      </c>
      <c r="L2432">
        <v>-1.1760886758565899E-2</v>
      </c>
      <c r="M2432">
        <v>-5.0073721244931202E-2</v>
      </c>
      <c r="N2432">
        <v>-3.05147934705019E-2</v>
      </c>
      <c r="O2432">
        <f t="shared" si="193"/>
        <v>-5.4083561990410272E-3</v>
      </c>
    </row>
    <row r="2433" spans="1:15" x14ac:dyDescent="0.35">
      <c r="A2433" t="s">
        <v>160</v>
      </c>
      <c r="B2433">
        <v>2006</v>
      </c>
      <c r="C2433">
        <v>614292.9375</v>
      </c>
      <c r="D2433" s="8">
        <v>0.91230827569961503</v>
      </c>
      <c r="E2433" s="8">
        <v>1.6E-2</v>
      </c>
      <c r="F2433">
        <v>2.06270675949242</v>
      </c>
      <c r="G2433">
        <f t="shared" si="189"/>
        <v>2.26097560927046</v>
      </c>
      <c r="H2433">
        <f t="shared" si="191"/>
        <v>-5.8854674611362512E-2</v>
      </c>
      <c r="I2433">
        <f t="shared" si="190"/>
        <v>0</v>
      </c>
      <c r="J2433" t="str">
        <f t="shared" si="192"/>
        <v/>
      </c>
      <c r="K2433">
        <v>-1.27713348418474E-2</v>
      </c>
      <c r="L2433">
        <v>-1.91343743354081E-2</v>
      </c>
      <c r="M2433">
        <v>-6.9676161706447998E-3</v>
      </c>
      <c r="N2433">
        <v>-6.04586023837329E-3</v>
      </c>
      <c r="O2433" t="str">
        <f t="shared" si="193"/>
        <v/>
      </c>
    </row>
    <row r="2434" spans="1:15" x14ac:dyDescent="0.35">
      <c r="A2434" t="s">
        <v>160</v>
      </c>
      <c r="B2434">
        <v>2007</v>
      </c>
      <c r="C2434">
        <v>613162.1875</v>
      </c>
      <c r="D2434" s="8">
        <v>0.91775029897689797</v>
      </c>
      <c r="E2434" s="8">
        <v>0</v>
      </c>
      <c r="F2434">
        <v>2.0492618573971302</v>
      </c>
      <c r="G2434">
        <f t="shared" si="189"/>
        <v>2.2329187576202743</v>
      </c>
      <c r="H2434">
        <f t="shared" si="191"/>
        <v>-1.2409179265422843E-2</v>
      </c>
      <c r="I2434">
        <f t="shared" si="190"/>
        <v>0</v>
      </c>
      <c r="J2434" t="str">
        <f t="shared" si="192"/>
        <v/>
      </c>
      <c r="K2434">
        <v>-6.9676161706447998E-3</v>
      </c>
      <c r="L2434">
        <v>-6.04586023837329E-3</v>
      </c>
      <c r="M2434">
        <v>-2.56779280602931E-2</v>
      </c>
      <c r="N2434">
        <v>3.8328762166201999E-3</v>
      </c>
      <c r="O2434" t="str">
        <f t="shared" si="193"/>
        <v/>
      </c>
    </row>
    <row r="2435" spans="1:15" x14ac:dyDescent="0.35">
      <c r="A2435" t="s">
        <v>160</v>
      </c>
      <c r="B2435">
        <v>2008</v>
      </c>
      <c r="C2435">
        <v>611682.5</v>
      </c>
      <c r="D2435" s="8">
        <v>0.91469889879226696</v>
      </c>
      <c r="E2435" s="8">
        <v>8.9999999999999993E-3</v>
      </c>
      <c r="F2435">
        <v>2.1107444757526301</v>
      </c>
      <c r="G2435">
        <f t="shared" ref="G2435:G2498" si="194">F2435/D2435</f>
        <v>2.3075839257482169</v>
      </c>
      <c r="H2435">
        <f t="shared" si="191"/>
        <v>3.3438372029046315E-2</v>
      </c>
      <c r="I2435">
        <f t="shared" ref="I2435:I2498" si="195">IF(H2435&gt;0,1,0)</f>
        <v>1</v>
      </c>
      <c r="J2435" t="str">
        <f t="shared" si="192"/>
        <v/>
      </c>
      <c r="K2435">
        <v>-2.56779280602931E-2</v>
      </c>
      <c r="L2435">
        <v>3.8328762166201999E-3</v>
      </c>
      <c r="M2435">
        <v>-1.7012296900153202E-2</v>
      </c>
      <c r="N2435">
        <v>9.5544047653674403E-3</v>
      </c>
      <c r="O2435" t="str">
        <f t="shared" si="193"/>
        <v/>
      </c>
    </row>
    <row r="2436" spans="1:15" x14ac:dyDescent="0.35">
      <c r="A2436" t="s">
        <v>160</v>
      </c>
      <c r="B2436">
        <v>2009</v>
      </c>
      <c r="C2436">
        <v>610627.3125</v>
      </c>
      <c r="D2436" s="8">
        <v>0.90299063920974698</v>
      </c>
      <c r="E2436" s="8">
        <v>1.2E-2</v>
      </c>
      <c r="F2436">
        <v>2.1465266892671799</v>
      </c>
      <c r="G2436">
        <f t="shared" si="194"/>
        <v>2.3771306102859655</v>
      </c>
      <c r="H2436">
        <f t="shared" ref="H2436:H2499" si="196">+G2436/G2435-1</f>
        <v>3.0138312094195596E-2</v>
      </c>
      <c r="I2436">
        <f t="shared" si="195"/>
        <v>1</v>
      </c>
      <c r="J2436" t="str">
        <f t="shared" si="192"/>
        <v/>
      </c>
      <c r="K2436">
        <v>-1.7012296900153202E-2</v>
      </c>
      <c r="L2436">
        <v>9.5544047653674403E-3</v>
      </c>
      <c r="M2436">
        <v>-1.3328517027199199E-2</v>
      </c>
      <c r="N2436">
        <v>-3.8684082683175798E-3</v>
      </c>
      <c r="O2436" t="str">
        <f t="shared" si="193"/>
        <v/>
      </c>
    </row>
    <row r="2437" spans="1:15" x14ac:dyDescent="0.35">
      <c r="A2437" t="s">
        <v>160</v>
      </c>
      <c r="B2437">
        <v>2010</v>
      </c>
      <c r="C2437">
        <v>610011.75</v>
      </c>
      <c r="D2437" s="8">
        <v>0.91109281778335605</v>
      </c>
      <c r="E2437" s="8">
        <v>0</v>
      </c>
      <c r="F2437">
        <v>2.1578771216830002</v>
      </c>
      <c r="G2437">
        <f t="shared" si="194"/>
        <v>2.3684492727458974</v>
      </c>
      <c r="H2437">
        <f t="shared" si="196"/>
        <v>-3.6520237897335051E-3</v>
      </c>
      <c r="I2437">
        <f t="shared" si="195"/>
        <v>0</v>
      </c>
      <c r="J2437">
        <f t="shared" si="192"/>
        <v>2</v>
      </c>
      <c r="K2437">
        <v>-1.3328517027199199E-2</v>
      </c>
      <c r="L2437">
        <v>-3.8684082683175798E-3</v>
      </c>
      <c r="M2437">
        <v>-2.5962553329765801E-2</v>
      </c>
      <c r="N2437">
        <v>-4.6787788160144997E-3</v>
      </c>
      <c r="O2437">
        <f t="shared" si="193"/>
        <v>-3.18755917251108E-3</v>
      </c>
    </row>
    <row r="2438" spans="1:15" x14ac:dyDescent="0.35">
      <c r="A2438" t="s">
        <v>160</v>
      </c>
      <c r="B2438">
        <v>2011</v>
      </c>
      <c r="C2438">
        <v>609245.8125</v>
      </c>
      <c r="D2438" s="8">
        <v>0.915277719497681</v>
      </c>
      <c r="E2438" s="8">
        <v>1.2999999999999999E-2</v>
      </c>
      <c r="F2438">
        <v>2.2914541937752699</v>
      </c>
      <c r="G2438">
        <f t="shared" si="194"/>
        <v>2.5035616457842504</v>
      </c>
      <c r="H2438">
        <f t="shared" si="196"/>
        <v>5.7046766672654403E-2</v>
      </c>
      <c r="I2438">
        <f t="shared" si="195"/>
        <v>1</v>
      </c>
      <c r="J2438">
        <f t="shared" si="192"/>
        <v>3</v>
      </c>
      <c r="K2438">
        <v>-2.5962553329765801E-2</v>
      </c>
      <c r="L2438">
        <v>-4.6787788160144997E-3</v>
      </c>
      <c r="M2438">
        <v>-9.7676797807217004E-3</v>
      </c>
      <c r="N2438">
        <v>-4.3294737115502999E-3</v>
      </c>
      <c r="O2438">
        <f t="shared" si="193"/>
        <v>-3.9598799310624402E-3</v>
      </c>
    </row>
    <row r="2439" spans="1:15" x14ac:dyDescent="0.35">
      <c r="A2439" t="s">
        <v>160</v>
      </c>
      <c r="B2439">
        <v>2012</v>
      </c>
      <c r="C2439">
        <v>608790.375</v>
      </c>
      <c r="D2439" s="8">
        <v>0.92314356565475497</v>
      </c>
      <c r="E2439" s="8">
        <v>5.0000000000000001E-3</v>
      </c>
      <c r="F2439">
        <v>2.1324131839010598</v>
      </c>
      <c r="G2439">
        <f t="shared" si="194"/>
        <v>2.3099475132977938</v>
      </c>
      <c r="H2439">
        <f t="shared" si="196"/>
        <v>-7.7335476365234967E-2</v>
      </c>
      <c r="I2439">
        <f t="shared" si="195"/>
        <v>0</v>
      </c>
      <c r="J2439">
        <f t="shared" ref="J2439:J2502" si="197">IF(AND(B2439&gt;=2010,B2439&lt;=2018),SUM(I2435:I2439),"")</f>
        <v>3</v>
      </c>
      <c r="K2439">
        <v>-9.7676797807217004E-3</v>
      </c>
      <c r="L2439">
        <v>-4.4150725007057997E-3</v>
      </c>
      <c r="M2439">
        <v>2.5123959779738999E-3</v>
      </c>
      <c r="N2439">
        <v>-3.6143753677606999E-3</v>
      </c>
      <c r="O2439">
        <f t="shared" ref="O2439:O2502" si="198">IF(B2439&gt;=2010,AVERAGE(N2439:N2443),"")</f>
        <v>-2.2284743376075797E-3</v>
      </c>
    </row>
    <row r="2440" spans="1:15" x14ac:dyDescent="0.35">
      <c r="A2440" t="s">
        <v>160</v>
      </c>
      <c r="B2440">
        <v>2013</v>
      </c>
      <c r="C2440">
        <v>608830.0625</v>
      </c>
      <c r="D2440" s="8">
        <v>0.92523354291915905</v>
      </c>
      <c r="E2440" s="8">
        <v>0</v>
      </c>
      <c r="F2440">
        <v>2.0607028753993601</v>
      </c>
      <c r="G2440">
        <f t="shared" si="194"/>
        <v>2.227224565267854</v>
      </c>
      <c r="H2440">
        <f t="shared" si="196"/>
        <v>-3.5811613707118606E-2</v>
      </c>
      <c r="I2440">
        <f t="shared" si="195"/>
        <v>0</v>
      </c>
      <c r="J2440">
        <f t="shared" si="197"/>
        <v>2</v>
      </c>
      <c r="K2440">
        <v>2.5123959779738999E-3</v>
      </c>
      <c r="L2440">
        <v>-3.6143753677606999E-3</v>
      </c>
      <c r="M2440">
        <v>-9.0263557471334903E-3</v>
      </c>
      <c r="N2440">
        <v>-1.1034379247575899E-2</v>
      </c>
      <c r="O2440">
        <f t="shared" si="198"/>
        <v>-1.6881749965249986E-3</v>
      </c>
    </row>
    <row r="2441" spans="1:15" x14ac:dyDescent="0.35">
      <c r="A2441" t="s">
        <v>160</v>
      </c>
      <c r="B2441">
        <v>2014</v>
      </c>
      <c r="C2441">
        <v>608338.8125</v>
      </c>
      <c r="D2441" s="8">
        <v>0.92777186632156405</v>
      </c>
      <c r="E2441" s="8">
        <v>0</v>
      </c>
      <c r="F2441">
        <v>2.1295070460558199</v>
      </c>
      <c r="G2441">
        <f t="shared" si="194"/>
        <v>2.2952916803770989</v>
      </c>
      <c r="H2441">
        <f t="shared" si="196"/>
        <v>3.0561406411687475E-2</v>
      </c>
      <c r="I2441">
        <f t="shared" si="195"/>
        <v>1</v>
      </c>
      <c r="J2441">
        <f t="shared" si="197"/>
        <v>2</v>
      </c>
      <c r="K2441">
        <v>-9.0263557471334903E-3</v>
      </c>
      <c r="L2441">
        <v>-1.1034379247575899E-2</v>
      </c>
      <c r="M2441">
        <v>3.7982663303613599E-2</v>
      </c>
      <c r="N2441">
        <v>7.719211280346E-3</v>
      </c>
      <c r="O2441">
        <f t="shared" si="198"/>
        <v>-1.4665249735116587E-3</v>
      </c>
    </row>
    <row r="2442" spans="1:15" x14ac:dyDescent="0.35">
      <c r="A2442" t="s">
        <v>160</v>
      </c>
      <c r="B2442">
        <v>2015</v>
      </c>
      <c r="C2442">
        <v>607922.1875</v>
      </c>
      <c r="D2442" s="8">
        <v>0.92934513092041005</v>
      </c>
      <c r="E2442" s="8">
        <v>6.0000000000000001E-3</v>
      </c>
      <c r="F2442">
        <v>2.1217440366109699</v>
      </c>
      <c r="G2442">
        <f t="shared" si="194"/>
        <v>2.2830528358281978</v>
      </c>
      <c r="H2442">
        <f t="shared" si="196"/>
        <v>-5.3321521850723252E-3</v>
      </c>
      <c r="I2442">
        <f t="shared" si="195"/>
        <v>0</v>
      </c>
      <c r="J2442">
        <f t="shared" si="197"/>
        <v>2</v>
      </c>
      <c r="K2442">
        <v>3.7982663303613599E-2</v>
      </c>
      <c r="L2442">
        <v>7.719211280346E-3</v>
      </c>
      <c r="M2442">
        <v>4.6131743937731003E-3</v>
      </c>
      <c r="N2442">
        <v>-8.5403826087712999E-3</v>
      </c>
      <c r="O2442">
        <f t="shared" si="198"/>
        <v>-1.2647442519664585E-3</v>
      </c>
    </row>
    <row r="2443" spans="1:15" x14ac:dyDescent="0.35">
      <c r="A2443" t="s">
        <v>160</v>
      </c>
      <c r="B2443">
        <v>2016</v>
      </c>
      <c r="C2443">
        <v>607998</v>
      </c>
      <c r="D2443" s="8">
        <v>0.92521667480468806</v>
      </c>
      <c r="E2443" s="8">
        <v>0</v>
      </c>
      <c r="F2443">
        <v>2.1763530441006802</v>
      </c>
      <c r="G2443">
        <f t="shared" si="194"/>
        <v>2.3522631004895209</v>
      </c>
      <c r="H2443">
        <f t="shared" si="196"/>
        <v>3.0314788854291397E-2</v>
      </c>
      <c r="I2443">
        <f t="shared" si="195"/>
        <v>1</v>
      </c>
      <c r="J2443">
        <f t="shared" si="197"/>
        <v>2</v>
      </c>
      <c r="K2443">
        <v>4.6131743937731003E-3</v>
      </c>
      <c r="L2443">
        <v>-8.5403826087712999E-3</v>
      </c>
      <c r="M2443">
        <v>7.1171277165412898E-3</v>
      </c>
      <c r="N2443">
        <v>4.3275542557240001E-3</v>
      </c>
      <c r="O2443">
        <f t="shared" si="198"/>
        <v>-3.1460385769605582E-3</v>
      </c>
    </row>
    <row r="2444" spans="1:15" x14ac:dyDescent="0.35">
      <c r="A2444" t="s">
        <v>160</v>
      </c>
      <c r="B2444">
        <v>2017</v>
      </c>
      <c r="C2444">
        <v>607230.3125</v>
      </c>
      <c r="D2444" s="8">
        <v>0.92946749925613403</v>
      </c>
      <c r="E2444" s="8">
        <v>2.4E-2</v>
      </c>
      <c r="F2444">
        <v>2.1434017980846001</v>
      </c>
      <c r="G2444">
        <f t="shared" si="194"/>
        <v>2.3060535196765835</v>
      </c>
      <c r="H2444">
        <f t="shared" si="196"/>
        <v>-1.9644733109710821E-2</v>
      </c>
      <c r="I2444">
        <f t="shared" si="195"/>
        <v>0</v>
      </c>
      <c r="J2444">
        <f t="shared" si="197"/>
        <v>2</v>
      </c>
      <c r="K2444">
        <v>7.1171277165412898E-3</v>
      </c>
      <c r="L2444">
        <v>4.3275542557240001E-3</v>
      </c>
      <c r="M2444">
        <v>8.2221443057059994E-3</v>
      </c>
      <c r="N2444">
        <v>-9.1287866234779304E-4</v>
      </c>
      <c r="O2444">
        <f t="shared" si="198"/>
        <v>-3.646976128220558E-3</v>
      </c>
    </row>
    <row r="2445" spans="1:15" x14ac:dyDescent="0.35">
      <c r="A2445" t="s">
        <v>160</v>
      </c>
      <c r="B2445">
        <v>2018</v>
      </c>
      <c r="C2445">
        <v>606502.375</v>
      </c>
      <c r="D2445" s="8">
        <v>0.93481647968292203</v>
      </c>
      <c r="E2445" s="8">
        <v>1.0999999999999999E-2</v>
      </c>
      <c r="F2445">
        <v>2.20270552377771</v>
      </c>
      <c r="G2445">
        <f t="shared" si="194"/>
        <v>2.3562972750810296</v>
      </c>
      <c r="H2445">
        <f t="shared" si="196"/>
        <v>2.1787766405132025E-2</v>
      </c>
      <c r="I2445">
        <f t="shared" si="195"/>
        <v>1</v>
      </c>
      <c r="J2445">
        <f t="shared" si="197"/>
        <v>3</v>
      </c>
      <c r="K2445">
        <v>8.2221443057059994E-3</v>
      </c>
      <c r="L2445">
        <v>-9.1287866234779304E-4</v>
      </c>
      <c r="M2445">
        <v>7.8750654757022993E-3</v>
      </c>
      <c r="N2445">
        <v>-9.9261291325092003E-3</v>
      </c>
      <c r="O2445">
        <f t="shared" si="198"/>
        <v>-3.0661489814519994E-3</v>
      </c>
    </row>
    <row r="2446" spans="1:15" x14ac:dyDescent="0.35">
      <c r="A2446" t="s">
        <v>160</v>
      </c>
      <c r="B2446">
        <v>2019</v>
      </c>
      <c r="C2446">
        <v>606270.8125</v>
      </c>
      <c r="D2446" s="8">
        <v>0.93888628482818604</v>
      </c>
      <c r="E2446" s="8">
        <v>4.0000000000000001E-3</v>
      </c>
      <c r="F2446">
        <v>2.1409162947825</v>
      </c>
      <c r="G2446">
        <f t="shared" si="194"/>
        <v>2.2802722005618419</v>
      </c>
      <c r="H2446">
        <f t="shared" si="196"/>
        <v>-3.2264636267753333E-2</v>
      </c>
      <c r="I2446">
        <f t="shared" si="195"/>
        <v>0</v>
      </c>
      <c r="J2446" t="str">
        <f t="shared" si="197"/>
        <v/>
      </c>
      <c r="K2446">
        <v>7.8750654757022993E-3</v>
      </c>
      <c r="L2446">
        <v>-9.9261291325092003E-3</v>
      </c>
      <c r="M2446">
        <v>2.7577305316925E-2</v>
      </c>
      <c r="N2446">
        <v>8.728114888072E-3</v>
      </c>
      <c r="O2446">
        <f t="shared" si="198"/>
        <v>8.5111949592828055E-4</v>
      </c>
    </row>
    <row r="2447" spans="1:15" x14ac:dyDescent="0.35">
      <c r="A2447" t="s">
        <v>160</v>
      </c>
      <c r="B2447">
        <v>2020</v>
      </c>
      <c r="C2447">
        <v>604907.5</v>
      </c>
      <c r="D2447" s="8">
        <v>0.94801557064056396</v>
      </c>
      <c r="E2447" s="8">
        <v>1.6E-2</v>
      </c>
      <c r="F2447">
        <v>2.0167763194514001</v>
      </c>
      <c r="G2447">
        <f t="shared" si="194"/>
        <v>2.1273662394476136</v>
      </c>
      <c r="H2447">
        <f t="shared" si="196"/>
        <v>-6.705601246928039E-2</v>
      </c>
      <c r="I2447">
        <f t="shared" si="195"/>
        <v>0</v>
      </c>
      <c r="J2447" t="str">
        <f t="shared" si="197"/>
        <v/>
      </c>
      <c r="K2447">
        <v>2.7577305316925E-2</v>
      </c>
      <c r="L2447">
        <v>8.728114888072E-3</v>
      </c>
      <c r="M2447">
        <v>2.5642758488655101E-2</v>
      </c>
      <c r="N2447">
        <v>-1.7946854233741798E-2</v>
      </c>
      <c r="O2447">
        <f t="shared" si="198"/>
        <v>-1.6626778058707748E-3</v>
      </c>
    </row>
    <row r="2448" spans="1:15" x14ac:dyDescent="0.35">
      <c r="A2448" t="s">
        <v>160</v>
      </c>
      <c r="B2448">
        <v>2021</v>
      </c>
      <c r="C2448">
        <v>601912.125</v>
      </c>
      <c r="D2448" s="8">
        <v>0.95190519094467196</v>
      </c>
      <c r="E2448" s="8">
        <v>1.4999999999999999E-2</v>
      </c>
      <c r="F2448">
        <v>1.9415396058014101</v>
      </c>
      <c r="G2448">
        <f t="shared" si="194"/>
        <v>2.0396354849947018</v>
      </c>
      <c r="H2448">
        <f t="shared" si="196"/>
        <v>-4.1239140128355056E-2</v>
      </c>
      <c r="I2448">
        <f t="shared" si="195"/>
        <v>0</v>
      </c>
      <c r="J2448" t="str">
        <f t="shared" si="197"/>
        <v/>
      </c>
      <c r="K2448">
        <v>2.5642758488655101E-2</v>
      </c>
      <c r="L2448">
        <v>-1.7946854233741798E-2</v>
      </c>
      <c r="M2448">
        <v>-3.02806402742863E-2</v>
      </c>
      <c r="N2448">
        <v>1.822866499424E-3</v>
      </c>
      <c r="O2448">
        <f t="shared" si="198"/>
        <v>2.3899068124592342E-3</v>
      </c>
    </row>
    <row r="2449" spans="1:15" x14ac:dyDescent="0.35">
      <c r="A2449" t="s">
        <v>160</v>
      </c>
      <c r="B2449">
        <v>2022</v>
      </c>
      <c r="C2449">
        <v>600935.75</v>
      </c>
      <c r="D2449" s="8">
        <v>0.93894296884536699</v>
      </c>
      <c r="E2449" s="8">
        <v>0.01</v>
      </c>
      <c r="F2449">
        <v>1.9811486446929301</v>
      </c>
      <c r="G2449">
        <f t="shared" si="194"/>
        <v>2.1099776135809183</v>
      </c>
      <c r="H2449">
        <f t="shared" si="196"/>
        <v>3.4487597957435501E-2</v>
      </c>
      <c r="I2449">
        <f t="shared" si="195"/>
        <v>1</v>
      </c>
      <c r="J2449" t="str">
        <f t="shared" si="197"/>
        <v/>
      </c>
      <c r="K2449">
        <v>-3.02806402742863E-2</v>
      </c>
      <c r="L2449">
        <v>2.3015700280666E-3</v>
      </c>
      <c r="M2449">
        <v>-1.7567670702934302E-2</v>
      </c>
      <c r="N2449">
        <v>1.9912570714950002E-3</v>
      </c>
      <c r="O2449">
        <f t="shared" si="198"/>
        <v>3.8289926480501906E-3</v>
      </c>
    </row>
    <row r="2450" spans="1:15" x14ac:dyDescent="0.35">
      <c r="A2450" t="s">
        <v>161</v>
      </c>
      <c r="B2450">
        <v>2006</v>
      </c>
      <c r="C2450">
        <v>362881.59375</v>
      </c>
      <c r="D2450" s="8">
        <v>0.95150321722030595</v>
      </c>
      <c r="E2450" s="8">
        <v>0</v>
      </c>
      <c r="F2450">
        <v>2.3092588386705999</v>
      </c>
      <c r="G2450">
        <f t="shared" si="194"/>
        <v>2.426958518770753</v>
      </c>
      <c r="H2450">
        <f t="shared" si="196"/>
        <v>0.15022951103821192</v>
      </c>
      <c r="I2450">
        <f t="shared" si="195"/>
        <v>1</v>
      </c>
      <c r="J2450" t="str">
        <f t="shared" si="197"/>
        <v/>
      </c>
      <c r="K2450">
        <v>3.9520688652991904E-3</v>
      </c>
      <c r="L2450">
        <v>-2.4109706282616E-3</v>
      </c>
      <c r="M2450">
        <v>8.7384573221206997E-3</v>
      </c>
      <c r="N2450">
        <v>9.6602132543922008E-3</v>
      </c>
      <c r="O2450" t="str">
        <f t="shared" si="198"/>
        <v/>
      </c>
    </row>
    <row r="2451" spans="1:15" x14ac:dyDescent="0.35">
      <c r="A2451" t="s">
        <v>161</v>
      </c>
      <c r="B2451">
        <v>2007</v>
      </c>
      <c r="C2451">
        <v>363343.40625</v>
      </c>
      <c r="D2451" s="8">
        <v>0.95484012365341198</v>
      </c>
      <c r="E2451" s="8">
        <v>0</v>
      </c>
      <c r="F2451">
        <v>2.3431945018602698</v>
      </c>
      <c r="G2451">
        <f t="shared" si="194"/>
        <v>2.4540176348001927</v>
      </c>
      <c r="H2451">
        <f t="shared" si="196"/>
        <v>1.1149393704159793E-2</v>
      </c>
      <c r="I2451">
        <f t="shared" si="195"/>
        <v>1</v>
      </c>
      <c r="J2451" t="str">
        <f t="shared" si="197"/>
        <v/>
      </c>
      <c r="K2451">
        <v>8.7384573221206997E-3</v>
      </c>
      <c r="L2451">
        <v>9.6602132543922008E-3</v>
      </c>
      <c r="M2451">
        <v>-3.3351675897836601E-2</v>
      </c>
      <c r="N2451">
        <v>-3.8408716209232798E-3</v>
      </c>
      <c r="O2451" t="str">
        <f t="shared" si="198"/>
        <v/>
      </c>
    </row>
    <row r="2452" spans="1:15" x14ac:dyDescent="0.35">
      <c r="A2452" t="s">
        <v>161</v>
      </c>
      <c r="B2452">
        <v>2008</v>
      </c>
      <c r="C2452">
        <v>364451.6875</v>
      </c>
      <c r="D2452" s="8">
        <v>0.95591288805007901</v>
      </c>
      <c r="E2452" s="8">
        <v>0</v>
      </c>
      <c r="F2452">
        <v>2.27295037049391</v>
      </c>
      <c r="G2452">
        <f t="shared" si="194"/>
        <v>2.377779815408068</v>
      </c>
      <c r="H2452">
        <f t="shared" si="196"/>
        <v>-3.1066532819896353E-2</v>
      </c>
      <c r="I2452">
        <f t="shared" si="195"/>
        <v>0</v>
      </c>
      <c r="J2452" t="str">
        <f t="shared" si="197"/>
        <v/>
      </c>
      <c r="K2452">
        <v>-3.3351675897836601E-2</v>
      </c>
      <c r="L2452">
        <v>-3.8408716209232798E-3</v>
      </c>
      <c r="M2452">
        <v>-2.4250632807612301E-2</v>
      </c>
      <c r="N2452">
        <v>2.3160688579082502E-3</v>
      </c>
      <c r="O2452" t="str">
        <f t="shared" si="198"/>
        <v/>
      </c>
    </row>
    <row r="2453" spans="1:15" x14ac:dyDescent="0.35">
      <c r="A2453" t="s">
        <v>161</v>
      </c>
      <c r="B2453">
        <v>2009</v>
      </c>
      <c r="C2453">
        <v>366116.90625</v>
      </c>
      <c r="D2453" s="8">
        <v>0.95582216978073098</v>
      </c>
      <c r="E2453" s="8">
        <v>-1E-3</v>
      </c>
      <c r="F2453">
        <v>2.23016575100102</v>
      </c>
      <c r="G2453">
        <f t="shared" si="194"/>
        <v>2.3332433809446247</v>
      </c>
      <c r="H2453">
        <f t="shared" si="196"/>
        <v>-1.873026012536827E-2</v>
      </c>
      <c r="I2453">
        <f t="shared" si="195"/>
        <v>0</v>
      </c>
      <c r="J2453" t="str">
        <f t="shared" si="197"/>
        <v/>
      </c>
      <c r="K2453">
        <v>-2.4250632807612301E-2</v>
      </c>
      <c r="L2453">
        <v>2.3160688579082502E-3</v>
      </c>
      <c r="M2453">
        <v>-4.4181308150290002E-4</v>
      </c>
      <c r="N2453">
        <v>9.0182956773787806E-3</v>
      </c>
      <c r="O2453" t="str">
        <f t="shared" si="198"/>
        <v/>
      </c>
    </row>
    <row r="2454" spans="1:15" x14ac:dyDescent="0.35">
      <c r="A2454" t="s">
        <v>161</v>
      </c>
      <c r="B2454">
        <v>2010</v>
      </c>
      <c r="C2454">
        <v>368639.3125</v>
      </c>
      <c r="D2454" s="8">
        <v>0.95631450414657604</v>
      </c>
      <c r="E2454" s="8">
        <v>0</v>
      </c>
      <c r="F2454">
        <v>2.3829391255182801</v>
      </c>
      <c r="G2454">
        <f t="shared" si="194"/>
        <v>2.4917943994218064</v>
      </c>
      <c r="H2454">
        <f t="shared" si="196"/>
        <v>6.7953056150100943E-2</v>
      </c>
      <c r="I2454">
        <f t="shared" si="195"/>
        <v>1</v>
      </c>
      <c r="J2454">
        <f t="shared" si="197"/>
        <v>3</v>
      </c>
      <c r="K2454">
        <v>-4.4181308150290002E-4</v>
      </c>
      <c r="L2454">
        <v>9.0182956773787806E-3</v>
      </c>
      <c r="M2454">
        <v>-1.6962870366871399E-2</v>
      </c>
      <c r="N2454">
        <v>4.3209041468799001E-3</v>
      </c>
      <c r="O2454">
        <f t="shared" si="198"/>
        <v>1.1875508353111983E-4</v>
      </c>
    </row>
    <row r="2455" spans="1:15" x14ac:dyDescent="0.35">
      <c r="A2455" t="s">
        <v>161</v>
      </c>
      <c r="B2455">
        <v>2011</v>
      </c>
      <c r="C2455">
        <v>370637.90625</v>
      </c>
      <c r="D2455" s="8">
        <v>0.95817071199417103</v>
      </c>
      <c r="E2455" s="8">
        <v>0</v>
      </c>
      <c r="F2455">
        <v>2.3431112533723502</v>
      </c>
      <c r="G2455">
        <f t="shared" si="194"/>
        <v>2.4454006202045178</v>
      </c>
      <c r="H2455">
        <f t="shared" si="196"/>
        <v>-1.8618622478665858E-2</v>
      </c>
      <c r="I2455">
        <f t="shared" si="195"/>
        <v>0</v>
      </c>
      <c r="J2455">
        <f t="shared" si="197"/>
        <v>2</v>
      </c>
      <c r="K2455">
        <v>-1.6962870366871399E-2</v>
      </c>
      <c r="L2455">
        <v>4.3209041468799001E-3</v>
      </c>
      <c r="M2455">
        <v>-8.5395623967052005E-3</v>
      </c>
      <c r="N2455">
        <v>-3.1013563275338E-3</v>
      </c>
      <c r="O2455">
        <f t="shared" si="198"/>
        <v>-2.4096336215734598E-3</v>
      </c>
    </row>
    <row r="2456" spans="1:15" x14ac:dyDescent="0.35">
      <c r="A2456" t="s">
        <v>161</v>
      </c>
      <c r="B2456">
        <v>2012</v>
      </c>
      <c r="C2456">
        <v>373794.90625</v>
      </c>
      <c r="D2456" s="8">
        <v>0.95820796489715598</v>
      </c>
      <c r="E2456" s="8">
        <v>5.0000000000000001E-3</v>
      </c>
      <c r="F2456">
        <v>2.3169224680065001</v>
      </c>
      <c r="G2456">
        <f t="shared" si="194"/>
        <v>2.4179745450719294</v>
      </c>
      <c r="H2456">
        <f t="shared" si="196"/>
        <v>-1.1215370972750716E-2</v>
      </c>
      <c r="I2456">
        <f t="shared" si="195"/>
        <v>0</v>
      </c>
      <c r="J2456">
        <f t="shared" si="197"/>
        <v>1</v>
      </c>
      <c r="K2456">
        <v>-8.5395623967052005E-3</v>
      </c>
      <c r="L2456">
        <v>-3.1869551166892902E-3</v>
      </c>
      <c r="M2456">
        <v>7.5095264613628003E-3</v>
      </c>
      <c r="N2456">
        <v>1.3827551156282E-3</v>
      </c>
      <c r="O2456">
        <f t="shared" si="198"/>
        <v>-4.5010035857558197E-3</v>
      </c>
    </row>
    <row r="2457" spans="1:15" x14ac:dyDescent="0.35">
      <c r="A2457" t="s">
        <v>161</v>
      </c>
      <c r="B2457">
        <v>2013</v>
      </c>
      <c r="C2457">
        <v>376261.40625</v>
      </c>
      <c r="D2457" s="8">
        <v>0.96003717184066795</v>
      </c>
      <c r="E2457" s="8">
        <v>4.0000000000000001E-3</v>
      </c>
      <c r="F2457">
        <v>2.5490956617057998</v>
      </c>
      <c r="G2457">
        <f t="shared" si="194"/>
        <v>2.6552051696273895</v>
      </c>
      <c r="H2457">
        <f t="shared" si="196"/>
        <v>9.8111299409234576E-2</v>
      </c>
      <c r="I2457">
        <f t="shared" si="195"/>
        <v>1</v>
      </c>
      <c r="J2457">
        <f t="shared" si="197"/>
        <v>2</v>
      </c>
      <c r="K2457">
        <v>7.5095264613628003E-3</v>
      </c>
      <c r="L2457">
        <v>1.3827551156282E-3</v>
      </c>
      <c r="M2457">
        <v>-5.9061235189439905E-4</v>
      </c>
      <c r="N2457">
        <v>-2.5986358523369E-3</v>
      </c>
      <c r="O2457">
        <f t="shared" si="198"/>
        <v>-4.9487205222248799E-3</v>
      </c>
    </row>
    <row r="2458" spans="1:15" x14ac:dyDescent="0.35">
      <c r="A2458" t="s">
        <v>161</v>
      </c>
      <c r="B2458">
        <v>2014</v>
      </c>
      <c r="C2458">
        <v>377697.21875</v>
      </c>
      <c r="D2458" s="8">
        <v>0.95299202203750599</v>
      </c>
      <c r="E2458" s="8">
        <v>2.9000000000000001E-2</v>
      </c>
      <c r="F2458">
        <v>2.4156076418111398</v>
      </c>
      <c r="G2458">
        <f t="shared" si="194"/>
        <v>2.5347616621664342</v>
      </c>
      <c r="H2458">
        <f t="shared" si="196"/>
        <v>-4.5361280867744602E-2</v>
      </c>
      <c r="I2458">
        <f t="shared" si="195"/>
        <v>0</v>
      </c>
      <c r="J2458">
        <f t="shared" si="197"/>
        <v>2</v>
      </c>
      <c r="K2458">
        <v>-5.9061235189439905E-4</v>
      </c>
      <c r="L2458">
        <v>-2.5986358523369E-3</v>
      </c>
      <c r="M2458">
        <v>3.0853560358285799E-2</v>
      </c>
      <c r="N2458">
        <v>5.9010833501819905E-4</v>
      </c>
      <c r="O2458">
        <f t="shared" si="198"/>
        <v>-3.34453675895926E-3</v>
      </c>
    </row>
    <row r="2459" spans="1:15" x14ac:dyDescent="0.35">
      <c r="A2459" t="s">
        <v>161</v>
      </c>
      <c r="B2459">
        <v>2015</v>
      </c>
      <c r="C2459">
        <v>378977.6875</v>
      </c>
      <c r="D2459" s="8">
        <v>0.94536858797073398</v>
      </c>
      <c r="E2459" s="8">
        <v>2.5999999999999999E-2</v>
      </c>
      <c r="F2459">
        <v>2.3272635624724298</v>
      </c>
      <c r="G2459">
        <f t="shared" si="194"/>
        <v>2.461752582099201</v>
      </c>
      <c r="H2459">
        <f t="shared" si="196"/>
        <v>-2.8803134100124028E-2</v>
      </c>
      <c r="I2459">
        <f t="shared" si="195"/>
        <v>0</v>
      </c>
      <c r="J2459">
        <f t="shared" si="197"/>
        <v>1</v>
      </c>
      <c r="K2459">
        <v>3.0853560358285799E-2</v>
      </c>
      <c r="L2459">
        <v>5.9010833501819905E-4</v>
      </c>
      <c r="M2459">
        <v>4.8325176239013903E-3</v>
      </c>
      <c r="N2459">
        <v>-8.3210393786429995E-3</v>
      </c>
      <c r="O2459">
        <f t="shared" si="198"/>
        <v>-4.5461064204573402E-3</v>
      </c>
    </row>
    <row r="2460" spans="1:15" x14ac:dyDescent="0.35">
      <c r="A2460" t="s">
        <v>161</v>
      </c>
      <c r="B2460">
        <v>2016</v>
      </c>
      <c r="C2460">
        <v>380855.71875</v>
      </c>
      <c r="D2460" s="8">
        <v>0.94222348928451505</v>
      </c>
      <c r="E2460" s="8">
        <v>3.7999999999999999E-2</v>
      </c>
      <c r="F2460">
        <v>2.3860278418310701</v>
      </c>
      <c r="G2460">
        <f t="shared" si="194"/>
        <v>2.5323374644829957</v>
      </c>
      <c r="H2460">
        <f t="shared" si="196"/>
        <v>2.8672614338685953E-2</v>
      </c>
      <c r="I2460">
        <f t="shared" si="195"/>
        <v>1</v>
      </c>
      <c r="J2460">
        <f t="shared" si="197"/>
        <v>2</v>
      </c>
      <c r="K2460">
        <v>4.8325176239013903E-3</v>
      </c>
      <c r="L2460">
        <v>-8.3210393786429995E-3</v>
      </c>
      <c r="M2460">
        <v>-1.07686326876283E-2</v>
      </c>
      <c r="N2460">
        <v>-1.3558206148445599E-2</v>
      </c>
      <c r="O2460">
        <f t="shared" si="198"/>
        <v>-6.4507042989134806E-3</v>
      </c>
    </row>
    <row r="2461" spans="1:15" x14ac:dyDescent="0.35">
      <c r="A2461" t="s">
        <v>161</v>
      </c>
      <c r="B2461">
        <v>2017</v>
      </c>
      <c r="C2461">
        <v>383283.125</v>
      </c>
      <c r="D2461" s="8">
        <v>0.95589447021484397</v>
      </c>
      <c r="E2461" s="8">
        <v>2.1999999999999999E-2</v>
      </c>
      <c r="F2461">
        <v>2.39506250524372</v>
      </c>
      <c r="G2461">
        <f t="shared" si="194"/>
        <v>2.5055720896736782</v>
      </c>
      <c r="H2461">
        <f t="shared" si="196"/>
        <v>-1.0569434439411052E-2</v>
      </c>
      <c r="I2461">
        <f t="shared" si="195"/>
        <v>0</v>
      </c>
      <c r="J2461">
        <f t="shared" si="197"/>
        <v>2</v>
      </c>
      <c r="K2461">
        <v>-1.07686326876283E-2</v>
      </c>
      <c r="L2461">
        <v>-1.3558206148445599E-2</v>
      </c>
      <c r="M2461">
        <v>8.2791934013366902E-3</v>
      </c>
      <c r="N2461">
        <v>-8.5582956671709904E-4</v>
      </c>
      <c r="O2461">
        <f t="shared" si="198"/>
        <v>1.7299424856900996E-3</v>
      </c>
    </row>
    <row r="2462" spans="1:15" x14ac:dyDescent="0.35">
      <c r="A2462" t="s">
        <v>161</v>
      </c>
      <c r="B2462">
        <v>2018</v>
      </c>
      <c r="C2462">
        <v>385240.5</v>
      </c>
      <c r="D2462" s="8">
        <v>0.95725816488266002</v>
      </c>
      <c r="E2462" s="8">
        <v>1.2999999999999999E-2</v>
      </c>
      <c r="F2462">
        <v>2.3569745103087598</v>
      </c>
      <c r="G2462">
        <f t="shared" si="194"/>
        <v>2.4622140575815052</v>
      </c>
      <c r="H2462">
        <f t="shared" si="196"/>
        <v>-1.7304643626446126E-2</v>
      </c>
      <c r="I2462">
        <f t="shared" si="195"/>
        <v>0</v>
      </c>
      <c r="J2462">
        <f t="shared" si="197"/>
        <v>1</v>
      </c>
      <c r="K2462">
        <v>8.2791934013366902E-3</v>
      </c>
      <c r="L2462">
        <v>-8.5582956671709904E-4</v>
      </c>
      <c r="M2462">
        <v>2.3223477572202701E-2</v>
      </c>
      <c r="N2462">
        <v>5.4222829639911999E-3</v>
      </c>
      <c r="O2462">
        <f t="shared" si="198"/>
        <v>2.3144975304603193E-3</v>
      </c>
    </row>
    <row r="2463" spans="1:15" x14ac:dyDescent="0.35">
      <c r="A2463" t="s">
        <v>161</v>
      </c>
      <c r="B2463">
        <v>2019</v>
      </c>
      <c r="C2463">
        <v>386574</v>
      </c>
      <c r="D2463" s="8">
        <v>0.96674156188964799</v>
      </c>
      <c r="E2463" s="8">
        <v>3.0000000000000001E-3</v>
      </c>
      <c r="F2463">
        <v>2.2332720699614201</v>
      </c>
      <c r="G2463">
        <f t="shared" si="194"/>
        <v>2.3101024699880903</v>
      </c>
      <c r="H2463">
        <f t="shared" si="196"/>
        <v>-6.1778376711416283E-2</v>
      </c>
      <c r="I2463">
        <f t="shared" si="195"/>
        <v>0</v>
      </c>
      <c r="J2463" t="str">
        <f t="shared" si="197"/>
        <v/>
      </c>
      <c r="K2463">
        <v>2.3223477572202701E-2</v>
      </c>
      <c r="L2463">
        <v>5.4222829639911999E-3</v>
      </c>
      <c r="M2463">
        <v>1.34314504563807E-2</v>
      </c>
      <c r="N2463">
        <v>-5.4177399724722004E-3</v>
      </c>
      <c r="O2463">
        <f t="shared" si="198"/>
        <v>1.8013795837759576E-3</v>
      </c>
    </row>
    <row r="2464" spans="1:15" x14ac:dyDescent="0.35">
      <c r="A2464" t="s">
        <v>161</v>
      </c>
      <c r="B2464">
        <v>2020</v>
      </c>
      <c r="C2464">
        <v>385414.625</v>
      </c>
      <c r="D2464" s="8">
        <v>0.97057187557220503</v>
      </c>
      <c r="E2464" s="8">
        <v>2.9000000000000001E-2</v>
      </c>
      <c r="F2464">
        <v>2.15088477366255</v>
      </c>
      <c r="G2464">
        <f t="shared" si="194"/>
        <v>2.2161004535542368</v>
      </c>
      <c r="H2464">
        <f t="shared" si="196"/>
        <v>-4.0691708551931938E-2</v>
      </c>
      <c r="I2464">
        <f t="shared" si="195"/>
        <v>0</v>
      </c>
      <c r="J2464" t="str">
        <f t="shared" si="197"/>
        <v/>
      </c>
      <c r="K2464">
        <v>1.34314504563807E-2</v>
      </c>
      <c r="L2464">
        <v>-5.4177399724722004E-3</v>
      </c>
      <c r="M2464">
        <v>2.5745583951473101E-2</v>
      </c>
      <c r="N2464">
        <v>-1.7844028770923701E-2</v>
      </c>
      <c r="O2464">
        <f t="shared" si="198"/>
        <v>1.8280135933309439E-3</v>
      </c>
    </row>
    <row r="2465" spans="1:15" x14ac:dyDescent="0.35">
      <c r="A2465" t="s">
        <v>161</v>
      </c>
      <c r="B2465">
        <v>2021</v>
      </c>
      <c r="C2465">
        <v>382129.59375</v>
      </c>
      <c r="D2465" s="8">
        <v>0.92916005849838301</v>
      </c>
      <c r="E2465" s="8">
        <v>6.9000000000000006E-2</v>
      </c>
      <c r="F2465">
        <v>2.2758085577487099</v>
      </c>
      <c r="G2465">
        <f t="shared" si="194"/>
        <v>2.4493181093326886</v>
      </c>
      <c r="H2465">
        <f t="shared" si="196"/>
        <v>0.10523785390883855</v>
      </c>
      <c r="I2465">
        <f t="shared" si="195"/>
        <v>1</v>
      </c>
      <c r="J2465" t="str">
        <f t="shared" si="197"/>
        <v/>
      </c>
      <c r="K2465">
        <v>2.5745583951473101E-2</v>
      </c>
      <c r="L2465">
        <v>-1.7844028770923701E-2</v>
      </c>
      <c r="M2465">
        <v>-4.7584789991379E-3</v>
      </c>
      <c r="N2465">
        <v>2.73450277745723E-2</v>
      </c>
      <c r="O2465">
        <f t="shared" si="198"/>
        <v>5.404935264959913E-3</v>
      </c>
    </row>
    <row r="2466" spans="1:15" x14ac:dyDescent="0.35">
      <c r="A2466" t="s">
        <v>161</v>
      </c>
      <c r="B2466">
        <v>2022</v>
      </c>
      <c r="C2466">
        <v>383128.375</v>
      </c>
      <c r="D2466" s="8">
        <v>0.97027939558029197</v>
      </c>
      <c r="E2466" s="8">
        <v>2E-3</v>
      </c>
      <c r="F2466">
        <v>2.2960431029488402</v>
      </c>
      <c r="G2466">
        <f t="shared" si="194"/>
        <v>2.3663731430426314</v>
      </c>
      <c r="H2466">
        <f t="shared" si="196"/>
        <v>-3.3864513545223129E-2</v>
      </c>
      <c r="I2466">
        <f t="shared" si="195"/>
        <v>0</v>
      </c>
      <c r="J2466" t="str">
        <f t="shared" si="197"/>
        <v/>
      </c>
      <c r="K2466">
        <v>-4.7584789991379E-3</v>
      </c>
      <c r="L2466">
        <v>2.7823731303214898E-2</v>
      </c>
      <c r="M2466">
        <v>-1.7491982117295302E-2</v>
      </c>
      <c r="N2466">
        <v>2.0669456571340001E-3</v>
      </c>
      <c r="O2466">
        <f t="shared" si="198"/>
        <v>-3.5823276266456024E-4</v>
      </c>
    </row>
    <row r="2467" spans="1:15" x14ac:dyDescent="0.35">
      <c r="A2467" t="s">
        <v>162</v>
      </c>
      <c r="B2467">
        <v>2006</v>
      </c>
      <c r="C2467">
        <v>944611.5625</v>
      </c>
      <c r="D2467" s="8">
        <v>0.93765270709991499</v>
      </c>
      <c r="E2467" s="8">
        <v>2E-3</v>
      </c>
      <c r="F2467">
        <v>2.2105454430539702</v>
      </c>
      <c r="G2467">
        <f t="shared" si="194"/>
        <v>2.3575311267334906</v>
      </c>
      <c r="H2467">
        <f t="shared" si="196"/>
        <v>-3.7365266484439275E-3</v>
      </c>
      <c r="I2467">
        <f t="shared" si="195"/>
        <v>0</v>
      </c>
      <c r="J2467" t="str">
        <f t="shared" si="197"/>
        <v/>
      </c>
      <c r="K2467">
        <v>7.7190451622008898E-3</v>
      </c>
      <c r="L2467">
        <v>1.3560056686401001E-3</v>
      </c>
      <c r="M2467">
        <v>1.9349372982978899E-3</v>
      </c>
      <c r="N2467">
        <v>2.85669323056939E-3</v>
      </c>
      <c r="O2467" t="str">
        <f t="shared" si="198"/>
        <v/>
      </c>
    </row>
    <row r="2468" spans="1:15" x14ac:dyDescent="0.35">
      <c r="A2468" t="s">
        <v>162</v>
      </c>
      <c r="B2468">
        <v>2007</v>
      </c>
      <c r="C2468">
        <v>958839.875</v>
      </c>
      <c r="D2468" s="8">
        <v>0.92300206422805797</v>
      </c>
      <c r="E2468" s="8">
        <v>3.0000000000000001E-3</v>
      </c>
      <c r="F2468">
        <v>2.1564117564295202</v>
      </c>
      <c r="G2468">
        <f t="shared" si="194"/>
        <v>2.3363022034333261</v>
      </c>
      <c r="H2468">
        <f t="shared" si="196"/>
        <v>-9.00472662245555E-3</v>
      </c>
      <c r="I2468">
        <f t="shared" si="195"/>
        <v>0</v>
      </c>
      <c r="J2468" t="str">
        <f t="shared" si="197"/>
        <v/>
      </c>
      <c r="K2468">
        <v>1.9349372982978899E-3</v>
      </c>
      <c r="L2468">
        <v>2.85669323056939E-3</v>
      </c>
      <c r="M2468">
        <v>-3.47953742016106E-2</v>
      </c>
      <c r="N2468">
        <v>-5.2845699246972704E-3</v>
      </c>
      <c r="O2468" t="str">
        <f t="shared" si="198"/>
        <v/>
      </c>
    </row>
    <row r="2469" spans="1:15" x14ac:dyDescent="0.35">
      <c r="A2469" t="s">
        <v>162</v>
      </c>
      <c r="B2469">
        <v>2008</v>
      </c>
      <c r="C2469">
        <v>969769.6875</v>
      </c>
      <c r="D2469" s="8">
        <v>0.899918913841248</v>
      </c>
      <c r="E2469" s="8">
        <v>5.0000000000000001E-3</v>
      </c>
      <c r="F2469">
        <v>2.17680553497188</v>
      </c>
      <c r="G2469">
        <f t="shared" si="194"/>
        <v>2.4188907483678954</v>
      </c>
      <c r="H2469">
        <f t="shared" si="196"/>
        <v>3.5350112161517844E-2</v>
      </c>
      <c r="I2469">
        <f t="shared" si="195"/>
        <v>1</v>
      </c>
      <c r="J2469" t="str">
        <f t="shared" si="197"/>
        <v/>
      </c>
      <c r="K2469">
        <v>-3.47953742016106E-2</v>
      </c>
      <c r="L2469">
        <v>-5.2845699246972704E-3</v>
      </c>
      <c r="M2469">
        <v>-2.6526122078299501E-2</v>
      </c>
      <c r="N2469">
        <v>4.0579587221149099E-5</v>
      </c>
      <c r="O2469" t="str">
        <f t="shared" si="198"/>
        <v/>
      </c>
    </row>
    <row r="2470" spans="1:15" x14ac:dyDescent="0.35">
      <c r="A2470" t="s">
        <v>162</v>
      </c>
      <c r="B2470">
        <v>2009</v>
      </c>
      <c r="C2470">
        <v>977065.5</v>
      </c>
      <c r="D2470" s="8">
        <v>0.88779026269912698</v>
      </c>
      <c r="E2470" s="8">
        <v>2E-3</v>
      </c>
      <c r="F2470">
        <v>2.2274278622401402</v>
      </c>
      <c r="G2470">
        <f t="shared" si="194"/>
        <v>2.5089573019962463</v>
      </c>
      <c r="H2470">
        <f t="shared" si="196"/>
        <v>3.7234651333104551E-2</v>
      </c>
      <c r="I2470">
        <f t="shared" si="195"/>
        <v>1</v>
      </c>
      <c r="J2470" t="str">
        <f t="shared" si="197"/>
        <v/>
      </c>
      <c r="K2470">
        <v>-2.6526122078299501E-2</v>
      </c>
      <c r="L2470">
        <v>4.0579587221149099E-5</v>
      </c>
      <c r="M2470">
        <v>-1.09309211224317E-2</v>
      </c>
      <c r="N2470">
        <v>-1.47081236355007E-3</v>
      </c>
      <c r="O2470" t="str">
        <f t="shared" si="198"/>
        <v/>
      </c>
    </row>
    <row r="2471" spans="1:15" x14ac:dyDescent="0.35">
      <c r="A2471" t="s">
        <v>162</v>
      </c>
      <c r="B2471">
        <v>2010</v>
      </c>
      <c r="C2471">
        <v>982638.6875</v>
      </c>
      <c r="D2471" s="8">
        <v>0.89389896392822299</v>
      </c>
      <c r="E2471" s="8">
        <v>1E-3</v>
      </c>
      <c r="F2471">
        <v>2.2600454564947001</v>
      </c>
      <c r="G2471">
        <f t="shared" si="194"/>
        <v>2.5283007897928091</v>
      </c>
      <c r="H2471">
        <f t="shared" si="196"/>
        <v>7.709771617544936E-3</v>
      </c>
      <c r="I2471">
        <f t="shared" si="195"/>
        <v>1</v>
      </c>
      <c r="J2471">
        <f t="shared" si="197"/>
        <v>3</v>
      </c>
      <c r="K2471">
        <v>-1.09309211224317E-2</v>
      </c>
      <c r="L2471">
        <v>-1.47081236355007E-3</v>
      </c>
      <c r="M2471">
        <v>-2.0894741982221601E-2</v>
      </c>
      <c r="N2471">
        <v>3.8903253152969898E-4</v>
      </c>
      <c r="O2471">
        <f t="shared" si="198"/>
        <v>-3.91336260363456E-3</v>
      </c>
    </row>
    <row r="2472" spans="1:15" x14ac:dyDescent="0.35">
      <c r="A2472" t="s">
        <v>162</v>
      </c>
      <c r="B2472">
        <v>2011</v>
      </c>
      <c r="C2472">
        <v>987303.3125</v>
      </c>
      <c r="D2472" s="8">
        <v>0.89641988277435303</v>
      </c>
      <c r="E2472" s="8">
        <v>8.9999999999999993E-3</v>
      </c>
      <c r="F2472">
        <v>2.3556235190389501</v>
      </c>
      <c r="G2472">
        <f t="shared" si="194"/>
        <v>2.6278126626871217</v>
      </c>
      <c r="H2472">
        <f t="shared" si="196"/>
        <v>3.9359190684929324E-2</v>
      </c>
      <c r="I2472">
        <f t="shared" si="195"/>
        <v>1</v>
      </c>
      <c r="J2472">
        <f t="shared" si="197"/>
        <v>4</v>
      </c>
      <c r="K2472">
        <v>-2.0894741982221601E-2</v>
      </c>
      <c r="L2472">
        <v>3.8903253152969898E-4</v>
      </c>
      <c r="M2472">
        <v>-1.68559656515717E-2</v>
      </c>
      <c r="N2472">
        <v>-1.1417759582400299E-2</v>
      </c>
      <c r="O2472">
        <f t="shared" si="198"/>
        <v>1.3579912483696054E-4</v>
      </c>
    </row>
    <row r="2473" spans="1:15" x14ac:dyDescent="0.35">
      <c r="A2473" t="s">
        <v>162</v>
      </c>
      <c r="B2473">
        <v>2012</v>
      </c>
      <c r="C2473">
        <v>990459.4375</v>
      </c>
      <c r="D2473" s="8">
        <v>0.90360969305038497</v>
      </c>
      <c r="E2473" s="8">
        <v>5.0000000000000001E-3</v>
      </c>
      <c r="F2473">
        <v>2.2346747556454298</v>
      </c>
      <c r="G2473">
        <f t="shared" si="194"/>
        <v>2.4730531033832381</v>
      </c>
      <c r="H2473">
        <f t="shared" si="196"/>
        <v>-5.8892919385520881E-2</v>
      </c>
      <c r="I2473">
        <f t="shared" si="195"/>
        <v>0</v>
      </c>
      <c r="J2473">
        <f t="shared" si="197"/>
        <v>4</v>
      </c>
      <c r="K2473">
        <v>-1.68559656515717E-2</v>
      </c>
      <c r="L2473">
        <v>-1.15033583715558E-2</v>
      </c>
      <c r="M2473">
        <v>7.0467019826173996E-3</v>
      </c>
      <c r="N2473">
        <v>9.19930636882799E-4</v>
      </c>
      <c r="O2473">
        <f t="shared" si="198"/>
        <v>6.6242031753063601E-3</v>
      </c>
    </row>
    <row r="2474" spans="1:15" x14ac:dyDescent="0.35">
      <c r="A2474" t="s">
        <v>162</v>
      </c>
      <c r="B2474">
        <v>2013</v>
      </c>
      <c r="C2474">
        <v>993667.75</v>
      </c>
      <c r="D2474" s="8">
        <v>0.89945256710052501</v>
      </c>
      <c r="E2474" s="8">
        <v>1.2E-2</v>
      </c>
      <c r="F2474">
        <v>2.2700369359242001</v>
      </c>
      <c r="G2474">
        <f t="shared" si="194"/>
        <v>2.5237983846573369</v>
      </c>
      <c r="H2474">
        <f t="shared" si="196"/>
        <v>2.0519284929497505E-2</v>
      </c>
      <c r="I2474">
        <f t="shared" si="195"/>
        <v>1</v>
      </c>
      <c r="J2474">
        <f t="shared" si="197"/>
        <v>4</v>
      </c>
      <c r="K2474">
        <v>7.0467019826173996E-3</v>
      </c>
      <c r="L2474">
        <v>9.19930636882799E-4</v>
      </c>
      <c r="M2474">
        <v>-8.1754673123359701E-3</v>
      </c>
      <c r="N2474">
        <v>-1.01834908127784E-2</v>
      </c>
      <c r="O2474">
        <f t="shared" si="198"/>
        <v>1.2112890928983719E-2</v>
      </c>
    </row>
    <row r="2475" spans="1:15" x14ac:dyDescent="0.35">
      <c r="A2475" t="s">
        <v>162</v>
      </c>
      <c r="B2475">
        <v>2014</v>
      </c>
      <c r="C2475">
        <v>998826.125</v>
      </c>
      <c r="D2475" s="8">
        <v>0.90014272928237904</v>
      </c>
      <c r="E2475" s="8">
        <v>1.2E-2</v>
      </c>
      <c r="F2475">
        <v>2.2764953219876198</v>
      </c>
      <c r="G2475">
        <f t="shared" si="194"/>
        <v>2.5290381713159098</v>
      </c>
      <c r="H2475">
        <f t="shared" si="196"/>
        <v>2.0761510469404776E-3</v>
      </c>
      <c r="I2475">
        <f t="shared" si="195"/>
        <v>1</v>
      </c>
      <c r="J2475">
        <f t="shared" si="197"/>
        <v>4</v>
      </c>
      <c r="K2475">
        <v>-8.1754673123359701E-3</v>
      </c>
      <c r="L2475">
        <v>-1.01834908127784E-2</v>
      </c>
      <c r="M2475">
        <v>3.09889262318611E-2</v>
      </c>
      <c r="N2475">
        <v>7.2547420859340301E-4</v>
      </c>
      <c r="O2475">
        <f t="shared" si="198"/>
        <v>1.8321307748556139E-2</v>
      </c>
    </row>
    <row r="2476" spans="1:15" x14ac:dyDescent="0.35">
      <c r="A2476" t="s">
        <v>162</v>
      </c>
      <c r="B2476">
        <v>2015</v>
      </c>
      <c r="C2476">
        <v>1002831</v>
      </c>
      <c r="D2476" s="8">
        <v>0.90851044654846203</v>
      </c>
      <c r="E2476" s="8">
        <v>6.0000000000000001E-3</v>
      </c>
      <c r="F2476">
        <v>2.27225462272254</v>
      </c>
      <c r="G2476">
        <f t="shared" si="194"/>
        <v>2.5010770446890316</v>
      </c>
      <c r="H2476">
        <f t="shared" si="196"/>
        <v>-1.1056031871725214E-2</v>
      </c>
      <c r="I2476">
        <f t="shared" si="195"/>
        <v>0</v>
      </c>
      <c r="J2476">
        <f t="shared" si="197"/>
        <v>3</v>
      </c>
      <c r="K2476">
        <v>3.09889262318611E-2</v>
      </c>
      <c r="L2476">
        <v>7.2547420859340301E-4</v>
      </c>
      <c r="M2476">
        <v>3.37883981764317E-2</v>
      </c>
      <c r="N2476">
        <v>2.0634841173887301E-2</v>
      </c>
      <c r="O2476">
        <f t="shared" si="198"/>
        <v>2.4307217076420782E-2</v>
      </c>
    </row>
    <row r="2477" spans="1:15" x14ac:dyDescent="0.35">
      <c r="A2477" t="s">
        <v>162</v>
      </c>
      <c r="B2477">
        <v>2016</v>
      </c>
      <c r="C2477">
        <v>1009541</v>
      </c>
      <c r="D2477" s="8">
        <v>0.91851907968521096</v>
      </c>
      <c r="E2477" s="8">
        <v>6.0000000000000001E-3</v>
      </c>
      <c r="F2477">
        <v>2.2578956540389798</v>
      </c>
      <c r="G2477">
        <f t="shared" si="194"/>
        <v>2.4581913473292154</v>
      </c>
      <c r="H2477">
        <f t="shared" si="196"/>
        <v>-1.7146891756446569E-2</v>
      </c>
      <c r="I2477">
        <f t="shared" si="195"/>
        <v>0</v>
      </c>
      <c r="J2477">
        <f t="shared" si="197"/>
        <v>2</v>
      </c>
      <c r="K2477">
        <v>3.37883981764317E-2</v>
      </c>
      <c r="L2477">
        <v>2.0634841173887301E-2</v>
      </c>
      <c r="M2477">
        <v>2.3813834130763999E-2</v>
      </c>
      <c r="N2477">
        <v>2.1024260669946698E-2</v>
      </c>
      <c r="O2477">
        <f t="shared" si="198"/>
        <v>3.3931010589003517E-2</v>
      </c>
    </row>
    <row r="2478" spans="1:15" x14ac:dyDescent="0.35">
      <c r="A2478" t="s">
        <v>162</v>
      </c>
      <c r="B2478">
        <v>2017</v>
      </c>
      <c r="C2478">
        <v>1018135</v>
      </c>
      <c r="D2478" s="8">
        <v>0.93057495355606101</v>
      </c>
      <c r="E2478" s="8">
        <v>0</v>
      </c>
      <c r="F2478">
        <v>2.2651596527117301</v>
      </c>
      <c r="G2478">
        <f t="shared" si="194"/>
        <v>2.434150676477743</v>
      </c>
      <c r="H2478">
        <f t="shared" si="196"/>
        <v>-9.7798207928736502E-3</v>
      </c>
      <c r="I2478">
        <f t="shared" si="195"/>
        <v>0</v>
      </c>
      <c r="J2478">
        <f t="shared" si="197"/>
        <v>2</v>
      </c>
      <c r="K2478">
        <v>2.3813834130763999E-2</v>
      </c>
      <c r="L2478">
        <v>2.1024260669946698E-2</v>
      </c>
      <c r="M2478">
        <v>3.7498392373323398E-2</v>
      </c>
      <c r="N2478">
        <v>2.8363369405269599E-2</v>
      </c>
      <c r="O2478">
        <f t="shared" si="198"/>
        <v>2.8191650286316837E-2</v>
      </c>
    </row>
    <row r="2479" spans="1:15" x14ac:dyDescent="0.35">
      <c r="A2479" t="s">
        <v>162</v>
      </c>
      <c r="B2479">
        <v>2018</v>
      </c>
      <c r="C2479">
        <v>1027405</v>
      </c>
      <c r="D2479" s="8">
        <v>0.93539535999298096</v>
      </c>
      <c r="E2479" s="8">
        <v>4.0000000000000001E-3</v>
      </c>
      <c r="F2479">
        <v>2.2676168270335899</v>
      </c>
      <c r="G2479">
        <f t="shared" si="194"/>
        <v>2.4242335637100076</v>
      </c>
      <c r="H2479">
        <f t="shared" si="196"/>
        <v>-4.0741573081604088E-3</v>
      </c>
      <c r="I2479">
        <f t="shared" si="195"/>
        <v>0</v>
      </c>
      <c r="J2479">
        <f t="shared" si="197"/>
        <v>1</v>
      </c>
      <c r="K2479">
        <v>3.7498392373323398E-2</v>
      </c>
      <c r="L2479">
        <v>2.8363369405269599E-2</v>
      </c>
      <c r="M2479">
        <v>3.86597878932953E-2</v>
      </c>
      <c r="N2479">
        <v>2.0858593285083701E-2</v>
      </c>
      <c r="O2479">
        <f t="shared" si="198"/>
        <v>2.0642068237066241E-2</v>
      </c>
    </row>
    <row r="2480" spans="1:15" x14ac:dyDescent="0.35">
      <c r="A2480" t="s">
        <v>162</v>
      </c>
      <c r="B2480">
        <v>2019</v>
      </c>
      <c r="C2480">
        <v>1037720.9375</v>
      </c>
      <c r="D2480" s="8">
        <v>0.93169033527374301</v>
      </c>
      <c r="E2480" s="8">
        <v>7.0000000000000001E-3</v>
      </c>
      <c r="F2480">
        <v>2.2497046575016899</v>
      </c>
      <c r="G2480">
        <f t="shared" si="194"/>
        <v>2.414648486013002</v>
      </c>
      <c r="H2480">
        <f t="shared" si="196"/>
        <v>-3.953859001249338E-3</v>
      </c>
      <c r="I2480">
        <f t="shared" si="195"/>
        <v>0</v>
      </c>
      <c r="J2480" t="str">
        <f t="shared" si="197"/>
        <v/>
      </c>
      <c r="K2480">
        <v>3.86597878932953E-2</v>
      </c>
      <c r="L2480">
        <v>2.0858593285083701E-2</v>
      </c>
      <c r="M2480">
        <v>4.95042112767696E-2</v>
      </c>
      <c r="N2480">
        <v>3.06550208479166E-2</v>
      </c>
      <c r="O2480">
        <f t="shared" si="198"/>
        <v>1.857686545699834E-2</v>
      </c>
    </row>
    <row r="2481" spans="1:15" x14ac:dyDescent="0.35">
      <c r="A2481" t="s">
        <v>162</v>
      </c>
      <c r="B2481">
        <v>2020</v>
      </c>
      <c r="C2481">
        <v>1046157.9375</v>
      </c>
      <c r="D2481" s="8">
        <v>0.94937503337860096</v>
      </c>
      <c r="E2481" s="8">
        <v>2E-3</v>
      </c>
      <c r="F2481">
        <v>2.1040698953036499</v>
      </c>
      <c r="G2481">
        <f t="shared" si="194"/>
        <v>2.216268409561776</v>
      </c>
      <c r="H2481">
        <f t="shared" si="196"/>
        <v>-8.2156917497662518E-2</v>
      </c>
      <c r="I2481">
        <f t="shared" si="195"/>
        <v>0</v>
      </c>
      <c r="J2481" t="str">
        <f t="shared" si="197"/>
        <v/>
      </c>
      <c r="K2481">
        <v>4.95042112767696E-2</v>
      </c>
      <c r="L2481">
        <v>3.06550208479166E-2</v>
      </c>
      <c r="M2481">
        <v>0.112343421459198</v>
      </c>
      <c r="N2481">
        <v>6.8753808736800995E-2</v>
      </c>
      <c r="O2481">
        <f t="shared" si="198"/>
        <v>1.349338283762334E-2</v>
      </c>
    </row>
    <row r="2482" spans="1:15" x14ac:dyDescent="0.35">
      <c r="A2482" t="s">
        <v>162</v>
      </c>
      <c r="B2482">
        <v>2021</v>
      </c>
      <c r="C2482">
        <v>1051432</v>
      </c>
      <c r="D2482" s="8">
        <v>0.94702059030532804</v>
      </c>
      <c r="E2482" s="8">
        <v>1.7999999999999999E-2</v>
      </c>
      <c r="F2482">
        <v>2.2292928093711599</v>
      </c>
      <c r="G2482">
        <f t="shared" si="194"/>
        <v>2.3540066944610101</v>
      </c>
      <c r="H2482">
        <f t="shared" si="196"/>
        <v>6.2148738079278676E-2</v>
      </c>
      <c r="I2482">
        <f t="shared" si="195"/>
        <v>1</v>
      </c>
      <c r="J2482" t="str">
        <f t="shared" si="197"/>
        <v/>
      </c>
      <c r="K2482">
        <v>0.112343421459198</v>
      </c>
      <c r="L2482">
        <v>6.8753808736800995E-2</v>
      </c>
      <c r="M2482">
        <v>-3.9776047617196997E-2</v>
      </c>
      <c r="N2482">
        <v>-7.6725408434867E-3</v>
      </c>
      <c r="O2482">
        <f t="shared" si="198"/>
        <v>3.5234185867011624E-3</v>
      </c>
    </row>
    <row r="2483" spans="1:15" x14ac:dyDescent="0.35">
      <c r="A2483" t="s">
        <v>162</v>
      </c>
      <c r="B2483">
        <v>2022</v>
      </c>
      <c r="C2483">
        <v>1061512</v>
      </c>
      <c r="D2483" s="8">
        <v>0.91515266895294201</v>
      </c>
      <c r="E2483" s="8">
        <v>3.0000000000000001E-3</v>
      </c>
      <c r="F2483">
        <v>2.1084818643910301</v>
      </c>
      <c r="G2483">
        <f t="shared" si="194"/>
        <v>2.3039673443813671</v>
      </c>
      <c r="H2483">
        <f t="shared" si="196"/>
        <v>-2.1257097610378861E-2</v>
      </c>
      <c r="I2483">
        <f t="shared" si="195"/>
        <v>0</v>
      </c>
      <c r="J2483" t="str">
        <f t="shared" si="197"/>
        <v/>
      </c>
      <c r="K2483">
        <v>-3.9776047617196997E-2</v>
      </c>
      <c r="L2483">
        <v>-7.1938373148441002E-3</v>
      </c>
      <c r="M2483">
        <v>-2.89434686154127E-2</v>
      </c>
      <c r="N2483">
        <v>-9.3845408409833908E-3</v>
      </c>
      <c r="O2483">
        <f t="shared" si="198"/>
        <v>4.8966771457344188E-3</v>
      </c>
    </row>
    <row r="2484" spans="1:15" x14ac:dyDescent="0.35">
      <c r="A2484" t="s">
        <v>163</v>
      </c>
      <c r="B2484">
        <v>2006</v>
      </c>
      <c r="C2484">
        <v>197070.09375</v>
      </c>
      <c r="D2484" s="8">
        <v>0.94855546951293901</v>
      </c>
      <c r="E2484" s="8">
        <v>8.9999999999999993E-3</v>
      </c>
      <c r="F2484">
        <v>2.4613186364564101</v>
      </c>
      <c r="G2484">
        <f t="shared" si="194"/>
        <v>2.594807278608851</v>
      </c>
      <c r="H2484">
        <f t="shared" si="196"/>
        <v>0.12623439951818272</v>
      </c>
      <c r="I2484">
        <f t="shared" si="195"/>
        <v>1</v>
      </c>
      <c r="J2484" t="str">
        <f t="shared" si="197"/>
        <v/>
      </c>
      <c r="K2484">
        <v>1.13800891041756E-2</v>
      </c>
      <c r="L2484">
        <v>5.0170496106148E-3</v>
      </c>
      <c r="M2484">
        <v>9.6108234524726992E-3</v>
      </c>
      <c r="N2484">
        <v>1.05325793847442E-2</v>
      </c>
      <c r="O2484" t="str">
        <f t="shared" si="198"/>
        <v/>
      </c>
    </row>
    <row r="2485" spans="1:15" x14ac:dyDescent="0.35">
      <c r="A2485" t="s">
        <v>163</v>
      </c>
      <c r="B2485">
        <v>2007</v>
      </c>
      <c r="C2485">
        <v>200779.203125</v>
      </c>
      <c r="D2485" s="8">
        <v>0.91910290718078602</v>
      </c>
      <c r="E2485" s="8">
        <v>7.0000000000000007E-2</v>
      </c>
      <c r="F2485">
        <v>2.3882292204439799</v>
      </c>
      <c r="G2485">
        <f t="shared" si="194"/>
        <v>2.5984350629131665</v>
      </c>
      <c r="H2485">
        <f t="shared" si="196"/>
        <v>1.3980939294500061E-3</v>
      </c>
      <c r="I2485">
        <f t="shared" si="195"/>
        <v>1</v>
      </c>
      <c r="J2485" t="str">
        <f t="shared" si="197"/>
        <v/>
      </c>
      <c r="K2485">
        <v>9.6108234524726992E-3</v>
      </c>
      <c r="L2485">
        <v>1.05325793847442E-2</v>
      </c>
      <c r="M2485">
        <v>-2.4273196525871801E-2</v>
      </c>
      <c r="N2485">
        <v>5.2376077510415996E-3</v>
      </c>
      <c r="O2485" t="str">
        <f t="shared" si="198"/>
        <v/>
      </c>
    </row>
    <row r="2486" spans="1:15" x14ac:dyDescent="0.35">
      <c r="A2486" t="s">
        <v>163</v>
      </c>
      <c r="B2486">
        <v>2008</v>
      </c>
      <c r="C2486">
        <v>204233.703125</v>
      </c>
      <c r="D2486" s="8">
        <v>0.90506064891815197</v>
      </c>
      <c r="E2486" s="8">
        <v>8.2000000000000003E-2</v>
      </c>
      <c r="F2486">
        <v>2.3766126535246102</v>
      </c>
      <c r="G2486">
        <f t="shared" si="194"/>
        <v>2.625915353148379</v>
      </c>
      <c r="H2486">
        <f t="shared" si="196"/>
        <v>1.0575707904897147E-2</v>
      </c>
      <c r="I2486">
        <f t="shared" si="195"/>
        <v>1</v>
      </c>
      <c r="J2486" t="str">
        <f t="shared" si="197"/>
        <v/>
      </c>
      <c r="K2486">
        <v>-2.4273196525871801E-2</v>
      </c>
      <c r="L2486">
        <v>5.2376077510415996E-3</v>
      </c>
      <c r="M2486">
        <v>-7.6627141833304898E-3</v>
      </c>
      <c r="N2486">
        <v>1.8903987482190101E-2</v>
      </c>
      <c r="O2486" t="str">
        <f t="shared" si="198"/>
        <v/>
      </c>
    </row>
    <row r="2487" spans="1:15" x14ac:dyDescent="0.35">
      <c r="A2487" t="s">
        <v>163</v>
      </c>
      <c r="B2487">
        <v>2009</v>
      </c>
      <c r="C2487">
        <v>207938.09375</v>
      </c>
      <c r="D2487" s="8">
        <v>0.90200632810592696</v>
      </c>
      <c r="E2487" s="8">
        <v>5.8000000000000003E-2</v>
      </c>
      <c r="F2487">
        <v>2.3205809249963401</v>
      </c>
      <c r="G2487">
        <f t="shared" si="194"/>
        <v>2.5726880762235882</v>
      </c>
      <c r="H2487">
        <f t="shared" si="196"/>
        <v>-2.0269989609898564E-2</v>
      </c>
      <c r="I2487">
        <f t="shared" si="195"/>
        <v>0</v>
      </c>
      <c r="J2487" t="str">
        <f t="shared" si="197"/>
        <v/>
      </c>
      <c r="K2487">
        <v>-7.6627141833304898E-3</v>
      </c>
      <c r="L2487">
        <v>1.8903987482190101E-2</v>
      </c>
      <c r="M2487">
        <v>-1.0266356807202099E-2</v>
      </c>
      <c r="N2487">
        <v>-8.06248048320416E-4</v>
      </c>
      <c r="O2487" t="str">
        <f t="shared" si="198"/>
        <v/>
      </c>
    </row>
    <row r="2488" spans="1:15" x14ac:dyDescent="0.35">
      <c r="A2488" t="s">
        <v>163</v>
      </c>
      <c r="B2488">
        <v>2010</v>
      </c>
      <c r="C2488">
        <v>210923.09375</v>
      </c>
      <c r="D2488" s="8">
        <v>0.90791314840316795</v>
      </c>
      <c r="E2488" s="8">
        <v>1.2E-2</v>
      </c>
      <c r="F2488">
        <v>2.2916746705597602</v>
      </c>
      <c r="G2488">
        <f t="shared" si="194"/>
        <v>2.5241122177714281</v>
      </c>
      <c r="H2488">
        <f t="shared" si="196"/>
        <v>-1.8881363388391748E-2</v>
      </c>
      <c r="I2488">
        <f t="shared" si="195"/>
        <v>0</v>
      </c>
      <c r="J2488">
        <f t="shared" si="197"/>
        <v>3</v>
      </c>
      <c r="K2488">
        <v>-1.0266356807202099E-2</v>
      </c>
      <c r="L2488">
        <v>-8.06248048320416E-4</v>
      </c>
      <c r="M2488">
        <v>-1.49001277685165E-2</v>
      </c>
      <c r="N2488">
        <v>6.3836467452347999E-3</v>
      </c>
      <c r="O2488">
        <f t="shared" si="198"/>
        <v>-1.4902596361934782E-3</v>
      </c>
    </row>
    <row r="2489" spans="1:15" x14ac:dyDescent="0.35">
      <c r="A2489" t="s">
        <v>163</v>
      </c>
      <c r="B2489">
        <v>2011</v>
      </c>
      <c r="C2489">
        <v>213014.09375</v>
      </c>
      <c r="D2489" s="8">
        <v>0.90966552495956399</v>
      </c>
      <c r="E2489" s="8">
        <v>1.2E-2</v>
      </c>
      <c r="F2489">
        <v>2.36164821456416</v>
      </c>
      <c r="G2489">
        <f t="shared" si="194"/>
        <v>2.5961720541944677</v>
      </c>
      <c r="H2489">
        <f t="shared" si="196"/>
        <v>2.8548586673639242E-2</v>
      </c>
      <c r="I2489">
        <f t="shared" si="195"/>
        <v>1</v>
      </c>
      <c r="J2489">
        <f t="shared" si="197"/>
        <v>3</v>
      </c>
      <c r="K2489">
        <v>-1.49001277685165E-2</v>
      </c>
      <c r="L2489">
        <v>6.3836467452347999E-3</v>
      </c>
      <c r="M2489">
        <v>1.2824656069279901E-4</v>
      </c>
      <c r="N2489">
        <v>5.5664526298642002E-3</v>
      </c>
      <c r="O2489">
        <f t="shared" si="198"/>
        <v>-8.2111675757914372E-3</v>
      </c>
    </row>
    <row r="2490" spans="1:15" x14ac:dyDescent="0.35">
      <c r="A2490" t="s">
        <v>163</v>
      </c>
      <c r="B2490">
        <v>2012</v>
      </c>
      <c r="C2490">
        <v>214827.609375</v>
      </c>
      <c r="D2490" s="8">
        <v>0.907675981521606</v>
      </c>
      <c r="E2490" s="8">
        <v>4.0000000000000001E-3</v>
      </c>
      <c r="F2490">
        <v>2.4242991326879402</v>
      </c>
      <c r="G2490">
        <f t="shared" si="194"/>
        <v>2.670886067320966</v>
      </c>
      <c r="H2490">
        <f t="shared" si="196"/>
        <v>2.8778529144779741E-2</v>
      </c>
      <c r="I2490">
        <f t="shared" si="195"/>
        <v>1</v>
      </c>
      <c r="J2490">
        <f t="shared" si="197"/>
        <v>3</v>
      </c>
      <c r="K2490">
        <v>1.2824656069279901E-4</v>
      </c>
      <c r="L2490">
        <v>5.4808538407086996E-3</v>
      </c>
      <c r="M2490">
        <v>-6.58932734280824E-3</v>
      </c>
      <c r="N2490">
        <v>-1.2716098688542799E-2</v>
      </c>
      <c r="O2490">
        <f t="shared" si="198"/>
        <v>-8.2276029977946981E-3</v>
      </c>
    </row>
    <row r="2491" spans="1:15" x14ac:dyDescent="0.35">
      <c r="A2491" t="s">
        <v>163</v>
      </c>
      <c r="B2491">
        <v>2013</v>
      </c>
      <c r="C2491">
        <v>216676.5</v>
      </c>
      <c r="D2491" s="8">
        <v>0.903830707073212</v>
      </c>
      <c r="E2491" s="8">
        <v>2.5000000000000001E-2</v>
      </c>
      <c r="F2491">
        <v>2.37143836660064</v>
      </c>
      <c r="G2491">
        <f t="shared" si="194"/>
        <v>2.6237638841457827</v>
      </c>
      <c r="H2491">
        <f t="shared" si="196"/>
        <v>-1.764290276239644E-2</v>
      </c>
      <c r="I2491">
        <f t="shared" si="195"/>
        <v>0</v>
      </c>
      <c r="J2491">
        <f t="shared" si="197"/>
        <v>2</v>
      </c>
      <c r="K2491">
        <v>-6.58932734280824E-3</v>
      </c>
      <c r="L2491">
        <v>-1.2716098688542799E-2</v>
      </c>
      <c r="M2491">
        <v>-1.7928631827235E-3</v>
      </c>
      <c r="N2491">
        <v>-3.8008866831660002E-3</v>
      </c>
      <c r="O2491">
        <f t="shared" si="198"/>
        <v>-2.5035888422280175E-3</v>
      </c>
    </row>
    <row r="2492" spans="1:15" x14ac:dyDescent="0.35">
      <c r="A2492" t="s">
        <v>163</v>
      </c>
      <c r="B2492">
        <v>2014</v>
      </c>
      <c r="C2492">
        <v>219605.390625</v>
      </c>
      <c r="D2492" s="8">
        <v>0.920010685920715</v>
      </c>
      <c r="E2492" s="8">
        <v>2E-3</v>
      </c>
      <c r="F2492">
        <v>2.3921738227865599</v>
      </c>
      <c r="G2492">
        <f t="shared" si="194"/>
        <v>2.6001587366265801</v>
      </c>
      <c r="H2492">
        <f t="shared" si="196"/>
        <v>-8.9966736953114301E-3</v>
      </c>
      <c r="I2492">
        <f t="shared" si="195"/>
        <v>0</v>
      </c>
      <c r="J2492">
        <f t="shared" si="197"/>
        <v>2</v>
      </c>
      <c r="K2492">
        <v>-1.7928631827235E-3</v>
      </c>
      <c r="L2492">
        <v>-3.8008866831660002E-3</v>
      </c>
      <c r="M2492">
        <v>2.7379039838910098E-2</v>
      </c>
      <c r="N2492">
        <v>-2.8844121843575898E-3</v>
      </c>
      <c r="O2492">
        <f t="shared" si="198"/>
        <v>-3.3922603819518974E-3</v>
      </c>
    </row>
    <row r="2493" spans="1:15" x14ac:dyDescent="0.35">
      <c r="A2493" t="s">
        <v>163</v>
      </c>
      <c r="B2493">
        <v>2015</v>
      </c>
      <c r="C2493">
        <v>222179.90625</v>
      </c>
      <c r="D2493" s="8">
        <v>0.914775371551514</v>
      </c>
      <c r="E2493" s="8">
        <v>1.4999999999999999E-2</v>
      </c>
      <c r="F2493">
        <v>2.3149711578866898</v>
      </c>
      <c r="G2493">
        <f t="shared" si="194"/>
        <v>2.5306443853646385</v>
      </c>
      <c r="H2493">
        <f t="shared" si="196"/>
        <v>-2.6734656727969153E-2</v>
      </c>
      <c r="I2493">
        <f t="shared" si="195"/>
        <v>0</v>
      </c>
      <c r="J2493">
        <f t="shared" si="197"/>
        <v>2</v>
      </c>
      <c r="K2493">
        <v>2.7379039838910098E-2</v>
      </c>
      <c r="L2493">
        <v>-2.8844121843575898E-3</v>
      </c>
      <c r="M2493">
        <v>-1.40673359502106E-2</v>
      </c>
      <c r="N2493">
        <v>-2.7220892952755E-2</v>
      </c>
      <c r="O2493">
        <f t="shared" si="198"/>
        <v>-7.4254185892639951E-4</v>
      </c>
    </row>
    <row r="2494" spans="1:15" x14ac:dyDescent="0.35">
      <c r="A2494" t="s">
        <v>163</v>
      </c>
      <c r="B2494">
        <v>2016</v>
      </c>
      <c r="C2494">
        <v>224563.703125</v>
      </c>
      <c r="D2494" s="8">
        <v>0.90346783399581898</v>
      </c>
      <c r="E2494" s="8">
        <v>2.5000000000000001E-2</v>
      </c>
      <c r="F2494">
        <v>2.4539124802655499</v>
      </c>
      <c r="G2494">
        <f t="shared" si="194"/>
        <v>2.7161038699214011</v>
      </c>
      <c r="H2494">
        <f t="shared" si="196"/>
        <v>7.3285478445459296E-2</v>
      </c>
      <c r="I2494">
        <f t="shared" si="195"/>
        <v>1</v>
      </c>
      <c r="J2494">
        <f t="shared" si="197"/>
        <v>2</v>
      </c>
      <c r="K2494">
        <v>-1.40673359502106E-2</v>
      </c>
      <c r="L2494">
        <v>-2.7220892952755E-2</v>
      </c>
      <c r="M2494">
        <v>8.27384898066519E-3</v>
      </c>
      <c r="N2494">
        <v>5.4842755198479002E-3</v>
      </c>
      <c r="O2494">
        <f t="shared" si="198"/>
        <v>8.0338880419730009E-3</v>
      </c>
    </row>
    <row r="2495" spans="1:15" x14ac:dyDescent="0.35">
      <c r="A2495" t="s">
        <v>163</v>
      </c>
      <c r="B2495">
        <v>2017</v>
      </c>
      <c r="C2495">
        <v>226542.203125</v>
      </c>
      <c r="D2495" s="8">
        <v>0.90128433704376198</v>
      </c>
      <c r="E2495" s="8">
        <v>1.2999999999999999E-2</v>
      </c>
      <c r="F2495">
        <v>2.4755118819245898</v>
      </c>
      <c r="G2495">
        <f t="shared" si="194"/>
        <v>2.7466491762681002</v>
      </c>
      <c r="H2495">
        <f t="shared" si="196"/>
        <v>1.124600081939553E-2</v>
      </c>
      <c r="I2495">
        <f t="shared" si="195"/>
        <v>1</v>
      </c>
      <c r="J2495">
        <f t="shared" si="197"/>
        <v>2</v>
      </c>
      <c r="K2495">
        <v>8.27384898066519E-3</v>
      </c>
      <c r="L2495">
        <v>5.4842755198479002E-3</v>
      </c>
      <c r="M2495">
        <v>2.5038995057344401E-2</v>
      </c>
      <c r="N2495">
        <v>1.5903972089290602E-2</v>
      </c>
      <c r="O2495">
        <f t="shared" si="198"/>
        <v>5.3091324865817023E-3</v>
      </c>
    </row>
    <row r="2496" spans="1:15" x14ac:dyDescent="0.35">
      <c r="A2496" t="s">
        <v>163</v>
      </c>
      <c r="B2496">
        <v>2018</v>
      </c>
      <c r="C2496">
        <v>229153.3125</v>
      </c>
      <c r="D2496" s="8">
        <v>0.91638898849487305</v>
      </c>
      <c r="E2496" s="8">
        <v>1.4999999999999999E-2</v>
      </c>
      <c r="F2496">
        <v>2.35749562512152</v>
      </c>
      <c r="G2496">
        <f t="shared" si="194"/>
        <v>2.5725927032292244</v>
      </c>
      <c r="H2496">
        <f t="shared" si="196"/>
        <v>-6.3370478670074726E-2</v>
      </c>
      <c r="I2496">
        <f t="shared" si="195"/>
        <v>0</v>
      </c>
      <c r="J2496">
        <f t="shared" si="197"/>
        <v>2</v>
      </c>
      <c r="K2496">
        <v>2.5038995057344401E-2</v>
      </c>
      <c r="L2496">
        <v>1.5903972089290602E-2</v>
      </c>
      <c r="M2496">
        <v>9.5569502264260999E-3</v>
      </c>
      <c r="N2496">
        <v>-8.2442443817853997E-3</v>
      </c>
      <c r="O2496">
        <f t="shared" si="198"/>
        <v>-9.9537614732989814E-4</v>
      </c>
    </row>
    <row r="2497" spans="1:15" x14ac:dyDescent="0.35">
      <c r="A2497" t="s">
        <v>163</v>
      </c>
      <c r="B2497">
        <v>2019</v>
      </c>
      <c r="C2497">
        <v>232045.203125</v>
      </c>
      <c r="D2497" s="8">
        <v>0.909742832183838</v>
      </c>
      <c r="E2497" s="8">
        <v>2.5000000000000001E-2</v>
      </c>
      <c r="F2497">
        <v>2.2728381416974699</v>
      </c>
      <c r="G2497">
        <f t="shared" si="194"/>
        <v>2.4983303646828645</v>
      </c>
      <c r="H2497">
        <f t="shared" si="196"/>
        <v>-2.8866729837623617E-2</v>
      </c>
      <c r="I2497">
        <f t="shared" si="195"/>
        <v>0</v>
      </c>
      <c r="J2497" t="str">
        <f t="shared" si="197"/>
        <v/>
      </c>
      <c r="K2497">
        <v>9.5569502264260999E-3</v>
      </c>
      <c r="L2497">
        <v>-8.2442443817853997E-3</v>
      </c>
      <c r="M2497">
        <v>2.92133708596229E-2</v>
      </c>
      <c r="N2497">
        <v>1.03641804307699E-2</v>
      </c>
      <c r="O2497">
        <f t="shared" si="198"/>
        <v>9.2434361577026138E-4</v>
      </c>
    </row>
    <row r="2498" spans="1:15" x14ac:dyDescent="0.35">
      <c r="A2498" t="s">
        <v>163</v>
      </c>
      <c r="B2498">
        <v>2020</v>
      </c>
      <c r="C2498">
        <v>234944.109375</v>
      </c>
      <c r="D2498" s="8">
        <v>0.93168306350707997</v>
      </c>
      <c r="E2498" s="8">
        <v>1.4999999999999999E-2</v>
      </c>
      <c r="F2498">
        <v>2.7101739201437001</v>
      </c>
      <c r="G2498">
        <f t="shared" si="194"/>
        <v>2.9089011341925128</v>
      </c>
      <c r="H2498">
        <f t="shared" si="196"/>
        <v>0.16433806165653597</v>
      </c>
      <c r="I2498">
        <f t="shared" si="195"/>
        <v>1</v>
      </c>
      <c r="J2498" t="str">
        <f t="shared" si="197"/>
        <v/>
      </c>
      <c r="K2498">
        <v>2.92133708596229E-2</v>
      </c>
      <c r="L2498">
        <v>1.03641804307699E-2</v>
      </c>
      <c r="M2498">
        <v>6.0250869274139002E-2</v>
      </c>
      <c r="N2498">
        <v>1.6661256551741999E-2</v>
      </c>
      <c r="O2498">
        <f t="shared" si="198"/>
        <v>-4.4232746586211815E-4</v>
      </c>
    </row>
    <row r="2499" spans="1:15" x14ac:dyDescent="0.35">
      <c r="A2499" t="s">
        <v>163</v>
      </c>
      <c r="B2499">
        <v>2021</v>
      </c>
      <c r="C2499">
        <v>238413.796875</v>
      </c>
      <c r="D2499" s="8">
        <v>0.95298886299133301</v>
      </c>
      <c r="E2499" s="8">
        <v>5.0000000000000001E-3</v>
      </c>
      <c r="F2499">
        <v>2.2947643979057499</v>
      </c>
      <c r="G2499">
        <f t="shared" ref="G2499:G2562" si="199">F2499/D2499</f>
        <v>2.4079655985723933</v>
      </c>
      <c r="H2499">
        <f t="shared" si="196"/>
        <v>-0.17220782436773163</v>
      </c>
      <c r="I2499">
        <f t="shared" ref="I2499:I2562" si="200">IF(H2499&gt;0,1,0)</f>
        <v>0</v>
      </c>
      <c r="J2499" t="str">
        <f t="shared" si="197"/>
        <v/>
      </c>
      <c r="K2499">
        <v>6.0250869274139002E-2</v>
      </c>
      <c r="L2499">
        <v>1.6661256551741999E-2</v>
      </c>
      <c r="M2499">
        <v>-4.0243009030818899E-2</v>
      </c>
      <c r="N2499">
        <v>-8.1395022571085895E-3</v>
      </c>
      <c r="O2499">
        <f t="shared" si="198"/>
        <v>-8.6494463495909776E-3</v>
      </c>
    </row>
    <row r="2500" spans="1:15" x14ac:dyDescent="0.35">
      <c r="A2500" t="s">
        <v>163</v>
      </c>
      <c r="B2500">
        <v>2022</v>
      </c>
      <c r="C2500">
        <v>243131.5</v>
      </c>
      <c r="D2500" s="8">
        <v>0.92418074607849099</v>
      </c>
      <c r="E2500" s="8">
        <v>2.3E-2</v>
      </c>
      <c r="F2500">
        <v>2.3156631669166399</v>
      </c>
      <c r="G2500">
        <f t="shared" si="199"/>
        <v>2.5056388338996731</v>
      </c>
      <c r="H2500">
        <f t="shared" ref="H2500:H2563" si="201">+G2500/G2499-1</f>
        <v>4.056255429279676E-2</v>
      </c>
      <c r="I2500">
        <f t="shared" si="200"/>
        <v>1</v>
      </c>
      <c r="J2500" t="str">
        <f t="shared" si="197"/>
        <v/>
      </c>
      <c r="K2500">
        <v>-4.0243009030818899E-2</v>
      </c>
      <c r="L2500">
        <v>-7.6607987284659897E-3</v>
      </c>
      <c r="M2500">
        <v>-3.5177498854696697E-2</v>
      </c>
      <c r="N2500">
        <v>-1.56185710802674E-2</v>
      </c>
      <c r="O2500">
        <f t="shared" si="198"/>
        <v>-7.8694970812648347E-3</v>
      </c>
    </row>
    <row r="2501" spans="1:15" x14ac:dyDescent="0.35">
      <c r="A2501" t="s">
        <v>164</v>
      </c>
      <c r="B2501">
        <v>2006</v>
      </c>
      <c r="C2501">
        <v>408339.28125</v>
      </c>
      <c r="D2501" s="8">
        <v>0.93856155872345004</v>
      </c>
      <c r="E2501" s="8">
        <v>3.5000000000000003E-2</v>
      </c>
      <c r="F2501">
        <v>2.7545090180360701</v>
      </c>
      <c r="G2501">
        <f t="shared" si="199"/>
        <v>2.9348197701411447</v>
      </c>
      <c r="H2501">
        <f t="shared" si="201"/>
        <v>0.17128603310059343</v>
      </c>
      <c r="I2501">
        <f t="shared" si="200"/>
        <v>1</v>
      </c>
      <c r="J2501" t="str">
        <f t="shared" si="197"/>
        <v/>
      </c>
      <c r="K2501">
        <v>3.7318992614750098E-4</v>
      </c>
      <c r="L2501">
        <v>-5.9898495674132902E-3</v>
      </c>
      <c r="M2501">
        <v>4.3259850144389901E-4</v>
      </c>
      <c r="N2501">
        <v>1.3543544337154001E-3</v>
      </c>
      <c r="O2501" t="str">
        <f t="shared" si="198"/>
        <v/>
      </c>
    </row>
    <row r="2502" spans="1:15" x14ac:dyDescent="0.35">
      <c r="A2502" t="s">
        <v>164</v>
      </c>
      <c r="B2502">
        <v>2007</v>
      </c>
      <c r="C2502">
        <v>408422.5</v>
      </c>
      <c r="D2502" s="8">
        <v>0.94468969106674205</v>
      </c>
      <c r="E2502" s="8">
        <v>0</v>
      </c>
      <c r="F2502">
        <v>2.7009391227488599</v>
      </c>
      <c r="G2502">
        <f t="shared" si="199"/>
        <v>2.8590754702731687</v>
      </c>
      <c r="H2502">
        <f t="shared" si="201"/>
        <v>-2.5808842041544988E-2</v>
      </c>
      <c r="I2502">
        <f t="shared" si="200"/>
        <v>0</v>
      </c>
      <c r="J2502" t="str">
        <f t="shared" si="197"/>
        <v/>
      </c>
      <c r="K2502">
        <v>4.3259850144389901E-4</v>
      </c>
      <c r="L2502">
        <v>1.3543544337154001E-3</v>
      </c>
      <c r="M2502">
        <v>-2.59799792543054E-2</v>
      </c>
      <c r="N2502">
        <v>3.5308250226080001E-3</v>
      </c>
      <c r="O2502" t="str">
        <f t="shared" si="198"/>
        <v/>
      </c>
    </row>
    <row r="2503" spans="1:15" x14ac:dyDescent="0.35">
      <c r="A2503" t="s">
        <v>164</v>
      </c>
      <c r="B2503">
        <v>2008</v>
      </c>
      <c r="C2503">
        <v>409318.90625</v>
      </c>
      <c r="D2503" s="8">
        <v>0.94111508131027199</v>
      </c>
      <c r="E2503" s="8">
        <v>0</v>
      </c>
      <c r="F2503">
        <v>2.67520978876441</v>
      </c>
      <c r="G2503">
        <f t="shared" si="199"/>
        <v>2.8425958120231547</v>
      </c>
      <c r="H2503">
        <f t="shared" si="201"/>
        <v>-5.7639815462581234E-3</v>
      </c>
      <c r="I2503">
        <f t="shared" si="200"/>
        <v>0</v>
      </c>
      <c r="J2503" t="str">
        <f t="shared" ref="J2503:J2566" si="202">IF(AND(B2503&gt;=2010,B2503&lt;=2018),SUM(I2499:I2503),"")</f>
        <v/>
      </c>
      <c r="K2503">
        <v>-2.59799792543054E-2</v>
      </c>
      <c r="L2503">
        <v>3.5308250226080001E-3</v>
      </c>
      <c r="M2503">
        <v>-5.0941039532423002E-2</v>
      </c>
      <c r="N2503">
        <v>-2.4374337866902299E-2</v>
      </c>
      <c r="O2503" t="str">
        <f t="shared" ref="O2503:O2566" si="203">IF(B2503&gt;=2010,AVERAGE(N2503:N2507),"")</f>
        <v/>
      </c>
    </row>
    <row r="2504" spans="1:15" x14ac:dyDescent="0.35">
      <c r="A2504" t="s">
        <v>164</v>
      </c>
      <c r="B2504">
        <v>2009</v>
      </c>
      <c r="C2504">
        <v>411273.71875</v>
      </c>
      <c r="D2504" s="8">
        <v>0.92538225650787398</v>
      </c>
      <c r="E2504" s="8">
        <v>0</v>
      </c>
      <c r="F2504">
        <v>2.7220615858677499</v>
      </c>
      <c r="G2504">
        <f t="shared" si="199"/>
        <v>2.9415536841391643</v>
      </c>
      <c r="H2504">
        <f t="shared" si="201"/>
        <v>3.4812501903173754E-2</v>
      </c>
      <c r="I2504">
        <f t="shared" si="200"/>
        <v>1</v>
      </c>
      <c r="J2504" t="str">
        <f t="shared" si="202"/>
        <v/>
      </c>
      <c r="K2504">
        <v>-5.0941039532423002E-2</v>
      </c>
      <c r="L2504">
        <v>-2.4374337866902299E-2</v>
      </c>
      <c r="M2504">
        <v>-1.36998646743595E-2</v>
      </c>
      <c r="N2504">
        <v>-4.2397559154778702E-3</v>
      </c>
      <c r="O2504" t="str">
        <f t="shared" si="203"/>
        <v/>
      </c>
    </row>
    <row r="2505" spans="1:15" x14ac:dyDescent="0.35">
      <c r="A2505" t="s">
        <v>164</v>
      </c>
      <c r="B2505">
        <v>2010</v>
      </c>
      <c r="C2505">
        <v>414880.3125</v>
      </c>
      <c r="D2505" s="8">
        <v>0.935954630374908</v>
      </c>
      <c r="E2505" s="8">
        <v>0</v>
      </c>
      <c r="F2505">
        <v>2.83848469834978</v>
      </c>
      <c r="G2505">
        <f t="shared" si="199"/>
        <v>3.0327161234437083</v>
      </c>
      <c r="H2505">
        <f t="shared" si="201"/>
        <v>3.0991254654331613E-2</v>
      </c>
      <c r="I2505">
        <f t="shared" si="200"/>
        <v>1</v>
      </c>
      <c r="J2505">
        <f t="shared" si="202"/>
        <v>3</v>
      </c>
      <c r="K2505">
        <v>-1.36998646743595E-2</v>
      </c>
      <c r="L2505">
        <v>-4.2397559154778702E-3</v>
      </c>
      <c r="M2505">
        <v>-1.6264066442847301E-2</v>
      </c>
      <c r="N2505">
        <v>5.0197080709039896E-3</v>
      </c>
      <c r="O2505">
        <f t="shared" si="203"/>
        <v>2.2875958960503255E-2</v>
      </c>
    </row>
    <row r="2506" spans="1:15" x14ac:dyDescent="0.35">
      <c r="A2506" t="s">
        <v>164</v>
      </c>
      <c r="B2506">
        <v>2011</v>
      </c>
      <c r="C2506">
        <v>418047.90625</v>
      </c>
      <c r="D2506" s="8">
        <v>0.93572252988815297</v>
      </c>
      <c r="E2506" s="8">
        <v>0</v>
      </c>
      <c r="F2506">
        <v>2.7250028013296901</v>
      </c>
      <c r="G2506">
        <f t="shared" si="199"/>
        <v>2.9121910761894449</v>
      </c>
      <c r="H2506">
        <f t="shared" si="201"/>
        <v>-3.974161851898117E-2</v>
      </c>
      <c r="I2506">
        <f t="shared" si="200"/>
        <v>0</v>
      </c>
      <c r="J2506">
        <f t="shared" si="202"/>
        <v>2</v>
      </c>
      <c r="K2506">
        <v>-1.6264066442847301E-2</v>
      </c>
      <c r="L2506">
        <v>5.0197080709039896E-3</v>
      </c>
      <c r="M2506">
        <v>-3.5022127479314999E-3</v>
      </c>
      <c r="N2506">
        <v>1.9359933212398899E-3</v>
      </c>
      <c r="O2506">
        <f t="shared" si="203"/>
        <v>3.0473939143121159E-2</v>
      </c>
    </row>
    <row r="2507" spans="1:15" x14ac:dyDescent="0.35">
      <c r="A2507" t="s">
        <v>164</v>
      </c>
      <c r="B2507">
        <v>2012</v>
      </c>
      <c r="C2507">
        <v>422199.1875</v>
      </c>
      <c r="D2507" s="8">
        <v>0.94011998176574696</v>
      </c>
      <c r="E2507" s="8">
        <v>0</v>
      </c>
      <c r="F2507">
        <v>2.7436076568394498</v>
      </c>
      <c r="G2507">
        <f t="shared" si="199"/>
        <v>2.9183590499654803</v>
      </c>
      <c r="H2507">
        <f t="shared" si="201"/>
        <v>2.1179838872751322E-3</v>
      </c>
      <c r="I2507">
        <f t="shared" si="200"/>
        <v>1</v>
      </c>
      <c r="J2507">
        <f t="shared" si="202"/>
        <v>3</v>
      </c>
      <c r="K2507">
        <v>-3.5022127479314999E-3</v>
      </c>
      <c r="L2507">
        <v>1.85039453208439E-3</v>
      </c>
      <c r="M2507">
        <v>1.70642292499542E-2</v>
      </c>
      <c r="N2507">
        <v>1.09374579042196E-2</v>
      </c>
      <c r="O2507">
        <f t="shared" si="203"/>
        <v>3.3330279216170239E-2</v>
      </c>
    </row>
    <row r="2508" spans="1:15" x14ac:dyDescent="0.35">
      <c r="A2508" t="s">
        <v>164</v>
      </c>
      <c r="B2508">
        <v>2013</v>
      </c>
      <c r="C2508">
        <v>427077.5</v>
      </c>
      <c r="D2508" s="8">
        <v>0.94822746515274003</v>
      </c>
      <c r="E2508" s="8">
        <v>0</v>
      </c>
      <c r="F2508">
        <v>2.6750485887755602</v>
      </c>
      <c r="G2508">
        <f t="shared" si="199"/>
        <v>2.8211043099713047</v>
      </c>
      <c r="H2508">
        <f t="shared" si="201"/>
        <v>-3.3325145511250986E-2</v>
      </c>
      <c r="I2508">
        <f t="shared" si="200"/>
        <v>0</v>
      </c>
      <c r="J2508">
        <f t="shared" si="202"/>
        <v>3</v>
      </c>
      <c r="K2508">
        <v>1.70642292499542E-2</v>
      </c>
      <c r="L2508">
        <v>1.09374579042196E-2</v>
      </c>
      <c r="M2508">
        <v>2.3665002375841099E-2</v>
      </c>
      <c r="N2508">
        <v>2.1656978875398501E-2</v>
      </c>
      <c r="O2508">
        <f t="shared" si="203"/>
        <v>3.5072419047355578E-2</v>
      </c>
    </row>
    <row r="2509" spans="1:15" x14ac:dyDescent="0.35">
      <c r="A2509" t="s">
        <v>164</v>
      </c>
      <c r="B2509">
        <v>2014</v>
      </c>
      <c r="C2509">
        <v>432838.59375</v>
      </c>
      <c r="D2509" s="8">
        <v>0.95200192928314198</v>
      </c>
      <c r="E2509" s="8">
        <v>0</v>
      </c>
      <c r="F2509">
        <v>2.8779217354036799</v>
      </c>
      <c r="G2509">
        <f t="shared" si="199"/>
        <v>3.0230209066600913</v>
      </c>
      <c r="H2509">
        <f t="shared" si="201"/>
        <v>7.157360186048578E-2</v>
      </c>
      <c r="I2509">
        <f t="shared" si="200"/>
        <v>1</v>
      </c>
      <c r="J2509">
        <f t="shared" si="202"/>
        <v>3</v>
      </c>
      <c r="K2509">
        <v>2.3665002375841099E-2</v>
      </c>
      <c r="L2509">
        <v>2.1656978875398501E-2</v>
      </c>
      <c r="M2509">
        <v>0.10509310865402199</v>
      </c>
      <c r="N2509">
        <v>7.4829656630754304E-2</v>
      </c>
      <c r="O2509">
        <f t="shared" si="203"/>
        <v>3.1867935508489556E-2</v>
      </c>
    </row>
    <row r="2510" spans="1:15" x14ac:dyDescent="0.35">
      <c r="A2510" t="s">
        <v>164</v>
      </c>
      <c r="B2510">
        <v>2015</v>
      </c>
      <c r="C2510">
        <v>438088.90625</v>
      </c>
      <c r="D2510" s="8">
        <v>0.95513761043548595</v>
      </c>
      <c r="E2510" s="8">
        <v>1.0999999999999999E-2</v>
      </c>
      <c r="F2510">
        <v>2.7320184790334001</v>
      </c>
      <c r="G2510">
        <f t="shared" si="199"/>
        <v>2.8603401742161134</v>
      </c>
      <c r="H2510">
        <f t="shared" si="201"/>
        <v>-5.3813962081959765E-2</v>
      </c>
      <c r="I2510">
        <f t="shared" si="200"/>
        <v>0</v>
      </c>
      <c r="J2510">
        <f t="shared" si="202"/>
        <v>2</v>
      </c>
      <c r="K2510">
        <v>0.10509310865402199</v>
      </c>
      <c r="L2510">
        <v>7.4829656630754304E-2</v>
      </c>
      <c r="M2510">
        <v>5.6163165986537901E-2</v>
      </c>
      <c r="N2510">
        <v>4.3009608983993503E-2</v>
      </c>
      <c r="O2510">
        <f t="shared" si="203"/>
        <v>2.1420262381434425E-2</v>
      </c>
    </row>
    <row r="2511" spans="1:15" x14ac:dyDescent="0.35">
      <c r="A2511" t="s">
        <v>164</v>
      </c>
      <c r="B2511">
        <v>2016</v>
      </c>
      <c r="C2511">
        <v>443999.21875</v>
      </c>
      <c r="D2511" s="8">
        <v>0.95088237524032604</v>
      </c>
      <c r="E2511" s="8">
        <v>1.2999999999999999E-2</v>
      </c>
      <c r="F2511">
        <v>2.9257180917492298</v>
      </c>
      <c r="G2511">
        <f t="shared" si="199"/>
        <v>3.0768454310763556</v>
      </c>
      <c r="H2511">
        <f t="shared" si="201"/>
        <v>7.5692135785764059E-2</v>
      </c>
      <c r="I2511">
        <f t="shared" si="200"/>
        <v>1</v>
      </c>
      <c r="J2511">
        <f t="shared" si="202"/>
        <v>3</v>
      </c>
      <c r="K2511">
        <v>5.6163165986537901E-2</v>
      </c>
      <c r="L2511">
        <v>4.3009608983993503E-2</v>
      </c>
      <c r="M2511">
        <v>1.9007267147302599E-2</v>
      </c>
      <c r="N2511">
        <v>1.6217693686485301E-2</v>
      </c>
      <c r="O2511">
        <f t="shared" si="203"/>
        <v>8.5035812109708602E-3</v>
      </c>
    </row>
    <row r="2512" spans="1:15" x14ac:dyDescent="0.35">
      <c r="A2512" t="s">
        <v>164</v>
      </c>
      <c r="B2512">
        <v>2017</v>
      </c>
      <c r="C2512">
        <v>448726.5</v>
      </c>
      <c r="D2512" s="8">
        <v>0.95287746191024802</v>
      </c>
      <c r="E2512" s="8">
        <v>2.5000000000000001E-2</v>
      </c>
      <c r="F2512">
        <v>2.7684275085136898</v>
      </c>
      <c r="G2512">
        <f t="shared" si="199"/>
        <v>2.9053342315010586</v>
      </c>
      <c r="H2512">
        <f t="shared" si="201"/>
        <v>-5.5742546519569003E-2</v>
      </c>
      <c r="I2512">
        <f t="shared" si="200"/>
        <v>0</v>
      </c>
      <c r="J2512">
        <f t="shared" si="202"/>
        <v>2</v>
      </c>
      <c r="K2512">
        <v>1.9007267147302599E-2</v>
      </c>
      <c r="L2512">
        <v>1.6217693686485301E-2</v>
      </c>
      <c r="M2512">
        <v>2.87831800282001E-2</v>
      </c>
      <c r="N2512">
        <v>1.9648157060146301E-2</v>
      </c>
      <c r="O2512">
        <f t="shared" si="203"/>
        <v>-3.1635349616408403E-3</v>
      </c>
    </row>
    <row r="2513" spans="1:15" x14ac:dyDescent="0.35">
      <c r="A2513" t="s">
        <v>164</v>
      </c>
      <c r="B2513">
        <v>2018</v>
      </c>
      <c r="C2513">
        <v>451481.6875</v>
      </c>
      <c r="D2513" s="8">
        <v>0.95214968919753995</v>
      </c>
      <c r="E2513" s="8">
        <v>1E-3</v>
      </c>
      <c r="F2513">
        <v>2.62776983244169</v>
      </c>
      <c r="G2513">
        <f t="shared" si="199"/>
        <v>2.7598284831204873</v>
      </c>
      <c r="H2513">
        <f t="shared" si="201"/>
        <v>-5.0082275148561783E-2</v>
      </c>
      <c r="I2513">
        <f t="shared" si="200"/>
        <v>0</v>
      </c>
      <c r="J2513">
        <f t="shared" si="202"/>
        <v>2</v>
      </c>
      <c r="K2513">
        <v>2.87831800282001E-2</v>
      </c>
      <c r="L2513">
        <v>1.9648157060146301E-2</v>
      </c>
      <c r="M2513">
        <v>2.3435755789279901E-2</v>
      </c>
      <c r="N2513">
        <v>5.6345611810683996E-3</v>
      </c>
      <c r="O2513">
        <f t="shared" si="203"/>
        <v>-9.9470838904380816E-3</v>
      </c>
    </row>
    <row r="2514" spans="1:15" x14ac:dyDescent="0.35">
      <c r="A2514" t="s">
        <v>164</v>
      </c>
      <c r="B2514">
        <v>2019</v>
      </c>
      <c r="C2514">
        <v>453266.125</v>
      </c>
      <c r="D2514" s="8">
        <v>0.95143198966980003</v>
      </c>
      <c r="E2514" s="8">
        <v>1E-3</v>
      </c>
      <c r="F2514">
        <v>2.57461403508771</v>
      </c>
      <c r="G2514">
        <f t="shared" si="199"/>
        <v>2.7060410655114135</v>
      </c>
      <c r="H2514">
        <f t="shared" si="201"/>
        <v>-1.9489405931580661E-2</v>
      </c>
      <c r="I2514">
        <f t="shared" si="200"/>
        <v>0</v>
      </c>
      <c r="J2514" t="str">
        <f t="shared" si="202"/>
        <v/>
      </c>
      <c r="K2514">
        <v>2.3435755789279901E-2</v>
      </c>
      <c r="L2514">
        <v>5.6345611810683996E-3</v>
      </c>
      <c r="M2514">
        <v>4.1440481424331599E-2</v>
      </c>
      <c r="N2514">
        <v>2.2591290995478599E-2</v>
      </c>
      <c r="O2514">
        <f t="shared" si="203"/>
        <v>-1.0316155292093742E-2</v>
      </c>
    </row>
    <row r="2515" spans="1:15" x14ac:dyDescent="0.35">
      <c r="A2515" t="s">
        <v>164</v>
      </c>
      <c r="B2515">
        <v>2020</v>
      </c>
      <c r="C2515">
        <v>452355.8125</v>
      </c>
      <c r="D2515" s="8">
        <v>0.96533882617950395</v>
      </c>
      <c r="E2515" s="8">
        <v>1.4E-2</v>
      </c>
      <c r="F2515">
        <v>2.6077373299952602</v>
      </c>
      <c r="G2515">
        <f t="shared" si="199"/>
        <v>2.701369984584411</v>
      </c>
      <c r="H2515">
        <f t="shared" si="201"/>
        <v>-1.726167790480182E-3</v>
      </c>
      <c r="I2515">
        <f t="shared" si="200"/>
        <v>0</v>
      </c>
      <c r="J2515" t="str">
        <f t="shared" si="202"/>
        <v/>
      </c>
      <c r="K2515">
        <v>4.1440481424331599E-2</v>
      </c>
      <c r="L2515">
        <v>2.2591290995478599E-2</v>
      </c>
      <c r="M2515">
        <v>2.2015815854072598E-2</v>
      </c>
      <c r="N2515">
        <v>-2.1573796868324301E-2</v>
      </c>
      <c r="O2515">
        <f t="shared" si="203"/>
        <v>-1.8117430526763182E-2</v>
      </c>
    </row>
    <row r="2516" spans="1:15" x14ac:dyDescent="0.35">
      <c r="A2516" t="s">
        <v>164</v>
      </c>
      <c r="B2516">
        <v>2021</v>
      </c>
      <c r="C2516">
        <v>450445.1875</v>
      </c>
      <c r="D2516" s="8">
        <v>0.96620190143585205</v>
      </c>
      <c r="E2516" s="8">
        <v>0</v>
      </c>
      <c r="F2516">
        <v>2.8176305502656098</v>
      </c>
      <c r="G2516">
        <f t="shared" si="199"/>
        <v>2.9161923052297758</v>
      </c>
      <c r="H2516">
        <f t="shared" si="201"/>
        <v>7.9523472116469041E-2</v>
      </c>
      <c r="I2516">
        <f t="shared" si="200"/>
        <v>1</v>
      </c>
      <c r="J2516" t="str">
        <f t="shared" si="202"/>
        <v/>
      </c>
      <c r="K2516">
        <v>2.2015815854072598E-2</v>
      </c>
      <c r="L2516">
        <v>-2.1573796868324301E-2</v>
      </c>
      <c r="M2516">
        <v>-7.4221393950283501E-2</v>
      </c>
      <c r="N2516">
        <v>-4.21178871765732E-2</v>
      </c>
      <c r="O2516">
        <f t="shared" si="203"/>
        <v>-1.8012292776256763E-2</v>
      </c>
    </row>
    <row r="2517" spans="1:15" x14ac:dyDescent="0.35">
      <c r="A2517" t="s">
        <v>164</v>
      </c>
      <c r="B2517">
        <v>2022</v>
      </c>
      <c r="C2517">
        <v>449976.59375</v>
      </c>
      <c r="D2517" s="8">
        <v>0.93593436479568504</v>
      </c>
      <c r="E2517" s="8">
        <v>2.5000000000000001E-2</v>
      </c>
      <c r="F2517">
        <v>2.7249937905829702</v>
      </c>
      <c r="G2517">
        <f t="shared" si="199"/>
        <v>2.9115223172490712</v>
      </c>
      <c r="H2517">
        <f t="shared" si="201"/>
        <v>-1.6013991849336273E-3</v>
      </c>
      <c r="I2517">
        <f t="shared" si="200"/>
        <v>0</v>
      </c>
      <c r="J2517" t="str">
        <f t="shared" si="202"/>
        <v/>
      </c>
      <c r="K2517">
        <v>-7.4221393950283501E-2</v>
      </c>
      <c r="L2517">
        <v>-4.1639183647930601E-2</v>
      </c>
      <c r="M2517">
        <v>-3.3828515358269202E-2</v>
      </c>
      <c r="N2517">
        <v>-1.42695875838399E-2</v>
      </c>
      <c r="O2517">
        <f t="shared" si="203"/>
        <v>-8.0515586305409462E-3</v>
      </c>
    </row>
    <row r="2518" spans="1:15" x14ac:dyDescent="0.35">
      <c r="A2518" t="s">
        <v>165</v>
      </c>
      <c r="B2518">
        <v>2006</v>
      </c>
      <c r="C2518">
        <v>798599</v>
      </c>
      <c r="D2518" s="8">
        <v>0.959098219871521</v>
      </c>
      <c r="E2518" s="8">
        <v>8.9999999999999993E-3</v>
      </c>
      <c r="F2518">
        <v>2.77762582393889</v>
      </c>
      <c r="G2518">
        <f t="shared" si="199"/>
        <v>2.8960806791101912</v>
      </c>
      <c r="H2518">
        <f t="shared" si="201"/>
        <v>-5.3036303542642882E-3</v>
      </c>
      <c r="I2518">
        <f t="shared" si="200"/>
        <v>0</v>
      </c>
      <c r="J2518" t="str">
        <f t="shared" si="202"/>
        <v/>
      </c>
      <c r="K2518">
        <v>2.59453445971011E-2</v>
      </c>
      <c r="L2518">
        <v>1.95823051035404E-2</v>
      </c>
      <c r="M2518">
        <v>2.8674482405185902E-3</v>
      </c>
      <c r="N2518">
        <v>3.78920417279009E-3</v>
      </c>
      <c r="O2518" t="str">
        <f t="shared" si="203"/>
        <v/>
      </c>
    </row>
    <row r="2519" spans="1:15" x14ac:dyDescent="0.35">
      <c r="A2519" t="s">
        <v>165</v>
      </c>
      <c r="B2519">
        <v>2007</v>
      </c>
      <c r="C2519">
        <v>801603.1875</v>
      </c>
      <c r="D2519" s="8">
        <v>0.94410091638565097</v>
      </c>
      <c r="E2519" s="8">
        <v>2.1000000000000001E-2</v>
      </c>
      <c r="F2519">
        <v>2.7645039100684201</v>
      </c>
      <c r="G2519">
        <f t="shared" si="199"/>
        <v>2.9281868729159903</v>
      </c>
      <c r="H2519">
        <f t="shared" si="201"/>
        <v>1.1086084043647526E-2</v>
      </c>
      <c r="I2519">
        <f t="shared" si="200"/>
        <v>1</v>
      </c>
      <c r="J2519" t="str">
        <f t="shared" si="202"/>
        <v/>
      </c>
      <c r="K2519">
        <v>2.8674482405185902E-3</v>
      </c>
      <c r="L2519">
        <v>3.78920417279009E-3</v>
      </c>
      <c r="M2519">
        <v>-4.5925889454782001E-2</v>
      </c>
      <c r="N2519">
        <v>-1.6415085177868601E-2</v>
      </c>
      <c r="O2519" t="str">
        <f t="shared" si="203"/>
        <v/>
      </c>
    </row>
    <row r="2520" spans="1:15" x14ac:dyDescent="0.35">
      <c r="A2520" t="s">
        <v>165</v>
      </c>
      <c r="B2520">
        <v>2008</v>
      </c>
      <c r="C2520">
        <v>808581.625</v>
      </c>
      <c r="D2520" s="8">
        <v>0.93920749425888095</v>
      </c>
      <c r="E2520" s="8">
        <v>1.4999999999999999E-2</v>
      </c>
      <c r="F2520">
        <v>2.9366655492492102</v>
      </c>
      <c r="G2520">
        <f t="shared" si="199"/>
        <v>3.1267484205569538</v>
      </c>
      <c r="H2520">
        <f t="shared" si="201"/>
        <v>6.7810408371658637E-2</v>
      </c>
      <c r="I2520">
        <f t="shared" si="200"/>
        <v>1</v>
      </c>
      <c r="J2520" t="str">
        <f t="shared" si="202"/>
        <v/>
      </c>
      <c r="K2520">
        <v>-4.5925889454782001E-2</v>
      </c>
      <c r="L2520">
        <v>-1.6415085177868601E-2</v>
      </c>
      <c r="M2520">
        <v>-4.7614809781312897E-2</v>
      </c>
      <c r="N2520">
        <v>-2.1048108115792202E-2</v>
      </c>
      <c r="O2520" t="str">
        <f t="shared" si="203"/>
        <v/>
      </c>
    </row>
    <row r="2521" spans="1:15" x14ac:dyDescent="0.35">
      <c r="A2521" t="s">
        <v>165</v>
      </c>
      <c r="B2521">
        <v>2009</v>
      </c>
      <c r="C2521">
        <v>817695.3125</v>
      </c>
      <c r="D2521" s="8">
        <v>0.94282084703445401</v>
      </c>
      <c r="E2521" s="8">
        <v>0</v>
      </c>
      <c r="F2521">
        <v>2.9425049082513399</v>
      </c>
      <c r="G2521">
        <f t="shared" si="199"/>
        <v>3.1209586821363637</v>
      </c>
      <c r="H2521">
        <f t="shared" si="201"/>
        <v>-1.851680289506219E-3</v>
      </c>
      <c r="I2521">
        <f t="shared" si="200"/>
        <v>0</v>
      </c>
      <c r="J2521" t="str">
        <f t="shared" si="202"/>
        <v/>
      </c>
      <c r="K2521">
        <v>-4.7614809781312897E-2</v>
      </c>
      <c r="L2521">
        <v>-2.1048108115792202E-2</v>
      </c>
      <c r="M2521">
        <v>-1.7743252068757899E-3</v>
      </c>
      <c r="N2521">
        <v>7.6857835520058801E-3</v>
      </c>
      <c r="O2521" t="str">
        <f t="shared" si="203"/>
        <v/>
      </c>
    </row>
    <row r="2522" spans="1:15" x14ac:dyDescent="0.35">
      <c r="A2522" t="s">
        <v>165</v>
      </c>
      <c r="B2522">
        <v>2010</v>
      </c>
      <c r="C2522">
        <v>826438.4375</v>
      </c>
      <c r="D2522" s="8">
        <v>0.94147163629531905</v>
      </c>
      <c r="E2522" s="8">
        <v>3.0000000000000001E-3</v>
      </c>
      <c r="F2522">
        <v>2.90838447101495</v>
      </c>
      <c r="G2522">
        <f t="shared" si="199"/>
        <v>3.0891896886659405</v>
      </c>
      <c r="H2522">
        <f t="shared" si="201"/>
        <v>-1.0179241927251836E-2</v>
      </c>
      <c r="I2522">
        <f t="shared" si="200"/>
        <v>0</v>
      </c>
      <c r="J2522">
        <f t="shared" si="202"/>
        <v>2</v>
      </c>
      <c r="K2522">
        <v>-1.7743252068757899E-3</v>
      </c>
      <c r="L2522">
        <v>7.6857835520058801E-3</v>
      </c>
      <c r="M2522">
        <v>-1.3592612341046299E-2</v>
      </c>
      <c r="N2522">
        <v>7.6911621727050001E-3</v>
      </c>
      <c r="O2522">
        <f t="shared" si="203"/>
        <v>2.0612643565982601E-2</v>
      </c>
    </row>
    <row r="2523" spans="1:15" x14ac:dyDescent="0.35">
      <c r="A2523" t="s">
        <v>165</v>
      </c>
      <c r="B2523">
        <v>2011</v>
      </c>
      <c r="C2523">
        <v>830888.3125</v>
      </c>
      <c r="D2523" s="8">
        <v>0.94537675380706798</v>
      </c>
      <c r="E2523" s="8">
        <v>0</v>
      </c>
      <c r="F2523">
        <v>2.8367625836357999</v>
      </c>
      <c r="G2523">
        <f t="shared" si="199"/>
        <v>3.0006688573756968</v>
      </c>
      <c r="H2523">
        <f t="shared" si="201"/>
        <v>-2.8655032617460052E-2</v>
      </c>
      <c r="I2523">
        <f t="shared" si="200"/>
        <v>0</v>
      </c>
      <c r="J2523">
        <f t="shared" si="202"/>
        <v>2</v>
      </c>
      <c r="K2523">
        <v>-1.3592612341046299E-2</v>
      </c>
      <c r="L2523">
        <v>7.6911621727050001E-3</v>
      </c>
      <c r="M2523">
        <v>1.13541238903998E-2</v>
      </c>
      <c r="N2523">
        <v>1.6792329959571299E-2</v>
      </c>
      <c r="O2523">
        <f t="shared" si="203"/>
        <v>2.1019227243959916E-2</v>
      </c>
    </row>
    <row r="2524" spans="1:15" x14ac:dyDescent="0.35">
      <c r="A2524" t="s">
        <v>165</v>
      </c>
      <c r="B2524">
        <v>2012</v>
      </c>
      <c r="C2524">
        <v>834758.625</v>
      </c>
      <c r="D2524" s="8">
        <v>0.95389401912689198</v>
      </c>
      <c r="E2524" s="8">
        <v>-2E-3</v>
      </c>
      <c r="F2524">
        <v>2.9235407696517202</v>
      </c>
      <c r="G2524">
        <f t="shared" si="199"/>
        <v>3.0648486215771267</v>
      </c>
      <c r="H2524">
        <f t="shared" si="201"/>
        <v>2.1388486118244954E-2</v>
      </c>
      <c r="I2524">
        <f t="shared" si="200"/>
        <v>1</v>
      </c>
      <c r="J2524">
        <f t="shared" si="202"/>
        <v>2</v>
      </c>
      <c r="K2524">
        <v>1.13541238903998E-2</v>
      </c>
      <c r="L2524">
        <v>1.6706731170415798E-2</v>
      </c>
      <c r="M2524">
        <v>2.1804538220167199E-2</v>
      </c>
      <c r="N2524">
        <v>1.5677766874432598E-2</v>
      </c>
      <c r="O2524">
        <f t="shared" si="203"/>
        <v>2.097138054668906E-2</v>
      </c>
    </row>
    <row r="2525" spans="1:15" x14ac:dyDescent="0.35">
      <c r="A2525" t="s">
        <v>165</v>
      </c>
      <c r="B2525">
        <v>2013</v>
      </c>
      <c r="C2525">
        <v>839192.3125</v>
      </c>
      <c r="D2525" s="8">
        <v>0.95707535743713401</v>
      </c>
      <c r="E2525" s="8">
        <v>1.6E-2</v>
      </c>
      <c r="F2525">
        <v>3.1286576821628702</v>
      </c>
      <c r="G2525">
        <f t="shared" si="199"/>
        <v>3.2689773671958506</v>
      </c>
      <c r="H2525">
        <f t="shared" si="201"/>
        <v>6.6603206494969536E-2</v>
      </c>
      <c r="I2525">
        <f t="shared" si="200"/>
        <v>1</v>
      </c>
      <c r="J2525">
        <f t="shared" si="202"/>
        <v>2</v>
      </c>
      <c r="K2525">
        <v>2.1804538220167199E-2</v>
      </c>
      <c r="L2525">
        <v>1.5677766874432598E-2</v>
      </c>
      <c r="M2525">
        <v>3.0551618725061399E-2</v>
      </c>
      <c r="N2525">
        <v>2.8543595224618901E-2</v>
      </c>
      <c r="O2525">
        <f t="shared" si="203"/>
        <v>1.8925711512565637E-2</v>
      </c>
    </row>
    <row r="2526" spans="1:15" x14ac:dyDescent="0.35">
      <c r="A2526" t="s">
        <v>165</v>
      </c>
      <c r="B2526">
        <v>2014</v>
      </c>
      <c r="C2526">
        <v>843563</v>
      </c>
      <c r="D2526" s="8">
        <v>0.95534288883209195</v>
      </c>
      <c r="E2526" s="8">
        <v>1.9E-2</v>
      </c>
      <c r="F2526">
        <v>2.9026962361267401</v>
      </c>
      <c r="G2526">
        <f t="shared" si="199"/>
        <v>3.0383815801207148</v>
      </c>
      <c r="H2526">
        <f t="shared" si="201"/>
        <v>-7.054064962001938E-2</v>
      </c>
      <c r="I2526">
        <f t="shared" si="200"/>
        <v>0</v>
      </c>
      <c r="J2526">
        <f t="shared" si="202"/>
        <v>2</v>
      </c>
      <c r="K2526">
        <v>3.0551618725061399E-2</v>
      </c>
      <c r="L2526">
        <v>2.8543595224618901E-2</v>
      </c>
      <c r="M2526">
        <v>6.4621815621852902E-2</v>
      </c>
      <c r="N2526">
        <v>3.4358363598585198E-2</v>
      </c>
      <c r="O2526">
        <f t="shared" si="203"/>
        <v>1.2302514165639922E-2</v>
      </c>
    </row>
    <row r="2527" spans="1:15" x14ac:dyDescent="0.35">
      <c r="A2527" t="s">
        <v>165</v>
      </c>
      <c r="B2527">
        <v>2015</v>
      </c>
      <c r="C2527">
        <v>846570.9375</v>
      </c>
      <c r="D2527" s="8">
        <v>0.96122848987579301</v>
      </c>
      <c r="E2527" s="8">
        <v>0</v>
      </c>
      <c r="F2527">
        <v>2.9688475745392902</v>
      </c>
      <c r="G2527">
        <f t="shared" si="199"/>
        <v>3.0885971502185869</v>
      </c>
      <c r="H2527">
        <f t="shared" si="201"/>
        <v>1.6527078240079707E-2</v>
      </c>
      <c r="I2527">
        <f t="shared" si="200"/>
        <v>1</v>
      </c>
      <c r="J2527">
        <f t="shared" si="202"/>
        <v>3</v>
      </c>
      <c r="K2527">
        <v>6.4621815621852902E-2</v>
      </c>
      <c r="L2527">
        <v>3.4358363598585198E-2</v>
      </c>
      <c r="M2527">
        <v>2.2877637565136E-2</v>
      </c>
      <c r="N2527">
        <v>9.7240805625915996E-3</v>
      </c>
      <c r="O2527">
        <f t="shared" si="203"/>
        <v>9.918073937296901E-3</v>
      </c>
    </row>
    <row r="2528" spans="1:15" x14ac:dyDescent="0.35">
      <c r="A2528" t="s">
        <v>165</v>
      </c>
      <c r="B2528">
        <v>2016</v>
      </c>
      <c r="C2528">
        <v>848069.1875</v>
      </c>
      <c r="D2528" s="8">
        <v>0.96122157573699996</v>
      </c>
      <c r="E2528" s="8">
        <v>8.0000000000000002E-3</v>
      </c>
      <c r="F2528">
        <v>2.8408172495501698</v>
      </c>
      <c r="G2528">
        <f t="shared" si="199"/>
        <v>2.9554239326890084</v>
      </c>
      <c r="H2528">
        <f t="shared" si="201"/>
        <v>-4.3117703945350638E-2</v>
      </c>
      <c r="I2528">
        <f t="shared" si="200"/>
        <v>0</v>
      </c>
      <c r="J2528">
        <f t="shared" si="202"/>
        <v>3</v>
      </c>
      <c r="K2528">
        <v>2.2877637565136E-2</v>
      </c>
      <c r="L2528">
        <v>9.7240805625915996E-3</v>
      </c>
      <c r="M2528">
        <v>1.9342669934034201E-2</v>
      </c>
      <c r="N2528">
        <v>1.6553096473217E-2</v>
      </c>
      <c r="O2528">
        <f t="shared" si="203"/>
        <v>1.49532061070204E-2</v>
      </c>
    </row>
    <row r="2529" spans="1:15" x14ac:dyDescent="0.35">
      <c r="A2529" t="s">
        <v>165</v>
      </c>
      <c r="B2529">
        <v>2017</v>
      </c>
      <c r="C2529">
        <v>848905</v>
      </c>
      <c r="D2529" s="8">
        <v>0.96167850494384799</v>
      </c>
      <c r="E2529" s="8">
        <v>-3.0000000000000001E-3</v>
      </c>
      <c r="F2529">
        <v>2.8900854868821799</v>
      </c>
      <c r="G2529">
        <f t="shared" si="199"/>
        <v>3.0052512061200023</v>
      </c>
      <c r="H2529">
        <f t="shared" si="201"/>
        <v>1.6859602739177415E-2</v>
      </c>
      <c r="I2529">
        <f t="shared" si="200"/>
        <v>1</v>
      </c>
      <c r="J2529">
        <f t="shared" si="202"/>
        <v>3</v>
      </c>
      <c r="K2529">
        <v>1.9342669934034201E-2</v>
      </c>
      <c r="L2529">
        <v>1.6553096473217E-2</v>
      </c>
      <c r="M2529">
        <v>1.4584444671869199E-2</v>
      </c>
      <c r="N2529">
        <v>5.4494217038155001E-3</v>
      </c>
      <c r="O2529">
        <f t="shared" si="203"/>
        <v>3.6898385733366403E-3</v>
      </c>
    </row>
    <row r="2530" spans="1:15" x14ac:dyDescent="0.35">
      <c r="A2530" t="s">
        <v>165</v>
      </c>
      <c r="B2530">
        <v>2018</v>
      </c>
      <c r="C2530">
        <v>847462.8125</v>
      </c>
      <c r="D2530" s="8">
        <v>0.94894617795944203</v>
      </c>
      <c r="E2530" s="8">
        <v>3.2000000000000001E-2</v>
      </c>
      <c r="F2530">
        <v>2.9009712360918698</v>
      </c>
      <c r="G2530">
        <f t="shared" si="199"/>
        <v>3.0570450711229458</v>
      </c>
      <c r="H2530">
        <f t="shared" si="201"/>
        <v>1.7234454443431746E-2</v>
      </c>
      <c r="I2530">
        <f t="shared" si="200"/>
        <v>1</v>
      </c>
      <c r="J2530">
        <f t="shared" si="202"/>
        <v>3</v>
      </c>
      <c r="K2530">
        <v>1.4584444671869199E-2</v>
      </c>
      <c r="L2530">
        <v>5.4494217038155001E-3</v>
      </c>
      <c r="M2530">
        <v>1.32288030982018E-2</v>
      </c>
      <c r="N2530">
        <v>-4.5723915100096997E-3</v>
      </c>
      <c r="O2530">
        <f t="shared" si="203"/>
        <v>4.1214551776647809E-3</v>
      </c>
    </row>
    <row r="2531" spans="1:15" x14ac:dyDescent="0.35">
      <c r="A2531" t="s">
        <v>165</v>
      </c>
      <c r="B2531">
        <v>2019</v>
      </c>
      <c r="C2531">
        <v>844914.4375</v>
      </c>
      <c r="D2531" s="8">
        <v>0.94253695011138905</v>
      </c>
      <c r="E2531" s="8">
        <v>2.5000000000000001E-2</v>
      </c>
      <c r="F2531">
        <v>2.8616295942910499</v>
      </c>
      <c r="G2531">
        <f t="shared" si="199"/>
        <v>3.0360927430514661</v>
      </c>
      <c r="H2531">
        <f t="shared" si="201"/>
        <v>-6.8537844827335492E-3</v>
      </c>
      <c r="I2531">
        <f t="shared" si="200"/>
        <v>0</v>
      </c>
      <c r="J2531" t="str">
        <f t="shared" si="202"/>
        <v/>
      </c>
      <c r="K2531">
        <v>1.32288030982018E-2</v>
      </c>
      <c r="L2531">
        <v>-4.5723915100096997E-3</v>
      </c>
      <c r="M2531">
        <v>4.1285352885723103E-2</v>
      </c>
      <c r="N2531">
        <v>2.24361624568701E-2</v>
      </c>
      <c r="O2531">
        <f t="shared" si="203"/>
        <v>7.8666413202881803E-3</v>
      </c>
    </row>
    <row r="2532" spans="1:15" x14ac:dyDescent="0.35">
      <c r="A2532" t="s">
        <v>165</v>
      </c>
      <c r="B2532">
        <v>2020</v>
      </c>
      <c r="C2532">
        <v>842831.75</v>
      </c>
      <c r="D2532" s="8">
        <v>0.96556127071380604</v>
      </c>
      <c r="E2532" s="8">
        <v>1.0999999999999999E-2</v>
      </c>
      <c r="F2532">
        <v>2.73152233182967</v>
      </c>
      <c r="G2532">
        <f t="shared" si="199"/>
        <v>2.8289476956862094</v>
      </c>
      <c r="H2532">
        <f t="shared" si="201"/>
        <v>-6.8227509795060759E-2</v>
      </c>
      <c r="I2532">
        <f t="shared" si="200"/>
        <v>0</v>
      </c>
      <c r="J2532" t="str">
        <f t="shared" si="202"/>
        <v/>
      </c>
      <c r="K2532">
        <v>4.1285352885723103E-2</v>
      </c>
      <c r="L2532">
        <v>2.24361624568701E-2</v>
      </c>
      <c r="M2532">
        <v>7.8489354133605999E-2</v>
      </c>
      <c r="N2532">
        <v>3.48997414112091E-2</v>
      </c>
      <c r="O2532">
        <f t="shared" si="203"/>
        <v>3.4824295900762027E-3</v>
      </c>
    </row>
    <row r="2533" spans="1:15" x14ac:dyDescent="0.35">
      <c r="A2533" t="s">
        <v>165</v>
      </c>
      <c r="B2533">
        <v>2021</v>
      </c>
      <c r="C2533">
        <v>838578.625</v>
      </c>
      <c r="D2533" s="8">
        <v>0.971233069896698</v>
      </c>
      <c r="E2533" s="8">
        <v>3.0000000000000001E-3</v>
      </c>
      <c r="F2533">
        <v>2.7855001390849199</v>
      </c>
      <c r="G2533">
        <f t="shared" si="199"/>
        <v>2.8680038040520905</v>
      </c>
      <c r="H2533">
        <f t="shared" si="201"/>
        <v>1.3805878569418839E-2</v>
      </c>
      <c r="I2533">
        <f t="shared" si="200"/>
        <v>1</v>
      </c>
      <c r="J2533" t="str">
        <f t="shared" si="202"/>
        <v/>
      </c>
      <c r="K2533">
        <v>7.8489354133605999E-2</v>
      </c>
      <c r="L2533">
        <v>3.48997414112091E-2</v>
      </c>
      <c r="M2533">
        <v>-7.1867247968912099E-2</v>
      </c>
      <c r="N2533">
        <v>-3.9763741195201797E-2</v>
      </c>
      <c r="O2533">
        <f t="shared" si="203"/>
        <v>-4.0726845152676237E-3</v>
      </c>
    </row>
    <row r="2534" spans="1:15" x14ac:dyDescent="0.35">
      <c r="A2534" t="s">
        <v>165</v>
      </c>
      <c r="B2534">
        <v>2022</v>
      </c>
      <c r="C2534">
        <v>834390.6875</v>
      </c>
      <c r="D2534" s="8">
        <v>0.95633798837661699</v>
      </c>
      <c r="E2534" s="8">
        <v>1.7999999999999999E-2</v>
      </c>
      <c r="F2534">
        <v>2.8185141582502</v>
      </c>
      <c r="G2534">
        <f t="shared" si="199"/>
        <v>2.9471946032747538</v>
      </c>
      <c r="H2534">
        <f t="shared" si="201"/>
        <v>2.7611818056439752E-2</v>
      </c>
      <c r="I2534">
        <f t="shared" si="200"/>
        <v>1</v>
      </c>
      <c r="J2534" t="str">
        <f t="shared" si="202"/>
        <v/>
      </c>
      <c r="K2534">
        <v>-7.1867247968912099E-2</v>
      </c>
      <c r="L2534">
        <v>-3.9285037666559199E-2</v>
      </c>
      <c r="M2534">
        <v>-1.1951423048973101E-2</v>
      </c>
      <c r="N2534">
        <v>7.6075047254561996E-3</v>
      </c>
      <c r="O2534">
        <f t="shared" si="203"/>
        <v>3.4960486460476822E-3</v>
      </c>
    </row>
    <row r="2535" spans="1:15" x14ac:dyDescent="0.35">
      <c r="A2535" t="s">
        <v>166</v>
      </c>
      <c r="B2535">
        <v>2006</v>
      </c>
      <c r="C2535">
        <v>242897.296875</v>
      </c>
      <c r="D2535" s="8">
        <v>0.94048142433166504</v>
      </c>
      <c r="E2535" s="8">
        <v>1.0999999999999999E-2</v>
      </c>
      <c r="F2535">
        <v>2.2411848586984702</v>
      </c>
      <c r="G2535">
        <f t="shared" si="199"/>
        <v>2.3830187398875262</v>
      </c>
      <c r="H2535">
        <f t="shared" si="201"/>
        <v>-0.19142810005160427</v>
      </c>
      <c r="I2535">
        <f t="shared" si="200"/>
        <v>0</v>
      </c>
      <c r="J2535" t="str">
        <f t="shared" si="202"/>
        <v/>
      </c>
      <c r="K2535">
        <v>6.5429486632346901E-3</v>
      </c>
      <c r="L2535">
        <v>1.7990916967389799E-4</v>
      </c>
      <c r="M2535">
        <v>1.32317832708358E-2</v>
      </c>
      <c r="N2535">
        <v>1.41535392031073E-2</v>
      </c>
      <c r="O2535" t="str">
        <f t="shared" si="203"/>
        <v/>
      </c>
    </row>
    <row r="2536" spans="1:15" x14ac:dyDescent="0.35">
      <c r="A2536" t="s">
        <v>166</v>
      </c>
      <c r="B2536">
        <v>2007</v>
      </c>
      <c r="C2536">
        <v>245021.890625</v>
      </c>
      <c r="D2536" s="8">
        <v>0.93872851133346602</v>
      </c>
      <c r="E2536" s="8">
        <v>2E-3</v>
      </c>
      <c r="F2536">
        <v>2.3910135323444699</v>
      </c>
      <c r="G2536">
        <f t="shared" si="199"/>
        <v>2.5470767143825532</v>
      </c>
      <c r="H2536">
        <f t="shared" si="201"/>
        <v>6.8844601072155287E-2</v>
      </c>
      <c r="I2536">
        <f t="shared" si="200"/>
        <v>1</v>
      </c>
      <c r="J2536" t="str">
        <f t="shared" si="202"/>
        <v/>
      </c>
      <c r="K2536">
        <v>1.32317832708358E-2</v>
      </c>
      <c r="L2536">
        <v>1.41535392031073E-2</v>
      </c>
      <c r="M2536">
        <v>-2.89957004711031E-2</v>
      </c>
      <c r="N2536">
        <v>5.1510380581021298E-4</v>
      </c>
      <c r="O2536" t="str">
        <f t="shared" si="203"/>
        <v/>
      </c>
    </row>
    <row r="2537" spans="1:15" x14ac:dyDescent="0.35">
      <c r="A2537" t="s">
        <v>166</v>
      </c>
      <c r="B2537">
        <v>2008</v>
      </c>
      <c r="C2537">
        <v>247422</v>
      </c>
      <c r="D2537" s="8">
        <v>0.93209856748580899</v>
      </c>
      <c r="E2537" s="8">
        <v>5.0000000000000001E-3</v>
      </c>
      <c r="F2537">
        <v>2.3279098513812602</v>
      </c>
      <c r="G2537">
        <f t="shared" si="199"/>
        <v>2.4974932186200385</v>
      </c>
      <c r="H2537">
        <f t="shared" si="201"/>
        <v>-1.9466824647460412E-2</v>
      </c>
      <c r="I2537">
        <f t="shared" si="200"/>
        <v>0</v>
      </c>
      <c r="J2537" t="str">
        <f t="shared" si="202"/>
        <v/>
      </c>
      <c r="K2537">
        <v>-2.89957004711031E-2</v>
      </c>
      <c r="L2537">
        <v>5.1510380581021298E-4</v>
      </c>
      <c r="M2537">
        <v>-2.9442530781030599E-2</v>
      </c>
      <c r="N2537">
        <v>-2.8758291155100398E-3</v>
      </c>
      <c r="O2537" t="str">
        <f t="shared" si="203"/>
        <v/>
      </c>
    </row>
    <row r="2538" spans="1:15" x14ac:dyDescent="0.35">
      <c r="A2538" t="s">
        <v>166</v>
      </c>
      <c r="B2538">
        <v>2009</v>
      </c>
      <c r="C2538">
        <v>250553.703125</v>
      </c>
      <c r="D2538" s="8">
        <v>0.91208773851394698</v>
      </c>
      <c r="E2538" s="8">
        <v>2.1999999999999999E-2</v>
      </c>
      <c r="F2538">
        <v>2.3773222878723201</v>
      </c>
      <c r="G2538">
        <f t="shared" si="199"/>
        <v>2.6064622815187288</v>
      </c>
      <c r="H2538">
        <f t="shared" si="201"/>
        <v>4.3631374886735408E-2</v>
      </c>
      <c r="I2538">
        <f t="shared" si="200"/>
        <v>1</v>
      </c>
      <c r="J2538" t="str">
        <f t="shared" si="202"/>
        <v/>
      </c>
      <c r="K2538">
        <v>-2.9442530781030599E-2</v>
      </c>
      <c r="L2538">
        <v>-2.8758291155100398E-3</v>
      </c>
      <c r="M2538">
        <v>-1.1380184147506901E-2</v>
      </c>
      <c r="N2538">
        <v>-1.92007538862526E-3</v>
      </c>
      <c r="O2538" t="str">
        <f t="shared" si="203"/>
        <v/>
      </c>
    </row>
    <row r="2539" spans="1:15" x14ac:dyDescent="0.35">
      <c r="A2539" t="s">
        <v>166</v>
      </c>
      <c r="B2539">
        <v>2010</v>
      </c>
      <c r="C2539">
        <v>254340.1875</v>
      </c>
      <c r="D2539" s="8">
        <v>0.91164964437484697</v>
      </c>
      <c r="E2539" s="8">
        <v>1.4E-2</v>
      </c>
      <c r="F2539">
        <v>2.4218910435063199</v>
      </c>
      <c r="G2539">
        <f t="shared" si="199"/>
        <v>2.6566028500642953</v>
      </c>
      <c r="H2539">
        <f t="shared" si="201"/>
        <v>1.9237020578080521E-2</v>
      </c>
      <c r="I2539">
        <f t="shared" si="200"/>
        <v>1</v>
      </c>
      <c r="J2539">
        <f t="shared" si="202"/>
        <v>3</v>
      </c>
      <c r="K2539">
        <v>-1.1380184147506901E-2</v>
      </c>
      <c r="L2539">
        <v>-1.92007538862526E-3</v>
      </c>
      <c r="M2539">
        <v>-2.0420812413096401E-2</v>
      </c>
      <c r="N2539">
        <v>8.6296210065489902E-4</v>
      </c>
      <c r="O2539">
        <f t="shared" si="203"/>
        <v>-1.0255099274217802E-3</v>
      </c>
    </row>
    <row r="2540" spans="1:15" x14ac:dyDescent="0.35">
      <c r="A2540" t="s">
        <v>166</v>
      </c>
      <c r="B2540">
        <v>2011</v>
      </c>
      <c r="C2540">
        <v>256154.90625</v>
      </c>
      <c r="D2540" s="8">
        <v>0.91176509857177701</v>
      </c>
      <c r="E2540" s="8">
        <v>5.0000000000000001E-3</v>
      </c>
      <c r="F2540">
        <v>2.5231205338687701</v>
      </c>
      <c r="G2540">
        <f t="shared" si="199"/>
        <v>2.7672922969096763</v>
      </c>
      <c r="H2540">
        <f t="shared" si="201"/>
        <v>4.1665786379285974E-2</v>
      </c>
      <c r="I2540">
        <f t="shared" si="200"/>
        <v>1</v>
      </c>
      <c r="J2540">
        <f t="shared" si="202"/>
        <v>4</v>
      </c>
      <c r="K2540">
        <v>-2.0420812413096401E-2</v>
      </c>
      <c r="L2540">
        <v>8.6296210065489902E-4</v>
      </c>
      <c r="M2540">
        <v>-6.4579325765370997E-3</v>
      </c>
      <c r="N2540">
        <v>-1.0197265073656999E-3</v>
      </c>
      <c r="O2540">
        <f t="shared" si="203"/>
        <v>-1.507838256657098E-3</v>
      </c>
    </row>
    <row r="2541" spans="1:15" x14ac:dyDescent="0.35">
      <c r="A2541" t="s">
        <v>166</v>
      </c>
      <c r="B2541">
        <v>2012</v>
      </c>
      <c r="C2541">
        <v>257662.203125</v>
      </c>
      <c r="D2541" s="8">
        <v>0.91543841361999501</v>
      </c>
      <c r="E2541" s="8">
        <v>8.9999999999999993E-3</v>
      </c>
      <c r="F2541">
        <v>2.4637321955198499</v>
      </c>
      <c r="G2541">
        <f t="shared" si="199"/>
        <v>2.691313974664125</v>
      </c>
      <c r="H2541">
        <f t="shared" si="201"/>
        <v>-2.7455835558245378E-2</v>
      </c>
      <c r="I2541">
        <f t="shared" si="200"/>
        <v>0</v>
      </c>
      <c r="J2541">
        <f t="shared" si="202"/>
        <v>3</v>
      </c>
      <c r="K2541">
        <v>-6.4579325765370997E-3</v>
      </c>
      <c r="L2541">
        <v>-1.1053252965211901E-3</v>
      </c>
      <c r="M2541">
        <v>2.4107477068900998E-3</v>
      </c>
      <c r="N2541">
        <v>-3.7160236388445E-3</v>
      </c>
      <c r="O2541">
        <f t="shared" si="203"/>
        <v>-1.905819401144956E-3</v>
      </c>
    </row>
    <row r="2542" spans="1:15" x14ac:dyDescent="0.35">
      <c r="A2542" t="s">
        <v>166</v>
      </c>
      <c r="B2542">
        <v>2013</v>
      </c>
      <c r="C2542">
        <v>259469.78125</v>
      </c>
      <c r="D2542" s="8">
        <v>0.91114693880081199</v>
      </c>
      <c r="E2542" s="8">
        <v>1.9E-2</v>
      </c>
      <c r="F2542">
        <v>2.2674189141324699</v>
      </c>
      <c r="G2542">
        <f t="shared" si="199"/>
        <v>2.4885326587572014</v>
      </c>
      <c r="H2542">
        <f t="shared" si="201"/>
        <v>-7.5346584536733818E-2</v>
      </c>
      <c r="I2542">
        <f t="shared" si="200"/>
        <v>0</v>
      </c>
      <c r="J2542">
        <f t="shared" si="202"/>
        <v>3</v>
      </c>
      <c r="K2542">
        <v>2.4107477068900998E-3</v>
      </c>
      <c r="L2542">
        <v>-3.7160236388445E-3</v>
      </c>
      <c r="M2542">
        <v>9.7422495633363998E-3</v>
      </c>
      <c r="N2542">
        <v>7.73422606289389E-3</v>
      </c>
      <c r="O2542">
        <f t="shared" si="203"/>
        <v>-3.8249436765908766E-3</v>
      </c>
    </row>
    <row r="2543" spans="1:15" x14ac:dyDescent="0.35">
      <c r="A2543" t="s">
        <v>166</v>
      </c>
      <c r="B2543">
        <v>2014</v>
      </c>
      <c r="C2543">
        <v>261453.890625</v>
      </c>
      <c r="D2543" s="8">
        <v>0.91417098045349099</v>
      </c>
      <c r="E2543" s="8">
        <v>8.9999999999999993E-3</v>
      </c>
      <c r="F2543">
        <v>2.3526414087513299</v>
      </c>
      <c r="G2543">
        <f t="shared" si="199"/>
        <v>2.5735244927423313</v>
      </c>
      <c r="H2543">
        <f t="shared" si="201"/>
        <v>3.415339303908338E-2</v>
      </c>
      <c r="I2543">
        <f t="shared" si="200"/>
        <v>1</v>
      </c>
      <c r="J2543">
        <f t="shared" si="202"/>
        <v>3</v>
      </c>
      <c r="K2543">
        <v>9.7422495633363998E-3</v>
      </c>
      <c r="L2543">
        <v>7.73422606289389E-3</v>
      </c>
      <c r="M2543">
        <v>2.12744643688202E-2</v>
      </c>
      <c r="N2543">
        <v>-8.9889876544474896E-3</v>
      </c>
      <c r="O2543">
        <f t="shared" si="203"/>
        <v>-4.6942166984080963E-3</v>
      </c>
    </row>
    <row r="2544" spans="1:15" x14ac:dyDescent="0.35">
      <c r="A2544" t="s">
        <v>166</v>
      </c>
      <c r="B2544">
        <v>2015</v>
      </c>
      <c r="C2544">
        <v>263803.8125</v>
      </c>
      <c r="D2544" s="8">
        <v>0.89114469289779696</v>
      </c>
      <c r="E2544" s="8">
        <v>0.04</v>
      </c>
      <c r="F2544">
        <v>2.28849370052402</v>
      </c>
      <c r="G2544">
        <f t="shared" si="199"/>
        <v>2.568038298115614</v>
      </c>
      <c r="H2544">
        <f t="shared" si="201"/>
        <v>-2.1317825581955718E-3</v>
      </c>
      <c r="I2544">
        <f t="shared" si="200"/>
        <v>0</v>
      </c>
      <c r="J2544">
        <f t="shared" si="202"/>
        <v>2</v>
      </c>
      <c r="K2544">
        <v>2.12744643688202E-2</v>
      </c>
      <c r="L2544">
        <v>-8.9889876544474896E-3</v>
      </c>
      <c r="M2544">
        <v>1.16048774570227E-2</v>
      </c>
      <c r="N2544">
        <v>-1.54867954552169E-3</v>
      </c>
      <c r="O2544">
        <f t="shared" si="203"/>
        <v>-2.0303856581449183E-3</v>
      </c>
    </row>
    <row r="2545" spans="1:15" x14ac:dyDescent="0.35">
      <c r="A2545" t="s">
        <v>166</v>
      </c>
      <c r="B2545">
        <v>2016</v>
      </c>
      <c r="C2545">
        <v>266583.3125</v>
      </c>
      <c r="D2545" s="8">
        <v>0.90893101692199696</v>
      </c>
      <c r="E2545" s="8">
        <v>1.4E-2</v>
      </c>
      <c r="F2545">
        <v>2.5214988056219099</v>
      </c>
      <c r="G2545">
        <f t="shared" si="199"/>
        <v>2.7741366051746268</v>
      </c>
      <c r="H2545">
        <f t="shared" si="201"/>
        <v>8.0255153207895891E-2</v>
      </c>
      <c r="I2545">
        <f t="shared" si="200"/>
        <v>1</v>
      </c>
      <c r="J2545">
        <f t="shared" si="202"/>
        <v>2</v>
      </c>
      <c r="K2545">
        <v>1.16048774570227E-2</v>
      </c>
      <c r="L2545">
        <v>-1.54867954552169E-3</v>
      </c>
      <c r="M2545">
        <v>-2.2005876898770199E-4</v>
      </c>
      <c r="N2545">
        <v>-3.0096322298049901E-3</v>
      </c>
      <c r="O2545">
        <f t="shared" si="203"/>
        <v>1.26877650618562E-3</v>
      </c>
    </row>
    <row r="2546" spans="1:15" x14ac:dyDescent="0.35">
      <c r="A2546" t="s">
        <v>166</v>
      </c>
      <c r="B2546">
        <v>2017</v>
      </c>
      <c r="C2546">
        <v>270387.09375</v>
      </c>
      <c r="D2546" s="8">
        <v>0.90743970870971702</v>
      </c>
      <c r="E2546" s="8">
        <v>4.7E-2</v>
      </c>
      <c r="F2546">
        <v>2.3036486343983902</v>
      </c>
      <c r="G2546">
        <f t="shared" si="199"/>
        <v>2.5386244532696658</v>
      </c>
      <c r="H2546">
        <f t="shared" si="201"/>
        <v>-8.4895657793368051E-2</v>
      </c>
      <c r="I2546">
        <f t="shared" si="200"/>
        <v>0</v>
      </c>
      <c r="J2546">
        <f t="shared" si="202"/>
        <v>2</v>
      </c>
      <c r="K2546">
        <v>-2.2005876898770199E-4</v>
      </c>
      <c r="L2546">
        <v>-3.0096322298049901E-3</v>
      </c>
      <c r="M2546">
        <v>-4.1766220480203998E-3</v>
      </c>
      <c r="N2546">
        <v>-1.3311645016074101E-2</v>
      </c>
      <c r="O2546">
        <f t="shared" si="203"/>
        <v>6.9617852568627375E-3</v>
      </c>
    </row>
    <row r="2547" spans="1:15" x14ac:dyDescent="0.35">
      <c r="A2547" t="s">
        <v>166</v>
      </c>
      <c r="B2547">
        <v>2018</v>
      </c>
      <c r="C2547">
        <v>273054.6875</v>
      </c>
      <c r="D2547" s="8">
        <v>0.90457677841186501</v>
      </c>
      <c r="E2547" s="8">
        <v>2.4E-2</v>
      </c>
      <c r="F2547">
        <v>2.4976101014748302</v>
      </c>
      <c r="G2547">
        <f t="shared" si="199"/>
        <v>2.7610813820135869</v>
      </c>
      <c r="H2547">
        <f t="shared" si="201"/>
        <v>8.7628923788787949E-2</v>
      </c>
      <c r="I2547">
        <f t="shared" si="200"/>
        <v>1</v>
      </c>
      <c r="J2547">
        <f t="shared" si="202"/>
        <v>3</v>
      </c>
      <c r="K2547">
        <v>-4.1766220480203998E-3</v>
      </c>
      <c r="L2547">
        <v>-1.3311645016074101E-2</v>
      </c>
      <c r="M2547">
        <v>2.1189055562019301E-2</v>
      </c>
      <c r="N2547">
        <v>3.38786095380779E-3</v>
      </c>
      <c r="O2547">
        <f t="shared" si="203"/>
        <v>7.1025611832738781E-3</v>
      </c>
    </row>
    <row r="2548" spans="1:15" x14ac:dyDescent="0.35">
      <c r="A2548" t="s">
        <v>166</v>
      </c>
      <c r="B2548">
        <v>2019</v>
      </c>
      <c r="C2548">
        <v>276082.78125</v>
      </c>
      <c r="D2548" s="8">
        <v>0.93207645416259799</v>
      </c>
      <c r="E2548" s="8">
        <v>2E-3</v>
      </c>
      <c r="F2548">
        <v>2.37061802310942</v>
      </c>
      <c r="G2548">
        <f t="shared" si="199"/>
        <v>2.5433729309676059</v>
      </c>
      <c r="H2548">
        <f t="shared" si="201"/>
        <v>-7.8848980136620117E-2</v>
      </c>
      <c r="I2548">
        <f t="shared" si="200"/>
        <v>0</v>
      </c>
      <c r="J2548" t="str">
        <f t="shared" si="202"/>
        <v/>
      </c>
      <c r="K2548">
        <v>2.1189055562019301E-2</v>
      </c>
      <c r="L2548">
        <v>3.38786095380779E-3</v>
      </c>
      <c r="M2548">
        <v>2.3179357975721401E-2</v>
      </c>
      <c r="N2548">
        <v>4.3301675468683997E-3</v>
      </c>
      <c r="O2548">
        <f t="shared" si="203"/>
        <v>9.5414578914643187E-3</v>
      </c>
    </row>
    <row r="2549" spans="1:15" x14ac:dyDescent="0.35">
      <c r="A2549" t="s">
        <v>166</v>
      </c>
      <c r="B2549">
        <v>2020</v>
      </c>
      <c r="C2549">
        <v>278822.6875</v>
      </c>
      <c r="D2549" s="8">
        <v>0.938004910945892</v>
      </c>
      <c r="E2549" s="8">
        <v>4.2999999999999997E-2</v>
      </c>
      <c r="F2549">
        <v>2.2008524240809799</v>
      </c>
      <c r="G2549">
        <f t="shared" si="199"/>
        <v>2.3463122616934085</v>
      </c>
      <c r="H2549">
        <f t="shared" si="201"/>
        <v>-7.7480052915097741E-2</v>
      </c>
      <c r="I2549">
        <f t="shared" si="200"/>
        <v>0</v>
      </c>
      <c r="J2549" t="str">
        <f t="shared" si="202"/>
        <v/>
      </c>
      <c r="K2549">
        <v>2.3179357975721401E-2</v>
      </c>
      <c r="L2549">
        <v>4.3301675468683997E-3</v>
      </c>
      <c r="M2549">
        <v>5.8536743998527999E-2</v>
      </c>
      <c r="N2549">
        <v>1.4947131276131001E-2</v>
      </c>
      <c r="O2549">
        <f t="shared" si="203"/>
        <v>1.1375784780830222E-2</v>
      </c>
    </row>
    <row r="2550" spans="1:15" x14ac:dyDescent="0.35">
      <c r="A2550" t="s">
        <v>166</v>
      </c>
      <c r="B2550">
        <v>2021</v>
      </c>
      <c r="C2550">
        <v>281388.5</v>
      </c>
      <c r="D2550" s="8">
        <v>0.95202231407165505</v>
      </c>
      <c r="E2550" s="8">
        <v>5.0000000000000001E-3</v>
      </c>
      <c r="F2550">
        <v>2.2935461305282701</v>
      </c>
      <c r="G2550">
        <f t="shared" si="199"/>
        <v>2.4091306439227469</v>
      </c>
      <c r="H2550">
        <f t="shared" si="201"/>
        <v>2.6773240397252263E-2</v>
      </c>
      <c r="I2550">
        <f t="shared" si="200"/>
        <v>1</v>
      </c>
      <c r="J2550" t="str">
        <f t="shared" si="202"/>
        <v/>
      </c>
      <c r="K2550">
        <v>5.8536743998527999E-2</v>
      </c>
      <c r="L2550">
        <v>1.4947131276131001E-2</v>
      </c>
      <c r="M2550">
        <v>-6.6480952501296996E-3</v>
      </c>
      <c r="N2550">
        <v>2.54554115235806E-2</v>
      </c>
      <c r="O2550">
        <f t="shared" si="203"/>
        <v>1.6116943489760161E-2</v>
      </c>
    </row>
    <row r="2551" spans="1:15" x14ac:dyDescent="0.35">
      <c r="A2551" t="s">
        <v>166</v>
      </c>
      <c r="B2551">
        <v>2022</v>
      </c>
      <c r="C2551">
        <v>283969.59375</v>
      </c>
      <c r="D2551" s="8">
        <v>0.92840337753295898</v>
      </c>
      <c r="E2551" s="8">
        <v>1.7999999999999999E-2</v>
      </c>
      <c r="F2551">
        <v>2.3327812321811598</v>
      </c>
      <c r="G2551">
        <f t="shared" si="199"/>
        <v>2.512680682377574</v>
      </c>
      <c r="H2551">
        <f t="shared" si="201"/>
        <v>4.2982325892554574E-2</v>
      </c>
      <c r="I2551">
        <f t="shared" si="200"/>
        <v>1</v>
      </c>
      <c r="J2551" t="str">
        <f t="shared" si="202"/>
        <v/>
      </c>
      <c r="K2551">
        <v>-6.6480952501296996E-3</v>
      </c>
      <c r="L2551">
        <v>2.5934115052223199E-2</v>
      </c>
      <c r="M2551">
        <v>-3.2166693158447703E-2</v>
      </c>
      <c r="N2551">
        <v>-1.26077653840184E-2</v>
      </c>
      <c r="O2551">
        <f t="shared" si="203"/>
        <v>1.9682439183816281E-2</v>
      </c>
    </row>
    <row r="2552" spans="1:15" x14ac:dyDescent="0.35">
      <c r="A2552" t="s">
        <v>167</v>
      </c>
      <c r="B2552">
        <v>2006</v>
      </c>
      <c r="C2552">
        <v>5332093</v>
      </c>
      <c r="D2552" s="8">
        <v>0.93249446153640703</v>
      </c>
      <c r="E2552" s="8">
        <v>0.01</v>
      </c>
      <c r="F2552">
        <v>2.2335516575474701</v>
      </c>
      <c r="G2552">
        <f t="shared" si="199"/>
        <v>2.3952438858107539</v>
      </c>
      <c r="H2552">
        <f t="shared" si="201"/>
        <v>-4.6737652496177118E-2</v>
      </c>
      <c r="I2552">
        <f t="shared" si="200"/>
        <v>0</v>
      </c>
      <c r="J2552" t="str">
        <f t="shared" si="202"/>
        <v/>
      </c>
      <c r="K2552">
        <v>1.9938604563474599E-2</v>
      </c>
      <c r="L2552">
        <v>1.35755650699138E-2</v>
      </c>
      <c r="M2552">
        <v>1.4660588562488501E-2</v>
      </c>
      <c r="N2552">
        <v>1.558234449476E-2</v>
      </c>
      <c r="O2552" t="str">
        <f t="shared" si="203"/>
        <v/>
      </c>
    </row>
    <row r="2553" spans="1:15" x14ac:dyDescent="0.35">
      <c r="A2553" t="s">
        <v>167</v>
      </c>
      <c r="B2553">
        <v>2007</v>
      </c>
      <c r="C2553">
        <v>5390914</v>
      </c>
      <c r="D2553" s="8">
        <v>0.93271058797836304</v>
      </c>
      <c r="E2553" s="8">
        <v>0.02</v>
      </c>
      <c r="F2553">
        <v>2.1945526406687899</v>
      </c>
      <c r="G2553">
        <f t="shared" si="199"/>
        <v>2.3528763037047233</v>
      </c>
      <c r="H2553">
        <f t="shared" si="201"/>
        <v>-1.7688212192926489E-2</v>
      </c>
      <c r="I2553">
        <f t="shared" si="200"/>
        <v>0</v>
      </c>
      <c r="J2553" t="str">
        <f t="shared" si="202"/>
        <v/>
      </c>
      <c r="K2553">
        <v>1.4660588562488501E-2</v>
      </c>
      <c r="L2553">
        <v>1.558234449476E-2</v>
      </c>
      <c r="M2553">
        <v>-1.60090022832154E-2</v>
      </c>
      <c r="N2553">
        <v>1.3501801993697901E-2</v>
      </c>
      <c r="O2553" t="str">
        <f t="shared" si="203"/>
        <v/>
      </c>
    </row>
    <row r="2554" spans="1:15" x14ac:dyDescent="0.35">
      <c r="A2554" t="s">
        <v>167</v>
      </c>
      <c r="B2554">
        <v>2008</v>
      </c>
      <c r="C2554">
        <v>5471019</v>
      </c>
      <c r="D2554" s="8">
        <v>0.92830795049667403</v>
      </c>
      <c r="E2554" s="8">
        <v>0.02</v>
      </c>
      <c r="F2554">
        <v>2.2279983282020899</v>
      </c>
      <c r="G2554">
        <f t="shared" si="199"/>
        <v>2.4000638225817634</v>
      </c>
      <c r="H2554">
        <f t="shared" si="201"/>
        <v>2.0055248464503128E-2</v>
      </c>
      <c r="I2554">
        <f t="shared" si="200"/>
        <v>1</v>
      </c>
      <c r="J2554" t="str">
        <f t="shared" si="202"/>
        <v/>
      </c>
      <c r="K2554">
        <v>-1.60090022832154E-2</v>
      </c>
      <c r="L2554">
        <v>1.3501801993697901E-2</v>
      </c>
      <c r="M2554">
        <v>1.2086223155259999E-2</v>
      </c>
      <c r="N2554">
        <v>3.8652924820780699E-2</v>
      </c>
      <c r="O2554" t="str">
        <f t="shared" si="203"/>
        <v/>
      </c>
    </row>
    <row r="2555" spans="1:15" x14ac:dyDescent="0.35">
      <c r="A2555" t="s">
        <v>167</v>
      </c>
      <c r="B2555">
        <v>2009</v>
      </c>
      <c r="C2555">
        <v>5578041</v>
      </c>
      <c r="D2555" s="8">
        <v>0.93262761831283603</v>
      </c>
      <c r="E2555" s="8">
        <v>1.7999999999999999E-2</v>
      </c>
      <c r="F2555">
        <v>2.2780857215622201</v>
      </c>
      <c r="G2555">
        <f t="shared" si="199"/>
        <v>2.442653076994842</v>
      </c>
      <c r="H2555">
        <f t="shared" si="201"/>
        <v>1.7745050782551619E-2</v>
      </c>
      <c r="I2555">
        <f t="shared" si="200"/>
        <v>1</v>
      </c>
      <c r="J2555" t="str">
        <f t="shared" si="202"/>
        <v/>
      </c>
      <c r="K2555">
        <v>1.2086223155259999E-2</v>
      </c>
      <c r="L2555">
        <v>3.8652924820780699E-2</v>
      </c>
      <c r="M2555">
        <v>3.3822781234979601E-2</v>
      </c>
      <c r="N2555">
        <v>4.32828899938612E-2</v>
      </c>
      <c r="O2555" t="str">
        <f t="shared" si="203"/>
        <v/>
      </c>
    </row>
    <row r="2556" spans="1:15" x14ac:dyDescent="0.35">
      <c r="A2556" t="s">
        <v>167</v>
      </c>
      <c r="B2556">
        <v>2010</v>
      </c>
      <c r="C2556">
        <v>5695154</v>
      </c>
      <c r="D2556" s="8">
        <v>0.93962049484252896</v>
      </c>
      <c r="E2556" s="8">
        <v>1.2E-2</v>
      </c>
      <c r="F2556">
        <v>2.3308323696550302</v>
      </c>
      <c r="G2556">
        <f t="shared" si="199"/>
        <v>2.4806103979731247</v>
      </c>
      <c r="H2556">
        <f t="shared" si="201"/>
        <v>1.5539382704719218E-2</v>
      </c>
      <c r="I2556">
        <f t="shared" si="200"/>
        <v>1</v>
      </c>
      <c r="J2556">
        <f t="shared" si="202"/>
        <v>3</v>
      </c>
      <c r="K2556">
        <v>3.3822781234979601E-2</v>
      </c>
      <c r="L2556">
        <v>4.32828899938612E-2</v>
      </c>
      <c r="M2556">
        <v>-1.55612699389458E-2</v>
      </c>
      <c r="N2556">
        <v>5.7225045748054903E-3</v>
      </c>
      <c r="O2556">
        <f t="shared" si="203"/>
        <v>-3.2364735379813975E-4</v>
      </c>
    </row>
    <row r="2557" spans="1:15" x14ac:dyDescent="0.35">
      <c r="A2557" t="s">
        <v>167</v>
      </c>
      <c r="B2557">
        <v>2011</v>
      </c>
      <c r="C2557">
        <v>5804092</v>
      </c>
      <c r="D2557" s="8">
        <v>0.93738430738449097</v>
      </c>
      <c r="E2557" s="8">
        <v>1.0999999999999999E-2</v>
      </c>
      <c r="F2557">
        <v>2.3526784165654799</v>
      </c>
      <c r="G2557">
        <f t="shared" si="199"/>
        <v>2.5098333714695649</v>
      </c>
      <c r="H2557">
        <f t="shared" si="201"/>
        <v>1.1780557527420576E-2</v>
      </c>
      <c r="I2557">
        <f t="shared" si="200"/>
        <v>1</v>
      </c>
      <c r="J2557">
        <f t="shared" si="202"/>
        <v>4</v>
      </c>
      <c r="K2557">
        <v>-1.55612699389458E-2</v>
      </c>
      <c r="L2557">
        <v>5.7225045748054903E-3</v>
      </c>
      <c r="M2557">
        <v>-1.747926980257E-3</v>
      </c>
      <c r="N2557">
        <v>3.69027908891439E-3</v>
      </c>
      <c r="O2557">
        <f t="shared" si="203"/>
        <v>-3.9867782965302377E-3</v>
      </c>
    </row>
    <row r="2558" spans="1:15" x14ac:dyDescent="0.35">
      <c r="A2558" t="s">
        <v>167</v>
      </c>
      <c r="B2558">
        <v>2012</v>
      </c>
      <c r="C2558">
        <v>5905618</v>
      </c>
      <c r="D2558" s="8">
        <v>0.94085669517517101</v>
      </c>
      <c r="E2558" s="8">
        <v>1.6E-2</v>
      </c>
      <c r="F2558">
        <v>2.36990607493615</v>
      </c>
      <c r="G2558">
        <f t="shared" si="199"/>
        <v>2.5188810231030083</v>
      </c>
      <c r="H2558">
        <f t="shared" si="201"/>
        <v>3.6048813982203498E-3</v>
      </c>
      <c r="I2558">
        <f t="shared" si="200"/>
        <v>1</v>
      </c>
      <c r="J2558">
        <f t="shared" si="202"/>
        <v>5</v>
      </c>
      <c r="K2558">
        <v>-1.747926980257E-3</v>
      </c>
      <c r="L2558">
        <v>3.6046802997588999E-3</v>
      </c>
      <c r="M2558">
        <v>-2.17067018151279E-3</v>
      </c>
      <c r="N2558">
        <v>-8.2974415272473994E-3</v>
      </c>
      <c r="O2558">
        <f t="shared" si="203"/>
        <v>-6.9173118099569953E-3</v>
      </c>
    </row>
    <row r="2559" spans="1:15" x14ac:dyDescent="0.35">
      <c r="A2559" t="s">
        <v>167</v>
      </c>
      <c r="B2559">
        <v>2013</v>
      </c>
      <c r="C2559">
        <v>5992500</v>
      </c>
      <c r="D2559" s="8">
        <v>0.93428289890289296</v>
      </c>
      <c r="E2559" s="8">
        <v>2.5999999999999999E-2</v>
      </c>
      <c r="F2559">
        <v>2.4245524393762201</v>
      </c>
      <c r="G2559">
        <f t="shared" si="199"/>
        <v>2.5950945288876812</v>
      </c>
      <c r="H2559">
        <f t="shared" si="201"/>
        <v>3.0256889898985895E-2</v>
      </c>
      <c r="I2559">
        <f t="shared" si="200"/>
        <v>1</v>
      </c>
      <c r="J2559">
        <f t="shared" si="202"/>
        <v>5</v>
      </c>
      <c r="K2559">
        <v>-2.17067018151279E-3</v>
      </c>
      <c r="L2559">
        <v>-8.2974415272473994E-3</v>
      </c>
      <c r="M2559">
        <v>-6.4832784086465804E-3</v>
      </c>
      <c r="N2559">
        <v>-8.4913019090890798E-3</v>
      </c>
      <c r="O2559">
        <f t="shared" si="203"/>
        <v>-5.7321218773722328E-3</v>
      </c>
    </row>
    <row r="2560" spans="1:15" x14ac:dyDescent="0.35">
      <c r="A2560" t="s">
        <v>167</v>
      </c>
      <c r="B2560">
        <v>2014</v>
      </c>
      <c r="C2560">
        <v>6067520</v>
      </c>
      <c r="D2560" s="8">
        <v>0.92696225643158003</v>
      </c>
      <c r="E2560" s="8">
        <v>3.5000000000000003E-2</v>
      </c>
      <c r="F2560">
        <v>2.36836660075693</v>
      </c>
      <c r="G2560">
        <f t="shared" si="199"/>
        <v>2.5549763049405683</v>
      </c>
      <c r="H2560">
        <f t="shared" si="201"/>
        <v>-1.5459253410822216E-2</v>
      </c>
      <c r="I2560">
        <f t="shared" si="200"/>
        <v>0</v>
      </c>
      <c r="J2560">
        <f t="shared" si="202"/>
        <v>4</v>
      </c>
      <c r="K2560">
        <v>-6.4832784086465804E-3</v>
      </c>
      <c r="L2560">
        <v>-8.4913019090890798E-3</v>
      </c>
      <c r="M2560">
        <v>3.6021175026893601E-2</v>
      </c>
      <c r="N2560">
        <v>5.7577230036259001E-3</v>
      </c>
      <c r="O2560">
        <f t="shared" si="203"/>
        <v>-4.8108847811817786E-3</v>
      </c>
    </row>
    <row r="2561" spans="1:15" x14ac:dyDescent="0.35">
      <c r="A2561" t="s">
        <v>167</v>
      </c>
      <c r="B2561">
        <v>2015</v>
      </c>
      <c r="C2561">
        <v>6134479</v>
      </c>
      <c r="D2561" s="8">
        <v>0.932883620262146</v>
      </c>
      <c r="E2561" s="8">
        <v>2.7E-2</v>
      </c>
      <c r="F2561">
        <v>2.41047069367976</v>
      </c>
      <c r="G2561">
        <f t="shared" si="199"/>
        <v>2.5838921826094481</v>
      </c>
      <c r="H2561">
        <f t="shared" si="201"/>
        <v>1.1317473908844189E-2</v>
      </c>
      <c r="I2561">
        <f t="shared" si="200"/>
        <v>1</v>
      </c>
      <c r="J2561">
        <f t="shared" si="202"/>
        <v>4</v>
      </c>
      <c r="K2561">
        <v>3.6021175026893601E-2</v>
      </c>
      <c r="L2561">
        <v>5.7577230036259001E-3</v>
      </c>
      <c r="M2561">
        <v>5.604068636894E-4</v>
      </c>
      <c r="N2561">
        <v>-1.2593150138855E-2</v>
      </c>
      <c r="O2561">
        <f t="shared" si="203"/>
        <v>-1.86497030779719E-2</v>
      </c>
    </row>
    <row r="2562" spans="1:15" x14ac:dyDescent="0.35">
      <c r="A2562" t="s">
        <v>167</v>
      </c>
      <c r="B2562">
        <v>2016</v>
      </c>
      <c r="C2562">
        <v>6198826</v>
      </c>
      <c r="D2562" s="8">
        <v>0.93265259265899703</v>
      </c>
      <c r="E2562" s="8">
        <v>2.5000000000000001E-2</v>
      </c>
      <c r="F2562">
        <v>2.3416466228636201</v>
      </c>
      <c r="G2562">
        <f t="shared" si="199"/>
        <v>2.5107383406157422</v>
      </c>
      <c r="H2562">
        <f t="shared" si="201"/>
        <v>-2.831149166596747E-2</v>
      </c>
      <c r="I2562">
        <f t="shared" si="200"/>
        <v>0</v>
      </c>
      <c r="J2562">
        <f t="shared" si="202"/>
        <v>3</v>
      </c>
      <c r="K2562">
        <v>5.604068636894E-4</v>
      </c>
      <c r="L2562">
        <v>-1.2593150138855E-2</v>
      </c>
      <c r="M2562">
        <v>-8.1728150174021994E-3</v>
      </c>
      <c r="N2562">
        <v>-1.09623884782194E-2</v>
      </c>
      <c r="O2562">
        <f t="shared" si="203"/>
        <v>-1.5626829676330063E-2</v>
      </c>
    </row>
    <row r="2563" spans="1:15" x14ac:dyDescent="0.35">
      <c r="A2563" t="s">
        <v>167</v>
      </c>
      <c r="B2563">
        <v>2017</v>
      </c>
      <c r="C2563">
        <v>6261232</v>
      </c>
      <c r="D2563" s="8">
        <v>0.93150818347930897</v>
      </c>
      <c r="E2563" s="8">
        <v>2.4E-2</v>
      </c>
      <c r="F2563">
        <v>2.35455102414622</v>
      </c>
      <c r="G2563">
        <f t="shared" ref="G2563:G2626" si="204">F2563/D2563</f>
        <v>2.5276761556207199</v>
      </c>
      <c r="H2563">
        <f t="shared" si="201"/>
        <v>6.7461490235671828E-3</v>
      </c>
      <c r="I2563">
        <f t="shared" ref="I2563:I2626" si="205">IF(H2563&gt;0,1,0)</f>
        <v>1</v>
      </c>
      <c r="J2563">
        <f t="shared" si="202"/>
        <v>3</v>
      </c>
      <c r="K2563">
        <v>-8.1728150174021994E-3</v>
      </c>
      <c r="L2563">
        <v>-1.09623884782194E-2</v>
      </c>
      <c r="M2563">
        <v>6.7635311037302004E-3</v>
      </c>
      <c r="N2563">
        <v>-2.37149186432359E-3</v>
      </c>
      <c r="O2563">
        <f t="shared" si="203"/>
        <v>-1.733935140073296E-2</v>
      </c>
    </row>
    <row r="2564" spans="1:15" x14ac:dyDescent="0.35">
      <c r="A2564" t="s">
        <v>167</v>
      </c>
      <c r="B2564">
        <v>2018</v>
      </c>
      <c r="C2564">
        <v>6306497</v>
      </c>
      <c r="D2564" s="8">
        <v>0.93617630004882801</v>
      </c>
      <c r="E2564" s="8">
        <v>2.3E-2</v>
      </c>
      <c r="F2564">
        <v>2.3493732148030899</v>
      </c>
      <c r="G2564">
        <f t="shared" si="204"/>
        <v>2.509541434322311</v>
      </c>
      <c r="H2564">
        <f t="shared" ref="H2564:H2627" si="206">+G2564/G2563-1</f>
        <v>-7.1744638877425659E-3</v>
      </c>
      <c r="I2564">
        <f t="shared" si="205"/>
        <v>0</v>
      </c>
      <c r="J2564">
        <f t="shared" si="202"/>
        <v>2</v>
      </c>
      <c r="K2564">
        <v>6.7635311037302004E-3</v>
      </c>
      <c r="L2564">
        <v>-2.37149186432359E-3</v>
      </c>
      <c r="M2564">
        <v>1.39160781800747E-2</v>
      </c>
      <c r="N2564">
        <v>-3.8851164281368E-3</v>
      </c>
      <c r="O2564">
        <f t="shared" si="203"/>
        <v>-1.4932969585061042E-2</v>
      </c>
    </row>
    <row r="2565" spans="1:15" x14ac:dyDescent="0.35">
      <c r="A2565" t="s">
        <v>167</v>
      </c>
      <c r="B2565">
        <v>2019</v>
      </c>
      <c r="C2565">
        <v>6352307</v>
      </c>
      <c r="D2565" s="8">
        <v>0.93469268083572399</v>
      </c>
      <c r="E2565" s="8">
        <v>2.5999999999999999E-2</v>
      </c>
      <c r="F2565">
        <v>2.2942701266360501</v>
      </c>
      <c r="G2565">
        <f t="shared" si="204"/>
        <v>2.4545716187535627</v>
      </c>
      <c r="H2565">
        <f t="shared" si="206"/>
        <v>-2.190432674947751E-2</v>
      </c>
      <c r="I2565">
        <f t="shared" si="205"/>
        <v>0</v>
      </c>
      <c r="J2565" t="str">
        <f t="shared" si="202"/>
        <v/>
      </c>
      <c r="K2565">
        <v>1.39160781800747E-2</v>
      </c>
      <c r="L2565">
        <v>-3.8851164281368E-3</v>
      </c>
      <c r="M2565">
        <v>-4.45871780514717E-2</v>
      </c>
      <c r="N2565">
        <v>-6.3436368480324704E-2</v>
      </c>
      <c r="O2565">
        <f t="shared" si="203"/>
        <v>-1.4569324068725081E-2</v>
      </c>
    </row>
    <row r="2566" spans="1:15" x14ac:dyDescent="0.35">
      <c r="A2566" t="s">
        <v>167</v>
      </c>
      <c r="B2566">
        <v>2020</v>
      </c>
      <c r="C2566">
        <v>6353219</v>
      </c>
      <c r="D2566" s="8">
        <v>0.91495418548583995</v>
      </c>
      <c r="E2566" s="8">
        <v>2.9000000000000001E-2</v>
      </c>
      <c r="F2566">
        <v>2.2480163414082202</v>
      </c>
      <c r="G2566">
        <f t="shared" si="204"/>
        <v>2.4569714823639233</v>
      </c>
      <c r="H2566">
        <f t="shared" si="206"/>
        <v>9.7771178971717276E-4</v>
      </c>
      <c r="I2566">
        <f t="shared" si="205"/>
        <v>1</v>
      </c>
      <c r="J2566" t="str">
        <f t="shared" si="202"/>
        <v/>
      </c>
      <c r="K2566">
        <v>-4.45871780514717E-2</v>
      </c>
      <c r="L2566">
        <v>-6.3436368480324704E-2</v>
      </c>
      <c r="M2566">
        <v>4.6110829591751099E-2</v>
      </c>
      <c r="N2566">
        <v>2.5212168693541899E-3</v>
      </c>
      <c r="O2566">
        <f t="shared" si="203"/>
        <v>-1.6099801287054009E-4</v>
      </c>
    </row>
    <row r="2567" spans="1:15" x14ac:dyDescent="0.35">
      <c r="A2567" t="s">
        <v>167</v>
      </c>
      <c r="B2567">
        <v>2021</v>
      </c>
      <c r="C2567">
        <v>6359818</v>
      </c>
      <c r="D2567" s="8">
        <v>0.93495827913284302</v>
      </c>
      <c r="E2567" s="8">
        <v>2.7E-2</v>
      </c>
      <c r="F2567">
        <v>2.2351816534587101</v>
      </c>
      <c r="G2567">
        <f t="shared" si="204"/>
        <v>2.3906752882404558</v>
      </c>
      <c r="H2567">
        <f t="shared" si="206"/>
        <v>-2.6982891172868673E-2</v>
      </c>
      <c r="I2567">
        <f t="shared" si="205"/>
        <v>0</v>
      </c>
      <c r="J2567" t="str">
        <f t="shared" ref="J2567:J2630" si="207">IF(AND(B2567&gt;=2010,B2567&lt;=2018),SUM(I2563:I2567),"")</f>
        <v/>
      </c>
      <c r="K2567">
        <v>4.6110829591751099E-2</v>
      </c>
      <c r="L2567">
        <v>2.5212168693541899E-3</v>
      </c>
      <c r="M2567">
        <v>-5.1628503873944298E-2</v>
      </c>
      <c r="N2567">
        <v>-1.95249971002339E-2</v>
      </c>
      <c r="O2567">
        <f t="shared" ref="O2567:O2630" si="208">IF(B2567&gt;=2010,AVERAGE(N2567:N2571),"")</f>
        <v>1.387653592973962E-3</v>
      </c>
    </row>
    <row r="2568" spans="1:15" x14ac:dyDescent="0.35">
      <c r="A2568" t="s">
        <v>167</v>
      </c>
      <c r="B2568">
        <v>2022</v>
      </c>
      <c r="C2568">
        <v>6397366</v>
      </c>
      <c r="D2568" s="8">
        <v>0.929479479789734</v>
      </c>
      <c r="E2568" s="8">
        <v>2.3E-2</v>
      </c>
      <c r="F2568">
        <v>2.2214089672006301</v>
      </c>
      <c r="G2568">
        <f t="shared" si="204"/>
        <v>2.3899494453639312</v>
      </c>
      <c r="H2568">
        <f t="shared" si="206"/>
        <v>-3.0361416295010546E-4</v>
      </c>
      <c r="I2568">
        <f t="shared" si="205"/>
        <v>0</v>
      </c>
      <c r="J2568" t="str">
        <f t="shared" si="207"/>
        <v/>
      </c>
      <c r="K2568">
        <v>-5.1628503873944298E-2</v>
      </c>
      <c r="L2568">
        <v>-1.9046293571591301E-2</v>
      </c>
      <c r="M2568">
        <v>-9.8985105603933005E-3</v>
      </c>
      <c r="N2568">
        <v>9.660417214036E-3</v>
      </c>
      <c r="O2568">
        <f t="shared" si="208"/>
        <v>3.9652831677812958E-3</v>
      </c>
    </row>
    <row r="2569" spans="1:15" x14ac:dyDescent="0.35">
      <c r="A2569" t="s">
        <v>168</v>
      </c>
      <c r="B2569">
        <v>2006</v>
      </c>
      <c r="C2569">
        <v>603295.75</v>
      </c>
      <c r="D2569" s="8">
        <v>0.90207767486572299</v>
      </c>
      <c r="E2569" s="8">
        <v>1.4999999999999999E-2</v>
      </c>
      <c r="F2569">
        <v>2.1781604284167901</v>
      </c>
      <c r="G2569">
        <f t="shared" si="204"/>
        <v>2.4146040735804886</v>
      </c>
      <c r="H2569">
        <f t="shared" si="206"/>
        <v>1.0315962232750442E-2</v>
      </c>
      <c r="I2569">
        <f t="shared" si="205"/>
        <v>1</v>
      </c>
      <c r="J2569" t="str">
        <f t="shared" si="207"/>
        <v/>
      </c>
      <c r="K2569">
        <v>-1.7431663691997501E-2</v>
      </c>
      <c r="L2569">
        <v>-2.3794703185558298E-2</v>
      </c>
      <c r="M2569">
        <v>-2.9886447787285E-3</v>
      </c>
      <c r="N2569">
        <v>-2.0668888464569898E-3</v>
      </c>
      <c r="O2569" t="str">
        <f t="shared" si="208"/>
        <v/>
      </c>
    </row>
    <row r="2570" spans="1:15" x14ac:dyDescent="0.35">
      <c r="A2570" t="s">
        <v>168</v>
      </c>
      <c r="B2570">
        <v>2007</v>
      </c>
      <c r="C2570">
        <v>610893.375</v>
      </c>
      <c r="D2570" s="8">
        <v>0.90081048011779796</v>
      </c>
      <c r="E2570" s="8">
        <v>6.0000000000000001E-3</v>
      </c>
      <c r="F2570">
        <v>2.1888563672485102</v>
      </c>
      <c r="G2570">
        <f t="shared" si="204"/>
        <v>2.4298744470227254</v>
      </c>
      <c r="H2570">
        <f t="shared" si="206"/>
        <v>6.3241728154599386E-3</v>
      </c>
      <c r="I2570">
        <f t="shared" si="205"/>
        <v>1</v>
      </c>
      <c r="J2570" t="str">
        <f t="shared" si="207"/>
        <v/>
      </c>
      <c r="K2570">
        <v>-2.9886447787285E-3</v>
      </c>
      <c r="L2570">
        <v>-2.0668888464569898E-3</v>
      </c>
      <c r="M2570">
        <v>-2.0905542477965399E-2</v>
      </c>
      <c r="N2570">
        <v>8.6052617989479992E-3</v>
      </c>
      <c r="O2570" t="str">
        <f t="shared" si="208"/>
        <v/>
      </c>
    </row>
    <row r="2571" spans="1:15" x14ac:dyDescent="0.35">
      <c r="A2571" t="s">
        <v>168</v>
      </c>
      <c r="B2571">
        <v>2008</v>
      </c>
      <c r="C2571">
        <v>619686.5625</v>
      </c>
      <c r="D2571" s="8">
        <v>0.93047428131103505</v>
      </c>
      <c r="E2571" s="8">
        <v>0</v>
      </c>
      <c r="F2571">
        <v>2.1182718436454802</v>
      </c>
      <c r="G2571">
        <f t="shared" si="204"/>
        <v>2.2765506647436213</v>
      </c>
      <c r="H2571">
        <f t="shared" si="206"/>
        <v>-6.3099466915654268E-2</v>
      </c>
      <c r="I2571">
        <f t="shared" si="205"/>
        <v>0</v>
      </c>
      <c r="J2571" t="str">
        <f t="shared" si="207"/>
        <v/>
      </c>
      <c r="K2571">
        <v>-2.0905542477965399E-2</v>
      </c>
      <c r="L2571">
        <v>8.6052617989479992E-3</v>
      </c>
      <c r="M2571">
        <v>-1.63022267669439E-2</v>
      </c>
      <c r="N2571">
        <v>1.02644748985767E-2</v>
      </c>
      <c r="O2571" t="str">
        <f t="shared" si="208"/>
        <v/>
      </c>
    </row>
    <row r="2572" spans="1:15" x14ac:dyDescent="0.35">
      <c r="A2572" t="s">
        <v>168</v>
      </c>
      <c r="B2572">
        <v>2009</v>
      </c>
      <c r="C2572">
        <v>628421.875</v>
      </c>
      <c r="D2572" s="8">
        <v>0.92078882455825795</v>
      </c>
      <c r="E2572" s="8">
        <v>2.1000000000000001E-2</v>
      </c>
      <c r="F2572">
        <v>2.1810112578902801</v>
      </c>
      <c r="G2572">
        <f t="shared" si="204"/>
        <v>2.3686335017549816</v>
      </c>
      <c r="H2572">
        <f t="shared" si="206"/>
        <v>4.0448402241788139E-2</v>
      </c>
      <c r="I2572">
        <f t="shared" si="205"/>
        <v>1</v>
      </c>
      <c r="J2572" t="str">
        <f t="shared" si="207"/>
        <v/>
      </c>
      <c r="K2572">
        <v>-1.63022267669439E-2</v>
      </c>
      <c r="L2572">
        <v>1.02644748985767E-2</v>
      </c>
      <c r="M2572">
        <v>-1.6096957985078899E-2</v>
      </c>
      <c r="N2572">
        <v>-6.6368492261972296E-3</v>
      </c>
      <c r="O2572" t="str">
        <f t="shared" si="208"/>
        <v/>
      </c>
    </row>
    <row r="2573" spans="1:15" x14ac:dyDescent="0.35">
      <c r="A2573" t="s">
        <v>168</v>
      </c>
      <c r="B2573">
        <v>2010</v>
      </c>
      <c r="C2573">
        <v>632410.5</v>
      </c>
      <c r="D2573" s="8">
        <v>0.91440987586975098</v>
      </c>
      <c r="E2573" s="8">
        <v>3.0000000000000001E-3</v>
      </c>
      <c r="F2573">
        <v>2.1252231990731199</v>
      </c>
      <c r="G2573">
        <f t="shared" si="204"/>
        <v>2.3241472507628926</v>
      </c>
      <c r="H2573">
        <f t="shared" si="206"/>
        <v>-1.8781399046803982E-2</v>
      </c>
      <c r="I2573">
        <f t="shared" si="205"/>
        <v>0</v>
      </c>
      <c r="J2573">
        <f t="shared" si="207"/>
        <v>3</v>
      </c>
      <c r="K2573">
        <v>-1.6096957985078899E-2</v>
      </c>
      <c r="L2573">
        <v>-6.6368492261972296E-3</v>
      </c>
      <c r="M2573">
        <v>-2.21766143739223E-2</v>
      </c>
      <c r="N2573">
        <v>-8.9283986017104798E-4</v>
      </c>
      <c r="O2573">
        <f t="shared" si="208"/>
        <v>-4.8460100311785671E-3</v>
      </c>
    </row>
    <row r="2574" spans="1:15" x14ac:dyDescent="0.35">
      <c r="A2574" t="s">
        <v>168</v>
      </c>
      <c r="B2574">
        <v>2011</v>
      </c>
      <c r="C2574">
        <v>634669.9375</v>
      </c>
      <c r="D2574" s="8">
        <v>0.91630047559738204</v>
      </c>
      <c r="E2574" s="8">
        <v>0</v>
      </c>
      <c r="F2574">
        <v>2.13885873162981</v>
      </c>
      <c r="G2574">
        <f t="shared" si="204"/>
        <v>2.3342329165936331</v>
      </c>
      <c r="H2574">
        <f t="shared" si="206"/>
        <v>4.3395124071547997E-3</v>
      </c>
      <c r="I2574">
        <f t="shared" si="205"/>
        <v>1</v>
      </c>
      <c r="J2574">
        <f t="shared" si="207"/>
        <v>3</v>
      </c>
      <c r="K2574">
        <v>-2.21766143739223E-2</v>
      </c>
      <c r="L2574">
        <v>-8.9283986017104798E-4</v>
      </c>
      <c r="M2574">
        <v>-7.8187056854366992E-3</v>
      </c>
      <c r="N2574">
        <v>-2.3804996162653E-3</v>
      </c>
      <c r="O2574">
        <f t="shared" si="208"/>
        <v>-8.2230872940271781E-3</v>
      </c>
    </row>
    <row r="2575" spans="1:15" x14ac:dyDescent="0.35">
      <c r="A2575" t="s">
        <v>168</v>
      </c>
      <c r="B2575">
        <v>2012</v>
      </c>
      <c r="C2575">
        <v>637894.5625</v>
      </c>
      <c r="D2575" s="8">
        <v>0.92145460844039895</v>
      </c>
      <c r="E2575" s="8">
        <v>4.0000000000000001E-3</v>
      </c>
      <c r="F2575">
        <v>2.2887501660247001</v>
      </c>
      <c r="G2575">
        <f t="shared" si="204"/>
        <v>2.48384472231194</v>
      </c>
      <c r="H2575">
        <f t="shared" si="206"/>
        <v>6.4094634539143103E-2</v>
      </c>
      <c r="I2575">
        <f t="shared" si="205"/>
        <v>1</v>
      </c>
      <c r="J2575">
        <f t="shared" si="207"/>
        <v>3</v>
      </c>
      <c r="K2575">
        <v>-7.8187056854366992E-3</v>
      </c>
      <c r="L2575">
        <v>-2.4660984054207902E-3</v>
      </c>
      <c r="M2575">
        <v>5.5883514136075996E-3</v>
      </c>
      <c r="N2575">
        <v>-5.3841993212699803E-4</v>
      </c>
      <c r="O2575">
        <f t="shared" si="208"/>
        <v>-1.0170254250988296E-2</v>
      </c>
    </row>
    <row r="2576" spans="1:15" x14ac:dyDescent="0.35">
      <c r="A2576" t="s">
        <v>168</v>
      </c>
      <c r="B2576">
        <v>2013</v>
      </c>
      <c r="C2576">
        <v>640549.6875</v>
      </c>
      <c r="D2576" s="8">
        <v>0.92402893304824796</v>
      </c>
      <c r="E2576" s="8">
        <v>1.4999999999999999E-2</v>
      </c>
      <c r="F2576">
        <v>2.2744753138478502</v>
      </c>
      <c r="G2576">
        <f t="shared" si="204"/>
        <v>2.4614762941942305</v>
      </c>
      <c r="H2576">
        <f t="shared" si="206"/>
        <v>-9.005566216268579E-3</v>
      </c>
      <c r="I2576">
        <f t="shared" si="205"/>
        <v>0</v>
      </c>
      <c r="J2576">
        <f t="shared" si="207"/>
        <v>3</v>
      </c>
      <c r="K2576">
        <v>5.5883514136075996E-3</v>
      </c>
      <c r="L2576">
        <v>-5.3841993212699803E-4</v>
      </c>
      <c r="M2576">
        <v>-1.22153572123497E-2</v>
      </c>
      <c r="N2576">
        <v>-1.4223380712792199E-2</v>
      </c>
      <c r="O2576">
        <f t="shared" si="208"/>
        <v>-1.2587330257519996E-2</v>
      </c>
    </row>
    <row r="2577" spans="1:15" x14ac:dyDescent="0.35">
      <c r="A2577" t="s">
        <v>168</v>
      </c>
      <c r="B2577">
        <v>2014</v>
      </c>
      <c r="C2577">
        <v>643545.875</v>
      </c>
      <c r="D2577" s="8">
        <v>0.92248952388763406</v>
      </c>
      <c r="E2577" s="8">
        <v>1.7000000000000001E-2</v>
      </c>
      <c r="F2577">
        <v>2.4136566994413902</v>
      </c>
      <c r="G2577">
        <f t="shared" si="204"/>
        <v>2.6164597395854994</v>
      </c>
      <c r="H2577">
        <f t="shared" si="206"/>
        <v>6.2963614866745177E-2</v>
      </c>
      <c r="I2577">
        <f t="shared" si="205"/>
        <v>1</v>
      </c>
      <c r="J2577">
        <f t="shared" si="207"/>
        <v>3</v>
      </c>
      <c r="K2577">
        <v>-1.22153572123497E-2</v>
      </c>
      <c r="L2577">
        <v>-1.4223380712792199E-2</v>
      </c>
      <c r="M2577">
        <v>2.4068541988730398E-2</v>
      </c>
      <c r="N2577">
        <v>-6.1949100345372902E-3</v>
      </c>
      <c r="O2577">
        <f t="shared" si="208"/>
        <v>-1.0224358737468657E-2</v>
      </c>
    </row>
    <row r="2578" spans="1:15" x14ac:dyDescent="0.35">
      <c r="A2578" t="s">
        <v>168</v>
      </c>
      <c r="B2578">
        <v>2015</v>
      </c>
      <c r="C2578">
        <v>646528.3125</v>
      </c>
      <c r="D2578" s="8">
        <v>0.91194623708724998</v>
      </c>
      <c r="E2578" s="8">
        <v>2.1999999999999999E-2</v>
      </c>
      <c r="F2578">
        <v>2.2349103160292301</v>
      </c>
      <c r="G2578">
        <f t="shared" si="204"/>
        <v>2.4507040274298606</v>
      </c>
      <c r="H2578">
        <f t="shared" si="206"/>
        <v>-6.335114186847679E-2</v>
      </c>
      <c r="I2578">
        <f t="shared" si="205"/>
        <v>0</v>
      </c>
      <c r="J2578">
        <f t="shared" si="207"/>
        <v>3</v>
      </c>
      <c r="K2578">
        <v>2.4068541988730398E-2</v>
      </c>
      <c r="L2578">
        <v>-6.1949100345372902E-3</v>
      </c>
      <c r="M2578">
        <v>-4.6246691718697403E-3</v>
      </c>
      <c r="N2578">
        <v>-1.7778226174414099E-2</v>
      </c>
      <c r="O2578">
        <f t="shared" si="208"/>
        <v>-9.7316004335879572E-3</v>
      </c>
    </row>
    <row r="2579" spans="1:15" x14ac:dyDescent="0.35">
      <c r="A2579" t="s">
        <v>168</v>
      </c>
      <c r="B2579">
        <v>2016</v>
      </c>
      <c r="C2579">
        <v>648473.8125</v>
      </c>
      <c r="D2579" s="8">
        <v>0.89516043663024902</v>
      </c>
      <c r="E2579" s="8">
        <v>0.02</v>
      </c>
      <c r="F2579">
        <v>2.2637113155693598</v>
      </c>
      <c r="G2579">
        <f t="shared" si="204"/>
        <v>2.5288330705173894</v>
      </c>
      <c r="H2579">
        <f t="shared" si="206"/>
        <v>3.188024429431624E-2</v>
      </c>
      <c r="I2579">
        <f t="shared" si="205"/>
        <v>1</v>
      </c>
      <c r="J2579">
        <f t="shared" si="207"/>
        <v>3</v>
      </c>
      <c r="K2579">
        <v>-4.6246691718697403E-3</v>
      </c>
      <c r="L2579">
        <v>-1.7778226174414099E-2</v>
      </c>
      <c r="M2579">
        <v>-9.3267609402536995E-3</v>
      </c>
      <c r="N2579">
        <v>-1.21163344010709E-2</v>
      </c>
      <c r="O2579">
        <f t="shared" si="208"/>
        <v>-1.0043442808091598E-2</v>
      </c>
    </row>
    <row r="2580" spans="1:15" x14ac:dyDescent="0.35">
      <c r="A2580" t="s">
        <v>168</v>
      </c>
      <c r="B2580">
        <v>2017</v>
      </c>
      <c r="C2580">
        <v>648724.5</v>
      </c>
      <c r="D2580" s="8">
        <v>0.89163529872894298</v>
      </c>
      <c r="E2580" s="8">
        <v>2.1999999999999999E-2</v>
      </c>
      <c r="F2580">
        <v>2.4268683470638002</v>
      </c>
      <c r="G2580">
        <f t="shared" si="204"/>
        <v>2.7218172615231642</v>
      </c>
      <c r="H2580">
        <f t="shared" si="206"/>
        <v>7.6313534988013743E-2</v>
      </c>
      <c r="I2580">
        <f t="shared" si="205"/>
        <v>1</v>
      </c>
      <c r="J2580">
        <f t="shared" si="207"/>
        <v>3</v>
      </c>
      <c r="K2580">
        <v>-9.3267609402536995E-3</v>
      </c>
      <c r="L2580">
        <v>-1.21163344010709E-2</v>
      </c>
      <c r="M2580">
        <v>-3.4887769967317998E-3</v>
      </c>
      <c r="N2580">
        <v>-1.26237999647855E-2</v>
      </c>
      <c r="O2580">
        <f t="shared" si="208"/>
        <v>-5.4830364882945777E-3</v>
      </c>
    </row>
    <row r="2581" spans="1:15" x14ac:dyDescent="0.35">
      <c r="A2581" t="s">
        <v>168</v>
      </c>
      <c r="B2581">
        <v>2018</v>
      </c>
      <c r="C2581">
        <v>649856.0625</v>
      </c>
      <c r="D2581" s="8">
        <v>0.90729647874832198</v>
      </c>
      <c r="E2581" s="8">
        <v>2.1000000000000001E-2</v>
      </c>
      <c r="F2581">
        <v>2.2761186637941702</v>
      </c>
      <c r="G2581">
        <f t="shared" si="204"/>
        <v>2.5086823514781327</v>
      </c>
      <c r="H2581">
        <f t="shared" si="206"/>
        <v>-7.8306105651544944E-2</v>
      </c>
      <c r="I2581">
        <f t="shared" si="205"/>
        <v>0</v>
      </c>
      <c r="J2581">
        <f t="shared" si="207"/>
        <v>3</v>
      </c>
      <c r="K2581">
        <v>-3.4887769967317998E-3</v>
      </c>
      <c r="L2581">
        <v>-1.26237999647855E-2</v>
      </c>
      <c r="M2581">
        <v>1.5392671495676E-2</v>
      </c>
      <c r="N2581">
        <v>-2.4085231125355001E-3</v>
      </c>
      <c r="O2581">
        <f t="shared" si="208"/>
        <v>-1.1686045676469778E-3</v>
      </c>
    </row>
    <row r="2582" spans="1:15" x14ac:dyDescent="0.35">
      <c r="A2582" t="s">
        <v>168</v>
      </c>
      <c r="B2582">
        <v>2019</v>
      </c>
      <c r="C2582">
        <v>653167.8125</v>
      </c>
      <c r="D2582" s="8">
        <v>0.90902692079544101</v>
      </c>
      <c r="E2582" s="8">
        <v>3.5000000000000003E-2</v>
      </c>
      <c r="F2582">
        <v>2.2664158889007102</v>
      </c>
      <c r="G2582">
        <f t="shared" si="204"/>
        <v>2.4932329692914821</v>
      </c>
      <c r="H2582">
        <f t="shared" si="206"/>
        <v>-6.158365238049246E-3</v>
      </c>
      <c r="I2582">
        <f t="shared" si="205"/>
        <v>0</v>
      </c>
      <c r="J2582" t="str">
        <f t="shared" si="207"/>
        <v/>
      </c>
      <c r="K2582">
        <v>1.5392671495676E-2</v>
      </c>
      <c r="L2582">
        <v>-2.4085231125355001E-3</v>
      </c>
      <c r="M2582">
        <v>1.51180719137192E-2</v>
      </c>
      <c r="N2582">
        <v>-3.7311185151337901E-3</v>
      </c>
      <c r="O2582">
        <f t="shared" si="208"/>
        <v>-1.3426760211586784E-3</v>
      </c>
    </row>
    <row r="2583" spans="1:15" x14ac:dyDescent="0.35">
      <c r="A2583" t="s">
        <v>168</v>
      </c>
      <c r="B2583">
        <v>2020</v>
      </c>
      <c r="C2583">
        <v>655920.125</v>
      </c>
      <c r="D2583" s="8">
        <v>0.91682052612304699</v>
      </c>
      <c r="E2583" s="8">
        <v>0</v>
      </c>
      <c r="F2583">
        <v>2.18800519137503</v>
      </c>
      <c r="G2583">
        <f t="shared" si="204"/>
        <v>2.3865141857452006</v>
      </c>
      <c r="H2583">
        <f t="shared" si="206"/>
        <v>-4.2803374117344695E-2</v>
      </c>
      <c r="I2583">
        <f t="shared" si="205"/>
        <v>0</v>
      </c>
      <c r="J2583" t="str">
        <f t="shared" si="207"/>
        <v/>
      </c>
      <c r="K2583">
        <v>1.51180719137192E-2</v>
      </c>
      <c r="L2583">
        <v>-3.7311185151337901E-3</v>
      </c>
      <c r="M2583">
        <v>2.4252174675464599E-2</v>
      </c>
      <c r="N2583">
        <v>-1.93374380469323E-2</v>
      </c>
      <c r="O2583">
        <f t="shared" si="208"/>
        <v>-5.9304959140717801E-3</v>
      </c>
    </row>
    <row r="2584" spans="1:15" x14ac:dyDescent="0.35">
      <c r="A2584" t="s">
        <v>168</v>
      </c>
      <c r="B2584">
        <v>2021</v>
      </c>
      <c r="C2584">
        <v>656012.8125</v>
      </c>
      <c r="D2584" s="8">
        <v>0.93395686149597201</v>
      </c>
      <c r="E2584" s="8">
        <v>6.0000000000000001E-3</v>
      </c>
      <c r="F2584">
        <v>2.1833822463552801</v>
      </c>
      <c r="G2584">
        <f t="shared" si="204"/>
        <v>2.337776332472179</v>
      </c>
      <c r="H2584">
        <f t="shared" si="206"/>
        <v>-2.0422192989313026E-2</v>
      </c>
      <c r="I2584">
        <f t="shared" si="205"/>
        <v>0</v>
      </c>
      <c r="J2584" t="str">
        <f t="shared" si="207"/>
        <v/>
      </c>
      <c r="K2584">
        <v>2.4252174675464599E-2</v>
      </c>
      <c r="L2584">
        <v>-1.93374380469323E-2</v>
      </c>
      <c r="M2584">
        <v>-2.1417809575796101E-2</v>
      </c>
      <c r="N2584">
        <v>1.06856971979142E-2</v>
      </c>
      <c r="O2584">
        <f t="shared" si="208"/>
        <v>-1.9759452901780294E-3</v>
      </c>
    </row>
    <row r="2585" spans="1:15" x14ac:dyDescent="0.35">
      <c r="A2585" t="s">
        <v>168</v>
      </c>
      <c r="B2585">
        <v>2022</v>
      </c>
      <c r="C2585">
        <v>658156.125</v>
      </c>
      <c r="D2585" s="8">
        <v>0.93061578273773204</v>
      </c>
      <c r="E2585" s="8">
        <v>2E-3</v>
      </c>
      <c r="F2585">
        <v>2.1740756230165501</v>
      </c>
      <c r="G2585">
        <f t="shared" si="204"/>
        <v>2.3361688715623816</v>
      </c>
      <c r="H2585">
        <f t="shared" si="206"/>
        <v>-6.8760252530120081E-4</v>
      </c>
      <c r="I2585">
        <f t="shared" si="205"/>
        <v>0</v>
      </c>
      <c r="J2585" t="str">
        <f t="shared" si="207"/>
        <v/>
      </c>
      <c r="K2585">
        <v>-2.1417809575796101E-2</v>
      </c>
      <c r="L2585">
        <v>1.11644007265567E-2</v>
      </c>
      <c r="M2585">
        <v>-1.06105681359768E-2</v>
      </c>
      <c r="N2585">
        <v>8.9483596384525004E-3</v>
      </c>
      <c r="O2585">
        <f t="shared" si="208"/>
        <v>-3.7592394743114579E-3</v>
      </c>
    </row>
    <row r="2586" spans="1:15" x14ac:dyDescent="0.35">
      <c r="A2586" t="s">
        <v>169</v>
      </c>
      <c r="B2586">
        <v>2006</v>
      </c>
      <c r="C2586">
        <v>615852.8125</v>
      </c>
      <c r="D2586" s="8">
        <v>0.892863869667053</v>
      </c>
      <c r="E2586" s="8">
        <v>0</v>
      </c>
      <c r="F2586">
        <v>2.3004743657316999</v>
      </c>
      <c r="G2586">
        <f t="shared" si="204"/>
        <v>2.5765118781091925</v>
      </c>
      <c r="H2586">
        <f t="shared" si="206"/>
        <v>0.10287912379642083</v>
      </c>
      <c r="I2586">
        <f t="shared" si="205"/>
        <v>1</v>
      </c>
      <c r="J2586" t="str">
        <f t="shared" si="207"/>
        <v/>
      </c>
      <c r="K2586">
        <v>3.2106613397598197E-2</v>
      </c>
      <c r="L2586">
        <v>2.5743573904037399E-2</v>
      </c>
      <c r="M2586">
        <v>-4.2006363123655004E-3</v>
      </c>
      <c r="N2586">
        <v>-3.2788803800940002E-3</v>
      </c>
      <c r="O2586" t="str">
        <f t="shared" si="208"/>
        <v/>
      </c>
    </row>
    <row r="2587" spans="1:15" x14ac:dyDescent="0.35">
      <c r="A2587" t="s">
        <v>169</v>
      </c>
      <c r="B2587">
        <v>2007</v>
      </c>
      <c r="C2587">
        <v>625343.375</v>
      </c>
      <c r="D2587" s="8">
        <v>0.869911909103394</v>
      </c>
      <c r="E2587" s="8">
        <v>3.3000000000000002E-2</v>
      </c>
      <c r="F2587">
        <v>2.3858634253902999</v>
      </c>
      <c r="G2587">
        <f t="shared" si="204"/>
        <v>2.7426494572874347</v>
      </c>
      <c r="H2587">
        <f t="shared" si="206"/>
        <v>6.4481588689653035E-2</v>
      </c>
      <c r="I2587">
        <f t="shared" si="205"/>
        <v>1</v>
      </c>
      <c r="J2587" t="str">
        <f t="shared" si="207"/>
        <v/>
      </c>
      <c r="K2587">
        <v>-4.2006363123655004E-3</v>
      </c>
      <c r="L2587">
        <v>-3.2788803800940002E-3</v>
      </c>
      <c r="M2587">
        <v>-5.6181022256612798E-2</v>
      </c>
      <c r="N2587">
        <v>-2.66702179796993E-2</v>
      </c>
      <c r="O2587" t="str">
        <f t="shared" si="208"/>
        <v/>
      </c>
    </row>
    <row r="2588" spans="1:15" x14ac:dyDescent="0.35">
      <c r="A2588" t="s">
        <v>169</v>
      </c>
      <c r="B2588">
        <v>2008</v>
      </c>
      <c r="C2588">
        <v>633588.375</v>
      </c>
      <c r="D2588" s="8">
        <v>0.85511833429336503</v>
      </c>
      <c r="E2588" s="8">
        <v>4.5999999999999999E-2</v>
      </c>
      <c r="F2588">
        <v>2.2630490243397898</v>
      </c>
      <c r="G2588">
        <f t="shared" si="204"/>
        <v>2.646474684945074</v>
      </c>
      <c r="H2588">
        <f t="shared" si="206"/>
        <v>-3.5066374263330258E-2</v>
      </c>
      <c r="I2588">
        <f t="shared" si="205"/>
        <v>0</v>
      </c>
      <c r="J2588" t="str">
        <f t="shared" si="207"/>
        <v/>
      </c>
      <c r="K2588">
        <v>-5.6181022256612798E-2</v>
      </c>
      <c r="L2588">
        <v>-2.66702179796993E-2</v>
      </c>
      <c r="M2588">
        <v>-2.6131386592984199E-2</v>
      </c>
      <c r="N2588">
        <v>4.35315072536451E-4</v>
      </c>
      <c r="O2588" t="str">
        <f t="shared" si="208"/>
        <v/>
      </c>
    </row>
    <row r="2589" spans="1:15" x14ac:dyDescent="0.35">
      <c r="A2589" t="s">
        <v>169</v>
      </c>
      <c r="B2589">
        <v>2009</v>
      </c>
      <c r="C2589">
        <v>638597.4375</v>
      </c>
      <c r="D2589" s="8">
        <v>0.87405711412429798</v>
      </c>
      <c r="E2589" s="8">
        <v>0.01</v>
      </c>
      <c r="F2589">
        <v>2.3757677275265201</v>
      </c>
      <c r="G2589">
        <f t="shared" si="204"/>
        <v>2.7180920893330396</v>
      </c>
      <c r="H2589">
        <f t="shared" si="206"/>
        <v>2.7061435650744592E-2</v>
      </c>
      <c r="I2589">
        <f t="shared" si="205"/>
        <v>1</v>
      </c>
      <c r="J2589" t="str">
        <f t="shared" si="207"/>
        <v/>
      </c>
      <c r="K2589">
        <v>-2.6131386592984199E-2</v>
      </c>
      <c r="L2589">
        <v>4.35315072536451E-4</v>
      </c>
      <c r="M2589">
        <v>-7.6908824816346198E-3</v>
      </c>
      <c r="N2589">
        <v>1.76922627724706E-3</v>
      </c>
      <c r="O2589" t="str">
        <f t="shared" si="208"/>
        <v/>
      </c>
    </row>
    <row r="2590" spans="1:15" x14ac:dyDescent="0.35">
      <c r="A2590" t="s">
        <v>169</v>
      </c>
      <c r="B2590">
        <v>2010</v>
      </c>
      <c r="C2590">
        <v>641870</v>
      </c>
      <c r="D2590" s="8">
        <v>0.88358217477798495</v>
      </c>
      <c r="E2590" s="8">
        <v>0</v>
      </c>
      <c r="F2590">
        <v>2.3008341416100802</v>
      </c>
      <c r="G2590">
        <f t="shared" si="204"/>
        <v>2.603984334777016</v>
      </c>
      <c r="H2590">
        <f t="shared" si="206"/>
        <v>-4.1980827288314315E-2</v>
      </c>
      <c r="I2590">
        <f t="shared" si="205"/>
        <v>0</v>
      </c>
      <c r="J2590">
        <f t="shared" si="207"/>
        <v>3</v>
      </c>
      <c r="K2590">
        <v>-7.6908824816346198E-3</v>
      </c>
      <c r="L2590">
        <v>1.76922627724706E-3</v>
      </c>
      <c r="M2590">
        <v>-2.08853756710887E-2</v>
      </c>
      <c r="N2590">
        <v>3.9839884266259698E-4</v>
      </c>
      <c r="O2590">
        <f t="shared" si="208"/>
        <v>-2.3442829959094405E-3</v>
      </c>
    </row>
    <row r="2591" spans="1:15" x14ac:dyDescent="0.35">
      <c r="A2591" t="s">
        <v>169</v>
      </c>
      <c r="B2591">
        <v>2011</v>
      </c>
      <c r="C2591">
        <v>644404.75</v>
      </c>
      <c r="D2591" s="8">
        <v>0.88548785448074296</v>
      </c>
      <c r="E2591" s="8">
        <v>5.0000000000000001E-3</v>
      </c>
      <c r="F2591">
        <v>2.2744937090381998</v>
      </c>
      <c r="G2591">
        <f t="shared" si="204"/>
        <v>2.5686334346979618</v>
      </c>
      <c r="H2591">
        <f t="shared" si="206"/>
        <v>-1.3575696138771631E-2</v>
      </c>
      <c r="I2591">
        <f t="shared" si="205"/>
        <v>0</v>
      </c>
      <c r="J2591">
        <f t="shared" si="207"/>
        <v>2</v>
      </c>
      <c r="K2591">
        <v>-2.08853756710887E-2</v>
      </c>
      <c r="L2591">
        <v>3.9839884266259698E-4</v>
      </c>
      <c r="M2591">
        <v>-1.9674286529421801E-2</v>
      </c>
      <c r="N2591">
        <v>-1.42360804602504E-2</v>
      </c>
      <c r="O2591">
        <f t="shared" si="208"/>
        <v>7.3539037257433981E-4</v>
      </c>
    </row>
    <row r="2592" spans="1:15" x14ac:dyDescent="0.35">
      <c r="A2592" t="s">
        <v>169</v>
      </c>
      <c r="B2592">
        <v>2012</v>
      </c>
      <c r="C2592">
        <v>646881.6875</v>
      </c>
      <c r="D2592" s="8">
        <v>0.89379519224166903</v>
      </c>
      <c r="E2592" s="8">
        <v>2.7E-2</v>
      </c>
      <c r="F2592">
        <v>2.2754941295197701</v>
      </c>
      <c r="G2592">
        <f t="shared" si="204"/>
        <v>2.545878685935592</v>
      </c>
      <c r="H2592">
        <f t="shared" si="206"/>
        <v>-8.8586983471409253E-3</v>
      </c>
      <c r="I2592">
        <f t="shared" si="205"/>
        <v>0</v>
      </c>
      <c r="J2592">
        <f t="shared" si="207"/>
        <v>1</v>
      </c>
      <c r="K2592">
        <v>-1.9674286529421801E-2</v>
      </c>
      <c r="L2592">
        <v>-1.4321679249405901E-2</v>
      </c>
      <c r="M2592">
        <v>1.31249526888132E-2</v>
      </c>
      <c r="N2592">
        <v>6.9981813430785899E-3</v>
      </c>
      <c r="O2592">
        <f t="shared" si="208"/>
        <v>4.2825285345316193E-3</v>
      </c>
    </row>
    <row r="2593" spans="1:15" x14ac:dyDescent="0.35">
      <c r="A2593" t="s">
        <v>169</v>
      </c>
      <c r="B2593">
        <v>2013</v>
      </c>
      <c r="C2593">
        <v>649692.3125</v>
      </c>
      <c r="D2593" s="8">
        <v>0.89981293678283703</v>
      </c>
      <c r="E2593" s="8">
        <v>-5.0000000000000001E-3</v>
      </c>
      <c r="F2593">
        <v>2.2745204579342402</v>
      </c>
      <c r="G2593">
        <f t="shared" si="204"/>
        <v>2.5277703453192051</v>
      </c>
      <c r="H2593">
        <f t="shared" si="206"/>
        <v>-7.1128057736703498E-3</v>
      </c>
      <c r="I2593">
        <f t="shared" si="205"/>
        <v>0</v>
      </c>
      <c r="J2593">
        <f t="shared" si="207"/>
        <v>1</v>
      </c>
      <c r="K2593">
        <v>1.31249526888132E-2</v>
      </c>
      <c r="L2593">
        <v>6.9981813430785899E-3</v>
      </c>
      <c r="M2593">
        <v>8.4872992336749997E-4</v>
      </c>
      <c r="N2593">
        <v>-1.159293577075E-3</v>
      </c>
      <c r="O2593">
        <f t="shared" si="208"/>
        <v>6.4529124647379225E-3</v>
      </c>
    </row>
    <row r="2594" spans="1:15" x14ac:dyDescent="0.35">
      <c r="A2594" t="s">
        <v>169</v>
      </c>
      <c r="B2594">
        <v>2014</v>
      </c>
      <c r="C2594">
        <v>652744.625</v>
      </c>
      <c r="D2594" s="8">
        <v>0.90218478441238403</v>
      </c>
      <c r="E2594" s="8">
        <v>0</v>
      </c>
      <c r="F2594">
        <v>2.2797261055634799</v>
      </c>
      <c r="G2594">
        <f t="shared" si="204"/>
        <v>2.5268948722609235</v>
      </c>
      <c r="H2594">
        <f t="shared" si="206"/>
        <v>-3.4634200844341212E-4</v>
      </c>
      <c r="I2594">
        <f t="shared" si="205"/>
        <v>0</v>
      </c>
      <c r="J2594">
        <f t="shared" si="207"/>
        <v>0</v>
      </c>
      <c r="K2594">
        <v>8.4872992336749997E-4</v>
      </c>
      <c r="L2594">
        <v>-1.159293577075E-3</v>
      </c>
      <c r="M2594">
        <v>2.65408308953047E-2</v>
      </c>
      <c r="N2594">
        <v>-3.7226211279629902E-3</v>
      </c>
      <c r="O2594">
        <f t="shared" si="208"/>
        <v>8.3763986825943198E-3</v>
      </c>
    </row>
    <row r="2595" spans="1:15" x14ac:dyDescent="0.35">
      <c r="A2595" t="s">
        <v>169</v>
      </c>
      <c r="B2595">
        <v>2015</v>
      </c>
      <c r="C2595">
        <v>655908.3125</v>
      </c>
      <c r="D2595" s="8">
        <v>0.90065932273864702</v>
      </c>
      <c r="E2595" s="8">
        <v>0.04</v>
      </c>
      <c r="F2595">
        <v>2.3153748090638602</v>
      </c>
      <c r="G2595">
        <f t="shared" si="204"/>
        <v>2.5707553906436771</v>
      </c>
      <c r="H2595">
        <f t="shared" si="206"/>
        <v>1.735747650772268E-2</v>
      </c>
      <c r="I2595">
        <f t="shared" si="205"/>
        <v>1</v>
      </c>
      <c r="J2595">
        <f t="shared" si="207"/>
        <v>1</v>
      </c>
      <c r="K2595">
        <v>2.65408308953047E-2</v>
      </c>
      <c r="L2595">
        <v>-3.7226211279629902E-3</v>
      </c>
      <c r="M2595">
        <v>2.8950322687625901E-2</v>
      </c>
      <c r="N2595">
        <v>1.5796765685081499E-2</v>
      </c>
      <c r="O2595">
        <f t="shared" si="208"/>
        <v>1.3030267506837858E-2</v>
      </c>
    </row>
    <row r="2596" spans="1:15" x14ac:dyDescent="0.35">
      <c r="A2596" t="s">
        <v>169</v>
      </c>
      <c r="B2596">
        <v>2016</v>
      </c>
      <c r="C2596">
        <v>660708.375</v>
      </c>
      <c r="D2596" s="8">
        <v>0.91590279340743996</v>
      </c>
      <c r="E2596" s="8">
        <v>1.7999999999999999E-2</v>
      </c>
      <c r="F2596">
        <v>2.3698121872809401</v>
      </c>
      <c r="G2596">
        <f t="shared" si="204"/>
        <v>2.5874057862237874</v>
      </c>
      <c r="H2596">
        <f t="shared" si="206"/>
        <v>6.4768494274911603E-3</v>
      </c>
      <c r="I2596">
        <f t="shared" si="205"/>
        <v>1</v>
      </c>
      <c r="J2596">
        <f t="shared" si="207"/>
        <v>2</v>
      </c>
      <c r="K2596">
        <v>2.8950322687625901E-2</v>
      </c>
      <c r="L2596">
        <v>1.5796765685081499E-2</v>
      </c>
      <c r="M2596">
        <v>6.28918381035329E-3</v>
      </c>
      <c r="N2596">
        <v>3.4996103495360002E-3</v>
      </c>
      <c r="O2596">
        <f t="shared" si="208"/>
        <v>1.9192130118608378E-2</v>
      </c>
    </row>
    <row r="2597" spans="1:15" x14ac:dyDescent="0.35">
      <c r="A2597" t="s">
        <v>169</v>
      </c>
      <c r="B2597">
        <v>2017</v>
      </c>
      <c r="C2597">
        <v>665635.9375</v>
      </c>
      <c r="D2597" s="8">
        <v>0.92150831222534202</v>
      </c>
      <c r="E2597" s="8">
        <v>1.7999999999999999E-2</v>
      </c>
      <c r="F2597">
        <v>2.3138554948391001</v>
      </c>
      <c r="G2597">
        <f t="shared" si="204"/>
        <v>2.5109437040794473</v>
      </c>
      <c r="H2597">
        <f t="shared" si="206"/>
        <v>-2.955163915588721E-2</v>
      </c>
      <c r="I2597">
        <f t="shared" si="205"/>
        <v>0</v>
      </c>
      <c r="J2597">
        <f t="shared" si="207"/>
        <v>2</v>
      </c>
      <c r="K2597">
        <v>6.28918381035329E-3</v>
      </c>
      <c r="L2597">
        <v>3.4996103495360002E-3</v>
      </c>
      <c r="M2597">
        <v>2.69851239621638E-2</v>
      </c>
      <c r="N2597">
        <v>1.78501009941101E-2</v>
      </c>
      <c r="O2597">
        <f t="shared" si="208"/>
        <v>1.9091165438294314E-2</v>
      </c>
    </row>
    <row r="2598" spans="1:15" x14ac:dyDescent="0.35">
      <c r="A2598" t="s">
        <v>169</v>
      </c>
      <c r="B2598">
        <v>2018</v>
      </c>
      <c r="C2598">
        <v>669788.875</v>
      </c>
      <c r="D2598" s="8">
        <v>0.926011443138123</v>
      </c>
      <c r="E2598" s="8">
        <v>5.0000000000000001E-3</v>
      </c>
      <c r="F2598">
        <v>2.30243628939267</v>
      </c>
      <c r="G2598">
        <f t="shared" si="204"/>
        <v>2.4864015520046232</v>
      </c>
      <c r="H2598">
        <f t="shared" si="206"/>
        <v>-9.7740749961663376E-3</v>
      </c>
      <c r="I2598">
        <f t="shared" si="205"/>
        <v>0</v>
      </c>
      <c r="J2598">
        <f t="shared" si="207"/>
        <v>2</v>
      </c>
      <c r="K2598">
        <v>2.69851239621638E-2</v>
      </c>
      <c r="L2598">
        <v>1.78501009941101E-2</v>
      </c>
      <c r="M2598">
        <v>2.6259332120418501E-2</v>
      </c>
      <c r="N2598">
        <v>8.4581375122069896E-3</v>
      </c>
      <c r="O2598">
        <f t="shared" si="208"/>
        <v>1.4644150808453457E-2</v>
      </c>
    </row>
    <row r="2599" spans="1:15" x14ac:dyDescent="0.35">
      <c r="A2599" t="s">
        <v>169</v>
      </c>
      <c r="B2599">
        <v>2019</v>
      </c>
      <c r="C2599">
        <v>674204.5</v>
      </c>
      <c r="D2599" s="8">
        <v>0.92363727092742898</v>
      </c>
      <c r="E2599" s="8">
        <v>2.9000000000000001E-2</v>
      </c>
      <c r="F2599">
        <v>2.2099342845302199</v>
      </c>
      <c r="G2599">
        <f t="shared" si="204"/>
        <v>2.3926430364933342</v>
      </c>
      <c r="H2599">
        <f t="shared" si="206"/>
        <v>-3.7708517128175689E-2</v>
      </c>
      <c r="I2599">
        <f t="shared" si="205"/>
        <v>0</v>
      </c>
      <c r="J2599" t="str">
        <f t="shared" si="207"/>
        <v/>
      </c>
      <c r="K2599">
        <v>2.6259332120418501E-2</v>
      </c>
      <c r="L2599">
        <v>8.4581375122069896E-3</v>
      </c>
      <c r="M2599">
        <v>3.83959134221077E-2</v>
      </c>
      <c r="N2599">
        <v>1.95467229932547E-2</v>
      </c>
      <c r="O2599">
        <f t="shared" si="208"/>
        <v>1.349501665681592E-2</v>
      </c>
    </row>
    <row r="2600" spans="1:15" x14ac:dyDescent="0.35">
      <c r="A2600" t="s">
        <v>169</v>
      </c>
      <c r="B2600">
        <v>2020</v>
      </c>
      <c r="C2600">
        <v>677761.25</v>
      </c>
      <c r="D2600" s="8">
        <v>0.93954885005950906</v>
      </c>
      <c r="E2600" s="8">
        <v>1.0999999999999999E-2</v>
      </c>
      <c r="F2600">
        <v>1.9222474805801</v>
      </c>
      <c r="G2600">
        <f t="shared" si="204"/>
        <v>2.0459260638319643</v>
      </c>
      <c r="H2600">
        <f t="shared" si="206"/>
        <v>-0.14490961141011638</v>
      </c>
      <c r="I2600">
        <f t="shared" si="205"/>
        <v>0</v>
      </c>
      <c r="J2600" t="str">
        <f t="shared" si="207"/>
        <v/>
      </c>
      <c r="K2600">
        <v>3.83959134221077E-2</v>
      </c>
      <c r="L2600">
        <v>1.95467229932547E-2</v>
      </c>
      <c r="M2600">
        <v>9.0195691466330996E-2</v>
      </c>
      <c r="N2600">
        <v>4.6606078743934097E-2</v>
      </c>
      <c r="O2600">
        <f t="shared" si="208"/>
        <v>9.4244298525153654E-3</v>
      </c>
    </row>
    <row r="2601" spans="1:15" x14ac:dyDescent="0.35">
      <c r="A2601" t="s">
        <v>169</v>
      </c>
      <c r="B2601">
        <v>2021</v>
      </c>
      <c r="C2601">
        <v>683454.5</v>
      </c>
      <c r="D2601" s="8">
        <v>0.95577412843704201</v>
      </c>
      <c r="E2601" s="8">
        <v>0</v>
      </c>
      <c r="F2601">
        <v>2.1516713005869601</v>
      </c>
      <c r="G2601">
        <f t="shared" si="204"/>
        <v>2.2512340903237718</v>
      </c>
      <c r="H2601">
        <f t="shared" si="206"/>
        <v>0.10034968033364366</v>
      </c>
      <c r="I2601">
        <f t="shared" si="205"/>
        <v>1</v>
      </c>
      <c r="J2601" t="str">
        <f t="shared" si="207"/>
        <v/>
      </c>
      <c r="K2601">
        <v>9.0195691466330996E-2</v>
      </c>
      <c r="L2601">
        <v>4.6606078743934097E-2</v>
      </c>
      <c r="M2601">
        <v>-2.9108719825744599E-2</v>
      </c>
      <c r="N2601">
        <v>2.99478694796569E-3</v>
      </c>
      <c r="O2601">
        <f t="shared" si="208"/>
        <v>1.7550112679601515E-4</v>
      </c>
    </row>
    <row r="2602" spans="1:15" x14ac:dyDescent="0.35">
      <c r="A2602" t="s">
        <v>169</v>
      </c>
      <c r="B2602">
        <v>2022</v>
      </c>
      <c r="C2602">
        <v>690568.8125</v>
      </c>
      <c r="D2602" s="8">
        <v>0.91489386558532704</v>
      </c>
      <c r="E2602" s="8">
        <v>3.5000000000000003E-2</v>
      </c>
      <c r="F2602">
        <v>2.1221159128364699</v>
      </c>
      <c r="G2602">
        <f t="shared" si="204"/>
        <v>2.3195214140809561</v>
      </c>
      <c r="H2602">
        <f t="shared" si="206"/>
        <v>3.0333284330890331E-2</v>
      </c>
      <c r="I2602">
        <f t="shared" si="205"/>
        <v>1</v>
      </c>
      <c r="J2602" t="str">
        <f t="shared" si="207"/>
        <v/>
      </c>
      <c r="K2602">
        <v>-2.9108719825744599E-2</v>
      </c>
      <c r="L2602">
        <v>3.4734904766082898E-3</v>
      </c>
      <c r="M2602">
        <v>-2.3943899929523501E-2</v>
      </c>
      <c r="N2602">
        <v>-4.3849721550941901E-3</v>
      </c>
      <c r="O2602">
        <f t="shared" si="208"/>
        <v>1.9776153843849573E-3</v>
      </c>
    </row>
    <row r="2603" spans="1:15" x14ac:dyDescent="0.35">
      <c r="A2603" t="s">
        <v>170</v>
      </c>
      <c r="B2603">
        <v>2006</v>
      </c>
      <c r="C2603">
        <v>902922.4375</v>
      </c>
      <c r="D2603" s="8">
        <v>0.93952405452728305</v>
      </c>
      <c r="E2603" s="8">
        <v>0.01</v>
      </c>
      <c r="F2603">
        <v>2.0929818200652601</v>
      </c>
      <c r="G2603">
        <f t="shared" si="204"/>
        <v>2.227704346663411</v>
      </c>
      <c r="H2603">
        <f t="shared" si="206"/>
        <v>-3.9584487929345102E-2</v>
      </c>
      <c r="I2603">
        <f t="shared" si="205"/>
        <v>0</v>
      </c>
      <c r="J2603" t="str">
        <f t="shared" si="207"/>
        <v/>
      </c>
      <c r="K2603">
        <v>-7.1628190279006999E-3</v>
      </c>
      <c r="L2603">
        <v>-1.35258585214614E-2</v>
      </c>
      <c r="M2603">
        <v>1.7907108217477901E-3</v>
      </c>
      <c r="N2603">
        <v>2.7124667540192999E-3</v>
      </c>
      <c r="O2603" t="str">
        <f t="shared" si="208"/>
        <v/>
      </c>
    </row>
    <row r="2604" spans="1:15" x14ac:dyDescent="0.35">
      <c r="A2604" t="s">
        <v>170</v>
      </c>
      <c r="B2604">
        <v>2007</v>
      </c>
      <c r="C2604">
        <v>906320.6875</v>
      </c>
      <c r="D2604" s="8">
        <v>0.94373303651809703</v>
      </c>
      <c r="E2604" s="8">
        <v>1E-3</v>
      </c>
      <c r="F2604">
        <v>2.1518822651167699</v>
      </c>
      <c r="G2604">
        <f t="shared" si="204"/>
        <v>2.2801811336987199</v>
      </c>
      <c r="H2604">
        <f t="shared" si="206"/>
        <v>2.3556441461321853E-2</v>
      </c>
      <c r="I2604">
        <f t="shared" si="205"/>
        <v>1</v>
      </c>
      <c r="J2604" t="str">
        <f t="shared" si="207"/>
        <v/>
      </c>
      <c r="K2604">
        <v>1.7907108217477901E-3</v>
      </c>
      <c r="L2604">
        <v>2.7124667540192999E-3</v>
      </c>
      <c r="M2604">
        <v>-3.0317015305161399E-2</v>
      </c>
      <c r="N2604">
        <v>-8.0621102824807503E-4</v>
      </c>
      <c r="O2604" t="str">
        <f t="shared" si="208"/>
        <v/>
      </c>
    </row>
    <row r="2605" spans="1:15" x14ac:dyDescent="0.35">
      <c r="A2605" t="s">
        <v>170</v>
      </c>
      <c r="B2605">
        <v>2008</v>
      </c>
      <c r="C2605">
        <v>909930.75</v>
      </c>
      <c r="D2605" s="8">
        <v>0.94756108522415206</v>
      </c>
      <c r="E2605" s="8">
        <v>1.9E-2</v>
      </c>
      <c r="F2605">
        <v>2.1700844513716899</v>
      </c>
      <c r="G2605">
        <f t="shared" si="204"/>
        <v>2.2901789501606027</v>
      </c>
      <c r="H2605">
        <f t="shared" si="206"/>
        <v>4.3846588826323973E-3</v>
      </c>
      <c r="I2605">
        <f t="shared" si="205"/>
        <v>1</v>
      </c>
      <c r="J2605" t="str">
        <f t="shared" si="207"/>
        <v/>
      </c>
      <c r="K2605">
        <v>-3.0317015305161399E-2</v>
      </c>
      <c r="L2605">
        <v>-8.0621102824807503E-4</v>
      </c>
      <c r="M2605">
        <v>-2.62052665501833E-2</v>
      </c>
      <c r="N2605">
        <v>3.6143511533735101E-4</v>
      </c>
      <c r="O2605" t="str">
        <f t="shared" si="208"/>
        <v/>
      </c>
    </row>
    <row r="2606" spans="1:15" x14ac:dyDescent="0.35">
      <c r="A2606" t="s">
        <v>170</v>
      </c>
      <c r="B2606">
        <v>2009</v>
      </c>
      <c r="C2606">
        <v>915020.625</v>
      </c>
      <c r="D2606" s="8">
        <v>0.94396162033081099</v>
      </c>
      <c r="E2606" s="8">
        <v>1.6E-2</v>
      </c>
      <c r="F2606">
        <v>2.2099354786838399</v>
      </c>
      <c r="G2606">
        <f t="shared" si="204"/>
        <v>2.3411285279896958</v>
      </c>
      <c r="H2606">
        <f t="shared" si="206"/>
        <v>2.224698547051096E-2</v>
      </c>
      <c r="I2606">
        <f t="shared" si="205"/>
        <v>1</v>
      </c>
      <c r="J2606" t="str">
        <f t="shared" si="207"/>
        <v/>
      </c>
      <c r="K2606">
        <v>-2.62052665501833E-2</v>
      </c>
      <c r="L2606">
        <v>3.6143511533735101E-4</v>
      </c>
      <c r="M2606">
        <v>2.5452494770288E-3</v>
      </c>
      <c r="N2606">
        <v>1.20053582359104E-2</v>
      </c>
      <c r="O2606" t="str">
        <f t="shared" si="208"/>
        <v/>
      </c>
    </row>
    <row r="2607" spans="1:15" x14ac:dyDescent="0.35">
      <c r="A2607" t="s">
        <v>170</v>
      </c>
      <c r="B2607">
        <v>2010</v>
      </c>
      <c r="C2607">
        <v>921476.9375</v>
      </c>
      <c r="D2607" s="8">
        <v>0.94379597902297996</v>
      </c>
      <c r="E2607" s="8">
        <v>1.2E-2</v>
      </c>
      <c r="F2607">
        <v>2.1524806885696299</v>
      </c>
      <c r="G2607">
        <f t="shared" si="204"/>
        <v>2.2806631267892068</v>
      </c>
      <c r="H2607">
        <f t="shared" si="206"/>
        <v>-2.5827459055573598E-2</v>
      </c>
      <c r="I2607">
        <f t="shared" si="205"/>
        <v>0</v>
      </c>
      <c r="J2607">
        <f t="shared" si="207"/>
        <v>3</v>
      </c>
      <c r="K2607">
        <v>2.5452494770288E-3</v>
      </c>
      <c r="L2607">
        <v>1.20053582359104E-2</v>
      </c>
      <c r="M2607">
        <v>-2.1100504666566801E-2</v>
      </c>
      <c r="N2607">
        <v>1.83269847184499E-4</v>
      </c>
      <c r="O2607">
        <f t="shared" si="208"/>
        <v>4.8632341437041798E-3</v>
      </c>
    </row>
    <row r="2608" spans="1:15" x14ac:dyDescent="0.35">
      <c r="A2608" t="s">
        <v>170</v>
      </c>
      <c r="B2608">
        <v>2011</v>
      </c>
      <c r="C2608">
        <v>927860.75</v>
      </c>
      <c r="D2608" s="8">
        <v>0.94704174995422397</v>
      </c>
      <c r="E2608" s="8">
        <v>7.0000000000000001E-3</v>
      </c>
      <c r="F2608">
        <v>2.1823843416370101</v>
      </c>
      <c r="G2608">
        <f t="shared" si="204"/>
        <v>2.3044225259789206</v>
      </c>
      <c r="H2608">
        <f t="shared" si="206"/>
        <v>1.0417759164266904E-2</v>
      </c>
      <c r="I2608">
        <f t="shared" si="205"/>
        <v>1</v>
      </c>
      <c r="J2608">
        <f t="shared" si="207"/>
        <v>4</v>
      </c>
      <c r="K2608">
        <v>-2.1100504666566801E-2</v>
      </c>
      <c r="L2608">
        <v>1.83269847184499E-4</v>
      </c>
      <c r="M2608">
        <v>-5.4712652266025999E-3</v>
      </c>
      <c r="N2608">
        <v>-3.30591574312002E-5</v>
      </c>
      <c r="O2608">
        <f t="shared" si="208"/>
        <v>5.2007103338837599E-3</v>
      </c>
    </row>
    <row r="2609" spans="1:15" x14ac:dyDescent="0.35">
      <c r="A2609" t="s">
        <v>170</v>
      </c>
      <c r="B2609">
        <v>2012</v>
      </c>
      <c r="C2609">
        <v>934013.625</v>
      </c>
      <c r="D2609" s="8">
        <v>0.94909799098968495</v>
      </c>
      <c r="E2609" s="8">
        <v>7.0000000000000001E-3</v>
      </c>
      <c r="F2609">
        <v>2.2308427192276699</v>
      </c>
      <c r="G2609">
        <f t="shared" si="204"/>
        <v>2.3504872419985086</v>
      </c>
      <c r="H2609">
        <f t="shared" si="206"/>
        <v>1.9989700456525261E-2</v>
      </c>
      <c r="I2609">
        <f t="shared" si="205"/>
        <v>1</v>
      </c>
      <c r="J2609">
        <f t="shared" si="207"/>
        <v>4</v>
      </c>
      <c r="K2609">
        <v>-5.4712652266025999E-3</v>
      </c>
      <c r="L2609">
        <v>-1.18657946586699E-4</v>
      </c>
      <c r="M2609">
        <v>6.4374847710133003E-3</v>
      </c>
      <c r="N2609">
        <v>3.1071342527870099E-4</v>
      </c>
      <c r="O2609">
        <f t="shared" si="208"/>
        <v>4.459167644381542E-3</v>
      </c>
    </row>
    <row r="2610" spans="1:15" x14ac:dyDescent="0.35">
      <c r="A2610" t="s">
        <v>170</v>
      </c>
      <c r="B2610">
        <v>2013</v>
      </c>
      <c r="C2610">
        <v>940767.25</v>
      </c>
      <c r="D2610" s="8">
        <v>0.94589745998382602</v>
      </c>
      <c r="E2610" s="8">
        <v>1.2999999999999999E-2</v>
      </c>
      <c r="F2610">
        <v>2.2909866087228399</v>
      </c>
      <c r="G2610">
        <f t="shared" si="204"/>
        <v>2.4220242739228981</v>
      </c>
      <c r="H2610">
        <f t="shared" si="206"/>
        <v>3.0434979882539182E-2</v>
      </c>
      <c r="I2610">
        <f t="shared" si="205"/>
        <v>1</v>
      </c>
      <c r="J2610">
        <f t="shared" si="207"/>
        <v>4</v>
      </c>
      <c r="K2610">
        <v>6.4374847710133003E-3</v>
      </c>
      <c r="L2610">
        <v>3.1071342527870099E-4</v>
      </c>
      <c r="M2610">
        <v>1.4029121786356E-2</v>
      </c>
      <c r="N2610">
        <v>1.20210982859134E-2</v>
      </c>
      <c r="O2610">
        <f t="shared" si="208"/>
        <v>5.8743759989738622E-3</v>
      </c>
    </row>
    <row r="2611" spans="1:15" x14ac:dyDescent="0.35">
      <c r="A2611" t="s">
        <v>170</v>
      </c>
      <c r="B2611">
        <v>2014</v>
      </c>
      <c r="C2611">
        <v>947693</v>
      </c>
      <c r="D2611" s="8">
        <v>0.95172107219696001</v>
      </c>
      <c r="E2611" s="8">
        <v>3.0000000000000001E-3</v>
      </c>
      <c r="F2611">
        <v>2.2244566873368399</v>
      </c>
      <c r="G2611">
        <f t="shared" si="204"/>
        <v>2.3372989758458194</v>
      </c>
      <c r="H2611">
        <f t="shared" si="206"/>
        <v>-3.4981192793683724E-2</v>
      </c>
      <c r="I2611">
        <f t="shared" si="205"/>
        <v>0</v>
      </c>
      <c r="J2611">
        <f t="shared" si="207"/>
        <v>3</v>
      </c>
      <c r="K2611">
        <v>1.4029121786356E-2</v>
      </c>
      <c r="L2611">
        <v>1.20210982859134E-2</v>
      </c>
      <c r="M2611">
        <v>4.20976003408432E-2</v>
      </c>
      <c r="N2611">
        <v>1.18341483175755E-2</v>
      </c>
      <c r="O2611">
        <f t="shared" si="208"/>
        <v>5.1062807440758005E-3</v>
      </c>
    </row>
    <row r="2612" spans="1:15" x14ac:dyDescent="0.35">
      <c r="A2612" t="s">
        <v>170</v>
      </c>
      <c r="B2612">
        <v>2015</v>
      </c>
      <c r="C2612">
        <v>953126</v>
      </c>
      <c r="D2612" s="8">
        <v>0.960279941558838</v>
      </c>
      <c r="E2612" s="8">
        <v>6.0000000000000001E-3</v>
      </c>
      <c r="F2612">
        <v>2.1356359521392498</v>
      </c>
      <c r="G2612">
        <f t="shared" si="204"/>
        <v>2.2239722602894707</v>
      </c>
      <c r="H2612">
        <f t="shared" si="206"/>
        <v>-4.8486187144859416E-2</v>
      </c>
      <c r="I2612">
        <f t="shared" si="205"/>
        <v>0</v>
      </c>
      <c r="J2612">
        <f t="shared" si="207"/>
        <v>3</v>
      </c>
      <c r="K2612">
        <v>4.20976003408432E-2</v>
      </c>
      <c r="L2612">
        <v>1.18341483175755E-2</v>
      </c>
      <c r="M2612">
        <v>1.50242078006268E-2</v>
      </c>
      <c r="N2612">
        <v>1.8706507980824E-3</v>
      </c>
      <c r="O2612">
        <f t="shared" si="208"/>
        <v>2.02451869845392E-3</v>
      </c>
    </row>
    <row r="2613" spans="1:15" x14ac:dyDescent="0.35">
      <c r="A2613" t="s">
        <v>170</v>
      </c>
      <c r="B2613">
        <v>2016</v>
      </c>
      <c r="C2613">
        <v>959015.625</v>
      </c>
      <c r="D2613" s="8">
        <v>0.95650899410247803</v>
      </c>
      <c r="E2613" s="8">
        <v>1.2E-2</v>
      </c>
      <c r="F2613">
        <v>2.06224549636983</v>
      </c>
      <c r="G2613">
        <f t="shared" si="204"/>
        <v>2.1560126554846448</v>
      </c>
      <c r="H2613">
        <f t="shared" si="206"/>
        <v>-3.0557757404752972E-2</v>
      </c>
      <c r="I2613">
        <f t="shared" si="205"/>
        <v>0</v>
      </c>
      <c r="J2613">
        <f t="shared" si="207"/>
        <v>2</v>
      </c>
      <c r="K2613">
        <v>1.50242078006268E-2</v>
      </c>
      <c r="L2613">
        <v>1.8706507980824E-3</v>
      </c>
      <c r="M2613">
        <v>-9.5119914412499895E-4</v>
      </c>
      <c r="N2613">
        <v>-3.7407726049422901E-3</v>
      </c>
      <c r="O2613">
        <f t="shared" si="208"/>
        <v>-9.2183351516723975E-4</v>
      </c>
    </row>
    <row r="2614" spans="1:15" x14ac:dyDescent="0.35">
      <c r="A2614" t="s">
        <v>170</v>
      </c>
      <c r="B2614">
        <v>2017</v>
      </c>
      <c r="C2614">
        <v>967248.75</v>
      </c>
      <c r="D2614" s="8">
        <v>0.96535253524780296</v>
      </c>
      <c r="E2614" s="8">
        <v>3.0000000000000001E-3</v>
      </c>
      <c r="F2614">
        <v>2.1073625783061001</v>
      </c>
      <c r="G2614">
        <f t="shared" si="204"/>
        <v>2.1829979218577873</v>
      </c>
      <c r="H2614">
        <f t="shared" si="206"/>
        <v>1.2516283846708998E-2</v>
      </c>
      <c r="I2614">
        <f t="shared" si="205"/>
        <v>1</v>
      </c>
      <c r="J2614">
        <f t="shared" si="207"/>
        <v>2</v>
      </c>
      <c r="K2614">
        <v>-9.5119914412499895E-4</v>
      </c>
      <c r="L2614">
        <v>-3.7407726049422901E-3</v>
      </c>
      <c r="M2614">
        <v>1.6521778166294E-2</v>
      </c>
      <c r="N2614">
        <v>7.3867551982403001E-3</v>
      </c>
      <c r="O2614">
        <f t="shared" si="208"/>
        <v>-7.1736872196198165E-4</v>
      </c>
    </row>
    <row r="2615" spans="1:15" x14ac:dyDescent="0.35">
      <c r="A2615" t="s">
        <v>170</v>
      </c>
      <c r="B2615">
        <v>2018</v>
      </c>
      <c r="C2615">
        <v>973308.6875</v>
      </c>
      <c r="D2615" s="8">
        <v>0.95826107263565097</v>
      </c>
      <c r="E2615" s="8">
        <v>2.9000000000000001E-2</v>
      </c>
      <c r="F2615">
        <v>2.1416844662227201</v>
      </c>
      <c r="G2615">
        <f t="shared" si="204"/>
        <v>2.2349697043751555</v>
      </c>
      <c r="H2615">
        <f t="shared" si="206"/>
        <v>2.3807527252769356E-2</v>
      </c>
      <c r="I2615">
        <f t="shared" si="205"/>
        <v>1</v>
      </c>
      <c r="J2615">
        <f t="shared" si="207"/>
        <v>2</v>
      </c>
      <c r="K2615">
        <v>1.6521778166294E-2</v>
      </c>
      <c r="L2615">
        <v>7.3867551982403001E-3</v>
      </c>
      <c r="M2615">
        <v>2.5981816619634598E-2</v>
      </c>
      <c r="N2615">
        <v>8.1806220114230901E-3</v>
      </c>
      <c r="O2615">
        <f t="shared" si="208"/>
        <v>3.4585654735564977E-3</v>
      </c>
    </row>
    <row r="2616" spans="1:15" x14ac:dyDescent="0.35">
      <c r="A2616" t="s">
        <v>170</v>
      </c>
      <c r="B2616">
        <v>2019</v>
      </c>
      <c r="C2616">
        <v>976917.125</v>
      </c>
      <c r="D2616" s="8">
        <v>0.96426588296890303</v>
      </c>
      <c r="E2616" s="8">
        <v>7.0000000000000001E-3</v>
      </c>
      <c r="F2616">
        <v>2.1688163343010798</v>
      </c>
      <c r="G2616">
        <f t="shared" si="204"/>
        <v>2.2491891215973081</v>
      </c>
      <c r="H2616">
        <f t="shared" si="206"/>
        <v>6.3622415974216029E-3</v>
      </c>
      <c r="I2616">
        <f t="shared" si="205"/>
        <v>1</v>
      </c>
      <c r="J2616" t="str">
        <f t="shared" si="207"/>
        <v/>
      </c>
      <c r="K2616">
        <v>2.5981816619634598E-2</v>
      </c>
      <c r="L2616">
        <v>8.1806220114230901E-3</v>
      </c>
      <c r="M2616">
        <v>1.5274528518319E-2</v>
      </c>
      <c r="N2616">
        <v>-3.5746619105338998E-3</v>
      </c>
      <c r="O2616">
        <f t="shared" si="208"/>
        <v>3.2149819657206376E-3</v>
      </c>
    </row>
    <row r="2617" spans="1:15" x14ac:dyDescent="0.35">
      <c r="A2617" t="s">
        <v>170</v>
      </c>
      <c r="B2617">
        <v>2020</v>
      </c>
      <c r="C2617">
        <v>974156.1875</v>
      </c>
      <c r="D2617" s="8">
        <v>0.96506977081298795</v>
      </c>
      <c r="E2617" s="8">
        <v>1.2999999999999999E-2</v>
      </c>
      <c r="F2617">
        <v>1.9800108570027599</v>
      </c>
      <c r="G2617">
        <f t="shared" si="204"/>
        <v>2.0516763832886111</v>
      </c>
      <c r="H2617">
        <f t="shared" si="206"/>
        <v>-8.7815086962731326E-2</v>
      </c>
      <c r="I2617">
        <f t="shared" si="205"/>
        <v>0</v>
      </c>
      <c r="J2617" t="str">
        <f t="shared" si="207"/>
        <v/>
      </c>
      <c r="K2617">
        <v>1.5274528518319E-2</v>
      </c>
      <c r="L2617">
        <v>-3.5746619105338998E-3</v>
      </c>
      <c r="M2617">
        <v>3.0728502452373501E-2</v>
      </c>
      <c r="N2617">
        <v>-1.28611102700234E-2</v>
      </c>
      <c r="O2617">
        <f t="shared" si="208"/>
        <v>3.7368633784353568E-3</v>
      </c>
    </row>
    <row r="2618" spans="1:15" x14ac:dyDescent="0.35">
      <c r="A2618" t="s">
        <v>170</v>
      </c>
      <c r="B2618">
        <v>2021</v>
      </c>
      <c r="C2618">
        <v>979171.8125</v>
      </c>
      <c r="D2618" s="8">
        <v>0.97023797035217296</v>
      </c>
      <c r="E2618" s="8">
        <v>1.0999999999999999E-2</v>
      </c>
      <c r="F2618">
        <v>2.1931344318887498</v>
      </c>
      <c r="G2618">
        <f t="shared" si="204"/>
        <v>2.260408785169163</v>
      </c>
      <c r="H2618">
        <f t="shared" si="206"/>
        <v>0.10173748822218087</v>
      </c>
      <c r="I2618">
        <f t="shared" si="205"/>
        <v>1</v>
      </c>
      <c r="J2618" t="str">
        <f t="shared" si="207"/>
        <v/>
      </c>
      <c r="K2618">
        <v>3.0728502452373501E-2</v>
      </c>
      <c r="L2618">
        <v>-1.28611102700234E-2</v>
      </c>
      <c r="M2618">
        <v>-3.4821955412626303E-2</v>
      </c>
      <c r="N2618">
        <v>-2.718448638916E-3</v>
      </c>
      <c r="O2618">
        <f t="shared" si="208"/>
        <v>6.6160754300653869E-3</v>
      </c>
    </row>
    <row r="2619" spans="1:15" x14ac:dyDescent="0.35">
      <c r="A2619" t="s">
        <v>170</v>
      </c>
      <c r="B2619">
        <v>2022</v>
      </c>
      <c r="C2619">
        <v>984471.5</v>
      </c>
      <c r="D2619" s="8">
        <v>0.96682441234588601</v>
      </c>
      <c r="E2619" s="8">
        <v>1.4E-2</v>
      </c>
      <c r="F2619">
        <v>2.0979973438773301</v>
      </c>
      <c r="G2619">
        <f t="shared" si="204"/>
        <v>2.1699879699839038</v>
      </c>
      <c r="H2619">
        <f t="shared" si="206"/>
        <v>-4.0001974766034398E-2</v>
      </c>
      <c r="I2619">
        <f t="shared" si="205"/>
        <v>0</v>
      </c>
      <c r="J2619" t="str">
        <f t="shared" si="207"/>
        <v/>
      </c>
      <c r="K2619">
        <v>-3.4821955412626303E-2</v>
      </c>
      <c r="L2619">
        <v>-2.2397451102733998E-3</v>
      </c>
      <c r="M2619">
        <v>8.7074984014033907E-3</v>
      </c>
      <c r="N2619">
        <v>2.82664261758327E-2</v>
      </c>
      <c r="O2619">
        <f t="shared" si="208"/>
        <v>8.8839478325098628E-3</v>
      </c>
    </row>
    <row r="2620" spans="1:15" x14ac:dyDescent="0.35">
      <c r="A2620" t="s">
        <v>171</v>
      </c>
      <c r="B2620">
        <v>2006</v>
      </c>
      <c r="C2620">
        <v>419738.40625</v>
      </c>
      <c r="D2620" s="8">
        <v>0.92019563913345304</v>
      </c>
      <c r="E2620" s="8">
        <v>9.0999999999999998E-2</v>
      </c>
      <c r="F2620">
        <v>2.3212511262710702</v>
      </c>
      <c r="G2620">
        <f t="shared" si="204"/>
        <v>2.5225626242447632</v>
      </c>
      <c r="H2620">
        <f t="shared" si="206"/>
        <v>0.16247769994018668</v>
      </c>
      <c r="I2620">
        <f t="shared" si="205"/>
        <v>1</v>
      </c>
      <c r="J2620" t="str">
        <f t="shared" si="207"/>
        <v/>
      </c>
      <c r="K2620">
        <v>-6.2837026715278996E-3</v>
      </c>
      <c r="L2620">
        <v>-1.26467421650886E-2</v>
      </c>
      <c r="M2620">
        <v>6.0409485399722899E-3</v>
      </c>
      <c r="N2620">
        <v>6.9627044722437902E-3</v>
      </c>
      <c r="O2620" t="str">
        <f t="shared" si="208"/>
        <v/>
      </c>
    </row>
    <row r="2621" spans="1:15" x14ac:dyDescent="0.35">
      <c r="A2621" t="s">
        <v>171</v>
      </c>
      <c r="B2621">
        <v>2007</v>
      </c>
      <c r="C2621">
        <v>426036.1875</v>
      </c>
      <c r="D2621" s="8">
        <v>0.943492531776428</v>
      </c>
      <c r="E2621" s="8">
        <v>1E-3</v>
      </c>
      <c r="F2621">
        <v>2.1005958829902398</v>
      </c>
      <c r="G2621">
        <f t="shared" si="204"/>
        <v>2.2264043564130738</v>
      </c>
      <c r="H2621">
        <f t="shared" si="206"/>
        <v>-0.11740373261114068</v>
      </c>
      <c r="I2621">
        <f t="shared" si="205"/>
        <v>0</v>
      </c>
      <c r="J2621" t="str">
        <f t="shared" si="207"/>
        <v/>
      </c>
      <c r="K2621">
        <v>6.0409485399722899E-3</v>
      </c>
      <c r="L2621">
        <v>6.9627044722437902E-3</v>
      </c>
      <c r="M2621">
        <v>-3.0476059123873699E-2</v>
      </c>
      <c r="N2621">
        <v>-9.6525484696030595E-4</v>
      </c>
      <c r="O2621" t="str">
        <f t="shared" si="208"/>
        <v/>
      </c>
    </row>
    <row r="2622" spans="1:15" x14ac:dyDescent="0.35">
      <c r="A2622" t="s">
        <v>171</v>
      </c>
      <c r="B2622">
        <v>2008</v>
      </c>
      <c r="C2622">
        <v>430323</v>
      </c>
      <c r="D2622" s="8">
        <v>0.94602400064468395</v>
      </c>
      <c r="E2622" s="8">
        <v>0.02</v>
      </c>
      <c r="F2622">
        <v>2.3116825863335699</v>
      </c>
      <c r="G2622">
        <f t="shared" si="204"/>
        <v>2.4435771024395101</v>
      </c>
      <c r="H2622">
        <f t="shared" si="206"/>
        <v>9.7544161464146573E-2</v>
      </c>
      <c r="I2622">
        <f t="shared" si="205"/>
        <v>1</v>
      </c>
      <c r="J2622" t="str">
        <f t="shared" si="207"/>
        <v/>
      </c>
      <c r="K2622">
        <v>-3.0476059123873699E-2</v>
      </c>
      <c r="L2622">
        <v>-9.6525484696030595E-4</v>
      </c>
      <c r="M2622">
        <v>-2.5031751677393899E-2</v>
      </c>
      <c r="N2622">
        <v>1.53494998812675E-3</v>
      </c>
      <c r="O2622" t="str">
        <f t="shared" si="208"/>
        <v/>
      </c>
    </row>
    <row r="2623" spans="1:15" x14ac:dyDescent="0.35">
      <c r="A2623" t="s">
        <v>171</v>
      </c>
      <c r="B2623">
        <v>2009</v>
      </c>
      <c r="C2623">
        <v>433688.1875</v>
      </c>
      <c r="D2623" s="8">
        <v>0.94383895397186302</v>
      </c>
      <c r="E2623" s="8">
        <v>8.9999999999999993E-3</v>
      </c>
      <c r="F2623">
        <v>2.45724659916129</v>
      </c>
      <c r="G2623">
        <f t="shared" si="204"/>
        <v>2.6034596143978854</v>
      </c>
      <c r="H2623">
        <f t="shared" si="206"/>
        <v>6.54296980433966E-2</v>
      </c>
      <c r="I2623">
        <f t="shared" si="205"/>
        <v>1</v>
      </c>
      <c r="J2623" t="str">
        <f t="shared" si="207"/>
        <v/>
      </c>
      <c r="K2623">
        <v>-2.5031751677393899E-2</v>
      </c>
      <c r="L2623">
        <v>1.53494998812675E-3</v>
      </c>
      <c r="M2623">
        <v>-8.3919538557530003E-4</v>
      </c>
      <c r="N2623">
        <v>8.6209133733063797E-3</v>
      </c>
      <c r="O2623" t="str">
        <f t="shared" si="208"/>
        <v/>
      </c>
    </row>
    <row r="2624" spans="1:15" x14ac:dyDescent="0.35">
      <c r="A2624" t="s">
        <v>171</v>
      </c>
      <c r="B2624">
        <v>2010</v>
      </c>
      <c r="C2624">
        <v>436078.875</v>
      </c>
      <c r="D2624" s="8">
        <v>0.94661706686019897</v>
      </c>
      <c r="E2624" s="8">
        <v>0</v>
      </c>
      <c r="F2624">
        <v>2.36980898615729</v>
      </c>
      <c r="G2624">
        <f t="shared" si="204"/>
        <v>2.5034505177659923</v>
      </c>
      <c r="H2624">
        <f t="shared" si="206"/>
        <v>-3.8413922796733169E-2</v>
      </c>
      <c r="I2624">
        <f t="shared" si="205"/>
        <v>0</v>
      </c>
      <c r="J2624">
        <f t="shared" si="207"/>
        <v>3</v>
      </c>
      <c r="K2624">
        <v>-8.3919538557530003E-4</v>
      </c>
      <c r="L2624">
        <v>8.6209133733063797E-3</v>
      </c>
      <c r="M2624">
        <v>-2.6011186528950899E-2</v>
      </c>
      <c r="N2624">
        <v>-4.72741201519963E-3</v>
      </c>
      <c r="O2624">
        <f t="shared" si="208"/>
        <v>-4.084682278335086E-3</v>
      </c>
    </row>
    <row r="2625" spans="1:15" x14ac:dyDescent="0.35">
      <c r="A2625" t="s">
        <v>171</v>
      </c>
      <c r="B2625">
        <v>2011</v>
      </c>
      <c r="C2625">
        <v>437839.28125</v>
      </c>
      <c r="D2625" s="8">
        <v>0.94896781444549605</v>
      </c>
      <c r="E2625" s="8">
        <v>1E-3</v>
      </c>
      <c r="F2625">
        <v>2.36513361624039</v>
      </c>
      <c r="G2625">
        <f t="shared" si="204"/>
        <v>2.4923222687192954</v>
      </c>
      <c r="H2625">
        <f t="shared" si="206"/>
        <v>-4.4451643712244415E-3</v>
      </c>
      <c r="I2625">
        <f t="shared" si="205"/>
        <v>0</v>
      </c>
      <c r="J2625">
        <f t="shared" si="207"/>
        <v>2</v>
      </c>
      <c r="K2625">
        <v>-2.6011186528950899E-2</v>
      </c>
      <c r="L2625">
        <v>-4.72741201519963E-3</v>
      </c>
      <c r="M2625">
        <v>-9.7225423008204005E-3</v>
      </c>
      <c r="N2625">
        <v>-4.284336231649E-3</v>
      </c>
      <c r="O2625">
        <f t="shared" si="208"/>
        <v>-2.6116052642464619E-3</v>
      </c>
    </row>
    <row r="2626" spans="1:15" x14ac:dyDescent="0.35">
      <c r="A2626" t="s">
        <v>171</v>
      </c>
      <c r="B2626">
        <v>2012</v>
      </c>
      <c r="C2626">
        <v>439478.90625</v>
      </c>
      <c r="D2626" s="8">
        <v>0.94816958904266402</v>
      </c>
      <c r="E2626" s="8">
        <v>5.0000000000000001E-3</v>
      </c>
      <c r="F2626">
        <v>2.2773304021601399</v>
      </c>
      <c r="G2626">
        <f t="shared" si="204"/>
        <v>2.401817595161944</v>
      </c>
      <c r="H2626">
        <f t="shared" si="206"/>
        <v>-3.6313391206771239E-2</v>
      </c>
      <c r="I2626">
        <f t="shared" si="205"/>
        <v>0</v>
      </c>
      <c r="J2626">
        <f t="shared" si="207"/>
        <v>2</v>
      </c>
      <c r="K2626">
        <v>-9.7225423008204005E-3</v>
      </c>
      <c r="L2626">
        <v>-4.3699350208044902E-3</v>
      </c>
      <c r="M2626">
        <v>-1.52873653918499E-3</v>
      </c>
      <c r="N2626">
        <v>-7.6555078849196E-3</v>
      </c>
      <c r="O2626">
        <f t="shared" si="208"/>
        <v>4.4377036392691802E-4</v>
      </c>
    </row>
    <row r="2627" spans="1:15" x14ac:dyDescent="0.35">
      <c r="A2627" t="s">
        <v>171</v>
      </c>
      <c r="B2627">
        <v>2013</v>
      </c>
      <c r="C2627">
        <v>441540.09375</v>
      </c>
      <c r="D2627" s="8">
        <v>0.94808989763259899</v>
      </c>
      <c r="E2627" s="8">
        <v>3.0000000000000001E-3</v>
      </c>
      <c r="F2627">
        <v>2.3194258930956599</v>
      </c>
      <c r="G2627">
        <f t="shared" ref="G2627:G2653" si="209">F2627/D2627</f>
        <v>2.4464197950925506</v>
      </c>
      <c r="H2627">
        <f t="shared" si="206"/>
        <v>1.8570186187514937E-2</v>
      </c>
      <c r="I2627">
        <f t="shared" ref="I2627:I2653" si="210">IF(H2627&gt;0,1,0)</f>
        <v>1</v>
      </c>
      <c r="J2627">
        <f t="shared" si="207"/>
        <v>2</v>
      </c>
      <c r="K2627">
        <v>-1.52873653918499E-3</v>
      </c>
      <c r="L2627">
        <v>-7.6555078849196E-3</v>
      </c>
      <c r="M2627">
        <v>-3.1125379577278999E-3</v>
      </c>
      <c r="N2627">
        <v>-5.1205614581704001E-3</v>
      </c>
      <c r="O2627">
        <f t="shared" si="208"/>
        <v>3.2137164846062979E-3</v>
      </c>
    </row>
    <row r="2628" spans="1:15" x14ac:dyDescent="0.35">
      <c r="A2628" t="s">
        <v>171</v>
      </c>
      <c r="B2628">
        <v>2014</v>
      </c>
      <c r="C2628">
        <v>443701.8125</v>
      </c>
      <c r="D2628" s="8">
        <v>0.95330035686492898</v>
      </c>
      <c r="E2628" s="8">
        <v>1.4E-2</v>
      </c>
      <c r="F2628">
        <v>2.3845307304002401</v>
      </c>
      <c r="G2628">
        <f t="shared" si="209"/>
        <v>2.5013425341013473</v>
      </c>
      <c r="H2628">
        <f t="shared" ref="H2628:H2653" si="211">+G2628/G2627-1</f>
        <v>2.2450251227924989E-2</v>
      </c>
      <c r="I2628">
        <f t="shared" si="210"/>
        <v>1</v>
      </c>
      <c r="J2628">
        <f t="shared" si="207"/>
        <v>2</v>
      </c>
      <c r="K2628">
        <v>-3.1125379577278999E-3</v>
      </c>
      <c r="L2628">
        <v>-5.1205614581704001E-3</v>
      </c>
      <c r="M2628">
        <v>3.16278582215309E-2</v>
      </c>
      <c r="N2628">
        <v>1.3644061982632E-3</v>
      </c>
      <c r="O2628">
        <f t="shared" si="208"/>
        <v>3.0741505324843806E-4</v>
      </c>
    </row>
    <row r="2629" spans="1:15" x14ac:dyDescent="0.35">
      <c r="A2629" t="s">
        <v>171</v>
      </c>
      <c r="B2629">
        <v>2015</v>
      </c>
      <c r="C2629">
        <v>445776.875</v>
      </c>
      <c r="D2629" s="8">
        <v>0.95263040065765403</v>
      </c>
      <c r="E2629" s="8">
        <v>1.4E-2</v>
      </c>
      <c r="F2629">
        <v>2.2863834891036201</v>
      </c>
      <c r="G2629">
        <f t="shared" si="209"/>
        <v>2.4000740345103431</v>
      </c>
      <c r="H2629">
        <f t="shared" si="211"/>
        <v>-4.0485658485548748E-2</v>
      </c>
      <c r="I2629">
        <f t="shared" si="210"/>
        <v>0</v>
      </c>
      <c r="J2629">
        <f t="shared" si="207"/>
        <v>2</v>
      </c>
      <c r="K2629">
        <v>3.16278582215309E-2</v>
      </c>
      <c r="L2629">
        <v>1.3644061982632E-3</v>
      </c>
      <c r="M2629">
        <v>1.57915300577878E-2</v>
      </c>
      <c r="N2629">
        <v>2.63797305524349E-3</v>
      </c>
      <c r="O2629">
        <f t="shared" si="208"/>
        <v>4.1885711252689787E-3</v>
      </c>
    </row>
    <row r="2630" spans="1:15" x14ac:dyDescent="0.35">
      <c r="A2630" t="s">
        <v>171</v>
      </c>
      <c r="B2630">
        <v>2016</v>
      </c>
      <c r="C2630">
        <v>448468.5</v>
      </c>
      <c r="D2630" s="8">
        <v>0.93644708395004295</v>
      </c>
      <c r="E2630" s="8">
        <v>1.2999999999999999E-2</v>
      </c>
      <c r="F2630">
        <v>2.3700536636742</v>
      </c>
      <c r="G2630">
        <f t="shared" si="209"/>
        <v>2.5308997211855662</v>
      </c>
      <c r="H2630">
        <f t="shared" si="211"/>
        <v>5.4509021302717287E-2</v>
      </c>
      <c r="I2630">
        <f t="shared" si="210"/>
        <v>1</v>
      </c>
      <c r="J2630">
        <f t="shared" si="207"/>
        <v>3</v>
      </c>
      <c r="K2630">
        <v>1.57915300577878E-2</v>
      </c>
      <c r="L2630">
        <v>2.63797305524349E-3</v>
      </c>
      <c r="M2630">
        <v>1.3782115370035101E-2</v>
      </c>
      <c r="N2630">
        <v>1.09925419092179E-2</v>
      </c>
      <c r="O2630">
        <f t="shared" si="208"/>
        <v>2.7769070118665987E-3</v>
      </c>
    </row>
    <row r="2631" spans="1:15" x14ac:dyDescent="0.35">
      <c r="A2631" t="s">
        <v>171</v>
      </c>
      <c r="B2631">
        <v>2017</v>
      </c>
      <c r="C2631">
        <v>451118.40625</v>
      </c>
      <c r="D2631" s="8">
        <v>0.94648587703704801</v>
      </c>
      <c r="E2631" s="8">
        <v>-6.0000000000000001E-3</v>
      </c>
      <c r="F2631">
        <v>2.5015097570868399</v>
      </c>
      <c r="G2631">
        <f t="shared" si="209"/>
        <v>2.6429446204921283</v>
      </c>
      <c r="H2631">
        <f t="shared" si="211"/>
        <v>4.4270777845783815E-2</v>
      </c>
      <c r="I2631">
        <f t="shared" si="210"/>
        <v>1</v>
      </c>
      <c r="J2631">
        <f t="shared" ref="J2631:J2653" si="212">IF(AND(B2631&gt;=2010,B2631&lt;=2018),SUM(I2627:I2631),"")</f>
        <v>4</v>
      </c>
      <c r="K2631">
        <v>1.3782115370035101E-2</v>
      </c>
      <c r="L2631">
        <v>1.09925419092179E-2</v>
      </c>
      <c r="M2631">
        <v>1.5329245686531099E-2</v>
      </c>
      <c r="N2631">
        <v>6.1942227184773003E-3</v>
      </c>
      <c r="O2631">
        <f t="shared" ref="O2631:O2653" si="213">IF(B2631&gt;=2010,AVERAGE(N2631:N2635),"")</f>
        <v>-6.8619422614574002E-3</v>
      </c>
    </row>
    <row r="2632" spans="1:15" x14ac:dyDescent="0.35">
      <c r="A2632" t="s">
        <v>171</v>
      </c>
      <c r="B2632">
        <v>2018</v>
      </c>
      <c r="C2632">
        <v>453814.6875</v>
      </c>
      <c r="D2632" s="8">
        <v>0.95711070299148604</v>
      </c>
      <c r="E2632" s="8">
        <v>-1E-3</v>
      </c>
      <c r="F2632">
        <v>2.27702404972286</v>
      </c>
      <c r="G2632">
        <f t="shared" si="209"/>
        <v>2.3790602723446037</v>
      </c>
      <c r="H2632">
        <f t="shared" si="211"/>
        <v>-9.9844826903103256E-2</v>
      </c>
      <c r="I2632">
        <f t="shared" si="210"/>
        <v>0</v>
      </c>
      <c r="J2632">
        <f t="shared" si="212"/>
        <v>3</v>
      </c>
      <c r="K2632">
        <v>1.5329245686531099E-2</v>
      </c>
      <c r="L2632">
        <v>6.1942227184773003E-3</v>
      </c>
      <c r="M2632">
        <v>-1.8508740067481901E-3</v>
      </c>
      <c r="N2632">
        <v>-1.9652068614959699E-2</v>
      </c>
      <c r="O2632">
        <f t="shared" si="213"/>
        <v>-6.1609469354152414E-3</v>
      </c>
    </row>
    <row r="2633" spans="1:15" x14ac:dyDescent="0.35">
      <c r="A2633" t="s">
        <v>171</v>
      </c>
      <c r="B2633">
        <v>2019</v>
      </c>
      <c r="C2633">
        <v>455449.5</v>
      </c>
      <c r="D2633" s="8">
        <v>0.93580865859985396</v>
      </c>
      <c r="E2633" s="8">
        <v>4.3999999999999997E-2</v>
      </c>
      <c r="F2633">
        <v>2.2991951804960702</v>
      </c>
      <c r="G2633">
        <f t="shared" si="209"/>
        <v>2.4569073596050064</v>
      </c>
      <c r="H2633">
        <f t="shared" si="211"/>
        <v>3.2721780177382032E-2</v>
      </c>
      <c r="I2633">
        <f t="shared" si="210"/>
        <v>1</v>
      </c>
      <c r="J2633" t="str">
        <f t="shared" si="212"/>
        <v/>
      </c>
      <c r="K2633">
        <v>-1.8508740067481901E-3</v>
      </c>
      <c r="L2633">
        <v>-1.9652068614959699E-2</v>
      </c>
      <c r="M2633">
        <v>3.9619376987218902E-2</v>
      </c>
      <c r="N2633">
        <v>2.0770186558365902E-2</v>
      </c>
      <c r="O2633">
        <f t="shared" si="213"/>
        <v>-3.3803230151533818E-3</v>
      </c>
    </row>
    <row r="2634" spans="1:15" x14ac:dyDescent="0.35">
      <c r="A2634" t="s">
        <v>171</v>
      </c>
      <c r="B2634">
        <v>2020</v>
      </c>
      <c r="C2634">
        <v>457367.09375</v>
      </c>
      <c r="D2634" s="8">
        <v>0.96926808357238803</v>
      </c>
      <c r="E2634" s="8">
        <v>2.4E-2</v>
      </c>
      <c r="F2634">
        <v>2.1869070003674098</v>
      </c>
      <c r="G2634">
        <f t="shared" si="209"/>
        <v>2.2562457563930347</v>
      </c>
      <c r="H2634">
        <f t="shared" si="211"/>
        <v>-8.1672433609475514E-2</v>
      </c>
      <c r="I2634">
        <f t="shared" si="210"/>
        <v>0</v>
      </c>
      <c r="J2634" t="str">
        <f t="shared" si="212"/>
        <v/>
      </c>
      <c r="K2634">
        <v>3.9619376987218902E-2</v>
      </c>
      <c r="L2634">
        <v>2.0770186558365902E-2</v>
      </c>
      <c r="M2634">
        <v>3.9169265210628398E-2</v>
      </c>
      <c r="N2634">
        <v>-4.4203475117684096E-3</v>
      </c>
      <c r="O2634">
        <f t="shared" si="213"/>
        <v>-6.2586325220763614E-3</v>
      </c>
    </row>
    <row r="2635" spans="1:15" x14ac:dyDescent="0.35">
      <c r="A2635" t="s">
        <v>171</v>
      </c>
      <c r="B2635">
        <v>2021</v>
      </c>
      <c r="C2635">
        <v>459692.1875</v>
      </c>
      <c r="D2635" s="8">
        <v>0.96991866827011097</v>
      </c>
      <c r="E2635" s="8">
        <v>1.4999999999999999E-2</v>
      </c>
      <c r="F2635">
        <v>2.4367961780334402</v>
      </c>
      <c r="G2635">
        <f t="shared" si="209"/>
        <v>2.5123716634710869</v>
      </c>
      <c r="H2635">
        <f t="shared" si="211"/>
        <v>0.11351862107765687</v>
      </c>
      <c r="I2635">
        <f t="shared" si="210"/>
        <v>1</v>
      </c>
      <c r="J2635" t="str">
        <f t="shared" si="212"/>
        <v/>
      </c>
      <c r="K2635">
        <v>3.9169265210628398E-2</v>
      </c>
      <c r="L2635">
        <v>-4.4203475117684096E-3</v>
      </c>
      <c r="M2635">
        <v>-6.9305211231112496E-2</v>
      </c>
      <c r="N2635">
        <v>-3.7201704457402097E-2</v>
      </c>
      <c r="O2635">
        <f t="shared" si="213"/>
        <v>-3.590107988566149E-3</v>
      </c>
    </row>
    <row r="2636" spans="1:15" x14ac:dyDescent="0.35">
      <c r="A2636" t="s">
        <v>171</v>
      </c>
      <c r="B2636">
        <v>2022</v>
      </c>
      <c r="C2636">
        <v>462449.3125</v>
      </c>
      <c r="D2636" s="8">
        <v>0.96318304538726796</v>
      </c>
      <c r="E2636" s="8">
        <v>2E-3</v>
      </c>
      <c r="F2636">
        <v>2.2482290237704299</v>
      </c>
      <c r="G2636">
        <f t="shared" si="209"/>
        <v>2.3341659039133962</v>
      </c>
      <c r="H2636">
        <f t="shared" si="211"/>
        <v>-7.0931288610174059E-2</v>
      </c>
      <c r="I2636">
        <f t="shared" si="210"/>
        <v>0</v>
      </c>
      <c r="J2636" t="str">
        <f t="shared" si="212"/>
        <v/>
      </c>
      <c r="K2636">
        <v>-6.9305211231112496E-2</v>
      </c>
      <c r="L2636">
        <v>-3.6723000928759499E-2</v>
      </c>
      <c r="M2636">
        <v>-9.8597284257411991E-3</v>
      </c>
      <c r="N2636">
        <v>9.6991993486880996E-3</v>
      </c>
      <c r="O2636">
        <f t="shared" si="213"/>
        <v>2.7697726851329055E-3</v>
      </c>
    </row>
    <row r="2637" spans="1:15" x14ac:dyDescent="0.35">
      <c r="A2637" t="s">
        <v>172</v>
      </c>
      <c r="B2637">
        <v>2006</v>
      </c>
      <c r="C2637">
        <v>579168.1875</v>
      </c>
      <c r="D2637" s="8">
        <v>0.90197563171386697</v>
      </c>
      <c r="E2637" s="8">
        <v>0</v>
      </c>
      <c r="F2637">
        <v>2.1139942880456899</v>
      </c>
      <c r="G2637">
        <f t="shared" si="209"/>
        <v>2.3437376950293385</v>
      </c>
      <c r="H2637">
        <f t="shared" si="211"/>
        <v>4.1007329855580199E-3</v>
      </c>
      <c r="I2637">
        <f t="shared" si="210"/>
        <v>1</v>
      </c>
      <c r="J2637" t="str">
        <f t="shared" si="212"/>
        <v/>
      </c>
      <c r="K2637">
        <v>-8.3789046555757998E-3</v>
      </c>
      <c r="L2637">
        <v>-1.47419441491365E-2</v>
      </c>
      <c r="M2637">
        <v>-6.6707049459219002E-3</v>
      </c>
      <c r="N2637">
        <v>-5.7489490136504E-3</v>
      </c>
      <c r="O2637" t="str">
        <f t="shared" si="213"/>
        <v/>
      </c>
    </row>
    <row r="2638" spans="1:15" x14ac:dyDescent="0.35">
      <c r="A2638" t="s">
        <v>172</v>
      </c>
      <c r="B2638">
        <v>2007</v>
      </c>
      <c r="C2638">
        <v>574391.4375</v>
      </c>
      <c r="D2638" s="8">
        <v>0.91248190402984597</v>
      </c>
      <c r="E2638" s="8">
        <v>4.0000000000000001E-3</v>
      </c>
      <c r="F2638">
        <v>2.1535589604344398</v>
      </c>
      <c r="G2638">
        <f t="shared" si="209"/>
        <v>2.3601114180166798</v>
      </c>
      <c r="H2638">
        <f t="shared" si="211"/>
        <v>6.9861584861083958E-3</v>
      </c>
      <c r="I2638">
        <f t="shared" si="210"/>
        <v>1</v>
      </c>
      <c r="J2638" t="str">
        <f t="shared" si="212"/>
        <v/>
      </c>
      <c r="K2638">
        <v>-6.6707049459219002E-3</v>
      </c>
      <c r="L2638">
        <v>-5.7489490136504E-3</v>
      </c>
      <c r="M2638">
        <v>-2.31321652531623E-2</v>
      </c>
      <c r="N2638">
        <v>6.3786390237509996E-3</v>
      </c>
      <c r="O2638" t="str">
        <f t="shared" si="213"/>
        <v/>
      </c>
    </row>
    <row r="2639" spans="1:15" x14ac:dyDescent="0.35">
      <c r="A2639" t="s">
        <v>172</v>
      </c>
      <c r="B2639">
        <v>2008</v>
      </c>
      <c r="C2639">
        <v>570277.25</v>
      </c>
      <c r="D2639" s="8">
        <v>0.92082417011260997</v>
      </c>
      <c r="E2639" s="8">
        <v>8.0000000000000002E-3</v>
      </c>
      <c r="F2639">
        <v>1.9557164505808999</v>
      </c>
      <c r="G2639">
        <f t="shared" si="209"/>
        <v>2.1238761036667078</v>
      </c>
      <c r="H2639">
        <f t="shared" si="211"/>
        <v>-0.10009498388363902</v>
      </c>
      <c r="I2639">
        <f t="shared" si="210"/>
        <v>0</v>
      </c>
      <c r="J2639" t="str">
        <f t="shared" si="212"/>
        <v/>
      </c>
      <c r="K2639">
        <v>-2.31321652531623E-2</v>
      </c>
      <c r="L2639">
        <v>6.3786390237509996E-3</v>
      </c>
      <c r="M2639">
        <v>-1.7644426509738E-2</v>
      </c>
      <c r="N2639">
        <v>8.9222751557826493E-3</v>
      </c>
      <c r="O2639" t="str">
        <f t="shared" si="213"/>
        <v/>
      </c>
    </row>
    <row r="2640" spans="1:15" x14ac:dyDescent="0.35">
      <c r="A2640" t="s">
        <v>172</v>
      </c>
      <c r="B2640">
        <v>2009</v>
      </c>
      <c r="C2640">
        <v>567399.125</v>
      </c>
      <c r="D2640" s="8">
        <v>0.90593892335891701</v>
      </c>
      <c r="E2640" s="8">
        <v>2E-3</v>
      </c>
      <c r="F2640">
        <v>2.02887660784693</v>
      </c>
      <c r="G2640">
        <f t="shared" si="209"/>
        <v>2.2395291288782886</v>
      </c>
      <c r="H2640">
        <f t="shared" si="211"/>
        <v>5.4453753216543443E-2</v>
      </c>
      <c r="I2640">
        <f t="shared" si="210"/>
        <v>1</v>
      </c>
      <c r="J2640" t="str">
        <f t="shared" si="212"/>
        <v/>
      </c>
      <c r="K2640">
        <v>-1.7644426509738E-2</v>
      </c>
      <c r="L2640">
        <v>8.9222751557826493E-3</v>
      </c>
      <c r="M2640">
        <v>-1.4862409847788499E-2</v>
      </c>
      <c r="N2640">
        <v>-5.4023010889068203E-3</v>
      </c>
      <c r="O2640" t="str">
        <f t="shared" si="213"/>
        <v/>
      </c>
    </row>
    <row r="2641" spans="1:15" x14ac:dyDescent="0.35">
      <c r="A2641" t="s">
        <v>172</v>
      </c>
      <c r="B2641">
        <v>2010</v>
      </c>
      <c r="C2641">
        <v>564621.25</v>
      </c>
      <c r="D2641" s="8">
        <v>0.90899997949600198</v>
      </c>
      <c r="E2641" s="8">
        <v>1E-3</v>
      </c>
      <c r="F2641">
        <v>2.0852494092099301</v>
      </c>
      <c r="G2641">
        <f t="shared" si="209"/>
        <v>2.2940038022510225</v>
      </c>
      <c r="H2641">
        <f t="shared" si="211"/>
        <v>2.4324163803137733E-2</v>
      </c>
      <c r="I2641">
        <f t="shared" si="210"/>
        <v>1</v>
      </c>
      <c r="J2641">
        <f t="shared" si="212"/>
        <v>4</v>
      </c>
      <c r="K2641">
        <v>-1.4862409847788499E-2</v>
      </c>
      <c r="L2641">
        <v>-5.4023010889068203E-3</v>
      </c>
      <c r="M2641">
        <v>-2.6656530208885601E-2</v>
      </c>
      <c r="N2641">
        <v>-5.3727556951343701E-3</v>
      </c>
      <c r="O2641">
        <f t="shared" si="213"/>
        <v>-9.5137818250804838E-3</v>
      </c>
    </row>
    <row r="2642" spans="1:15" x14ac:dyDescent="0.35">
      <c r="A2642" t="s">
        <v>172</v>
      </c>
      <c r="B2642">
        <v>2011</v>
      </c>
      <c r="C2642">
        <v>562686.1875</v>
      </c>
      <c r="D2642" s="8">
        <v>0.92196452617645297</v>
      </c>
      <c r="E2642" s="8">
        <v>0</v>
      </c>
      <c r="F2642">
        <v>2.11801008830883</v>
      </c>
      <c r="G2642">
        <f t="shared" si="209"/>
        <v>2.2972793726593643</v>
      </c>
      <c r="H2642">
        <f t="shared" si="211"/>
        <v>1.4278836003356332E-3</v>
      </c>
      <c r="I2642">
        <f t="shared" si="210"/>
        <v>1</v>
      </c>
      <c r="J2642">
        <f t="shared" si="212"/>
        <v>4</v>
      </c>
      <c r="K2642">
        <v>-2.6656530208885601E-2</v>
      </c>
      <c r="L2642">
        <v>-5.3727556951343701E-3</v>
      </c>
      <c r="M2642">
        <v>-1.52473610863089E-2</v>
      </c>
      <c r="N2642">
        <v>-9.8091550171375604E-3</v>
      </c>
      <c r="O2642">
        <f t="shared" si="213"/>
        <v>-1.136549185030159E-2</v>
      </c>
    </row>
    <row r="2643" spans="1:15" x14ac:dyDescent="0.35">
      <c r="A2643" t="s">
        <v>172</v>
      </c>
      <c r="B2643">
        <v>2012</v>
      </c>
      <c r="C2643">
        <v>560176</v>
      </c>
      <c r="D2643" s="8">
        <v>0.92622357606887795</v>
      </c>
      <c r="E2643" s="8">
        <v>-7.0000000000000001E-3</v>
      </c>
      <c r="F2643">
        <v>2.1880192014717199</v>
      </c>
      <c r="G2643">
        <f t="shared" si="209"/>
        <v>2.3623013471091019</v>
      </c>
      <c r="H2643">
        <f t="shared" si="211"/>
        <v>2.8303903836679245E-2</v>
      </c>
      <c r="I2643">
        <f t="shared" si="210"/>
        <v>1</v>
      </c>
      <c r="J2643">
        <f t="shared" si="212"/>
        <v>4</v>
      </c>
      <c r="K2643">
        <v>-1.52473610863089E-2</v>
      </c>
      <c r="L2643">
        <v>-9.8947538062930593E-3</v>
      </c>
      <c r="M2643">
        <v>-5.28234556317329E-3</v>
      </c>
      <c r="N2643">
        <v>-1.14091169089078E-2</v>
      </c>
      <c r="O2643">
        <f t="shared" si="213"/>
        <v>-1.1062783328816236E-2</v>
      </c>
    </row>
    <row r="2644" spans="1:15" x14ac:dyDescent="0.35">
      <c r="A2644" t="s">
        <v>172</v>
      </c>
      <c r="B2644">
        <v>2013</v>
      </c>
      <c r="C2644">
        <v>558345.8125</v>
      </c>
      <c r="D2644" s="8">
        <v>0.92720139026641801</v>
      </c>
      <c r="E2644" s="8">
        <v>-1E-3</v>
      </c>
      <c r="F2644">
        <v>2.12704210481259</v>
      </c>
      <c r="G2644">
        <f t="shared" si="209"/>
        <v>2.2940454222155719</v>
      </c>
      <c r="H2644">
        <f t="shared" si="211"/>
        <v>-2.8893826343137419E-2</v>
      </c>
      <c r="I2644">
        <f t="shared" si="210"/>
        <v>0</v>
      </c>
      <c r="J2644">
        <f t="shared" si="212"/>
        <v>4</v>
      </c>
      <c r="K2644">
        <v>-5.28234556317329E-3</v>
      </c>
      <c r="L2644">
        <v>-1.14091169089078E-2</v>
      </c>
      <c r="M2644">
        <v>-1.2978382347151599E-2</v>
      </c>
      <c r="N2644">
        <v>-1.49864058475941E-2</v>
      </c>
      <c r="O2644">
        <f t="shared" si="213"/>
        <v>-1.0359684331342534E-2</v>
      </c>
    </row>
    <row r="2645" spans="1:15" x14ac:dyDescent="0.35">
      <c r="A2645" t="s">
        <v>172</v>
      </c>
      <c r="B2645">
        <v>2014</v>
      </c>
      <c r="C2645">
        <v>556195.375</v>
      </c>
      <c r="D2645" s="8">
        <v>0.93323755264282204</v>
      </c>
      <c r="E2645" s="8">
        <v>0</v>
      </c>
      <c r="F2645">
        <v>2.1597827349831502</v>
      </c>
      <c r="G2645">
        <f t="shared" si="209"/>
        <v>2.3142904278411134</v>
      </c>
      <c r="H2645">
        <f t="shared" si="211"/>
        <v>8.8250238768110556E-3</v>
      </c>
      <c r="I2645">
        <f t="shared" si="210"/>
        <v>1</v>
      </c>
      <c r="J2645">
        <f t="shared" si="212"/>
        <v>4</v>
      </c>
      <c r="K2645">
        <v>-1.2978382347151599E-2</v>
      </c>
      <c r="L2645">
        <v>-1.49864058475941E-2</v>
      </c>
      <c r="M2645">
        <v>2.4271976366639001E-2</v>
      </c>
      <c r="N2645">
        <v>-5.9914756566285896E-3</v>
      </c>
      <c r="O2645">
        <f t="shared" si="213"/>
        <v>-9.9459076300262936E-3</v>
      </c>
    </row>
    <row r="2646" spans="1:15" x14ac:dyDescent="0.35">
      <c r="A2646" t="s">
        <v>172</v>
      </c>
      <c r="B2646">
        <v>2015</v>
      </c>
      <c r="C2646">
        <v>552832.6875</v>
      </c>
      <c r="D2646" s="8">
        <v>0.94023132324218806</v>
      </c>
      <c r="E2646" s="8">
        <v>-1E-3</v>
      </c>
      <c r="F2646">
        <v>1.9970693632393599</v>
      </c>
      <c r="G2646">
        <f t="shared" si="209"/>
        <v>2.1240191789749039</v>
      </c>
      <c r="H2646">
        <f t="shared" si="211"/>
        <v>-8.221580428161912E-2</v>
      </c>
      <c r="I2646">
        <f t="shared" si="210"/>
        <v>0</v>
      </c>
      <c r="J2646">
        <f t="shared" si="212"/>
        <v>3</v>
      </c>
      <c r="K2646">
        <v>2.4271976366639001E-2</v>
      </c>
      <c r="L2646">
        <v>-5.9914756566285896E-3</v>
      </c>
      <c r="M2646">
        <v>-1.47774881869549E-3</v>
      </c>
      <c r="N2646">
        <v>-1.46313058212399E-2</v>
      </c>
      <c r="O2646">
        <f t="shared" si="213"/>
        <v>-8.8917979970573949E-3</v>
      </c>
    </row>
    <row r="2647" spans="1:15" x14ac:dyDescent="0.35">
      <c r="A2647" t="s">
        <v>172</v>
      </c>
      <c r="B2647">
        <v>2016</v>
      </c>
      <c r="C2647">
        <v>549637.8125</v>
      </c>
      <c r="D2647" s="8">
        <v>0.93625760078430198</v>
      </c>
      <c r="E2647" s="8">
        <v>2E-3</v>
      </c>
      <c r="F2647">
        <v>2.2086676444367699</v>
      </c>
      <c r="G2647">
        <f t="shared" si="209"/>
        <v>2.3590384127045501</v>
      </c>
      <c r="H2647">
        <f t="shared" si="211"/>
        <v>0.11064835763068359</v>
      </c>
      <c r="I2647">
        <f t="shared" si="210"/>
        <v>1</v>
      </c>
      <c r="J2647">
        <f t="shared" si="212"/>
        <v>3</v>
      </c>
      <c r="K2647">
        <v>-1.47774881869549E-3</v>
      </c>
      <c r="L2647">
        <v>-1.46313058212399E-2</v>
      </c>
      <c r="M2647">
        <v>-5.5060389488934998E-3</v>
      </c>
      <c r="N2647">
        <v>-8.2956124097107904E-3</v>
      </c>
      <c r="O2647">
        <f t="shared" si="213"/>
        <v>-1.4443877339363077E-2</v>
      </c>
    </row>
    <row r="2648" spans="1:15" x14ac:dyDescent="0.35">
      <c r="A2648" t="s">
        <v>172</v>
      </c>
      <c r="B2648">
        <v>2017</v>
      </c>
      <c r="C2648">
        <v>547141.125</v>
      </c>
      <c r="D2648" s="8">
        <v>0.91935980319976796</v>
      </c>
      <c r="E2648" s="8">
        <v>-2E-3</v>
      </c>
      <c r="F2648">
        <v>2.1441071995841301</v>
      </c>
      <c r="G2648">
        <f t="shared" si="209"/>
        <v>2.3321741848204738</v>
      </c>
      <c r="H2648">
        <f t="shared" si="211"/>
        <v>-1.1387787388030479E-2</v>
      </c>
      <c r="I2648">
        <f t="shared" si="210"/>
        <v>0</v>
      </c>
      <c r="J2648">
        <f t="shared" si="212"/>
        <v>2</v>
      </c>
      <c r="K2648">
        <v>-5.5060389488934998E-3</v>
      </c>
      <c r="L2648">
        <v>-8.2956124097107904E-3</v>
      </c>
      <c r="M2648">
        <v>1.2414010465145E-3</v>
      </c>
      <c r="N2648">
        <v>-7.8936219215392893E-3</v>
      </c>
      <c r="O2648">
        <f t="shared" si="213"/>
        <v>-7.2974596172570962E-3</v>
      </c>
    </row>
    <row r="2649" spans="1:15" x14ac:dyDescent="0.35">
      <c r="A2649" t="s">
        <v>172</v>
      </c>
      <c r="B2649">
        <v>2018</v>
      </c>
      <c r="C2649">
        <v>544739.6875</v>
      </c>
      <c r="D2649" s="8">
        <v>0.93154954910278298</v>
      </c>
      <c r="E2649" s="8">
        <v>2E-3</v>
      </c>
      <c r="F2649">
        <v>2.11108237795592</v>
      </c>
      <c r="G2649">
        <f t="shared" si="209"/>
        <v>2.2662051417331455</v>
      </c>
      <c r="H2649">
        <f t="shared" si="211"/>
        <v>-2.8286499146034649E-2</v>
      </c>
      <c r="I2649">
        <f t="shared" si="210"/>
        <v>0</v>
      </c>
      <c r="J2649">
        <f t="shared" si="212"/>
        <v>2</v>
      </c>
      <c r="K2649">
        <v>1.2414010465145E-3</v>
      </c>
      <c r="L2649">
        <v>-7.8936219215392893E-3</v>
      </c>
      <c r="M2649">
        <v>4.8836722671986004E-3</v>
      </c>
      <c r="N2649">
        <v>-1.2917522341012899E-2</v>
      </c>
      <c r="O2649">
        <f t="shared" si="213"/>
        <v>4.9780197441579997E-4</v>
      </c>
    </row>
    <row r="2650" spans="1:15" x14ac:dyDescent="0.35">
      <c r="A2650" t="s">
        <v>172</v>
      </c>
      <c r="B2650">
        <v>2019</v>
      </c>
      <c r="C2650">
        <v>542408.8125</v>
      </c>
      <c r="D2650" s="8">
        <v>0.93893343210220304</v>
      </c>
      <c r="E2650" s="8">
        <v>4.0000000000000001E-3</v>
      </c>
      <c r="F2650">
        <v>1.9894372421921001</v>
      </c>
      <c r="G2650">
        <f t="shared" si="209"/>
        <v>2.1188267178194904</v>
      </c>
      <c r="H2650">
        <f t="shared" si="211"/>
        <v>-6.5033134555922523E-2</v>
      </c>
      <c r="I2650">
        <f t="shared" si="210"/>
        <v>0</v>
      </c>
      <c r="J2650" t="str">
        <f t="shared" si="212"/>
        <v/>
      </c>
      <c r="K2650">
        <v>4.8836722671986004E-3</v>
      </c>
      <c r="L2650">
        <v>-1.2917522341012899E-2</v>
      </c>
      <c r="M2650">
        <v>1.8128262937068901E-2</v>
      </c>
      <c r="N2650">
        <v>-7.2092749178409902E-4</v>
      </c>
      <c r="O2650">
        <f t="shared" si="213"/>
        <v>3.8516330532729764E-3</v>
      </c>
    </row>
    <row r="2651" spans="1:15" x14ac:dyDescent="0.35">
      <c r="A2651" t="s">
        <v>172</v>
      </c>
      <c r="B2651">
        <v>2020</v>
      </c>
      <c r="C2651">
        <v>539697.5</v>
      </c>
      <c r="D2651" s="8">
        <v>0.969773650169373</v>
      </c>
      <c r="E2651" s="8">
        <v>7.0000000000000001E-3</v>
      </c>
      <c r="F2651">
        <v>1.990030905777</v>
      </c>
      <c r="G2651">
        <f t="shared" si="209"/>
        <v>2.0520571016024585</v>
      </c>
      <c r="H2651">
        <f t="shared" si="211"/>
        <v>-3.1512542132631438E-2</v>
      </c>
      <c r="I2651">
        <f t="shared" si="210"/>
        <v>0</v>
      </c>
      <c r="J2651" t="str">
        <f t="shared" si="212"/>
        <v/>
      </c>
      <c r="K2651">
        <v>1.8128262937068901E-2</v>
      </c>
      <c r="L2651">
        <v>-7.2092749178409902E-4</v>
      </c>
      <c r="M2651">
        <v>1.1979101896286001E-3</v>
      </c>
      <c r="N2651">
        <v>-4.2391702532768298E-2</v>
      </c>
      <c r="O2651">
        <f t="shared" si="213"/>
        <v>5.3758199016253339E-3</v>
      </c>
    </row>
    <row r="2652" spans="1:15" x14ac:dyDescent="0.35">
      <c r="A2652" t="s">
        <v>172</v>
      </c>
      <c r="B2652">
        <v>2021</v>
      </c>
      <c r="C2652">
        <v>537452.0625</v>
      </c>
      <c r="D2652" s="8">
        <v>0.96811485290527299</v>
      </c>
      <c r="E2652" s="8">
        <v>0</v>
      </c>
      <c r="F2652">
        <v>1.97367391762192</v>
      </c>
      <c r="G2652">
        <f t="shared" si="209"/>
        <v>2.0386774479278005</v>
      </c>
      <c r="H2652">
        <f t="shared" si="211"/>
        <v>-6.5201176245094361E-3</v>
      </c>
      <c r="I2652">
        <f t="shared" si="210"/>
        <v>0</v>
      </c>
      <c r="J2652" t="str">
        <f t="shared" si="212"/>
        <v/>
      </c>
      <c r="K2652">
        <v>1.1979101896286001E-3</v>
      </c>
      <c r="L2652">
        <v>-4.2391702532768298E-2</v>
      </c>
      <c r="M2652">
        <v>-4.6670305728911902E-3</v>
      </c>
      <c r="N2652">
        <v>2.7436476200819099E-2</v>
      </c>
      <c r="O2652">
        <f t="shared" si="213"/>
        <v>2.925958111882215E-2</v>
      </c>
    </row>
    <row r="2653" spans="1:15" x14ac:dyDescent="0.35">
      <c r="A2653" t="s">
        <v>172</v>
      </c>
      <c r="B2653">
        <v>2022</v>
      </c>
      <c r="C2653">
        <v>535569.5625</v>
      </c>
      <c r="D2653" s="8">
        <v>0.95431613922119096</v>
      </c>
      <c r="E2653" s="8">
        <v>0</v>
      </c>
      <c r="F2653">
        <v>1.9881598493874</v>
      </c>
      <c r="G2653">
        <f t="shared" si="209"/>
        <v>2.083334618033307</v>
      </c>
      <c r="H2653">
        <f t="shared" si="211"/>
        <v>2.1904970867705487E-2</v>
      </c>
      <c r="I2653">
        <f t="shared" si="210"/>
        <v>1</v>
      </c>
      <c r="J2653" t="str">
        <f t="shared" si="212"/>
        <v/>
      </c>
      <c r="K2653">
        <v>-4.6670305728911902E-3</v>
      </c>
      <c r="L2653">
        <v>2.7915179729461701E-2</v>
      </c>
      <c r="M2653">
        <v>1.15237582623958E-2</v>
      </c>
      <c r="N2653">
        <v>3.1082686036825201E-2</v>
      </c>
      <c r="O2653">
        <f t="shared" si="213"/>
        <v>3.1082686036825201E-2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Larriva, Matt</cp:lastModifiedBy>
  <dcterms:created xsi:type="dcterms:W3CDTF">2025-06-26T20:15:35Z</dcterms:created>
  <dcterms:modified xsi:type="dcterms:W3CDTF">2025-06-30T17:46:28Z</dcterms:modified>
</cp:coreProperties>
</file>